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42a5334d10bba63/Desktop/"/>
    </mc:Choice>
  </mc:AlternateContent>
  <xr:revisionPtr revIDLastSave="1" documentId="14_{5055B0DE-54AC-4E94-AA05-9B533A1C45D1}" xr6:coauthVersionLast="47" xr6:coauthVersionMax="47" xr10:uidLastSave="{E47A1E28-7465-48EB-AF0D-35B0792DEB9E}"/>
  <bookViews>
    <workbookView xWindow="2200" yWindow="2200" windowWidth="14400" windowHeight="8170" tabRatio="500" firstSheet="1" activeTab="1" xr2:uid="{00000000-000D-0000-FFFF-FFFF00000000}"/>
  </bookViews>
  <sheets>
    <sheet name="Raw Dataset" sheetId="2" r:id="rId1"/>
    <sheet name="Cleaned Dataset" sheetId="1" r:id="rId2"/>
    <sheet name="State_Region" sheetId="3" r:id="rId3"/>
    <sheet name="Product_Category" sheetId="4" r:id="rId4"/>
    <sheet name="Port_Type" sheetId="5" r:id="rId5"/>
    <sheet name="Pivot_Region" sheetId="9" r:id="rId6"/>
    <sheet name="pivot tables" sheetId="6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289" i="1" l="1"/>
  <c r="N3289" i="1"/>
  <c r="M3289" i="1"/>
  <c r="F3289" i="1"/>
  <c r="D3289" i="1"/>
  <c r="B3289" i="1"/>
  <c r="O3288" i="1"/>
  <c r="N3288" i="1"/>
  <c r="M3288" i="1"/>
  <c r="F3288" i="1"/>
  <c r="D3288" i="1"/>
  <c r="B3288" i="1"/>
  <c r="O3287" i="1"/>
  <c r="N3287" i="1"/>
  <c r="M3287" i="1"/>
  <c r="F3287" i="1"/>
  <c r="D3287" i="1"/>
  <c r="B3287" i="1"/>
  <c r="O3286" i="1"/>
  <c r="N3286" i="1"/>
  <c r="M3286" i="1"/>
  <c r="F3286" i="1"/>
  <c r="D3286" i="1"/>
  <c r="B3286" i="1"/>
  <c r="O3285" i="1"/>
  <c r="N3285" i="1"/>
  <c r="M3285" i="1"/>
  <c r="F3285" i="1"/>
  <c r="D3285" i="1"/>
  <c r="B3285" i="1"/>
  <c r="O3284" i="1"/>
  <c r="N3284" i="1"/>
  <c r="M3284" i="1"/>
  <c r="F3284" i="1"/>
  <c r="D3284" i="1"/>
  <c r="B3284" i="1"/>
  <c r="O3283" i="1"/>
  <c r="N3283" i="1"/>
  <c r="M3283" i="1"/>
  <c r="F3283" i="1"/>
  <c r="D3283" i="1"/>
  <c r="B3283" i="1"/>
  <c r="O3282" i="1"/>
  <c r="N3282" i="1"/>
  <c r="M3282" i="1"/>
  <c r="F3282" i="1"/>
  <c r="D3282" i="1"/>
  <c r="B3282" i="1"/>
  <c r="O3281" i="1"/>
  <c r="N3281" i="1"/>
  <c r="M3281" i="1"/>
  <c r="F3281" i="1"/>
  <c r="D3281" i="1"/>
  <c r="B3281" i="1"/>
  <c r="O3280" i="1"/>
  <c r="N3280" i="1"/>
  <c r="M3280" i="1"/>
  <c r="F3280" i="1"/>
  <c r="D3280" i="1"/>
  <c r="B3280" i="1"/>
  <c r="O3279" i="1"/>
  <c r="N3279" i="1"/>
  <c r="M3279" i="1"/>
  <c r="F3279" i="1"/>
  <c r="D3279" i="1"/>
  <c r="B3279" i="1"/>
  <c r="O3278" i="1"/>
  <c r="N3278" i="1"/>
  <c r="M3278" i="1"/>
  <c r="F3278" i="1"/>
  <c r="D3278" i="1"/>
  <c r="B3278" i="1"/>
  <c r="O3277" i="1"/>
  <c r="N3277" i="1"/>
  <c r="M3277" i="1"/>
  <c r="F3277" i="1"/>
  <c r="D3277" i="1"/>
  <c r="B3277" i="1"/>
  <c r="O3276" i="1"/>
  <c r="N3276" i="1"/>
  <c r="M3276" i="1"/>
  <c r="F3276" i="1"/>
  <c r="D3276" i="1"/>
  <c r="B3276" i="1"/>
  <c r="O3275" i="1"/>
  <c r="N3275" i="1"/>
  <c r="M3275" i="1"/>
  <c r="F3275" i="1"/>
  <c r="D3275" i="1"/>
  <c r="B3275" i="1"/>
  <c r="O3274" i="1"/>
  <c r="N3274" i="1"/>
  <c r="M3274" i="1"/>
  <c r="F3274" i="1"/>
  <c r="D3274" i="1"/>
  <c r="B3274" i="1"/>
  <c r="O3273" i="1"/>
  <c r="N3273" i="1"/>
  <c r="M3273" i="1"/>
  <c r="F3273" i="1"/>
  <c r="D3273" i="1"/>
  <c r="B3273" i="1"/>
  <c r="O3272" i="1"/>
  <c r="N3272" i="1"/>
  <c r="M3272" i="1"/>
  <c r="F3272" i="1"/>
  <c r="D3272" i="1"/>
  <c r="B3272" i="1"/>
  <c r="O3271" i="1"/>
  <c r="N3271" i="1"/>
  <c r="M3271" i="1"/>
  <c r="F3271" i="1"/>
  <c r="D3271" i="1"/>
  <c r="B3271" i="1"/>
  <c r="O3270" i="1"/>
  <c r="N3270" i="1"/>
  <c r="M3270" i="1"/>
  <c r="F3270" i="1"/>
  <c r="D3270" i="1"/>
  <c r="B3270" i="1"/>
  <c r="O3269" i="1"/>
  <c r="N3269" i="1"/>
  <c r="M3269" i="1"/>
  <c r="F3269" i="1"/>
  <c r="D3269" i="1"/>
  <c r="B3269" i="1"/>
  <c r="O3268" i="1"/>
  <c r="N3268" i="1"/>
  <c r="M3268" i="1"/>
  <c r="F3268" i="1"/>
  <c r="D3268" i="1"/>
  <c r="B3268" i="1"/>
  <c r="O3267" i="1"/>
  <c r="N3267" i="1"/>
  <c r="M3267" i="1"/>
  <c r="F3267" i="1"/>
  <c r="D3267" i="1"/>
  <c r="B3267" i="1"/>
  <c r="O3266" i="1"/>
  <c r="N3266" i="1"/>
  <c r="M3266" i="1"/>
  <c r="F3266" i="1"/>
  <c r="D3266" i="1"/>
  <c r="B3266" i="1"/>
  <c r="O3265" i="1"/>
  <c r="N3265" i="1"/>
  <c r="M3265" i="1"/>
  <c r="F3265" i="1"/>
  <c r="D3265" i="1"/>
  <c r="B3265" i="1"/>
  <c r="O3264" i="1"/>
  <c r="N3264" i="1"/>
  <c r="M3264" i="1"/>
  <c r="F3264" i="1"/>
  <c r="D3264" i="1"/>
  <c r="B3264" i="1"/>
  <c r="O3263" i="1"/>
  <c r="N3263" i="1"/>
  <c r="M3263" i="1"/>
  <c r="F3263" i="1"/>
  <c r="D3263" i="1"/>
  <c r="B3263" i="1"/>
  <c r="O3262" i="1"/>
  <c r="N3262" i="1"/>
  <c r="M3262" i="1"/>
  <c r="F3262" i="1"/>
  <c r="D3262" i="1"/>
  <c r="B3262" i="1"/>
  <c r="O3261" i="1"/>
  <c r="N3261" i="1"/>
  <c r="M3261" i="1"/>
  <c r="F3261" i="1"/>
  <c r="D3261" i="1"/>
  <c r="B3261" i="1"/>
  <c r="O3260" i="1"/>
  <c r="N3260" i="1"/>
  <c r="M3260" i="1"/>
  <c r="F3260" i="1"/>
  <c r="D3260" i="1"/>
  <c r="B3260" i="1"/>
  <c r="O3259" i="1"/>
  <c r="N3259" i="1"/>
  <c r="M3259" i="1"/>
  <c r="F3259" i="1"/>
  <c r="D3259" i="1"/>
  <c r="B3259" i="1"/>
  <c r="O3258" i="1"/>
  <c r="N3258" i="1"/>
  <c r="M3258" i="1"/>
  <c r="F3258" i="1"/>
  <c r="D3258" i="1"/>
  <c r="B3258" i="1"/>
  <c r="O3257" i="1"/>
  <c r="N3257" i="1"/>
  <c r="M3257" i="1"/>
  <c r="F3257" i="1"/>
  <c r="D3257" i="1"/>
  <c r="B3257" i="1"/>
  <c r="O3256" i="1"/>
  <c r="N3256" i="1"/>
  <c r="M3256" i="1"/>
  <c r="F3256" i="1"/>
  <c r="D3256" i="1"/>
  <c r="B3256" i="1"/>
  <c r="O3255" i="1"/>
  <c r="N3255" i="1"/>
  <c r="M3255" i="1"/>
  <c r="F3255" i="1"/>
  <c r="D3255" i="1"/>
  <c r="B3255" i="1"/>
  <c r="O3254" i="1"/>
  <c r="N3254" i="1"/>
  <c r="M3254" i="1"/>
  <c r="F3254" i="1"/>
  <c r="D3254" i="1"/>
  <c r="B3254" i="1"/>
  <c r="O3253" i="1"/>
  <c r="N3253" i="1"/>
  <c r="M3253" i="1"/>
  <c r="F3253" i="1"/>
  <c r="D3253" i="1"/>
  <c r="B3253" i="1"/>
  <c r="O3252" i="1"/>
  <c r="N3252" i="1"/>
  <c r="M3252" i="1"/>
  <c r="F3252" i="1"/>
  <c r="D3252" i="1"/>
  <c r="B3252" i="1"/>
  <c r="O3251" i="1"/>
  <c r="N3251" i="1"/>
  <c r="M3251" i="1"/>
  <c r="F3251" i="1"/>
  <c r="D3251" i="1"/>
  <c r="B3251" i="1"/>
  <c r="O3250" i="1"/>
  <c r="N3250" i="1"/>
  <c r="M3250" i="1"/>
  <c r="F3250" i="1"/>
  <c r="D3250" i="1"/>
  <c r="B3250" i="1"/>
  <c r="O3249" i="1"/>
  <c r="N3249" i="1"/>
  <c r="M3249" i="1"/>
  <c r="F3249" i="1"/>
  <c r="D3249" i="1"/>
  <c r="B3249" i="1"/>
  <c r="O3248" i="1"/>
  <c r="N3248" i="1"/>
  <c r="M3248" i="1"/>
  <c r="F3248" i="1"/>
  <c r="D3248" i="1"/>
  <c r="B3248" i="1"/>
  <c r="O3247" i="1"/>
  <c r="N3247" i="1"/>
  <c r="M3247" i="1"/>
  <c r="F3247" i="1"/>
  <c r="D3247" i="1"/>
  <c r="B3247" i="1"/>
  <c r="O3246" i="1"/>
  <c r="N3246" i="1"/>
  <c r="M3246" i="1"/>
  <c r="F3246" i="1"/>
  <c r="D3246" i="1"/>
  <c r="B3246" i="1"/>
  <c r="O3245" i="1"/>
  <c r="N3245" i="1"/>
  <c r="M3245" i="1"/>
  <c r="F3245" i="1"/>
  <c r="D3245" i="1"/>
  <c r="B3245" i="1"/>
  <c r="O3244" i="1"/>
  <c r="N3244" i="1"/>
  <c r="M3244" i="1"/>
  <c r="F3244" i="1"/>
  <c r="D3244" i="1"/>
  <c r="B3244" i="1"/>
  <c r="O3243" i="1"/>
  <c r="N3243" i="1"/>
  <c r="M3243" i="1"/>
  <c r="F3243" i="1"/>
  <c r="D3243" i="1"/>
  <c r="B3243" i="1"/>
  <c r="O3242" i="1"/>
  <c r="N3242" i="1"/>
  <c r="M3242" i="1"/>
  <c r="F3242" i="1"/>
  <c r="D3242" i="1"/>
  <c r="B3242" i="1"/>
  <c r="O3241" i="1"/>
  <c r="N3241" i="1"/>
  <c r="M3241" i="1"/>
  <c r="F3241" i="1"/>
  <c r="D3241" i="1"/>
  <c r="B3241" i="1"/>
  <c r="O3240" i="1"/>
  <c r="N3240" i="1"/>
  <c r="M3240" i="1"/>
  <c r="F3240" i="1"/>
  <c r="D3240" i="1"/>
  <c r="B3240" i="1"/>
  <c r="O3239" i="1"/>
  <c r="N3239" i="1"/>
  <c r="M3239" i="1"/>
  <c r="F3239" i="1"/>
  <c r="D3239" i="1"/>
  <c r="B3239" i="1"/>
  <c r="O3238" i="1"/>
  <c r="N3238" i="1"/>
  <c r="M3238" i="1"/>
  <c r="F3238" i="1"/>
  <c r="D3238" i="1"/>
  <c r="B3238" i="1"/>
  <c r="O3237" i="1"/>
  <c r="N3237" i="1"/>
  <c r="M3237" i="1"/>
  <c r="F3237" i="1"/>
  <c r="D3237" i="1"/>
  <c r="B3237" i="1"/>
  <c r="O3236" i="1"/>
  <c r="N3236" i="1"/>
  <c r="M3236" i="1"/>
  <c r="F3236" i="1"/>
  <c r="D3236" i="1"/>
  <c r="B3236" i="1"/>
  <c r="O3235" i="1"/>
  <c r="N3235" i="1"/>
  <c r="M3235" i="1"/>
  <c r="F3235" i="1"/>
  <c r="D3235" i="1"/>
  <c r="B3235" i="1"/>
  <c r="O3234" i="1"/>
  <c r="N3234" i="1"/>
  <c r="M3234" i="1"/>
  <c r="F3234" i="1"/>
  <c r="D3234" i="1"/>
  <c r="B3234" i="1"/>
  <c r="O3233" i="1"/>
  <c r="N3233" i="1"/>
  <c r="M3233" i="1"/>
  <c r="F3233" i="1"/>
  <c r="D3233" i="1"/>
  <c r="B3233" i="1"/>
  <c r="O3232" i="1"/>
  <c r="N3232" i="1"/>
  <c r="M3232" i="1"/>
  <c r="F3232" i="1"/>
  <c r="D3232" i="1"/>
  <c r="B3232" i="1"/>
  <c r="O3231" i="1"/>
  <c r="N3231" i="1"/>
  <c r="M3231" i="1"/>
  <c r="F3231" i="1"/>
  <c r="D3231" i="1"/>
  <c r="B3231" i="1"/>
  <c r="O3230" i="1"/>
  <c r="N3230" i="1"/>
  <c r="M3230" i="1"/>
  <c r="F3230" i="1"/>
  <c r="D3230" i="1"/>
  <c r="B3230" i="1"/>
  <c r="O3229" i="1"/>
  <c r="N3229" i="1"/>
  <c r="M3229" i="1"/>
  <c r="F3229" i="1"/>
  <c r="D3229" i="1"/>
  <c r="B3229" i="1"/>
  <c r="O3228" i="1"/>
  <c r="N3228" i="1"/>
  <c r="M3228" i="1"/>
  <c r="F3228" i="1"/>
  <c r="D3228" i="1"/>
  <c r="B3228" i="1"/>
  <c r="O3227" i="1"/>
  <c r="N3227" i="1"/>
  <c r="M3227" i="1"/>
  <c r="F3227" i="1"/>
  <c r="D3227" i="1"/>
  <c r="B3227" i="1"/>
  <c r="O3226" i="1"/>
  <c r="N3226" i="1"/>
  <c r="M3226" i="1"/>
  <c r="F3226" i="1"/>
  <c r="D3226" i="1"/>
  <c r="B3226" i="1"/>
  <c r="O3225" i="1"/>
  <c r="N3225" i="1"/>
  <c r="M3225" i="1"/>
  <c r="F3225" i="1"/>
  <c r="D3225" i="1"/>
  <c r="B3225" i="1"/>
  <c r="O3224" i="1"/>
  <c r="N3224" i="1"/>
  <c r="M3224" i="1"/>
  <c r="F3224" i="1"/>
  <c r="D3224" i="1"/>
  <c r="B3224" i="1"/>
  <c r="O3223" i="1"/>
  <c r="N3223" i="1"/>
  <c r="M3223" i="1"/>
  <c r="F3223" i="1"/>
  <c r="D3223" i="1"/>
  <c r="B3223" i="1"/>
  <c r="O3222" i="1"/>
  <c r="N3222" i="1"/>
  <c r="M3222" i="1"/>
  <c r="F3222" i="1"/>
  <c r="D3222" i="1"/>
  <c r="B3222" i="1"/>
  <c r="O3221" i="1"/>
  <c r="N3221" i="1"/>
  <c r="M3221" i="1"/>
  <c r="F3221" i="1"/>
  <c r="D3221" i="1"/>
  <c r="B3221" i="1"/>
  <c r="O3220" i="1"/>
  <c r="N3220" i="1"/>
  <c r="M3220" i="1"/>
  <c r="F3220" i="1"/>
  <c r="D3220" i="1"/>
  <c r="B3220" i="1"/>
  <c r="O3219" i="1"/>
  <c r="N3219" i="1"/>
  <c r="M3219" i="1"/>
  <c r="F3219" i="1"/>
  <c r="D3219" i="1"/>
  <c r="B3219" i="1"/>
  <c r="O3218" i="1"/>
  <c r="N3218" i="1"/>
  <c r="M3218" i="1"/>
  <c r="F3218" i="1"/>
  <c r="D3218" i="1"/>
  <c r="B3218" i="1"/>
  <c r="O3217" i="1"/>
  <c r="N3217" i="1"/>
  <c r="M3217" i="1"/>
  <c r="F3217" i="1"/>
  <c r="D3217" i="1"/>
  <c r="B3217" i="1"/>
  <c r="O3216" i="1"/>
  <c r="N3216" i="1"/>
  <c r="M3216" i="1"/>
  <c r="F3216" i="1"/>
  <c r="D3216" i="1"/>
  <c r="B3216" i="1"/>
  <c r="O3215" i="1"/>
  <c r="N3215" i="1"/>
  <c r="M3215" i="1"/>
  <c r="F3215" i="1"/>
  <c r="D3215" i="1"/>
  <c r="B3215" i="1"/>
  <c r="O3214" i="1"/>
  <c r="N3214" i="1"/>
  <c r="M3214" i="1"/>
  <c r="F3214" i="1"/>
  <c r="D3214" i="1"/>
  <c r="B3214" i="1"/>
  <c r="O3213" i="1"/>
  <c r="N3213" i="1"/>
  <c r="M3213" i="1"/>
  <c r="F3213" i="1"/>
  <c r="D3213" i="1"/>
  <c r="B3213" i="1"/>
  <c r="O3212" i="1"/>
  <c r="N3212" i="1"/>
  <c r="M3212" i="1"/>
  <c r="F3212" i="1"/>
  <c r="D3212" i="1"/>
  <c r="B3212" i="1"/>
  <c r="O3211" i="1"/>
  <c r="N3211" i="1"/>
  <c r="M3211" i="1"/>
  <c r="F3211" i="1"/>
  <c r="D3211" i="1"/>
  <c r="B3211" i="1"/>
  <c r="O3210" i="1"/>
  <c r="N3210" i="1"/>
  <c r="M3210" i="1"/>
  <c r="F3210" i="1"/>
  <c r="D3210" i="1"/>
  <c r="B3210" i="1"/>
  <c r="O3209" i="1"/>
  <c r="N3209" i="1"/>
  <c r="M3209" i="1"/>
  <c r="F3209" i="1"/>
  <c r="D3209" i="1"/>
  <c r="B3209" i="1"/>
  <c r="O3208" i="1"/>
  <c r="N3208" i="1"/>
  <c r="M3208" i="1"/>
  <c r="F3208" i="1"/>
  <c r="D3208" i="1"/>
  <c r="B3208" i="1"/>
  <c r="O3207" i="1"/>
  <c r="N3207" i="1"/>
  <c r="M3207" i="1"/>
  <c r="F3207" i="1"/>
  <c r="D3207" i="1"/>
  <c r="B3207" i="1"/>
  <c r="O3206" i="1"/>
  <c r="N3206" i="1"/>
  <c r="M3206" i="1"/>
  <c r="F3206" i="1"/>
  <c r="D3206" i="1"/>
  <c r="B3206" i="1"/>
  <c r="O3205" i="1"/>
  <c r="N3205" i="1"/>
  <c r="M3205" i="1"/>
  <c r="F3205" i="1"/>
  <c r="D3205" i="1"/>
  <c r="B3205" i="1"/>
  <c r="O3204" i="1"/>
  <c r="N3204" i="1"/>
  <c r="M3204" i="1"/>
  <c r="F3204" i="1"/>
  <c r="D3204" i="1"/>
  <c r="B3204" i="1"/>
  <c r="O3203" i="1"/>
  <c r="N3203" i="1"/>
  <c r="M3203" i="1"/>
  <c r="F3203" i="1"/>
  <c r="D3203" i="1"/>
  <c r="B3203" i="1"/>
  <c r="O3202" i="1"/>
  <c r="N3202" i="1"/>
  <c r="M3202" i="1"/>
  <c r="F3202" i="1"/>
  <c r="D3202" i="1"/>
  <c r="B3202" i="1"/>
  <c r="O3201" i="1"/>
  <c r="N3201" i="1"/>
  <c r="M3201" i="1"/>
  <c r="F3201" i="1"/>
  <c r="D3201" i="1"/>
  <c r="B3201" i="1"/>
  <c r="O3200" i="1"/>
  <c r="N3200" i="1"/>
  <c r="M3200" i="1"/>
  <c r="F3200" i="1"/>
  <c r="D3200" i="1"/>
  <c r="B3200" i="1"/>
  <c r="O3199" i="1"/>
  <c r="N3199" i="1"/>
  <c r="M3199" i="1"/>
  <c r="F3199" i="1"/>
  <c r="D3199" i="1"/>
  <c r="B3199" i="1"/>
  <c r="O3198" i="1"/>
  <c r="N3198" i="1"/>
  <c r="M3198" i="1"/>
  <c r="F3198" i="1"/>
  <c r="D3198" i="1"/>
  <c r="B3198" i="1"/>
  <c r="O3197" i="1"/>
  <c r="N3197" i="1"/>
  <c r="M3197" i="1"/>
  <c r="F3197" i="1"/>
  <c r="D3197" i="1"/>
  <c r="B3197" i="1"/>
  <c r="O3196" i="1"/>
  <c r="N3196" i="1"/>
  <c r="M3196" i="1"/>
  <c r="F3196" i="1"/>
  <c r="D3196" i="1"/>
  <c r="B3196" i="1"/>
  <c r="O3195" i="1"/>
  <c r="N3195" i="1"/>
  <c r="M3195" i="1"/>
  <c r="F3195" i="1"/>
  <c r="D3195" i="1"/>
  <c r="B3195" i="1"/>
  <c r="O3194" i="1"/>
  <c r="N3194" i="1"/>
  <c r="M3194" i="1"/>
  <c r="F3194" i="1"/>
  <c r="D3194" i="1"/>
  <c r="B3194" i="1"/>
  <c r="O3193" i="1"/>
  <c r="N3193" i="1"/>
  <c r="M3193" i="1"/>
  <c r="F3193" i="1"/>
  <c r="D3193" i="1"/>
  <c r="B3193" i="1"/>
  <c r="O3192" i="1"/>
  <c r="N3192" i="1"/>
  <c r="M3192" i="1"/>
  <c r="F3192" i="1"/>
  <c r="D3192" i="1"/>
  <c r="B3192" i="1"/>
  <c r="O3191" i="1"/>
  <c r="N3191" i="1"/>
  <c r="M3191" i="1"/>
  <c r="F3191" i="1"/>
  <c r="D3191" i="1"/>
  <c r="B3191" i="1"/>
  <c r="O3190" i="1"/>
  <c r="N3190" i="1"/>
  <c r="M3190" i="1"/>
  <c r="F3190" i="1"/>
  <c r="D3190" i="1"/>
  <c r="B3190" i="1"/>
  <c r="O3189" i="1"/>
  <c r="N3189" i="1"/>
  <c r="M3189" i="1"/>
  <c r="F3189" i="1"/>
  <c r="D3189" i="1"/>
  <c r="B3189" i="1"/>
  <c r="O3188" i="1"/>
  <c r="N3188" i="1"/>
  <c r="M3188" i="1"/>
  <c r="F3188" i="1"/>
  <c r="D3188" i="1"/>
  <c r="B3188" i="1"/>
  <c r="O3187" i="1"/>
  <c r="N3187" i="1"/>
  <c r="M3187" i="1"/>
  <c r="F3187" i="1"/>
  <c r="D3187" i="1"/>
  <c r="B3187" i="1"/>
  <c r="O3186" i="1"/>
  <c r="N3186" i="1"/>
  <c r="M3186" i="1"/>
  <c r="F3186" i="1"/>
  <c r="D3186" i="1"/>
  <c r="B3186" i="1"/>
  <c r="O3185" i="1"/>
  <c r="N3185" i="1"/>
  <c r="M3185" i="1"/>
  <c r="F3185" i="1"/>
  <c r="D3185" i="1"/>
  <c r="B3185" i="1"/>
  <c r="O3184" i="1"/>
  <c r="N3184" i="1"/>
  <c r="M3184" i="1"/>
  <c r="F3184" i="1"/>
  <c r="D3184" i="1"/>
  <c r="B3184" i="1"/>
  <c r="O3183" i="1"/>
  <c r="N3183" i="1"/>
  <c r="M3183" i="1"/>
  <c r="F3183" i="1"/>
  <c r="D3183" i="1"/>
  <c r="B3183" i="1"/>
  <c r="O3182" i="1"/>
  <c r="N3182" i="1"/>
  <c r="M3182" i="1"/>
  <c r="F3182" i="1"/>
  <c r="D3182" i="1"/>
  <c r="B3182" i="1"/>
  <c r="O3181" i="1"/>
  <c r="N3181" i="1"/>
  <c r="M3181" i="1"/>
  <c r="F3181" i="1"/>
  <c r="D3181" i="1"/>
  <c r="B3181" i="1"/>
  <c r="O3180" i="1"/>
  <c r="N3180" i="1"/>
  <c r="M3180" i="1"/>
  <c r="F3180" i="1"/>
  <c r="D3180" i="1"/>
  <c r="B3180" i="1"/>
  <c r="O3179" i="1"/>
  <c r="N3179" i="1"/>
  <c r="M3179" i="1"/>
  <c r="F3179" i="1"/>
  <c r="D3179" i="1"/>
  <c r="B3179" i="1"/>
  <c r="O3178" i="1"/>
  <c r="N3178" i="1"/>
  <c r="M3178" i="1"/>
  <c r="F3178" i="1"/>
  <c r="D3178" i="1"/>
  <c r="B3178" i="1"/>
  <c r="O3177" i="1"/>
  <c r="N3177" i="1"/>
  <c r="M3177" i="1"/>
  <c r="F3177" i="1"/>
  <c r="D3177" i="1"/>
  <c r="B3177" i="1"/>
  <c r="O3176" i="1"/>
  <c r="N3176" i="1"/>
  <c r="M3176" i="1"/>
  <c r="F3176" i="1"/>
  <c r="D3176" i="1"/>
  <c r="B3176" i="1"/>
  <c r="O3175" i="1"/>
  <c r="N3175" i="1"/>
  <c r="M3175" i="1"/>
  <c r="F3175" i="1"/>
  <c r="D3175" i="1"/>
  <c r="B3175" i="1"/>
  <c r="O3174" i="1"/>
  <c r="N3174" i="1"/>
  <c r="M3174" i="1"/>
  <c r="F3174" i="1"/>
  <c r="D3174" i="1"/>
  <c r="B3174" i="1"/>
  <c r="O3173" i="1"/>
  <c r="N3173" i="1"/>
  <c r="M3173" i="1"/>
  <c r="F3173" i="1"/>
  <c r="D3173" i="1"/>
  <c r="B3173" i="1"/>
  <c r="O3172" i="1"/>
  <c r="N3172" i="1"/>
  <c r="M3172" i="1"/>
  <c r="F3172" i="1"/>
  <c r="D3172" i="1"/>
  <c r="B3172" i="1"/>
  <c r="O3171" i="1"/>
  <c r="N3171" i="1"/>
  <c r="M3171" i="1"/>
  <c r="F3171" i="1"/>
  <c r="D3171" i="1"/>
  <c r="B3171" i="1"/>
  <c r="O3170" i="1"/>
  <c r="N3170" i="1"/>
  <c r="M3170" i="1"/>
  <c r="F3170" i="1"/>
  <c r="D3170" i="1"/>
  <c r="B3170" i="1"/>
  <c r="O3169" i="1"/>
  <c r="N3169" i="1"/>
  <c r="M3169" i="1"/>
  <c r="F3169" i="1"/>
  <c r="D3169" i="1"/>
  <c r="B3169" i="1"/>
  <c r="O3168" i="1"/>
  <c r="N3168" i="1"/>
  <c r="M3168" i="1"/>
  <c r="F3168" i="1"/>
  <c r="D3168" i="1"/>
  <c r="B3168" i="1"/>
  <c r="O3167" i="1"/>
  <c r="N3167" i="1"/>
  <c r="M3167" i="1"/>
  <c r="F3167" i="1"/>
  <c r="D3167" i="1"/>
  <c r="B3167" i="1"/>
  <c r="O3166" i="1"/>
  <c r="N3166" i="1"/>
  <c r="M3166" i="1"/>
  <c r="F3166" i="1"/>
  <c r="D3166" i="1"/>
  <c r="B3166" i="1"/>
  <c r="O3165" i="1"/>
  <c r="N3165" i="1"/>
  <c r="M3165" i="1"/>
  <c r="F3165" i="1"/>
  <c r="D3165" i="1"/>
  <c r="B3165" i="1"/>
  <c r="O3164" i="1"/>
  <c r="N3164" i="1"/>
  <c r="M3164" i="1"/>
  <c r="F3164" i="1"/>
  <c r="D3164" i="1"/>
  <c r="B3164" i="1"/>
  <c r="O3163" i="1"/>
  <c r="N3163" i="1"/>
  <c r="M3163" i="1"/>
  <c r="F3163" i="1"/>
  <c r="D3163" i="1"/>
  <c r="B3163" i="1"/>
  <c r="O3162" i="1"/>
  <c r="N3162" i="1"/>
  <c r="M3162" i="1"/>
  <c r="F3162" i="1"/>
  <c r="D3162" i="1"/>
  <c r="B3162" i="1"/>
  <c r="O3161" i="1"/>
  <c r="N3161" i="1"/>
  <c r="M3161" i="1"/>
  <c r="F3161" i="1"/>
  <c r="D3161" i="1"/>
  <c r="B3161" i="1"/>
  <c r="O3160" i="1"/>
  <c r="N3160" i="1"/>
  <c r="M3160" i="1"/>
  <c r="F3160" i="1"/>
  <c r="D3160" i="1"/>
  <c r="B3160" i="1"/>
  <c r="O3159" i="1"/>
  <c r="N3159" i="1"/>
  <c r="M3159" i="1"/>
  <c r="F3159" i="1"/>
  <c r="D3159" i="1"/>
  <c r="B3159" i="1"/>
  <c r="O3158" i="1"/>
  <c r="N3158" i="1"/>
  <c r="M3158" i="1"/>
  <c r="F3158" i="1"/>
  <c r="D3158" i="1"/>
  <c r="B3158" i="1"/>
  <c r="O3157" i="1"/>
  <c r="N3157" i="1"/>
  <c r="M3157" i="1"/>
  <c r="F3157" i="1"/>
  <c r="D3157" i="1"/>
  <c r="B3157" i="1"/>
  <c r="O3156" i="1"/>
  <c r="N3156" i="1"/>
  <c r="M3156" i="1"/>
  <c r="F3156" i="1"/>
  <c r="D3156" i="1"/>
  <c r="B3156" i="1"/>
  <c r="O3155" i="1"/>
  <c r="N3155" i="1"/>
  <c r="M3155" i="1"/>
  <c r="F3155" i="1"/>
  <c r="D3155" i="1"/>
  <c r="B3155" i="1"/>
  <c r="O3154" i="1"/>
  <c r="N3154" i="1"/>
  <c r="M3154" i="1"/>
  <c r="F3154" i="1"/>
  <c r="D3154" i="1"/>
  <c r="B3154" i="1"/>
  <c r="O3153" i="1"/>
  <c r="N3153" i="1"/>
  <c r="M3153" i="1"/>
  <c r="F3153" i="1"/>
  <c r="D3153" i="1"/>
  <c r="B3153" i="1"/>
  <c r="O3152" i="1"/>
  <c r="N3152" i="1"/>
  <c r="M3152" i="1"/>
  <c r="F3152" i="1"/>
  <c r="D3152" i="1"/>
  <c r="B3152" i="1"/>
  <c r="O3151" i="1"/>
  <c r="N3151" i="1"/>
  <c r="M3151" i="1"/>
  <c r="F3151" i="1"/>
  <c r="D3151" i="1"/>
  <c r="B3151" i="1"/>
  <c r="O3150" i="1"/>
  <c r="N3150" i="1"/>
  <c r="M3150" i="1"/>
  <c r="F3150" i="1"/>
  <c r="D3150" i="1"/>
  <c r="B3150" i="1"/>
  <c r="O3149" i="1"/>
  <c r="N3149" i="1"/>
  <c r="M3149" i="1"/>
  <c r="F3149" i="1"/>
  <c r="D3149" i="1"/>
  <c r="B3149" i="1"/>
  <c r="O3148" i="1"/>
  <c r="N3148" i="1"/>
  <c r="M3148" i="1"/>
  <c r="F3148" i="1"/>
  <c r="D3148" i="1"/>
  <c r="B3148" i="1"/>
  <c r="O3147" i="1"/>
  <c r="N3147" i="1"/>
  <c r="M3147" i="1"/>
  <c r="F3147" i="1"/>
  <c r="D3147" i="1"/>
  <c r="B3147" i="1"/>
  <c r="O3146" i="1"/>
  <c r="N3146" i="1"/>
  <c r="M3146" i="1"/>
  <c r="F3146" i="1"/>
  <c r="D3146" i="1"/>
  <c r="B3146" i="1"/>
  <c r="O3145" i="1"/>
  <c r="N3145" i="1"/>
  <c r="M3145" i="1"/>
  <c r="F3145" i="1"/>
  <c r="D3145" i="1"/>
  <c r="B3145" i="1"/>
  <c r="O3144" i="1"/>
  <c r="N3144" i="1"/>
  <c r="M3144" i="1"/>
  <c r="F3144" i="1"/>
  <c r="D3144" i="1"/>
  <c r="B3144" i="1"/>
  <c r="O3143" i="1"/>
  <c r="N3143" i="1"/>
  <c r="M3143" i="1"/>
  <c r="F3143" i="1"/>
  <c r="D3143" i="1"/>
  <c r="B3143" i="1"/>
  <c r="O3142" i="1"/>
  <c r="N3142" i="1"/>
  <c r="M3142" i="1"/>
  <c r="F3142" i="1"/>
  <c r="D3142" i="1"/>
  <c r="B3142" i="1"/>
  <c r="O3141" i="1"/>
  <c r="N3141" i="1"/>
  <c r="M3141" i="1"/>
  <c r="F3141" i="1"/>
  <c r="D3141" i="1"/>
  <c r="B3141" i="1"/>
  <c r="O3140" i="1"/>
  <c r="N3140" i="1"/>
  <c r="M3140" i="1"/>
  <c r="F3140" i="1"/>
  <c r="D3140" i="1"/>
  <c r="B3140" i="1"/>
  <c r="O3139" i="1"/>
  <c r="N3139" i="1"/>
  <c r="M3139" i="1"/>
  <c r="F3139" i="1"/>
  <c r="D3139" i="1"/>
  <c r="B3139" i="1"/>
  <c r="O3138" i="1"/>
  <c r="N3138" i="1"/>
  <c r="M3138" i="1"/>
  <c r="F3138" i="1"/>
  <c r="D3138" i="1"/>
  <c r="B3138" i="1"/>
  <c r="O3137" i="1"/>
  <c r="N3137" i="1"/>
  <c r="M3137" i="1"/>
  <c r="F3137" i="1"/>
  <c r="D3137" i="1"/>
  <c r="B3137" i="1"/>
  <c r="O3136" i="1"/>
  <c r="N3136" i="1"/>
  <c r="M3136" i="1"/>
  <c r="F3136" i="1"/>
  <c r="D3136" i="1"/>
  <c r="B3136" i="1"/>
  <c r="O3135" i="1"/>
  <c r="N3135" i="1"/>
  <c r="M3135" i="1"/>
  <c r="F3135" i="1"/>
  <c r="D3135" i="1"/>
  <c r="B3135" i="1"/>
  <c r="O3134" i="1"/>
  <c r="N3134" i="1"/>
  <c r="M3134" i="1"/>
  <c r="F3134" i="1"/>
  <c r="D3134" i="1"/>
  <c r="B3134" i="1"/>
  <c r="O3133" i="1"/>
  <c r="N3133" i="1"/>
  <c r="M3133" i="1"/>
  <c r="F3133" i="1"/>
  <c r="D3133" i="1"/>
  <c r="B3133" i="1"/>
  <c r="O3132" i="1"/>
  <c r="N3132" i="1"/>
  <c r="M3132" i="1"/>
  <c r="F3132" i="1"/>
  <c r="D3132" i="1"/>
  <c r="B3132" i="1"/>
  <c r="O3131" i="1"/>
  <c r="N3131" i="1"/>
  <c r="M3131" i="1"/>
  <c r="F3131" i="1"/>
  <c r="D3131" i="1"/>
  <c r="B3131" i="1"/>
  <c r="O3130" i="1"/>
  <c r="N3130" i="1"/>
  <c r="M3130" i="1"/>
  <c r="F3130" i="1"/>
  <c r="D3130" i="1"/>
  <c r="B3130" i="1"/>
  <c r="O3129" i="1"/>
  <c r="N3129" i="1"/>
  <c r="M3129" i="1"/>
  <c r="F3129" i="1"/>
  <c r="D3129" i="1"/>
  <c r="B3129" i="1"/>
  <c r="O3128" i="1"/>
  <c r="N3128" i="1"/>
  <c r="M3128" i="1"/>
  <c r="F3128" i="1"/>
  <c r="D3128" i="1"/>
  <c r="B3128" i="1"/>
  <c r="O3127" i="1"/>
  <c r="N3127" i="1"/>
  <c r="M3127" i="1"/>
  <c r="F3127" i="1"/>
  <c r="D3127" i="1"/>
  <c r="B3127" i="1"/>
  <c r="O3126" i="1"/>
  <c r="N3126" i="1"/>
  <c r="M3126" i="1"/>
  <c r="F3126" i="1"/>
  <c r="D3126" i="1"/>
  <c r="B3126" i="1"/>
  <c r="O3125" i="1"/>
  <c r="N3125" i="1"/>
  <c r="M3125" i="1"/>
  <c r="F3125" i="1"/>
  <c r="D3125" i="1"/>
  <c r="B3125" i="1"/>
  <c r="O3124" i="1"/>
  <c r="N3124" i="1"/>
  <c r="M3124" i="1"/>
  <c r="F3124" i="1"/>
  <c r="D3124" i="1"/>
  <c r="B3124" i="1"/>
  <c r="O3123" i="1"/>
  <c r="N3123" i="1"/>
  <c r="M3123" i="1"/>
  <c r="F3123" i="1"/>
  <c r="D3123" i="1"/>
  <c r="B3123" i="1"/>
  <c r="O3122" i="1"/>
  <c r="N3122" i="1"/>
  <c r="M3122" i="1"/>
  <c r="F3122" i="1"/>
  <c r="D3122" i="1"/>
  <c r="B3122" i="1"/>
  <c r="O3121" i="1"/>
  <c r="N3121" i="1"/>
  <c r="M3121" i="1"/>
  <c r="F3121" i="1"/>
  <c r="D3121" i="1"/>
  <c r="B3121" i="1"/>
  <c r="O3120" i="1"/>
  <c r="N3120" i="1"/>
  <c r="M3120" i="1"/>
  <c r="F3120" i="1"/>
  <c r="D3120" i="1"/>
  <c r="B3120" i="1"/>
  <c r="O3119" i="1"/>
  <c r="N3119" i="1"/>
  <c r="M3119" i="1"/>
  <c r="F3119" i="1"/>
  <c r="D3119" i="1"/>
  <c r="B3119" i="1"/>
  <c r="O3118" i="1"/>
  <c r="N3118" i="1"/>
  <c r="M3118" i="1"/>
  <c r="F3118" i="1"/>
  <c r="D3118" i="1"/>
  <c r="B3118" i="1"/>
  <c r="O3117" i="1"/>
  <c r="N3117" i="1"/>
  <c r="M3117" i="1"/>
  <c r="F3117" i="1"/>
  <c r="D3117" i="1"/>
  <c r="B3117" i="1"/>
  <c r="O3116" i="1"/>
  <c r="N3116" i="1"/>
  <c r="M3116" i="1"/>
  <c r="F3116" i="1"/>
  <c r="D3116" i="1"/>
  <c r="B3116" i="1"/>
  <c r="O3115" i="1"/>
  <c r="N3115" i="1"/>
  <c r="M3115" i="1"/>
  <c r="F3115" i="1"/>
  <c r="D3115" i="1"/>
  <c r="B3115" i="1"/>
  <c r="O3114" i="1"/>
  <c r="N3114" i="1"/>
  <c r="M3114" i="1"/>
  <c r="F3114" i="1"/>
  <c r="D3114" i="1"/>
  <c r="B3114" i="1"/>
  <c r="O3113" i="1"/>
  <c r="N3113" i="1"/>
  <c r="M3113" i="1"/>
  <c r="F3113" i="1"/>
  <c r="D3113" i="1"/>
  <c r="B3113" i="1"/>
  <c r="O3112" i="1"/>
  <c r="N3112" i="1"/>
  <c r="M3112" i="1"/>
  <c r="F3112" i="1"/>
  <c r="D3112" i="1"/>
  <c r="B3112" i="1"/>
  <c r="O3111" i="1"/>
  <c r="N3111" i="1"/>
  <c r="M3111" i="1"/>
  <c r="F3111" i="1"/>
  <c r="D3111" i="1"/>
  <c r="B3111" i="1"/>
  <c r="O3110" i="1"/>
  <c r="N3110" i="1"/>
  <c r="M3110" i="1"/>
  <c r="F3110" i="1"/>
  <c r="D3110" i="1"/>
  <c r="B3110" i="1"/>
  <c r="O3109" i="1"/>
  <c r="N3109" i="1"/>
  <c r="M3109" i="1"/>
  <c r="F3109" i="1"/>
  <c r="D3109" i="1"/>
  <c r="B3109" i="1"/>
  <c r="O3108" i="1"/>
  <c r="N3108" i="1"/>
  <c r="M3108" i="1"/>
  <c r="F3108" i="1"/>
  <c r="D3108" i="1"/>
  <c r="B3108" i="1"/>
  <c r="O3107" i="1"/>
  <c r="N3107" i="1"/>
  <c r="M3107" i="1"/>
  <c r="F3107" i="1"/>
  <c r="D3107" i="1"/>
  <c r="B3107" i="1"/>
  <c r="O3106" i="1"/>
  <c r="N3106" i="1"/>
  <c r="M3106" i="1"/>
  <c r="F3106" i="1"/>
  <c r="D3106" i="1"/>
  <c r="B3106" i="1"/>
  <c r="O3105" i="1"/>
  <c r="N3105" i="1"/>
  <c r="M3105" i="1"/>
  <c r="F3105" i="1"/>
  <c r="D3105" i="1"/>
  <c r="B3105" i="1"/>
  <c r="O3104" i="1"/>
  <c r="N3104" i="1"/>
  <c r="M3104" i="1"/>
  <c r="F3104" i="1"/>
  <c r="D3104" i="1"/>
  <c r="B3104" i="1"/>
  <c r="O3103" i="1"/>
  <c r="N3103" i="1"/>
  <c r="M3103" i="1"/>
  <c r="F3103" i="1"/>
  <c r="D3103" i="1"/>
  <c r="B3103" i="1"/>
  <c r="O3102" i="1"/>
  <c r="N3102" i="1"/>
  <c r="M3102" i="1"/>
  <c r="F3102" i="1"/>
  <c r="D3102" i="1"/>
  <c r="B3102" i="1"/>
  <c r="O3101" i="1"/>
  <c r="N3101" i="1"/>
  <c r="M3101" i="1"/>
  <c r="F3101" i="1"/>
  <c r="D3101" i="1"/>
  <c r="B3101" i="1"/>
  <c r="O3100" i="1"/>
  <c r="N3100" i="1"/>
  <c r="M3100" i="1"/>
  <c r="F3100" i="1"/>
  <c r="D3100" i="1"/>
  <c r="B3100" i="1"/>
  <c r="O3099" i="1"/>
  <c r="N3099" i="1"/>
  <c r="M3099" i="1"/>
  <c r="F3099" i="1"/>
  <c r="D3099" i="1"/>
  <c r="B3099" i="1"/>
  <c r="O3098" i="1"/>
  <c r="N3098" i="1"/>
  <c r="M3098" i="1"/>
  <c r="F3098" i="1"/>
  <c r="D3098" i="1"/>
  <c r="B3098" i="1"/>
  <c r="O3097" i="1"/>
  <c r="N3097" i="1"/>
  <c r="M3097" i="1"/>
  <c r="F3097" i="1"/>
  <c r="D3097" i="1"/>
  <c r="B3097" i="1"/>
  <c r="O3096" i="1"/>
  <c r="N3096" i="1"/>
  <c r="M3096" i="1"/>
  <c r="F3096" i="1"/>
  <c r="D3096" i="1"/>
  <c r="B3096" i="1"/>
  <c r="O3095" i="1"/>
  <c r="N3095" i="1"/>
  <c r="M3095" i="1"/>
  <c r="F3095" i="1"/>
  <c r="D3095" i="1"/>
  <c r="B3095" i="1"/>
  <c r="O3094" i="1"/>
  <c r="N3094" i="1"/>
  <c r="M3094" i="1"/>
  <c r="F3094" i="1"/>
  <c r="D3094" i="1"/>
  <c r="B3094" i="1"/>
  <c r="O3093" i="1"/>
  <c r="N3093" i="1"/>
  <c r="M3093" i="1"/>
  <c r="F3093" i="1"/>
  <c r="D3093" i="1"/>
  <c r="B3093" i="1"/>
  <c r="O3092" i="1"/>
  <c r="N3092" i="1"/>
  <c r="M3092" i="1"/>
  <c r="F3092" i="1"/>
  <c r="D3092" i="1"/>
  <c r="B3092" i="1"/>
  <c r="O3091" i="1"/>
  <c r="N3091" i="1"/>
  <c r="M3091" i="1"/>
  <c r="F3091" i="1"/>
  <c r="D3091" i="1"/>
  <c r="B3091" i="1"/>
  <c r="O3090" i="1"/>
  <c r="N3090" i="1"/>
  <c r="M3090" i="1"/>
  <c r="F3090" i="1"/>
  <c r="D3090" i="1"/>
  <c r="B3090" i="1"/>
  <c r="O3089" i="1"/>
  <c r="N3089" i="1"/>
  <c r="M3089" i="1"/>
  <c r="F3089" i="1"/>
  <c r="D3089" i="1"/>
  <c r="B3089" i="1"/>
  <c r="O3088" i="1"/>
  <c r="N3088" i="1"/>
  <c r="M3088" i="1"/>
  <c r="F3088" i="1"/>
  <c r="D3088" i="1"/>
  <c r="B3088" i="1"/>
  <c r="O3087" i="1"/>
  <c r="N3087" i="1"/>
  <c r="M3087" i="1"/>
  <c r="F3087" i="1"/>
  <c r="D3087" i="1"/>
  <c r="B3087" i="1"/>
  <c r="O3086" i="1"/>
  <c r="N3086" i="1"/>
  <c r="M3086" i="1"/>
  <c r="F3086" i="1"/>
  <c r="D3086" i="1"/>
  <c r="B3086" i="1"/>
  <c r="O3085" i="1"/>
  <c r="N3085" i="1"/>
  <c r="M3085" i="1"/>
  <c r="F3085" i="1"/>
  <c r="D3085" i="1"/>
  <c r="B3085" i="1"/>
  <c r="O3084" i="1"/>
  <c r="N3084" i="1"/>
  <c r="M3084" i="1"/>
  <c r="F3084" i="1"/>
  <c r="D3084" i="1"/>
  <c r="B3084" i="1"/>
  <c r="O3083" i="1"/>
  <c r="N3083" i="1"/>
  <c r="M3083" i="1"/>
  <c r="F3083" i="1"/>
  <c r="D3083" i="1"/>
  <c r="B3083" i="1"/>
  <c r="O3082" i="1"/>
  <c r="N3082" i="1"/>
  <c r="M3082" i="1"/>
  <c r="F3082" i="1"/>
  <c r="D3082" i="1"/>
  <c r="B3082" i="1"/>
  <c r="O3081" i="1"/>
  <c r="N3081" i="1"/>
  <c r="M3081" i="1"/>
  <c r="F3081" i="1"/>
  <c r="D3081" i="1"/>
  <c r="B3081" i="1"/>
  <c r="O3080" i="1"/>
  <c r="N3080" i="1"/>
  <c r="M3080" i="1"/>
  <c r="F3080" i="1"/>
  <c r="D3080" i="1"/>
  <c r="B3080" i="1"/>
  <c r="O3079" i="1"/>
  <c r="N3079" i="1"/>
  <c r="M3079" i="1"/>
  <c r="F3079" i="1"/>
  <c r="D3079" i="1"/>
  <c r="B3079" i="1"/>
  <c r="O3078" i="1"/>
  <c r="N3078" i="1"/>
  <c r="M3078" i="1"/>
  <c r="F3078" i="1"/>
  <c r="D3078" i="1"/>
  <c r="B3078" i="1"/>
  <c r="O3077" i="1"/>
  <c r="N3077" i="1"/>
  <c r="M3077" i="1"/>
  <c r="F3077" i="1"/>
  <c r="D3077" i="1"/>
  <c r="B3077" i="1"/>
  <c r="O3076" i="1"/>
  <c r="N3076" i="1"/>
  <c r="M3076" i="1"/>
  <c r="F3076" i="1"/>
  <c r="D3076" i="1"/>
  <c r="B3076" i="1"/>
  <c r="O3075" i="1"/>
  <c r="N3075" i="1"/>
  <c r="M3075" i="1"/>
  <c r="F3075" i="1"/>
  <c r="D3075" i="1"/>
  <c r="B3075" i="1"/>
  <c r="O3074" i="1"/>
  <c r="N3074" i="1"/>
  <c r="M3074" i="1"/>
  <c r="F3074" i="1"/>
  <c r="D3074" i="1"/>
  <c r="B3074" i="1"/>
  <c r="O3073" i="1"/>
  <c r="N3073" i="1"/>
  <c r="M3073" i="1"/>
  <c r="F3073" i="1"/>
  <c r="D3073" i="1"/>
  <c r="B3073" i="1"/>
  <c r="O3072" i="1"/>
  <c r="N3072" i="1"/>
  <c r="M3072" i="1"/>
  <c r="F3072" i="1"/>
  <c r="D3072" i="1"/>
  <c r="B3072" i="1"/>
  <c r="O3071" i="1"/>
  <c r="N3071" i="1"/>
  <c r="M3071" i="1"/>
  <c r="F3071" i="1"/>
  <c r="D3071" i="1"/>
  <c r="B3071" i="1"/>
  <c r="O3070" i="1"/>
  <c r="N3070" i="1"/>
  <c r="M3070" i="1"/>
  <c r="F3070" i="1"/>
  <c r="D3070" i="1"/>
  <c r="B3070" i="1"/>
  <c r="O3069" i="1"/>
  <c r="N3069" i="1"/>
  <c r="M3069" i="1"/>
  <c r="F3069" i="1"/>
  <c r="D3069" i="1"/>
  <c r="B3069" i="1"/>
  <c r="O3068" i="1"/>
  <c r="N3068" i="1"/>
  <c r="M3068" i="1"/>
  <c r="F3068" i="1"/>
  <c r="D3068" i="1"/>
  <c r="B3068" i="1"/>
  <c r="O3067" i="1"/>
  <c r="N3067" i="1"/>
  <c r="M3067" i="1"/>
  <c r="F3067" i="1"/>
  <c r="D3067" i="1"/>
  <c r="B3067" i="1"/>
  <c r="O3066" i="1"/>
  <c r="N3066" i="1"/>
  <c r="M3066" i="1"/>
  <c r="F3066" i="1"/>
  <c r="D3066" i="1"/>
  <c r="B3066" i="1"/>
  <c r="O3065" i="1"/>
  <c r="N3065" i="1"/>
  <c r="M3065" i="1"/>
  <c r="F3065" i="1"/>
  <c r="D3065" i="1"/>
  <c r="B3065" i="1"/>
  <c r="O3064" i="1"/>
  <c r="N3064" i="1"/>
  <c r="M3064" i="1"/>
  <c r="F3064" i="1"/>
  <c r="D3064" i="1"/>
  <c r="B3064" i="1"/>
  <c r="O3063" i="1"/>
  <c r="N3063" i="1"/>
  <c r="M3063" i="1"/>
  <c r="F3063" i="1"/>
  <c r="D3063" i="1"/>
  <c r="B3063" i="1"/>
  <c r="O3062" i="1"/>
  <c r="N3062" i="1"/>
  <c r="M3062" i="1"/>
  <c r="F3062" i="1"/>
  <c r="D3062" i="1"/>
  <c r="B3062" i="1"/>
  <c r="O3061" i="1"/>
  <c r="N3061" i="1"/>
  <c r="M3061" i="1"/>
  <c r="F3061" i="1"/>
  <c r="D3061" i="1"/>
  <c r="B3061" i="1"/>
  <c r="O3060" i="1"/>
  <c r="N3060" i="1"/>
  <c r="M3060" i="1"/>
  <c r="F3060" i="1"/>
  <c r="D3060" i="1"/>
  <c r="B3060" i="1"/>
  <c r="O3059" i="1"/>
  <c r="N3059" i="1"/>
  <c r="M3059" i="1"/>
  <c r="F3059" i="1"/>
  <c r="D3059" i="1"/>
  <c r="B3059" i="1"/>
  <c r="O3058" i="1"/>
  <c r="N3058" i="1"/>
  <c r="M3058" i="1"/>
  <c r="F3058" i="1"/>
  <c r="D3058" i="1"/>
  <c r="B3058" i="1"/>
  <c r="O3057" i="1"/>
  <c r="N3057" i="1"/>
  <c r="M3057" i="1"/>
  <c r="F3057" i="1"/>
  <c r="D3057" i="1"/>
  <c r="B3057" i="1"/>
  <c r="O3056" i="1"/>
  <c r="N3056" i="1"/>
  <c r="M3056" i="1"/>
  <c r="F3056" i="1"/>
  <c r="D3056" i="1"/>
  <c r="B3056" i="1"/>
  <c r="O3055" i="1"/>
  <c r="N3055" i="1"/>
  <c r="M3055" i="1"/>
  <c r="F3055" i="1"/>
  <c r="D3055" i="1"/>
  <c r="B3055" i="1"/>
  <c r="O3054" i="1"/>
  <c r="N3054" i="1"/>
  <c r="M3054" i="1"/>
  <c r="F3054" i="1"/>
  <c r="D3054" i="1"/>
  <c r="B3054" i="1"/>
  <c r="O3053" i="1"/>
  <c r="N3053" i="1"/>
  <c r="M3053" i="1"/>
  <c r="F3053" i="1"/>
  <c r="D3053" i="1"/>
  <c r="B3053" i="1"/>
  <c r="O3052" i="1"/>
  <c r="N3052" i="1"/>
  <c r="M3052" i="1"/>
  <c r="F3052" i="1"/>
  <c r="D3052" i="1"/>
  <c r="B3052" i="1"/>
  <c r="O3051" i="1"/>
  <c r="N3051" i="1"/>
  <c r="M3051" i="1"/>
  <c r="F3051" i="1"/>
  <c r="D3051" i="1"/>
  <c r="B3051" i="1"/>
  <c r="O3050" i="1"/>
  <c r="N3050" i="1"/>
  <c r="M3050" i="1"/>
  <c r="F3050" i="1"/>
  <c r="D3050" i="1"/>
  <c r="B3050" i="1"/>
  <c r="O3049" i="1"/>
  <c r="N3049" i="1"/>
  <c r="M3049" i="1"/>
  <c r="F3049" i="1"/>
  <c r="D3049" i="1"/>
  <c r="B3049" i="1"/>
  <c r="O3048" i="1"/>
  <c r="N3048" i="1"/>
  <c r="M3048" i="1"/>
  <c r="F3048" i="1"/>
  <c r="D3048" i="1"/>
  <c r="B3048" i="1"/>
  <c r="O3047" i="1"/>
  <c r="N3047" i="1"/>
  <c r="M3047" i="1"/>
  <c r="F3047" i="1"/>
  <c r="D3047" i="1"/>
  <c r="B3047" i="1"/>
  <c r="O3046" i="1"/>
  <c r="N3046" i="1"/>
  <c r="M3046" i="1"/>
  <c r="F3046" i="1"/>
  <c r="D3046" i="1"/>
  <c r="B3046" i="1"/>
  <c r="O3045" i="1"/>
  <c r="N3045" i="1"/>
  <c r="M3045" i="1"/>
  <c r="F3045" i="1"/>
  <c r="D3045" i="1"/>
  <c r="B3045" i="1"/>
  <c r="O3044" i="1"/>
  <c r="N3044" i="1"/>
  <c r="M3044" i="1"/>
  <c r="F3044" i="1"/>
  <c r="D3044" i="1"/>
  <c r="B3044" i="1"/>
  <c r="O3043" i="1"/>
  <c r="N3043" i="1"/>
  <c r="M3043" i="1"/>
  <c r="F3043" i="1"/>
  <c r="D3043" i="1"/>
  <c r="B3043" i="1"/>
  <c r="O3042" i="1"/>
  <c r="N3042" i="1"/>
  <c r="M3042" i="1"/>
  <c r="F3042" i="1"/>
  <c r="D3042" i="1"/>
  <c r="B3042" i="1"/>
  <c r="O3041" i="1"/>
  <c r="N3041" i="1"/>
  <c r="M3041" i="1"/>
  <c r="F3041" i="1"/>
  <c r="D3041" i="1"/>
  <c r="B3041" i="1"/>
  <c r="O3040" i="1"/>
  <c r="N3040" i="1"/>
  <c r="M3040" i="1"/>
  <c r="F3040" i="1"/>
  <c r="D3040" i="1"/>
  <c r="B3040" i="1"/>
  <c r="O3039" i="1"/>
  <c r="N3039" i="1"/>
  <c r="M3039" i="1"/>
  <c r="F3039" i="1"/>
  <c r="D3039" i="1"/>
  <c r="B3039" i="1"/>
  <c r="O3038" i="1"/>
  <c r="N3038" i="1"/>
  <c r="M3038" i="1"/>
  <c r="F3038" i="1"/>
  <c r="D3038" i="1"/>
  <c r="B3038" i="1"/>
  <c r="O3037" i="1"/>
  <c r="N3037" i="1"/>
  <c r="M3037" i="1"/>
  <c r="F3037" i="1"/>
  <c r="D3037" i="1"/>
  <c r="B3037" i="1"/>
  <c r="O3036" i="1"/>
  <c r="N3036" i="1"/>
  <c r="M3036" i="1"/>
  <c r="F3036" i="1"/>
  <c r="D3036" i="1"/>
  <c r="B3036" i="1"/>
  <c r="O3035" i="1"/>
  <c r="N3035" i="1"/>
  <c r="M3035" i="1"/>
  <c r="F3035" i="1"/>
  <c r="D3035" i="1"/>
  <c r="B3035" i="1"/>
  <c r="O3034" i="1"/>
  <c r="N3034" i="1"/>
  <c r="M3034" i="1"/>
  <c r="F3034" i="1"/>
  <c r="D3034" i="1"/>
  <c r="B3034" i="1"/>
  <c r="O3033" i="1"/>
  <c r="N3033" i="1"/>
  <c r="M3033" i="1"/>
  <c r="F3033" i="1"/>
  <c r="D3033" i="1"/>
  <c r="B3033" i="1"/>
  <c r="O3032" i="1"/>
  <c r="N3032" i="1"/>
  <c r="M3032" i="1"/>
  <c r="F3032" i="1"/>
  <c r="D3032" i="1"/>
  <c r="B3032" i="1"/>
  <c r="O3031" i="1"/>
  <c r="N3031" i="1"/>
  <c r="M3031" i="1"/>
  <c r="F3031" i="1"/>
  <c r="D3031" i="1"/>
  <c r="B3031" i="1"/>
  <c r="O3030" i="1"/>
  <c r="N3030" i="1"/>
  <c r="M3030" i="1"/>
  <c r="F3030" i="1"/>
  <c r="D3030" i="1"/>
  <c r="B3030" i="1"/>
  <c r="O3029" i="1"/>
  <c r="N3029" i="1"/>
  <c r="M3029" i="1"/>
  <c r="F3029" i="1"/>
  <c r="D3029" i="1"/>
  <c r="B3029" i="1"/>
  <c r="O3028" i="1"/>
  <c r="N3028" i="1"/>
  <c r="M3028" i="1"/>
  <c r="F3028" i="1"/>
  <c r="D3028" i="1"/>
  <c r="B3028" i="1"/>
  <c r="O3027" i="1"/>
  <c r="N3027" i="1"/>
  <c r="M3027" i="1"/>
  <c r="F3027" i="1"/>
  <c r="D3027" i="1"/>
  <c r="B3027" i="1"/>
  <c r="O3026" i="1"/>
  <c r="N3026" i="1"/>
  <c r="M3026" i="1"/>
  <c r="F3026" i="1"/>
  <c r="D3026" i="1"/>
  <c r="B3026" i="1"/>
  <c r="O3025" i="1"/>
  <c r="N3025" i="1"/>
  <c r="M3025" i="1"/>
  <c r="F3025" i="1"/>
  <c r="D3025" i="1"/>
  <c r="B3025" i="1"/>
  <c r="O3024" i="1"/>
  <c r="N3024" i="1"/>
  <c r="M3024" i="1"/>
  <c r="F3024" i="1"/>
  <c r="D3024" i="1"/>
  <c r="B3024" i="1"/>
  <c r="O3023" i="1"/>
  <c r="N3023" i="1"/>
  <c r="M3023" i="1"/>
  <c r="F3023" i="1"/>
  <c r="D3023" i="1"/>
  <c r="B3023" i="1"/>
  <c r="O3022" i="1"/>
  <c r="N3022" i="1"/>
  <c r="M3022" i="1"/>
  <c r="F3022" i="1"/>
  <c r="D3022" i="1"/>
  <c r="B3022" i="1"/>
  <c r="O3021" i="1"/>
  <c r="N3021" i="1"/>
  <c r="M3021" i="1"/>
  <c r="F3021" i="1"/>
  <c r="D3021" i="1"/>
  <c r="B3021" i="1"/>
  <c r="O3020" i="1"/>
  <c r="N3020" i="1"/>
  <c r="M3020" i="1"/>
  <c r="F3020" i="1"/>
  <c r="D3020" i="1"/>
  <c r="B3020" i="1"/>
  <c r="O3019" i="1"/>
  <c r="N3019" i="1"/>
  <c r="M3019" i="1"/>
  <c r="F3019" i="1"/>
  <c r="D3019" i="1"/>
  <c r="B3019" i="1"/>
  <c r="O3018" i="1"/>
  <c r="N3018" i="1"/>
  <c r="M3018" i="1"/>
  <c r="F3018" i="1"/>
  <c r="D3018" i="1"/>
  <c r="B3018" i="1"/>
  <c r="O3017" i="1"/>
  <c r="N3017" i="1"/>
  <c r="M3017" i="1"/>
  <c r="F3017" i="1"/>
  <c r="D3017" i="1"/>
  <c r="B3017" i="1"/>
  <c r="O3016" i="1"/>
  <c r="N3016" i="1"/>
  <c r="M3016" i="1"/>
  <c r="F3016" i="1"/>
  <c r="D3016" i="1"/>
  <c r="B3016" i="1"/>
  <c r="O3015" i="1"/>
  <c r="N3015" i="1"/>
  <c r="M3015" i="1"/>
  <c r="F3015" i="1"/>
  <c r="D3015" i="1"/>
  <c r="B3015" i="1"/>
  <c r="O3014" i="1"/>
  <c r="N3014" i="1"/>
  <c r="M3014" i="1"/>
  <c r="F3014" i="1"/>
  <c r="D3014" i="1"/>
  <c r="B3014" i="1"/>
  <c r="O3013" i="1"/>
  <c r="N3013" i="1"/>
  <c r="M3013" i="1"/>
  <c r="F3013" i="1"/>
  <c r="D3013" i="1"/>
  <c r="B3013" i="1"/>
  <c r="O3012" i="1"/>
  <c r="N3012" i="1"/>
  <c r="M3012" i="1"/>
  <c r="F3012" i="1"/>
  <c r="D3012" i="1"/>
  <c r="B3012" i="1"/>
  <c r="O3011" i="1"/>
  <c r="N3011" i="1"/>
  <c r="M3011" i="1"/>
  <c r="F3011" i="1"/>
  <c r="D3011" i="1"/>
  <c r="B3011" i="1"/>
  <c r="O3010" i="1"/>
  <c r="N3010" i="1"/>
  <c r="M3010" i="1"/>
  <c r="F3010" i="1"/>
  <c r="D3010" i="1"/>
  <c r="B3010" i="1"/>
  <c r="O3009" i="1"/>
  <c r="N3009" i="1"/>
  <c r="M3009" i="1"/>
  <c r="F3009" i="1"/>
  <c r="D3009" i="1"/>
  <c r="B3009" i="1"/>
  <c r="O3008" i="1"/>
  <c r="N3008" i="1"/>
  <c r="M3008" i="1"/>
  <c r="F3008" i="1"/>
  <c r="D3008" i="1"/>
  <c r="B3008" i="1"/>
  <c r="O3007" i="1"/>
  <c r="N3007" i="1"/>
  <c r="M3007" i="1"/>
  <c r="F3007" i="1"/>
  <c r="D3007" i="1"/>
  <c r="B3007" i="1"/>
  <c r="O3006" i="1"/>
  <c r="N3006" i="1"/>
  <c r="M3006" i="1"/>
  <c r="F3006" i="1"/>
  <c r="D3006" i="1"/>
  <c r="B3006" i="1"/>
  <c r="O3005" i="1"/>
  <c r="N3005" i="1"/>
  <c r="M3005" i="1"/>
  <c r="F3005" i="1"/>
  <c r="D3005" i="1"/>
  <c r="B3005" i="1"/>
  <c r="O3004" i="1"/>
  <c r="N3004" i="1"/>
  <c r="M3004" i="1"/>
  <c r="F3004" i="1"/>
  <c r="D3004" i="1"/>
  <c r="B3004" i="1"/>
  <c r="O3003" i="1"/>
  <c r="N3003" i="1"/>
  <c r="M3003" i="1"/>
  <c r="F3003" i="1"/>
  <c r="D3003" i="1"/>
  <c r="B3003" i="1"/>
  <c r="O3002" i="1"/>
  <c r="N3002" i="1"/>
  <c r="M3002" i="1"/>
  <c r="F3002" i="1"/>
  <c r="D3002" i="1"/>
  <c r="B3002" i="1"/>
  <c r="O3001" i="1"/>
  <c r="N3001" i="1"/>
  <c r="M3001" i="1"/>
  <c r="F3001" i="1"/>
  <c r="D3001" i="1"/>
  <c r="B3001" i="1"/>
  <c r="O3000" i="1"/>
  <c r="N3000" i="1"/>
  <c r="M3000" i="1"/>
  <c r="F3000" i="1"/>
  <c r="D3000" i="1"/>
  <c r="B3000" i="1"/>
  <c r="O2999" i="1"/>
  <c r="N2999" i="1"/>
  <c r="M2999" i="1"/>
  <c r="F2999" i="1"/>
  <c r="D2999" i="1"/>
  <c r="B2999" i="1"/>
  <c r="O2998" i="1"/>
  <c r="N2998" i="1"/>
  <c r="M2998" i="1"/>
  <c r="F2998" i="1"/>
  <c r="D2998" i="1"/>
  <c r="B2998" i="1"/>
  <c r="O2997" i="1"/>
  <c r="N2997" i="1"/>
  <c r="M2997" i="1"/>
  <c r="F2997" i="1"/>
  <c r="D2997" i="1"/>
  <c r="B2997" i="1"/>
  <c r="O2996" i="1"/>
  <c r="N2996" i="1"/>
  <c r="M2996" i="1"/>
  <c r="F2996" i="1"/>
  <c r="D2996" i="1"/>
  <c r="B2996" i="1"/>
  <c r="O2995" i="1"/>
  <c r="N2995" i="1"/>
  <c r="M2995" i="1"/>
  <c r="F2995" i="1"/>
  <c r="D2995" i="1"/>
  <c r="B2995" i="1"/>
  <c r="O2994" i="1"/>
  <c r="N2994" i="1"/>
  <c r="M2994" i="1"/>
  <c r="F2994" i="1"/>
  <c r="D2994" i="1"/>
  <c r="B2994" i="1"/>
  <c r="O2993" i="1"/>
  <c r="N2993" i="1"/>
  <c r="M2993" i="1"/>
  <c r="F2993" i="1"/>
  <c r="D2993" i="1"/>
  <c r="B2993" i="1"/>
  <c r="O2992" i="1"/>
  <c r="N2992" i="1"/>
  <c r="M2992" i="1"/>
  <c r="F2992" i="1"/>
  <c r="D2992" i="1"/>
  <c r="B2992" i="1"/>
  <c r="O2991" i="1"/>
  <c r="N2991" i="1"/>
  <c r="M2991" i="1"/>
  <c r="F2991" i="1"/>
  <c r="D2991" i="1"/>
  <c r="B2991" i="1"/>
  <c r="O2990" i="1"/>
  <c r="N2990" i="1"/>
  <c r="M2990" i="1"/>
  <c r="F2990" i="1"/>
  <c r="D2990" i="1"/>
  <c r="B2990" i="1"/>
  <c r="O2989" i="1"/>
  <c r="N2989" i="1"/>
  <c r="M2989" i="1"/>
  <c r="F2989" i="1"/>
  <c r="D2989" i="1"/>
  <c r="B2989" i="1"/>
  <c r="O2988" i="1"/>
  <c r="N2988" i="1"/>
  <c r="M2988" i="1"/>
  <c r="F2988" i="1"/>
  <c r="D2988" i="1"/>
  <c r="B2988" i="1"/>
  <c r="O2987" i="1"/>
  <c r="N2987" i="1"/>
  <c r="M2987" i="1"/>
  <c r="F2987" i="1"/>
  <c r="D2987" i="1"/>
  <c r="B2987" i="1"/>
  <c r="O2986" i="1"/>
  <c r="N2986" i="1"/>
  <c r="M2986" i="1"/>
  <c r="F2986" i="1"/>
  <c r="D2986" i="1"/>
  <c r="B2986" i="1"/>
  <c r="O2985" i="1"/>
  <c r="N2985" i="1"/>
  <c r="M2985" i="1"/>
  <c r="F2985" i="1"/>
  <c r="D2985" i="1"/>
  <c r="B2985" i="1"/>
  <c r="O2984" i="1"/>
  <c r="N2984" i="1"/>
  <c r="M2984" i="1"/>
  <c r="F2984" i="1"/>
  <c r="D2984" i="1"/>
  <c r="B2984" i="1"/>
  <c r="O2983" i="1"/>
  <c r="N2983" i="1"/>
  <c r="M2983" i="1"/>
  <c r="F2983" i="1"/>
  <c r="D2983" i="1"/>
  <c r="B2983" i="1"/>
  <c r="O2982" i="1"/>
  <c r="N2982" i="1"/>
  <c r="M2982" i="1"/>
  <c r="F2982" i="1"/>
  <c r="D2982" i="1"/>
  <c r="B2982" i="1"/>
  <c r="O2981" i="1"/>
  <c r="N2981" i="1"/>
  <c r="M2981" i="1"/>
  <c r="F2981" i="1"/>
  <c r="D2981" i="1"/>
  <c r="B2981" i="1"/>
  <c r="O2980" i="1"/>
  <c r="N2980" i="1"/>
  <c r="M2980" i="1"/>
  <c r="F2980" i="1"/>
  <c r="D2980" i="1"/>
  <c r="B2980" i="1"/>
  <c r="O2979" i="1"/>
  <c r="N2979" i="1"/>
  <c r="M2979" i="1"/>
  <c r="F2979" i="1"/>
  <c r="D2979" i="1"/>
  <c r="B2979" i="1"/>
  <c r="O2978" i="1"/>
  <c r="N2978" i="1"/>
  <c r="M2978" i="1"/>
  <c r="F2978" i="1"/>
  <c r="D2978" i="1"/>
  <c r="B2978" i="1"/>
  <c r="O2977" i="1"/>
  <c r="N2977" i="1"/>
  <c r="M2977" i="1"/>
  <c r="F2977" i="1"/>
  <c r="D2977" i="1"/>
  <c r="B2977" i="1"/>
  <c r="O2976" i="1"/>
  <c r="N2976" i="1"/>
  <c r="M2976" i="1"/>
  <c r="F2976" i="1"/>
  <c r="D2976" i="1"/>
  <c r="B2976" i="1"/>
  <c r="O2975" i="1"/>
  <c r="N2975" i="1"/>
  <c r="M2975" i="1"/>
  <c r="F2975" i="1"/>
  <c r="D2975" i="1"/>
  <c r="B2975" i="1"/>
  <c r="O2974" i="1"/>
  <c r="N2974" i="1"/>
  <c r="M2974" i="1"/>
  <c r="F2974" i="1"/>
  <c r="D2974" i="1"/>
  <c r="B2974" i="1"/>
  <c r="O2973" i="1"/>
  <c r="N2973" i="1"/>
  <c r="M2973" i="1"/>
  <c r="F2973" i="1"/>
  <c r="D2973" i="1"/>
  <c r="B2973" i="1"/>
  <c r="O2972" i="1"/>
  <c r="N2972" i="1"/>
  <c r="M2972" i="1"/>
  <c r="F2972" i="1"/>
  <c r="D2972" i="1"/>
  <c r="B2972" i="1"/>
  <c r="O2971" i="1"/>
  <c r="N2971" i="1"/>
  <c r="M2971" i="1"/>
  <c r="F2971" i="1"/>
  <c r="D2971" i="1"/>
  <c r="B2971" i="1"/>
  <c r="O2970" i="1"/>
  <c r="N2970" i="1"/>
  <c r="M2970" i="1"/>
  <c r="F2970" i="1"/>
  <c r="D2970" i="1"/>
  <c r="B2970" i="1"/>
  <c r="O2969" i="1"/>
  <c r="N2969" i="1"/>
  <c r="M2969" i="1"/>
  <c r="F2969" i="1"/>
  <c r="D2969" i="1"/>
  <c r="B2969" i="1"/>
  <c r="O2968" i="1"/>
  <c r="N2968" i="1"/>
  <c r="M2968" i="1"/>
  <c r="F2968" i="1"/>
  <c r="D2968" i="1"/>
  <c r="B2968" i="1"/>
  <c r="O2967" i="1"/>
  <c r="N2967" i="1"/>
  <c r="M2967" i="1"/>
  <c r="F2967" i="1"/>
  <c r="D2967" i="1"/>
  <c r="B2967" i="1"/>
  <c r="O2966" i="1"/>
  <c r="N2966" i="1"/>
  <c r="M2966" i="1"/>
  <c r="F2966" i="1"/>
  <c r="D2966" i="1"/>
  <c r="B2966" i="1"/>
  <c r="O2965" i="1"/>
  <c r="N2965" i="1"/>
  <c r="M2965" i="1"/>
  <c r="F2965" i="1"/>
  <c r="D2965" i="1"/>
  <c r="B2965" i="1"/>
  <c r="O2964" i="1"/>
  <c r="N2964" i="1"/>
  <c r="M2964" i="1"/>
  <c r="F2964" i="1"/>
  <c r="D2964" i="1"/>
  <c r="B2964" i="1"/>
  <c r="O2963" i="1"/>
  <c r="N2963" i="1"/>
  <c r="M2963" i="1"/>
  <c r="F2963" i="1"/>
  <c r="D2963" i="1"/>
  <c r="B2963" i="1"/>
  <c r="O2962" i="1"/>
  <c r="N2962" i="1"/>
  <c r="M2962" i="1"/>
  <c r="F2962" i="1"/>
  <c r="D2962" i="1"/>
  <c r="B2962" i="1"/>
  <c r="O2961" i="1"/>
  <c r="N2961" i="1"/>
  <c r="M2961" i="1"/>
  <c r="F2961" i="1"/>
  <c r="D2961" i="1"/>
  <c r="B2961" i="1"/>
  <c r="O2960" i="1"/>
  <c r="N2960" i="1"/>
  <c r="M2960" i="1"/>
  <c r="F2960" i="1"/>
  <c r="D2960" i="1"/>
  <c r="B2960" i="1"/>
  <c r="O2959" i="1"/>
  <c r="N2959" i="1"/>
  <c r="M2959" i="1"/>
  <c r="F2959" i="1"/>
  <c r="D2959" i="1"/>
  <c r="B2959" i="1"/>
  <c r="O2958" i="1"/>
  <c r="N2958" i="1"/>
  <c r="M2958" i="1"/>
  <c r="F2958" i="1"/>
  <c r="D2958" i="1"/>
  <c r="B2958" i="1"/>
  <c r="O2957" i="1"/>
  <c r="N2957" i="1"/>
  <c r="M2957" i="1"/>
  <c r="F2957" i="1"/>
  <c r="D2957" i="1"/>
  <c r="B2957" i="1"/>
  <c r="O2956" i="1"/>
  <c r="N2956" i="1"/>
  <c r="M2956" i="1"/>
  <c r="F2956" i="1"/>
  <c r="D2956" i="1"/>
  <c r="B2956" i="1"/>
  <c r="O2955" i="1"/>
  <c r="N2955" i="1"/>
  <c r="M2955" i="1"/>
  <c r="F2955" i="1"/>
  <c r="D2955" i="1"/>
  <c r="B2955" i="1"/>
  <c r="O2954" i="1"/>
  <c r="N2954" i="1"/>
  <c r="M2954" i="1"/>
  <c r="F2954" i="1"/>
  <c r="D2954" i="1"/>
  <c r="B2954" i="1"/>
  <c r="O2953" i="1"/>
  <c r="N2953" i="1"/>
  <c r="M2953" i="1"/>
  <c r="F2953" i="1"/>
  <c r="D2953" i="1"/>
  <c r="B2953" i="1"/>
  <c r="O2952" i="1"/>
  <c r="N2952" i="1"/>
  <c r="M2952" i="1"/>
  <c r="F2952" i="1"/>
  <c r="D2952" i="1"/>
  <c r="B2952" i="1"/>
  <c r="O2951" i="1"/>
  <c r="N2951" i="1"/>
  <c r="M2951" i="1"/>
  <c r="F2951" i="1"/>
  <c r="D2951" i="1"/>
  <c r="B2951" i="1"/>
  <c r="O2950" i="1"/>
  <c r="N2950" i="1"/>
  <c r="M2950" i="1"/>
  <c r="F2950" i="1"/>
  <c r="D2950" i="1"/>
  <c r="B2950" i="1"/>
  <c r="O2949" i="1"/>
  <c r="N2949" i="1"/>
  <c r="M2949" i="1"/>
  <c r="F2949" i="1"/>
  <c r="D2949" i="1"/>
  <c r="B2949" i="1"/>
  <c r="O2948" i="1"/>
  <c r="N2948" i="1"/>
  <c r="M2948" i="1"/>
  <c r="F2948" i="1"/>
  <c r="D2948" i="1"/>
  <c r="B2948" i="1"/>
  <c r="O2947" i="1"/>
  <c r="N2947" i="1"/>
  <c r="M2947" i="1"/>
  <c r="F2947" i="1"/>
  <c r="D2947" i="1"/>
  <c r="B2947" i="1"/>
  <c r="O2946" i="1"/>
  <c r="N2946" i="1"/>
  <c r="M2946" i="1"/>
  <c r="F2946" i="1"/>
  <c r="D2946" i="1"/>
  <c r="B2946" i="1"/>
  <c r="O2945" i="1"/>
  <c r="N2945" i="1"/>
  <c r="M2945" i="1"/>
  <c r="F2945" i="1"/>
  <c r="D2945" i="1"/>
  <c r="B2945" i="1"/>
  <c r="O2944" i="1"/>
  <c r="N2944" i="1"/>
  <c r="M2944" i="1"/>
  <c r="F2944" i="1"/>
  <c r="D2944" i="1"/>
  <c r="B2944" i="1"/>
  <c r="O2943" i="1"/>
  <c r="N2943" i="1"/>
  <c r="M2943" i="1"/>
  <c r="F2943" i="1"/>
  <c r="D2943" i="1"/>
  <c r="B2943" i="1"/>
  <c r="O2942" i="1"/>
  <c r="N2942" i="1"/>
  <c r="M2942" i="1"/>
  <c r="F2942" i="1"/>
  <c r="D2942" i="1"/>
  <c r="B2942" i="1"/>
  <c r="O2941" i="1"/>
  <c r="N2941" i="1"/>
  <c r="M2941" i="1"/>
  <c r="F2941" i="1"/>
  <c r="D2941" i="1"/>
  <c r="B2941" i="1"/>
  <c r="O2940" i="1"/>
  <c r="N2940" i="1"/>
  <c r="M2940" i="1"/>
  <c r="F2940" i="1"/>
  <c r="D2940" i="1"/>
  <c r="B2940" i="1"/>
  <c r="O2939" i="1"/>
  <c r="N2939" i="1"/>
  <c r="M2939" i="1"/>
  <c r="F2939" i="1"/>
  <c r="D2939" i="1"/>
  <c r="B2939" i="1"/>
  <c r="O2938" i="1"/>
  <c r="N2938" i="1"/>
  <c r="M2938" i="1"/>
  <c r="F2938" i="1"/>
  <c r="D2938" i="1"/>
  <c r="B2938" i="1"/>
  <c r="O2937" i="1"/>
  <c r="N2937" i="1"/>
  <c r="M2937" i="1"/>
  <c r="F2937" i="1"/>
  <c r="D2937" i="1"/>
  <c r="B2937" i="1"/>
  <c r="O2936" i="1"/>
  <c r="N2936" i="1"/>
  <c r="M2936" i="1"/>
  <c r="F2936" i="1"/>
  <c r="D2936" i="1"/>
  <c r="B2936" i="1"/>
  <c r="O2935" i="1"/>
  <c r="N2935" i="1"/>
  <c r="M2935" i="1"/>
  <c r="F2935" i="1"/>
  <c r="D2935" i="1"/>
  <c r="B2935" i="1"/>
  <c r="O2934" i="1"/>
  <c r="N2934" i="1"/>
  <c r="M2934" i="1"/>
  <c r="F2934" i="1"/>
  <c r="D2934" i="1"/>
  <c r="B2934" i="1"/>
  <c r="O2933" i="1"/>
  <c r="N2933" i="1"/>
  <c r="M2933" i="1"/>
  <c r="F2933" i="1"/>
  <c r="D2933" i="1"/>
  <c r="B2933" i="1"/>
  <c r="O2932" i="1"/>
  <c r="N2932" i="1"/>
  <c r="M2932" i="1"/>
  <c r="F2932" i="1"/>
  <c r="D2932" i="1"/>
  <c r="B2932" i="1"/>
  <c r="O2931" i="1"/>
  <c r="N2931" i="1"/>
  <c r="M2931" i="1"/>
  <c r="F2931" i="1"/>
  <c r="D2931" i="1"/>
  <c r="B2931" i="1"/>
  <c r="O2930" i="1"/>
  <c r="N2930" i="1"/>
  <c r="M2930" i="1"/>
  <c r="F2930" i="1"/>
  <c r="D2930" i="1"/>
  <c r="B2930" i="1"/>
  <c r="O2929" i="1"/>
  <c r="N2929" i="1"/>
  <c r="M2929" i="1"/>
  <c r="F2929" i="1"/>
  <c r="D2929" i="1"/>
  <c r="B2929" i="1"/>
  <c r="O2928" i="1"/>
  <c r="N2928" i="1"/>
  <c r="M2928" i="1"/>
  <c r="F2928" i="1"/>
  <c r="D2928" i="1"/>
  <c r="B2928" i="1"/>
  <c r="O2927" i="1"/>
  <c r="N2927" i="1"/>
  <c r="M2927" i="1"/>
  <c r="F2927" i="1"/>
  <c r="D2927" i="1"/>
  <c r="B2927" i="1"/>
  <c r="O2926" i="1"/>
  <c r="N2926" i="1"/>
  <c r="M2926" i="1"/>
  <c r="F2926" i="1"/>
  <c r="D2926" i="1"/>
  <c r="B2926" i="1"/>
  <c r="O2925" i="1"/>
  <c r="N2925" i="1"/>
  <c r="M2925" i="1"/>
  <c r="F2925" i="1"/>
  <c r="D2925" i="1"/>
  <c r="B2925" i="1"/>
  <c r="O2924" i="1"/>
  <c r="N2924" i="1"/>
  <c r="M2924" i="1"/>
  <c r="F2924" i="1"/>
  <c r="D2924" i="1"/>
  <c r="B2924" i="1"/>
  <c r="O2923" i="1"/>
  <c r="N2923" i="1"/>
  <c r="M2923" i="1"/>
  <c r="F2923" i="1"/>
  <c r="D2923" i="1"/>
  <c r="B2923" i="1"/>
  <c r="O2922" i="1"/>
  <c r="N2922" i="1"/>
  <c r="M2922" i="1"/>
  <c r="F2922" i="1"/>
  <c r="D2922" i="1"/>
  <c r="B2922" i="1"/>
  <c r="O2921" i="1"/>
  <c r="N2921" i="1"/>
  <c r="M2921" i="1"/>
  <c r="F2921" i="1"/>
  <c r="D2921" i="1"/>
  <c r="B2921" i="1"/>
  <c r="O2920" i="1"/>
  <c r="N2920" i="1"/>
  <c r="M2920" i="1"/>
  <c r="F2920" i="1"/>
  <c r="D2920" i="1"/>
  <c r="B2920" i="1"/>
  <c r="O2919" i="1"/>
  <c r="N2919" i="1"/>
  <c r="M2919" i="1"/>
  <c r="F2919" i="1"/>
  <c r="D2919" i="1"/>
  <c r="B2919" i="1"/>
  <c r="O2918" i="1"/>
  <c r="N2918" i="1"/>
  <c r="M2918" i="1"/>
  <c r="F2918" i="1"/>
  <c r="D2918" i="1"/>
  <c r="B2918" i="1"/>
  <c r="O2917" i="1"/>
  <c r="N2917" i="1"/>
  <c r="M2917" i="1"/>
  <c r="F2917" i="1"/>
  <c r="D2917" i="1"/>
  <c r="B2917" i="1"/>
  <c r="O2916" i="1"/>
  <c r="N2916" i="1"/>
  <c r="M2916" i="1"/>
  <c r="F2916" i="1"/>
  <c r="D2916" i="1"/>
  <c r="B2916" i="1"/>
  <c r="O2915" i="1"/>
  <c r="N2915" i="1"/>
  <c r="M2915" i="1"/>
  <c r="F2915" i="1"/>
  <c r="D2915" i="1"/>
  <c r="B2915" i="1"/>
  <c r="O2914" i="1"/>
  <c r="N2914" i="1"/>
  <c r="M2914" i="1"/>
  <c r="F2914" i="1"/>
  <c r="D2914" i="1"/>
  <c r="B2914" i="1"/>
  <c r="O2913" i="1"/>
  <c r="N2913" i="1"/>
  <c r="M2913" i="1"/>
  <c r="F2913" i="1"/>
  <c r="D2913" i="1"/>
  <c r="B2913" i="1"/>
  <c r="O2912" i="1"/>
  <c r="N2912" i="1"/>
  <c r="M2912" i="1"/>
  <c r="F2912" i="1"/>
  <c r="D2912" i="1"/>
  <c r="B2912" i="1"/>
  <c r="O2911" i="1"/>
  <c r="N2911" i="1"/>
  <c r="M2911" i="1"/>
  <c r="F2911" i="1"/>
  <c r="D2911" i="1"/>
  <c r="B2911" i="1"/>
  <c r="O2910" i="1"/>
  <c r="N2910" i="1"/>
  <c r="M2910" i="1"/>
  <c r="F2910" i="1"/>
  <c r="D2910" i="1"/>
  <c r="B2910" i="1"/>
  <c r="O2909" i="1"/>
  <c r="N2909" i="1"/>
  <c r="M2909" i="1"/>
  <c r="F2909" i="1"/>
  <c r="D2909" i="1"/>
  <c r="B2909" i="1"/>
  <c r="O2908" i="1"/>
  <c r="N2908" i="1"/>
  <c r="M2908" i="1"/>
  <c r="F2908" i="1"/>
  <c r="D2908" i="1"/>
  <c r="B2908" i="1"/>
  <c r="O2907" i="1"/>
  <c r="N2907" i="1"/>
  <c r="M2907" i="1"/>
  <c r="F2907" i="1"/>
  <c r="D2907" i="1"/>
  <c r="B2907" i="1"/>
  <c r="O2906" i="1"/>
  <c r="N2906" i="1"/>
  <c r="M2906" i="1"/>
  <c r="F2906" i="1"/>
  <c r="D2906" i="1"/>
  <c r="B2906" i="1"/>
  <c r="O2905" i="1"/>
  <c r="N2905" i="1"/>
  <c r="M2905" i="1"/>
  <c r="F2905" i="1"/>
  <c r="D2905" i="1"/>
  <c r="B2905" i="1"/>
  <c r="O2904" i="1"/>
  <c r="N2904" i="1"/>
  <c r="M2904" i="1"/>
  <c r="F2904" i="1"/>
  <c r="D2904" i="1"/>
  <c r="B2904" i="1"/>
  <c r="O2903" i="1"/>
  <c r="N2903" i="1"/>
  <c r="M2903" i="1"/>
  <c r="F2903" i="1"/>
  <c r="D2903" i="1"/>
  <c r="B2903" i="1"/>
  <c r="O2902" i="1"/>
  <c r="N2902" i="1"/>
  <c r="M2902" i="1"/>
  <c r="F2902" i="1"/>
  <c r="D2902" i="1"/>
  <c r="B2902" i="1"/>
  <c r="O2901" i="1"/>
  <c r="N2901" i="1"/>
  <c r="M2901" i="1"/>
  <c r="F2901" i="1"/>
  <c r="D2901" i="1"/>
  <c r="B2901" i="1"/>
  <c r="O2900" i="1"/>
  <c r="N2900" i="1"/>
  <c r="M2900" i="1"/>
  <c r="F2900" i="1"/>
  <c r="D2900" i="1"/>
  <c r="B2900" i="1"/>
  <c r="O2899" i="1"/>
  <c r="N2899" i="1"/>
  <c r="M2899" i="1"/>
  <c r="F2899" i="1"/>
  <c r="D2899" i="1"/>
  <c r="B2899" i="1"/>
  <c r="O2898" i="1"/>
  <c r="N2898" i="1"/>
  <c r="M2898" i="1"/>
  <c r="F2898" i="1"/>
  <c r="D2898" i="1"/>
  <c r="B2898" i="1"/>
  <c r="O2897" i="1"/>
  <c r="N2897" i="1"/>
  <c r="M2897" i="1"/>
  <c r="F2897" i="1"/>
  <c r="D2897" i="1"/>
  <c r="B2897" i="1"/>
  <c r="O2896" i="1"/>
  <c r="N2896" i="1"/>
  <c r="M2896" i="1"/>
  <c r="F2896" i="1"/>
  <c r="D2896" i="1"/>
  <c r="B2896" i="1"/>
  <c r="O2895" i="1"/>
  <c r="N2895" i="1"/>
  <c r="M2895" i="1"/>
  <c r="F2895" i="1"/>
  <c r="D2895" i="1"/>
  <c r="B2895" i="1"/>
  <c r="O2894" i="1"/>
  <c r="N2894" i="1"/>
  <c r="M2894" i="1"/>
  <c r="F2894" i="1"/>
  <c r="D2894" i="1"/>
  <c r="B2894" i="1"/>
  <c r="O2893" i="1"/>
  <c r="N2893" i="1"/>
  <c r="M2893" i="1"/>
  <c r="F2893" i="1"/>
  <c r="D2893" i="1"/>
  <c r="B2893" i="1"/>
  <c r="O2892" i="1"/>
  <c r="N2892" i="1"/>
  <c r="M2892" i="1"/>
  <c r="F2892" i="1"/>
  <c r="D2892" i="1"/>
  <c r="B2892" i="1"/>
  <c r="O2891" i="1"/>
  <c r="N2891" i="1"/>
  <c r="M2891" i="1"/>
  <c r="F2891" i="1"/>
  <c r="D2891" i="1"/>
  <c r="B2891" i="1"/>
  <c r="O2890" i="1"/>
  <c r="N2890" i="1"/>
  <c r="M2890" i="1"/>
  <c r="F2890" i="1"/>
  <c r="D2890" i="1"/>
  <c r="B2890" i="1"/>
  <c r="O2889" i="1"/>
  <c r="N2889" i="1"/>
  <c r="M2889" i="1"/>
  <c r="F2889" i="1"/>
  <c r="D2889" i="1"/>
  <c r="B2889" i="1"/>
  <c r="O2888" i="1"/>
  <c r="N2888" i="1"/>
  <c r="M2888" i="1"/>
  <c r="F2888" i="1"/>
  <c r="D2888" i="1"/>
  <c r="B2888" i="1"/>
  <c r="O2887" i="1"/>
  <c r="N2887" i="1"/>
  <c r="M2887" i="1"/>
  <c r="F2887" i="1"/>
  <c r="D2887" i="1"/>
  <c r="B2887" i="1"/>
  <c r="O2886" i="1"/>
  <c r="N2886" i="1"/>
  <c r="M2886" i="1"/>
  <c r="F2886" i="1"/>
  <c r="D2886" i="1"/>
  <c r="B2886" i="1"/>
  <c r="O2885" i="1"/>
  <c r="N2885" i="1"/>
  <c r="M2885" i="1"/>
  <c r="F2885" i="1"/>
  <c r="D2885" i="1"/>
  <c r="B2885" i="1"/>
  <c r="O2884" i="1"/>
  <c r="N2884" i="1"/>
  <c r="M2884" i="1"/>
  <c r="F2884" i="1"/>
  <c r="D2884" i="1"/>
  <c r="B2884" i="1"/>
  <c r="O2883" i="1"/>
  <c r="N2883" i="1"/>
  <c r="M2883" i="1"/>
  <c r="F2883" i="1"/>
  <c r="D2883" i="1"/>
  <c r="B2883" i="1"/>
  <c r="O2882" i="1"/>
  <c r="N2882" i="1"/>
  <c r="M2882" i="1"/>
  <c r="F2882" i="1"/>
  <c r="D2882" i="1"/>
  <c r="B2882" i="1"/>
  <c r="O2881" i="1"/>
  <c r="N2881" i="1"/>
  <c r="M2881" i="1"/>
  <c r="F2881" i="1"/>
  <c r="D2881" i="1"/>
  <c r="B2881" i="1"/>
  <c r="O2880" i="1"/>
  <c r="N2880" i="1"/>
  <c r="M2880" i="1"/>
  <c r="F2880" i="1"/>
  <c r="D2880" i="1"/>
  <c r="B2880" i="1"/>
  <c r="O2879" i="1"/>
  <c r="N2879" i="1"/>
  <c r="M2879" i="1"/>
  <c r="F2879" i="1"/>
  <c r="D2879" i="1"/>
  <c r="B2879" i="1"/>
  <c r="O2878" i="1"/>
  <c r="N2878" i="1"/>
  <c r="M2878" i="1"/>
  <c r="F2878" i="1"/>
  <c r="D2878" i="1"/>
  <c r="B2878" i="1"/>
  <c r="O2877" i="1"/>
  <c r="N2877" i="1"/>
  <c r="M2877" i="1"/>
  <c r="F2877" i="1"/>
  <c r="D2877" i="1"/>
  <c r="B2877" i="1"/>
  <c r="O2876" i="1"/>
  <c r="N2876" i="1"/>
  <c r="M2876" i="1"/>
  <c r="F2876" i="1"/>
  <c r="D2876" i="1"/>
  <c r="B2876" i="1"/>
  <c r="O2875" i="1"/>
  <c r="N2875" i="1"/>
  <c r="M2875" i="1"/>
  <c r="F2875" i="1"/>
  <c r="D2875" i="1"/>
  <c r="B2875" i="1"/>
  <c r="O2874" i="1"/>
  <c r="N2874" i="1"/>
  <c r="M2874" i="1"/>
  <c r="F2874" i="1"/>
  <c r="D2874" i="1"/>
  <c r="B2874" i="1"/>
  <c r="O2873" i="1"/>
  <c r="N2873" i="1"/>
  <c r="M2873" i="1"/>
  <c r="F2873" i="1"/>
  <c r="D2873" i="1"/>
  <c r="B2873" i="1"/>
  <c r="O2872" i="1"/>
  <c r="N2872" i="1"/>
  <c r="M2872" i="1"/>
  <c r="F2872" i="1"/>
  <c r="D2872" i="1"/>
  <c r="B2872" i="1"/>
  <c r="O2871" i="1"/>
  <c r="N2871" i="1"/>
  <c r="M2871" i="1"/>
  <c r="F2871" i="1"/>
  <c r="D2871" i="1"/>
  <c r="B2871" i="1"/>
  <c r="O2870" i="1"/>
  <c r="N2870" i="1"/>
  <c r="M2870" i="1"/>
  <c r="F2870" i="1"/>
  <c r="D2870" i="1"/>
  <c r="B2870" i="1"/>
  <c r="O2869" i="1"/>
  <c r="N2869" i="1"/>
  <c r="M2869" i="1"/>
  <c r="F2869" i="1"/>
  <c r="D2869" i="1"/>
  <c r="B2869" i="1"/>
  <c r="O2868" i="1"/>
  <c r="N2868" i="1"/>
  <c r="M2868" i="1"/>
  <c r="F2868" i="1"/>
  <c r="D2868" i="1"/>
  <c r="B2868" i="1"/>
  <c r="O2867" i="1"/>
  <c r="N2867" i="1"/>
  <c r="M2867" i="1"/>
  <c r="F2867" i="1"/>
  <c r="D2867" i="1"/>
  <c r="B2867" i="1"/>
  <c r="O2866" i="1"/>
  <c r="N2866" i="1"/>
  <c r="M2866" i="1"/>
  <c r="F2866" i="1"/>
  <c r="D2866" i="1"/>
  <c r="B2866" i="1"/>
  <c r="O2865" i="1"/>
  <c r="N2865" i="1"/>
  <c r="M2865" i="1"/>
  <c r="F2865" i="1"/>
  <c r="D2865" i="1"/>
  <c r="B2865" i="1"/>
  <c r="O2864" i="1"/>
  <c r="N2864" i="1"/>
  <c r="M2864" i="1"/>
  <c r="F2864" i="1"/>
  <c r="D2864" i="1"/>
  <c r="B2864" i="1"/>
  <c r="O2863" i="1"/>
  <c r="N2863" i="1"/>
  <c r="M2863" i="1"/>
  <c r="F2863" i="1"/>
  <c r="D2863" i="1"/>
  <c r="B2863" i="1"/>
  <c r="O2862" i="1"/>
  <c r="N2862" i="1"/>
  <c r="M2862" i="1"/>
  <c r="F2862" i="1"/>
  <c r="D2862" i="1"/>
  <c r="B2862" i="1"/>
  <c r="O2861" i="1"/>
  <c r="N2861" i="1"/>
  <c r="M2861" i="1"/>
  <c r="F2861" i="1"/>
  <c r="D2861" i="1"/>
  <c r="B2861" i="1"/>
  <c r="O2860" i="1"/>
  <c r="N2860" i="1"/>
  <c r="M2860" i="1"/>
  <c r="F2860" i="1"/>
  <c r="D2860" i="1"/>
  <c r="B2860" i="1"/>
  <c r="O2859" i="1"/>
  <c r="N2859" i="1"/>
  <c r="M2859" i="1"/>
  <c r="F2859" i="1"/>
  <c r="D2859" i="1"/>
  <c r="B2859" i="1"/>
  <c r="O2858" i="1"/>
  <c r="N2858" i="1"/>
  <c r="M2858" i="1"/>
  <c r="F2858" i="1"/>
  <c r="D2858" i="1"/>
  <c r="B2858" i="1"/>
  <c r="O2857" i="1"/>
  <c r="N2857" i="1"/>
  <c r="M2857" i="1"/>
  <c r="F2857" i="1"/>
  <c r="D2857" i="1"/>
  <c r="B2857" i="1"/>
  <c r="O2856" i="1"/>
  <c r="N2856" i="1"/>
  <c r="M2856" i="1"/>
  <c r="F2856" i="1"/>
  <c r="D2856" i="1"/>
  <c r="B2856" i="1"/>
  <c r="O2855" i="1"/>
  <c r="N2855" i="1"/>
  <c r="M2855" i="1"/>
  <c r="F2855" i="1"/>
  <c r="D2855" i="1"/>
  <c r="B2855" i="1"/>
  <c r="O2854" i="1"/>
  <c r="N2854" i="1"/>
  <c r="M2854" i="1"/>
  <c r="F2854" i="1"/>
  <c r="D2854" i="1"/>
  <c r="B2854" i="1"/>
  <c r="O2853" i="1"/>
  <c r="N2853" i="1"/>
  <c r="M2853" i="1"/>
  <c r="F2853" i="1"/>
  <c r="D2853" i="1"/>
  <c r="B2853" i="1"/>
  <c r="O2852" i="1"/>
  <c r="N2852" i="1"/>
  <c r="M2852" i="1"/>
  <c r="F2852" i="1"/>
  <c r="D2852" i="1"/>
  <c r="B2852" i="1"/>
  <c r="O2851" i="1"/>
  <c r="N2851" i="1"/>
  <c r="M2851" i="1"/>
  <c r="F2851" i="1"/>
  <c r="D2851" i="1"/>
  <c r="B2851" i="1"/>
  <c r="O2850" i="1"/>
  <c r="N2850" i="1"/>
  <c r="M2850" i="1"/>
  <c r="F2850" i="1"/>
  <c r="D2850" i="1"/>
  <c r="B2850" i="1"/>
  <c r="O2849" i="1"/>
  <c r="N2849" i="1"/>
  <c r="M2849" i="1"/>
  <c r="F2849" i="1"/>
  <c r="D2849" i="1"/>
  <c r="B2849" i="1"/>
  <c r="O2848" i="1"/>
  <c r="N2848" i="1"/>
  <c r="M2848" i="1"/>
  <c r="F2848" i="1"/>
  <c r="D2848" i="1"/>
  <c r="B2848" i="1"/>
  <c r="O2847" i="1"/>
  <c r="N2847" i="1"/>
  <c r="M2847" i="1"/>
  <c r="F2847" i="1"/>
  <c r="D2847" i="1"/>
  <c r="B2847" i="1"/>
  <c r="O2846" i="1"/>
  <c r="N2846" i="1"/>
  <c r="M2846" i="1"/>
  <c r="F2846" i="1"/>
  <c r="D2846" i="1"/>
  <c r="B2846" i="1"/>
  <c r="O2845" i="1"/>
  <c r="N2845" i="1"/>
  <c r="M2845" i="1"/>
  <c r="F2845" i="1"/>
  <c r="D2845" i="1"/>
  <c r="B2845" i="1"/>
  <c r="O2844" i="1"/>
  <c r="N2844" i="1"/>
  <c r="M2844" i="1"/>
  <c r="F2844" i="1"/>
  <c r="D2844" i="1"/>
  <c r="B2844" i="1"/>
  <c r="O2843" i="1"/>
  <c r="N2843" i="1"/>
  <c r="M2843" i="1"/>
  <c r="F2843" i="1"/>
  <c r="D2843" i="1"/>
  <c r="B2843" i="1"/>
  <c r="O2842" i="1"/>
  <c r="N2842" i="1"/>
  <c r="M2842" i="1"/>
  <c r="F2842" i="1"/>
  <c r="D2842" i="1"/>
  <c r="B2842" i="1"/>
  <c r="O2841" i="1"/>
  <c r="N2841" i="1"/>
  <c r="M2841" i="1"/>
  <c r="F2841" i="1"/>
  <c r="D2841" i="1"/>
  <c r="B2841" i="1"/>
  <c r="O2840" i="1"/>
  <c r="N2840" i="1"/>
  <c r="M2840" i="1"/>
  <c r="F2840" i="1"/>
  <c r="D2840" i="1"/>
  <c r="B2840" i="1"/>
  <c r="O2839" i="1"/>
  <c r="N2839" i="1"/>
  <c r="M2839" i="1"/>
  <c r="F2839" i="1"/>
  <c r="D2839" i="1"/>
  <c r="B2839" i="1"/>
  <c r="O2838" i="1"/>
  <c r="N2838" i="1"/>
  <c r="M2838" i="1"/>
  <c r="F2838" i="1"/>
  <c r="D2838" i="1"/>
  <c r="B2838" i="1"/>
  <c r="O2837" i="1"/>
  <c r="N2837" i="1"/>
  <c r="M2837" i="1"/>
  <c r="F2837" i="1"/>
  <c r="D2837" i="1"/>
  <c r="B2837" i="1"/>
  <c r="O2836" i="1"/>
  <c r="N2836" i="1"/>
  <c r="M2836" i="1"/>
  <c r="F2836" i="1"/>
  <c r="D2836" i="1"/>
  <c r="B2836" i="1"/>
  <c r="O2835" i="1"/>
  <c r="N2835" i="1"/>
  <c r="M2835" i="1"/>
  <c r="F2835" i="1"/>
  <c r="D2835" i="1"/>
  <c r="B2835" i="1"/>
  <c r="O2834" i="1"/>
  <c r="N2834" i="1"/>
  <c r="M2834" i="1"/>
  <c r="F2834" i="1"/>
  <c r="D2834" i="1"/>
  <c r="B2834" i="1"/>
  <c r="O2833" i="1"/>
  <c r="N2833" i="1"/>
  <c r="M2833" i="1"/>
  <c r="F2833" i="1"/>
  <c r="D2833" i="1"/>
  <c r="B2833" i="1"/>
  <c r="O2832" i="1"/>
  <c r="N2832" i="1"/>
  <c r="M2832" i="1"/>
  <c r="F2832" i="1"/>
  <c r="D2832" i="1"/>
  <c r="B2832" i="1"/>
  <c r="O2831" i="1"/>
  <c r="N2831" i="1"/>
  <c r="M2831" i="1"/>
  <c r="F2831" i="1"/>
  <c r="D2831" i="1"/>
  <c r="B2831" i="1"/>
  <c r="O2830" i="1"/>
  <c r="N2830" i="1"/>
  <c r="M2830" i="1"/>
  <c r="F2830" i="1"/>
  <c r="D2830" i="1"/>
  <c r="B2830" i="1"/>
  <c r="O2829" i="1"/>
  <c r="N2829" i="1"/>
  <c r="M2829" i="1"/>
  <c r="F2829" i="1"/>
  <c r="D2829" i="1"/>
  <c r="B2829" i="1"/>
  <c r="O2828" i="1"/>
  <c r="N2828" i="1"/>
  <c r="M2828" i="1"/>
  <c r="F2828" i="1"/>
  <c r="D2828" i="1"/>
  <c r="B2828" i="1"/>
  <c r="O2827" i="1"/>
  <c r="N2827" i="1"/>
  <c r="M2827" i="1"/>
  <c r="F2827" i="1"/>
  <c r="D2827" i="1"/>
  <c r="B2827" i="1"/>
  <c r="O2826" i="1"/>
  <c r="N2826" i="1"/>
  <c r="M2826" i="1"/>
  <c r="F2826" i="1"/>
  <c r="D2826" i="1"/>
  <c r="B2826" i="1"/>
  <c r="O2825" i="1"/>
  <c r="N2825" i="1"/>
  <c r="M2825" i="1"/>
  <c r="F2825" i="1"/>
  <c r="D2825" i="1"/>
  <c r="B2825" i="1"/>
  <c r="O2824" i="1"/>
  <c r="N2824" i="1"/>
  <c r="M2824" i="1"/>
  <c r="F2824" i="1"/>
  <c r="D2824" i="1"/>
  <c r="B2824" i="1"/>
  <c r="O2823" i="1"/>
  <c r="N2823" i="1"/>
  <c r="M2823" i="1"/>
  <c r="F2823" i="1"/>
  <c r="D2823" i="1"/>
  <c r="B2823" i="1"/>
  <c r="O2822" i="1"/>
  <c r="N2822" i="1"/>
  <c r="M2822" i="1"/>
  <c r="F2822" i="1"/>
  <c r="D2822" i="1"/>
  <c r="B2822" i="1"/>
  <c r="O2821" i="1"/>
  <c r="N2821" i="1"/>
  <c r="M2821" i="1"/>
  <c r="F2821" i="1"/>
  <c r="D2821" i="1"/>
  <c r="B2821" i="1"/>
  <c r="O2820" i="1"/>
  <c r="N2820" i="1"/>
  <c r="M2820" i="1"/>
  <c r="F2820" i="1"/>
  <c r="D2820" i="1"/>
  <c r="B2820" i="1"/>
  <c r="O2819" i="1"/>
  <c r="N2819" i="1"/>
  <c r="M2819" i="1"/>
  <c r="F2819" i="1"/>
  <c r="D2819" i="1"/>
  <c r="B2819" i="1"/>
  <c r="O2818" i="1"/>
  <c r="N2818" i="1"/>
  <c r="M2818" i="1"/>
  <c r="F2818" i="1"/>
  <c r="D2818" i="1"/>
  <c r="B2818" i="1"/>
  <c r="O2817" i="1"/>
  <c r="N2817" i="1"/>
  <c r="M2817" i="1"/>
  <c r="F2817" i="1"/>
  <c r="D2817" i="1"/>
  <c r="B2817" i="1"/>
  <c r="O2816" i="1"/>
  <c r="N2816" i="1"/>
  <c r="M2816" i="1"/>
  <c r="F2816" i="1"/>
  <c r="D2816" i="1"/>
  <c r="B2816" i="1"/>
  <c r="O2815" i="1"/>
  <c r="N2815" i="1"/>
  <c r="M2815" i="1"/>
  <c r="F2815" i="1"/>
  <c r="D2815" i="1"/>
  <c r="B2815" i="1"/>
  <c r="O2814" i="1"/>
  <c r="N2814" i="1"/>
  <c r="M2814" i="1"/>
  <c r="F2814" i="1"/>
  <c r="D2814" i="1"/>
  <c r="B2814" i="1"/>
  <c r="O2813" i="1"/>
  <c r="N2813" i="1"/>
  <c r="M2813" i="1"/>
  <c r="F2813" i="1"/>
  <c r="D2813" i="1"/>
  <c r="B2813" i="1"/>
  <c r="O2812" i="1"/>
  <c r="N2812" i="1"/>
  <c r="M2812" i="1"/>
  <c r="F2812" i="1"/>
  <c r="D2812" i="1"/>
  <c r="B2812" i="1"/>
  <c r="O2811" i="1"/>
  <c r="N2811" i="1"/>
  <c r="M2811" i="1"/>
  <c r="F2811" i="1"/>
  <c r="D2811" i="1"/>
  <c r="B2811" i="1"/>
  <c r="O2810" i="1"/>
  <c r="N2810" i="1"/>
  <c r="M2810" i="1"/>
  <c r="F2810" i="1"/>
  <c r="D2810" i="1"/>
  <c r="B2810" i="1"/>
  <c r="O2809" i="1"/>
  <c r="N2809" i="1"/>
  <c r="M2809" i="1"/>
  <c r="F2809" i="1"/>
  <c r="D2809" i="1"/>
  <c r="B2809" i="1"/>
  <c r="O2808" i="1"/>
  <c r="N2808" i="1"/>
  <c r="M2808" i="1"/>
  <c r="F2808" i="1"/>
  <c r="D2808" i="1"/>
  <c r="B2808" i="1"/>
  <c r="O2807" i="1"/>
  <c r="N2807" i="1"/>
  <c r="M2807" i="1"/>
  <c r="F2807" i="1"/>
  <c r="D2807" i="1"/>
  <c r="B2807" i="1"/>
  <c r="O2806" i="1"/>
  <c r="N2806" i="1"/>
  <c r="M2806" i="1"/>
  <c r="F2806" i="1"/>
  <c r="D2806" i="1"/>
  <c r="B2806" i="1"/>
  <c r="O2805" i="1"/>
  <c r="N2805" i="1"/>
  <c r="M2805" i="1"/>
  <c r="F2805" i="1"/>
  <c r="D2805" i="1"/>
  <c r="B2805" i="1"/>
  <c r="O2804" i="1"/>
  <c r="N2804" i="1"/>
  <c r="M2804" i="1"/>
  <c r="F2804" i="1"/>
  <c r="D2804" i="1"/>
  <c r="B2804" i="1"/>
  <c r="O2803" i="1"/>
  <c r="N2803" i="1"/>
  <c r="M2803" i="1"/>
  <c r="F2803" i="1"/>
  <c r="D2803" i="1"/>
  <c r="B2803" i="1"/>
  <c r="O2802" i="1"/>
  <c r="N2802" i="1"/>
  <c r="M2802" i="1"/>
  <c r="F2802" i="1"/>
  <c r="D2802" i="1"/>
  <c r="B2802" i="1"/>
  <c r="O2801" i="1"/>
  <c r="N2801" i="1"/>
  <c r="M2801" i="1"/>
  <c r="F2801" i="1"/>
  <c r="D2801" i="1"/>
  <c r="B2801" i="1"/>
  <c r="O2800" i="1"/>
  <c r="N2800" i="1"/>
  <c r="M2800" i="1"/>
  <c r="F2800" i="1"/>
  <c r="D2800" i="1"/>
  <c r="B2800" i="1"/>
  <c r="O2799" i="1"/>
  <c r="N2799" i="1"/>
  <c r="M2799" i="1"/>
  <c r="F2799" i="1"/>
  <c r="D2799" i="1"/>
  <c r="B2799" i="1"/>
  <c r="O2798" i="1"/>
  <c r="N2798" i="1"/>
  <c r="M2798" i="1"/>
  <c r="F2798" i="1"/>
  <c r="D2798" i="1"/>
  <c r="B2798" i="1"/>
  <c r="O2797" i="1"/>
  <c r="N2797" i="1"/>
  <c r="M2797" i="1"/>
  <c r="F2797" i="1"/>
  <c r="D2797" i="1"/>
  <c r="B2797" i="1"/>
  <c r="O2796" i="1"/>
  <c r="N2796" i="1"/>
  <c r="M2796" i="1"/>
  <c r="F2796" i="1"/>
  <c r="D2796" i="1"/>
  <c r="B2796" i="1"/>
  <c r="O2795" i="1"/>
  <c r="N2795" i="1"/>
  <c r="M2795" i="1"/>
  <c r="F2795" i="1"/>
  <c r="D2795" i="1"/>
  <c r="B2795" i="1"/>
  <c r="O2794" i="1"/>
  <c r="N2794" i="1"/>
  <c r="M2794" i="1"/>
  <c r="F2794" i="1"/>
  <c r="D2794" i="1"/>
  <c r="B2794" i="1"/>
  <c r="O2793" i="1"/>
  <c r="N2793" i="1"/>
  <c r="M2793" i="1"/>
  <c r="F2793" i="1"/>
  <c r="D2793" i="1"/>
  <c r="B2793" i="1"/>
  <c r="O2792" i="1"/>
  <c r="N2792" i="1"/>
  <c r="M2792" i="1"/>
  <c r="F2792" i="1"/>
  <c r="D2792" i="1"/>
  <c r="B2792" i="1"/>
  <c r="O2791" i="1"/>
  <c r="N2791" i="1"/>
  <c r="M2791" i="1"/>
  <c r="F2791" i="1"/>
  <c r="D2791" i="1"/>
  <c r="B2791" i="1"/>
  <c r="O2790" i="1"/>
  <c r="N2790" i="1"/>
  <c r="M2790" i="1"/>
  <c r="F2790" i="1"/>
  <c r="D2790" i="1"/>
  <c r="B2790" i="1"/>
  <c r="O2789" i="1"/>
  <c r="N2789" i="1"/>
  <c r="M2789" i="1"/>
  <c r="F2789" i="1"/>
  <c r="D2789" i="1"/>
  <c r="B2789" i="1"/>
  <c r="O2788" i="1"/>
  <c r="N2788" i="1"/>
  <c r="M2788" i="1"/>
  <c r="F2788" i="1"/>
  <c r="D2788" i="1"/>
  <c r="B2788" i="1"/>
  <c r="O2787" i="1"/>
  <c r="N2787" i="1"/>
  <c r="M2787" i="1"/>
  <c r="F2787" i="1"/>
  <c r="D2787" i="1"/>
  <c r="B2787" i="1"/>
  <c r="O2786" i="1"/>
  <c r="N2786" i="1"/>
  <c r="M2786" i="1"/>
  <c r="F2786" i="1"/>
  <c r="D2786" i="1"/>
  <c r="B2786" i="1"/>
  <c r="O2785" i="1"/>
  <c r="N2785" i="1"/>
  <c r="M2785" i="1"/>
  <c r="F2785" i="1"/>
  <c r="D2785" i="1"/>
  <c r="B2785" i="1"/>
  <c r="O2784" i="1"/>
  <c r="N2784" i="1"/>
  <c r="M2784" i="1"/>
  <c r="F2784" i="1"/>
  <c r="D2784" i="1"/>
  <c r="B2784" i="1"/>
  <c r="O2783" i="1"/>
  <c r="N2783" i="1"/>
  <c r="M2783" i="1"/>
  <c r="F2783" i="1"/>
  <c r="D2783" i="1"/>
  <c r="B2783" i="1"/>
  <c r="O2782" i="1"/>
  <c r="N2782" i="1"/>
  <c r="M2782" i="1"/>
  <c r="F2782" i="1"/>
  <c r="D2782" i="1"/>
  <c r="B2782" i="1"/>
  <c r="O2781" i="1"/>
  <c r="N2781" i="1"/>
  <c r="M2781" i="1"/>
  <c r="F2781" i="1"/>
  <c r="D2781" i="1"/>
  <c r="B2781" i="1"/>
  <c r="O2780" i="1"/>
  <c r="N2780" i="1"/>
  <c r="M2780" i="1"/>
  <c r="F2780" i="1"/>
  <c r="D2780" i="1"/>
  <c r="B2780" i="1"/>
  <c r="O2779" i="1"/>
  <c r="N2779" i="1"/>
  <c r="M2779" i="1"/>
  <c r="F2779" i="1"/>
  <c r="D2779" i="1"/>
  <c r="B2779" i="1"/>
  <c r="O2778" i="1"/>
  <c r="N2778" i="1"/>
  <c r="M2778" i="1"/>
  <c r="F2778" i="1"/>
  <c r="D2778" i="1"/>
  <c r="B2778" i="1"/>
  <c r="O2777" i="1"/>
  <c r="N2777" i="1"/>
  <c r="M2777" i="1"/>
  <c r="F2777" i="1"/>
  <c r="D2777" i="1"/>
  <c r="B2777" i="1"/>
  <c r="O2776" i="1"/>
  <c r="N2776" i="1"/>
  <c r="M2776" i="1"/>
  <c r="F2776" i="1"/>
  <c r="D2776" i="1"/>
  <c r="B2776" i="1"/>
  <c r="O2775" i="1"/>
  <c r="N2775" i="1"/>
  <c r="M2775" i="1"/>
  <c r="F2775" i="1"/>
  <c r="D2775" i="1"/>
  <c r="B2775" i="1"/>
  <c r="O2774" i="1"/>
  <c r="N2774" i="1"/>
  <c r="M2774" i="1"/>
  <c r="F2774" i="1"/>
  <c r="D2774" i="1"/>
  <c r="B2774" i="1"/>
  <c r="O2773" i="1"/>
  <c r="N2773" i="1"/>
  <c r="M2773" i="1"/>
  <c r="F2773" i="1"/>
  <c r="D2773" i="1"/>
  <c r="B2773" i="1"/>
  <c r="O2772" i="1"/>
  <c r="N2772" i="1"/>
  <c r="M2772" i="1"/>
  <c r="F2772" i="1"/>
  <c r="D2772" i="1"/>
  <c r="B2772" i="1"/>
  <c r="O2771" i="1"/>
  <c r="N2771" i="1"/>
  <c r="M2771" i="1"/>
  <c r="F2771" i="1"/>
  <c r="D2771" i="1"/>
  <c r="B2771" i="1"/>
  <c r="O2770" i="1"/>
  <c r="N2770" i="1"/>
  <c r="M2770" i="1"/>
  <c r="F2770" i="1"/>
  <c r="D2770" i="1"/>
  <c r="B2770" i="1"/>
  <c r="O2769" i="1"/>
  <c r="N2769" i="1"/>
  <c r="M2769" i="1"/>
  <c r="F2769" i="1"/>
  <c r="D2769" i="1"/>
  <c r="B2769" i="1"/>
  <c r="O2768" i="1"/>
  <c r="N2768" i="1"/>
  <c r="M2768" i="1"/>
  <c r="F2768" i="1"/>
  <c r="D2768" i="1"/>
  <c r="B2768" i="1"/>
  <c r="O2767" i="1"/>
  <c r="N2767" i="1"/>
  <c r="M2767" i="1"/>
  <c r="F2767" i="1"/>
  <c r="D2767" i="1"/>
  <c r="B2767" i="1"/>
  <c r="O2766" i="1"/>
  <c r="N2766" i="1"/>
  <c r="M2766" i="1"/>
  <c r="F2766" i="1"/>
  <c r="D2766" i="1"/>
  <c r="B2766" i="1"/>
  <c r="O2765" i="1"/>
  <c r="N2765" i="1"/>
  <c r="M2765" i="1"/>
  <c r="F2765" i="1"/>
  <c r="D2765" i="1"/>
  <c r="B2765" i="1"/>
  <c r="O2764" i="1"/>
  <c r="N2764" i="1"/>
  <c r="M2764" i="1"/>
  <c r="F2764" i="1"/>
  <c r="D2764" i="1"/>
  <c r="B2764" i="1"/>
  <c r="O2763" i="1"/>
  <c r="N2763" i="1"/>
  <c r="M2763" i="1"/>
  <c r="F2763" i="1"/>
  <c r="D2763" i="1"/>
  <c r="B2763" i="1"/>
  <c r="O2762" i="1"/>
  <c r="N2762" i="1"/>
  <c r="M2762" i="1"/>
  <c r="F2762" i="1"/>
  <c r="D2762" i="1"/>
  <c r="B2762" i="1"/>
  <c r="O2761" i="1"/>
  <c r="N2761" i="1"/>
  <c r="M2761" i="1"/>
  <c r="F2761" i="1"/>
  <c r="D2761" i="1"/>
  <c r="B2761" i="1"/>
  <c r="O2760" i="1"/>
  <c r="N2760" i="1"/>
  <c r="M2760" i="1"/>
  <c r="F2760" i="1"/>
  <c r="D2760" i="1"/>
  <c r="B2760" i="1"/>
  <c r="O2759" i="1"/>
  <c r="N2759" i="1"/>
  <c r="M2759" i="1"/>
  <c r="F2759" i="1"/>
  <c r="D2759" i="1"/>
  <c r="B2759" i="1"/>
  <c r="O2758" i="1"/>
  <c r="N2758" i="1"/>
  <c r="M2758" i="1"/>
  <c r="F2758" i="1"/>
  <c r="D2758" i="1"/>
  <c r="B2758" i="1"/>
  <c r="O2757" i="1"/>
  <c r="N2757" i="1"/>
  <c r="M2757" i="1"/>
  <c r="F2757" i="1"/>
  <c r="D2757" i="1"/>
  <c r="B2757" i="1"/>
  <c r="O2756" i="1"/>
  <c r="N2756" i="1"/>
  <c r="M2756" i="1"/>
  <c r="F2756" i="1"/>
  <c r="D2756" i="1"/>
  <c r="B2756" i="1"/>
  <c r="O2755" i="1"/>
  <c r="N2755" i="1"/>
  <c r="M2755" i="1"/>
  <c r="F2755" i="1"/>
  <c r="D2755" i="1"/>
  <c r="B2755" i="1"/>
  <c r="O2754" i="1"/>
  <c r="N2754" i="1"/>
  <c r="M2754" i="1"/>
  <c r="F2754" i="1"/>
  <c r="D2754" i="1"/>
  <c r="B2754" i="1"/>
  <c r="O2753" i="1"/>
  <c r="N2753" i="1"/>
  <c r="M2753" i="1"/>
  <c r="F2753" i="1"/>
  <c r="D2753" i="1"/>
  <c r="B2753" i="1"/>
  <c r="O2752" i="1"/>
  <c r="N2752" i="1"/>
  <c r="M2752" i="1"/>
  <c r="F2752" i="1"/>
  <c r="D2752" i="1"/>
  <c r="B2752" i="1"/>
  <c r="O2751" i="1"/>
  <c r="N2751" i="1"/>
  <c r="M2751" i="1"/>
  <c r="F2751" i="1"/>
  <c r="D2751" i="1"/>
  <c r="B2751" i="1"/>
  <c r="O2750" i="1"/>
  <c r="N2750" i="1"/>
  <c r="M2750" i="1"/>
  <c r="F2750" i="1"/>
  <c r="D2750" i="1"/>
  <c r="B2750" i="1"/>
  <c r="O2749" i="1"/>
  <c r="N2749" i="1"/>
  <c r="M2749" i="1"/>
  <c r="F2749" i="1"/>
  <c r="D2749" i="1"/>
  <c r="B2749" i="1"/>
  <c r="O2748" i="1"/>
  <c r="N2748" i="1"/>
  <c r="M2748" i="1"/>
  <c r="F2748" i="1"/>
  <c r="D2748" i="1"/>
  <c r="B2748" i="1"/>
  <c r="O2747" i="1"/>
  <c r="N2747" i="1"/>
  <c r="M2747" i="1"/>
  <c r="F2747" i="1"/>
  <c r="D2747" i="1"/>
  <c r="B2747" i="1"/>
  <c r="O2746" i="1"/>
  <c r="N2746" i="1"/>
  <c r="M2746" i="1"/>
  <c r="F2746" i="1"/>
  <c r="D2746" i="1"/>
  <c r="B2746" i="1"/>
  <c r="O2745" i="1"/>
  <c r="N2745" i="1"/>
  <c r="M2745" i="1"/>
  <c r="F2745" i="1"/>
  <c r="D2745" i="1"/>
  <c r="B2745" i="1"/>
  <c r="O2744" i="1"/>
  <c r="N2744" i="1"/>
  <c r="M2744" i="1"/>
  <c r="F2744" i="1"/>
  <c r="D2744" i="1"/>
  <c r="B2744" i="1"/>
  <c r="O2743" i="1"/>
  <c r="N2743" i="1"/>
  <c r="M2743" i="1"/>
  <c r="F2743" i="1"/>
  <c r="D2743" i="1"/>
  <c r="B2743" i="1"/>
  <c r="O2742" i="1"/>
  <c r="N2742" i="1"/>
  <c r="M2742" i="1"/>
  <c r="F2742" i="1"/>
  <c r="D2742" i="1"/>
  <c r="B2742" i="1"/>
  <c r="O2741" i="1"/>
  <c r="N2741" i="1"/>
  <c r="M2741" i="1"/>
  <c r="F2741" i="1"/>
  <c r="D2741" i="1"/>
  <c r="B2741" i="1"/>
  <c r="O2740" i="1"/>
  <c r="N2740" i="1"/>
  <c r="M2740" i="1"/>
  <c r="F2740" i="1"/>
  <c r="D2740" i="1"/>
  <c r="B2740" i="1"/>
  <c r="O2739" i="1"/>
  <c r="N2739" i="1"/>
  <c r="M2739" i="1"/>
  <c r="F2739" i="1"/>
  <c r="D2739" i="1"/>
  <c r="B2739" i="1"/>
  <c r="O2738" i="1"/>
  <c r="N2738" i="1"/>
  <c r="M2738" i="1"/>
  <c r="F2738" i="1"/>
  <c r="D2738" i="1"/>
  <c r="B2738" i="1"/>
  <c r="O2737" i="1"/>
  <c r="N2737" i="1"/>
  <c r="M2737" i="1"/>
  <c r="F2737" i="1"/>
  <c r="D2737" i="1"/>
  <c r="B2737" i="1"/>
  <c r="O2736" i="1"/>
  <c r="N2736" i="1"/>
  <c r="M2736" i="1"/>
  <c r="F2736" i="1"/>
  <c r="D2736" i="1"/>
  <c r="B2736" i="1"/>
  <c r="O2735" i="1"/>
  <c r="N2735" i="1"/>
  <c r="M2735" i="1"/>
  <c r="F2735" i="1"/>
  <c r="D2735" i="1"/>
  <c r="B2735" i="1"/>
  <c r="O2734" i="1"/>
  <c r="N2734" i="1"/>
  <c r="M2734" i="1"/>
  <c r="F2734" i="1"/>
  <c r="D2734" i="1"/>
  <c r="B2734" i="1"/>
  <c r="O2733" i="1"/>
  <c r="N2733" i="1"/>
  <c r="M2733" i="1"/>
  <c r="F2733" i="1"/>
  <c r="D2733" i="1"/>
  <c r="B2733" i="1"/>
  <c r="O2732" i="1"/>
  <c r="N2732" i="1"/>
  <c r="M2732" i="1"/>
  <c r="F2732" i="1"/>
  <c r="D2732" i="1"/>
  <c r="B2732" i="1"/>
  <c r="O2731" i="1"/>
  <c r="N2731" i="1"/>
  <c r="M2731" i="1"/>
  <c r="F2731" i="1"/>
  <c r="D2731" i="1"/>
  <c r="B2731" i="1"/>
  <c r="O2730" i="1"/>
  <c r="N2730" i="1"/>
  <c r="M2730" i="1"/>
  <c r="F2730" i="1"/>
  <c r="D2730" i="1"/>
  <c r="B2730" i="1"/>
  <c r="O2729" i="1"/>
  <c r="N2729" i="1"/>
  <c r="M2729" i="1"/>
  <c r="F2729" i="1"/>
  <c r="D2729" i="1"/>
  <c r="B2729" i="1"/>
  <c r="O2728" i="1"/>
  <c r="N2728" i="1"/>
  <c r="M2728" i="1"/>
  <c r="F2728" i="1"/>
  <c r="D2728" i="1"/>
  <c r="B2728" i="1"/>
  <c r="O2727" i="1"/>
  <c r="N2727" i="1"/>
  <c r="M2727" i="1"/>
  <c r="F2727" i="1"/>
  <c r="D2727" i="1"/>
  <c r="B2727" i="1"/>
  <c r="O2726" i="1"/>
  <c r="N2726" i="1"/>
  <c r="M2726" i="1"/>
  <c r="F2726" i="1"/>
  <c r="D2726" i="1"/>
  <c r="B2726" i="1"/>
  <c r="O2725" i="1"/>
  <c r="N2725" i="1"/>
  <c r="M2725" i="1"/>
  <c r="F2725" i="1"/>
  <c r="D2725" i="1"/>
  <c r="B2725" i="1"/>
  <c r="O2724" i="1"/>
  <c r="N2724" i="1"/>
  <c r="M2724" i="1"/>
  <c r="F2724" i="1"/>
  <c r="D2724" i="1"/>
  <c r="B2724" i="1"/>
  <c r="O2723" i="1"/>
  <c r="N2723" i="1"/>
  <c r="M2723" i="1"/>
  <c r="F2723" i="1"/>
  <c r="D2723" i="1"/>
  <c r="B2723" i="1"/>
  <c r="O2722" i="1"/>
  <c r="N2722" i="1"/>
  <c r="M2722" i="1"/>
  <c r="F2722" i="1"/>
  <c r="D2722" i="1"/>
  <c r="B2722" i="1"/>
  <c r="O2721" i="1"/>
  <c r="N2721" i="1"/>
  <c r="M2721" i="1"/>
  <c r="F2721" i="1"/>
  <c r="D2721" i="1"/>
  <c r="B2721" i="1"/>
  <c r="O2720" i="1"/>
  <c r="N2720" i="1"/>
  <c r="M2720" i="1"/>
  <c r="F2720" i="1"/>
  <c r="D2720" i="1"/>
  <c r="B2720" i="1"/>
  <c r="O2719" i="1"/>
  <c r="N2719" i="1"/>
  <c r="M2719" i="1"/>
  <c r="F2719" i="1"/>
  <c r="D2719" i="1"/>
  <c r="B2719" i="1"/>
  <c r="O2718" i="1"/>
  <c r="N2718" i="1"/>
  <c r="M2718" i="1"/>
  <c r="F2718" i="1"/>
  <c r="D2718" i="1"/>
  <c r="B2718" i="1"/>
  <c r="O2717" i="1"/>
  <c r="N2717" i="1"/>
  <c r="M2717" i="1"/>
  <c r="F2717" i="1"/>
  <c r="D2717" i="1"/>
  <c r="B2717" i="1"/>
  <c r="O2716" i="1"/>
  <c r="N2716" i="1"/>
  <c r="M2716" i="1"/>
  <c r="F2716" i="1"/>
  <c r="D2716" i="1"/>
  <c r="B2716" i="1"/>
  <c r="O2715" i="1"/>
  <c r="N2715" i="1"/>
  <c r="M2715" i="1"/>
  <c r="F2715" i="1"/>
  <c r="D2715" i="1"/>
  <c r="B2715" i="1"/>
  <c r="O2714" i="1"/>
  <c r="N2714" i="1"/>
  <c r="M2714" i="1"/>
  <c r="F2714" i="1"/>
  <c r="D2714" i="1"/>
  <c r="B2714" i="1"/>
  <c r="O2713" i="1"/>
  <c r="N2713" i="1"/>
  <c r="M2713" i="1"/>
  <c r="F2713" i="1"/>
  <c r="D2713" i="1"/>
  <c r="B2713" i="1"/>
  <c r="O2712" i="1"/>
  <c r="N2712" i="1"/>
  <c r="M2712" i="1"/>
  <c r="F2712" i="1"/>
  <c r="D2712" i="1"/>
  <c r="B2712" i="1"/>
  <c r="O2711" i="1"/>
  <c r="N2711" i="1"/>
  <c r="M2711" i="1"/>
  <c r="F2711" i="1"/>
  <c r="D2711" i="1"/>
  <c r="B2711" i="1"/>
  <c r="O2710" i="1"/>
  <c r="N2710" i="1"/>
  <c r="M2710" i="1"/>
  <c r="F2710" i="1"/>
  <c r="D2710" i="1"/>
  <c r="B2710" i="1"/>
  <c r="O2709" i="1"/>
  <c r="N2709" i="1"/>
  <c r="M2709" i="1"/>
  <c r="F2709" i="1"/>
  <c r="D2709" i="1"/>
  <c r="B2709" i="1"/>
  <c r="O2708" i="1"/>
  <c r="N2708" i="1"/>
  <c r="M2708" i="1"/>
  <c r="F2708" i="1"/>
  <c r="D2708" i="1"/>
  <c r="B2708" i="1"/>
  <c r="O2707" i="1"/>
  <c r="N2707" i="1"/>
  <c r="M2707" i="1"/>
  <c r="F2707" i="1"/>
  <c r="D2707" i="1"/>
  <c r="B2707" i="1"/>
  <c r="O2706" i="1"/>
  <c r="N2706" i="1"/>
  <c r="M2706" i="1"/>
  <c r="F2706" i="1"/>
  <c r="D2706" i="1"/>
  <c r="B2706" i="1"/>
  <c r="O2705" i="1"/>
  <c r="N2705" i="1"/>
  <c r="M2705" i="1"/>
  <c r="F2705" i="1"/>
  <c r="D2705" i="1"/>
  <c r="B2705" i="1"/>
  <c r="O2704" i="1"/>
  <c r="N2704" i="1"/>
  <c r="M2704" i="1"/>
  <c r="F2704" i="1"/>
  <c r="D2704" i="1"/>
  <c r="B2704" i="1"/>
  <c r="O2703" i="1"/>
  <c r="N2703" i="1"/>
  <c r="M2703" i="1"/>
  <c r="F2703" i="1"/>
  <c r="D2703" i="1"/>
  <c r="B2703" i="1"/>
  <c r="O2702" i="1"/>
  <c r="N2702" i="1"/>
  <c r="M2702" i="1"/>
  <c r="F2702" i="1"/>
  <c r="D2702" i="1"/>
  <c r="B2702" i="1"/>
  <c r="O2701" i="1"/>
  <c r="N2701" i="1"/>
  <c r="M2701" i="1"/>
  <c r="F2701" i="1"/>
  <c r="D2701" i="1"/>
  <c r="B2701" i="1"/>
  <c r="O2700" i="1"/>
  <c r="N2700" i="1"/>
  <c r="M2700" i="1"/>
  <c r="F2700" i="1"/>
  <c r="D2700" i="1"/>
  <c r="B2700" i="1"/>
  <c r="O2699" i="1"/>
  <c r="N2699" i="1"/>
  <c r="M2699" i="1"/>
  <c r="F2699" i="1"/>
  <c r="D2699" i="1"/>
  <c r="B2699" i="1"/>
  <c r="O2698" i="1"/>
  <c r="N2698" i="1"/>
  <c r="M2698" i="1"/>
  <c r="F2698" i="1"/>
  <c r="D2698" i="1"/>
  <c r="B2698" i="1"/>
  <c r="O2697" i="1"/>
  <c r="N2697" i="1"/>
  <c r="M2697" i="1"/>
  <c r="F2697" i="1"/>
  <c r="D2697" i="1"/>
  <c r="B2697" i="1"/>
  <c r="O2696" i="1"/>
  <c r="N2696" i="1"/>
  <c r="M2696" i="1"/>
  <c r="F2696" i="1"/>
  <c r="D2696" i="1"/>
  <c r="B2696" i="1"/>
  <c r="O2695" i="1"/>
  <c r="N2695" i="1"/>
  <c r="M2695" i="1"/>
  <c r="F2695" i="1"/>
  <c r="D2695" i="1"/>
  <c r="B2695" i="1"/>
  <c r="O2694" i="1"/>
  <c r="N2694" i="1"/>
  <c r="M2694" i="1"/>
  <c r="F2694" i="1"/>
  <c r="D2694" i="1"/>
  <c r="B2694" i="1"/>
  <c r="O2693" i="1"/>
  <c r="N2693" i="1"/>
  <c r="M2693" i="1"/>
  <c r="F2693" i="1"/>
  <c r="D2693" i="1"/>
  <c r="B2693" i="1"/>
  <c r="O2692" i="1"/>
  <c r="N2692" i="1"/>
  <c r="M2692" i="1"/>
  <c r="F2692" i="1"/>
  <c r="D2692" i="1"/>
  <c r="B2692" i="1"/>
  <c r="O2691" i="1"/>
  <c r="N2691" i="1"/>
  <c r="M2691" i="1"/>
  <c r="F2691" i="1"/>
  <c r="D2691" i="1"/>
  <c r="B2691" i="1"/>
  <c r="O2690" i="1"/>
  <c r="N2690" i="1"/>
  <c r="M2690" i="1"/>
  <c r="F2690" i="1"/>
  <c r="D2690" i="1"/>
  <c r="B2690" i="1"/>
  <c r="O2689" i="1"/>
  <c r="N2689" i="1"/>
  <c r="M2689" i="1"/>
  <c r="F2689" i="1"/>
  <c r="D2689" i="1"/>
  <c r="B2689" i="1"/>
  <c r="O2688" i="1"/>
  <c r="N2688" i="1"/>
  <c r="M2688" i="1"/>
  <c r="F2688" i="1"/>
  <c r="D2688" i="1"/>
  <c r="B2688" i="1"/>
  <c r="O2687" i="1"/>
  <c r="N2687" i="1"/>
  <c r="M2687" i="1"/>
  <c r="F2687" i="1"/>
  <c r="D2687" i="1"/>
  <c r="B2687" i="1"/>
  <c r="O2686" i="1"/>
  <c r="N2686" i="1"/>
  <c r="M2686" i="1"/>
  <c r="F2686" i="1"/>
  <c r="D2686" i="1"/>
  <c r="B2686" i="1"/>
  <c r="O2685" i="1"/>
  <c r="N2685" i="1"/>
  <c r="M2685" i="1"/>
  <c r="F2685" i="1"/>
  <c r="D2685" i="1"/>
  <c r="B2685" i="1"/>
  <c r="O2684" i="1"/>
  <c r="N2684" i="1"/>
  <c r="M2684" i="1"/>
  <c r="F2684" i="1"/>
  <c r="D2684" i="1"/>
  <c r="B2684" i="1"/>
  <c r="O2683" i="1"/>
  <c r="N2683" i="1"/>
  <c r="M2683" i="1"/>
  <c r="F2683" i="1"/>
  <c r="D2683" i="1"/>
  <c r="B2683" i="1"/>
  <c r="O2682" i="1"/>
  <c r="N2682" i="1"/>
  <c r="M2682" i="1"/>
  <c r="F2682" i="1"/>
  <c r="D2682" i="1"/>
  <c r="B2682" i="1"/>
  <c r="O2681" i="1"/>
  <c r="N2681" i="1"/>
  <c r="M2681" i="1"/>
  <c r="F2681" i="1"/>
  <c r="D2681" i="1"/>
  <c r="B2681" i="1"/>
  <c r="O2680" i="1"/>
  <c r="N2680" i="1"/>
  <c r="M2680" i="1"/>
  <c r="F2680" i="1"/>
  <c r="D2680" i="1"/>
  <c r="B2680" i="1"/>
  <c r="O2679" i="1"/>
  <c r="N2679" i="1"/>
  <c r="M2679" i="1"/>
  <c r="F2679" i="1"/>
  <c r="D2679" i="1"/>
  <c r="B2679" i="1"/>
  <c r="O2678" i="1"/>
  <c r="N2678" i="1"/>
  <c r="M2678" i="1"/>
  <c r="F2678" i="1"/>
  <c r="D2678" i="1"/>
  <c r="B2678" i="1"/>
  <c r="O2677" i="1"/>
  <c r="N2677" i="1"/>
  <c r="M2677" i="1"/>
  <c r="F2677" i="1"/>
  <c r="D2677" i="1"/>
  <c r="B2677" i="1"/>
  <c r="O2676" i="1"/>
  <c r="N2676" i="1"/>
  <c r="M2676" i="1"/>
  <c r="F2676" i="1"/>
  <c r="D2676" i="1"/>
  <c r="B2676" i="1"/>
  <c r="O2675" i="1"/>
  <c r="N2675" i="1"/>
  <c r="M2675" i="1"/>
  <c r="F2675" i="1"/>
  <c r="D2675" i="1"/>
  <c r="B2675" i="1"/>
  <c r="O2674" i="1"/>
  <c r="N2674" i="1"/>
  <c r="M2674" i="1"/>
  <c r="F2674" i="1"/>
  <c r="D2674" i="1"/>
  <c r="B2674" i="1"/>
  <c r="O2673" i="1"/>
  <c r="N2673" i="1"/>
  <c r="M2673" i="1"/>
  <c r="F2673" i="1"/>
  <c r="D2673" i="1"/>
  <c r="B2673" i="1"/>
  <c r="O2672" i="1"/>
  <c r="N2672" i="1"/>
  <c r="M2672" i="1"/>
  <c r="F2672" i="1"/>
  <c r="D2672" i="1"/>
  <c r="B2672" i="1"/>
  <c r="O2671" i="1"/>
  <c r="N2671" i="1"/>
  <c r="M2671" i="1"/>
  <c r="F2671" i="1"/>
  <c r="D2671" i="1"/>
  <c r="B2671" i="1"/>
  <c r="O2670" i="1"/>
  <c r="N2670" i="1"/>
  <c r="M2670" i="1"/>
  <c r="F2670" i="1"/>
  <c r="D2670" i="1"/>
  <c r="B2670" i="1"/>
  <c r="O2669" i="1"/>
  <c r="N2669" i="1"/>
  <c r="M2669" i="1"/>
  <c r="F2669" i="1"/>
  <c r="D2669" i="1"/>
  <c r="B2669" i="1"/>
  <c r="O2668" i="1"/>
  <c r="N2668" i="1"/>
  <c r="M2668" i="1"/>
  <c r="F2668" i="1"/>
  <c r="D2668" i="1"/>
  <c r="B2668" i="1"/>
  <c r="O2667" i="1"/>
  <c r="N2667" i="1"/>
  <c r="M2667" i="1"/>
  <c r="F2667" i="1"/>
  <c r="D2667" i="1"/>
  <c r="B2667" i="1"/>
  <c r="O2666" i="1"/>
  <c r="N2666" i="1"/>
  <c r="M2666" i="1"/>
  <c r="F2666" i="1"/>
  <c r="D2666" i="1"/>
  <c r="B2666" i="1"/>
  <c r="O2665" i="1"/>
  <c r="N2665" i="1"/>
  <c r="M2665" i="1"/>
  <c r="F2665" i="1"/>
  <c r="D2665" i="1"/>
  <c r="B2665" i="1"/>
  <c r="O2664" i="1"/>
  <c r="N2664" i="1"/>
  <c r="M2664" i="1"/>
  <c r="F2664" i="1"/>
  <c r="D2664" i="1"/>
  <c r="B2664" i="1"/>
  <c r="O2663" i="1"/>
  <c r="N2663" i="1"/>
  <c r="M2663" i="1"/>
  <c r="F2663" i="1"/>
  <c r="D2663" i="1"/>
  <c r="B2663" i="1"/>
  <c r="O2662" i="1"/>
  <c r="N2662" i="1"/>
  <c r="M2662" i="1"/>
  <c r="F2662" i="1"/>
  <c r="D2662" i="1"/>
  <c r="B2662" i="1"/>
  <c r="O2661" i="1"/>
  <c r="N2661" i="1"/>
  <c r="M2661" i="1"/>
  <c r="F2661" i="1"/>
  <c r="D2661" i="1"/>
  <c r="B2661" i="1"/>
  <c r="O2660" i="1"/>
  <c r="N2660" i="1"/>
  <c r="M2660" i="1"/>
  <c r="F2660" i="1"/>
  <c r="D2660" i="1"/>
  <c r="B2660" i="1"/>
  <c r="O2659" i="1"/>
  <c r="N2659" i="1"/>
  <c r="M2659" i="1"/>
  <c r="F2659" i="1"/>
  <c r="D2659" i="1"/>
  <c r="B2659" i="1"/>
  <c r="O2658" i="1"/>
  <c r="N2658" i="1"/>
  <c r="M2658" i="1"/>
  <c r="F2658" i="1"/>
  <c r="D2658" i="1"/>
  <c r="B2658" i="1"/>
  <c r="O2657" i="1"/>
  <c r="N2657" i="1"/>
  <c r="M2657" i="1"/>
  <c r="F2657" i="1"/>
  <c r="D2657" i="1"/>
  <c r="B2657" i="1"/>
  <c r="O2656" i="1"/>
  <c r="N2656" i="1"/>
  <c r="M2656" i="1"/>
  <c r="F2656" i="1"/>
  <c r="D2656" i="1"/>
  <c r="B2656" i="1"/>
  <c r="O2655" i="1"/>
  <c r="N2655" i="1"/>
  <c r="M2655" i="1"/>
  <c r="F2655" i="1"/>
  <c r="D2655" i="1"/>
  <c r="B2655" i="1"/>
  <c r="O2654" i="1"/>
  <c r="N2654" i="1"/>
  <c r="M2654" i="1"/>
  <c r="F2654" i="1"/>
  <c r="D2654" i="1"/>
  <c r="B2654" i="1"/>
  <c r="O2653" i="1"/>
  <c r="N2653" i="1"/>
  <c r="M2653" i="1"/>
  <c r="F2653" i="1"/>
  <c r="D2653" i="1"/>
  <c r="B2653" i="1"/>
  <c r="O2652" i="1"/>
  <c r="N2652" i="1"/>
  <c r="M2652" i="1"/>
  <c r="F2652" i="1"/>
  <c r="D2652" i="1"/>
  <c r="B2652" i="1"/>
  <c r="O2651" i="1"/>
  <c r="N2651" i="1"/>
  <c r="M2651" i="1"/>
  <c r="F2651" i="1"/>
  <c r="D2651" i="1"/>
  <c r="B2651" i="1"/>
  <c r="O2650" i="1"/>
  <c r="N2650" i="1"/>
  <c r="M2650" i="1"/>
  <c r="F2650" i="1"/>
  <c r="D2650" i="1"/>
  <c r="B2650" i="1"/>
  <c r="O2649" i="1"/>
  <c r="N2649" i="1"/>
  <c r="M2649" i="1"/>
  <c r="F2649" i="1"/>
  <c r="D2649" i="1"/>
  <c r="B2649" i="1"/>
  <c r="O2648" i="1"/>
  <c r="N2648" i="1"/>
  <c r="M2648" i="1"/>
  <c r="F2648" i="1"/>
  <c r="D2648" i="1"/>
  <c r="B2648" i="1"/>
  <c r="O2647" i="1"/>
  <c r="N2647" i="1"/>
  <c r="M2647" i="1"/>
  <c r="F2647" i="1"/>
  <c r="D2647" i="1"/>
  <c r="B2647" i="1"/>
  <c r="O2646" i="1"/>
  <c r="N2646" i="1"/>
  <c r="M2646" i="1"/>
  <c r="F2646" i="1"/>
  <c r="D2646" i="1"/>
  <c r="B2646" i="1"/>
  <c r="O2645" i="1"/>
  <c r="N2645" i="1"/>
  <c r="M2645" i="1"/>
  <c r="F2645" i="1"/>
  <c r="D2645" i="1"/>
  <c r="B2645" i="1"/>
  <c r="O2644" i="1"/>
  <c r="N2644" i="1"/>
  <c r="M2644" i="1"/>
  <c r="F2644" i="1"/>
  <c r="D2644" i="1"/>
  <c r="B2644" i="1"/>
  <c r="O2643" i="1"/>
  <c r="N2643" i="1"/>
  <c r="M2643" i="1"/>
  <c r="F2643" i="1"/>
  <c r="D2643" i="1"/>
  <c r="B2643" i="1"/>
  <c r="O2642" i="1"/>
  <c r="N2642" i="1"/>
  <c r="M2642" i="1"/>
  <c r="F2642" i="1"/>
  <c r="D2642" i="1"/>
  <c r="B2642" i="1"/>
  <c r="O2641" i="1"/>
  <c r="N2641" i="1"/>
  <c r="M2641" i="1"/>
  <c r="F2641" i="1"/>
  <c r="D2641" i="1"/>
  <c r="B2641" i="1"/>
  <c r="O2640" i="1"/>
  <c r="N2640" i="1"/>
  <c r="M2640" i="1"/>
  <c r="F2640" i="1"/>
  <c r="D2640" i="1"/>
  <c r="B2640" i="1"/>
  <c r="O2639" i="1"/>
  <c r="N2639" i="1"/>
  <c r="M2639" i="1"/>
  <c r="F2639" i="1"/>
  <c r="D2639" i="1"/>
  <c r="B2639" i="1"/>
  <c r="O2638" i="1"/>
  <c r="N2638" i="1"/>
  <c r="M2638" i="1"/>
  <c r="F2638" i="1"/>
  <c r="D2638" i="1"/>
  <c r="B2638" i="1"/>
  <c r="O2637" i="1"/>
  <c r="N2637" i="1"/>
  <c r="M2637" i="1"/>
  <c r="F2637" i="1"/>
  <c r="D2637" i="1"/>
  <c r="B2637" i="1"/>
  <c r="O2636" i="1"/>
  <c r="N2636" i="1"/>
  <c r="M2636" i="1"/>
  <c r="F2636" i="1"/>
  <c r="D2636" i="1"/>
  <c r="B2636" i="1"/>
  <c r="O2635" i="1"/>
  <c r="N2635" i="1"/>
  <c r="M2635" i="1"/>
  <c r="F2635" i="1"/>
  <c r="D2635" i="1"/>
  <c r="B2635" i="1"/>
  <c r="O2634" i="1"/>
  <c r="N2634" i="1"/>
  <c r="M2634" i="1"/>
  <c r="F2634" i="1"/>
  <c r="D2634" i="1"/>
  <c r="B2634" i="1"/>
  <c r="O2633" i="1"/>
  <c r="N2633" i="1"/>
  <c r="M2633" i="1"/>
  <c r="F2633" i="1"/>
  <c r="D2633" i="1"/>
  <c r="B2633" i="1"/>
  <c r="O2632" i="1"/>
  <c r="N2632" i="1"/>
  <c r="M2632" i="1"/>
  <c r="F2632" i="1"/>
  <c r="D2632" i="1"/>
  <c r="B2632" i="1"/>
  <c r="O2631" i="1"/>
  <c r="N2631" i="1"/>
  <c r="M2631" i="1"/>
  <c r="F2631" i="1"/>
  <c r="D2631" i="1"/>
  <c r="B2631" i="1"/>
  <c r="O2630" i="1"/>
  <c r="N2630" i="1"/>
  <c r="M2630" i="1"/>
  <c r="F2630" i="1"/>
  <c r="D2630" i="1"/>
  <c r="B2630" i="1"/>
  <c r="O2629" i="1"/>
  <c r="N2629" i="1"/>
  <c r="M2629" i="1"/>
  <c r="F2629" i="1"/>
  <c r="D2629" i="1"/>
  <c r="B2629" i="1"/>
  <c r="O2628" i="1"/>
  <c r="N2628" i="1"/>
  <c r="M2628" i="1"/>
  <c r="F2628" i="1"/>
  <c r="D2628" i="1"/>
  <c r="B2628" i="1"/>
  <c r="O2627" i="1"/>
  <c r="N2627" i="1"/>
  <c r="M2627" i="1"/>
  <c r="F2627" i="1"/>
  <c r="D2627" i="1"/>
  <c r="B2627" i="1"/>
  <c r="O2626" i="1"/>
  <c r="N2626" i="1"/>
  <c r="M2626" i="1"/>
  <c r="F2626" i="1"/>
  <c r="D2626" i="1"/>
  <c r="B2626" i="1"/>
  <c r="O2625" i="1"/>
  <c r="N2625" i="1"/>
  <c r="M2625" i="1"/>
  <c r="F2625" i="1"/>
  <c r="D2625" i="1"/>
  <c r="B2625" i="1"/>
  <c r="O2624" i="1"/>
  <c r="N2624" i="1"/>
  <c r="M2624" i="1"/>
  <c r="F2624" i="1"/>
  <c r="D2624" i="1"/>
  <c r="B2624" i="1"/>
  <c r="O2623" i="1"/>
  <c r="N2623" i="1"/>
  <c r="M2623" i="1"/>
  <c r="F2623" i="1"/>
  <c r="D2623" i="1"/>
  <c r="B2623" i="1"/>
  <c r="O2622" i="1"/>
  <c r="N2622" i="1"/>
  <c r="M2622" i="1"/>
  <c r="F2622" i="1"/>
  <c r="D2622" i="1"/>
  <c r="B2622" i="1"/>
  <c r="O2621" i="1"/>
  <c r="N2621" i="1"/>
  <c r="M2621" i="1"/>
  <c r="F2621" i="1"/>
  <c r="D2621" i="1"/>
  <c r="B2621" i="1"/>
  <c r="O2620" i="1"/>
  <c r="N2620" i="1"/>
  <c r="M2620" i="1"/>
  <c r="F2620" i="1"/>
  <c r="D2620" i="1"/>
  <c r="B2620" i="1"/>
  <c r="O2619" i="1"/>
  <c r="N2619" i="1"/>
  <c r="M2619" i="1"/>
  <c r="F2619" i="1"/>
  <c r="D2619" i="1"/>
  <c r="B2619" i="1"/>
  <c r="O2618" i="1"/>
  <c r="N2618" i="1"/>
  <c r="M2618" i="1"/>
  <c r="F2618" i="1"/>
  <c r="D2618" i="1"/>
  <c r="B2618" i="1"/>
  <c r="O2617" i="1"/>
  <c r="N2617" i="1"/>
  <c r="M2617" i="1"/>
  <c r="F2617" i="1"/>
  <c r="D2617" i="1"/>
  <c r="B2617" i="1"/>
  <c r="O2616" i="1"/>
  <c r="N2616" i="1"/>
  <c r="M2616" i="1"/>
  <c r="F2616" i="1"/>
  <c r="D2616" i="1"/>
  <c r="B2616" i="1"/>
  <c r="O2615" i="1"/>
  <c r="N2615" i="1"/>
  <c r="M2615" i="1"/>
  <c r="F2615" i="1"/>
  <c r="D2615" i="1"/>
  <c r="B2615" i="1"/>
  <c r="O2614" i="1"/>
  <c r="N2614" i="1"/>
  <c r="M2614" i="1"/>
  <c r="F2614" i="1"/>
  <c r="D2614" i="1"/>
  <c r="B2614" i="1"/>
  <c r="O2613" i="1"/>
  <c r="N2613" i="1"/>
  <c r="M2613" i="1"/>
  <c r="F2613" i="1"/>
  <c r="D2613" i="1"/>
  <c r="B2613" i="1"/>
  <c r="O2612" i="1"/>
  <c r="N2612" i="1"/>
  <c r="M2612" i="1"/>
  <c r="F2612" i="1"/>
  <c r="D2612" i="1"/>
  <c r="B2612" i="1"/>
  <c r="O2611" i="1"/>
  <c r="N2611" i="1"/>
  <c r="M2611" i="1"/>
  <c r="F2611" i="1"/>
  <c r="D2611" i="1"/>
  <c r="B2611" i="1"/>
  <c r="O2610" i="1"/>
  <c r="N2610" i="1"/>
  <c r="M2610" i="1"/>
  <c r="F2610" i="1"/>
  <c r="D2610" i="1"/>
  <c r="B2610" i="1"/>
  <c r="O2609" i="1"/>
  <c r="N2609" i="1"/>
  <c r="M2609" i="1"/>
  <c r="F2609" i="1"/>
  <c r="D2609" i="1"/>
  <c r="B2609" i="1"/>
  <c r="O2608" i="1"/>
  <c r="N2608" i="1"/>
  <c r="M2608" i="1"/>
  <c r="F2608" i="1"/>
  <c r="D2608" i="1"/>
  <c r="B2608" i="1"/>
  <c r="O2607" i="1"/>
  <c r="N2607" i="1"/>
  <c r="M2607" i="1"/>
  <c r="F2607" i="1"/>
  <c r="D2607" i="1"/>
  <c r="B2607" i="1"/>
  <c r="O2606" i="1"/>
  <c r="N2606" i="1"/>
  <c r="M2606" i="1"/>
  <c r="F2606" i="1"/>
  <c r="D2606" i="1"/>
  <c r="B2606" i="1"/>
  <c r="O2605" i="1"/>
  <c r="N2605" i="1"/>
  <c r="M2605" i="1"/>
  <c r="F2605" i="1"/>
  <c r="D2605" i="1"/>
  <c r="B2605" i="1"/>
  <c r="O2604" i="1"/>
  <c r="N2604" i="1"/>
  <c r="M2604" i="1"/>
  <c r="F2604" i="1"/>
  <c r="D2604" i="1"/>
  <c r="B2604" i="1"/>
  <c r="O2603" i="1"/>
  <c r="N2603" i="1"/>
  <c r="M2603" i="1"/>
  <c r="F2603" i="1"/>
  <c r="D2603" i="1"/>
  <c r="B2603" i="1"/>
  <c r="O2602" i="1"/>
  <c r="N2602" i="1"/>
  <c r="M2602" i="1"/>
  <c r="F2602" i="1"/>
  <c r="D2602" i="1"/>
  <c r="B2602" i="1"/>
  <c r="O2601" i="1"/>
  <c r="N2601" i="1"/>
  <c r="M2601" i="1"/>
  <c r="F2601" i="1"/>
  <c r="D2601" i="1"/>
  <c r="B2601" i="1"/>
  <c r="O2600" i="1"/>
  <c r="N2600" i="1"/>
  <c r="M2600" i="1"/>
  <c r="F2600" i="1"/>
  <c r="D2600" i="1"/>
  <c r="B2600" i="1"/>
  <c r="O2599" i="1"/>
  <c r="N2599" i="1"/>
  <c r="M2599" i="1"/>
  <c r="F2599" i="1"/>
  <c r="D2599" i="1"/>
  <c r="B2599" i="1"/>
  <c r="O2598" i="1"/>
  <c r="N2598" i="1"/>
  <c r="M2598" i="1"/>
  <c r="F2598" i="1"/>
  <c r="D2598" i="1"/>
  <c r="B2598" i="1"/>
  <c r="O2597" i="1"/>
  <c r="N2597" i="1"/>
  <c r="M2597" i="1"/>
  <c r="F2597" i="1"/>
  <c r="D2597" i="1"/>
  <c r="B2597" i="1"/>
  <c r="O2596" i="1"/>
  <c r="N2596" i="1"/>
  <c r="M2596" i="1"/>
  <c r="F2596" i="1"/>
  <c r="D2596" i="1"/>
  <c r="B2596" i="1"/>
  <c r="O2595" i="1"/>
  <c r="N2595" i="1"/>
  <c r="M2595" i="1"/>
  <c r="F2595" i="1"/>
  <c r="D2595" i="1"/>
  <c r="B2595" i="1"/>
  <c r="O2594" i="1"/>
  <c r="N2594" i="1"/>
  <c r="M2594" i="1"/>
  <c r="F2594" i="1"/>
  <c r="D2594" i="1"/>
  <c r="B2594" i="1"/>
  <c r="O2593" i="1"/>
  <c r="N2593" i="1"/>
  <c r="M2593" i="1"/>
  <c r="F2593" i="1"/>
  <c r="D2593" i="1"/>
  <c r="B2593" i="1"/>
  <c r="O2592" i="1"/>
  <c r="N2592" i="1"/>
  <c r="M2592" i="1"/>
  <c r="F2592" i="1"/>
  <c r="D2592" i="1"/>
  <c r="B2592" i="1"/>
  <c r="O2591" i="1"/>
  <c r="N2591" i="1"/>
  <c r="M2591" i="1"/>
  <c r="F2591" i="1"/>
  <c r="D2591" i="1"/>
  <c r="B2591" i="1"/>
  <c r="O2590" i="1"/>
  <c r="N2590" i="1"/>
  <c r="M2590" i="1"/>
  <c r="F2590" i="1"/>
  <c r="D2590" i="1"/>
  <c r="B2590" i="1"/>
  <c r="O2589" i="1"/>
  <c r="N2589" i="1"/>
  <c r="M2589" i="1"/>
  <c r="F2589" i="1"/>
  <c r="D2589" i="1"/>
  <c r="B2589" i="1"/>
  <c r="O2588" i="1"/>
  <c r="N2588" i="1"/>
  <c r="M2588" i="1"/>
  <c r="F2588" i="1"/>
  <c r="D2588" i="1"/>
  <c r="B2588" i="1"/>
  <c r="O2587" i="1"/>
  <c r="N2587" i="1"/>
  <c r="M2587" i="1"/>
  <c r="F2587" i="1"/>
  <c r="D2587" i="1"/>
  <c r="B2587" i="1"/>
  <c r="O2586" i="1"/>
  <c r="N2586" i="1"/>
  <c r="M2586" i="1"/>
  <c r="F2586" i="1"/>
  <c r="D2586" i="1"/>
  <c r="B2586" i="1"/>
  <c r="O2585" i="1"/>
  <c r="N2585" i="1"/>
  <c r="M2585" i="1"/>
  <c r="F2585" i="1"/>
  <c r="D2585" i="1"/>
  <c r="B2585" i="1"/>
  <c r="O2584" i="1"/>
  <c r="N2584" i="1"/>
  <c r="M2584" i="1"/>
  <c r="F2584" i="1"/>
  <c r="D2584" i="1"/>
  <c r="B2584" i="1"/>
  <c r="O2583" i="1"/>
  <c r="N2583" i="1"/>
  <c r="M2583" i="1"/>
  <c r="F2583" i="1"/>
  <c r="D2583" i="1"/>
  <c r="B2583" i="1"/>
  <c r="O2582" i="1"/>
  <c r="N2582" i="1"/>
  <c r="M2582" i="1"/>
  <c r="F2582" i="1"/>
  <c r="D2582" i="1"/>
  <c r="B2582" i="1"/>
  <c r="O2581" i="1"/>
  <c r="N2581" i="1"/>
  <c r="M2581" i="1"/>
  <c r="F2581" i="1"/>
  <c r="D2581" i="1"/>
  <c r="B2581" i="1"/>
  <c r="O2580" i="1"/>
  <c r="N2580" i="1"/>
  <c r="M2580" i="1"/>
  <c r="F2580" i="1"/>
  <c r="D2580" i="1"/>
  <c r="B2580" i="1"/>
  <c r="O2579" i="1"/>
  <c r="N2579" i="1"/>
  <c r="M2579" i="1"/>
  <c r="F2579" i="1"/>
  <c r="D2579" i="1"/>
  <c r="B2579" i="1"/>
  <c r="O2578" i="1"/>
  <c r="N2578" i="1"/>
  <c r="M2578" i="1"/>
  <c r="F2578" i="1"/>
  <c r="D2578" i="1"/>
  <c r="B2578" i="1"/>
  <c r="O2577" i="1"/>
  <c r="N2577" i="1"/>
  <c r="M2577" i="1"/>
  <c r="F2577" i="1"/>
  <c r="D2577" i="1"/>
  <c r="B2577" i="1"/>
  <c r="O2576" i="1"/>
  <c r="N2576" i="1"/>
  <c r="M2576" i="1"/>
  <c r="F2576" i="1"/>
  <c r="D2576" i="1"/>
  <c r="B2576" i="1"/>
  <c r="O2575" i="1"/>
  <c r="N2575" i="1"/>
  <c r="M2575" i="1"/>
  <c r="F2575" i="1"/>
  <c r="D2575" i="1"/>
  <c r="B2575" i="1"/>
  <c r="O2574" i="1"/>
  <c r="N2574" i="1"/>
  <c r="M2574" i="1"/>
  <c r="F2574" i="1"/>
  <c r="D2574" i="1"/>
  <c r="B2574" i="1"/>
  <c r="O2573" i="1"/>
  <c r="N2573" i="1"/>
  <c r="M2573" i="1"/>
  <c r="F2573" i="1"/>
  <c r="D2573" i="1"/>
  <c r="B2573" i="1"/>
  <c r="O2572" i="1"/>
  <c r="N2572" i="1"/>
  <c r="M2572" i="1"/>
  <c r="F2572" i="1"/>
  <c r="D2572" i="1"/>
  <c r="B2572" i="1"/>
  <c r="O2571" i="1"/>
  <c r="N2571" i="1"/>
  <c r="M2571" i="1"/>
  <c r="F2571" i="1"/>
  <c r="D2571" i="1"/>
  <c r="B2571" i="1"/>
  <c r="O2570" i="1"/>
  <c r="N2570" i="1"/>
  <c r="M2570" i="1"/>
  <c r="F2570" i="1"/>
  <c r="D2570" i="1"/>
  <c r="B2570" i="1"/>
  <c r="O2569" i="1"/>
  <c r="N2569" i="1"/>
  <c r="M2569" i="1"/>
  <c r="F2569" i="1"/>
  <c r="D2569" i="1"/>
  <c r="B2569" i="1"/>
  <c r="O2568" i="1"/>
  <c r="N2568" i="1"/>
  <c r="M2568" i="1"/>
  <c r="F2568" i="1"/>
  <c r="D2568" i="1"/>
  <c r="B2568" i="1"/>
  <c r="O2567" i="1"/>
  <c r="N2567" i="1"/>
  <c r="M2567" i="1"/>
  <c r="F2567" i="1"/>
  <c r="D2567" i="1"/>
  <c r="B2567" i="1"/>
  <c r="O2566" i="1"/>
  <c r="N2566" i="1"/>
  <c r="M2566" i="1"/>
  <c r="F2566" i="1"/>
  <c r="D2566" i="1"/>
  <c r="B2566" i="1"/>
  <c r="O2565" i="1"/>
  <c r="N2565" i="1"/>
  <c r="M2565" i="1"/>
  <c r="F2565" i="1"/>
  <c r="D2565" i="1"/>
  <c r="B2565" i="1"/>
  <c r="O2564" i="1"/>
  <c r="N2564" i="1"/>
  <c r="M2564" i="1"/>
  <c r="F2564" i="1"/>
  <c r="D2564" i="1"/>
  <c r="B2564" i="1"/>
  <c r="O2563" i="1"/>
  <c r="N2563" i="1"/>
  <c r="M2563" i="1"/>
  <c r="F2563" i="1"/>
  <c r="D2563" i="1"/>
  <c r="B2563" i="1"/>
  <c r="O2562" i="1"/>
  <c r="N2562" i="1"/>
  <c r="M2562" i="1"/>
  <c r="F2562" i="1"/>
  <c r="D2562" i="1"/>
  <c r="B2562" i="1"/>
  <c r="O2561" i="1"/>
  <c r="N2561" i="1"/>
  <c r="M2561" i="1"/>
  <c r="F2561" i="1"/>
  <c r="D2561" i="1"/>
  <c r="B2561" i="1"/>
  <c r="O2560" i="1"/>
  <c r="N2560" i="1"/>
  <c r="M2560" i="1"/>
  <c r="F2560" i="1"/>
  <c r="D2560" i="1"/>
  <c r="B2560" i="1"/>
  <c r="O2559" i="1"/>
  <c r="N2559" i="1"/>
  <c r="M2559" i="1"/>
  <c r="F2559" i="1"/>
  <c r="D2559" i="1"/>
  <c r="B2559" i="1"/>
  <c r="O2558" i="1"/>
  <c r="N2558" i="1"/>
  <c r="M2558" i="1"/>
  <c r="F2558" i="1"/>
  <c r="D2558" i="1"/>
  <c r="B2558" i="1"/>
  <c r="O2557" i="1"/>
  <c r="N2557" i="1"/>
  <c r="M2557" i="1"/>
  <c r="F2557" i="1"/>
  <c r="D2557" i="1"/>
  <c r="B2557" i="1"/>
  <c r="O2556" i="1"/>
  <c r="N2556" i="1"/>
  <c r="M2556" i="1"/>
  <c r="F2556" i="1"/>
  <c r="D2556" i="1"/>
  <c r="B2556" i="1"/>
  <c r="O2555" i="1"/>
  <c r="N2555" i="1"/>
  <c r="M2555" i="1"/>
  <c r="F2555" i="1"/>
  <c r="D2555" i="1"/>
  <c r="B2555" i="1"/>
  <c r="O2554" i="1"/>
  <c r="N2554" i="1"/>
  <c r="M2554" i="1"/>
  <c r="F2554" i="1"/>
  <c r="D2554" i="1"/>
  <c r="B2554" i="1"/>
  <c r="O2553" i="1"/>
  <c r="N2553" i="1"/>
  <c r="M2553" i="1"/>
  <c r="F2553" i="1"/>
  <c r="D2553" i="1"/>
  <c r="B2553" i="1"/>
  <c r="O2552" i="1"/>
  <c r="N2552" i="1"/>
  <c r="M2552" i="1"/>
  <c r="F2552" i="1"/>
  <c r="D2552" i="1"/>
  <c r="B2552" i="1"/>
  <c r="O2551" i="1"/>
  <c r="N2551" i="1"/>
  <c r="M2551" i="1"/>
  <c r="F2551" i="1"/>
  <c r="D2551" i="1"/>
  <c r="B2551" i="1"/>
  <c r="O2550" i="1"/>
  <c r="N2550" i="1"/>
  <c r="M2550" i="1"/>
  <c r="F2550" i="1"/>
  <c r="D2550" i="1"/>
  <c r="B2550" i="1"/>
  <c r="O2549" i="1"/>
  <c r="N2549" i="1"/>
  <c r="M2549" i="1"/>
  <c r="F2549" i="1"/>
  <c r="D2549" i="1"/>
  <c r="B2549" i="1"/>
  <c r="O2548" i="1"/>
  <c r="N2548" i="1"/>
  <c r="M2548" i="1"/>
  <c r="F2548" i="1"/>
  <c r="D2548" i="1"/>
  <c r="B2548" i="1"/>
  <c r="O2547" i="1"/>
  <c r="N2547" i="1"/>
  <c r="M2547" i="1"/>
  <c r="F2547" i="1"/>
  <c r="D2547" i="1"/>
  <c r="B2547" i="1"/>
  <c r="O2546" i="1"/>
  <c r="N2546" i="1"/>
  <c r="M2546" i="1"/>
  <c r="F2546" i="1"/>
  <c r="D2546" i="1"/>
  <c r="B2546" i="1"/>
  <c r="O2545" i="1"/>
  <c r="N2545" i="1"/>
  <c r="M2545" i="1"/>
  <c r="F2545" i="1"/>
  <c r="D2545" i="1"/>
  <c r="B2545" i="1"/>
  <c r="O2544" i="1"/>
  <c r="N2544" i="1"/>
  <c r="M2544" i="1"/>
  <c r="F2544" i="1"/>
  <c r="D2544" i="1"/>
  <c r="B2544" i="1"/>
  <c r="O2543" i="1"/>
  <c r="N2543" i="1"/>
  <c r="M2543" i="1"/>
  <c r="F2543" i="1"/>
  <c r="D2543" i="1"/>
  <c r="B2543" i="1"/>
  <c r="O2542" i="1"/>
  <c r="N2542" i="1"/>
  <c r="M2542" i="1"/>
  <c r="F2542" i="1"/>
  <c r="D2542" i="1"/>
  <c r="B2542" i="1"/>
  <c r="O2541" i="1"/>
  <c r="N2541" i="1"/>
  <c r="M2541" i="1"/>
  <c r="F2541" i="1"/>
  <c r="D2541" i="1"/>
  <c r="B2541" i="1"/>
  <c r="O2540" i="1"/>
  <c r="N2540" i="1"/>
  <c r="M2540" i="1"/>
  <c r="F2540" i="1"/>
  <c r="D2540" i="1"/>
  <c r="B2540" i="1"/>
  <c r="O2539" i="1"/>
  <c r="N2539" i="1"/>
  <c r="M2539" i="1"/>
  <c r="F2539" i="1"/>
  <c r="D2539" i="1"/>
  <c r="B2539" i="1"/>
  <c r="O2538" i="1"/>
  <c r="N2538" i="1"/>
  <c r="M2538" i="1"/>
  <c r="F2538" i="1"/>
  <c r="D2538" i="1"/>
  <c r="B2538" i="1"/>
  <c r="O2537" i="1"/>
  <c r="N2537" i="1"/>
  <c r="M2537" i="1"/>
  <c r="F2537" i="1"/>
  <c r="D2537" i="1"/>
  <c r="B2537" i="1"/>
  <c r="O2536" i="1"/>
  <c r="N2536" i="1"/>
  <c r="M2536" i="1"/>
  <c r="F2536" i="1"/>
  <c r="D2536" i="1"/>
  <c r="B2536" i="1"/>
  <c r="O2535" i="1"/>
  <c r="N2535" i="1"/>
  <c r="M2535" i="1"/>
  <c r="F2535" i="1"/>
  <c r="D2535" i="1"/>
  <c r="B2535" i="1"/>
  <c r="O2534" i="1"/>
  <c r="N2534" i="1"/>
  <c r="M2534" i="1"/>
  <c r="F2534" i="1"/>
  <c r="D2534" i="1"/>
  <c r="B2534" i="1"/>
  <c r="O2533" i="1"/>
  <c r="N2533" i="1"/>
  <c r="M2533" i="1"/>
  <c r="F2533" i="1"/>
  <c r="D2533" i="1"/>
  <c r="B2533" i="1"/>
  <c r="O2532" i="1"/>
  <c r="N2532" i="1"/>
  <c r="M2532" i="1"/>
  <c r="F2532" i="1"/>
  <c r="D2532" i="1"/>
  <c r="B2532" i="1"/>
  <c r="O2531" i="1"/>
  <c r="N2531" i="1"/>
  <c r="M2531" i="1"/>
  <c r="F2531" i="1"/>
  <c r="D2531" i="1"/>
  <c r="B2531" i="1"/>
  <c r="O2530" i="1"/>
  <c r="N2530" i="1"/>
  <c r="M2530" i="1"/>
  <c r="F2530" i="1"/>
  <c r="D2530" i="1"/>
  <c r="B2530" i="1"/>
  <c r="O2529" i="1"/>
  <c r="N2529" i="1"/>
  <c r="M2529" i="1"/>
  <c r="F2529" i="1"/>
  <c r="D2529" i="1"/>
  <c r="B2529" i="1"/>
  <c r="O2528" i="1"/>
  <c r="N2528" i="1"/>
  <c r="M2528" i="1"/>
  <c r="F2528" i="1"/>
  <c r="D2528" i="1"/>
  <c r="B2528" i="1"/>
  <c r="O2527" i="1"/>
  <c r="N2527" i="1"/>
  <c r="M2527" i="1"/>
  <c r="F2527" i="1"/>
  <c r="D2527" i="1"/>
  <c r="B2527" i="1"/>
  <c r="O2526" i="1"/>
  <c r="N2526" i="1"/>
  <c r="M2526" i="1"/>
  <c r="F2526" i="1"/>
  <c r="D2526" i="1"/>
  <c r="B2526" i="1"/>
  <c r="O2525" i="1"/>
  <c r="N2525" i="1"/>
  <c r="M2525" i="1"/>
  <c r="F2525" i="1"/>
  <c r="D2525" i="1"/>
  <c r="B2525" i="1"/>
  <c r="O2524" i="1"/>
  <c r="N2524" i="1"/>
  <c r="M2524" i="1"/>
  <c r="F2524" i="1"/>
  <c r="D2524" i="1"/>
  <c r="B2524" i="1"/>
  <c r="O2523" i="1"/>
  <c r="N2523" i="1"/>
  <c r="M2523" i="1"/>
  <c r="F2523" i="1"/>
  <c r="D2523" i="1"/>
  <c r="B2523" i="1"/>
  <c r="O2522" i="1"/>
  <c r="N2522" i="1"/>
  <c r="M2522" i="1"/>
  <c r="F2522" i="1"/>
  <c r="D2522" i="1"/>
  <c r="B2522" i="1"/>
  <c r="O2521" i="1"/>
  <c r="N2521" i="1"/>
  <c r="M2521" i="1"/>
  <c r="F2521" i="1"/>
  <c r="D2521" i="1"/>
  <c r="B2521" i="1"/>
  <c r="O2520" i="1"/>
  <c r="N2520" i="1"/>
  <c r="M2520" i="1"/>
  <c r="F2520" i="1"/>
  <c r="D2520" i="1"/>
  <c r="B2520" i="1"/>
  <c r="O2519" i="1"/>
  <c r="N2519" i="1"/>
  <c r="M2519" i="1"/>
  <c r="F2519" i="1"/>
  <c r="D2519" i="1"/>
  <c r="B2519" i="1"/>
  <c r="O2518" i="1"/>
  <c r="N2518" i="1"/>
  <c r="M2518" i="1"/>
  <c r="F2518" i="1"/>
  <c r="D2518" i="1"/>
  <c r="B2518" i="1"/>
  <c r="O2517" i="1"/>
  <c r="N2517" i="1"/>
  <c r="M2517" i="1"/>
  <c r="F2517" i="1"/>
  <c r="D2517" i="1"/>
  <c r="B2517" i="1"/>
  <c r="O2516" i="1"/>
  <c r="N2516" i="1"/>
  <c r="M2516" i="1"/>
  <c r="F2516" i="1"/>
  <c r="D2516" i="1"/>
  <c r="B2516" i="1"/>
  <c r="O2515" i="1"/>
  <c r="N2515" i="1"/>
  <c r="M2515" i="1"/>
  <c r="F2515" i="1"/>
  <c r="D2515" i="1"/>
  <c r="B2515" i="1"/>
  <c r="O2514" i="1"/>
  <c r="N2514" i="1"/>
  <c r="M2514" i="1"/>
  <c r="F2514" i="1"/>
  <c r="D2514" i="1"/>
  <c r="B2514" i="1"/>
  <c r="O2513" i="1"/>
  <c r="N2513" i="1"/>
  <c r="M2513" i="1"/>
  <c r="F2513" i="1"/>
  <c r="D2513" i="1"/>
  <c r="B2513" i="1"/>
  <c r="O2512" i="1"/>
  <c r="N2512" i="1"/>
  <c r="M2512" i="1"/>
  <c r="F2512" i="1"/>
  <c r="D2512" i="1"/>
  <c r="B2512" i="1"/>
  <c r="O2511" i="1"/>
  <c r="N2511" i="1"/>
  <c r="M2511" i="1"/>
  <c r="F2511" i="1"/>
  <c r="D2511" i="1"/>
  <c r="B2511" i="1"/>
  <c r="O2510" i="1"/>
  <c r="N2510" i="1"/>
  <c r="M2510" i="1"/>
  <c r="F2510" i="1"/>
  <c r="D2510" i="1"/>
  <c r="B2510" i="1"/>
  <c r="O2509" i="1"/>
  <c r="N2509" i="1"/>
  <c r="M2509" i="1"/>
  <c r="F2509" i="1"/>
  <c r="D2509" i="1"/>
  <c r="B2509" i="1"/>
  <c r="O2508" i="1"/>
  <c r="N2508" i="1"/>
  <c r="M2508" i="1"/>
  <c r="F2508" i="1"/>
  <c r="D2508" i="1"/>
  <c r="B2508" i="1"/>
  <c r="O2507" i="1"/>
  <c r="N2507" i="1"/>
  <c r="M2507" i="1"/>
  <c r="F2507" i="1"/>
  <c r="D2507" i="1"/>
  <c r="B2507" i="1"/>
  <c r="O2506" i="1"/>
  <c r="N2506" i="1"/>
  <c r="M2506" i="1"/>
  <c r="F2506" i="1"/>
  <c r="D2506" i="1"/>
  <c r="B2506" i="1"/>
  <c r="O2505" i="1"/>
  <c r="N2505" i="1"/>
  <c r="M2505" i="1"/>
  <c r="F2505" i="1"/>
  <c r="D2505" i="1"/>
  <c r="B2505" i="1"/>
  <c r="O2504" i="1"/>
  <c r="N2504" i="1"/>
  <c r="M2504" i="1"/>
  <c r="F2504" i="1"/>
  <c r="D2504" i="1"/>
  <c r="B2504" i="1"/>
  <c r="O2503" i="1"/>
  <c r="N2503" i="1"/>
  <c r="M2503" i="1"/>
  <c r="F2503" i="1"/>
  <c r="D2503" i="1"/>
  <c r="B2503" i="1"/>
  <c r="O2502" i="1"/>
  <c r="N2502" i="1"/>
  <c r="M2502" i="1"/>
  <c r="F2502" i="1"/>
  <c r="D2502" i="1"/>
  <c r="B2502" i="1"/>
  <c r="O2501" i="1"/>
  <c r="N2501" i="1"/>
  <c r="M2501" i="1"/>
  <c r="F2501" i="1"/>
  <c r="D2501" i="1"/>
  <c r="B2501" i="1"/>
  <c r="O2500" i="1"/>
  <c r="N2500" i="1"/>
  <c r="M2500" i="1"/>
  <c r="F2500" i="1"/>
  <c r="D2500" i="1"/>
  <c r="B2500" i="1"/>
  <c r="O2499" i="1"/>
  <c r="N2499" i="1"/>
  <c r="M2499" i="1"/>
  <c r="F2499" i="1"/>
  <c r="D2499" i="1"/>
  <c r="B2499" i="1"/>
  <c r="O2498" i="1"/>
  <c r="N2498" i="1"/>
  <c r="M2498" i="1"/>
  <c r="F2498" i="1"/>
  <c r="D2498" i="1"/>
  <c r="B2498" i="1"/>
  <c r="O2497" i="1"/>
  <c r="N2497" i="1"/>
  <c r="M2497" i="1"/>
  <c r="F2497" i="1"/>
  <c r="D2497" i="1"/>
  <c r="B2497" i="1"/>
  <c r="O2496" i="1"/>
  <c r="N2496" i="1"/>
  <c r="M2496" i="1"/>
  <c r="F2496" i="1"/>
  <c r="D2496" i="1"/>
  <c r="B2496" i="1"/>
  <c r="O2495" i="1"/>
  <c r="N2495" i="1"/>
  <c r="M2495" i="1"/>
  <c r="F2495" i="1"/>
  <c r="D2495" i="1"/>
  <c r="B2495" i="1"/>
  <c r="O2494" i="1"/>
  <c r="N2494" i="1"/>
  <c r="M2494" i="1"/>
  <c r="F2494" i="1"/>
  <c r="D2494" i="1"/>
  <c r="B2494" i="1"/>
  <c r="O2493" i="1"/>
  <c r="N2493" i="1"/>
  <c r="M2493" i="1"/>
  <c r="F2493" i="1"/>
  <c r="D2493" i="1"/>
  <c r="B2493" i="1"/>
  <c r="O2492" i="1"/>
  <c r="N2492" i="1"/>
  <c r="M2492" i="1"/>
  <c r="F2492" i="1"/>
  <c r="D2492" i="1"/>
  <c r="B2492" i="1"/>
  <c r="O2491" i="1"/>
  <c r="N2491" i="1"/>
  <c r="M2491" i="1"/>
  <c r="F2491" i="1"/>
  <c r="D2491" i="1"/>
  <c r="B2491" i="1"/>
  <c r="O2490" i="1"/>
  <c r="N2490" i="1"/>
  <c r="M2490" i="1"/>
  <c r="F2490" i="1"/>
  <c r="D2490" i="1"/>
  <c r="B2490" i="1"/>
  <c r="O2489" i="1"/>
  <c r="N2489" i="1"/>
  <c r="M2489" i="1"/>
  <c r="F2489" i="1"/>
  <c r="D2489" i="1"/>
  <c r="B2489" i="1"/>
  <c r="O2488" i="1"/>
  <c r="N2488" i="1"/>
  <c r="M2488" i="1"/>
  <c r="F2488" i="1"/>
  <c r="D2488" i="1"/>
  <c r="B2488" i="1"/>
  <c r="O2487" i="1"/>
  <c r="N2487" i="1"/>
  <c r="M2487" i="1"/>
  <c r="F2487" i="1"/>
  <c r="D2487" i="1"/>
  <c r="B2487" i="1"/>
  <c r="O2486" i="1"/>
  <c r="N2486" i="1"/>
  <c r="M2486" i="1"/>
  <c r="F2486" i="1"/>
  <c r="D2486" i="1"/>
  <c r="B2486" i="1"/>
  <c r="O2485" i="1"/>
  <c r="N2485" i="1"/>
  <c r="M2485" i="1"/>
  <c r="F2485" i="1"/>
  <c r="D2485" i="1"/>
  <c r="B2485" i="1"/>
  <c r="O2484" i="1"/>
  <c r="N2484" i="1"/>
  <c r="M2484" i="1"/>
  <c r="F2484" i="1"/>
  <c r="D2484" i="1"/>
  <c r="B2484" i="1"/>
  <c r="O2483" i="1"/>
  <c r="N2483" i="1"/>
  <c r="M2483" i="1"/>
  <c r="F2483" i="1"/>
  <c r="D2483" i="1"/>
  <c r="B2483" i="1"/>
  <c r="O2482" i="1"/>
  <c r="N2482" i="1"/>
  <c r="M2482" i="1"/>
  <c r="F2482" i="1"/>
  <c r="D2482" i="1"/>
  <c r="B2482" i="1"/>
  <c r="O2481" i="1"/>
  <c r="N2481" i="1"/>
  <c r="M2481" i="1"/>
  <c r="F2481" i="1"/>
  <c r="D2481" i="1"/>
  <c r="B2481" i="1"/>
  <c r="O2480" i="1"/>
  <c r="N2480" i="1"/>
  <c r="M2480" i="1"/>
  <c r="F2480" i="1"/>
  <c r="D2480" i="1"/>
  <c r="B2480" i="1"/>
  <c r="O2479" i="1"/>
  <c r="N2479" i="1"/>
  <c r="M2479" i="1"/>
  <c r="F2479" i="1"/>
  <c r="D2479" i="1"/>
  <c r="B2479" i="1"/>
  <c r="O2478" i="1"/>
  <c r="N2478" i="1"/>
  <c r="M2478" i="1"/>
  <c r="F2478" i="1"/>
  <c r="D2478" i="1"/>
  <c r="B2478" i="1"/>
  <c r="O2477" i="1"/>
  <c r="N2477" i="1"/>
  <c r="M2477" i="1"/>
  <c r="F2477" i="1"/>
  <c r="D2477" i="1"/>
  <c r="B2477" i="1"/>
  <c r="O2476" i="1"/>
  <c r="N2476" i="1"/>
  <c r="M2476" i="1"/>
  <c r="F2476" i="1"/>
  <c r="D2476" i="1"/>
  <c r="B2476" i="1"/>
  <c r="O2475" i="1"/>
  <c r="N2475" i="1"/>
  <c r="M2475" i="1"/>
  <c r="F2475" i="1"/>
  <c r="D2475" i="1"/>
  <c r="B2475" i="1"/>
  <c r="O2474" i="1"/>
  <c r="N2474" i="1"/>
  <c r="M2474" i="1"/>
  <c r="F2474" i="1"/>
  <c r="D2474" i="1"/>
  <c r="B2474" i="1"/>
  <c r="O2473" i="1"/>
  <c r="N2473" i="1"/>
  <c r="M2473" i="1"/>
  <c r="F2473" i="1"/>
  <c r="D2473" i="1"/>
  <c r="B2473" i="1"/>
  <c r="O2472" i="1"/>
  <c r="N2472" i="1"/>
  <c r="M2472" i="1"/>
  <c r="F2472" i="1"/>
  <c r="D2472" i="1"/>
  <c r="B2472" i="1"/>
  <c r="O2471" i="1"/>
  <c r="N2471" i="1"/>
  <c r="M2471" i="1"/>
  <c r="F2471" i="1"/>
  <c r="D2471" i="1"/>
  <c r="B2471" i="1"/>
  <c r="O2470" i="1"/>
  <c r="N2470" i="1"/>
  <c r="M2470" i="1"/>
  <c r="F2470" i="1"/>
  <c r="D2470" i="1"/>
  <c r="B2470" i="1"/>
  <c r="O2469" i="1"/>
  <c r="N2469" i="1"/>
  <c r="M2469" i="1"/>
  <c r="F2469" i="1"/>
  <c r="D2469" i="1"/>
  <c r="B2469" i="1"/>
  <c r="O2468" i="1"/>
  <c r="N2468" i="1"/>
  <c r="M2468" i="1"/>
  <c r="F2468" i="1"/>
  <c r="D2468" i="1"/>
  <c r="B2468" i="1"/>
  <c r="O2467" i="1"/>
  <c r="N2467" i="1"/>
  <c r="M2467" i="1"/>
  <c r="F2467" i="1"/>
  <c r="D2467" i="1"/>
  <c r="B2467" i="1"/>
  <c r="O2466" i="1"/>
  <c r="N2466" i="1"/>
  <c r="M2466" i="1"/>
  <c r="F2466" i="1"/>
  <c r="D2466" i="1"/>
  <c r="B2466" i="1"/>
  <c r="O2465" i="1"/>
  <c r="N2465" i="1"/>
  <c r="M2465" i="1"/>
  <c r="F2465" i="1"/>
  <c r="D2465" i="1"/>
  <c r="B2465" i="1"/>
  <c r="O2464" i="1"/>
  <c r="N2464" i="1"/>
  <c r="M2464" i="1"/>
  <c r="F2464" i="1"/>
  <c r="D2464" i="1"/>
  <c r="B2464" i="1"/>
  <c r="O2463" i="1"/>
  <c r="N2463" i="1"/>
  <c r="M2463" i="1"/>
  <c r="F2463" i="1"/>
  <c r="D2463" i="1"/>
  <c r="B2463" i="1"/>
  <c r="O2462" i="1"/>
  <c r="N2462" i="1"/>
  <c r="M2462" i="1"/>
  <c r="F2462" i="1"/>
  <c r="D2462" i="1"/>
  <c r="B2462" i="1"/>
  <c r="O2461" i="1"/>
  <c r="N2461" i="1"/>
  <c r="M2461" i="1"/>
  <c r="F2461" i="1"/>
  <c r="D2461" i="1"/>
  <c r="B2461" i="1"/>
  <c r="O2460" i="1"/>
  <c r="N2460" i="1"/>
  <c r="M2460" i="1"/>
  <c r="F2460" i="1"/>
  <c r="D2460" i="1"/>
  <c r="B2460" i="1"/>
  <c r="O2459" i="1"/>
  <c r="N2459" i="1"/>
  <c r="M2459" i="1"/>
  <c r="F2459" i="1"/>
  <c r="D2459" i="1"/>
  <c r="B2459" i="1"/>
  <c r="O2458" i="1"/>
  <c r="N2458" i="1"/>
  <c r="M2458" i="1"/>
  <c r="F2458" i="1"/>
  <c r="D2458" i="1"/>
  <c r="B2458" i="1"/>
  <c r="O2457" i="1"/>
  <c r="N2457" i="1"/>
  <c r="M2457" i="1"/>
  <c r="F2457" i="1"/>
  <c r="D2457" i="1"/>
  <c r="B2457" i="1"/>
  <c r="O2456" i="1"/>
  <c r="N2456" i="1"/>
  <c r="M2456" i="1"/>
  <c r="F2456" i="1"/>
  <c r="D2456" i="1"/>
  <c r="B2456" i="1"/>
  <c r="O2455" i="1"/>
  <c r="N2455" i="1"/>
  <c r="M2455" i="1"/>
  <c r="F2455" i="1"/>
  <c r="D2455" i="1"/>
  <c r="B2455" i="1"/>
  <c r="O2454" i="1"/>
  <c r="N2454" i="1"/>
  <c r="M2454" i="1"/>
  <c r="F2454" i="1"/>
  <c r="D2454" i="1"/>
  <c r="B2454" i="1"/>
  <c r="O2453" i="1"/>
  <c r="N2453" i="1"/>
  <c r="M2453" i="1"/>
  <c r="F2453" i="1"/>
  <c r="D2453" i="1"/>
  <c r="B2453" i="1"/>
  <c r="O2452" i="1"/>
  <c r="N2452" i="1"/>
  <c r="M2452" i="1"/>
  <c r="F2452" i="1"/>
  <c r="D2452" i="1"/>
  <c r="B2452" i="1"/>
  <c r="O2451" i="1"/>
  <c r="N2451" i="1"/>
  <c r="M2451" i="1"/>
  <c r="F2451" i="1"/>
  <c r="D2451" i="1"/>
  <c r="B2451" i="1"/>
  <c r="O2450" i="1"/>
  <c r="N2450" i="1"/>
  <c r="M2450" i="1"/>
  <c r="F2450" i="1"/>
  <c r="D2450" i="1"/>
  <c r="B2450" i="1"/>
  <c r="O2449" i="1"/>
  <c r="N2449" i="1"/>
  <c r="M2449" i="1"/>
  <c r="F2449" i="1"/>
  <c r="D2449" i="1"/>
  <c r="B2449" i="1"/>
  <c r="O2448" i="1"/>
  <c r="N2448" i="1"/>
  <c r="M2448" i="1"/>
  <c r="F2448" i="1"/>
  <c r="D2448" i="1"/>
  <c r="B2448" i="1"/>
  <c r="O2447" i="1"/>
  <c r="N2447" i="1"/>
  <c r="M2447" i="1"/>
  <c r="F2447" i="1"/>
  <c r="D2447" i="1"/>
  <c r="B2447" i="1"/>
  <c r="O2446" i="1"/>
  <c r="N2446" i="1"/>
  <c r="M2446" i="1"/>
  <c r="F2446" i="1"/>
  <c r="D2446" i="1"/>
  <c r="B2446" i="1"/>
  <c r="O2445" i="1"/>
  <c r="N2445" i="1"/>
  <c r="M2445" i="1"/>
  <c r="F2445" i="1"/>
  <c r="D2445" i="1"/>
  <c r="B2445" i="1"/>
  <c r="O2444" i="1"/>
  <c r="N2444" i="1"/>
  <c r="M2444" i="1"/>
  <c r="F2444" i="1"/>
  <c r="D2444" i="1"/>
  <c r="B2444" i="1"/>
  <c r="O2443" i="1"/>
  <c r="N2443" i="1"/>
  <c r="M2443" i="1"/>
  <c r="F2443" i="1"/>
  <c r="D2443" i="1"/>
  <c r="B2443" i="1"/>
  <c r="O2442" i="1"/>
  <c r="N2442" i="1"/>
  <c r="M2442" i="1"/>
  <c r="F2442" i="1"/>
  <c r="D2442" i="1"/>
  <c r="B2442" i="1"/>
  <c r="O2441" i="1"/>
  <c r="N2441" i="1"/>
  <c r="M2441" i="1"/>
  <c r="F2441" i="1"/>
  <c r="D2441" i="1"/>
  <c r="B2441" i="1"/>
  <c r="O2440" i="1"/>
  <c r="N2440" i="1"/>
  <c r="M2440" i="1"/>
  <c r="F2440" i="1"/>
  <c r="D2440" i="1"/>
  <c r="B2440" i="1"/>
  <c r="O2439" i="1"/>
  <c r="N2439" i="1"/>
  <c r="M2439" i="1"/>
  <c r="F2439" i="1"/>
  <c r="D2439" i="1"/>
  <c r="B2439" i="1"/>
  <c r="O2438" i="1"/>
  <c r="N2438" i="1"/>
  <c r="M2438" i="1"/>
  <c r="F2438" i="1"/>
  <c r="D2438" i="1"/>
  <c r="B2438" i="1"/>
  <c r="O2437" i="1"/>
  <c r="N2437" i="1"/>
  <c r="M2437" i="1"/>
  <c r="F2437" i="1"/>
  <c r="D2437" i="1"/>
  <c r="B2437" i="1"/>
  <c r="O2436" i="1"/>
  <c r="N2436" i="1"/>
  <c r="M2436" i="1"/>
  <c r="F2436" i="1"/>
  <c r="D2436" i="1"/>
  <c r="B2436" i="1"/>
  <c r="O2435" i="1"/>
  <c r="N2435" i="1"/>
  <c r="M2435" i="1"/>
  <c r="F2435" i="1"/>
  <c r="D2435" i="1"/>
  <c r="B2435" i="1"/>
  <c r="O2434" i="1"/>
  <c r="N2434" i="1"/>
  <c r="M2434" i="1"/>
  <c r="F2434" i="1"/>
  <c r="D2434" i="1"/>
  <c r="B2434" i="1"/>
  <c r="O2433" i="1"/>
  <c r="N2433" i="1"/>
  <c r="M2433" i="1"/>
  <c r="F2433" i="1"/>
  <c r="D2433" i="1"/>
  <c r="B2433" i="1"/>
  <c r="O2432" i="1"/>
  <c r="N2432" i="1"/>
  <c r="M2432" i="1"/>
  <c r="F2432" i="1"/>
  <c r="D2432" i="1"/>
  <c r="B2432" i="1"/>
  <c r="O2431" i="1"/>
  <c r="N2431" i="1"/>
  <c r="M2431" i="1"/>
  <c r="F2431" i="1"/>
  <c r="D2431" i="1"/>
  <c r="B2431" i="1"/>
  <c r="O2430" i="1"/>
  <c r="N2430" i="1"/>
  <c r="M2430" i="1"/>
  <c r="F2430" i="1"/>
  <c r="D2430" i="1"/>
  <c r="B2430" i="1"/>
  <c r="O2429" i="1"/>
  <c r="N2429" i="1"/>
  <c r="M2429" i="1"/>
  <c r="F2429" i="1"/>
  <c r="D2429" i="1"/>
  <c r="B2429" i="1"/>
  <c r="O2428" i="1"/>
  <c r="N2428" i="1"/>
  <c r="M2428" i="1"/>
  <c r="F2428" i="1"/>
  <c r="D2428" i="1"/>
  <c r="B2428" i="1"/>
  <c r="O2427" i="1"/>
  <c r="N2427" i="1"/>
  <c r="M2427" i="1"/>
  <c r="F2427" i="1"/>
  <c r="D2427" i="1"/>
  <c r="B2427" i="1"/>
  <c r="O2426" i="1"/>
  <c r="N2426" i="1"/>
  <c r="M2426" i="1"/>
  <c r="F2426" i="1"/>
  <c r="D2426" i="1"/>
  <c r="B2426" i="1"/>
  <c r="O2425" i="1"/>
  <c r="N2425" i="1"/>
  <c r="M2425" i="1"/>
  <c r="F2425" i="1"/>
  <c r="D2425" i="1"/>
  <c r="B2425" i="1"/>
  <c r="O2424" i="1"/>
  <c r="N2424" i="1"/>
  <c r="M2424" i="1"/>
  <c r="F2424" i="1"/>
  <c r="D2424" i="1"/>
  <c r="B2424" i="1"/>
  <c r="O2423" i="1"/>
  <c r="N2423" i="1"/>
  <c r="M2423" i="1"/>
  <c r="F2423" i="1"/>
  <c r="D2423" i="1"/>
  <c r="B2423" i="1"/>
  <c r="O2422" i="1"/>
  <c r="N2422" i="1"/>
  <c r="M2422" i="1"/>
  <c r="F2422" i="1"/>
  <c r="D2422" i="1"/>
  <c r="B2422" i="1"/>
  <c r="O2421" i="1"/>
  <c r="N2421" i="1"/>
  <c r="M2421" i="1"/>
  <c r="F2421" i="1"/>
  <c r="D2421" i="1"/>
  <c r="B2421" i="1"/>
  <c r="O2420" i="1"/>
  <c r="N2420" i="1"/>
  <c r="M2420" i="1"/>
  <c r="F2420" i="1"/>
  <c r="D2420" i="1"/>
  <c r="B2420" i="1"/>
  <c r="O2419" i="1"/>
  <c r="N2419" i="1"/>
  <c r="M2419" i="1"/>
  <c r="F2419" i="1"/>
  <c r="D2419" i="1"/>
  <c r="B2419" i="1"/>
  <c r="O2418" i="1"/>
  <c r="N2418" i="1"/>
  <c r="M2418" i="1"/>
  <c r="F2418" i="1"/>
  <c r="D2418" i="1"/>
  <c r="B2418" i="1"/>
  <c r="O2417" i="1"/>
  <c r="N2417" i="1"/>
  <c r="M2417" i="1"/>
  <c r="F2417" i="1"/>
  <c r="D2417" i="1"/>
  <c r="B2417" i="1"/>
  <c r="O2416" i="1"/>
  <c r="N2416" i="1"/>
  <c r="M2416" i="1"/>
  <c r="F2416" i="1"/>
  <c r="D2416" i="1"/>
  <c r="B2416" i="1"/>
  <c r="O2415" i="1"/>
  <c r="N2415" i="1"/>
  <c r="M2415" i="1"/>
  <c r="F2415" i="1"/>
  <c r="D2415" i="1"/>
  <c r="B2415" i="1"/>
  <c r="O2414" i="1"/>
  <c r="N2414" i="1"/>
  <c r="M2414" i="1"/>
  <c r="F2414" i="1"/>
  <c r="D2414" i="1"/>
  <c r="B2414" i="1"/>
  <c r="O2413" i="1"/>
  <c r="N2413" i="1"/>
  <c r="M2413" i="1"/>
  <c r="F2413" i="1"/>
  <c r="D2413" i="1"/>
  <c r="B2413" i="1"/>
  <c r="O2412" i="1"/>
  <c r="N2412" i="1"/>
  <c r="M2412" i="1"/>
  <c r="F2412" i="1"/>
  <c r="D2412" i="1"/>
  <c r="B2412" i="1"/>
  <c r="O2411" i="1"/>
  <c r="N2411" i="1"/>
  <c r="M2411" i="1"/>
  <c r="F2411" i="1"/>
  <c r="D2411" i="1"/>
  <c r="B2411" i="1"/>
  <c r="O2410" i="1"/>
  <c r="N2410" i="1"/>
  <c r="M2410" i="1"/>
  <c r="F2410" i="1"/>
  <c r="D2410" i="1"/>
  <c r="B2410" i="1"/>
  <c r="O2409" i="1"/>
  <c r="N2409" i="1"/>
  <c r="M2409" i="1"/>
  <c r="F2409" i="1"/>
  <c r="D2409" i="1"/>
  <c r="B2409" i="1"/>
  <c r="O2408" i="1"/>
  <c r="N2408" i="1"/>
  <c r="M2408" i="1"/>
  <c r="F2408" i="1"/>
  <c r="D2408" i="1"/>
  <c r="B2408" i="1"/>
  <c r="O2407" i="1"/>
  <c r="N2407" i="1"/>
  <c r="M2407" i="1"/>
  <c r="F2407" i="1"/>
  <c r="D2407" i="1"/>
  <c r="B2407" i="1"/>
  <c r="O2406" i="1"/>
  <c r="N2406" i="1"/>
  <c r="M2406" i="1"/>
  <c r="F2406" i="1"/>
  <c r="D2406" i="1"/>
  <c r="B2406" i="1"/>
  <c r="O2405" i="1"/>
  <c r="N2405" i="1"/>
  <c r="M2405" i="1"/>
  <c r="F2405" i="1"/>
  <c r="D2405" i="1"/>
  <c r="B2405" i="1"/>
  <c r="O2404" i="1"/>
  <c r="N2404" i="1"/>
  <c r="M2404" i="1"/>
  <c r="F2404" i="1"/>
  <c r="D2404" i="1"/>
  <c r="B2404" i="1"/>
  <c r="O2403" i="1"/>
  <c r="N2403" i="1"/>
  <c r="M2403" i="1"/>
  <c r="F2403" i="1"/>
  <c r="D2403" i="1"/>
  <c r="B2403" i="1"/>
  <c r="O2402" i="1"/>
  <c r="N2402" i="1"/>
  <c r="M2402" i="1"/>
  <c r="F2402" i="1"/>
  <c r="D2402" i="1"/>
  <c r="B2402" i="1"/>
  <c r="O2401" i="1"/>
  <c r="N2401" i="1"/>
  <c r="M2401" i="1"/>
  <c r="F2401" i="1"/>
  <c r="D2401" i="1"/>
  <c r="B2401" i="1"/>
  <c r="O2400" i="1"/>
  <c r="N2400" i="1"/>
  <c r="M2400" i="1"/>
  <c r="F2400" i="1"/>
  <c r="D2400" i="1"/>
  <c r="B2400" i="1"/>
  <c r="O2399" i="1"/>
  <c r="N2399" i="1"/>
  <c r="M2399" i="1"/>
  <c r="F2399" i="1"/>
  <c r="D2399" i="1"/>
  <c r="B2399" i="1"/>
  <c r="O2398" i="1"/>
  <c r="N2398" i="1"/>
  <c r="M2398" i="1"/>
  <c r="F2398" i="1"/>
  <c r="D2398" i="1"/>
  <c r="B2398" i="1"/>
  <c r="O2397" i="1"/>
  <c r="N2397" i="1"/>
  <c r="M2397" i="1"/>
  <c r="F2397" i="1"/>
  <c r="D2397" i="1"/>
  <c r="B2397" i="1"/>
  <c r="O2396" i="1"/>
  <c r="N2396" i="1"/>
  <c r="M2396" i="1"/>
  <c r="F2396" i="1"/>
  <c r="D2396" i="1"/>
  <c r="B2396" i="1"/>
  <c r="O2395" i="1"/>
  <c r="N2395" i="1"/>
  <c r="M2395" i="1"/>
  <c r="F2395" i="1"/>
  <c r="D2395" i="1"/>
  <c r="B2395" i="1"/>
  <c r="O2394" i="1"/>
  <c r="N2394" i="1"/>
  <c r="M2394" i="1"/>
  <c r="F2394" i="1"/>
  <c r="D2394" i="1"/>
  <c r="B2394" i="1"/>
  <c r="O2393" i="1"/>
  <c r="N2393" i="1"/>
  <c r="M2393" i="1"/>
  <c r="F2393" i="1"/>
  <c r="D2393" i="1"/>
  <c r="B2393" i="1"/>
  <c r="O2392" i="1"/>
  <c r="N2392" i="1"/>
  <c r="M2392" i="1"/>
  <c r="F2392" i="1"/>
  <c r="D2392" i="1"/>
  <c r="B2392" i="1"/>
  <c r="O2391" i="1"/>
  <c r="N2391" i="1"/>
  <c r="M2391" i="1"/>
  <c r="F2391" i="1"/>
  <c r="D2391" i="1"/>
  <c r="B2391" i="1"/>
  <c r="O2390" i="1"/>
  <c r="N2390" i="1"/>
  <c r="M2390" i="1"/>
  <c r="F2390" i="1"/>
  <c r="D2390" i="1"/>
  <c r="B2390" i="1"/>
  <c r="O2389" i="1"/>
  <c r="N2389" i="1"/>
  <c r="M2389" i="1"/>
  <c r="F2389" i="1"/>
  <c r="D2389" i="1"/>
  <c r="B2389" i="1"/>
  <c r="O2388" i="1"/>
  <c r="N2388" i="1"/>
  <c r="M2388" i="1"/>
  <c r="F2388" i="1"/>
  <c r="D2388" i="1"/>
  <c r="B2388" i="1"/>
  <c r="O2387" i="1"/>
  <c r="N2387" i="1"/>
  <c r="M2387" i="1"/>
  <c r="F2387" i="1"/>
  <c r="D2387" i="1"/>
  <c r="B2387" i="1"/>
  <c r="O2386" i="1"/>
  <c r="N2386" i="1"/>
  <c r="M2386" i="1"/>
  <c r="F2386" i="1"/>
  <c r="D2386" i="1"/>
  <c r="B2386" i="1"/>
  <c r="O2385" i="1"/>
  <c r="N2385" i="1"/>
  <c r="M2385" i="1"/>
  <c r="F2385" i="1"/>
  <c r="D2385" i="1"/>
  <c r="B2385" i="1"/>
  <c r="O2384" i="1"/>
  <c r="N2384" i="1"/>
  <c r="M2384" i="1"/>
  <c r="F2384" i="1"/>
  <c r="D2384" i="1"/>
  <c r="B2384" i="1"/>
  <c r="O2383" i="1"/>
  <c r="N2383" i="1"/>
  <c r="M2383" i="1"/>
  <c r="F2383" i="1"/>
  <c r="D2383" i="1"/>
  <c r="B2383" i="1"/>
  <c r="O2382" i="1"/>
  <c r="N2382" i="1"/>
  <c r="M2382" i="1"/>
  <c r="F2382" i="1"/>
  <c r="D2382" i="1"/>
  <c r="B2382" i="1"/>
  <c r="O2381" i="1"/>
  <c r="N2381" i="1"/>
  <c r="M2381" i="1"/>
  <c r="F2381" i="1"/>
  <c r="D2381" i="1"/>
  <c r="B2381" i="1"/>
  <c r="O2380" i="1"/>
  <c r="N2380" i="1"/>
  <c r="M2380" i="1"/>
  <c r="F2380" i="1"/>
  <c r="D2380" i="1"/>
  <c r="B2380" i="1"/>
  <c r="O2379" i="1"/>
  <c r="N2379" i="1"/>
  <c r="M2379" i="1"/>
  <c r="F2379" i="1"/>
  <c r="D2379" i="1"/>
  <c r="B2379" i="1"/>
  <c r="O2378" i="1"/>
  <c r="N2378" i="1"/>
  <c r="M2378" i="1"/>
  <c r="F2378" i="1"/>
  <c r="D2378" i="1"/>
  <c r="B2378" i="1"/>
  <c r="O2377" i="1"/>
  <c r="N2377" i="1"/>
  <c r="M2377" i="1"/>
  <c r="F2377" i="1"/>
  <c r="D2377" i="1"/>
  <c r="B2377" i="1"/>
  <c r="O2376" i="1"/>
  <c r="N2376" i="1"/>
  <c r="M2376" i="1"/>
  <c r="F2376" i="1"/>
  <c r="D2376" i="1"/>
  <c r="B2376" i="1"/>
  <c r="O2375" i="1"/>
  <c r="N2375" i="1"/>
  <c r="M2375" i="1"/>
  <c r="F2375" i="1"/>
  <c r="D2375" i="1"/>
  <c r="B2375" i="1"/>
  <c r="O2374" i="1"/>
  <c r="N2374" i="1"/>
  <c r="M2374" i="1"/>
  <c r="F2374" i="1"/>
  <c r="D2374" i="1"/>
  <c r="B2374" i="1"/>
  <c r="O2373" i="1"/>
  <c r="N2373" i="1"/>
  <c r="M2373" i="1"/>
  <c r="F2373" i="1"/>
  <c r="D2373" i="1"/>
  <c r="B2373" i="1"/>
  <c r="O2372" i="1"/>
  <c r="N2372" i="1"/>
  <c r="M2372" i="1"/>
  <c r="F2372" i="1"/>
  <c r="D2372" i="1"/>
  <c r="B2372" i="1"/>
  <c r="O2371" i="1"/>
  <c r="N2371" i="1"/>
  <c r="M2371" i="1"/>
  <c r="F2371" i="1"/>
  <c r="D2371" i="1"/>
  <c r="B2371" i="1"/>
  <c r="O2370" i="1"/>
  <c r="N2370" i="1"/>
  <c r="M2370" i="1"/>
  <c r="F2370" i="1"/>
  <c r="D2370" i="1"/>
  <c r="B2370" i="1"/>
  <c r="O2369" i="1"/>
  <c r="N2369" i="1"/>
  <c r="M2369" i="1"/>
  <c r="F2369" i="1"/>
  <c r="D2369" i="1"/>
  <c r="B2369" i="1"/>
  <c r="O2368" i="1"/>
  <c r="N2368" i="1"/>
  <c r="M2368" i="1"/>
  <c r="F2368" i="1"/>
  <c r="D2368" i="1"/>
  <c r="B2368" i="1"/>
  <c r="O2367" i="1"/>
  <c r="N2367" i="1"/>
  <c r="M2367" i="1"/>
  <c r="F2367" i="1"/>
  <c r="D2367" i="1"/>
  <c r="B2367" i="1"/>
  <c r="O2366" i="1"/>
  <c r="N2366" i="1"/>
  <c r="M2366" i="1"/>
  <c r="F2366" i="1"/>
  <c r="D2366" i="1"/>
  <c r="B2366" i="1"/>
  <c r="O2365" i="1"/>
  <c r="N2365" i="1"/>
  <c r="M2365" i="1"/>
  <c r="F2365" i="1"/>
  <c r="D2365" i="1"/>
  <c r="B2365" i="1"/>
  <c r="O2364" i="1"/>
  <c r="N2364" i="1"/>
  <c r="M2364" i="1"/>
  <c r="F2364" i="1"/>
  <c r="D2364" i="1"/>
  <c r="B2364" i="1"/>
  <c r="O2363" i="1"/>
  <c r="N2363" i="1"/>
  <c r="M2363" i="1"/>
  <c r="F2363" i="1"/>
  <c r="D2363" i="1"/>
  <c r="B2363" i="1"/>
  <c r="O2362" i="1"/>
  <c r="N2362" i="1"/>
  <c r="M2362" i="1"/>
  <c r="F2362" i="1"/>
  <c r="D2362" i="1"/>
  <c r="B2362" i="1"/>
  <c r="O2361" i="1"/>
  <c r="N2361" i="1"/>
  <c r="M2361" i="1"/>
  <c r="F2361" i="1"/>
  <c r="D2361" i="1"/>
  <c r="B2361" i="1"/>
  <c r="O2360" i="1"/>
  <c r="N2360" i="1"/>
  <c r="M2360" i="1"/>
  <c r="F2360" i="1"/>
  <c r="D2360" i="1"/>
  <c r="B2360" i="1"/>
  <c r="O2359" i="1"/>
  <c r="N2359" i="1"/>
  <c r="M2359" i="1"/>
  <c r="F2359" i="1"/>
  <c r="D2359" i="1"/>
  <c r="B2359" i="1"/>
  <c r="O2358" i="1"/>
  <c r="N2358" i="1"/>
  <c r="M2358" i="1"/>
  <c r="F2358" i="1"/>
  <c r="D2358" i="1"/>
  <c r="B2358" i="1"/>
  <c r="O2357" i="1"/>
  <c r="N2357" i="1"/>
  <c r="M2357" i="1"/>
  <c r="F2357" i="1"/>
  <c r="D2357" i="1"/>
  <c r="B2357" i="1"/>
  <c r="O2356" i="1"/>
  <c r="N2356" i="1"/>
  <c r="M2356" i="1"/>
  <c r="F2356" i="1"/>
  <c r="D2356" i="1"/>
  <c r="B2356" i="1"/>
  <c r="O2355" i="1"/>
  <c r="N2355" i="1"/>
  <c r="M2355" i="1"/>
  <c r="F2355" i="1"/>
  <c r="D2355" i="1"/>
  <c r="B2355" i="1"/>
  <c r="O2354" i="1"/>
  <c r="N2354" i="1"/>
  <c r="M2354" i="1"/>
  <c r="F2354" i="1"/>
  <c r="D2354" i="1"/>
  <c r="B2354" i="1"/>
  <c r="O2353" i="1"/>
  <c r="N2353" i="1"/>
  <c r="M2353" i="1"/>
  <c r="F2353" i="1"/>
  <c r="D2353" i="1"/>
  <c r="B2353" i="1"/>
  <c r="O2352" i="1"/>
  <c r="N2352" i="1"/>
  <c r="M2352" i="1"/>
  <c r="F2352" i="1"/>
  <c r="D2352" i="1"/>
  <c r="B2352" i="1"/>
  <c r="O2351" i="1"/>
  <c r="N2351" i="1"/>
  <c r="M2351" i="1"/>
  <c r="F2351" i="1"/>
  <c r="D2351" i="1"/>
  <c r="B2351" i="1"/>
  <c r="O2350" i="1"/>
  <c r="N2350" i="1"/>
  <c r="M2350" i="1"/>
  <c r="F2350" i="1"/>
  <c r="D2350" i="1"/>
  <c r="B2350" i="1"/>
  <c r="O2349" i="1"/>
  <c r="N2349" i="1"/>
  <c r="M2349" i="1"/>
  <c r="F2349" i="1"/>
  <c r="D2349" i="1"/>
  <c r="B2349" i="1"/>
  <c r="O2348" i="1"/>
  <c r="N2348" i="1"/>
  <c r="M2348" i="1"/>
  <c r="F2348" i="1"/>
  <c r="D2348" i="1"/>
  <c r="B2348" i="1"/>
  <c r="O2347" i="1"/>
  <c r="N2347" i="1"/>
  <c r="M2347" i="1"/>
  <c r="F2347" i="1"/>
  <c r="D2347" i="1"/>
  <c r="B2347" i="1"/>
  <c r="O2346" i="1"/>
  <c r="N2346" i="1"/>
  <c r="M2346" i="1"/>
  <c r="F2346" i="1"/>
  <c r="D2346" i="1"/>
  <c r="B2346" i="1"/>
  <c r="O2345" i="1"/>
  <c r="N2345" i="1"/>
  <c r="M2345" i="1"/>
  <c r="F2345" i="1"/>
  <c r="D2345" i="1"/>
  <c r="B2345" i="1"/>
  <c r="O2344" i="1"/>
  <c r="N2344" i="1"/>
  <c r="M2344" i="1"/>
  <c r="F2344" i="1"/>
  <c r="D2344" i="1"/>
  <c r="B2344" i="1"/>
  <c r="O2343" i="1"/>
  <c r="N2343" i="1"/>
  <c r="M2343" i="1"/>
  <c r="F2343" i="1"/>
  <c r="D2343" i="1"/>
  <c r="B2343" i="1"/>
  <c r="O2342" i="1"/>
  <c r="N2342" i="1"/>
  <c r="M2342" i="1"/>
  <c r="F2342" i="1"/>
  <c r="D2342" i="1"/>
  <c r="B2342" i="1"/>
  <c r="O2341" i="1"/>
  <c r="N2341" i="1"/>
  <c r="M2341" i="1"/>
  <c r="F2341" i="1"/>
  <c r="D2341" i="1"/>
  <c r="B2341" i="1"/>
  <c r="O2340" i="1"/>
  <c r="N2340" i="1"/>
  <c r="M2340" i="1"/>
  <c r="F2340" i="1"/>
  <c r="D2340" i="1"/>
  <c r="B2340" i="1"/>
  <c r="O2339" i="1"/>
  <c r="N2339" i="1"/>
  <c r="M2339" i="1"/>
  <c r="F2339" i="1"/>
  <c r="D2339" i="1"/>
  <c r="B2339" i="1"/>
  <c r="O2338" i="1"/>
  <c r="N2338" i="1"/>
  <c r="M2338" i="1"/>
  <c r="F2338" i="1"/>
  <c r="D2338" i="1"/>
  <c r="B2338" i="1"/>
  <c r="O2337" i="1"/>
  <c r="N2337" i="1"/>
  <c r="M2337" i="1"/>
  <c r="F2337" i="1"/>
  <c r="D2337" i="1"/>
  <c r="B2337" i="1"/>
  <c r="O2336" i="1"/>
  <c r="N2336" i="1"/>
  <c r="M2336" i="1"/>
  <c r="F2336" i="1"/>
  <c r="D2336" i="1"/>
  <c r="B2336" i="1"/>
  <c r="O2335" i="1"/>
  <c r="N2335" i="1"/>
  <c r="M2335" i="1"/>
  <c r="F2335" i="1"/>
  <c r="D2335" i="1"/>
  <c r="B2335" i="1"/>
  <c r="O2334" i="1"/>
  <c r="N2334" i="1"/>
  <c r="M2334" i="1"/>
  <c r="F2334" i="1"/>
  <c r="D2334" i="1"/>
  <c r="B2334" i="1"/>
  <c r="O2333" i="1"/>
  <c r="N2333" i="1"/>
  <c r="M2333" i="1"/>
  <c r="F2333" i="1"/>
  <c r="D2333" i="1"/>
  <c r="B2333" i="1"/>
  <c r="O2332" i="1"/>
  <c r="N2332" i="1"/>
  <c r="M2332" i="1"/>
  <c r="F2332" i="1"/>
  <c r="D2332" i="1"/>
  <c r="B2332" i="1"/>
  <c r="O2331" i="1"/>
  <c r="N2331" i="1"/>
  <c r="M2331" i="1"/>
  <c r="F2331" i="1"/>
  <c r="D2331" i="1"/>
  <c r="B2331" i="1"/>
  <c r="O2330" i="1"/>
  <c r="N2330" i="1"/>
  <c r="M2330" i="1"/>
  <c r="F2330" i="1"/>
  <c r="D2330" i="1"/>
  <c r="B2330" i="1"/>
  <c r="O2329" i="1"/>
  <c r="N2329" i="1"/>
  <c r="M2329" i="1"/>
  <c r="F2329" i="1"/>
  <c r="D2329" i="1"/>
  <c r="B2329" i="1"/>
  <c r="O2328" i="1"/>
  <c r="N2328" i="1"/>
  <c r="M2328" i="1"/>
  <c r="F2328" i="1"/>
  <c r="D2328" i="1"/>
  <c r="B2328" i="1"/>
  <c r="O2327" i="1"/>
  <c r="N2327" i="1"/>
  <c r="M2327" i="1"/>
  <c r="F2327" i="1"/>
  <c r="D2327" i="1"/>
  <c r="B2327" i="1"/>
  <c r="O2326" i="1"/>
  <c r="N2326" i="1"/>
  <c r="M2326" i="1"/>
  <c r="F2326" i="1"/>
  <c r="D2326" i="1"/>
  <c r="B2326" i="1"/>
  <c r="O2325" i="1"/>
  <c r="N2325" i="1"/>
  <c r="M2325" i="1"/>
  <c r="F2325" i="1"/>
  <c r="D2325" i="1"/>
  <c r="B2325" i="1"/>
  <c r="O2324" i="1"/>
  <c r="N2324" i="1"/>
  <c r="M2324" i="1"/>
  <c r="F2324" i="1"/>
  <c r="D2324" i="1"/>
  <c r="B2324" i="1"/>
  <c r="O2323" i="1"/>
  <c r="N2323" i="1"/>
  <c r="M2323" i="1"/>
  <c r="F2323" i="1"/>
  <c r="D2323" i="1"/>
  <c r="B2323" i="1"/>
  <c r="O2322" i="1"/>
  <c r="N2322" i="1"/>
  <c r="M2322" i="1"/>
  <c r="F2322" i="1"/>
  <c r="D2322" i="1"/>
  <c r="B2322" i="1"/>
  <c r="O2321" i="1"/>
  <c r="N2321" i="1"/>
  <c r="M2321" i="1"/>
  <c r="F2321" i="1"/>
  <c r="D2321" i="1"/>
  <c r="B2321" i="1"/>
  <c r="O2320" i="1"/>
  <c r="N2320" i="1"/>
  <c r="M2320" i="1"/>
  <c r="F2320" i="1"/>
  <c r="D2320" i="1"/>
  <c r="B2320" i="1"/>
  <c r="O2319" i="1"/>
  <c r="N2319" i="1"/>
  <c r="M2319" i="1"/>
  <c r="F2319" i="1"/>
  <c r="D2319" i="1"/>
  <c r="B2319" i="1"/>
  <c r="O2318" i="1"/>
  <c r="N2318" i="1"/>
  <c r="M2318" i="1"/>
  <c r="F2318" i="1"/>
  <c r="D2318" i="1"/>
  <c r="B2318" i="1"/>
  <c r="O2317" i="1"/>
  <c r="N2317" i="1"/>
  <c r="M2317" i="1"/>
  <c r="F2317" i="1"/>
  <c r="D2317" i="1"/>
  <c r="B2317" i="1"/>
  <c r="O2316" i="1"/>
  <c r="N2316" i="1"/>
  <c r="M2316" i="1"/>
  <c r="F2316" i="1"/>
  <c r="D2316" i="1"/>
  <c r="B2316" i="1"/>
  <c r="O2315" i="1"/>
  <c r="N2315" i="1"/>
  <c r="M2315" i="1"/>
  <c r="F2315" i="1"/>
  <c r="D2315" i="1"/>
  <c r="B2315" i="1"/>
  <c r="O2314" i="1"/>
  <c r="N2314" i="1"/>
  <c r="M2314" i="1"/>
  <c r="F2314" i="1"/>
  <c r="D2314" i="1"/>
  <c r="B2314" i="1"/>
  <c r="O2313" i="1"/>
  <c r="N2313" i="1"/>
  <c r="M2313" i="1"/>
  <c r="F2313" i="1"/>
  <c r="D2313" i="1"/>
  <c r="B2313" i="1"/>
  <c r="O2312" i="1"/>
  <c r="N2312" i="1"/>
  <c r="M2312" i="1"/>
  <c r="F2312" i="1"/>
  <c r="D2312" i="1"/>
  <c r="B2312" i="1"/>
  <c r="O2311" i="1"/>
  <c r="N2311" i="1"/>
  <c r="M2311" i="1"/>
  <c r="F2311" i="1"/>
  <c r="D2311" i="1"/>
  <c r="B2311" i="1"/>
  <c r="O2310" i="1"/>
  <c r="N2310" i="1"/>
  <c r="M2310" i="1"/>
  <c r="F2310" i="1"/>
  <c r="D2310" i="1"/>
  <c r="B2310" i="1"/>
  <c r="O2309" i="1"/>
  <c r="N2309" i="1"/>
  <c r="M2309" i="1"/>
  <c r="F2309" i="1"/>
  <c r="D2309" i="1"/>
  <c r="B2309" i="1"/>
  <c r="O2308" i="1"/>
  <c r="N2308" i="1"/>
  <c r="M2308" i="1"/>
  <c r="F2308" i="1"/>
  <c r="D2308" i="1"/>
  <c r="B2308" i="1"/>
  <c r="O2307" i="1"/>
  <c r="N2307" i="1"/>
  <c r="M2307" i="1"/>
  <c r="F2307" i="1"/>
  <c r="D2307" i="1"/>
  <c r="B2307" i="1"/>
  <c r="O2306" i="1"/>
  <c r="N2306" i="1"/>
  <c r="M2306" i="1"/>
  <c r="F2306" i="1"/>
  <c r="D2306" i="1"/>
  <c r="B2306" i="1"/>
  <c r="O2305" i="1"/>
  <c r="N2305" i="1"/>
  <c r="M2305" i="1"/>
  <c r="F2305" i="1"/>
  <c r="D2305" i="1"/>
  <c r="B2305" i="1"/>
  <c r="O2304" i="1"/>
  <c r="N2304" i="1"/>
  <c r="M2304" i="1"/>
  <c r="F2304" i="1"/>
  <c r="D2304" i="1"/>
  <c r="B2304" i="1"/>
  <c r="O2303" i="1"/>
  <c r="N2303" i="1"/>
  <c r="M2303" i="1"/>
  <c r="F2303" i="1"/>
  <c r="D2303" i="1"/>
  <c r="B2303" i="1"/>
  <c r="O2302" i="1"/>
  <c r="N2302" i="1"/>
  <c r="M2302" i="1"/>
  <c r="F2302" i="1"/>
  <c r="D2302" i="1"/>
  <c r="B2302" i="1"/>
  <c r="O2301" i="1"/>
  <c r="N2301" i="1"/>
  <c r="M2301" i="1"/>
  <c r="F2301" i="1"/>
  <c r="D2301" i="1"/>
  <c r="B2301" i="1"/>
  <c r="O2300" i="1"/>
  <c r="N2300" i="1"/>
  <c r="M2300" i="1"/>
  <c r="F2300" i="1"/>
  <c r="D2300" i="1"/>
  <c r="B2300" i="1"/>
  <c r="O2299" i="1"/>
  <c r="N2299" i="1"/>
  <c r="M2299" i="1"/>
  <c r="F2299" i="1"/>
  <c r="D2299" i="1"/>
  <c r="B2299" i="1"/>
  <c r="O2298" i="1"/>
  <c r="N2298" i="1"/>
  <c r="M2298" i="1"/>
  <c r="F2298" i="1"/>
  <c r="D2298" i="1"/>
  <c r="B2298" i="1"/>
  <c r="O2297" i="1"/>
  <c r="N2297" i="1"/>
  <c r="M2297" i="1"/>
  <c r="F2297" i="1"/>
  <c r="D2297" i="1"/>
  <c r="B2297" i="1"/>
  <c r="O2296" i="1"/>
  <c r="N2296" i="1"/>
  <c r="M2296" i="1"/>
  <c r="F2296" i="1"/>
  <c r="D2296" i="1"/>
  <c r="B2296" i="1"/>
  <c r="O2295" i="1"/>
  <c r="N2295" i="1"/>
  <c r="M2295" i="1"/>
  <c r="F2295" i="1"/>
  <c r="D2295" i="1"/>
  <c r="B2295" i="1"/>
  <c r="O2294" i="1"/>
  <c r="N2294" i="1"/>
  <c r="M2294" i="1"/>
  <c r="F2294" i="1"/>
  <c r="D2294" i="1"/>
  <c r="B2294" i="1"/>
  <c r="O2293" i="1"/>
  <c r="N2293" i="1"/>
  <c r="M2293" i="1"/>
  <c r="F2293" i="1"/>
  <c r="D2293" i="1"/>
  <c r="B2293" i="1"/>
  <c r="O2292" i="1"/>
  <c r="N2292" i="1"/>
  <c r="M2292" i="1"/>
  <c r="F2292" i="1"/>
  <c r="D2292" i="1"/>
  <c r="B2292" i="1"/>
  <c r="O2291" i="1"/>
  <c r="N2291" i="1"/>
  <c r="M2291" i="1"/>
  <c r="F2291" i="1"/>
  <c r="D2291" i="1"/>
  <c r="B2291" i="1"/>
  <c r="O2290" i="1"/>
  <c r="N2290" i="1"/>
  <c r="M2290" i="1"/>
  <c r="F2290" i="1"/>
  <c r="D2290" i="1"/>
  <c r="B2290" i="1"/>
  <c r="O2289" i="1"/>
  <c r="N2289" i="1"/>
  <c r="M2289" i="1"/>
  <c r="F2289" i="1"/>
  <c r="D2289" i="1"/>
  <c r="B2289" i="1"/>
  <c r="O2288" i="1"/>
  <c r="N2288" i="1"/>
  <c r="M2288" i="1"/>
  <c r="F2288" i="1"/>
  <c r="D2288" i="1"/>
  <c r="B2288" i="1"/>
  <c r="O2287" i="1"/>
  <c r="N2287" i="1"/>
  <c r="M2287" i="1"/>
  <c r="F2287" i="1"/>
  <c r="D2287" i="1"/>
  <c r="B2287" i="1"/>
  <c r="O2286" i="1"/>
  <c r="N2286" i="1"/>
  <c r="M2286" i="1"/>
  <c r="F2286" i="1"/>
  <c r="D2286" i="1"/>
  <c r="B2286" i="1"/>
  <c r="O2285" i="1"/>
  <c r="N2285" i="1"/>
  <c r="M2285" i="1"/>
  <c r="F2285" i="1"/>
  <c r="D2285" i="1"/>
  <c r="B2285" i="1"/>
  <c r="O2284" i="1"/>
  <c r="N2284" i="1"/>
  <c r="M2284" i="1"/>
  <c r="F2284" i="1"/>
  <c r="D2284" i="1"/>
  <c r="B2284" i="1"/>
  <c r="O2283" i="1"/>
  <c r="N2283" i="1"/>
  <c r="M2283" i="1"/>
  <c r="F2283" i="1"/>
  <c r="D2283" i="1"/>
  <c r="B2283" i="1"/>
  <c r="O2282" i="1"/>
  <c r="N2282" i="1"/>
  <c r="M2282" i="1"/>
  <c r="F2282" i="1"/>
  <c r="D2282" i="1"/>
  <c r="B2282" i="1"/>
  <c r="O2281" i="1"/>
  <c r="N2281" i="1"/>
  <c r="M2281" i="1"/>
  <c r="F2281" i="1"/>
  <c r="D2281" i="1"/>
  <c r="B2281" i="1"/>
  <c r="O2280" i="1"/>
  <c r="N2280" i="1"/>
  <c r="M2280" i="1"/>
  <c r="F2280" i="1"/>
  <c r="D2280" i="1"/>
  <c r="B2280" i="1"/>
  <c r="O2279" i="1"/>
  <c r="N2279" i="1"/>
  <c r="M2279" i="1"/>
  <c r="F2279" i="1"/>
  <c r="D2279" i="1"/>
  <c r="B2279" i="1"/>
  <c r="O2278" i="1"/>
  <c r="N2278" i="1"/>
  <c r="M2278" i="1"/>
  <c r="F2278" i="1"/>
  <c r="D2278" i="1"/>
  <c r="B2278" i="1"/>
  <c r="O2277" i="1"/>
  <c r="N2277" i="1"/>
  <c r="M2277" i="1"/>
  <c r="F2277" i="1"/>
  <c r="D2277" i="1"/>
  <c r="B2277" i="1"/>
  <c r="O2276" i="1"/>
  <c r="N2276" i="1"/>
  <c r="M2276" i="1"/>
  <c r="F2276" i="1"/>
  <c r="D2276" i="1"/>
  <c r="B2276" i="1"/>
  <c r="O2275" i="1"/>
  <c r="N2275" i="1"/>
  <c r="M2275" i="1"/>
  <c r="F2275" i="1"/>
  <c r="D2275" i="1"/>
  <c r="B2275" i="1"/>
  <c r="O2274" i="1"/>
  <c r="N2274" i="1"/>
  <c r="M2274" i="1"/>
  <c r="F2274" i="1"/>
  <c r="D2274" i="1"/>
  <c r="B2274" i="1"/>
  <c r="O2273" i="1"/>
  <c r="N2273" i="1"/>
  <c r="M2273" i="1"/>
  <c r="F2273" i="1"/>
  <c r="D2273" i="1"/>
  <c r="B2273" i="1"/>
  <c r="O2272" i="1"/>
  <c r="N2272" i="1"/>
  <c r="M2272" i="1"/>
  <c r="F2272" i="1"/>
  <c r="D2272" i="1"/>
  <c r="B2272" i="1"/>
  <c r="O2271" i="1"/>
  <c r="N2271" i="1"/>
  <c r="M2271" i="1"/>
  <c r="F2271" i="1"/>
  <c r="D2271" i="1"/>
  <c r="B2271" i="1"/>
  <c r="O2270" i="1"/>
  <c r="N2270" i="1"/>
  <c r="M2270" i="1"/>
  <c r="F2270" i="1"/>
  <c r="D2270" i="1"/>
  <c r="B2270" i="1"/>
  <c r="O2269" i="1"/>
  <c r="N2269" i="1"/>
  <c r="M2269" i="1"/>
  <c r="F2269" i="1"/>
  <c r="D2269" i="1"/>
  <c r="B2269" i="1"/>
  <c r="O2268" i="1"/>
  <c r="N2268" i="1"/>
  <c r="M2268" i="1"/>
  <c r="F2268" i="1"/>
  <c r="D2268" i="1"/>
  <c r="B2268" i="1"/>
  <c r="O2267" i="1"/>
  <c r="N2267" i="1"/>
  <c r="M2267" i="1"/>
  <c r="F2267" i="1"/>
  <c r="D2267" i="1"/>
  <c r="B2267" i="1"/>
  <c r="O2266" i="1"/>
  <c r="N2266" i="1"/>
  <c r="M2266" i="1"/>
  <c r="F2266" i="1"/>
  <c r="D2266" i="1"/>
  <c r="B2266" i="1"/>
  <c r="O2265" i="1"/>
  <c r="N2265" i="1"/>
  <c r="M2265" i="1"/>
  <c r="F2265" i="1"/>
  <c r="D2265" i="1"/>
  <c r="B2265" i="1"/>
  <c r="O2264" i="1"/>
  <c r="N2264" i="1"/>
  <c r="M2264" i="1"/>
  <c r="F2264" i="1"/>
  <c r="D2264" i="1"/>
  <c r="B2264" i="1"/>
  <c r="O2263" i="1"/>
  <c r="N2263" i="1"/>
  <c r="M2263" i="1"/>
  <c r="F2263" i="1"/>
  <c r="D2263" i="1"/>
  <c r="B2263" i="1"/>
  <c r="O2262" i="1"/>
  <c r="N2262" i="1"/>
  <c r="M2262" i="1"/>
  <c r="F2262" i="1"/>
  <c r="D2262" i="1"/>
  <c r="B2262" i="1"/>
  <c r="O2261" i="1"/>
  <c r="N2261" i="1"/>
  <c r="M2261" i="1"/>
  <c r="F2261" i="1"/>
  <c r="D2261" i="1"/>
  <c r="B2261" i="1"/>
  <c r="O2260" i="1"/>
  <c r="N2260" i="1"/>
  <c r="M2260" i="1"/>
  <c r="F2260" i="1"/>
  <c r="D2260" i="1"/>
  <c r="B2260" i="1"/>
  <c r="O2259" i="1"/>
  <c r="N2259" i="1"/>
  <c r="M2259" i="1"/>
  <c r="F2259" i="1"/>
  <c r="D2259" i="1"/>
  <c r="B2259" i="1"/>
  <c r="O2258" i="1"/>
  <c r="N2258" i="1"/>
  <c r="M2258" i="1"/>
  <c r="F2258" i="1"/>
  <c r="D2258" i="1"/>
  <c r="B2258" i="1"/>
  <c r="O2257" i="1"/>
  <c r="N2257" i="1"/>
  <c r="M2257" i="1"/>
  <c r="F2257" i="1"/>
  <c r="D2257" i="1"/>
  <c r="B2257" i="1"/>
  <c r="O2256" i="1"/>
  <c r="N2256" i="1"/>
  <c r="M2256" i="1"/>
  <c r="F2256" i="1"/>
  <c r="D2256" i="1"/>
  <c r="B2256" i="1"/>
  <c r="O2255" i="1"/>
  <c r="N2255" i="1"/>
  <c r="M2255" i="1"/>
  <c r="F2255" i="1"/>
  <c r="D2255" i="1"/>
  <c r="B2255" i="1"/>
  <c r="O2254" i="1"/>
  <c r="N2254" i="1"/>
  <c r="M2254" i="1"/>
  <c r="F2254" i="1"/>
  <c r="D2254" i="1"/>
  <c r="B2254" i="1"/>
  <c r="O2253" i="1"/>
  <c r="N2253" i="1"/>
  <c r="M2253" i="1"/>
  <c r="F2253" i="1"/>
  <c r="D2253" i="1"/>
  <c r="B2253" i="1"/>
  <c r="O2252" i="1"/>
  <c r="N2252" i="1"/>
  <c r="M2252" i="1"/>
  <c r="F2252" i="1"/>
  <c r="D2252" i="1"/>
  <c r="B2252" i="1"/>
  <c r="O2251" i="1"/>
  <c r="N2251" i="1"/>
  <c r="M2251" i="1"/>
  <c r="F2251" i="1"/>
  <c r="D2251" i="1"/>
  <c r="B2251" i="1"/>
  <c r="O2250" i="1"/>
  <c r="N2250" i="1"/>
  <c r="M2250" i="1"/>
  <c r="F2250" i="1"/>
  <c r="D2250" i="1"/>
  <c r="B2250" i="1"/>
  <c r="O2249" i="1"/>
  <c r="N2249" i="1"/>
  <c r="M2249" i="1"/>
  <c r="F2249" i="1"/>
  <c r="D2249" i="1"/>
  <c r="B2249" i="1"/>
  <c r="O2248" i="1"/>
  <c r="N2248" i="1"/>
  <c r="M2248" i="1"/>
  <c r="F2248" i="1"/>
  <c r="D2248" i="1"/>
  <c r="B2248" i="1"/>
  <c r="O2247" i="1"/>
  <c r="N2247" i="1"/>
  <c r="M2247" i="1"/>
  <c r="F2247" i="1"/>
  <c r="D2247" i="1"/>
  <c r="B2247" i="1"/>
  <c r="O2246" i="1"/>
  <c r="N2246" i="1"/>
  <c r="M2246" i="1"/>
  <c r="F2246" i="1"/>
  <c r="D2246" i="1"/>
  <c r="B2246" i="1"/>
  <c r="O2245" i="1"/>
  <c r="N2245" i="1"/>
  <c r="M2245" i="1"/>
  <c r="F2245" i="1"/>
  <c r="D2245" i="1"/>
  <c r="B2245" i="1"/>
  <c r="O2244" i="1"/>
  <c r="N2244" i="1"/>
  <c r="M2244" i="1"/>
  <c r="F2244" i="1"/>
  <c r="D2244" i="1"/>
  <c r="B2244" i="1"/>
  <c r="O2243" i="1"/>
  <c r="N2243" i="1"/>
  <c r="M2243" i="1"/>
  <c r="F2243" i="1"/>
  <c r="D2243" i="1"/>
  <c r="B2243" i="1"/>
  <c r="O2242" i="1"/>
  <c r="N2242" i="1"/>
  <c r="M2242" i="1"/>
  <c r="F2242" i="1"/>
  <c r="D2242" i="1"/>
  <c r="B2242" i="1"/>
  <c r="O2241" i="1"/>
  <c r="N2241" i="1"/>
  <c r="M2241" i="1"/>
  <c r="F2241" i="1"/>
  <c r="D2241" i="1"/>
  <c r="B2241" i="1"/>
  <c r="O2240" i="1"/>
  <c r="N2240" i="1"/>
  <c r="M2240" i="1"/>
  <c r="F2240" i="1"/>
  <c r="D2240" i="1"/>
  <c r="B2240" i="1"/>
  <c r="O2239" i="1"/>
  <c r="N2239" i="1"/>
  <c r="M2239" i="1"/>
  <c r="F2239" i="1"/>
  <c r="D2239" i="1"/>
  <c r="B2239" i="1"/>
  <c r="O2238" i="1"/>
  <c r="N2238" i="1"/>
  <c r="M2238" i="1"/>
  <c r="F2238" i="1"/>
  <c r="D2238" i="1"/>
  <c r="B2238" i="1"/>
  <c r="O2237" i="1"/>
  <c r="N2237" i="1"/>
  <c r="M2237" i="1"/>
  <c r="F2237" i="1"/>
  <c r="D2237" i="1"/>
  <c r="B2237" i="1"/>
  <c r="O2236" i="1"/>
  <c r="N2236" i="1"/>
  <c r="M2236" i="1"/>
  <c r="F2236" i="1"/>
  <c r="D2236" i="1"/>
  <c r="B2236" i="1"/>
  <c r="O2235" i="1"/>
  <c r="N2235" i="1"/>
  <c r="M2235" i="1"/>
  <c r="F2235" i="1"/>
  <c r="D2235" i="1"/>
  <c r="B2235" i="1"/>
  <c r="O2234" i="1"/>
  <c r="N2234" i="1"/>
  <c r="M2234" i="1"/>
  <c r="F2234" i="1"/>
  <c r="D2234" i="1"/>
  <c r="B2234" i="1"/>
  <c r="O2233" i="1"/>
  <c r="N2233" i="1"/>
  <c r="M2233" i="1"/>
  <c r="F2233" i="1"/>
  <c r="D2233" i="1"/>
  <c r="B2233" i="1"/>
  <c r="O2232" i="1"/>
  <c r="N2232" i="1"/>
  <c r="M2232" i="1"/>
  <c r="F2232" i="1"/>
  <c r="D2232" i="1"/>
  <c r="B2232" i="1"/>
  <c r="O2231" i="1"/>
  <c r="N2231" i="1"/>
  <c r="M2231" i="1"/>
  <c r="F2231" i="1"/>
  <c r="D2231" i="1"/>
  <c r="B2231" i="1"/>
  <c r="O2230" i="1"/>
  <c r="N2230" i="1"/>
  <c r="M2230" i="1"/>
  <c r="F2230" i="1"/>
  <c r="D2230" i="1"/>
  <c r="B2230" i="1"/>
  <c r="O2229" i="1"/>
  <c r="N2229" i="1"/>
  <c r="M2229" i="1"/>
  <c r="F2229" i="1"/>
  <c r="D2229" i="1"/>
  <c r="B2229" i="1"/>
  <c r="O2228" i="1"/>
  <c r="N2228" i="1"/>
  <c r="M2228" i="1"/>
  <c r="F2228" i="1"/>
  <c r="D2228" i="1"/>
  <c r="B2228" i="1"/>
  <c r="O2227" i="1"/>
  <c r="N2227" i="1"/>
  <c r="M2227" i="1"/>
  <c r="F2227" i="1"/>
  <c r="D2227" i="1"/>
  <c r="B2227" i="1"/>
  <c r="O2226" i="1"/>
  <c r="N2226" i="1"/>
  <c r="M2226" i="1"/>
  <c r="F2226" i="1"/>
  <c r="D2226" i="1"/>
  <c r="B2226" i="1"/>
  <c r="O2225" i="1"/>
  <c r="N2225" i="1"/>
  <c r="M2225" i="1"/>
  <c r="F2225" i="1"/>
  <c r="D2225" i="1"/>
  <c r="B2225" i="1"/>
  <c r="O2224" i="1"/>
  <c r="N2224" i="1"/>
  <c r="M2224" i="1"/>
  <c r="F2224" i="1"/>
  <c r="D2224" i="1"/>
  <c r="B2224" i="1"/>
  <c r="O2223" i="1"/>
  <c r="N2223" i="1"/>
  <c r="M2223" i="1"/>
  <c r="F2223" i="1"/>
  <c r="D2223" i="1"/>
  <c r="B2223" i="1"/>
  <c r="O2222" i="1"/>
  <c r="N2222" i="1"/>
  <c r="M2222" i="1"/>
  <c r="F2222" i="1"/>
  <c r="D2222" i="1"/>
  <c r="B2222" i="1"/>
  <c r="O2221" i="1"/>
  <c r="N2221" i="1"/>
  <c r="M2221" i="1"/>
  <c r="F2221" i="1"/>
  <c r="D2221" i="1"/>
  <c r="B2221" i="1"/>
  <c r="O2220" i="1"/>
  <c r="N2220" i="1"/>
  <c r="M2220" i="1"/>
  <c r="F2220" i="1"/>
  <c r="D2220" i="1"/>
  <c r="B2220" i="1"/>
  <c r="O2219" i="1"/>
  <c r="N2219" i="1"/>
  <c r="M2219" i="1"/>
  <c r="F2219" i="1"/>
  <c r="D2219" i="1"/>
  <c r="B2219" i="1"/>
  <c r="O2218" i="1"/>
  <c r="N2218" i="1"/>
  <c r="M2218" i="1"/>
  <c r="F2218" i="1"/>
  <c r="D2218" i="1"/>
  <c r="B2218" i="1"/>
  <c r="O2217" i="1"/>
  <c r="N2217" i="1"/>
  <c r="M2217" i="1"/>
  <c r="F2217" i="1"/>
  <c r="D2217" i="1"/>
  <c r="B2217" i="1"/>
  <c r="O2216" i="1"/>
  <c r="N2216" i="1"/>
  <c r="M2216" i="1"/>
  <c r="F2216" i="1"/>
  <c r="D2216" i="1"/>
  <c r="B2216" i="1"/>
  <c r="O2215" i="1"/>
  <c r="N2215" i="1"/>
  <c r="M2215" i="1"/>
  <c r="F2215" i="1"/>
  <c r="D2215" i="1"/>
  <c r="B2215" i="1"/>
  <c r="O2214" i="1"/>
  <c r="N2214" i="1"/>
  <c r="M2214" i="1"/>
  <c r="F2214" i="1"/>
  <c r="D2214" i="1"/>
  <c r="B2214" i="1"/>
  <c r="O2213" i="1"/>
  <c r="N2213" i="1"/>
  <c r="M2213" i="1"/>
  <c r="F2213" i="1"/>
  <c r="D2213" i="1"/>
  <c r="B2213" i="1"/>
  <c r="O2212" i="1"/>
  <c r="N2212" i="1"/>
  <c r="M2212" i="1"/>
  <c r="F2212" i="1"/>
  <c r="D2212" i="1"/>
  <c r="B2212" i="1"/>
  <c r="O2211" i="1"/>
  <c r="N2211" i="1"/>
  <c r="M2211" i="1"/>
  <c r="F2211" i="1"/>
  <c r="D2211" i="1"/>
  <c r="B2211" i="1"/>
  <c r="O2210" i="1"/>
  <c r="N2210" i="1"/>
  <c r="M2210" i="1"/>
  <c r="F2210" i="1"/>
  <c r="D2210" i="1"/>
  <c r="B2210" i="1"/>
  <c r="O2209" i="1"/>
  <c r="N2209" i="1"/>
  <c r="M2209" i="1"/>
  <c r="F2209" i="1"/>
  <c r="D2209" i="1"/>
  <c r="B2209" i="1"/>
  <c r="O2208" i="1"/>
  <c r="N2208" i="1"/>
  <c r="M2208" i="1"/>
  <c r="F2208" i="1"/>
  <c r="D2208" i="1"/>
  <c r="B2208" i="1"/>
  <c r="O2207" i="1"/>
  <c r="N2207" i="1"/>
  <c r="M2207" i="1"/>
  <c r="F2207" i="1"/>
  <c r="D2207" i="1"/>
  <c r="B2207" i="1"/>
  <c r="O2206" i="1"/>
  <c r="N2206" i="1"/>
  <c r="M2206" i="1"/>
  <c r="F2206" i="1"/>
  <c r="D2206" i="1"/>
  <c r="B2206" i="1"/>
  <c r="O2205" i="1"/>
  <c r="N2205" i="1"/>
  <c r="M2205" i="1"/>
  <c r="F2205" i="1"/>
  <c r="D2205" i="1"/>
  <c r="B2205" i="1"/>
  <c r="O2204" i="1"/>
  <c r="N2204" i="1"/>
  <c r="M2204" i="1"/>
  <c r="F2204" i="1"/>
  <c r="D2204" i="1"/>
  <c r="B2204" i="1"/>
  <c r="O2203" i="1"/>
  <c r="N2203" i="1"/>
  <c r="M2203" i="1"/>
  <c r="F2203" i="1"/>
  <c r="D2203" i="1"/>
  <c r="B2203" i="1"/>
  <c r="O2202" i="1"/>
  <c r="N2202" i="1"/>
  <c r="M2202" i="1"/>
  <c r="F2202" i="1"/>
  <c r="D2202" i="1"/>
  <c r="B2202" i="1"/>
  <c r="O2201" i="1"/>
  <c r="N2201" i="1"/>
  <c r="M2201" i="1"/>
  <c r="F2201" i="1"/>
  <c r="D2201" i="1"/>
  <c r="B2201" i="1"/>
  <c r="O2200" i="1"/>
  <c r="N2200" i="1"/>
  <c r="M2200" i="1"/>
  <c r="F2200" i="1"/>
  <c r="D2200" i="1"/>
  <c r="B2200" i="1"/>
  <c r="O2199" i="1"/>
  <c r="N2199" i="1"/>
  <c r="M2199" i="1"/>
  <c r="F2199" i="1"/>
  <c r="D2199" i="1"/>
  <c r="B2199" i="1"/>
  <c r="O2198" i="1"/>
  <c r="N2198" i="1"/>
  <c r="M2198" i="1"/>
  <c r="F2198" i="1"/>
  <c r="D2198" i="1"/>
  <c r="B2198" i="1"/>
  <c r="O2197" i="1"/>
  <c r="N2197" i="1"/>
  <c r="M2197" i="1"/>
  <c r="F2197" i="1"/>
  <c r="D2197" i="1"/>
  <c r="B2197" i="1"/>
  <c r="O2196" i="1"/>
  <c r="N2196" i="1"/>
  <c r="M2196" i="1"/>
  <c r="F2196" i="1"/>
  <c r="D2196" i="1"/>
  <c r="B2196" i="1"/>
  <c r="O2195" i="1"/>
  <c r="N2195" i="1"/>
  <c r="M2195" i="1"/>
  <c r="F2195" i="1"/>
  <c r="D2195" i="1"/>
  <c r="B2195" i="1"/>
  <c r="O2194" i="1"/>
  <c r="N2194" i="1"/>
  <c r="M2194" i="1"/>
  <c r="F2194" i="1"/>
  <c r="D2194" i="1"/>
  <c r="B2194" i="1"/>
  <c r="O2193" i="1"/>
  <c r="N2193" i="1"/>
  <c r="M2193" i="1"/>
  <c r="F2193" i="1"/>
  <c r="D2193" i="1"/>
  <c r="B2193" i="1"/>
  <c r="O2192" i="1"/>
  <c r="N2192" i="1"/>
  <c r="M2192" i="1"/>
  <c r="F2192" i="1"/>
  <c r="D2192" i="1"/>
  <c r="B2192" i="1"/>
  <c r="O2191" i="1"/>
  <c r="N2191" i="1"/>
  <c r="M2191" i="1"/>
  <c r="F2191" i="1"/>
  <c r="D2191" i="1"/>
  <c r="B2191" i="1"/>
  <c r="O2190" i="1"/>
  <c r="N2190" i="1"/>
  <c r="M2190" i="1"/>
  <c r="F2190" i="1"/>
  <c r="D2190" i="1"/>
  <c r="B2190" i="1"/>
  <c r="O2189" i="1"/>
  <c r="N2189" i="1"/>
  <c r="M2189" i="1"/>
  <c r="F2189" i="1"/>
  <c r="D2189" i="1"/>
  <c r="B2189" i="1"/>
  <c r="O2188" i="1"/>
  <c r="N2188" i="1"/>
  <c r="M2188" i="1"/>
  <c r="F2188" i="1"/>
  <c r="D2188" i="1"/>
  <c r="B2188" i="1"/>
  <c r="O2187" i="1"/>
  <c r="N2187" i="1"/>
  <c r="M2187" i="1"/>
  <c r="F2187" i="1"/>
  <c r="D2187" i="1"/>
  <c r="B2187" i="1"/>
  <c r="O2186" i="1"/>
  <c r="N2186" i="1"/>
  <c r="M2186" i="1"/>
  <c r="F2186" i="1"/>
  <c r="D2186" i="1"/>
  <c r="B2186" i="1"/>
  <c r="O2185" i="1"/>
  <c r="N2185" i="1"/>
  <c r="M2185" i="1"/>
  <c r="F2185" i="1"/>
  <c r="D2185" i="1"/>
  <c r="B2185" i="1"/>
  <c r="O2184" i="1"/>
  <c r="N2184" i="1"/>
  <c r="M2184" i="1"/>
  <c r="F2184" i="1"/>
  <c r="D2184" i="1"/>
  <c r="B2184" i="1"/>
  <c r="O2183" i="1"/>
  <c r="N2183" i="1"/>
  <c r="M2183" i="1"/>
  <c r="F2183" i="1"/>
  <c r="D2183" i="1"/>
  <c r="B2183" i="1"/>
  <c r="O2182" i="1"/>
  <c r="N2182" i="1"/>
  <c r="M2182" i="1"/>
  <c r="F2182" i="1"/>
  <c r="D2182" i="1"/>
  <c r="B2182" i="1"/>
  <c r="O2181" i="1"/>
  <c r="N2181" i="1"/>
  <c r="M2181" i="1"/>
  <c r="F2181" i="1"/>
  <c r="D2181" i="1"/>
  <c r="B2181" i="1"/>
  <c r="O2180" i="1"/>
  <c r="N2180" i="1"/>
  <c r="M2180" i="1"/>
  <c r="F2180" i="1"/>
  <c r="D2180" i="1"/>
  <c r="B2180" i="1"/>
  <c r="O2179" i="1"/>
  <c r="N2179" i="1"/>
  <c r="M2179" i="1"/>
  <c r="F2179" i="1"/>
  <c r="D2179" i="1"/>
  <c r="B2179" i="1"/>
  <c r="O2178" i="1"/>
  <c r="N2178" i="1"/>
  <c r="M2178" i="1"/>
  <c r="F2178" i="1"/>
  <c r="D2178" i="1"/>
  <c r="B2178" i="1"/>
  <c r="O2177" i="1"/>
  <c r="N2177" i="1"/>
  <c r="M2177" i="1"/>
  <c r="F2177" i="1"/>
  <c r="D2177" i="1"/>
  <c r="B2177" i="1"/>
  <c r="O2176" i="1"/>
  <c r="N2176" i="1"/>
  <c r="M2176" i="1"/>
  <c r="F2176" i="1"/>
  <c r="D2176" i="1"/>
  <c r="B2176" i="1"/>
  <c r="O2175" i="1"/>
  <c r="N2175" i="1"/>
  <c r="M2175" i="1"/>
  <c r="F2175" i="1"/>
  <c r="D2175" i="1"/>
  <c r="B2175" i="1"/>
  <c r="O2174" i="1"/>
  <c r="N2174" i="1"/>
  <c r="M2174" i="1"/>
  <c r="F2174" i="1"/>
  <c r="D2174" i="1"/>
  <c r="B2174" i="1"/>
  <c r="O2173" i="1"/>
  <c r="N2173" i="1"/>
  <c r="M2173" i="1"/>
  <c r="F2173" i="1"/>
  <c r="D2173" i="1"/>
  <c r="B2173" i="1"/>
  <c r="O2172" i="1"/>
  <c r="N2172" i="1"/>
  <c r="M2172" i="1"/>
  <c r="F2172" i="1"/>
  <c r="D2172" i="1"/>
  <c r="B2172" i="1"/>
  <c r="O2171" i="1"/>
  <c r="N2171" i="1"/>
  <c r="M2171" i="1"/>
  <c r="F2171" i="1"/>
  <c r="D2171" i="1"/>
  <c r="B2171" i="1"/>
  <c r="O2170" i="1"/>
  <c r="N2170" i="1"/>
  <c r="M2170" i="1"/>
  <c r="F2170" i="1"/>
  <c r="D2170" i="1"/>
  <c r="B2170" i="1"/>
  <c r="O2169" i="1"/>
  <c r="N2169" i="1"/>
  <c r="M2169" i="1"/>
  <c r="F2169" i="1"/>
  <c r="D2169" i="1"/>
  <c r="B2169" i="1"/>
  <c r="O2168" i="1"/>
  <c r="N2168" i="1"/>
  <c r="M2168" i="1"/>
  <c r="F2168" i="1"/>
  <c r="D2168" i="1"/>
  <c r="B2168" i="1"/>
  <c r="O2167" i="1"/>
  <c r="N2167" i="1"/>
  <c r="M2167" i="1"/>
  <c r="F2167" i="1"/>
  <c r="D2167" i="1"/>
  <c r="B2167" i="1"/>
  <c r="O2166" i="1"/>
  <c r="N2166" i="1"/>
  <c r="M2166" i="1"/>
  <c r="F2166" i="1"/>
  <c r="D2166" i="1"/>
  <c r="B2166" i="1"/>
  <c r="O2165" i="1"/>
  <c r="N2165" i="1"/>
  <c r="M2165" i="1"/>
  <c r="F2165" i="1"/>
  <c r="D2165" i="1"/>
  <c r="B2165" i="1"/>
  <c r="O2164" i="1"/>
  <c r="N2164" i="1"/>
  <c r="M2164" i="1"/>
  <c r="F2164" i="1"/>
  <c r="D2164" i="1"/>
  <c r="B2164" i="1"/>
  <c r="O2163" i="1"/>
  <c r="N2163" i="1"/>
  <c r="M2163" i="1"/>
  <c r="F2163" i="1"/>
  <c r="D2163" i="1"/>
  <c r="B2163" i="1"/>
  <c r="O2162" i="1"/>
  <c r="N2162" i="1"/>
  <c r="M2162" i="1"/>
  <c r="F2162" i="1"/>
  <c r="D2162" i="1"/>
  <c r="B2162" i="1"/>
  <c r="O2161" i="1"/>
  <c r="N2161" i="1"/>
  <c r="M2161" i="1"/>
  <c r="F2161" i="1"/>
  <c r="D2161" i="1"/>
  <c r="B2161" i="1"/>
  <c r="O2160" i="1"/>
  <c r="N2160" i="1"/>
  <c r="M2160" i="1"/>
  <c r="F2160" i="1"/>
  <c r="D2160" i="1"/>
  <c r="B2160" i="1"/>
  <c r="O2159" i="1"/>
  <c r="N2159" i="1"/>
  <c r="M2159" i="1"/>
  <c r="F2159" i="1"/>
  <c r="D2159" i="1"/>
  <c r="B2159" i="1"/>
  <c r="O2158" i="1"/>
  <c r="N2158" i="1"/>
  <c r="M2158" i="1"/>
  <c r="F2158" i="1"/>
  <c r="D2158" i="1"/>
  <c r="B2158" i="1"/>
  <c r="O2157" i="1"/>
  <c r="N2157" i="1"/>
  <c r="M2157" i="1"/>
  <c r="F2157" i="1"/>
  <c r="D2157" i="1"/>
  <c r="B2157" i="1"/>
  <c r="O2156" i="1"/>
  <c r="N2156" i="1"/>
  <c r="M2156" i="1"/>
  <c r="F2156" i="1"/>
  <c r="D2156" i="1"/>
  <c r="B2156" i="1"/>
  <c r="O2155" i="1"/>
  <c r="N2155" i="1"/>
  <c r="M2155" i="1"/>
  <c r="F2155" i="1"/>
  <c r="D2155" i="1"/>
  <c r="B2155" i="1"/>
  <c r="O2154" i="1"/>
  <c r="N2154" i="1"/>
  <c r="M2154" i="1"/>
  <c r="F2154" i="1"/>
  <c r="D2154" i="1"/>
  <c r="B2154" i="1"/>
  <c r="O2153" i="1"/>
  <c r="N2153" i="1"/>
  <c r="M2153" i="1"/>
  <c r="F2153" i="1"/>
  <c r="D2153" i="1"/>
  <c r="B2153" i="1"/>
  <c r="O2152" i="1"/>
  <c r="N2152" i="1"/>
  <c r="M2152" i="1"/>
  <c r="F2152" i="1"/>
  <c r="D2152" i="1"/>
  <c r="B2152" i="1"/>
  <c r="O2151" i="1"/>
  <c r="N2151" i="1"/>
  <c r="M2151" i="1"/>
  <c r="F2151" i="1"/>
  <c r="D2151" i="1"/>
  <c r="B2151" i="1"/>
  <c r="O2150" i="1"/>
  <c r="N2150" i="1"/>
  <c r="M2150" i="1"/>
  <c r="F2150" i="1"/>
  <c r="D2150" i="1"/>
  <c r="B2150" i="1"/>
  <c r="O2149" i="1"/>
  <c r="N2149" i="1"/>
  <c r="M2149" i="1"/>
  <c r="F2149" i="1"/>
  <c r="D2149" i="1"/>
  <c r="B2149" i="1"/>
  <c r="O2148" i="1"/>
  <c r="N2148" i="1"/>
  <c r="M2148" i="1"/>
  <c r="F2148" i="1"/>
  <c r="D2148" i="1"/>
  <c r="B2148" i="1"/>
  <c r="O2147" i="1"/>
  <c r="N2147" i="1"/>
  <c r="M2147" i="1"/>
  <c r="F2147" i="1"/>
  <c r="D2147" i="1"/>
  <c r="B2147" i="1"/>
  <c r="O2146" i="1"/>
  <c r="N2146" i="1"/>
  <c r="M2146" i="1"/>
  <c r="F2146" i="1"/>
  <c r="D2146" i="1"/>
  <c r="B2146" i="1"/>
  <c r="O2145" i="1"/>
  <c r="N2145" i="1"/>
  <c r="M2145" i="1"/>
  <c r="F2145" i="1"/>
  <c r="D2145" i="1"/>
  <c r="B2145" i="1"/>
  <c r="O2144" i="1"/>
  <c r="N2144" i="1"/>
  <c r="M2144" i="1"/>
  <c r="F2144" i="1"/>
  <c r="D2144" i="1"/>
  <c r="B2144" i="1"/>
  <c r="O2143" i="1"/>
  <c r="N2143" i="1"/>
  <c r="M2143" i="1"/>
  <c r="F2143" i="1"/>
  <c r="D2143" i="1"/>
  <c r="B2143" i="1"/>
  <c r="O2142" i="1"/>
  <c r="N2142" i="1"/>
  <c r="M2142" i="1"/>
  <c r="F2142" i="1"/>
  <c r="D2142" i="1"/>
  <c r="B2142" i="1"/>
  <c r="O2141" i="1"/>
  <c r="N2141" i="1"/>
  <c r="M2141" i="1"/>
  <c r="F2141" i="1"/>
  <c r="D2141" i="1"/>
  <c r="B2141" i="1"/>
  <c r="O2140" i="1"/>
  <c r="N2140" i="1"/>
  <c r="M2140" i="1"/>
  <c r="F2140" i="1"/>
  <c r="D2140" i="1"/>
  <c r="B2140" i="1"/>
  <c r="O2139" i="1"/>
  <c r="N2139" i="1"/>
  <c r="M2139" i="1"/>
  <c r="F2139" i="1"/>
  <c r="D2139" i="1"/>
  <c r="B2139" i="1"/>
  <c r="O2138" i="1"/>
  <c r="N2138" i="1"/>
  <c r="M2138" i="1"/>
  <c r="F2138" i="1"/>
  <c r="D2138" i="1"/>
  <c r="B2138" i="1"/>
  <c r="O2137" i="1"/>
  <c r="N2137" i="1"/>
  <c r="M2137" i="1"/>
  <c r="F2137" i="1"/>
  <c r="D2137" i="1"/>
  <c r="B2137" i="1"/>
  <c r="O2136" i="1"/>
  <c r="N2136" i="1"/>
  <c r="M2136" i="1"/>
  <c r="F2136" i="1"/>
  <c r="D2136" i="1"/>
  <c r="B2136" i="1"/>
  <c r="O2135" i="1"/>
  <c r="N2135" i="1"/>
  <c r="M2135" i="1"/>
  <c r="F2135" i="1"/>
  <c r="D2135" i="1"/>
  <c r="B2135" i="1"/>
  <c r="O2134" i="1"/>
  <c r="N2134" i="1"/>
  <c r="M2134" i="1"/>
  <c r="F2134" i="1"/>
  <c r="D2134" i="1"/>
  <c r="B2134" i="1"/>
  <c r="O2133" i="1"/>
  <c r="N2133" i="1"/>
  <c r="M2133" i="1"/>
  <c r="F2133" i="1"/>
  <c r="D2133" i="1"/>
  <c r="B2133" i="1"/>
  <c r="O2132" i="1"/>
  <c r="N2132" i="1"/>
  <c r="M2132" i="1"/>
  <c r="F2132" i="1"/>
  <c r="D2132" i="1"/>
  <c r="B2132" i="1"/>
  <c r="O2131" i="1"/>
  <c r="N2131" i="1"/>
  <c r="M2131" i="1"/>
  <c r="F2131" i="1"/>
  <c r="D2131" i="1"/>
  <c r="B2131" i="1"/>
  <c r="O2130" i="1"/>
  <c r="N2130" i="1"/>
  <c r="M2130" i="1"/>
  <c r="F2130" i="1"/>
  <c r="D2130" i="1"/>
  <c r="B2130" i="1"/>
  <c r="O2129" i="1"/>
  <c r="N2129" i="1"/>
  <c r="M2129" i="1"/>
  <c r="F2129" i="1"/>
  <c r="D2129" i="1"/>
  <c r="B2129" i="1"/>
  <c r="O2128" i="1"/>
  <c r="N2128" i="1"/>
  <c r="M2128" i="1"/>
  <c r="F2128" i="1"/>
  <c r="D2128" i="1"/>
  <c r="B2128" i="1"/>
  <c r="O2127" i="1"/>
  <c r="N2127" i="1"/>
  <c r="M2127" i="1"/>
  <c r="F2127" i="1"/>
  <c r="D2127" i="1"/>
  <c r="B2127" i="1"/>
  <c r="O2126" i="1"/>
  <c r="N2126" i="1"/>
  <c r="M2126" i="1"/>
  <c r="F2126" i="1"/>
  <c r="D2126" i="1"/>
  <c r="B2126" i="1"/>
  <c r="O2125" i="1"/>
  <c r="N2125" i="1"/>
  <c r="M2125" i="1"/>
  <c r="F2125" i="1"/>
  <c r="D2125" i="1"/>
  <c r="B2125" i="1"/>
  <c r="O2124" i="1"/>
  <c r="N2124" i="1"/>
  <c r="M2124" i="1"/>
  <c r="F2124" i="1"/>
  <c r="D2124" i="1"/>
  <c r="B2124" i="1"/>
  <c r="O2123" i="1"/>
  <c r="N2123" i="1"/>
  <c r="M2123" i="1"/>
  <c r="F2123" i="1"/>
  <c r="D2123" i="1"/>
  <c r="B2123" i="1"/>
  <c r="O2122" i="1"/>
  <c r="N2122" i="1"/>
  <c r="M2122" i="1"/>
  <c r="F2122" i="1"/>
  <c r="D2122" i="1"/>
  <c r="B2122" i="1"/>
  <c r="O2121" i="1"/>
  <c r="N2121" i="1"/>
  <c r="M2121" i="1"/>
  <c r="F2121" i="1"/>
  <c r="D2121" i="1"/>
  <c r="B2121" i="1"/>
  <c r="O2120" i="1"/>
  <c r="N2120" i="1"/>
  <c r="M2120" i="1"/>
  <c r="F2120" i="1"/>
  <c r="D2120" i="1"/>
  <c r="B2120" i="1"/>
  <c r="O2119" i="1"/>
  <c r="N2119" i="1"/>
  <c r="M2119" i="1"/>
  <c r="F2119" i="1"/>
  <c r="D2119" i="1"/>
  <c r="B2119" i="1"/>
  <c r="O2118" i="1"/>
  <c r="N2118" i="1"/>
  <c r="M2118" i="1"/>
  <c r="F2118" i="1"/>
  <c r="D2118" i="1"/>
  <c r="B2118" i="1"/>
  <c r="O2117" i="1"/>
  <c r="N2117" i="1"/>
  <c r="M2117" i="1"/>
  <c r="F2117" i="1"/>
  <c r="D2117" i="1"/>
  <c r="B2117" i="1"/>
  <c r="O2116" i="1"/>
  <c r="N2116" i="1"/>
  <c r="M2116" i="1"/>
  <c r="F2116" i="1"/>
  <c r="D2116" i="1"/>
  <c r="B2116" i="1"/>
  <c r="O2115" i="1"/>
  <c r="N2115" i="1"/>
  <c r="M2115" i="1"/>
  <c r="F2115" i="1"/>
  <c r="D2115" i="1"/>
  <c r="B2115" i="1"/>
  <c r="O2114" i="1"/>
  <c r="N2114" i="1"/>
  <c r="M2114" i="1"/>
  <c r="F2114" i="1"/>
  <c r="D2114" i="1"/>
  <c r="B2114" i="1"/>
  <c r="O2113" i="1"/>
  <c r="N2113" i="1"/>
  <c r="M2113" i="1"/>
  <c r="F2113" i="1"/>
  <c r="D2113" i="1"/>
  <c r="B2113" i="1"/>
  <c r="O2112" i="1"/>
  <c r="N2112" i="1"/>
  <c r="M2112" i="1"/>
  <c r="F2112" i="1"/>
  <c r="D2112" i="1"/>
  <c r="B2112" i="1"/>
  <c r="O2111" i="1"/>
  <c r="N2111" i="1"/>
  <c r="M2111" i="1"/>
  <c r="F2111" i="1"/>
  <c r="D2111" i="1"/>
  <c r="B2111" i="1"/>
  <c r="O2110" i="1"/>
  <c r="N2110" i="1"/>
  <c r="M2110" i="1"/>
  <c r="F2110" i="1"/>
  <c r="D2110" i="1"/>
  <c r="B2110" i="1"/>
  <c r="O2109" i="1"/>
  <c r="N2109" i="1"/>
  <c r="M2109" i="1"/>
  <c r="F2109" i="1"/>
  <c r="D2109" i="1"/>
  <c r="B2109" i="1"/>
  <c r="O2108" i="1"/>
  <c r="N2108" i="1"/>
  <c r="M2108" i="1"/>
  <c r="F2108" i="1"/>
  <c r="D2108" i="1"/>
  <c r="B2108" i="1"/>
  <c r="O2107" i="1"/>
  <c r="N2107" i="1"/>
  <c r="M2107" i="1"/>
  <c r="F2107" i="1"/>
  <c r="D2107" i="1"/>
  <c r="B2107" i="1"/>
  <c r="O2106" i="1"/>
  <c r="N2106" i="1"/>
  <c r="M2106" i="1"/>
  <c r="F2106" i="1"/>
  <c r="D2106" i="1"/>
  <c r="B2106" i="1"/>
  <c r="O2105" i="1"/>
  <c r="N2105" i="1"/>
  <c r="M2105" i="1"/>
  <c r="F2105" i="1"/>
  <c r="D2105" i="1"/>
  <c r="B2105" i="1"/>
  <c r="O2104" i="1"/>
  <c r="N2104" i="1"/>
  <c r="M2104" i="1"/>
  <c r="F2104" i="1"/>
  <c r="D2104" i="1"/>
  <c r="B2104" i="1"/>
  <c r="O2103" i="1"/>
  <c r="N2103" i="1"/>
  <c r="M2103" i="1"/>
  <c r="F2103" i="1"/>
  <c r="D2103" i="1"/>
  <c r="B2103" i="1"/>
  <c r="O2102" i="1"/>
  <c r="N2102" i="1"/>
  <c r="M2102" i="1"/>
  <c r="F2102" i="1"/>
  <c r="D2102" i="1"/>
  <c r="B2102" i="1"/>
  <c r="O2101" i="1"/>
  <c r="N2101" i="1"/>
  <c r="M2101" i="1"/>
  <c r="F2101" i="1"/>
  <c r="D2101" i="1"/>
  <c r="B2101" i="1"/>
  <c r="O2100" i="1"/>
  <c r="N2100" i="1"/>
  <c r="M2100" i="1"/>
  <c r="F2100" i="1"/>
  <c r="D2100" i="1"/>
  <c r="B2100" i="1"/>
  <c r="O2099" i="1"/>
  <c r="N2099" i="1"/>
  <c r="M2099" i="1"/>
  <c r="F2099" i="1"/>
  <c r="D2099" i="1"/>
  <c r="B2099" i="1"/>
  <c r="O2098" i="1"/>
  <c r="N2098" i="1"/>
  <c r="M2098" i="1"/>
  <c r="F2098" i="1"/>
  <c r="D2098" i="1"/>
  <c r="B2098" i="1"/>
  <c r="O2097" i="1"/>
  <c r="N2097" i="1"/>
  <c r="M2097" i="1"/>
  <c r="F2097" i="1"/>
  <c r="D2097" i="1"/>
  <c r="B2097" i="1"/>
  <c r="O2096" i="1"/>
  <c r="N2096" i="1"/>
  <c r="M2096" i="1"/>
  <c r="F2096" i="1"/>
  <c r="D2096" i="1"/>
  <c r="B2096" i="1"/>
  <c r="O2095" i="1"/>
  <c r="N2095" i="1"/>
  <c r="M2095" i="1"/>
  <c r="F2095" i="1"/>
  <c r="D2095" i="1"/>
  <c r="B2095" i="1"/>
  <c r="O2094" i="1"/>
  <c r="N2094" i="1"/>
  <c r="M2094" i="1"/>
  <c r="F2094" i="1"/>
  <c r="D2094" i="1"/>
  <c r="B2094" i="1"/>
  <c r="O2093" i="1"/>
  <c r="N2093" i="1"/>
  <c r="M2093" i="1"/>
  <c r="F2093" i="1"/>
  <c r="D2093" i="1"/>
  <c r="B2093" i="1"/>
  <c r="O2092" i="1"/>
  <c r="N2092" i="1"/>
  <c r="M2092" i="1"/>
  <c r="F2092" i="1"/>
  <c r="D2092" i="1"/>
  <c r="B2092" i="1"/>
  <c r="O2091" i="1"/>
  <c r="N2091" i="1"/>
  <c r="M2091" i="1"/>
  <c r="F2091" i="1"/>
  <c r="D2091" i="1"/>
  <c r="B2091" i="1"/>
  <c r="O2090" i="1"/>
  <c r="N2090" i="1"/>
  <c r="M2090" i="1"/>
  <c r="F2090" i="1"/>
  <c r="D2090" i="1"/>
  <c r="B2090" i="1"/>
  <c r="O2089" i="1"/>
  <c r="N2089" i="1"/>
  <c r="M2089" i="1"/>
  <c r="F2089" i="1"/>
  <c r="D2089" i="1"/>
  <c r="B2089" i="1"/>
  <c r="O2088" i="1"/>
  <c r="N2088" i="1"/>
  <c r="M2088" i="1"/>
  <c r="F2088" i="1"/>
  <c r="D2088" i="1"/>
  <c r="B2088" i="1"/>
  <c r="O2087" i="1"/>
  <c r="N2087" i="1"/>
  <c r="M2087" i="1"/>
  <c r="F2087" i="1"/>
  <c r="D2087" i="1"/>
  <c r="B2087" i="1"/>
  <c r="O2086" i="1"/>
  <c r="N2086" i="1"/>
  <c r="M2086" i="1"/>
  <c r="F2086" i="1"/>
  <c r="D2086" i="1"/>
  <c r="B2086" i="1"/>
  <c r="O2085" i="1"/>
  <c r="N2085" i="1"/>
  <c r="M2085" i="1"/>
  <c r="F2085" i="1"/>
  <c r="D2085" i="1"/>
  <c r="B2085" i="1"/>
  <c r="O2084" i="1"/>
  <c r="N2084" i="1"/>
  <c r="M2084" i="1"/>
  <c r="F2084" i="1"/>
  <c r="D2084" i="1"/>
  <c r="B2084" i="1"/>
  <c r="O2083" i="1"/>
  <c r="N2083" i="1"/>
  <c r="M2083" i="1"/>
  <c r="F2083" i="1"/>
  <c r="D2083" i="1"/>
  <c r="B2083" i="1"/>
  <c r="O2082" i="1"/>
  <c r="N2082" i="1"/>
  <c r="M2082" i="1"/>
  <c r="F2082" i="1"/>
  <c r="D2082" i="1"/>
  <c r="B2082" i="1"/>
  <c r="O2081" i="1"/>
  <c r="N2081" i="1"/>
  <c r="M2081" i="1"/>
  <c r="F2081" i="1"/>
  <c r="D2081" i="1"/>
  <c r="B2081" i="1"/>
  <c r="O2080" i="1"/>
  <c r="N2080" i="1"/>
  <c r="M2080" i="1"/>
  <c r="F2080" i="1"/>
  <c r="D2080" i="1"/>
  <c r="B2080" i="1"/>
  <c r="O2079" i="1"/>
  <c r="N2079" i="1"/>
  <c r="M2079" i="1"/>
  <c r="F2079" i="1"/>
  <c r="D2079" i="1"/>
  <c r="B2079" i="1"/>
  <c r="O2078" i="1"/>
  <c r="N2078" i="1"/>
  <c r="M2078" i="1"/>
  <c r="F2078" i="1"/>
  <c r="D2078" i="1"/>
  <c r="B2078" i="1"/>
  <c r="O2077" i="1"/>
  <c r="N2077" i="1"/>
  <c r="M2077" i="1"/>
  <c r="F2077" i="1"/>
  <c r="D2077" i="1"/>
  <c r="B2077" i="1"/>
  <c r="O2076" i="1"/>
  <c r="N2076" i="1"/>
  <c r="M2076" i="1"/>
  <c r="F2076" i="1"/>
  <c r="D2076" i="1"/>
  <c r="B2076" i="1"/>
  <c r="O2075" i="1"/>
  <c r="N2075" i="1"/>
  <c r="M2075" i="1"/>
  <c r="F2075" i="1"/>
  <c r="D2075" i="1"/>
  <c r="B2075" i="1"/>
  <c r="O2074" i="1"/>
  <c r="N2074" i="1"/>
  <c r="M2074" i="1"/>
  <c r="F2074" i="1"/>
  <c r="D2074" i="1"/>
  <c r="B2074" i="1"/>
  <c r="O2073" i="1"/>
  <c r="N2073" i="1"/>
  <c r="M2073" i="1"/>
  <c r="F2073" i="1"/>
  <c r="D2073" i="1"/>
  <c r="B2073" i="1"/>
  <c r="O2072" i="1"/>
  <c r="N2072" i="1"/>
  <c r="M2072" i="1"/>
  <c r="F2072" i="1"/>
  <c r="D2072" i="1"/>
  <c r="B2072" i="1"/>
  <c r="O2071" i="1"/>
  <c r="N2071" i="1"/>
  <c r="M2071" i="1"/>
  <c r="F2071" i="1"/>
  <c r="D2071" i="1"/>
  <c r="B2071" i="1"/>
  <c r="O2070" i="1"/>
  <c r="N2070" i="1"/>
  <c r="M2070" i="1"/>
  <c r="F2070" i="1"/>
  <c r="D2070" i="1"/>
  <c r="B2070" i="1"/>
  <c r="O2069" i="1"/>
  <c r="N2069" i="1"/>
  <c r="M2069" i="1"/>
  <c r="F2069" i="1"/>
  <c r="D2069" i="1"/>
  <c r="B2069" i="1"/>
  <c r="O2068" i="1"/>
  <c r="N2068" i="1"/>
  <c r="M2068" i="1"/>
  <c r="F2068" i="1"/>
  <c r="D2068" i="1"/>
  <c r="B2068" i="1"/>
  <c r="O2067" i="1"/>
  <c r="N2067" i="1"/>
  <c r="M2067" i="1"/>
  <c r="F2067" i="1"/>
  <c r="D2067" i="1"/>
  <c r="B2067" i="1"/>
  <c r="O2066" i="1"/>
  <c r="N2066" i="1"/>
  <c r="M2066" i="1"/>
  <c r="F2066" i="1"/>
  <c r="D2066" i="1"/>
  <c r="B2066" i="1"/>
  <c r="O2065" i="1"/>
  <c r="N2065" i="1"/>
  <c r="M2065" i="1"/>
  <c r="F2065" i="1"/>
  <c r="D2065" i="1"/>
  <c r="B2065" i="1"/>
  <c r="O2064" i="1"/>
  <c r="N2064" i="1"/>
  <c r="M2064" i="1"/>
  <c r="F2064" i="1"/>
  <c r="D2064" i="1"/>
  <c r="B2064" i="1"/>
  <c r="O2063" i="1"/>
  <c r="N2063" i="1"/>
  <c r="M2063" i="1"/>
  <c r="F2063" i="1"/>
  <c r="D2063" i="1"/>
  <c r="B2063" i="1"/>
  <c r="O2062" i="1"/>
  <c r="N2062" i="1"/>
  <c r="M2062" i="1"/>
  <c r="F2062" i="1"/>
  <c r="D2062" i="1"/>
  <c r="B2062" i="1"/>
  <c r="O2061" i="1"/>
  <c r="N2061" i="1"/>
  <c r="M2061" i="1"/>
  <c r="F2061" i="1"/>
  <c r="D2061" i="1"/>
  <c r="B2061" i="1"/>
  <c r="O2060" i="1"/>
  <c r="N2060" i="1"/>
  <c r="M2060" i="1"/>
  <c r="F2060" i="1"/>
  <c r="D2060" i="1"/>
  <c r="B2060" i="1"/>
  <c r="O2059" i="1"/>
  <c r="N2059" i="1"/>
  <c r="M2059" i="1"/>
  <c r="F2059" i="1"/>
  <c r="D2059" i="1"/>
  <c r="B2059" i="1"/>
  <c r="O2058" i="1"/>
  <c r="N2058" i="1"/>
  <c r="M2058" i="1"/>
  <c r="F2058" i="1"/>
  <c r="D2058" i="1"/>
  <c r="B2058" i="1"/>
  <c r="O2057" i="1"/>
  <c r="N2057" i="1"/>
  <c r="M2057" i="1"/>
  <c r="F2057" i="1"/>
  <c r="D2057" i="1"/>
  <c r="B2057" i="1"/>
  <c r="O2056" i="1"/>
  <c r="N2056" i="1"/>
  <c r="M2056" i="1"/>
  <c r="F2056" i="1"/>
  <c r="D2056" i="1"/>
  <c r="B2056" i="1"/>
  <c r="O2055" i="1"/>
  <c r="N2055" i="1"/>
  <c r="M2055" i="1"/>
  <c r="F2055" i="1"/>
  <c r="D2055" i="1"/>
  <c r="B2055" i="1"/>
  <c r="O2054" i="1"/>
  <c r="N2054" i="1"/>
  <c r="M2054" i="1"/>
  <c r="F2054" i="1"/>
  <c r="D2054" i="1"/>
  <c r="B2054" i="1"/>
  <c r="O2053" i="1"/>
  <c r="N2053" i="1"/>
  <c r="M2053" i="1"/>
  <c r="F2053" i="1"/>
  <c r="D2053" i="1"/>
  <c r="B2053" i="1"/>
  <c r="O2052" i="1"/>
  <c r="N2052" i="1"/>
  <c r="M2052" i="1"/>
  <c r="F2052" i="1"/>
  <c r="D2052" i="1"/>
  <c r="B2052" i="1"/>
  <c r="O2051" i="1"/>
  <c r="N2051" i="1"/>
  <c r="M2051" i="1"/>
  <c r="F2051" i="1"/>
  <c r="D2051" i="1"/>
  <c r="B2051" i="1"/>
  <c r="O2050" i="1"/>
  <c r="N2050" i="1"/>
  <c r="M2050" i="1"/>
  <c r="F2050" i="1"/>
  <c r="D2050" i="1"/>
  <c r="B2050" i="1"/>
  <c r="O2049" i="1"/>
  <c r="N2049" i="1"/>
  <c r="M2049" i="1"/>
  <c r="F2049" i="1"/>
  <c r="D2049" i="1"/>
  <c r="B2049" i="1"/>
  <c r="O2048" i="1"/>
  <c r="N2048" i="1"/>
  <c r="M2048" i="1"/>
  <c r="F2048" i="1"/>
  <c r="D2048" i="1"/>
  <c r="B2048" i="1"/>
  <c r="O2047" i="1"/>
  <c r="N2047" i="1"/>
  <c r="M2047" i="1"/>
  <c r="F2047" i="1"/>
  <c r="D2047" i="1"/>
  <c r="B2047" i="1"/>
  <c r="O2046" i="1"/>
  <c r="N2046" i="1"/>
  <c r="M2046" i="1"/>
  <c r="F2046" i="1"/>
  <c r="D2046" i="1"/>
  <c r="B2046" i="1"/>
  <c r="O2045" i="1"/>
  <c r="N2045" i="1"/>
  <c r="M2045" i="1"/>
  <c r="F2045" i="1"/>
  <c r="D2045" i="1"/>
  <c r="B2045" i="1"/>
  <c r="O2044" i="1"/>
  <c r="N2044" i="1"/>
  <c r="M2044" i="1"/>
  <c r="F2044" i="1"/>
  <c r="D2044" i="1"/>
  <c r="B2044" i="1"/>
  <c r="O2043" i="1"/>
  <c r="N2043" i="1"/>
  <c r="M2043" i="1"/>
  <c r="F2043" i="1"/>
  <c r="D2043" i="1"/>
  <c r="B2043" i="1"/>
  <c r="O2042" i="1"/>
  <c r="N2042" i="1"/>
  <c r="M2042" i="1"/>
  <c r="F2042" i="1"/>
  <c r="D2042" i="1"/>
  <c r="B2042" i="1"/>
  <c r="O2041" i="1"/>
  <c r="N2041" i="1"/>
  <c r="M2041" i="1"/>
  <c r="F2041" i="1"/>
  <c r="D2041" i="1"/>
  <c r="B2041" i="1"/>
  <c r="O2040" i="1"/>
  <c r="N2040" i="1"/>
  <c r="M2040" i="1"/>
  <c r="F2040" i="1"/>
  <c r="D2040" i="1"/>
  <c r="B2040" i="1"/>
  <c r="O2039" i="1"/>
  <c r="N2039" i="1"/>
  <c r="M2039" i="1"/>
  <c r="F2039" i="1"/>
  <c r="D2039" i="1"/>
  <c r="B2039" i="1"/>
  <c r="O2038" i="1"/>
  <c r="N2038" i="1"/>
  <c r="M2038" i="1"/>
  <c r="F2038" i="1"/>
  <c r="D2038" i="1"/>
  <c r="B2038" i="1"/>
  <c r="O2037" i="1"/>
  <c r="N2037" i="1"/>
  <c r="M2037" i="1"/>
  <c r="F2037" i="1"/>
  <c r="D2037" i="1"/>
  <c r="B2037" i="1"/>
  <c r="O2036" i="1"/>
  <c r="N2036" i="1"/>
  <c r="M2036" i="1"/>
  <c r="F2036" i="1"/>
  <c r="D2036" i="1"/>
  <c r="B2036" i="1"/>
  <c r="O2035" i="1"/>
  <c r="N2035" i="1"/>
  <c r="M2035" i="1"/>
  <c r="F2035" i="1"/>
  <c r="D2035" i="1"/>
  <c r="B2035" i="1"/>
  <c r="O2034" i="1"/>
  <c r="N2034" i="1"/>
  <c r="M2034" i="1"/>
  <c r="F2034" i="1"/>
  <c r="D2034" i="1"/>
  <c r="B2034" i="1"/>
  <c r="O2033" i="1"/>
  <c r="N2033" i="1"/>
  <c r="M2033" i="1"/>
  <c r="F2033" i="1"/>
  <c r="D2033" i="1"/>
  <c r="B2033" i="1"/>
  <c r="O2032" i="1"/>
  <c r="N2032" i="1"/>
  <c r="M2032" i="1"/>
  <c r="F2032" i="1"/>
  <c r="D2032" i="1"/>
  <c r="B2032" i="1"/>
  <c r="O2031" i="1"/>
  <c r="N2031" i="1"/>
  <c r="M2031" i="1"/>
  <c r="F2031" i="1"/>
  <c r="D2031" i="1"/>
  <c r="B2031" i="1"/>
  <c r="O2030" i="1"/>
  <c r="N2030" i="1"/>
  <c r="M2030" i="1"/>
  <c r="F2030" i="1"/>
  <c r="D2030" i="1"/>
  <c r="B2030" i="1"/>
  <c r="O2029" i="1"/>
  <c r="N2029" i="1"/>
  <c r="M2029" i="1"/>
  <c r="F2029" i="1"/>
  <c r="D2029" i="1"/>
  <c r="B2029" i="1"/>
  <c r="O2028" i="1"/>
  <c r="N2028" i="1"/>
  <c r="M2028" i="1"/>
  <c r="F2028" i="1"/>
  <c r="D2028" i="1"/>
  <c r="B2028" i="1"/>
  <c r="O2027" i="1"/>
  <c r="N2027" i="1"/>
  <c r="M2027" i="1"/>
  <c r="F2027" i="1"/>
  <c r="D2027" i="1"/>
  <c r="B2027" i="1"/>
  <c r="O2026" i="1"/>
  <c r="N2026" i="1"/>
  <c r="M2026" i="1"/>
  <c r="F2026" i="1"/>
  <c r="D2026" i="1"/>
  <c r="B2026" i="1"/>
  <c r="O2025" i="1"/>
  <c r="N2025" i="1"/>
  <c r="M2025" i="1"/>
  <c r="F2025" i="1"/>
  <c r="D2025" i="1"/>
  <c r="B2025" i="1"/>
  <c r="O2024" i="1"/>
  <c r="N2024" i="1"/>
  <c r="M2024" i="1"/>
  <c r="F2024" i="1"/>
  <c r="D2024" i="1"/>
  <c r="B2024" i="1"/>
  <c r="O2023" i="1"/>
  <c r="N2023" i="1"/>
  <c r="M2023" i="1"/>
  <c r="F2023" i="1"/>
  <c r="D2023" i="1"/>
  <c r="B2023" i="1"/>
  <c r="O2022" i="1"/>
  <c r="N2022" i="1"/>
  <c r="M2022" i="1"/>
  <c r="F2022" i="1"/>
  <c r="D2022" i="1"/>
  <c r="B2022" i="1"/>
  <c r="O2021" i="1"/>
  <c r="N2021" i="1"/>
  <c r="M2021" i="1"/>
  <c r="F2021" i="1"/>
  <c r="D2021" i="1"/>
  <c r="B2021" i="1"/>
  <c r="O2020" i="1"/>
  <c r="N2020" i="1"/>
  <c r="M2020" i="1"/>
  <c r="F2020" i="1"/>
  <c r="D2020" i="1"/>
  <c r="B2020" i="1"/>
  <c r="O2019" i="1"/>
  <c r="N2019" i="1"/>
  <c r="M2019" i="1"/>
  <c r="F2019" i="1"/>
  <c r="D2019" i="1"/>
  <c r="B2019" i="1"/>
  <c r="O2018" i="1"/>
  <c r="N2018" i="1"/>
  <c r="M2018" i="1"/>
  <c r="F2018" i="1"/>
  <c r="D2018" i="1"/>
  <c r="B2018" i="1"/>
  <c r="O2017" i="1"/>
  <c r="N2017" i="1"/>
  <c r="M2017" i="1"/>
  <c r="F2017" i="1"/>
  <c r="D2017" i="1"/>
  <c r="B2017" i="1"/>
  <c r="O2016" i="1"/>
  <c r="N2016" i="1"/>
  <c r="M2016" i="1"/>
  <c r="F2016" i="1"/>
  <c r="D2016" i="1"/>
  <c r="B2016" i="1"/>
  <c r="O2015" i="1"/>
  <c r="N2015" i="1"/>
  <c r="M2015" i="1"/>
  <c r="F2015" i="1"/>
  <c r="D2015" i="1"/>
  <c r="B2015" i="1"/>
  <c r="O2014" i="1"/>
  <c r="N2014" i="1"/>
  <c r="M2014" i="1"/>
  <c r="F2014" i="1"/>
  <c r="D2014" i="1"/>
  <c r="B2014" i="1"/>
  <c r="O2013" i="1"/>
  <c r="N2013" i="1"/>
  <c r="M2013" i="1"/>
  <c r="F2013" i="1"/>
  <c r="D2013" i="1"/>
  <c r="B2013" i="1"/>
  <c r="O2012" i="1"/>
  <c r="N2012" i="1"/>
  <c r="M2012" i="1"/>
  <c r="F2012" i="1"/>
  <c r="D2012" i="1"/>
  <c r="B2012" i="1"/>
  <c r="O2011" i="1"/>
  <c r="N2011" i="1"/>
  <c r="M2011" i="1"/>
  <c r="F2011" i="1"/>
  <c r="D2011" i="1"/>
  <c r="B2011" i="1"/>
  <c r="O2010" i="1"/>
  <c r="N2010" i="1"/>
  <c r="M2010" i="1"/>
  <c r="F2010" i="1"/>
  <c r="D2010" i="1"/>
  <c r="B2010" i="1"/>
  <c r="O2009" i="1"/>
  <c r="N2009" i="1"/>
  <c r="M2009" i="1"/>
  <c r="F2009" i="1"/>
  <c r="D2009" i="1"/>
  <c r="B2009" i="1"/>
  <c r="O2008" i="1"/>
  <c r="N2008" i="1"/>
  <c r="M2008" i="1"/>
  <c r="F2008" i="1"/>
  <c r="D2008" i="1"/>
  <c r="B2008" i="1"/>
  <c r="O2007" i="1"/>
  <c r="N2007" i="1"/>
  <c r="M2007" i="1"/>
  <c r="F2007" i="1"/>
  <c r="D2007" i="1"/>
  <c r="B2007" i="1"/>
  <c r="O2006" i="1"/>
  <c r="N2006" i="1"/>
  <c r="M2006" i="1"/>
  <c r="F2006" i="1"/>
  <c r="D2006" i="1"/>
  <c r="B2006" i="1"/>
  <c r="O2005" i="1"/>
  <c r="N2005" i="1"/>
  <c r="M2005" i="1"/>
  <c r="F2005" i="1"/>
  <c r="D2005" i="1"/>
  <c r="B2005" i="1"/>
  <c r="O2004" i="1"/>
  <c r="N2004" i="1"/>
  <c r="M2004" i="1"/>
  <c r="F2004" i="1"/>
  <c r="D2004" i="1"/>
  <c r="B2004" i="1"/>
  <c r="O2003" i="1"/>
  <c r="N2003" i="1"/>
  <c r="M2003" i="1"/>
  <c r="F2003" i="1"/>
  <c r="D2003" i="1"/>
  <c r="B2003" i="1"/>
  <c r="O2002" i="1"/>
  <c r="N2002" i="1"/>
  <c r="M2002" i="1"/>
  <c r="F2002" i="1"/>
  <c r="D2002" i="1"/>
  <c r="B2002" i="1"/>
  <c r="O2001" i="1"/>
  <c r="N2001" i="1"/>
  <c r="M2001" i="1"/>
  <c r="F2001" i="1"/>
  <c r="D2001" i="1"/>
  <c r="B2001" i="1"/>
  <c r="O2000" i="1"/>
  <c r="N2000" i="1"/>
  <c r="M2000" i="1"/>
  <c r="F2000" i="1"/>
  <c r="D2000" i="1"/>
  <c r="B2000" i="1"/>
  <c r="O1999" i="1"/>
  <c r="N1999" i="1"/>
  <c r="M1999" i="1"/>
  <c r="F1999" i="1"/>
  <c r="D1999" i="1"/>
  <c r="B1999" i="1"/>
  <c r="O1998" i="1"/>
  <c r="N1998" i="1"/>
  <c r="M1998" i="1"/>
  <c r="F1998" i="1"/>
  <c r="D1998" i="1"/>
  <c r="B1998" i="1"/>
  <c r="O1997" i="1"/>
  <c r="N1997" i="1"/>
  <c r="M1997" i="1"/>
  <c r="F1997" i="1"/>
  <c r="D1997" i="1"/>
  <c r="B1997" i="1"/>
  <c r="O1996" i="1"/>
  <c r="N1996" i="1"/>
  <c r="M1996" i="1"/>
  <c r="F1996" i="1"/>
  <c r="D1996" i="1"/>
  <c r="B1996" i="1"/>
  <c r="O1995" i="1"/>
  <c r="N1995" i="1"/>
  <c r="M1995" i="1"/>
  <c r="F1995" i="1"/>
  <c r="D1995" i="1"/>
  <c r="B1995" i="1"/>
  <c r="O1994" i="1"/>
  <c r="N1994" i="1"/>
  <c r="M1994" i="1"/>
  <c r="F1994" i="1"/>
  <c r="D1994" i="1"/>
  <c r="B1994" i="1"/>
  <c r="O1993" i="1"/>
  <c r="N1993" i="1"/>
  <c r="M1993" i="1"/>
  <c r="F1993" i="1"/>
  <c r="D1993" i="1"/>
  <c r="B1993" i="1"/>
  <c r="O1992" i="1"/>
  <c r="N1992" i="1"/>
  <c r="M1992" i="1"/>
  <c r="F1992" i="1"/>
  <c r="D1992" i="1"/>
  <c r="B1992" i="1"/>
  <c r="O1991" i="1"/>
  <c r="N1991" i="1"/>
  <c r="M1991" i="1"/>
  <c r="F1991" i="1"/>
  <c r="D1991" i="1"/>
  <c r="B1991" i="1"/>
  <c r="O1990" i="1"/>
  <c r="N1990" i="1"/>
  <c r="M1990" i="1"/>
  <c r="F1990" i="1"/>
  <c r="D1990" i="1"/>
  <c r="B1990" i="1"/>
  <c r="O1989" i="1"/>
  <c r="N1989" i="1"/>
  <c r="M1989" i="1"/>
  <c r="F1989" i="1"/>
  <c r="D1989" i="1"/>
  <c r="B1989" i="1"/>
  <c r="O1988" i="1"/>
  <c r="N1988" i="1"/>
  <c r="M1988" i="1"/>
  <c r="F1988" i="1"/>
  <c r="D1988" i="1"/>
  <c r="B1988" i="1"/>
  <c r="O1987" i="1"/>
  <c r="N1987" i="1"/>
  <c r="M1987" i="1"/>
  <c r="F1987" i="1"/>
  <c r="D1987" i="1"/>
  <c r="B1987" i="1"/>
  <c r="O1986" i="1"/>
  <c r="N1986" i="1"/>
  <c r="M1986" i="1"/>
  <c r="F1986" i="1"/>
  <c r="D1986" i="1"/>
  <c r="B1986" i="1"/>
  <c r="O1985" i="1"/>
  <c r="N1985" i="1"/>
  <c r="M1985" i="1"/>
  <c r="F1985" i="1"/>
  <c r="D1985" i="1"/>
  <c r="B1985" i="1"/>
  <c r="O1984" i="1"/>
  <c r="N1984" i="1"/>
  <c r="M1984" i="1"/>
  <c r="F1984" i="1"/>
  <c r="D1984" i="1"/>
  <c r="B1984" i="1"/>
  <c r="O1983" i="1"/>
  <c r="N1983" i="1"/>
  <c r="M1983" i="1"/>
  <c r="F1983" i="1"/>
  <c r="D1983" i="1"/>
  <c r="B1983" i="1"/>
  <c r="O1982" i="1"/>
  <c r="N1982" i="1"/>
  <c r="M1982" i="1"/>
  <c r="F1982" i="1"/>
  <c r="D1982" i="1"/>
  <c r="B1982" i="1"/>
  <c r="O1981" i="1"/>
  <c r="N1981" i="1"/>
  <c r="M1981" i="1"/>
  <c r="F1981" i="1"/>
  <c r="D1981" i="1"/>
  <c r="B1981" i="1"/>
  <c r="O1980" i="1"/>
  <c r="N1980" i="1"/>
  <c r="M1980" i="1"/>
  <c r="F1980" i="1"/>
  <c r="D1980" i="1"/>
  <c r="B1980" i="1"/>
  <c r="O1979" i="1"/>
  <c r="N1979" i="1"/>
  <c r="M1979" i="1"/>
  <c r="F1979" i="1"/>
  <c r="D1979" i="1"/>
  <c r="B1979" i="1"/>
  <c r="O1978" i="1"/>
  <c r="N1978" i="1"/>
  <c r="M1978" i="1"/>
  <c r="F1978" i="1"/>
  <c r="D1978" i="1"/>
  <c r="B1978" i="1"/>
  <c r="O1977" i="1"/>
  <c r="N1977" i="1"/>
  <c r="M1977" i="1"/>
  <c r="F1977" i="1"/>
  <c r="D1977" i="1"/>
  <c r="B1977" i="1"/>
  <c r="O1976" i="1"/>
  <c r="N1976" i="1"/>
  <c r="M1976" i="1"/>
  <c r="F1976" i="1"/>
  <c r="D1976" i="1"/>
  <c r="B1976" i="1"/>
  <c r="O1975" i="1"/>
  <c r="N1975" i="1"/>
  <c r="M1975" i="1"/>
  <c r="F1975" i="1"/>
  <c r="D1975" i="1"/>
  <c r="B1975" i="1"/>
  <c r="O1974" i="1"/>
  <c r="N1974" i="1"/>
  <c r="M1974" i="1"/>
  <c r="F1974" i="1"/>
  <c r="D1974" i="1"/>
  <c r="B1974" i="1"/>
  <c r="O1973" i="1"/>
  <c r="N1973" i="1"/>
  <c r="M1973" i="1"/>
  <c r="F1973" i="1"/>
  <c r="D1973" i="1"/>
  <c r="B1973" i="1"/>
  <c r="O1972" i="1"/>
  <c r="N1972" i="1"/>
  <c r="M1972" i="1"/>
  <c r="F1972" i="1"/>
  <c r="D1972" i="1"/>
  <c r="B1972" i="1"/>
  <c r="O1971" i="1"/>
  <c r="N1971" i="1"/>
  <c r="M1971" i="1"/>
  <c r="F1971" i="1"/>
  <c r="D1971" i="1"/>
  <c r="B1971" i="1"/>
  <c r="O1970" i="1"/>
  <c r="N1970" i="1"/>
  <c r="M1970" i="1"/>
  <c r="F1970" i="1"/>
  <c r="D1970" i="1"/>
  <c r="B1970" i="1"/>
  <c r="O1969" i="1"/>
  <c r="N1969" i="1"/>
  <c r="M1969" i="1"/>
  <c r="F1969" i="1"/>
  <c r="D1969" i="1"/>
  <c r="B1969" i="1"/>
  <c r="O1968" i="1"/>
  <c r="N1968" i="1"/>
  <c r="M1968" i="1"/>
  <c r="F1968" i="1"/>
  <c r="D1968" i="1"/>
  <c r="B1968" i="1"/>
  <c r="O1967" i="1"/>
  <c r="N1967" i="1"/>
  <c r="M1967" i="1"/>
  <c r="F1967" i="1"/>
  <c r="D1967" i="1"/>
  <c r="B1967" i="1"/>
  <c r="O1966" i="1"/>
  <c r="N1966" i="1"/>
  <c r="M1966" i="1"/>
  <c r="F1966" i="1"/>
  <c r="D1966" i="1"/>
  <c r="B1966" i="1"/>
  <c r="O1965" i="1"/>
  <c r="N1965" i="1"/>
  <c r="M1965" i="1"/>
  <c r="F1965" i="1"/>
  <c r="D1965" i="1"/>
  <c r="B1965" i="1"/>
  <c r="O1964" i="1"/>
  <c r="N1964" i="1"/>
  <c r="M1964" i="1"/>
  <c r="F1964" i="1"/>
  <c r="D1964" i="1"/>
  <c r="B1964" i="1"/>
  <c r="O1963" i="1"/>
  <c r="N1963" i="1"/>
  <c r="M1963" i="1"/>
  <c r="F1963" i="1"/>
  <c r="D1963" i="1"/>
  <c r="B1963" i="1"/>
  <c r="O1962" i="1"/>
  <c r="N1962" i="1"/>
  <c r="M1962" i="1"/>
  <c r="F1962" i="1"/>
  <c r="D1962" i="1"/>
  <c r="B1962" i="1"/>
  <c r="O1961" i="1"/>
  <c r="N1961" i="1"/>
  <c r="M1961" i="1"/>
  <c r="F1961" i="1"/>
  <c r="D1961" i="1"/>
  <c r="B1961" i="1"/>
  <c r="O1960" i="1"/>
  <c r="N1960" i="1"/>
  <c r="M1960" i="1"/>
  <c r="F1960" i="1"/>
  <c r="D1960" i="1"/>
  <c r="B1960" i="1"/>
  <c r="O1959" i="1"/>
  <c r="N1959" i="1"/>
  <c r="M1959" i="1"/>
  <c r="F1959" i="1"/>
  <c r="D1959" i="1"/>
  <c r="B1959" i="1"/>
  <c r="O1958" i="1"/>
  <c r="N1958" i="1"/>
  <c r="M1958" i="1"/>
  <c r="F1958" i="1"/>
  <c r="D1958" i="1"/>
  <c r="B1958" i="1"/>
  <c r="O1957" i="1"/>
  <c r="N1957" i="1"/>
  <c r="M1957" i="1"/>
  <c r="F1957" i="1"/>
  <c r="D1957" i="1"/>
  <c r="B1957" i="1"/>
  <c r="O1956" i="1"/>
  <c r="N1956" i="1"/>
  <c r="M1956" i="1"/>
  <c r="F1956" i="1"/>
  <c r="D1956" i="1"/>
  <c r="B1956" i="1"/>
  <c r="O1955" i="1"/>
  <c r="N1955" i="1"/>
  <c r="M1955" i="1"/>
  <c r="F1955" i="1"/>
  <c r="D1955" i="1"/>
  <c r="B1955" i="1"/>
  <c r="O1954" i="1"/>
  <c r="N1954" i="1"/>
  <c r="M1954" i="1"/>
  <c r="F1954" i="1"/>
  <c r="D1954" i="1"/>
  <c r="B1954" i="1"/>
  <c r="O1953" i="1"/>
  <c r="N1953" i="1"/>
  <c r="M1953" i="1"/>
  <c r="F1953" i="1"/>
  <c r="D1953" i="1"/>
  <c r="B1953" i="1"/>
  <c r="O1952" i="1"/>
  <c r="N1952" i="1"/>
  <c r="M1952" i="1"/>
  <c r="F1952" i="1"/>
  <c r="D1952" i="1"/>
  <c r="B1952" i="1"/>
  <c r="O1951" i="1"/>
  <c r="N1951" i="1"/>
  <c r="M1951" i="1"/>
  <c r="F1951" i="1"/>
  <c r="D1951" i="1"/>
  <c r="B1951" i="1"/>
  <c r="O1950" i="1"/>
  <c r="N1950" i="1"/>
  <c r="M1950" i="1"/>
  <c r="F1950" i="1"/>
  <c r="D1950" i="1"/>
  <c r="B1950" i="1"/>
  <c r="O1949" i="1"/>
  <c r="N1949" i="1"/>
  <c r="M1949" i="1"/>
  <c r="F1949" i="1"/>
  <c r="D1949" i="1"/>
  <c r="B1949" i="1"/>
  <c r="O1948" i="1"/>
  <c r="N1948" i="1"/>
  <c r="M1948" i="1"/>
  <c r="F1948" i="1"/>
  <c r="D1948" i="1"/>
  <c r="B1948" i="1"/>
  <c r="O1947" i="1"/>
  <c r="N1947" i="1"/>
  <c r="M1947" i="1"/>
  <c r="F1947" i="1"/>
  <c r="D1947" i="1"/>
  <c r="B1947" i="1"/>
  <c r="O1946" i="1"/>
  <c r="N1946" i="1"/>
  <c r="M1946" i="1"/>
  <c r="F1946" i="1"/>
  <c r="D1946" i="1"/>
  <c r="B1946" i="1"/>
  <c r="O1945" i="1"/>
  <c r="N1945" i="1"/>
  <c r="M1945" i="1"/>
  <c r="F1945" i="1"/>
  <c r="D1945" i="1"/>
  <c r="B1945" i="1"/>
  <c r="O1944" i="1"/>
  <c r="N1944" i="1"/>
  <c r="M1944" i="1"/>
  <c r="F1944" i="1"/>
  <c r="D1944" i="1"/>
  <c r="B1944" i="1"/>
  <c r="O1943" i="1"/>
  <c r="N1943" i="1"/>
  <c r="M1943" i="1"/>
  <c r="F1943" i="1"/>
  <c r="D1943" i="1"/>
  <c r="B1943" i="1"/>
  <c r="O1942" i="1"/>
  <c r="N1942" i="1"/>
  <c r="M1942" i="1"/>
  <c r="F1942" i="1"/>
  <c r="D1942" i="1"/>
  <c r="B1942" i="1"/>
  <c r="O1941" i="1"/>
  <c r="N1941" i="1"/>
  <c r="M1941" i="1"/>
  <c r="F1941" i="1"/>
  <c r="D1941" i="1"/>
  <c r="B1941" i="1"/>
  <c r="O1940" i="1"/>
  <c r="N1940" i="1"/>
  <c r="M1940" i="1"/>
  <c r="F1940" i="1"/>
  <c r="D1940" i="1"/>
  <c r="B1940" i="1"/>
  <c r="O1939" i="1"/>
  <c r="N1939" i="1"/>
  <c r="M1939" i="1"/>
  <c r="F1939" i="1"/>
  <c r="D1939" i="1"/>
  <c r="B1939" i="1"/>
  <c r="O1938" i="1"/>
  <c r="N1938" i="1"/>
  <c r="M1938" i="1"/>
  <c r="F1938" i="1"/>
  <c r="D1938" i="1"/>
  <c r="B1938" i="1"/>
  <c r="O1937" i="1"/>
  <c r="N1937" i="1"/>
  <c r="M1937" i="1"/>
  <c r="F1937" i="1"/>
  <c r="D1937" i="1"/>
  <c r="B1937" i="1"/>
  <c r="O1936" i="1"/>
  <c r="N1936" i="1"/>
  <c r="M1936" i="1"/>
  <c r="F1936" i="1"/>
  <c r="D1936" i="1"/>
  <c r="B1936" i="1"/>
  <c r="O1935" i="1"/>
  <c r="N1935" i="1"/>
  <c r="M1935" i="1"/>
  <c r="F1935" i="1"/>
  <c r="D1935" i="1"/>
  <c r="B1935" i="1"/>
  <c r="O1934" i="1"/>
  <c r="N1934" i="1"/>
  <c r="M1934" i="1"/>
  <c r="F1934" i="1"/>
  <c r="D1934" i="1"/>
  <c r="B1934" i="1"/>
  <c r="O1933" i="1"/>
  <c r="N1933" i="1"/>
  <c r="M1933" i="1"/>
  <c r="F1933" i="1"/>
  <c r="D1933" i="1"/>
  <c r="B1933" i="1"/>
  <c r="O1932" i="1"/>
  <c r="N1932" i="1"/>
  <c r="M1932" i="1"/>
  <c r="F1932" i="1"/>
  <c r="D1932" i="1"/>
  <c r="B1932" i="1"/>
  <c r="O1931" i="1"/>
  <c r="N1931" i="1"/>
  <c r="M1931" i="1"/>
  <c r="F1931" i="1"/>
  <c r="D1931" i="1"/>
  <c r="B1931" i="1"/>
  <c r="O1930" i="1"/>
  <c r="N1930" i="1"/>
  <c r="M1930" i="1"/>
  <c r="F1930" i="1"/>
  <c r="D1930" i="1"/>
  <c r="B1930" i="1"/>
  <c r="O1929" i="1"/>
  <c r="N1929" i="1"/>
  <c r="M1929" i="1"/>
  <c r="F1929" i="1"/>
  <c r="D1929" i="1"/>
  <c r="B1929" i="1"/>
  <c r="O1928" i="1"/>
  <c r="N1928" i="1"/>
  <c r="M1928" i="1"/>
  <c r="F1928" i="1"/>
  <c r="D1928" i="1"/>
  <c r="B1928" i="1"/>
  <c r="O1927" i="1"/>
  <c r="N1927" i="1"/>
  <c r="M1927" i="1"/>
  <c r="F1927" i="1"/>
  <c r="D1927" i="1"/>
  <c r="B1927" i="1"/>
  <c r="O1926" i="1"/>
  <c r="N1926" i="1"/>
  <c r="M1926" i="1"/>
  <c r="F1926" i="1"/>
  <c r="D1926" i="1"/>
  <c r="B1926" i="1"/>
  <c r="O1925" i="1"/>
  <c r="N1925" i="1"/>
  <c r="M1925" i="1"/>
  <c r="F1925" i="1"/>
  <c r="D1925" i="1"/>
  <c r="B1925" i="1"/>
  <c r="O1924" i="1"/>
  <c r="N1924" i="1"/>
  <c r="M1924" i="1"/>
  <c r="F1924" i="1"/>
  <c r="D1924" i="1"/>
  <c r="B1924" i="1"/>
  <c r="O1923" i="1"/>
  <c r="N1923" i="1"/>
  <c r="M1923" i="1"/>
  <c r="F1923" i="1"/>
  <c r="D1923" i="1"/>
  <c r="B1923" i="1"/>
  <c r="O1922" i="1"/>
  <c r="N1922" i="1"/>
  <c r="M1922" i="1"/>
  <c r="F1922" i="1"/>
  <c r="D1922" i="1"/>
  <c r="B1922" i="1"/>
  <c r="O1921" i="1"/>
  <c r="N1921" i="1"/>
  <c r="M1921" i="1"/>
  <c r="F1921" i="1"/>
  <c r="D1921" i="1"/>
  <c r="B1921" i="1"/>
  <c r="O1920" i="1"/>
  <c r="N1920" i="1"/>
  <c r="M1920" i="1"/>
  <c r="F1920" i="1"/>
  <c r="D1920" i="1"/>
  <c r="B1920" i="1"/>
  <c r="O1919" i="1"/>
  <c r="N1919" i="1"/>
  <c r="M1919" i="1"/>
  <c r="F1919" i="1"/>
  <c r="D1919" i="1"/>
  <c r="B1919" i="1"/>
  <c r="O1918" i="1"/>
  <c r="N1918" i="1"/>
  <c r="M1918" i="1"/>
  <c r="F1918" i="1"/>
  <c r="D1918" i="1"/>
  <c r="B1918" i="1"/>
  <c r="O1917" i="1"/>
  <c r="N1917" i="1"/>
  <c r="M1917" i="1"/>
  <c r="F1917" i="1"/>
  <c r="D1917" i="1"/>
  <c r="B1917" i="1"/>
  <c r="O1916" i="1"/>
  <c r="N1916" i="1"/>
  <c r="M1916" i="1"/>
  <c r="F1916" i="1"/>
  <c r="D1916" i="1"/>
  <c r="B1916" i="1"/>
  <c r="O1915" i="1"/>
  <c r="N1915" i="1"/>
  <c r="M1915" i="1"/>
  <c r="F1915" i="1"/>
  <c r="D1915" i="1"/>
  <c r="B1915" i="1"/>
  <c r="O1914" i="1"/>
  <c r="N1914" i="1"/>
  <c r="M1914" i="1"/>
  <c r="F1914" i="1"/>
  <c r="D1914" i="1"/>
  <c r="B1914" i="1"/>
  <c r="O1913" i="1"/>
  <c r="N1913" i="1"/>
  <c r="M1913" i="1"/>
  <c r="F1913" i="1"/>
  <c r="D1913" i="1"/>
  <c r="B1913" i="1"/>
  <c r="O1912" i="1"/>
  <c r="N1912" i="1"/>
  <c r="M1912" i="1"/>
  <c r="F1912" i="1"/>
  <c r="D1912" i="1"/>
  <c r="B1912" i="1"/>
  <c r="O1911" i="1"/>
  <c r="N1911" i="1"/>
  <c r="M1911" i="1"/>
  <c r="F1911" i="1"/>
  <c r="D1911" i="1"/>
  <c r="B1911" i="1"/>
  <c r="O1910" i="1"/>
  <c r="N1910" i="1"/>
  <c r="M1910" i="1"/>
  <c r="F1910" i="1"/>
  <c r="D1910" i="1"/>
  <c r="B1910" i="1"/>
  <c r="O1909" i="1"/>
  <c r="N1909" i="1"/>
  <c r="M1909" i="1"/>
  <c r="F1909" i="1"/>
  <c r="D1909" i="1"/>
  <c r="B1909" i="1"/>
  <c r="O1908" i="1"/>
  <c r="N1908" i="1"/>
  <c r="M1908" i="1"/>
  <c r="F1908" i="1"/>
  <c r="D1908" i="1"/>
  <c r="B1908" i="1"/>
  <c r="O1907" i="1"/>
  <c r="N1907" i="1"/>
  <c r="M1907" i="1"/>
  <c r="F1907" i="1"/>
  <c r="D1907" i="1"/>
  <c r="B1907" i="1"/>
  <c r="O1906" i="1"/>
  <c r="N1906" i="1"/>
  <c r="M1906" i="1"/>
  <c r="F1906" i="1"/>
  <c r="D1906" i="1"/>
  <c r="B1906" i="1"/>
  <c r="O1905" i="1"/>
  <c r="N1905" i="1"/>
  <c r="M1905" i="1"/>
  <c r="F1905" i="1"/>
  <c r="D1905" i="1"/>
  <c r="B1905" i="1"/>
  <c r="O1904" i="1"/>
  <c r="N1904" i="1"/>
  <c r="M1904" i="1"/>
  <c r="F1904" i="1"/>
  <c r="D1904" i="1"/>
  <c r="B1904" i="1"/>
  <c r="O1903" i="1"/>
  <c r="N1903" i="1"/>
  <c r="M1903" i="1"/>
  <c r="F1903" i="1"/>
  <c r="D1903" i="1"/>
  <c r="B1903" i="1"/>
  <c r="O1902" i="1"/>
  <c r="N1902" i="1"/>
  <c r="M1902" i="1"/>
  <c r="F1902" i="1"/>
  <c r="D1902" i="1"/>
  <c r="B1902" i="1"/>
  <c r="O1901" i="1"/>
  <c r="N1901" i="1"/>
  <c r="M1901" i="1"/>
  <c r="F1901" i="1"/>
  <c r="D1901" i="1"/>
  <c r="B1901" i="1"/>
  <c r="O1900" i="1"/>
  <c r="N1900" i="1"/>
  <c r="M1900" i="1"/>
  <c r="F1900" i="1"/>
  <c r="D1900" i="1"/>
  <c r="B1900" i="1"/>
  <c r="O1899" i="1"/>
  <c r="N1899" i="1"/>
  <c r="M1899" i="1"/>
  <c r="F1899" i="1"/>
  <c r="D1899" i="1"/>
  <c r="B1899" i="1"/>
  <c r="O1898" i="1"/>
  <c r="N1898" i="1"/>
  <c r="M1898" i="1"/>
  <c r="F1898" i="1"/>
  <c r="D1898" i="1"/>
  <c r="B1898" i="1"/>
  <c r="O1897" i="1"/>
  <c r="N1897" i="1"/>
  <c r="M1897" i="1"/>
  <c r="F1897" i="1"/>
  <c r="D1897" i="1"/>
  <c r="B1897" i="1"/>
  <c r="O1896" i="1"/>
  <c r="N1896" i="1"/>
  <c r="M1896" i="1"/>
  <c r="F1896" i="1"/>
  <c r="D1896" i="1"/>
  <c r="B1896" i="1"/>
  <c r="O1895" i="1"/>
  <c r="N1895" i="1"/>
  <c r="M1895" i="1"/>
  <c r="F1895" i="1"/>
  <c r="D1895" i="1"/>
  <c r="B1895" i="1"/>
  <c r="O1894" i="1"/>
  <c r="N1894" i="1"/>
  <c r="M1894" i="1"/>
  <c r="F1894" i="1"/>
  <c r="D1894" i="1"/>
  <c r="B1894" i="1"/>
  <c r="O1893" i="1"/>
  <c r="N1893" i="1"/>
  <c r="M1893" i="1"/>
  <c r="F1893" i="1"/>
  <c r="D1893" i="1"/>
  <c r="B1893" i="1"/>
  <c r="O1892" i="1"/>
  <c r="N1892" i="1"/>
  <c r="M1892" i="1"/>
  <c r="F1892" i="1"/>
  <c r="D1892" i="1"/>
  <c r="B1892" i="1"/>
  <c r="O1891" i="1"/>
  <c r="N1891" i="1"/>
  <c r="M1891" i="1"/>
  <c r="F1891" i="1"/>
  <c r="D1891" i="1"/>
  <c r="B1891" i="1"/>
  <c r="O1890" i="1"/>
  <c r="N1890" i="1"/>
  <c r="M1890" i="1"/>
  <c r="F1890" i="1"/>
  <c r="D1890" i="1"/>
  <c r="B1890" i="1"/>
  <c r="O1889" i="1"/>
  <c r="N1889" i="1"/>
  <c r="M1889" i="1"/>
  <c r="F1889" i="1"/>
  <c r="D1889" i="1"/>
  <c r="B1889" i="1"/>
  <c r="O1888" i="1"/>
  <c r="N1888" i="1"/>
  <c r="M1888" i="1"/>
  <c r="F1888" i="1"/>
  <c r="D1888" i="1"/>
  <c r="B1888" i="1"/>
  <c r="O1887" i="1"/>
  <c r="N1887" i="1"/>
  <c r="M1887" i="1"/>
  <c r="F1887" i="1"/>
  <c r="D1887" i="1"/>
  <c r="B1887" i="1"/>
  <c r="O1886" i="1"/>
  <c r="N1886" i="1"/>
  <c r="M1886" i="1"/>
  <c r="F1886" i="1"/>
  <c r="D1886" i="1"/>
  <c r="B1886" i="1"/>
  <c r="O1885" i="1"/>
  <c r="N1885" i="1"/>
  <c r="M1885" i="1"/>
  <c r="F1885" i="1"/>
  <c r="D1885" i="1"/>
  <c r="B1885" i="1"/>
  <c r="O1884" i="1"/>
  <c r="N1884" i="1"/>
  <c r="M1884" i="1"/>
  <c r="F1884" i="1"/>
  <c r="D1884" i="1"/>
  <c r="B1884" i="1"/>
  <c r="O1883" i="1"/>
  <c r="N1883" i="1"/>
  <c r="M1883" i="1"/>
  <c r="F1883" i="1"/>
  <c r="D1883" i="1"/>
  <c r="B1883" i="1"/>
  <c r="O1882" i="1"/>
  <c r="N1882" i="1"/>
  <c r="M1882" i="1"/>
  <c r="F1882" i="1"/>
  <c r="D1882" i="1"/>
  <c r="B1882" i="1"/>
  <c r="O1881" i="1"/>
  <c r="N1881" i="1"/>
  <c r="M1881" i="1"/>
  <c r="F1881" i="1"/>
  <c r="D1881" i="1"/>
  <c r="B1881" i="1"/>
  <c r="O1880" i="1"/>
  <c r="N1880" i="1"/>
  <c r="M1880" i="1"/>
  <c r="F1880" i="1"/>
  <c r="D1880" i="1"/>
  <c r="B1880" i="1"/>
  <c r="O1879" i="1"/>
  <c r="N1879" i="1"/>
  <c r="M1879" i="1"/>
  <c r="F1879" i="1"/>
  <c r="D1879" i="1"/>
  <c r="B1879" i="1"/>
  <c r="O1878" i="1"/>
  <c r="N1878" i="1"/>
  <c r="M1878" i="1"/>
  <c r="F1878" i="1"/>
  <c r="D1878" i="1"/>
  <c r="B1878" i="1"/>
  <c r="O1877" i="1"/>
  <c r="N1877" i="1"/>
  <c r="M1877" i="1"/>
  <c r="F1877" i="1"/>
  <c r="D1877" i="1"/>
  <c r="B1877" i="1"/>
  <c r="O1876" i="1"/>
  <c r="N1876" i="1"/>
  <c r="M1876" i="1"/>
  <c r="F1876" i="1"/>
  <c r="D1876" i="1"/>
  <c r="B1876" i="1"/>
  <c r="O1875" i="1"/>
  <c r="N1875" i="1"/>
  <c r="M1875" i="1"/>
  <c r="F1875" i="1"/>
  <c r="D1875" i="1"/>
  <c r="B1875" i="1"/>
  <c r="O1874" i="1"/>
  <c r="N1874" i="1"/>
  <c r="M1874" i="1"/>
  <c r="F1874" i="1"/>
  <c r="D1874" i="1"/>
  <c r="B1874" i="1"/>
  <c r="O1873" i="1"/>
  <c r="N1873" i="1"/>
  <c r="M1873" i="1"/>
  <c r="F1873" i="1"/>
  <c r="D1873" i="1"/>
  <c r="B1873" i="1"/>
  <c r="O1872" i="1"/>
  <c r="N1872" i="1"/>
  <c r="M1872" i="1"/>
  <c r="F1872" i="1"/>
  <c r="D1872" i="1"/>
  <c r="B1872" i="1"/>
  <c r="O1871" i="1"/>
  <c r="N1871" i="1"/>
  <c r="M1871" i="1"/>
  <c r="F1871" i="1"/>
  <c r="D1871" i="1"/>
  <c r="B1871" i="1"/>
  <c r="O1870" i="1"/>
  <c r="N1870" i="1"/>
  <c r="M1870" i="1"/>
  <c r="F1870" i="1"/>
  <c r="D1870" i="1"/>
  <c r="B1870" i="1"/>
  <c r="O1869" i="1"/>
  <c r="N1869" i="1"/>
  <c r="M1869" i="1"/>
  <c r="F1869" i="1"/>
  <c r="D1869" i="1"/>
  <c r="B1869" i="1"/>
  <c r="O1868" i="1"/>
  <c r="N1868" i="1"/>
  <c r="M1868" i="1"/>
  <c r="F1868" i="1"/>
  <c r="D1868" i="1"/>
  <c r="B1868" i="1"/>
  <c r="O1867" i="1"/>
  <c r="N1867" i="1"/>
  <c r="M1867" i="1"/>
  <c r="F1867" i="1"/>
  <c r="D1867" i="1"/>
  <c r="B1867" i="1"/>
  <c r="O1866" i="1"/>
  <c r="N1866" i="1"/>
  <c r="M1866" i="1"/>
  <c r="F1866" i="1"/>
  <c r="D1866" i="1"/>
  <c r="B1866" i="1"/>
  <c r="O1865" i="1"/>
  <c r="N1865" i="1"/>
  <c r="M1865" i="1"/>
  <c r="F1865" i="1"/>
  <c r="D1865" i="1"/>
  <c r="B1865" i="1"/>
  <c r="O1864" i="1"/>
  <c r="N1864" i="1"/>
  <c r="M1864" i="1"/>
  <c r="F1864" i="1"/>
  <c r="D1864" i="1"/>
  <c r="B1864" i="1"/>
  <c r="O1863" i="1"/>
  <c r="N1863" i="1"/>
  <c r="M1863" i="1"/>
  <c r="F1863" i="1"/>
  <c r="D1863" i="1"/>
  <c r="B1863" i="1"/>
  <c r="O1862" i="1"/>
  <c r="N1862" i="1"/>
  <c r="M1862" i="1"/>
  <c r="F1862" i="1"/>
  <c r="D1862" i="1"/>
  <c r="B1862" i="1"/>
  <c r="O1861" i="1"/>
  <c r="N1861" i="1"/>
  <c r="M1861" i="1"/>
  <c r="F1861" i="1"/>
  <c r="D1861" i="1"/>
  <c r="B1861" i="1"/>
  <c r="O1860" i="1"/>
  <c r="N1860" i="1"/>
  <c r="M1860" i="1"/>
  <c r="F1860" i="1"/>
  <c r="D1860" i="1"/>
  <c r="B1860" i="1"/>
  <c r="O1859" i="1"/>
  <c r="N1859" i="1"/>
  <c r="M1859" i="1"/>
  <c r="F1859" i="1"/>
  <c r="D1859" i="1"/>
  <c r="B1859" i="1"/>
  <c r="O1858" i="1"/>
  <c r="N1858" i="1"/>
  <c r="M1858" i="1"/>
  <c r="F1858" i="1"/>
  <c r="D1858" i="1"/>
  <c r="B1858" i="1"/>
  <c r="O1857" i="1"/>
  <c r="N1857" i="1"/>
  <c r="M1857" i="1"/>
  <c r="F1857" i="1"/>
  <c r="D1857" i="1"/>
  <c r="B1857" i="1"/>
  <c r="O1856" i="1"/>
  <c r="N1856" i="1"/>
  <c r="M1856" i="1"/>
  <c r="F1856" i="1"/>
  <c r="D1856" i="1"/>
  <c r="B1856" i="1"/>
  <c r="O1855" i="1"/>
  <c r="N1855" i="1"/>
  <c r="M1855" i="1"/>
  <c r="F1855" i="1"/>
  <c r="D1855" i="1"/>
  <c r="B1855" i="1"/>
  <c r="O1854" i="1"/>
  <c r="N1854" i="1"/>
  <c r="M1854" i="1"/>
  <c r="F1854" i="1"/>
  <c r="D1854" i="1"/>
  <c r="B1854" i="1"/>
  <c r="O1853" i="1"/>
  <c r="N1853" i="1"/>
  <c r="M1853" i="1"/>
  <c r="F1853" i="1"/>
  <c r="D1853" i="1"/>
  <c r="B1853" i="1"/>
  <c r="O1852" i="1"/>
  <c r="N1852" i="1"/>
  <c r="M1852" i="1"/>
  <c r="F1852" i="1"/>
  <c r="D1852" i="1"/>
  <c r="B1852" i="1"/>
  <c r="O1851" i="1"/>
  <c r="N1851" i="1"/>
  <c r="M1851" i="1"/>
  <c r="F1851" i="1"/>
  <c r="D1851" i="1"/>
  <c r="B1851" i="1"/>
  <c r="O1850" i="1"/>
  <c r="N1850" i="1"/>
  <c r="M1850" i="1"/>
  <c r="F1850" i="1"/>
  <c r="D1850" i="1"/>
  <c r="B1850" i="1"/>
  <c r="O1849" i="1"/>
  <c r="N1849" i="1"/>
  <c r="M1849" i="1"/>
  <c r="F1849" i="1"/>
  <c r="D1849" i="1"/>
  <c r="B1849" i="1"/>
  <c r="O1848" i="1"/>
  <c r="N1848" i="1"/>
  <c r="M1848" i="1"/>
  <c r="F1848" i="1"/>
  <c r="D1848" i="1"/>
  <c r="B1848" i="1"/>
  <c r="O1847" i="1"/>
  <c r="N1847" i="1"/>
  <c r="M1847" i="1"/>
  <c r="F1847" i="1"/>
  <c r="D1847" i="1"/>
  <c r="B1847" i="1"/>
  <c r="O1846" i="1"/>
  <c r="N1846" i="1"/>
  <c r="M1846" i="1"/>
  <c r="F1846" i="1"/>
  <c r="D1846" i="1"/>
  <c r="B1846" i="1"/>
  <c r="O1845" i="1"/>
  <c r="N1845" i="1"/>
  <c r="M1845" i="1"/>
  <c r="F1845" i="1"/>
  <c r="D1845" i="1"/>
  <c r="B1845" i="1"/>
  <c r="O1844" i="1"/>
  <c r="N1844" i="1"/>
  <c r="M1844" i="1"/>
  <c r="F1844" i="1"/>
  <c r="D1844" i="1"/>
  <c r="B1844" i="1"/>
  <c r="O1843" i="1"/>
  <c r="N1843" i="1"/>
  <c r="M1843" i="1"/>
  <c r="F1843" i="1"/>
  <c r="D1843" i="1"/>
  <c r="B1843" i="1"/>
  <c r="O1842" i="1"/>
  <c r="N1842" i="1"/>
  <c r="M1842" i="1"/>
  <c r="F1842" i="1"/>
  <c r="D1842" i="1"/>
  <c r="B1842" i="1"/>
  <c r="O1841" i="1"/>
  <c r="N1841" i="1"/>
  <c r="M1841" i="1"/>
  <c r="F1841" i="1"/>
  <c r="D1841" i="1"/>
  <c r="B1841" i="1"/>
  <c r="O1840" i="1"/>
  <c r="N1840" i="1"/>
  <c r="M1840" i="1"/>
  <c r="F1840" i="1"/>
  <c r="D1840" i="1"/>
  <c r="B1840" i="1"/>
  <c r="O1839" i="1"/>
  <c r="N1839" i="1"/>
  <c r="M1839" i="1"/>
  <c r="F1839" i="1"/>
  <c r="D1839" i="1"/>
  <c r="B1839" i="1"/>
  <c r="O1838" i="1"/>
  <c r="N1838" i="1"/>
  <c r="M1838" i="1"/>
  <c r="F1838" i="1"/>
  <c r="D1838" i="1"/>
  <c r="B1838" i="1"/>
  <c r="O1837" i="1"/>
  <c r="N1837" i="1"/>
  <c r="M1837" i="1"/>
  <c r="F1837" i="1"/>
  <c r="D1837" i="1"/>
  <c r="B1837" i="1"/>
  <c r="O1836" i="1"/>
  <c r="N1836" i="1"/>
  <c r="M1836" i="1"/>
  <c r="F1836" i="1"/>
  <c r="D1836" i="1"/>
  <c r="B1836" i="1"/>
  <c r="O1835" i="1"/>
  <c r="N1835" i="1"/>
  <c r="M1835" i="1"/>
  <c r="F1835" i="1"/>
  <c r="D1835" i="1"/>
  <c r="B1835" i="1"/>
  <c r="O1834" i="1"/>
  <c r="N1834" i="1"/>
  <c r="M1834" i="1"/>
  <c r="F1834" i="1"/>
  <c r="D1834" i="1"/>
  <c r="B1834" i="1"/>
  <c r="O1833" i="1"/>
  <c r="N1833" i="1"/>
  <c r="M1833" i="1"/>
  <c r="F1833" i="1"/>
  <c r="D1833" i="1"/>
  <c r="B1833" i="1"/>
  <c r="O1832" i="1"/>
  <c r="N1832" i="1"/>
  <c r="M1832" i="1"/>
  <c r="F1832" i="1"/>
  <c r="D1832" i="1"/>
  <c r="B1832" i="1"/>
  <c r="O1831" i="1"/>
  <c r="N1831" i="1"/>
  <c r="M1831" i="1"/>
  <c r="F1831" i="1"/>
  <c r="D1831" i="1"/>
  <c r="B1831" i="1"/>
  <c r="O1830" i="1"/>
  <c r="N1830" i="1"/>
  <c r="M1830" i="1"/>
  <c r="F1830" i="1"/>
  <c r="D1830" i="1"/>
  <c r="B1830" i="1"/>
  <c r="O1829" i="1"/>
  <c r="N1829" i="1"/>
  <c r="M1829" i="1"/>
  <c r="F1829" i="1"/>
  <c r="D1829" i="1"/>
  <c r="B1829" i="1"/>
  <c r="O1828" i="1"/>
  <c r="N1828" i="1"/>
  <c r="M1828" i="1"/>
  <c r="F1828" i="1"/>
  <c r="D1828" i="1"/>
  <c r="B1828" i="1"/>
  <c r="O1827" i="1"/>
  <c r="N1827" i="1"/>
  <c r="M1827" i="1"/>
  <c r="F1827" i="1"/>
  <c r="D1827" i="1"/>
  <c r="B1827" i="1"/>
  <c r="O1826" i="1"/>
  <c r="N1826" i="1"/>
  <c r="M1826" i="1"/>
  <c r="F1826" i="1"/>
  <c r="D1826" i="1"/>
  <c r="B1826" i="1"/>
  <c r="O1825" i="1"/>
  <c r="N1825" i="1"/>
  <c r="M1825" i="1"/>
  <c r="F1825" i="1"/>
  <c r="D1825" i="1"/>
  <c r="B1825" i="1"/>
  <c r="O1824" i="1"/>
  <c r="N1824" i="1"/>
  <c r="M1824" i="1"/>
  <c r="F1824" i="1"/>
  <c r="D1824" i="1"/>
  <c r="B1824" i="1"/>
  <c r="O1823" i="1"/>
  <c r="N1823" i="1"/>
  <c r="M1823" i="1"/>
  <c r="F1823" i="1"/>
  <c r="D1823" i="1"/>
  <c r="B1823" i="1"/>
  <c r="O1822" i="1"/>
  <c r="N1822" i="1"/>
  <c r="M1822" i="1"/>
  <c r="F1822" i="1"/>
  <c r="D1822" i="1"/>
  <c r="B1822" i="1"/>
  <c r="O1821" i="1"/>
  <c r="N1821" i="1"/>
  <c r="M1821" i="1"/>
  <c r="F1821" i="1"/>
  <c r="D1821" i="1"/>
  <c r="B1821" i="1"/>
  <c r="O1820" i="1"/>
  <c r="N1820" i="1"/>
  <c r="M1820" i="1"/>
  <c r="F1820" i="1"/>
  <c r="D1820" i="1"/>
  <c r="B1820" i="1"/>
  <c r="O1819" i="1"/>
  <c r="N1819" i="1"/>
  <c r="M1819" i="1"/>
  <c r="F1819" i="1"/>
  <c r="D1819" i="1"/>
  <c r="B1819" i="1"/>
  <c r="O1818" i="1"/>
  <c r="N1818" i="1"/>
  <c r="M1818" i="1"/>
  <c r="F1818" i="1"/>
  <c r="D1818" i="1"/>
  <c r="B1818" i="1"/>
  <c r="O1817" i="1"/>
  <c r="N1817" i="1"/>
  <c r="M1817" i="1"/>
  <c r="F1817" i="1"/>
  <c r="D1817" i="1"/>
  <c r="B1817" i="1"/>
  <c r="O1816" i="1"/>
  <c r="N1816" i="1"/>
  <c r="M1816" i="1"/>
  <c r="F1816" i="1"/>
  <c r="D1816" i="1"/>
  <c r="B1816" i="1"/>
  <c r="O1815" i="1"/>
  <c r="N1815" i="1"/>
  <c r="M1815" i="1"/>
  <c r="F1815" i="1"/>
  <c r="D1815" i="1"/>
  <c r="B1815" i="1"/>
  <c r="O1814" i="1"/>
  <c r="N1814" i="1"/>
  <c r="M1814" i="1"/>
  <c r="F1814" i="1"/>
  <c r="D1814" i="1"/>
  <c r="B1814" i="1"/>
  <c r="O1813" i="1"/>
  <c r="N1813" i="1"/>
  <c r="M1813" i="1"/>
  <c r="F1813" i="1"/>
  <c r="D1813" i="1"/>
  <c r="B1813" i="1"/>
  <c r="O1812" i="1"/>
  <c r="N1812" i="1"/>
  <c r="M1812" i="1"/>
  <c r="F1812" i="1"/>
  <c r="D1812" i="1"/>
  <c r="B1812" i="1"/>
  <c r="O1811" i="1"/>
  <c r="N1811" i="1"/>
  <c r="M1811" i="1"/>
  <c r="F1811" i="1"/>
  <c r="D1811" i="1"/>
  <c r="B1811" i="1"/>
  <c r="O1810" i="1"/>
  <c r="N1810" i="1"/>
  <c r="M1810" i="1"/>
  <c r="F1810" i="1"/>
  <c r="D1810" i="1"/>
  <c r="B1810" i="1"/>
  <c r="O1809" i="1"/>
  <c r="N1809" i="1"/>
  <c r="M1809" i="1"/>
  <c r="F1809" i="1"/>
  <c r="D1809" i="1"/>
  <c r="B1809" i="1"/>
  <c r="O1808" i="1"/>
  <c r="N1808" i="1"/>
  <c r="M1808" i="1"/>
  <c r="F1808" i="1"/>
  <c r="D1808" i="1"/>
  <c r="B1808" i="1"/>
  <c r="O1807" i="1"/>
  <c r="N1807" i="1"/>
  <c r="M1807" i="1"/>
  <c r="F1807" i="1"/>
  <c r="D1807" i="1"/>
  <c r="B1807" i="1"/>
  <c r="O1806" i="1"/>
  <c r="N1806" i="1"/>
  <c r="M1806" i="1"/>
  <c r="F1806" i="1"/>
  <c r="D1806" i="1"/>
  <c r="B1806" i="1"/>
  <c r="O1805" i="1"/>
  <c r="N1805" i="1"/>
  <c r="M1805" i="1"/>
  <c r="F1805" i="1"/>
  <c r="D1805" i="1"/>
  <c r="B1805" i="1"/>
  <c r="O1804" i="1"/>
  <c r="N1804" i="1"/>
  <c r="M1804" i="1"/>
  <c r="F1804" i="1"/>
  <c r="D1804" i="1"/>
  <c r="B1804" i="1"/>
  <c r="O1803" i="1"/>
  <c r="N1803" i="1"/>
  <c r="M1803" i="1"/>
  <c r="F1803" i="1"/>
  <c r="D1803" i="1"/>
  <c r="B1803" i="1"/>
  <c r="O1802" i="1"/>
  <c r="N1802" i="1"/>
  <c r="M1802" i="1"/>
  <c r="F1802" i="1"/>
  <c r="D1802" i="1"/>
  <c r="B1802" i="1"/>
  <c r="O1801" i="1"/>
  <c r="N1801" i="1"/>
  <c r="M1801" i="1"/>
  <c r="F1801" i="1"/>
  <c r="D1801" i="1"/>
  <c r="B1801" i="1"/>
  <c r="O1800" i="1"/>
  <c r="N1800" i="1"/>
  <c r="M1800" i="1"/>
  <c r="F1800" i="1"/>
  <c r="D1800" i="1"/>
  <c r="B1800" i="1"/>
  <c r="O1799" i="1"/>
  <c r="N1799" i="1"/>
  <c r="M1799" i="1"/>
  <c r="F1799" i="1"/>
  <c r="D1799" i="1"/>
  <c r="B1799" i="1"/>
  <c r="O1798" i="1"/>
  <c r="N1798" i="1"/>
  <c r="M1798" i="1"/>
  <c r="F1798" i="1"/>
  <c r="D1798" i="1"/>
  <c r="B1798" i="1"/>
  <c r="O1797" i="1"/>
  <c r="N1797" i="1"/>
  <c r="M1797" i="1"/>
  <c r="F1797" i="1"/>
  <c r="D1797" i="1"/>
  <c r="B1797" i="1"/>
  <c r="O1796" i="1"/>
  <c r="N1796" i="1"/>
  <c r="M1796" i="1"/>
  <c r="F1796" i="1"/>
  <c r="D1796" i="1"/>
  <c r="B1796" i="1"/>
  <c r="O1795" i="1"/>
  <c r="N1795" i="1"/>
  <c r="M1795" i="1"/>
  <c r="F1795" i="1"/>
  <c r="D1795" i="1"/>
  <c r="B1795" i="1"/>
  <c r="O1794" i="1"/>
  <c r="N1794" i="1"/>
  <c r="M1794" i="1"/>
  <c r="F1794" i="1"/>
  <c r="D1794" i="1"/>
  <c r="B1794" i="1"/>
  <c r="O1793" i="1"/>
  <c r="N1793" i="1"/>
  <c r="M1793" i="1"/>
  <c r="F1793" i="1"/>
  <c r="D1793" i="1"/>
  <c r="B1793" i="1"/>
  <c r="O1792" i="1"/>
  <c r="N1792" i="1"/>
  <c r="M1792" i="1"/>
  <c r="F1792" i="1"/>
  <c r="D1792" i="1"/>
  <c r="B1792" i="1"/>
  <c r="O1791" i="1"/>
  <c r="N1791" i="1"/>
  <c r="M1791" i="1"/>
  <c r="F1791" i="1"/>
  <c r="D1791" i="1"/>
  <c r="B1791" i="1"/>
  <c r="O1790" i="1"/>
  <c r="N1790" i="1"/>
  <c r="M1790" i="1"/>
  <c r="F1790" i="1"/>
  <c r="D1790" i="1"/>
  <c r="B1790" i="1"/>
  <c r="O1789" i="1"/>
  <c r="N1789" i="1"/>
  <c r="M1789" i="1"/>
  <c r="F1789" i="1"/>
  <c r="D1789" i="1"/>
  <c r="B1789" i="1"/>
  <c r="O1788" i="1"/>
  <c r="N1788" i="1"/>
  <c r="M1788" i="1"/>
  <c r="F1788" i="1"/>
  <c r="D1788" i="1"/>
  <c r="B1788" i="1"/>
  <c r="O1787" i="1"/>
  <c r="N1787" i="1"/>
  <c r="M1787" i="1"/>
  <c r="F1787" i="1"/>
  <c r="D1787" i="1"/>
  <c r="B1787" i="1"/>
  <c r="O1786" i="1"/>
  <c r="N1786" i="1"/>
  <c r="M1786" i="1"/>
  <c r="F1786" i="1"/>
  <c r="D1786" i="1"/>
  <c r="B1786" i="1"/>
  <c r="O1785" i="1"/>
  <c r="N1785" i="1"/>
  <c r="M1785" i="1"/>
  <c r="F1785" i="1"/>
  <c r="D1785" i="1"/>
  <c r="B1785" i="1"/>
  <c r="O1784" i="1"/>
  <c r="N1784" i="1"/>
  <c r="M1784" i="1"/>
  <c r="F1784" i="1"/>
  <c r="D1784" i="1"/>
  <c r="B1784" i="1"/>
  <c r="O1783" i="1"/>
  <c r="N1783" i="1"/>
  <c r="M1783" i="1"/>
  <c r="F1783" i="1"/>
  <c r="D1783" i="1"/>
  <c r="B1783" i="1"/>
  <c r="O1782" i="1"/>
  <c r="N1782" i="1"/>
  <c r="M1782" i="1"/>
  <c r="F1782" i="1"/>
  <c r="D1782" i="1"/>
  <c r="B1782" i="1"/>
  <c r="O1781" i="1"/>
  <c r="N1781" i="1"/>
  <c r="M1781" i="1"/>
  <c r="F1781" i="1"/>
  <c r="D1781" i="1"/>
  <c r="B1781" i="1"/>
  <c r="O1780" i="1"/>
  <c r="N1780" i="1"/>
  <c r="M1780" i="1"/>
  <c r="F1780" i="1"/>
  <c r="D1780" i="1"/>
  <c r="B1780" i="1"/>
  <c r="O1779" i="1"/>
  <c r="N1779" i="1"/>
  <c r="M1779" i="1"/>
  <c r="F1779" i="1"/>
  <c r="D1779" i="1"/>
  <c r="B1779" i="1"/>
  <c r="O1778" i="1"/>
  <c r="N1778" i="1"/>
  <c r="M1778" i="1"/>
  <c r="F1778" i="1"/>
  <c r="D1778" i="1"/>
  <c r="B1778" i="1"/>
  <c r="O1777" i="1"/>
  <c r="N1777" i="1"/>
  <c r="M1777" i="1"/>
  <c r="F1777" i="1"/>
  <c r="D1777" i="1"/>
  <c r="B1777" i="1"/>
  <c r="O1776" i="1"/>
  <c r="N1776" i="1"/>
  <c r="M1776" i="1"/>
  <c r="F1776" i="1"/>
  <c r="D1776" i="1"/>
  <c r="B1776" i="1"/>
  <c r="O1775" i="1"/>
  <c r="N1775" i="1"/>
  <c r="M1775" i="1"/>
  <c r="F1775" i="1"/>
  <c r="D1775" i="1"/>
  <c r="B1775" i="1"/>
  <c r="O1774" i="1"/>
  <c r="N1774" i="1"/>
  <c r="M1774" i="1"/>
  <c r="F1774" i="1"/>
  <c r="D1774" i="1"/>
  <c r="B1774" i="1"/>
  <c r="O1773" i="1"/>
  <c r="N1773" i="1"/>
  <c r="M1773" i="1"/>
  <c r="F1773" i="1"/>
  <c r="D1773" i="1"/>
  <c r="B1773" i="1"/>
  <c r="O1772" i="1"/>
  <c r="N1772" i="1"/>
  <c r="M1772" i="1"/>
  <c r="F1772" i="1"/>
  <c r="D1772" i="1"/>
  <c r="B1772" i="1"/>
  <c r="O1771" i="1"/>
  <c r="N1771" i="1"/>
  <c r="M1771" i="1"/>
  <c r="F1771" i="1"/>
  <c r="D1771" i="1"/>
  <c r="B1771" i="1"/>
  <c r="O1770" i="1"/>
  <c r="N1770" i="1"/>
  <c r="M1770" i="1"/>
  <c r="F1770" i="1"/>
  <c r="D1770" i="1"/>
  <c r="B1770" i="1"/>
  <c r="O1769" i="1"/>
  <c r="N1769" i="1"/>
  <c r="M1769" i="1"/>
  <c r="F1769" i="1"/>
  <c r="D1769" i="1"/>
  <c r="B1769" i="1"/>
  <c r="O1768" i="1"/>
  <c r="N1768" i="1"/>
  <c r="M1768" i="1"/>
  <c r="F1768" i="1"/>
  <c r="D1768" i="1"/>
  <c r="B1768" i="1"/>
  <c r="O1767" i="1"/>
  <c r="N1767" i="1"/>
  <c r="M1767" i="1"/>
  <c r="F1767" i="1"/>
  <c r="D1767" i="1"/>
  <c r="B1767" i="1"/>
  <c r="O1766" i="1"/>
  <c r="N1766" i="1"/>
  <c r="M1766" i="1"/>
  <c r="F1766" i="1"/>
  <c r="D1766" i="1"/>
  <c r="B1766" i="1"/>
  <c r="O1765" i="1"/>
  <c r="N1765" i="1"/>
  <c r="M1765" i="1"/>
  <c r="F1765" i="1"/>
  <c r="D1765" i="1"/>
  <c r="B1765" i="1"/>
  <c r="O1764" i="1"/>
  <c r="N1764" i="1"/>
  <c r="M1764" i="1"/>
  <c r="F1764" i="1"/>
  <c r="D1764" i="1"/>
  <c r="B1764" i="1"/>
  <c r="O1763" i="1"/>
  <c r="N1763" i="1"/>
  <c r="M1763" i="1"/>
  <c r="F1763" i="1"/>
  <c r="D1763" i="1"/>
  <c r="B1763" i="1"/>
  <c r="O1762" i="1"/>
  <c r="N1762" i="1"/>
  <c r="M1762" i="1"/>
  <c r="F1762" i="1"/>
  <c r="D1762" i="1"/>
  <c r="B1762" i="1"/>
  <c r="O1761" i="1"/>
  <c r="N1761" i="1"/>
  <c r="M1761" i="1"/>
  <c r="F1761" i="1"/>
  <c r="D1761" i="1"/>
  <c r="B1761" i="1"/>
  <c r="O1760" i="1"/>
  <c r="N1760" i="1"/>
  <c r="M1760" i="1"/>
  <c r="F1760" i="1"/>
  <c r="D1760" i="1"/>
  <c r="B1760" i="1"/>
  <c r="O1759" i="1"/>
  <c r="N1759" i="1"/>
  <c r="M1759" i="1"/>
  <c r="F1759" i="1"/>
  <c r="D1759" i="1"/>
  <c r="B1759" i="1"/>
  <c r="O1758" i="1"/>
  <c r="N1758" i="1"/>
  <c r="M1758" i="1"/>
  <c r="F1758" i="1"/>
  <c r="D1758" i="1"/>
  <c r="B1758" i="1"/>
  <c r="O1757" i="1"/>
  <c r="N1757" i="1"/>
  <c r="M1757" i="1"/>
  <c r="F1757" i="1"/>
  <c r="D1757" i="1"/>
  <c r="B1757" i="1"/>
  <c r="O1756" i="1"/>
  <c r="N1756" i="1"/>
  <c r="M1756" i="1"/>
  <c r="F1756" i="1"/>
  <c r="D1756" i="1"/>
  <c r="B1756" i="1"/>
  <c r="O1755" i="1"/>
  <c r="N1755" i="1"/>
  <c r="M1755" i="1"/>
  <c r="F1755" i="1"/>
  <c r="D1755" i="1"/>
  <c r="B1755" i="1"/>
  <c r="O1754" i="1"/>
  <c r="N1754" i="1"/>
  <c r="M1754" i="1"/>
  <c r="F1754" i="1"/>
  <c r="D1754" i="1"/>
  <c r="B1754" i="1"/>
  <c r="O1753" i="1"/>
  <c r="N1753" i="1"/>
  <c r="M1753" i="1"/>
  <c r="F1753" i="1"/>
  <c r="D1753" i="1"/>
  <c r="B1753" i="1"/>
  <c r="O1752" i="1"/>
  <c r="N1752" i="1"/>
  <c r="M1752" i="1"/>
  <c r="F1752" i="1"/>
  <c r="D1752" i="1"/>
  <c r="B1752" i="1"/>
  <c r="O1751" i="1"/>
  <c r="N1751" i="1"/>
  <c r="M1751" i="1"/>
  <c r="F1751" i="1"/>
  <c r="D1751" i="1"/>
  <c r="B1751" i="1"/>
  <c r="O1750" i="1"/>
  <c r="N1750" i="1"/>
  <c r="M1750" i="1"/>
  <c r="F1750" i="1"/>
  <c r="D1750" i="1"/>
  <c r="B1750" i="1"/>
  <c r="O1749" i="1"/>
  <c r="N1749" i="1"/>
  <c r="M1749" i="1"/>
  <c r="F1749" i="1"/>
  <c r="D1749" i="1"/>
  <c r="B1749" i="1"/>
  <c r="O1748" i="1"/>
  <c r="N1748" i="1"/>
  <c r="M1748" i="1"/>
  <c r="F1748" i="1"/>
  <c r="D1748" i="1"/>
  <c r="B1748" i="1"/>
  <c r="O1747" i="1"/>
  <c r="N1747" i="1"/>
  <c r="M1747" i="1"/>
  <c r="F1747" i="1"/>
  <c r="D1747" i="1"/>
  <c r="B1747" i="1"/>
  <c r="O1746" i="1"/>
  <c r="N1746" i="1"/>
  <c r="M1746" i="1"/>
  <c r="F1746" i="1"/>
  <c r="D1746" i="1"/>
  <c r="B1746" i="1"/>
  <c r="O1745" i="1"/>
  <c r="N1745" i="1"/>
  <c r="M1745" i="1"/>
  <c r="F1745" i="1"/>
  <c r="D1745" i="1"/>
  <c r="B1745" i="1"/>
  <c r="O1744" i="1"/>
  <c r="N1744" i="1"/>
  <c r="M1744" i="1"/>
  <c r="F1744" i="1"/>
  <c r="D1744" i="1"/>
  <c r="B1744" i="1"/>
  <c r="O1743" i="1"/>
  <c r="N1743" i="1"/>
  <c r="M1743" i="1"/>
  <c r="F1743" i="1"/>
  <c r="D1743" i="1"/>
  <c r="B1743" i="1"/>
  <c r="O1742" i="1"/>
  <c r="N1742" i="1"/>
  <c r="M1742" i="1"/>
  <c r="F1742" i="1"/>
  <c r="D1742" i="1"/>
  <c r="B1742" i="1"/>
  <c r="O1741" i="1"/>
  <c r="N1741" i="1"/>
  <c r="M1741" i="1"/>
  <c r="F1741" i="1"/>
  <c r="D1741" i="1"/>
  <c r="B1741" i="1"/>
  <c r="O1740" i="1"/>
  <c r="N1740" i="1"/>
  <c r="M1740" i="1"/>
  <c r="F1740" i="1"/>
  <c r="D1740" i="1"/>
  <c r="B1740" i="1"/>
  <c r="O1739" i="1"/>
  <c r="N1739" i="1"/>
  <c r="M1739" i="1"/>
  <c r="F1739" i="1"/>
  <c r="D1739" i="1"/>
  <c r="B1739" i="1"/>
  <c r="O1738" i="1"/>
  <c r="N1738" i="1"/>
  <c r="M1738" i="1"/>
  <c r="F1738" i="1"/>
  <c r="D1738" i="1"/>
  <c r="B1738" i="1"/>
  <c r="O1737" i="1"/>
  <c r="N1737" i="1"/>
  <c r="M1737" i="1"/>
  <c r="F1737" i="1"/>
  <c r="D1737" i="1"/>
  <c r="B1737" i="1"/>
  <c r="O1736" i="1"/>
  <c r="N1736" i="1"/>
  <c r="M1736" i="1"/>
  <c r="F1736" i="1"/>
  <c r="D1736" i="1"/>
  <c r="B1736" i="1"/>
  <c r="O1735" i="1"/>
  <c r="N1735" i="1"/>
  <c r="M1735" i="1"/>
  <c r="F1735" i="1"/>
  <c r="D1735" i="1"/>
  <c r="B1735" i="1"/>
  <c r="O1734" i="1"/>
  <c r="N1734" i="1"/>
  <c r="M1734" i="1"/>
  <c r="F1734" i="1"/>
  <c r="D1734" i="1"/>
  <c r="B1734" i="1"/>
  <c r="O1733" i="1"/>
  <c r="N1733" i="1"/>
  <c r="M1733" i="1"/>
  <c r="F1733" i="1"/>
  <c r="D1733" i="1"/>
  <c r="B1733" i="1"/>
  <c r="O1732" i="1"/>
  <c r="N1732" i="1"/>
  <c r="M1732" i="1"/>
  <c r="F1732" i="1"/>
  <c r="D1732" i="1"/>
  <c r="B1732" i="1"/>
  <c r="O1731" i="1"/>
  <c r="N1731" i="1"/>
  <c r="M1731" i="1"/>
  <c r="F1731" i="1"/>
  <c r="D1731" i="1"/>
  <c r="B1731" i="1"/>
  <c r="O1730" i="1"/>
  <c r="N1730" i="1"/>
  <c r="M1730" i="1"/>
  <c r="F1730" i="1"/>
  <c r="D1730" i="1"/>
  <c r="B1730" i="1"/>
  <c r="O1729" i="1"/>
  <c r="N1729" i="1"/>
  <c r="M1729" i="1"/>
  <c r="F1729" i="1"/>
  <c r="D1729" i="1"/>
  <c r="B1729" i="1"/>
  <c r="O1728" i="1"/>
  <c r="N1728" i="1"/>
  <c r="M1728" i="1"/>
  <c r="F1728" i="1"/>
  <c r="D1728" i="1"/>
  <c r="B1728" i="1"/>
  <c r="O1727" i="1"/>
  <c r="N1727" i="1"/>
  <c r="M1727" i="1"/>
  <c r="F1727" i="1"/>
  <c r="D1727" i="1"/>
  <c r="B1727" i="1"/>
  <c r="O1726" i="1"/>
  <c r="N1726" i="1"/>
  <c r="M1726" i="1"/>
  <c r="F1726" i="1"/>
  <c r="D1726" i="1"/>
  <c r="B1726" i="1"/>
  <c r="O1725" i="1"/>
  <c r="N1725" i="1"/>
  <c r="M1725" i="1"/>
  <c r="F1725" i="1"/>
  <c r="D1725" i="1"/>
  <c r="B1725" i="1"/>
  <c r="O1724" i="1"/>
  <c r="N1724" i="1"/>
  <c r="M1724" i="1"/>
  <c r="F1724" i="1"/>
  <c r="D1724" i="1"/>
  <c r="B1724" i="1"/>
  <c r="O1723" i="1"/>
  <c r="N1723" i="1"/>
  <c r="M1723" i="1"/>
  <c r="F1723" i="1"/>
  <c r="D1723" i="1"/>
  <c r="B1723" i="1"/>
  <c r="O1722" i="1"/>
  <c r="N1722" i="1"/>
  <c r="M1722" i="1"/>
  <c r="F1722" i="1"/>
  <c r="D1722" i="1"/>
  <c r="B1722" i="1"/>
  <c r="O1721" i="1"/>
  <c r="N1721" i="1"/>
  <c r="M1721" i="1"/>
  <c r="F1721" i="1"/>
  <c r="D1721" i="1"/>
  <c r="B1721" i="1"/>
  <c r="O1720" i="1"/>
  <c r="N1720" i="1"/>
  <c r="M1720" i="1"/>
  <c r="F1720" i="1"/>
  <c r="D1720" i="1"/>
  <c r="B1720" i="1"/>
  <c r="O1719" i="1"/>
  <c r="N1719" i="1"/>
  <c r="M1719" i="1"/>
  <c r="F1719" i="1"/>
  <c r="D1719" i="1"/>
  <c r="B1719" i="1"/>
  <c r="O1718" i="1"/>
  <c r="N1718" i="1"/>
  <c r="M1718" i="1"/>
  <c r="F1718" i="1"/>
  <c r="D1718" i="1"/>
  <c r="B1718" i="1"/>
  <c r="O1717" i="1"/>
  <c r="N1717" i="1"/>
  <c r="M1717" i="1"/>
  <c r="F1717" i="1"/>
  <c r="D1717" i="1"/>
  <c r="B1717" i="1"/>
  <c r="O1716" i="1"/>
  <c r="N1716" i="1"/>
  <c r="M1716" i="1"/>
  <c r="F1716" i="1"/>
  <c r="D1716" i="1"/>
  <c r="B1716" i="1"/>
  <c r="O1715" i="1"/>
  <c r="N1715" i="1"/>
  <c r="M1715" i="1"/>
  <c r="F1715" i="1"/>
  <c r="D1715" i="1"/>
  <c r="B1715" i="1"/>
  <c r="O1714" i="1"/>
  <c r="N1714" i="1"/>
  <c r="M1714" i="1"/>
  <c r="F1714" i="1"/>
  <c r="D1714" i="1"/>
  <c r="B1714" i="1"/>
  <c r="O1713" i="1"/>
  <c r="N1713" i="1"/>
  <c r="M1713" i="1"/>
  <c r="F1713" i="1"/>
  <c r="D1713" i="1"/>
  <c r="B1713" i="1"/>
  <c r="O1712" i="1"/>
  <c r="N1712" i="1"/>
  <c r="M1712" i="1"/>
  <c r="F1712" i="1"/>
  <c r="D1712" i="1"/>
  <c r="B1712" i="1"/>
  <c r="O1711" i="1"/>
  <c r="N1711" i="1"/>
  <c r="M1711" i="1"/>
  <c r="F1711" i="1"/>
  <c r="D1711" i="1"/>
  <c r="B1711" i="1"/>
  <c r="O1710" i="1"/>
  <c r="N1710" i="1"/>
  <c r="M1710" i="1"/>
  <c r="F1710" i="1"/>
  <c r="D1710" i="1"/>
  <c r="B1710" i="1"/>
  <c r="O1709" i="1"/>
  <c r="N1709" i="1"/>
  <c r="M1709" i="1"/>
  <c r="F1709" i="1"/>
  <c r="D1709" i="1"/>
  <c r="B1709" i="1"/>
  <c r="O1708" i="1"/>
  <c r="N1708" i="1"/>
  <c r="M1708" i="1"/>
  <c r="F1708" i="1"/>
  <c r="D1708" i="1"/>
  <c r="B1708" i="1"/>
  <c r="O1707" i="1"/>
  <c r="N1707" i="1"/>
  <c r="M1707" i="1"/>
  <c r="F1707" i="1"/>
  <c r="D1707" i="1"/>
  <c r="B1707" i="1"/>
  <c r="O1706" i="1"/>
  <c r="N1706" i="1"/>
  <c r="M1706" i="1"/>
  <c r="F1706" i="1"/>
  <c r="D1706" i="1"/>
  <c r="B1706" i="1"/>
  <c r="O1705" i="1"/>
  <c r="N1705" i="1"/>
  <c r="M1705" i="1"/>
  <c r="F1705" i="1"/>
  <c r="D1705" i="1"/>
  <c r="B1705" i="1"/>
  <c r="O1704" i="1"/>
  <c r="N1704" i="1"/>
  <c r="M1704" i="1"/>
  <c r="F1704" i="1"/>
  <c r="D1704" i="1"/>
  <c r="B1704" i="1"/>
  <c r="O1703" i="1"/>
  <c r="N1703" i="1"/>
  <c r="M1703" i="1"/>
  <c r="F1703" i="1"/>
  <c r="D1703" i="1"/>
  <c r="B1703" i="1"/>
  <c r="O1702" i="1"/>
  <c r="N1702" i="1"/>
  <c r="M1702" i="1"/>
  <c r="F1702" i="1"/>
  <c r="D1702" i="1"/>
  <c r="B1702" i="1"/>
  <c r="O1701" i="1"/>
  <c r="N1701" i="1"/>
  <c r="M1701" i="1"/>
  <c r="F1701" i="1"/>
  <c r="D1701" i="1"/>
  <c r="B1701" i="1"/>
  <c r="O1700" i="1"/>
  <c r="N1700" i="1"/>
  <c r="M1700" i="1"/>
  <c r="F1700" i="1"/>
  <c r="D1700" i="1"/>
  <c r="B1700" i="1"/>
  <c r="O1699" i="1"/>
  <c r="N1699" i="1"/>
  <c r="M1699" i="1"/>
  <c r="F1699" i="1"/>
  <c r="D1699" i="1"/>
  <c r="B1699" i="1"/>
  <c r="O1698" i="1"/>
  <c r="N1698" i="1"/>
  <c r="M1698" i="1"/>
  <c r="F1698" i="1"/>
  <c r="D1698" i="1"/>
  <c r="B1698" i="1"/>
  <c r="O1697" i="1"/>
  <c r="N1697" i="1"/>
  <c r="M1697" i="1"/>
  <c r="F1697" i="1"/>
  <c r="D1697" i="1"/>
  <c r="B1697" i="1"/>
  <c r="O1696" i="1"/>
  <c r="N1696" i="1"/>
  <c r="M1696" i="1"/>
  <c r="F1696" i="1"/>
  <c r="D1696" i="1"/>
  <c r="B1696" i="1"/>
  <c r="O1695" i="1"/>
  <c r="N1695" i="1"/>
  <c r="M1695" i="1"/>
  <c r="F1695" i="1"/>
  <c r="D1695" i="1"/>
  <c r="B1695" i="1"/>
  <c r="O1694" i="1"/>
  <c r="N1694" i="1"/>
  <c r="M1694" i="1"/>
  <c r="F1694" i="1"/>
  <c r="D1694" i="1"/>
  <c r="B1694" i="1"/>
  <c r="O1693" i="1"/>
  <c r="N1693" i="1"/>
  <c r="M1693" i="1"/>
  <c r="F1693" i="1"/>
  <c r="D1693" i="1"/>
  <c r="B1693" i="1"/>
  <c r="O1692" i="1"/>
  <c r="N1692" i="1"/>
  <c r="M1692" i="1"/>
  <c r="F1692" i="1"/>
  <c r="D1692" i="1"/>
  <c r="B1692" i="1"/>
  <c r="O1691" i="1"/>
  <c r="N1691" i="1"/>
  <c r="M1691" i="1"/>
  <c r="F1691" i="1"/>
  <c r="D1691" i="1"/>
  <c r="B1691" i="1"/>
  <c r="O1690" i="1"/>
  <c r="N1690" i="1"/>
  <c r="M1690" i="1"/>
  <c r="F1690" i="1"/>
  <c r="D1690" i="1"/>
  <c r="B1690" i="1"/>
  <c r="O1689" i="1"/>
  <c r="N1689" i="1"/>
  <c r="M1689" i="1"/>
  <c r="F1689" i="1"/>
  <c r="D1689" i="1"/>
  <c r="B1689" i="1"/>
  <c r="O1688" i="1"/>
  <c r="N1688" i="1"/>
  <c r="M1688" i="1"/>
  <c r="F1688" i="1"/>
  <c r="D1688" i="1"/>
  <c r="B1688" i="1"/>
  <c r="O1687" i="1"/>
  <c r="N1687" i="1"/>
  <c r="M1687" i="1"/>
  <c r="F1687" i="1"/>
  <c r="D1687" i="1"/>
  <c r="B1687" i="1"/>
  <c r="O1686" i="1"/>
  <c r="N1686" i="1"/>
  <c r="M1686" i="1"/>
  <c r="F1686" i="1"/>
  <c r="D1686" i="1"/>
  <c r="B1686" i="1"/>
  <c r="O1685" i="1"/>
  <c r="N1685" i="1"/>
  <c r="M1685" i="1"/>
  <c r="F1685" i="1"/>
  <c r="D1685" i="1"/>
  <c r="B1685" i="1"/>
  <c r="O1684" i="1"/>
  <c r="N1684" i="1"/>
  <c r="M1684" i="1"/>
  <c r="F1684" i="1"/>
  <c r="D1684" i="1"/>
  <c r="B1684" i="1"/>
  <c r="O1683" i="1"/>
  <c r="N1683" i="1"/>
  <c r="M1683" i="1"/>
  <c r="F1683" i="1"/>
  <c r="D1683" i="1"/>
  <c r="B1683" i="1"/>
  <c r="O1682" i="1"/>
  <c r="N1682" i="1"/>
  <c r="M1682" i="1"/>
  <c r="F1682" i="1"/>
  <c r="D1682" i="1"/>
  <c r="B1682" i="1"/>
  <c r="O1681" i="1"/>
  <c r="N1681" i="1"/>
  <c r="M1681" i="1"/>
  <c r="F1681" i="1"/>
  <c r="D1681" i="1"/>
  <c r="B1681" i="1"/>
  <c r="O1680" i="1"/>
  <c r="N1680" i="1"/>
  <c r="M1680" i="1"/>
  <c r="F1680" i="1"/>
  <c r="D1680" i="1"/>
  <c r="B1680" i="1"/>
  <c r="O1679" i="1"/>
  <c r="N1679" i="1"/>
  <c r="M1679" i="1"/>
  <c r="F1679" i="1"/>
  <c r="D1679" i="1"/>
  <c r="B1679" i="1"/>
  <c r="O1678" i="1"/>
  <c r="N1678" i="1"/>
  <c r="M1678" i="1"/>
  <c r="F1678" i="1"/>
  <c r="D1678" i="1"/>
  <c r="B1678" i="1"/>
  <c r="O1677" i="1"/>
  <c r="N1677" i="1"/>
  <c r="M1677" i="1"/>
  <c r="F1677" i="1"/>
  <c r="D1677" i="1"/>
  <c r="B1677" i="1"/>
  <c r="O1676" i="1"/>
  <c r="N1676" i="1"/>
  <c r="M1676" i="1"/>
  <c r="F1676" i="1"/>
  <c r="D1676" i="1"/>
  <c r="B1676" i="1"/>
  <c r="O1675" i="1"/>
  <c r="N1675" i="1"/>
  <c r="M1675" i="1"/>
  <c r="F1675" i="1"/>
  <c r="D1675" i="1"/>
  <c r="B1675" i="1"/>
  <c r="O1674" i="1"/>
  <c r="N1674" i="1"/>
  <c r="M1674" i="1"/>
  <c r="F1674" i="1"/>
  <c r="D1674" i="1"/>
  <c r="B1674" i="1"/>
  <c r="O1673" i="1"/>
  <c r="N1673" i="1"/>
  <c r="M1673" i="1"/>
  <c r="F1673" i="1"/>
  <c r="D1673" i="1"/>
  <c r="B1673" i="1"/>
  <c r="O1672" i="1"/>
  <c r="N1672" i="1"/>
  <c r="M1672" i="1"/>
  <c r="F1672" i="1"/>
  <c r="D1672" i="1"/>
  <c r="B1672" i="1"/>
  <c r="O1671" i="1"/>
  <c r="N1671" i="1"/>
  <c r="M1671" i="1"/>
  <c r="F1671" i="1"/>
  <c r="D1671" i="1"/>
  <c r="B1671" i="1"/>
  <c r="O1670" i="1"/>
  <c r="N1670" i="1"/>
  <c r="M1670" i="1"/>
  <c r="F1670" i="1"/>
  <c r="D1670" i="1"/>
  <c r="B1670" i="1"/>
  <c r="O1669" i="1"/>
  <c r="N1669" i="1"/>
  <c r="M1669" i="1"/>
  <c r="F1669" i="1"/>
  <c r="D1669" i="1"/>
  <c r="B1669" i="1"/>
  <c r="O1668" i="1"/>
  <c r="N1668" i="1"/>
  <c r="M1668" i="1"/>
  <c r="F1668" i="1"/>
  <c r="D1668" i="1"/>
  <c r="B1668" i="1"/>
  <c r="O1667" i="1"/>
  <c r="N1667" i="1"/>
  <c r="M1667" i="1"/>
  <c r="F1667" i="1"/>
  <c r="D1667" i="1"/>
  <c r="B1667" i="1"/>
  <c r="O1666" i="1"/>
  <c r="N1666" i="1"/>
  <c r="M1666" i="1"/>
  <c r="F1666" i="1"/>
  <c r="D1666" i="1"/>
  <c r="B1666" i="1"/>
  <c r="O1665" i="1"/>
  <c r="N1665" i="1"/>
  <c r="M1665" i="1"/>
  <c r="F1665" i="1"/>
  <c r="D1665" i="1"/>
  <c r="B1665" i="1"/>
  <c r="O1664" i="1"/>
  <c r="N1664" i="1"/>
  <c r="M1664" i="1"/>
  <c r="F1664" i="1"/>
  <c r="D1664" i="1"/>
  <c r="B1664" i="1"/>
  <c r="O1663" i="1"/>
  <c r="N1663" i="1"/>
  <c r="M1663" i="1"/>
  <c r="F1663" i="1"/>
  <c r="D1663" i="1"/>
  <c r="B1663" i="1"/>
  <c r="O1662" i="1"/>
  <c r="N1662" i="1"/>
  <c r="M1662" i="1"/>
  <c r="F1662" i="1"/>
  <c r="D1662" i="1"/>
  <c r="B1662" i="1"/>
  <c r="O1661" i="1"/>
  <c r="N1661" i="1"/>
  <c r="M1661" i="1"/>
  <c r="F1661" i="1"/>
  <c r="D1661" i="1"/>
  <c r="B1661" i="1"/>
  <c r="O1660" i="1"/>
  <c r="N1660" i="1"/>
  <c r="M1660" i="1"/>
  <c r="F1660" i="1"/>
  <c r="D1660" i="1"/>
  <c r="B1660" i="1"/>
  <c r="O1659" i="1"/>
  <c r="N1659" i="1"/>
  <c r="M1659" i="1"/>
  <c r="F1659" i="1"/>
  <c r="D1659" i="1"/>
  <c r="B1659" i="1"/>
  <c r="O1658" i="1"/>
  <c r="N1658" i="1"/>
  <c r="M1658" i="1"/>
  <c r="F1658" i="1"/>
  <c r="D1658" i="1"/>
  <c r="B1658" i="1"/>
  <c r="O1657" i="1"/>
  <c r="N1657" i="1"/>
  <c r="M1657" i="1"/>
  <c r="F1657" i="1"/>
  <c r="D1657" i="1"/>
  <c r="B1657" i="1"/>
  <c r="O1656" i="1"/>
  <c r="N1656" i="1"/>
  <c r="M1656" i="1"/>
  <c r="F1656" i="1"/>
  <c r="D1656" i="1"/>
  <c r="B1656" i="1"/>
  <c r="O1655" i="1"/>
  <c r="N1655" i="1"/>
  <c r="M1655" i="1"/>
  <c r="F1655" i="1"/>
  <c r="D1655" i="1"/>
  <c r="B1655" i="1"/>
  <c r="O1654" i="1"/>
  <c r="N1654" i="1"/>
  <c r="M1654" i="1"/>
  <c r="F1654" i="1"/>
  <c r="D1654" i="1"/>
  <c r="B1654" i="1"/>
  <c r="O1653" i="1"/>
  <c r="N1653" i="1"/>
  <c r="M1653" i="1"/>
  <c r="F1653" i="1"/>
  <c r="D1653" i="1"/>
  <c r="B1653" i="1"/>
  <c r="O1652" i="1"/>
  <c r="N1652" i="1"/>
  <c r="M1652" i="1"/>
  <c r="F1652" i="1"/>
  <c r="D1652" i="1"/>
  <c r="B1652" i="1"/>
  <c r="O1651" i="1"/>
  <c r="N1651" i="1"/>
  <c r="M1651" i="1"/>
  <c r="F1651" i="1"/>
  <c r="D1651" i="1"/>
  <c r="B1651" i="1"/>
  <c r="O1650" i="1"/>
  <c r="N1650" i="1"/>
  <c r="M1650" i="1"/>
  <c r="F1650" i="1"/>
  <c r="D1650" i="1"/>
  <c r="B1650" i="1"/>
  <c r="O1649" i="1"/>
  <c r="N1649" i="1"/>
  <c r="M1649" i="1"/>
  <c r="F1649" i="1"/>
  <c r="D1649" i="1"/>
  <c r="B1649" i="1"/>
  <c r="O1648" i="1"/>
  <c r="N1648" i="1"/>
  <c r="M1648" i="1"/>
  <c r="F1648" i="1"/>
  <c r="D1648" i="1"/>
  <c r="B1648" i="1"/>
  <c r="O1647" i="1"/>
  <c r="N1647" i="1"/>
  <c r="M1647" i="1"/>
  <c r="F1647" i="1"/>
  <c r="D1647" i="1"/>
  <c r="B1647" i="1"/>
  <c r="O1646" i="1"/>
  <c r="N1646" i="1"/>
  <c r="M1646" i="1"/>
  <c r="F1646" i="1"/>
  <c r="D1646" i="1"/>
  <c r="B1646" i="1"/>
  <c r="O1645" i="1"/>
  <c r="N1645" i="1"/>
  <c r="M1645" i="1"/>
  <c r="F1645" i="1"/>
  <c r="D1645" i="1"/>
  <c r="B1645" i="1"/>
  <c r="O1644" i="1"/>
  <c r="N1644" i="1"/>
  <c r="M1644" i="1"/>
  <c r="F1644" i="1"/>
  <c r="D1644" i="1"/>
  <c r="B1644" i="1"/>
  <c r="O1643" i="1"/>
  <c r="N1643" i="1"/>
  <c r="M1643" i="1"/>
  <c r="F1643" i="1"/>
  <c r="D1643" i="1"/>
  <c r="B1643" i="1"/>
  <c r="O1642" i="1"/>
  <c r="N1642" i="1"/>
  <c r="M1642" i="1"/>
  <c r="F1642" i="1"/>
  <c r="D1642" i="1"/>
  <c r="B1642" i="1"/>
  <c r="O1641" i="1"/>
  <c r="N1641" i="1"/>
  <c r="M1641" i="1"/>
  <c r="F1641" i="1"/>
  <c r="D1641" i="1"/>
  <c r="B1641" i="1"/>
  <c r="O1640" i="1"/>
  <c r="N1640" i="1"/>
  <c r="M1640" i="1"/>
  <c r="F1640" i="1"/>
  <c r="D1640" i="1"/>
  <c r="B1640" i="1"/>
  <c r="O1639" i="1"/>
  <c r="N1639" i="1"/>
  <c r="M1639" i="1"/>
  <c r="F1639" i="1"/>
  <c r="D1639" i="1"/>
  <c r="B1639" i="1"/>
  <c r="O1638" i="1"/>
  <c r="N1638" i="1"/>
  <c r="M1638" i="1"/>
  <c r="F1638" i="1"/>
  <c r="D1638" i="1"/>
  <c r="B1638" i="1"/>
  <c r="O1637" i="1"/>
  <c r="N1637" i="1"/>
  <c r="M1637" i="1"/>
  <c r="F1637" i="1"/>
  <c r="D1637" i="1"/>
  <c r="B1637" i="1"/>
  <c r="O1636" i="1"/>
  <c r="N1636" i="1"/>
  <c r="M1636" i="1"/>
  <c r="F1636" i="1"/>
  <c r="D1636" i="1"/>
  <c r="B1636" i="1"/>
  <c r="O1635" i="1"/>
  <c r="N1635" i="1"/>
  <c r="M1635" i="1"/>
  <c r="F1635" i="1"/>
  <c r="D1635" i="1"/>
  <c r="B1635" i="1"/>
  <c r="O1634" i="1"/>
  <c r="N1634" i="1"/>
  <c r="M1634" i="1"/>
  <c r="F1634" i="1"/>
  <c r="D1634" i="1"/>
  <c r="B1634" i="1"/>
  <c r="O1633" i="1"/>
  <c r="N1633" i="1"/>
  <c r="M1633" i="1"/>
  <c r="F1633" i="1"/>
  <c r="D1633" i="1"/>
  <c r="B1633" i="1"/>
  <c r="O1632" i="1"/>
  <c r="N1632" i="1"/>
  <c r="M1632" i="1"/>
  <c r="F1632" i="1"/>
  <c r="D1632" i="1"/>
  <c r="B1632" i="1"/>
  <c r="O1631" i="1"/>
  <c r="N1631" i="1"/>
  <c r="M1631" i="1"/>
  <c r="F1631" i="1"/>
  <c r="D1631" i="1"/>
  <c r="B1631" i="1"/>
  <c r="O1630" i="1"/>
  <c r="N1630" i="1"/>
  <c r="M1630" i="1"/>
  <c r="F1630" i="1"/>
  <c r="D1630" i="1"/>
  <c r="B1630" i="1"/>
  <c r="O1629" i="1"/>
  <c r="N1629" i="1"/>
  <c r="M1629" i="1"/>
  <c r="F1629" i="1"/>
  <c r="D1629" i="1"/>
  <c r="B1629" i="1"/>
  <c r="O1628" i="1"/>
  <c r="N1628" i="1"/>
  <c r="M1628" i="1"/>
  <c r="F1628" i="1"/>
  <c r="D1628" i="1"/>
  <c r="B1628" i="1"/>
  <c r="O1627" i="1"/>
  <c r="N1627" i="1"/>
  <c r="M1627" i="1"/>
  <c r="F1627" i="1"/>
  <c r="D1627" i="1"/>
  <c r="B1627" i="1"/>
  <c r="O1626" i="1"/>
  <c r="N1626" i="1"/>
  <c r="M1626" i="1"/>
  <c r="F1626" i="1"/>
  <c r="D1626" i="1"/>
  <c r="B1626" i="1"/>
  <c r="O1625" i="1"/>
  <c r="N1625" i="1"/>
  <c r="M1625" i="1"/>
  <c r="F1625" i="1"/>
  <c r="D1625" i="1"/>
  <c r="B1625" i="1"/>
  <c r="O1624" i="1"/>
  <c r="N1624" i="1"/>
  <c r="M1624" i="1"/>
  <c r="F1624" i="1"/>
  <c r="D1624" i="1"/>
  <c r="B1624" i="1"/>
  <c r="O1623" i="1"/>
  <c r="N1623" i="1"/>
  <c r="M1623" i="1"/>
  <c r="F1623" i="1"/>
  <c r="D1623" i="1"/>
  <c r="B1623" i="1"/>
  <c r="O1622" i="1"/>
  <c r="N1622" i="1"/>
  <c r="M1622" i="1"/>
  <c r="F1622" i="1"/>
  <c r="D1622" i="1"/>
  <c r="B1622" i="1"/>
  <c r="O1621" i="1"/>
  <c r="N1621" i="1"/>
  <c r="M1621" i="1"/>
  <c r="F1621" i="1"/>
  <c r="D1621" i="1"/>
  <c r="B1621" i="1"/>
  <c r="O1620" i="1"/>
  <c r="N1620" i="1"/>
  <c r="M1620" i="1"/>
  <c r="F1620" i="1"/>
  <c r="D1620" i="1"/>
  <c r="B1620" i="1"/>
  <c r="O1619" i="1"/>
  <c r="N1619" i="1"/>
  <c r="M1619" i="1"/>
  <c r="F1619" i="1"/>
  <c r="D1619" i="1"/>
  <c r="B1619" i="1"/>
  <c r="O1618" i="1"/>
  <c r="N1618" i="1"/>
  <c r="M1618" i="1"/>
  <c r="F1618" i="1"/>
  <c r="D1618" i="1"/>
  <c r="B1618" i="1"/>
  <c r="O1617" i="1"/>
  <c r="N1617" i="1"/>
  <c r="M1617" i="1"/>
  <c r="F1617" i="1"/>
  <c r="D1617" i="1"/>
  <c r="B1617" i="1"/>
  <c r="O1616" i="1"/>
  <c r="N1616" i="1"/>
  <c r="M1616" i="1"/>
  <c r="F1616" i="1"/>
  <c r="D1616" i="1"/>
  <c r="B1616" i="1"/>
  <c r="O1615" i="1"/>
  <c r="N1615" i="1"/>
  <c r="M1615" i="1"/>
  <c r="F1615" i="1"/>
  <c r="D1615" i="1"/>
  <c r="B1615" i="1"/>
  <c r="O1614" i="1"/>
  <c r="N1614" i="1"/>
  <c r="M1614" i="1"/>
  <c r="F1614" i="1"/>
  <c r="D1614" i="1"/>
  <c r="B1614" i="1"/>
  <c r="O1613" i="1"/>
  <c r="N1613" i="1"/>
  <c r="M1613" i="1"/>
  <c r="F1613" i="1"/>
  <c r="D1613" i="1"/>
  <c r="B1613" i="1"/>
  <c r="O1612" i="1"/>
  <c r="N1612" i="1"/>
  <c r="M1612" i="1"/>
  <c r="F1612" i="1"/>
  <c r="D1612" i="1"/>
  <c r="B1612" i="1"/>
  <c r="O1611" i="1"/>
  <c r="N1611" i="1"/>
  <c r="M1611" i="1"/>
  <c r="F1611" i="1"/>
  <c r="D1611" i="1"/>
  <c r="B1611" i="1"/>
  <c r="O1610" i="1"/>
  <c r="N1610" i="1"/>
  <c r="M1610" i="1"/>
  <c r="F1610" i="1"/>
  <c r="D1610" i="1"/>
  <c r="B1610" i="1"/>
  <c r="O1609" i="1"/>
  <c r="N1609" i="1"/>
  <c r="M1609" i="1"/>
  <c r="F1609" i="1"/>
  <c r="D1609" i="1"/>
  <c r="B1609" i="1"/>
  <c r="O1608" i="1"/>
  <c r="N1608" i="1"/>
  <c r="M1608" i="1"/>
  <c r="F1608" i="1"/>
  <c r="D1608" i="1"/>
  <c r="B1608" i="1"/>
  <c r="O1607" i="1"/>
  <c r="N1607" i="1"/>
  <c r="M1607" i="1"/>
  <c r="F1607" i="1"/>
  <c r="D1607" i="1"/>
  <c r="B1607" i="1"/>
  <c r="O1606" i="1"/>
  <c r="N1606" i="1"/>
  <c r="M1606" i="1"/>
  <c r="F1606" i="1"/>
  <c r="D1606" i="1"/>
  <c r="B1606" i="1"/>
  <c r="O1605" i="1"/>
  <c r="N1605" i="1"/>
  <c r="M1605" i="1"/>
  <c r="F1605" i="1"/>
  <c r="D1605" i="1"/>
  <c r="B1605" i="1"/>
  <c r="O1604" i="1"/>
  <c r="N1604" i="1"/>
  <c r="M1604" i="1"/>
  <c r="F1604" i="1"/>
  <c r="D1604" i="1"/>
  <c r="B1604" i="1"/>
  <c r="O1603" i="1"/>
  <c r="N1603" i="1"/>
  <c r="M1603" i="1"/>
  <c r="F1603" i="1"/>
  <c r="D1603" i="1"/>
  <c r="B1603" i="1"/>
  <c r="O1602" i="1"/>
  <c r="N1602" i="1"/>
  <c r="M1602" i="1"/>
  <c r="F1602" i="1"/>
  <c r="D1602" i="1"/>
  <c r="B1602" i="1"/>
  <c r="O1601" i="1"/>
  <c r="N1601" i="1"/>
  <c r="M1601" i="1"/>
  <c r="F1601" i="1"/>
  <c r="D1601" i="1"/>
  <c r="B1601" i="1"/>
  <c r="O1600" i="1"/>
  <c r="N1600" i="1"/>
  <c r="M1600" i="1"/>
  <c r="F1600" i="1"/>
  <c r="D1600" i="1"/>
  <c r="B1600" i="1"/>
  <c r="O1599" i="1"/>
  <c r="N1599" i="1"/>
  <c r="M1599" i="1"/>
  <c r="F1599" i="1"/>
  <c r="D1599" i="1"/>
  <c r="B1599" i="1"/>
  <c r="O1598" i="1"/>
  <c r="N1598" i="1"/>
  <c r="M1598" i="1"/>
  <c r="F1598" i="1"/>
  <c r="D1598" i="1"/>
  <c r="B1598" i="1"/>
  <c r="O1597" i="1"/>
  <c r="N1597" i="1"/>
  <c r="M1597" i="1"/>
  <c r="F1597" i="1"/>
  <c r="D1597" i="1"/>
  <c r="B1597" i="1"/>
  <c r="O1596" i="1"/>
  <c r="N1596" i="1"/>
  <c r="M1596" i="1"/>
  <c r="F1596" i="1"/>
  <c r="D1596" i="1"/>
  <c r="B1596" i="1"/>
  <c r="O1595" i="1"/>
  <c r="N1595" i="1"/>
  <c r="M1595" i="1"/>
  <c r="F1595" i="1"/>
  <c r="D1595" i="1"/>
  <c r="B1595" i="1"/>
  <c r="O1594" i="1"/>
  <c r="N1594" i="1"/>
  <c r="M1594" i="1"/>
  <c r="F1594" i="1"/>
  <c r="D1594" i="1"/>
  <c r="B1594" i="1"/>
  <c r="O1593" i="1"/>
  <c r="N1593" i="1"/>
  <c r="M1593" i="1"/>
  <c r="F1593" i="1"/>
  <c r="D1593" i="1"/>
  <c r="B1593" i="1"/>
  <c r="O1592" i="1"/>
  <c r="N1592" i="1"/>
  <c r="M1592" i="1"/>
  <c r="F1592" i="1"/>
  <c r="D1592" i="1"/>
  <c r="B1592" i="1"/>
  <c r="O1591" i="1"/>
  <c r="N1591" i="1"/>
  <c r="M1591" i="1"/>
  <c r="F1591" i="1"/>
  <c r="D1591" i="1"/>
  <c r="B1591" i="1"/>
  <c r="O1590" i="1"/>
  <c r="N1590" i="1"/>
  <c r="M1590" i="1"/>
  <c r="F1590" i="1"/>
  <c r="D1590" i="1"/>
  <c r="B1590" i="1"/>
  <c r="O1589" i="1"/>
  <c r="N1589" i="1"/>
  <c r="M1589" i="1"/>
  <c r="F1589" i="1"/>
  <c r="D1589" i="1"/>
  <c r="B1589" i="1"/>
  <c r="O1588" i="1"/>
  <c r="N1588" i="1"/>
  <c r="M1588" i="1"/>
  <c r="F1588" i="1"/>
  <c r="D1588" i="1"/>
  <c r="B1588" i="1"/>
  <c r="O1587" i="1"/>
  <c r="N1587" i="1"/>
  <c r="M1587" i="1"/>
  <c r="F1587" i="1"/>
  <c r="D1587" i="1"/>
  <c r="B1587" i="1"/>
  <c r="O1586" i="1"/>
  <c r="N1586" i="1"/>
  <c r="M1586" i="1"/>
  <c r="F1586" i="1"/>
  <c r="D1586" i="1"/>
  <c r="B1586" i="1"/>
  <c r="O1585" i="1"/>
  <c r="N1585" i="1"/>
  <c r="M1585" i="1"/>
  <c r="F1585" i="1"/>
  <c r="D1585" i="1"/>
  <c r="B1585" i="1"/>
  <c r="O1584" i="1"/>
  <c r="N1584" i="1"/>
  <c r="M1584" i="1"/>
  <c r="F1584" i="1"/>
  <c r="D1584" i="1"/>
  <c r="B1584" i="1"/>
  <c r="O1583" i="1"/>
  <c r="N1583" i="1"/>
  <c r="M1583" i="1"/>
  <c r="F1583" i="1"/>
  <c r="D1583" i="1"/>
  <c r="B1583" i="1"/>
  <c r="O1582" i="1"/>
  <c r="N1582" i="1"/>
  <c r="M1582" i="1"/>
  <c r="F1582" i="1"/>
  <c r="D1582" i="1"/>
  <c r="B1582" i="1"/>
  <c r="O1581" i="1"/>
  <c r="N1581" i="1"/>
  <c r="M1581" i="1"/>
  <c r="F1581" i="1"/>
  <c r="D1581" i="1"/>
  <c r="B1581" i="1"/>
  <c r="O1580" i="1"/>
  <c r="N1580" i="1"/>
  <c r="M1580" i="1"/>
  <c r="F1580" i="1"/>
  <c r="D1580" i="1"/>
  <c r="B1580" i="1"/>
  <c r="O1579" i="1"/>
  <c r="N1579" i="1"/>
  <c r="M1579" i="1"/>
  <c r="F1579" i="1"/>
  <c r="D1579" i="1"/>
  <c r="B1579" i="1"/>
  <c r="O1578" i="1"/>
  <c r="N1578" i="1"/>
  <c r="M1578" i="1"/>
  <c r="F1578" i="1"/>
  <c r="D1578" i="1"/>
  <c r="B1578" i="1"/>
  <c r="O1577" i="1"/>
  <c r="N1577" i="1"/>
  <c r="M1577" i="1"/>
  <c r="F1577" i="1"/>
  <c r="D1577" i="1"/>
  <c r="B1577" i="1"/>
  <c r="O1576" i="1"/>
  <c r="N1576" i="1"/>
  <c r="M1576" i="1"/>
  <c r="F1576" i="1"/>
  <c r="D1576" i="1"/>
  <c r="B1576" i="1"/>
  <c r="O1575" i="1"/>
  <c r="N1575" i="1"/>
  <c r="M1575" i="1"/>
  <c r="F1575" i="1"/>
  <c r="D1575" i="1"/>
  <c r="B1575" i="1"/>
  <c r="O1574" i="1"/>
  <c r="N1574" i="1"/>
  <c r="M1574" i="1"/>
  <c r="F1574" i="1"/>
  <c r="D1574" i="1"/>
  <c r="B1574" i="1"/>
  <c r="O1573" i="1"/>
  <c r="N1573" i="1"/>
  <c r="M1573" i="1"/>
  <c r="F1573" i="1"/>
  <c r="D1573" i="1"/>
  <c r="B1573" i="1"/>
  <c r="O1572" i="1"/>
  <c r="N1572" i="1"/>
  <c r="M1572" i="1"/>
  <c r="F1572" i="1"/>
  <c r="D1572" i="1"/>
  <c r="B1572" i="1"/>
  <c r="O1571" i="1"/>
  <c r="N1571" i="1"/>
  <c r="M1571" i="1"/>
  <c r="F1571" i="1"/>
  <c r="D1571" i="1"/>
  <c r="B1571" i="1"/>
  <c r="O1570" i="1"/>
  <c r="N1570" i="1"/>
  <c r="M1570" i="1"/>
  <c r="F1570" i="1"/>
  <c r="D1570" i="1"/>
  <c r="B1570" i="1"/>
  <c r="O1569" i="1"/>
  <c r="N1569" i="1"/>
  <c r="M1569" i="1"/>
  <c r="F1569" i="1"/>
  <c r="D1569" i="1"/>
  <c r="B1569" i="1"/>
  <c r="O1568" i="1"/>
  <c r="N1568" i="1"/>
  <c r="M1568" i="1"/>
  <c r="F1568" i="1"/>
  <c r="D1568" i="1"/>
  <c r="B1568" i="1"/>
  <c r="O1567" i="1"/>
  <c r="N1567" i="1"/>
  <c r="M1567" i="1"/>
  <c r="F1567" i="1"/>
  <c r="D1567" i="1"/>
  <c r="B1567" i="1"/>
  <c r="O1566" i="1"/>
  <c r="N1566" i="1"/>
  <c r="M1566" i="1"/>
  <c r="F1566" i="1"/>
  <c r="D1566" i="1"/>
  <c r="B1566" i="1"/>
  <c r="O1565" i="1"/>
  <c r="N1565" i="1"/>
  <c r="M1565" i="1"/>
  <c r="F1565" i="1"/>
  <c r="D1565" i="1"/>
  <c r="B1565" i="1"/>
  <c r="O1564" i="1"/>
  <c r="N1564" i="1"/>
  <c r="M1564" i="1"/>
  <c r="F1564" i="1"/>
  <c r="D1564" i="1"/>
  <c r="B1564" i="1"/>
  <c r="O1563" i="1"/>
  <c r="N1563" i="1"/>
  <c r="M1563" i="1"/>
  <c r="F1563" i="1"/>
  <c r="D1563" i="1"/>
  <c r="B1563" i="1"/>
  <c r="O1562" i="1"/>
  <c r="N1562" i="1"/>
  <c r="M1562" i="1"/>
  <c r="F1562" i="1"/>
  <c r="D1562" i="1"/>
  <c r="B1562" i="1"/>
  <c r="O1561" i="1"/>
  <c r="N1561" i="1"/>
  <c r="M1561" i="1"/>
  <c r="F1561" i="1"/>
  <c r="D1561" i="1"/>
  <c r="B1561" i="1"/>
  <c r="O1560" i="1"/>
  <c r="N1560" i="1"/>
  <c r="M1560" i="1"/>
  <c r="F1560" i="1"/>
  <c r="D1560" i="1"/>
  <c r="B1560" i="1"/>
  <c r="O1559" i="1"/>
  <c r="N1559" i="1"/>
  <c r="M1559" i="1"/>
  <c r="F1559" i="1"/>
  <c r="D1559" i="1"/>
  <c r="B1559" i="1"/>
  <c r="O1558" i="1"/>
  <c r="N1558" i="1"/>
  <c r="M1558" i="1"/>
  <c r="F1558" i="1"/>
  <c r="D1558" i="1"/>
  <c r="B1558" i="1"/>
  <c r="O1557" i="1"/>
  <c r="N1557" i="1"/>
  <c r="M1557" i="1"/>
  <c r="F1557" i="1"/>
  <c r="D1557" i="1"/>
  <c r="B1557" i="1"/>
  <c r="O1556" i="1"/>
  <c r="N1556" i="1"/>
  <c r="M1556" i="1"/>
  <c r="F1556" i="1"/>
  <c r="D1556" i="1"/>
  <c r="B1556" i="1"/>
  <c r="O1555" i="1"/>
  <c r="N1555" i="1"/>
  <c r="M1555" i="1"/>
  <c r="F1555" i="1"/>
  <c r="D1555" i="1"/>
  <c r="B1555" i="1"/>
  <c r="O1554" i="1"/>
  <c r="N1554" i="1"/>
  <c r="M1554" i="1"/>
  <c r="F1554" i="1"/>
  <c r="D1554" i="1"/>
  <c r="B1554" i="1"/>
  <c r="O1553" i="1"/>
  <c r="N1553" i="1"/>
  <c r="M1553" i="1"/>
  <c r="F1553" i="1"/>
  <c r="D1553" i="1"/>
  <c r="B1553" i="1"/>
  <c r="O1552" i="1"/>
  <c r="N1552" i="1"/>
  <c r="M1552" i="1"/>
  <c r="F1552" i="1"/>
  <c r="D1552" i="1"/>
  <c r="B1552" i="1"/>
  <c r="O1551" i="1"/>
  <c r="N1551" i="1"/>
  <c r="M1551" i="1"/>
  <c r="F1551" i="1"/>
  <c r="D1551" i="1"/>
  <c r="B1551" i="1"/>
  <c r="O1550" i="1"/>
  <c r="N1550" i="1"/>
  <c r="M1550" i="1"/>
  <c r="F1550" i="1"/>
  <c r="D1550" i="1"/>
  <c r="B1550" i="1"/>
  <c r="O1549" i="1"/>
  <c r="N1549" i="1"/>
  <c r="M1549" i="1"/>
  <c r="F1549" i="1"/>
  <c r="D1549" i="1"/>
  <c r="B1549" i="1"/>
  <c r="O1548" i="1"/>
  <c r="N1548" i="1"/>
  <c r="M1548" i="1"/>
  <c r="F1548" i="1"/>
  <c r="D1548" i="1"/>
  <c r="B1548" i="1"/>
  <c r="O1547" i="1"/>
  <c r="N1547" i="1"/>
  <c r="M1547" i="1"/>
  <c r="F1547" i="1"/>
  <c r="D1547" i="1"/>
  <c r="B1547" i="1"/>
  <c r="O1546" i="1"/>
  <c r="N1546" i="1"/>
  <c r="M1546" i="1"/>
  <c r="F1546" i="1"/>
  <c r="D1546" i="1"/>
  <c r="B1546" i="1"/>
  <c r="O1545" i="1"/>
  <c r="N1545" i="1"/>
  <c r="M1545" i="1"/>
  <c r="F1545" i="1"/>
  <c r="D1545" i="1"/>
  <c r="B1545" i="1"/>
  <c r="O1544" i="1"/>
  <c r="N1544" i="1"/>
  <c r="M1544" i="1"/>
  <c r="F1544" i="1"/>
  <c r="D1544" i="1"/>
  <c r="B1544" i="1"/>
  <c r="O1543" i="1"/>
  <c r="N1543" i="1"/>
  <c r="M1543" i="1"/>
  <c r="F1543" i="1"/>
  <c r="D1543" i="1"/>
  <c r="B1543" i="1"/>
  <c r="O1542" i="1"/>
  <c r="N1542" i="1"/>
  <c r="M1542" i="1"/>
  <c r="F1542" i="1"/>
  <c r="D1542" i="1"/>
  <c r="B1542" i="1"/>
  <c r="O1541" i="1"/>
  <c r="N1541" i="1"/>
  <c r="M1541" i="1"/>
  <c r="F1541" i="1"/>
  <c r="D1541" i="1"/>
  <c r="B1541" i="1"/>
  <c r="O1540" i="1"/>
  <c r="N1540" i="1"/>
  <c r="M1540" i="1"/>
  <c r="F1540" i="1"/>
  <c r="D1540" i="1"/>
  <c r="B1540" i="1"/>
  <c r="O1539" i="1"/>
  <c r="N1539" i="1"/>
  <c r="M1539" i="1"/>
  <c r="F1539" i="1"/>
  <c r="D1539" i="1"/>
  <c r="B1539" i="1"/>
  <c r="O1538" i="1"/>
  <c r="N1538" i="1"/>
  <c r="M1538" i="1"/>
  <c r="F1538" i="1"/>
  <c r="D1538" i="1"/>
  <c r="B1538" i="1"/>
  <c r="O1537" i="1"/>
  <c r="N1537" i="1"/>
  <c r="M1537" i="1"/>
  <c r="F1537" i="1"/>
  <c r="D1537" i="1"/>
  <c r="B1537" i="1"/>
  <c r="O1536" i="1"/>
  <c r="N1536" i="1"/>
  <c r="M1536" i="1"/>
  <c r="F1536" i="1"/>
  <c r="D1536" i="1"/>
  <c r="B1536" i="1"/>
  <c r="O1535" i="1"/>
  <c r="N1535" i="1"/>
  <c r="M1535" i="1"/>
  <c r="F1535" i="1"/>
  <c r="D1535" i="1"/>
  <c r="B1535" i="1"/>
  <c r="O1534" i="1"/>
  <c r="N1534" i="1"/>
  <c r="M1534" i="1"/>
  <c r="F1534" i="1"/>
  <c r="D1534" i="1"/>
  <c r="B1534" i="1"/>
  <c r="O1533" i="1"/>
  <c r="N1533" i="1"/>
  <c r="M1533" i="1"/>
  <c r="F1533" i="1"/>
  <c r="D1533" i="1"/>
  <c r="B1533" i="1"/>
  <c r="O1532" i="1"/>
  <c r="N1532" i="1"/>
  <c r="M1532" i="1"/>
  <c r="F1532" i="1"/>
  <c r="D1532" i="1"/>
  <c r="B1532" i="1"/>
  <c r="O1531" i="1"/>
  <c r="N1531" i="1"/>
  <c r="M1531" i="1"/>
  <c r="F1531" i="1"/>
  <c r="D1531" i="1"/>
  <c r="B1531" i="1"/>
  <c r="O1530" i="1"/>
  <c r="N1530" i="1"/>
  <c r="M1530" i="1"/>
  <c r="F1530" i="1"/>
  <c r="D1530" i="1"/>
  <c r="B1530" i="1"/>
  <c r="O1529" i="1"/>
  <c r="N1529" i="1"/>
  <c r="M1529" i="1"/>
  <c r="F1529" i="1"/>
  <c r="D1529" i="1"/>
  <c r="B1529" i="1"/>
  <c r="O1528" i="1"/>
  <c r="N1528" i="1"/>
  <c r="M1528" i="1"/>
  <c r="F1528" i="1"/>
  <c r="D1528" i="1"/>
  <c r="B1528" i="1"/>
  <c r="O1527" i="1"/>
  <c r="N1527" i="1"/>
  <c r="M1527" i="1"/>
  <c r="F1527" i="1"/>
  <c r="D1527" i="1"/>
  <c r="B1527" i="1"/>
  <c r="O1526" i="1"/>
  <c r="N1526" i="1"/>
  <c r="M1526" i="1"/>
  <c r="F1526" i="1"/>
  <c r="D1526" i="1"/>
  <c r="B1526" i="1"/>
  <c r="O1525" i="1"/>
  <c r="N1525" i="1"/>
  <c r="M1525" i="1"/>
  <c r="F1525" i="1"/>
  <c r="D1525" i="1"/>
  <c r="B1525" i="1"/>
  <c r="O1524" i="1"/>
  <c r="N1524" i="1"/>
  <c r="M1524" i="1"/>
  <c r="F1524" i="1"/>
  <c r="D1524" i="1"/>
  <c r="B1524" i="1"/>
  <c r="O1523" i="1"/>
  <c r="N1523" i="1"/>
  <c r="M1523" i="1"/>
  <c r="F1523" i="1"/>
  <c r="D1523" i="1"/>
  <c r="B1523" i="1"/>
  <c r="O1522" i="1"/>
  <c r="N1522" i="1"/>
  <c r="M1522" i="1"/>
  <c r="F1522" i="1"/>
  <c r="D1522" i="1"/>
  <c r="B1522" i="1"/>
  <c r="O1521" i="1"/>
  <c r="N1521" i="1"/>
  <c r="M1521" i="1"/>
  <c r="F1521" i="1"/>
  <c r="D1521" i="1"/>
  <c r="B1521" i="1"/>
  <c r="O1520" i="1"/>
  <c r="N1520" i="1"/>
  <c r="M1520" i="1"/>
  <c r="F1520" i="1"/>
  <c r="D1520" i="1"/>
  <c r="B1520" i="1"/>
  <c r="O1519" i="1"/>
  <c r="N1519" i="1"/>
  <c r="M1519" i="1"/>
  <c r="F1519" i="1"/>
  <c r="D1519" i="1"/>
  <c r="B1519" i="1"/>
  <c r="O1518" i="1"/>
  <c r="N1518" i="1"/>
  <c r="M1518" i="1"/>
  <c r="F1518" i="1"/>
  <c r="D1518" i="1"/>
  <c r="B1518" i="1"/>
  <c r="O1517" i="1"/>
  <c r="N1517" i="1"/>
  <c r="M1517" i="1"/>
  <c r="F1517" i="1"/>
  <c r="D1517" i="1"/>
  <c r="B1517" i="1"/>
  <c r="O1516" i="1"/>
  <c r="N1516" i="1"/>
  <c r="M1516" i="1"/>
  <c r="F1516" i="1"/>
  <c r="D1516" i="1"/>
  <c r="B1516" i="1"/>
  <c r="O1515" i="1"/>
  <c r="N1515" i="1"/>
  <c r="M1515" i="1"/>
  <c r="F1515" i="1"/>
  <c r="D1515" i="1"/>
  <c r="B1515" i="1"/>
  <c r="O1514" i="1"/>
  <c r="N1514" i="1"/>
  <c r="M1514" i="1"/>
  <c r="F1514" i="1"/>
  <c r="D1514" i="1"/>
  <c r="B1514" i="1"/>
  <c r="O1513" i="1"/>
  <c r="N1513" i="1"/>
  <c r="M1513" i="1"/>
  <c r="F1513" i="1"/>
  <c r="D1513" i="1"/>
  <c r="B1513" i="1"/>
  <c r="O1512" i="1"/>
  <c r="N1512" i="1"/>
  <c r="M1512" i="1"/>
  <c r="F1512" i="1"/>
  <c r="D1512" i="1"/>
  <c r="B1512" i="1"/>
  <c r="O1511" i="1"/>
  <c r="N1511" i="1"/>
  <c r="M1511" i="1"/>
  <c r="F1511" i="1"/>
  <c r="D1511" i="1"/>
  <c r="B1511" i="1"/>
  <c r="O1510" i="1"/>
  <c r="N1510" i="1"/>
  <c r="M1510" i="1"/>
  <c r="F1510" i="1"/>
  <c r="D1510" i="1"/>
  <c r="B1510" i="1"/>
  <c r="O1509" i="1"/>
  <c r="N1509" i="1"/>
  <c r="M1509" i="1"/>
  <c r="F1509" i="1"/>
  <c r="D1509" i="1"/>
  <c r="B1509" i="1"/>
  <c r="O1508" i="1"/>
  <c r="N1508" i="1"/>
  <c r="M1508" i="1"/>
  <c r="F1508" i="1"/>
  <c r="D1508" i="1"/>
  <c r="B1508" i="1"/>
  <c r="O1507" i="1"/>
  <c r="N1507" i="1"/>
  <c r="M1507" i="1"/>
  <c r="F1507" i="1"/>
  <c r="D1507" i="1"/>
  <c r="B1507" i="1"/>
  <c r="O1506" i="1"/>
  <c r="N1506" i="1"/>
  <c r="M1506" i="1"/>
  <c r="F1506" i="1"/>
  <c r="D1506" i="1"/>
  <c r="B1506" i="1"/>
  <c r="O1505" i="1"/>
  <c r="N1505" i="1"/>
  <c r="M1505" i="1"/>
  <c r="F1505" i="1"/>
  <c r="D1505" i="1"/>
  <c r="B1505" i="1"/>
  <c r="O1504" i="1"/>
  <c r="N1504" i="1"/>
  <c r="M1504" i="1"/>
  <c r="F1504" i="1"/>
  <c r="D1504" i="1"/>
  <c r="B1504" i="1"/>
  <c r="O1503" i="1"/>
  <c r="N1503" i="1"/>
  <c r="M1503" i="1"/>
  <c r="F1503" i="1"/>
  <c r="D1503" i="1"/>
  <c r="B1503" i="1"/>
  <c r="O1502" i="1"/>
  <c r="N1502" i="1"/>
  <c r="M1502" i="1"/>
  <c r="F1502" i="1"/>
  <c r="D1502" i="1"/>
  <c r="B1502" i="1"/>
  <c r="O1501" i="1"/>
  <c r="N1501" i="1"/>
  <c r="M1501" i="1"/>
  <c r="F1501" i="1"/>
  <c r="D1501" i="1"/>
  <c r="B1501" i="1"/>
  <c r="O1500" i="1"/>
  <c r="N1500" i="1"/>
  <c r="M1500" i="1"/>
  <c r="F1500" i="1"/>
  <c r="D1500" i="1"/>
  <c r="B1500" i="1"/>
  <c r="O1499" i="1"/>
  <c r="N1499" i="1"/>
  <c r="M1499" i="1"/>
  <c r="F1499" i="1"/>
  <c r="D1499" i="1"/>
  <c r="B1499" i="1"/>
  <c r="O1498" i="1"/>
  <c r="N1498" i="1"/>
  <c r="M1498" i="1"/>
  <c r="F1498" i="1"/>
  <c r="D1498" i="1"/>
  <c r="B1498" i="1"/>
  <c r="O1497" i="1"/>
  <c r="N1497" i="1"/>
  <c r="M1497" i="1"/>
  <c r="F1497" i="1"/>
  <c r="D1497" i="1"/>
  <c r="B1497" i="1"/>
  <c r="O1496" i="1"/>
  <c r="N1496" i="1"/>
  <c r="M1496" i="1"/>
  <c r="F1496" i="1"/>
  <c r="D1496" i="1"/>
  <c r="B1496" i="1"/>
  <c r="O1495" i="1"/>
  <c r="N1495" i="1"/>
  <c r="M1495" i="1"/>
  <c r="F1495" i="1"/>
  <c r="D1495" i="1"/>
  <c r="B1495" i="1"/>
  <c r="O1494" i="1"/>
  <c r="N1494" i="1"/>
  <c r="M1494" i="1"/>
  <c r="F1494" i="1"/>
  <c r="D1494" i="1"/>
  <c r="B1494" i="1"/>
  <c r="O1493" i="1"/>
  <c r="N1493" i="1"/>
  <c r="M1493" i="1"/>
  <c r="F1493" i="1"/>
  <c r="D1493" i="1"/>
  <c r="B1493" i="1"/>
  <c r="O1492" i="1"/>
  <c r="N1492" i="1"/>
  <c r="M1492" i="1"/>
  <c r="F1492" i="1"/>
  <c r="D1492" i="1"/>
  <c r="B1492" i="1"/>
  <c r="O1491" i="1"/>
  <c r="N1491" i="1"/>
  <c r="M1491" i="1"/>
  <c r="F1491" i="1"/>
  <c r="D1491" i="1"/>
  <c r="B1491" i="1"/>
  <c r="O1490" i="1"/>
  <c r="N1490" i="1"/>
  <c r="M1490" i="1"/>
  <c r="F1490" i="1"/>
  <c r="D1490" i="1"/>
  <c r="B1490" i="1"/>
  <c r="O1489" i="1"/>
  <c r="N1489" i="1"/>
  <c r="M1489" i="1"/>
  <c r="F1489" i="1"/>
  <c r="D1489" i="1"/>
  <c r="B1489" i="1"/>
  <c r="O1488" i="1"/>
  <c r="N1488" i="1"/>
  <c r="M1488" i="1"/>
  <c r="F1488" i="1"/>
  <c r="D1488" i="1"/>
  <c r="B1488" i="1"/>
  <c r="O1487" i="1"/>
  <c r="N1487" i="1"/>
  <c r="M1487" i="1"/>
  <c r="F1487" i="1"/>
  <c r="D1487" i="1"/>
  <c r="B1487" i="1"/>
  <c r="O1486" i="1"/>
  <c r="N1486" i="1"/>
  <c r="M1486" i="1"/>
  <c r="F1486" i="1"/>
  <c r="D1486" i="1"/>
  <c r="B1486" i="1"/>
  <c r="O1485" i="1"/>
  <c r="N1485" i="1"/>
  <c r="M1485" i="1"/>
  <c r="F1485" i="1"/>
  <c r="D1485" i="1"/>
  <c r="B1485" i="1"/>
  <c r="O1484" i="1"/>
  <c r="N1484" i="1"/>
  <c r="M1484" i="1"/>
  <c r="F1484" i="1"/>
  <c r="D1484" i="1"/>
  <c r="B1484" i="1"/>
  <c r="O1483" i="1"/>
  <c r="N1483" i="1"/>
  <c r="M1483" i="1"/>
  <c r="F1483" i="1"/>
  <c r="D1483" i="1"/>
  <c r="B1483" i="1"/>
  <c r="O1482" i="1"/>
  <c r="N1482" i="1"/>
  <c r="M1482" i="1"/>
  <c r="F1482" i="1"/>
  <c r="D1482" i="1"/>
  <c r="B1482" i="1"/>
  <c r="O1481" i="1"/>
  <c r="N1481" i="1"/>
  <c r="M1481" i="1"/>
  <c r="F1481" i="1"/>
  <c r="D1481" i="1"/>
  <c r="B1481" i="1"/>
  <c r="O1480" i="1"/>
  <c r="N1480" i="1"/>
  <c r="M1480" i="1"/>
  <c r="F1480" i="1"/>
  <c r="D1480" i="1"/>
  <c r="B1480" i="1"/>
  <c r="O1479" i="1"/>
  <c r="N1479" i="1"/>
  <c r="M1479" i="1"/>
  <c r="F1479" i="1"/>
  <c r="D1479" i="1"/>
  <c r="B1479" i="1"/>
  <c r="O1478" i="1"/>
  <c r="N1478" i="1"/>
  <c r="M1478" i="1"/>
  <c r="F1478" i="1"/>
  <c r="D1478" i="1"/>
  <c r="B1478" i="1"/>
  <c r="O1477" i="1"/>
  <c r="N1477" i="1"/>
  <c r="M1477" i="1"/>
  <c r="F1477" i="1"/>
  <c r="D1477" i="1"/>
  <c r="B1477" i="1"/>
  <c r="O1476" i="1"/>
  <c r="N1476" i="1"/>
  <c r="M1476" i="1"/>
  <c r="F1476" i="1"/>
  <c r="D1476" i="1"/>
  <c r="B1476" i="1"/>
  <c r="O1475" i="1"/>
  <c r="N1475" i="1"/>
  <c r="M1475" i="1"/>
  <c r="F1475" i="1"/>
  <c r="D1475" i="1"/>
  <c r="B1475" i="1"/>
  <c r="O1474" i="1"/>
  <c r="N1474" i="1"/>
  <c r="M1474" i="1"/>
  <c r="F1474" i="1"/>
  <c r="D1474" i="1"/>
  <c r="B1474" i="1"/>
  <c r="O1473" i="1"/>
  <c r="N1473" i="1"/>
  <c r="M1473" i="1"/>
  <c r="F1473" i="1"/>
  <c r="D1473" i="1"/>
  <c r="B1473" i="1"/>
  <c r="O1472" i="1"/>
  <c r="N1472" i="1"/>
  <c r="M1472" i="1"/>
  <c r="F1472" i="1"/>
  <c r="D1472" i="1"/>
  <c r="B1472" i="1"/>
  <c r="O1471" i="1"/>
  <c r="N1471" i="1"/>
  <c r="M1471" i="1"/>
  <c r="F1471" i="1"/>
  <c r="D1471" i="1"/>
  <c r="B1471" i="1"/>
  <c r="O1470" i="1"/>
  <c r="N1470" i="1"/>
  <c r="M1470" i="1"/>
  <c r="F1470" i="1"/>
  <c r="D1470" i="1"/>
  <c r="B1470" i="1"/>
  <c r="O1469" i="1"/>
  <c r="N1469" i="1"/>
  <c r="M1469" i="1"/>
  <c r="F1469" i="1"/>
  <c r="D1469" i="1"/>
  <c r="B1469" i="1"/>
  <c r="O1468" i="1"/>
  <c r="N1468" i="1"/>
  <c r="M1468" i="1"/>
  <c r="F1468" i="1"/>
  <c r="D1468" i="1"/>
  <c r="B1468" i="1"/>
  <c r="O1467" i="1"/>
  <c r="N1467" i="1"/>
  <c r="M1467" i="1"/>
  <c r="F1467" i="1"/>
  <c r="D1467" i="1"/>
  <c r="B1467" i="1"/>
  <c r="O1466" i="1"/>
  <c r="N1466" i="1"/>
  <c r="M1466" i="1"/>
  <c r="F1466" i="1"/>
  <c r="D1466" i="1"/>
  <c r="B1466" i="1"/>
  <c r="O1465" i="1"/>
  <c r="N1465" i="1"/>
  <c r="M1465" i="1"/>
  <c r="F1465" i="1"/>
  <c r="D1465" i="1"/>
  <c r="B1465" i="1"/>
  <c r="O1464" i="1"/>
  <c r="N1464" i="1"/>
  <c r="M1464" i="1"/>
  <c r="F1464" i="1"/>
  <c r="D1464" i="1"/>
  <c r="B1464" i="1"/>
  <c r="O1463" i="1"/>
  <c r="N1463" i="1"/>
  <c r="M1463" i="1"/>
  <c r="F1463" i="1"/>
  <c r="D1463" i="1"/>
  <c r="B1463" i="1"/>
  <c r="O1462" i="1"/>
  <c r="N1462" i="1"/>
  <c r="M1462" i="1"/>
  <c r="F1462" i="1"/>
  <c r="D1462" i="1"/>
  <c r="B1462" i="1"/>
  <c r="O1461" i="1"/>
  <c r="N1461" i="1"/>
  <c r="M1461" i="1"/>
  <c r="F1461" i="1"/>
  <c r="D1461" i="1"/>
  <c r="B1461" i="1"/>
  <c r="O1460" i="1"/>
  <c r="N1460" i="1"/>
  <c r="M1460" i="1"/>
  <c r="F1460" i="1"/>
  <c r="D1460" i="1"/>
  <c r="B1460" i="1"/>
  <c r="O1459" i="1"/>
  <c r="N1459" i="1"/>
  <c r="M1459" i="1"/>
  <c r="F1459" i="1"/>
  <c r="D1459" i="1"/>
  <c r="B1459" i="1"/>
  <c r="O1458" i="1"/>
  <c r="N1458" i="1"/>
  <c r="M1458" i="1"/>
  <c r="F1458" i="1"/>
  <c r="D1458" i="1"/>
  <c r="B1458" i="1"/>
  <c r="O1457" i="1"/>
  <c r="N1457" i="1"/>
  <c r="M1457" i="1"/>
  <c r="F1457" i="1"/>
  <c r="D1457" i="1"/>
  <c r="B1457" i="1"/>
  <c r="O1456" i="1"/>
  <c r="N1456" i="1"/>
  <c r="M1456" i="1"/>
  <c r="F1456" i="1"/>
  <c r="D1456" i="1"/>
  <c r="B1456" i="1"/>
  <c r="O1455" i="1"/>
  <c r="N1455" i="1"/>
  <c r="M1455" i="1"/>
  <c r="F1455" i="1"/>
  <c r="D1455" i="1"/>
  <c r="B1455" i="1"/>
  <c r="O1454" i="1"/>
  <c r="N1454" i="1"/>
  <c r="M1454" i="1"/>
  <c r="F1454" i="1"/>
  <c r="D1454" i="1"/>
  <c r="B1454" i="1"/>
  <c r="O1453" i="1"/>
  <c r="N1453" i="1"/>
  <c r="M1453" i="1"/>
  <c r="F1453" i="1"/>
  <c r="D1453" i="1"/>
  <c r="B1453" i="1"/>
  <c r="O1452" i="1"/>
  <c r="N1452" i="1"/>
  <c r="M1452" i="1"/>
  <c r="F1452" i="1"/>
  <c r="D1452" i="1"/>
  <c r="B1452" i="1"/>
  <c r="O1451" i="1"/>
  <c r="N1451" i="1"/>
  <c r="M1451" i="1"/>
  <c r="F1451" i="1"/>
  <c r="D1451" i="1"/>
  <c r="B1451" i="1"/>
  <c r="O1450" i="1"/>
  <c r="N1450" i="1"/>
  <c r="M1450" i="1"/>
  <c r="F1450" i="1"/>
  <c r="D1450" i="1"/>
  <c r="B1450" i="1"/>
  <c r="O1449" i="1"/>
  <c r="N1449" i="1"/>
  <c r="M1449" i="1"/>
  <c r="F1449" i="1"/>
  <c r="D1449" i="1"/>
  <c r="B1449" i="1"/>
  <c r="O1448" i="1"/>
  <c r="N1448" i="1"/>
  <c r="M1448" i="1"/>
  <c r="F1448" i="1"/>
  <c r="D1448" i="1"/>
  <c r="B1448" i="1"/>
  <c r="O1447" i="1"/>
  <c r="N1447" i="1"/>
  <c r="M1447" i="1"/>
  <c r="F1447" i="1"/>
  <c r="D1447" i="1"/>
  <c r="B1447" i="1"/>
  <c r="O1446" i="1"/>
  <c r="N1446" i="1"/>
  <c r="M1446" i="1"/>
  <c r="F1446" i="1"/>
  <c r="D1446" i="1"/>
  <c r="B1446" i="1"/>
  <c r="O1445" i="1"/>
  <c r="N1445" i="1"/>
  <c r="M1445" i="1"/>
  <c r="F1445" i="1"/>
  <c r="D1445" i="1"/>
  <c r="B1445" i="1"/>
  <c r="O1444" i="1"/>
  <c r="N1444" i="1"/>
  <c r="M1444" i="1"/>
  <c r="F1444" i="1"/>
  <c r="D1444" i="1"/>
  <c r="B1444" i="1"/>
  <c r="O1443" i="1"/>
  <c r="N1443" i="1"/>
  <c r="M1443" i="1"/>
  <c r="F1443" i="1"/>
  <c r="D1443" i="1"/>
  <c r="B1443" i="1"/>
  <c r="O1442" i="1"/>
  <c r="N1442" i="1"/>
  <c r="M1442" i="1"/>
  <c r="F1442" i="1"/>
  <c r="D1442" i="1"/>
  <c r="B1442" i="1"/>
  <c r="O1441" i="1"/>
  <c r="N1441" i="1"/>
  <c r="M1441" i="1"/>
  <c r="F1441" i="1"/>
  <c r="D1441" i="1"/>
  <c r="B1441" i="1"/>
  <c r="O1440" i="1"/>
  <c r="N1440" i="1"/>
  <c r="M1440" i="1"/>
  <c r="F1440" i="1"/>
  <c r="D1440" i="1"/>
  <c r="B1440" i="1"/>
  <c r="O1439" i="1"/>
  <c r="N1439" i="1"/>
  <c r="M1439" i="1"/>
  <c r="F1439" i="1"/>
  <c r="D1439" i="1"/>
  <c r="B1439" i="1"/>
  <c r="O1438" i="1"/>
  <c r="N1438" i="1"/>
  <c r="M1438" i="1"/>
  <c r="F1438" i="1"/>
  <c r="D1438" i="1"/>
  <c r="B1438" i="1"/>
  <c r="O1437" i="1"/>
  <c r="N1437" i="1"/>
  <c r="M1437" i="1"/>
  <c r="F1437" i="1"/>
  <c r="D1437" i="1"/>
  <c r="B1437" i="1"/>
  <c r="O1436" i="1"/>
  <c r="N1436" i="1"/>
  <c r="M1436" i="1"/>
  <c r="F1436" i="1"/>
  <c r="D1436" i="1"/>
  <c r="B1436" i="1"/>
  <c r="O1435" i="1"/>
  <c r="N1435" i="1"/>
  <c r="M1435" i="1"/>
  <c r="F1435" i="1"/>
  <c r="D1435" i="1"/>
  <c r="B1435" i="1"/>
  <c r="O1434" i="1"/>
  <c r="N1434" i="1"/>
  <c r="M1434" i="1"/>
  <c r="F1434" i="1"/>
  <c r="D1434" i="1"/>
  <c r="B1434" i="1"/>
  <c r="O1433" i="1"/>
  <c r="N1433" i="1"/>
  <c r="M1433" i="1"/>
  <c r="F1433" i="1"/>
  <c r="D1433" i="1"/>
  <c r="B1433" i="1"/>
  <c r="O1432" i="1"/>
  <c r="N1432" i="1"/>
  <c r="M1432" i="1"/>
  <c r="F1432" i="1"/>
  <c r="D1432" i="1"/>
  <c r="B1432" i="1"/>
  <c r="O1431" i="1"/>
  <c r="N1431" i="1"/>
  <c r="M1431" i="1"/>
  <c r="F1431" i="1"/>
  <c r="D1431" i="1"/>
  <c r="B1431" i="1"/>
  <c r="O1430" i="1"/>
  <c r="N1430" i="1"/>
  <c r="M1430" i="1"/>
  <c r="F1430" i="1"/>
  <c r="D1430" i="1"/>
  <c r="B1430" i="1"/>
  <c r="O1429" i="1"/>
  <c r="N1429" i="1"/>
  <c r="M1429" i="1"/>
  <c r="F1429" i="1"/>
  <c r="D1429" i="1"/>
  <c r="B1429" i="1"/>
  <c r="O1428" i="1"/>
  <c r="N1428" i="1"/>
  <c r="M1428" i="1"/>
  <c r="F1428" i="1"/>
  <c r="D1428" i="1"/>
  <c r="B1428" i="1"/>
  <c r="O1427" i="1"/>
  <c r="N1427" i="1"/>
  <c r="M1427" i="1"/>
  <c r="F1427" i="1"/>
  <c r="D1427" i="1"/>
  <c r="B1427" i="1"/>
  <c r="O1426" i="1"/>
  <c r="N1426" i="1"/>
  <c r="M1426" i="1"/>
  <c r="F1426" i="1"/>
  <c r="D1426" i="1"/>
  <c r="B1426" i="1"/>
  <c r="O1425" i="1"/>
  <c r="N1425" i="1"/>
  <c r="M1425" i="1"/>
  <c r="F1425" i="1"/>
  <c r="D1425" i="1"/>
  <c r="B1425" i="1"/>
  <c r="O1424" i="1"/>
  <c r="N1424" i="1"/>
  <c r="M1424" i="1"/>
  <c r="F1424" i="1"/>
  <c r="D1424" i="1"/>
  <c r="B1424" i="1"/>
  <c r="O1423" i="1"/>
  <c r="N1423" i="1"/>
  <c r="M1423" i="1"/>
  <c r="F1423" i="1"/>
  <c r="D1423" i="1"/>
  <c r="B1423" i="1"/>
  <c r="O1422" i="1"/>
  <c r="N1422" i="1"/>
  <c r="M1422" i="1"/>
  <c r="F1422" i="1"/>
  <c r="D1422" i="1"/>
  <c r="B1422" i="1"/>
  <c r="O1421" i="1"/>
  <c r="N1421" i="1"/>
  <c r="M1421" i="1"/>
  <c r="F1421" i="1"/>
  <c r="D1421" i="1"/>
  <c r="B1421" i="1"/>
  <c r="O1420" i="1"/>
  <c r="N1420" i="1"/>
  <c r="M1420" i="1"/>
  <c r="F1420" i="1"/>
  <c r="D1420" i="1"/>
  <c r="B1420" i="1"/>
  <c r="O1419" i="1"/>
  <c r="N1419" i="1"/>
  <c r="M1419" i="1"/>
  <c r="F1419" i="1"/>
  <c r="D1419" i="1"/>
  <c r="B1419" i="1"/>
  <c r="O1418" i="1"/>
  <c r="N1418" i="1"/>
  <c r="M1418" i="1"/>
  <c r="F1418" i="1"/>
  <c r="D1418" i="1"/>
  <c r="B1418" i="1"/>
  <c r="O1417" i="1"/>
  <c r="N1417" i="1"/>
  <c r="M1417" i="1"/>
  <c r="F1417" i="1"/>
  <c r="D1417" i="1"/>
  <c r="B1417" i="1"/>
  <c r="O1416" i="1"/>
  <c r="N1416" i="1"/>
  <c r="M1416" i="1"/>
  <c r="F1416" i="1"/>
  <c r="D1416" i="1"/>
  <c r="B1416" i="1"/>
  <c r="O1415" i="1"/>
  <c r="N1415" i="1"/>
  <c r="M1415" i="1"/>
  <c r="F1415" i="1"/>
  <c r="D1415" i="1"/>
  <c r="B1415" i="1"/>
  <c r="O1414" i="1"/>
  <c r="N1414" i="1"/>
  <c r="M1414" i="1"/>
  <c r="F1414" i="1"/>
  <c r="D1414" i="1"/>
  <c r="B1414" i="1"/>
  <c r="O1413" i="1"/>
  <c r="N1413" i="1"/>
  <c r="M1413" i="1"/>
  <c r="F1413" i="1"/>
  <c r="D1413" i="1"/>
  <c r="B1413" i="1"/>
  <c r="O1412" i="1"/>
  <c r="N1412" i="1"/>
  <c r="M1412" i="1"/>
  <c r="F1412" i="1"/>
  <c r="D1412" i="1"/>
  <c r="B1412" i="1"/>
  <c r="O1411" i="1"/>
  <c r="N1411" i="1"/>
  <c r="M1411" i="1"/>
  <c r="F1411" i="1"/>
  <c r="D1411" i="1"/>
  <c r="B1411" i="1"/>
  <c r="O1410" i="1"/>
  <c r="N1410" i="1"/>
  <c r="M1410" i="1"/>
  <c r="F1410" i="1"/>
  <c r="D1410" i="1"/>
  <c r="B1410" i="1"/>
  <c r="O1409" i="1"/>
  <c r="N1409" i="1"/>
  <c r="M1409" i="1"/>
  <c r="F1409" i="1"/>
  <c r="D1409" i="1"/>
  <c r="B1409" i="1"/>
  <c r="O1408" i="1"/>
  <c r="N1408" i="1"/>
  <c r="M1408" i="1"/>
  <c r="F1408" i="1"/>
  <c r="D1408" i="1"/>
  <c r="B1408" i="1"/>
  <c r="O1407" i="1"/>
  <c r="N1407" i="1"/>
  <c r="M1407" i="1"/>
  <c r="F1407" i="1"/>
  <c r="D1407" i="1"/>
  <c r="B1407" i="1"/>
  <c r="O1406" i="1"/>
  <c r="N1406" i="1"/>
  <c r="M1406" i="1"/>
  <c r="F1406" i="1"/>
  <c r="D1406" i="1"/>
  <c r="B1406" i="1"/>
  <c r="O1405" i="1"/>
  <c r="N1405" i="1"/>
  <c r="M1405" i="1"/>
  <c r="F1405" i="1"/>
  <c r="D1405" i="1"/>
  <c r="B1405" i="1"/>
  <c r="O1404" i="1"/>
  <c r="N1404" i="1"/>
  <c r="M1404" i="1"/>
  <c r="F1404" i="1"/>
  <c r="D1404" i="1"/>
  <c r="B1404" i="1"/>
  <c r="O1403" i="1"/>
  <c r="N1403" i="1"/>
  <c r="M1403" i="1"/>
  <c r="F1403" i="1"/>
  <c r="D1403" i="1"/>
  <c r="B1403" i="1"/>
  <c r="O1402" i="1"/>
  <c r="N1402" i="1"/>
  <c r="M1402" i="1"/>
  <c r="F1402" i="1"/>
  <c r="D1402" i="1"/>
  <c r="B1402" i="1"/>
  <c r="O1401" i="1"/>
  <c r="N1401" i="1"/>
  <c r="M1401" i="1"/>
  <c r="F1401" i="1"/>
  <c r="D1401" i="1"/>
  <c r="B1401" i="1"/>
  <c r="O1400" i="1"/>
  <c r="N1400" i="1"/>
  <c r="M1400" i="1"/>
  <c r="F1400" i="1"/>
  <c r="D1400" i="1"/>
  <c r="B1400" i="1"/>
  <c r="O1399" i="1"/>
  <c r="N1399" i="1"/>
  <c r="M1399" i="1"/>
  <c r="F1399" i="1"/>
  <c r="D1399" i="1"/>
  <c r="B1399" i="1"/>
  <c r="O1398" i="1"/>
  <c r="N1398" i="1"/>
  <c r="M1398" i="1"/>
  <c r="F1398" i="1"/>
  <c r="D1398" i="1"/>
  <c r="B1398" i="1"/>
  <c r="O1397" i="1"/>
  <c r="N1397" i="1"/>
  <c r="M1397" i="1"/>
  <c r="F1397" i="1"/>
  <c r="D1397" i="1"/>
  <c r="B1397" i="1"/>
  <c r="O1396" i="1"/>
  <c r="N1396" i="1"/>
  <c r="M1396" i="1"/>
  <c r="F1396" i="1"/>
  <c r="D1396" i="1"/>
  <c r="B1396" i="1"/>
  <c r="O1395" i="1"/>
  <c r="N1395" i="1"/>
  <c r="M1395" i="1"/>
  <c r="F1395" i="1"/>
  <c r="D1395" i="1"/>
  <c r="B1395" i="1"/>
  <c r="O1394" i="1"/>
  <c r="N1394" i="1"/>
  <c r="M1394" i="1"/>
  <c r="F1394" i="1"/>
  <c r="D1394" i="1"/>
  <c r="B1394" i="1"/>
  <c r="O1393" i="1"/>
  <c r="N1393" i="1"/>
  <c r="M1393" i="1"/>
  <c r="F1393" i="1"/>
  <c r="D1393" i="1"/>
  <c r="B1393" i="1"/>
  <c r="O1392" i="1"/>
  <c r="N1392" i="1"/>
  <c r="M1392" i="1"/>
  <c r="F1392" i="1"/>
  <c r="D1392" i="1"/>
  <c r="B1392" i="1"/>
  <c r="O1391" i="1"/>
  <c r="N1391" i="1"/>
  <c r="M1391" i="1"/>
  <c r="F1391" i="1"/>
  <c r="D1391" i="1"/>
  <c r="B1391" i="1"/>
  <c r="O1390" i="1"/>
  <c r="N1390" i="1"/>
  <c r="M1390" i="1"/>
  <c r="F1390" i="1"/>
  <c r="D1390" i="1"/>
  <c r="B1390" i="1"/>
  <c r="O1389" i="1"/>
  <c r="N1389" i="1"/>
  <c r="M1389" i="1"/>
  <c r="F1389" i="1"/>
  <c r="D1389" i="1"/>
  <c r="B1389" i="1"/>
  <c r="O1388" i="1"/>
  <c r="N1388" i="1"/>
  <c r="M1388" i="1"/>
  <c r="F1388" i="1"/>
  <c r="D1388" i="1"/>
  <c r="B1388" i="1"/>
  <c r="O1387" i="1"/>
  <c r="N1387" i="1"/>
  <c r="M1387" i="1"/>
  <c r="F1387" i="1"/>
  <c r="D1387" i="1"/>
  <c r="B1387" i="1"/>
  <c r="O1386" i="1"/>
  <c r="N1386" i="1"/>
  <c r="M1386" i="1"/>
  <c r="F1386" i="1"/>
  <c r="D1386" i="1"/>
  <c r="B1386" i="1"/>
  <c r="O1385" i="1"/>
  <c r="N1385" i="1"/>
  <c r="M1385" i="1"/>
  <c r="F1385" i="1"/>
  <c r="D1385" i="1"/>
  <c r="B1385" i="1"/>
  <c r="O1384" i="1"/>
  <c r="N1384" i="1"/>
  <c r="M1384" i="1"/>
  <c r="F1384" i="1"/>
  <c r="D1384" i="1"/>
  <c r="B1384" i="1"/>
  <c r="O1383" i="1"/>
  <c r="N1383" i="1"/>
  <c r="M1383" i="1"/>
  <c r="F1383" i="1"/>
  <c r="D1383" i="1"/>
  <c r="B1383" i="1"/>
  <c r="O1382" i="1"/>
  <c r="N1382" i="1"/>
  <c r="M1382" i="1"/>
  <c r="F1382" i="1"/>
  <c r="D1382" i="1"/>
  <c r="B1382" i="1"/>
  <c r="O1381" i="1"/>
  <c r="N1381" i="1"/>
  <c r="M1381" i="1"/>
  <c r="F1381" i="1"/>
  <c r="D1381" i="1"/>
  <c r="B1381" i="1"/>
  <c r="O1380" i="1"/>
  <c r="N1380" i="1"/>
  <c r="M1380" i="1"/>
  <c r="F1380" i="1"/>
  <c r="D1380" i="1"/>
  <c r="B1380" i="1"/>
  <c r="O1379" i="1"/>
  <c r="N1379" i="1"/>
  <c r="M1379" i="1"/>
  <c r="F1379" i="1"/>
  <c r="D1379" i="1"/>
  <c r="B1379" i="1"/>
  <c r="O1378" i="1"/>
  <c r="N1378" i="1"/>
  <c r="M1378" i="1"/>
  <c r="F1378" i="1"/>
  <c r="D1378" i="1"/>
  <c r="B1378" i="1"/>
  <c r="O1377" i="1"/>
  <c r="N1377" i="1"/>
  <c r="M1377" i="1"/>
  <c r="F1377" i="1"/>
  <c r="D1377" i="1"/>
  <c r="B1377" i="1"/>
  <c r="O1376" i="1"/>
  <c r="N1376" i="1"/>
  <c r="M1376" i="1"/>
  <c r="F1376" i="1"/>
  <c r="D1376" i="1"/>
  <c r="B1376" i="1"/>
  <c r="O1375" i="1"/>
  <c r="N1375" i="1"/>
  <c r="M1375" i="1"/>
  <c r="F1375" i="1"/>
  <c r="D1375" i="1"/>
  <c r="B1375" i="1"/>
  <c r="O1374" i="1"/>
  <c r="N1374" i="1"/>
  <c r="M1374" i="1"/>
  <c r="F1374" i="1"/>
  <c r="D1374" i="1"/>
  <c r="B1374" i="1"/>
  <c r="O1373" i="1"/>
  <c r="N1373" i="1"/>
  <c r="M1373" i="1"/>
  <c r="F1373" i="1"/>
  <c r="D1373" i="1"/>
  <c r="B1373" i="1"/>
  <c r="O1372" i="1"/>
  <c r="N1372" i="1"/>
  <c r="M1372" i="1"/>
  <c r="F1372" i="1"/>
  <c r="D1372" i="1"/>
  <c r="B1372" i="1"/>
  <c r="O1371" i="1"/>
  <c r="N1371" i="1"/>
  <c r="M1371" i="1"/>
  <c r="F1371" i="1"/>
  <c r="D1371" i="1"/>
  <c r="B1371" i="1"/>
  <c r="O1370" i="1"/>
  <c r="N1370" i="1"/>
  <c r="M1370" i="1"/>
  <c r="F1370" i="1"/>
  <c r="D1370" i="1"/>
  <c r="B1370" i="1"/>
  <c r="O1369" i="1"/>
  <c r="N1369" i="1"/>
  <c r="M1369" i="1"/>
  <c r="F1369" i="1"/>
  <c r="D1369" i="1"/>
  <c r="B1369" i="1"/>
  <c r="O1368" i="1"/>
  <c r="N1368" i="1"/>
  <c r="M1368" i="1"/>
  <c r="F1368" i="1"/>
  <c r="D1368" i="1"/>
  <c r="B1368" i="1"/>
  <c r="O1367" i="1"/>
  <c r="N1367" i="1"/>
  <c r="M1367" i="1"/>
  <c r="F1367" i="1"/>
  <c r="D1367" i="1"/>
  <c r="B1367" i="1"/>
  <c r="O1366" i="1"/>
  <c r="N1366" i="1"/>
  <c r="M1366" i="1"/>
  <c r="F1366" i="1"/>
  <c r="D1366" i="1"/>
  <c r="B1366" i="1"/>
  <c r="O1365" i="1"/>
  <c r="N1365" i="1"/>
  <c r="M1365" i="1"/>
  <c r="F1365" i="1"/>
  <c r="D1365" i="1"/>
  <c r="B1365" i="1"/>
  <c r="O1364" i="1"/>
  <c r="N1364" i="1"/>
  <c r="M1364" i="1"/>
  <c r="F1364" i="1"/>
  <c r="D1364" i="1"/>
  <c r="B1364" i="1"/>
  <c r="O1363" i="1"/>
  <c r="N1363" i="1"/>
  <c r="M1363" i="1"/>
  <c r="F1363" i="1"/>
  <c r="D1363" i="1"/>
  <c r="B1363" i="1"/>
  <c r="O1362" i="1"/>
  <c r="N1362" i="1"/>
  <c r="M1362" i="1"/>
  <c r="F1362" i="1"/>
  <c r="D1362" i="1"/>
  <c r="B1362" i="1"/>
  <c r="O1361" i="1"/>
  <c r="N1361" i="1"/>
  <c r="M1361" i="1"/>
  <c r="F1361" i="1"/>
  <c r="D1361" i="1"/>
  <c r="B1361" i="1"/>
  <c r="O1360" i="1"/>
  <c r="N1360" i="1"/>
  <c r="M1360" i="1"/>
  <c r="F1360" i="1"/>
  <c r="D1360" i="1"/>
  <c r="B1360" i="1"/>
  <c r="O1359" i="1"/>
  <c r="N1359" i="1"/>
  <c r="M1359" i="1"/>
  <c r="F1359" i="1"/>
  <c r="D1359" i="1"/>
  <c r="B1359" i="1"/>
  <c r="O1358" i="1"/>
  <c r="N1358" i="1"/>
  <c r="M1358" i="1"/>
  <c r="F1358" i="1"/>
  <c r="D1358" i="1"/>
  <c r="B1358" i="1"/>
  <c r="O1357" i="1"/>
  <c r="N1357" i="1"/>
  <c r="M1357" i="1"/>
  <c r="F1357" i="1"/>
  <c r="D1357" i="1"/>
  <c r="B1357" i="1"/>
  <c r="O1356" i="1"/>
  <c r="N1356" i="1"/>
  <c r="M1356" i="1"/>
  <c r="F1356" i="1"/>
  <c r="D1356" i="1"/>
  <c r="B1356" i="1"/>
  <c r="O1355" i="1"/>
  <c r="N1355" i="1"/>
  <c r="M1355" i="1"/>
  <c r="F1355" i="1"/>
  <c r="D1355" i="1"/>
  <c r="B1355" i="1"/>
  <c r="O1354" i="1"/>
  <c r="N1354" i="1"/>
  <c r="M1354" i="1"/>
  <c r="F1354" i="1"/>
  <c r="D1354" i="1"/>
  <c r="B1354" i="1"/>
  <c r="O1353" i="1"/>
  <c r="N1353" i="1"/>
  <c r="M1353" i="1"/>
  <c r="F1353" i="1"/>
  <c r="D1353" i="1"/>
  <c r="B1353" i="1"/>
  <c r="O1352" i="1"/>
  <c r="N1352" i="1"/>
  <c r="M1352" i="1"/>
  <c r="F1352" i="1"/>
  <c r="D1352" i="1"/>
  <c r="B1352" i="1"/>
  <c r="O1351" i="1"/>
  <c r="N1351" i="1"/>
  <c r="M1351" i="1"/>
  <c r="F1351" i="1"/>
  <c r="D1351" i="1"/>
  <c r="B1351" i="1"/>
  <c r="O1350" i="1"/>
  <c r="N1350" i="1"/>
  <c r="M1350" i="1"/>
  <c r="F1350" i="1"/>
  <c r="D1350" i="1"/>
  <c r="B1350" i="1"/>
  <c r="O1349" i="1"/>
  <c r="N1349" i="1"/>
  <c r="M1349" i="1"/>
  <c r="F1349" i="1"/>
  <c r="D1349" i="1"/>
  <c r="B1349" i="1"/>
  <c r="O1348" i="1"/>
  <c r="N1348" i="1"/>
  <c r="M1348" i="1"/>
  <c r="F1348" i="1"/>
  <c r="D1348" i="1"/>
  <c r="B1348" i="1"/>
  <c r="O1347" i="1"/>
  <c r="N1347" i="1"/>
  <c r="M1347" i="1"/>
  <c r="F1347" i="1"/>
  <c r="D1347" i="1"/>
  <c r="B1347" i="1"/>
  <c r="O1346" i="1"/>
  <c r="N1346" i="1"/>
  <c r="M1346" i="1"/>
  <c r="F1346" i="1"/>
  <c r="D1346" i="1"/>
  <c r="B1346" i="1"/>
  <c r="O1345" i="1"/>
  <c r="N1345" i="1"/>
  <c r="M1345" i="1"/>
  <c r="F1345" i="1"/>
  <c r="D1345" i="1"/>
  <c r="B1345" i="1"/>
  <c r="O1344" i="1"/>
  <c r="N1344" i="1"/>
  <c r="M1344" i="1"/>
  <c r="F1344" i="1"/>
  <c r="D1344" i="1"/>
  <c r="B1344" i="1"/>
  <c r="O1343" i="1"/>
  <c r="N1343" i="1"/>
  <c r="M1343" i="1"/>
  <c r="F1343" i="1"/>
  <c r="D1343" i="1"/>
  <c r="B1343" i="1"/>
  <c r="O1342" i="1"/>
  <c r="N1342" i="1"/>
  <c r="M1342" i="1"/>
  <c r="F1342" i="1"/>
  <c r="D1342" i="1"/>
  <c r="B1342" i="1"/>
  <c r="O1341" i="1"/>
  <c r="N1341" i="1"/>
  <c r="M1341" i="1"/>
  <c r="F1341" i="1"/>
  <c r="D1341" i="1"/>
  <c r="B1341" i="1"/>
  <c r="O1340" i="1"/>
  <c r="N1340" i="1"/>
  <c r="M1340" i="1"/>
  <c r="F1340" i="1"/>
  <c r="D1340" i="1"/>
  <c r="B1340" i="1"/>
  <c r="O1339" i="1"/>
  <c r="N1339" i="1"/>
  <c r="M1339" i="1"/>
  <c r="F1339" i="1"/>
  <c r="D1339" i="1"/>
  <c r="B1339" i="1"/>
  <c r="O1338" i="1"/>
  <c r="N1338" i="1"/>
  <c r="M1338" i="1"/>
  <c r="F1338" i="1"/>
  <c r="D1338" i="1"/>
  <c r="B1338" i="1"/>
  <c r="O1337" i="1"/>
  <c r="N1337" i="1"/>
  <c r="M1337" i="1"/>
  <c r="F1337" i="1"/>
  <c r="D1337" i="1"/>
  <c r="B1337" i="1"/>
  <c r="O1336" i="1"/>
  <c r="N1336" i="1"/>
  <c r="M1336" i="1"/>
  <c r="F1336" i="1"/>
  <c r="D1336" i="1"/>
  <c r="B1336" i="1"/>
  <c r="O1335" i="1"/>
  <c r="N1335" i="1"/>
  <c r="M1335" i="1"/>
  <c r="F1335" i="1"/>
  <c r="D1335" i="1"/>
  <c r="B1335" i="1"/>
  <c r="O1334" i="1"/>
  <c r="N1334" i="1"/>
  <c r="M1334" i="1"/>
  <c r="F1334" i="1"/>
  <c r="D1334" i="1"/>
  <c r="B1334" i="1"/>
  <c r="O1333" i="1"/>
  <c r="N1333" i="1"/>
  <c r="M1333" i="1"/>
  <c r="F1333" i="1"/>
  <c r="D1333" i="1"/>
  <c r="B1333" i="1"/>
  <c r="O1332" i="1"/>
  <c r="N1332" i="1"/>
  <c r="M1332" i="1"/>
  <c r="F1332" i="1"/>
  <c r="D1332" i="1"/>
  <c r="B1332" i="1"/>
  <c r="O1331" i="1"/>
  <c r="N1331" i="1"/>
  <c r="M1331" i="1"/>
  <c r="F1331" i="1"/>
  <c r="D1331" i="1"/>
  <c r="B1331" i="1"/>
  <c r="O1330" i="1"/>
  <c r="N1330" i="1"/>
  <c r="M1330" i="1"/>
  <c r="F1330" i="1"/>
  <c r="D1330" i="1"/>
  <c r="B1330" i="1"/>
  <c r="O1329" i="1"/>
  <c r="N1329" i="1"/>
  <c r="M1329" i="1"/>
  <c r="F1329" i="1"/>
  <c r="D1329" i="1"/>
  <c r="B1329" i="1"/>
  <c r="O1328" i="1"/>
  <c r="N1328" i="1"/>
  <c r="M1328" i="1"/>
  <c r="F1328" i="1"/>
  <c r="D1328" i="1"/>
  <c r="B1328" i="1"/>
  <c r="O1327" i="1"/>
  <c r="N1327" i="1"/>
  <c r="M1327" i="1"/>
  <c r="F1327" i="1"/>
  <c r="D1327" i="1"/>
  <c r="B1327" i="1"/>
  <c r="O1326" i="1"/>
  <c r="N1326" i="1"/>
  <c r="M1326" i="1"/>
  <c r="F1326" i="1"/>
  <c r="D1326" i="1"/>
  <c r="B1326" i="1"/>
  <c r="O1325" i="1"/>
  <c r="N1325" i="1"/>
  <c r="M1325" i="1"/>
  <c r="F1325" i="1"/>
  <c r="D1325" i="1"/>
  <c r="B1325" i="1"/>
  <c r="O1324" i="1"/>
  <c r="N1324" i="1"/>
  <c r="M1324" i="1"/>
  <c r="F1324" i="1"/>
  <c r="D1324" i="1"/>
  <c r="B1324" i="1"/>
  <c r="O1323" i="1"/>
  <c r="N1323" i="1"/>
  <c r="M1323" i="1"/>
  <c r="F1323" i="1"/>
  <c r="D1323" i="1"/>
  <c r="B1323" i="1"/>
  <c r="O1322" i="1"/>
  <c r="N1322" i="1"/>
  <c r="M1322" i="1"/>
  <c r="F1322" i="1"/>
  <c r="D1322" i="1"/>
  <c r="B1322" i="1"/>
  <c r="O1321" i="1"/>
  <c r="N1321" i="1"/>
  <c r="M1321" i="1"/>
  <c r="F1321" i="1"/>
  <c r="D1321" i="1"/>
  <c r="B1321" i="1"/>
  <c r="O1320" i="1"/>
  <c r="N1320" i="1"/>
  <c r="M1320" i="1"/>
  <c r="F1320" i="1"/>
  <c r="D1320" i="1"/>
  <c r="B1320" i="1"/>
  <c r="O1319" i="1"/>
  <c r="N1319" i="1"/>
  <c r="M1319" i="1"/>
  <c r="F1319" i="1"/>
  <c r="D1319" i="1"/>
  <c r="B1319" i="1"/>
  <c r="O1318" i="1"/>
  <c r="N1318" i="1"/>
  <c r="M1318" i="1"/>
  <c r="F1318" i="1"/>
  <c r="D1318" i="1"/>
  <c r="B1318" i="1"/>
  <c r="O1317" i="1"/>
  <c r="N1317" i="1"/>
  <c r="M1317" i="1"/>
  <c r="F1317" i="1"/>
  <c r="D1317" i="1"/>
  <c r="B1317" i="1"/>
  <c r="O1316" i="1"/>
  <c r="N1316" i="1"/>
  <c r="M1316" i="1"/>
  <c r="F1316" i="1"/>
  <c r="D1316" i="1"/>
  <c r="B1316" i="1"/>
  <c r="O1315" i="1"/>
  <c r="N1315" i="1"/>
  <c r="M1315" i="1"/>
  <c r="F1315" i="1"/>
  <c r="D1315" i="1"/>
  <c r="B1315" i="1"/>
  <c r="O1314" i="1"/>
  <c r="N1314" i="1"/>
  <c r="M1314" i="1"/>
  <c r="F1314" i="1"/>
  <c r="D1314" i="1"/>
  <c r="B1314" i="1"/>
  <c r="O1313" i="1"/>
  <c r="N1313" i="1"/>
  <c r="M1313" i="1"/>
  <c r="F1313" i="1"/>
  <c r="D1313" i="1"/>
  <c r="B1313" i="1"/>
  <c r="O1312" i="1"/>
  <c r="N1312" i="1"/>
  <c r="M1312" i="1"/>
  <c r="F1312" i="1"/>
  <c r="D1312" i="1"/>
  <c r="B1312" i="1"/>
  <c r="O1311" i="1"/>
  <c r="N1311" i="1"/>
  <c r="M1311" i="1"/>
  <c r="F1311" i="1"/>
  <c r="D1311" i="1"/>
  <c r="B1311" i="1"/>
  <c r="O1310" i="1"/>
  <c r="N1310" i="1"/>
  <c r="M1310" i="1"/>
  <c r="F1310" i="1"/>
  <c r="D1310" i="1"/>
  <c r="B1310" i="1"/>
  <c r="O1309" i="1"/>
  <c r="N1309" i="1"/>
  <c r="M1309" i="1"/>
  <c r="F1309" i="1"/>
  <c r="D1309" i="1"/>
  <c r="B1309" i="1"/>
  <c r="O1308" i="1"/>
  <c r="N1308" i="1"/>
  <c r="M1308" i="1"/>
  <c r="F1308" i="1"/>
  <c r="D1308" i="1"/>
  <c r="B1308" i="1"/>
  <c r="O1307" i="1"/>
  <c r="N1307" i="1"/>
  <c r="M1307" i="1"/>
  <c r="F1307" i="1"/>
  <c r="D1307" i="1"/>
  <c r="B1307" i="1"/>
  <c r="O1306" i="1"/>
  <c r="N1306" i="1"/>
  <c r="M1306" i="1"/>
  <c r="F1306" i="1"/>
  <c r="D1306" i="1"/>
  <c r="B1306" i="1"/>
  <c r="O1305" i="1"/>
  <c r="N1305" i="1"/>
  <c r="M1305" i="1"/>
  <c r="F1305" i="1"/>
  <c r="D1305" i="1"/>
  <c r="B1305" i="1"/>
  <c r="O1304" i="1"/>
  <c r="N1304" i="1"/>
  <c r="M1304" i="1"/>
  <c r="F1304" i="1"/>
  <c r="D1304" i="1"/>
  <c r="B1304" i="1"/>
  <c r="O1303" i="1"/>
  <c r="N1303" i="1"/>
  <c r="M1303" i="1"/>
  <c r="F1303" i="1"/>
  <c r="D1303" i="1"/>
  <c r="B1303" i="1"/>
  <c r="O1302" i="1"/>
  <c r="N1302" i="1"/>
  <c r="M1302" i="1"/>
  <c r="F1302" i="1"/>
  <c r="D1302" i="1"/>
  <c r="B1302" i="1"/>
  <c r="O1301" i="1"/>
  <c r="N1301" i="1"/>
  <c r="M1301" i="1"/>
  <c r="F1301" i="1"/>
  <c r="D1301" i="1"/>
  <c r="B1301" i="1"/>
  <c r="O1300" i="1"/>
  <c r="N1300" i="1"/>
  <c r="M1300" i="1"/>
  <c r="F1300" i="1"/>
  <c r="D1300" i="1"/>
  <c r="B1300" i="1"/>
  <c r="O1299" i="1"/>
  <c r="N1299" i="1"/>
  <c r="M1299" i="1"/>
  <c r="F1299" i="1"/>
  <c r="D1299" i="1"/>
  <c r="B1299" i="1"/>
  <c r="O1298" i="1"/>
  <c r="N1298" i="1"/>
  <c r="M1298" i="1"/>
  <c r="F1298" i="1"/>
  <c r="D1298" i="1"/>
  <c r="B1298" i="1"/>
  <c r="O1297" i="1"/>
  <c r="N1297" i="1"/>
  <c r="M1297" i="1"/>
  <c r="F1297" i="1"/>
  <c r="D1297" i="1"/>
  <c r="B1297" i="1"/>
  <c r="O1296" i="1"/>
  <c r="N1296" i="1"/>
  <c r="M1296" i="1"/>
  <c r="F1296" i="1"/>
  <c r="D1296" i="1"/>
  <c r="B1296" i="1"/>
  <c r="O1295" i="1"/>
  <c r="N1295" i="1"/>
  <c r="M1295" i="1"/>
  <c r="F1295" i="1"/>
  <c r="D1295" i="1"/>
  <c r="B1295" i="1"/>
  <c r="O1294" i="1"/>
  <c r="N1294" i="1"/>
  <c r="M1294" i="1"/>
  <c r="F1294" i="1"/>
  <c r="D1294" i="1"/>
  <c r="B1294" i="1"/>
  <c r="O1293" i="1"/>
  <c r="N1293" i="1"/>
  <c r="M1293" i="1"/>
  <c r="F1293" i="1"/>
  <c r="D1293" i="1"/>
  <c r="B1293" i="1"/>
  <c r="O1292" i="1"/>
  <c r="N1292" i="1"/>
  <c r="M1292" i="1"/>
  <c r="F1292" i="1"/>
  <c r="D1292" i="1"/>
  <c r="B1292" i="1"/>
  <c r="O1291" i="1"/>
  <c r="N1291" i="1"/>
  <c r="M1291" i="1"/>
  <c r="F1291" i="1"/>
  <c r="D1291" i="1"/>
  <c r="B1291" i="1"/>
  <c r="O1290" i="1"/>
  <c r="N1290" i="1"/>
  <c r="M1290" i="1"/>
  <c r="F1290" i="1"/>
  <c r="D1290" i="1"/>
  <c r="B1290" i="1"/>
  <c r="O1289" i="1"/>
  <c r="N1289" i="1"/>
  <c r="M1289" i="1"/>
  <c r="F1289" i="1"/>
  <c r="D1289" i="1"/>
  <c r="B1289" i="1"/>
  <c r="O1288" i="1"/>
  <c r="N1288" i="1"/>
  <c r="M1288" i="1"/>
  <c r="F1288" i="1"/>
  <c r="D1288" i="1"/>
  <c r="B1288" i="1"/>
  <c r="O1287" i="1"/>
  <c r="N1287" i="1"/>
  <c r="M1287" i="1"/>
  <c r="F1287" i="1"/>
  <c r="D1287" i="1"/>
  <c r="B1287" i="1"/>
  <c r="O1286" i="1"/>
  <c r="N1286" i="1"/>
  <c r="M1286" i="1"/>
  <c r="F1286" i="1"/>
  <c r="D1286" i="1"/>
  <c r="B1286" i="1"/>
  <c r="O1285" i="1"/>
  <c r="N1285" i="1"/>
  <c r="M1285" i="1"/>
  <c r="F1285" i="1"/>
  <c r="D1285" i="1"/>
  <c r="B1285" i="1"/>
  <c r="O1284" i="1"/>
  <c r="N1284" i="1"/>
  <c r="M1284" i="1"/>
  <c r="F1284" i="1"/>
  <c r="D1284" i="1"/>
  <c r="B1284" i="1"/>
  <c r="O1283" i="1"/>
  <c r="N1283" i="1"/>
  <c r="M1283" i="1"/>
  <c r="F1283" i="1"/>
  <c r="D1283" i="1"/>
  <c r="B1283" i="1"/>
  <c r="O1282" i="1"/>
  <c r="N1282" i="1"/>
  <c r="M1282" i="1"/>
  <c r="F1282" i="1"/>
  <c r="D1282" i="1"/>
  <c r="B1282" i="1"/>
  <c r="O1281" i="1"/>
  <c r="N1281" i="1"/>
  <c r="M1281" i="1"/>
  <c r="F1281" i="1"/>
  <c r="D1281" i="1"/>
  <c r="B1281" i="1"/>
  <c r="O1280" i="1"/>
  <c r="N1280" i="1"/>
  <c r="M1280" i="1"/>
  <c r="F1280" i="1"/>
  <c r="D1280" i="1"/>
  <c r="B1280" i="1"/>
  <c r="O1279" i="1"/>
  <c r="N1279" i="1"/>
  <c r="M1279" i="1"/>
  <c r="F1279" i="1"/>
  <c r="D1279" i="1"/>
  <c r="B1279" i="1"/>
  <c r="O1278" i="1"/>
  <c r="N1278" i="1"/>
  <c r="M1278" i="1"/>
  <c r="F1278" i="1"/>
  <c r="D1278" i="1"/>
  <c r="B1278" i="1"/>
  <c r="O1277" i="1"/>
  <c r="N1277" i="1"/>
  <c r="M1277" i="1"/>
  <c r="F1277" i="1"/>
  <c r="D1277" i="1"/>
  <c r="B1277" i="1"/>
  <c r="O1276" i="1"/>
  <c r="N1276" i="1"/>
  <c r="M1276" i="1"/>
  <c r="F1276" i="1"/>
  <c r="D1276" i="1"/>
  <c r="B1276" i="1"/>
  <c r="O1275" i="1"/>
  <c r="N1275" i="1"/>
  <c r="M1275" i="1"/>
  <c r="F1275" i="1"/>
  <c r="D1275" i="1"/>
  <c r="B1275" i="1"/>
  <c r="O1274" i="1"/>
  <c r="N1274" i="1"/>
  <c r="M1274" i="1"/>
  <c r="F1274" i="1"/>
  <c r="D1274" i="1"/>
  <c r="B1274" i="1"/>
  <c r="O1273" i="1"/>
  <c r="N1273" i="1"/>
  <c r="M1273" i="1"/>
  <c r="F1273" i="1"/>
  <c r="D1273" i="1"/>
  <c r="B1273" i="1"/>
  <c r="O1272" i="1"/>
  <c r="N1272" i="1"/>
  <c r="M1272" i="1"/>
  <c r="F1272" i="1"/>
  <c r="D1272" i="1"/>
  <c r="B1272" i="1"/>
  <c r="O1271" i="1"/>
  <c r="N1271" i="1"/>
  <c r="M1271" i="1"/>
  <c r="F1271" i="1"/>
  <c r="D1271" i="1"/>
  <c r="B1271" i="1"/>
  <c r="O1270" i="1"/>
  <c r="N1270" i="1"/>
  <c r="M1270" i="1"/>
  <c r="F1270" i="1"/>
  <c r="D1270" i="1"/>
  <c r="B1270" i="1"/>
  <c r="O1269" i="1"/>
  <c r="N1269" i="1"/>
  <c r="M1269" i="1"/>
  <c r="F1269" i="1"/>
  <c r="D1269" i="1"/>
  <c r="B1269" i="1"/>
  <c r="O1268" i="1"/>
  <c r="N1268" i="1"/>
  <c r="M1268" i="1"/>
  <c r="F1268" i="1"/>
  <c r="D1268" i="1"/>
  <c r="B1268" i="1"/>
  <c r="O1267" i="1"/>
  <c r="N1267" i="1"/>
  <c r="M1267" i="1"/>
  <c r="F1267" i="1"/>
  <c r="D1267" i="1"/>
  <c r="B1267" i="1"/>
  <c r="O1266" i="1"/>
  <c r="N1266" i="1"/>
  <c r="M1266" i="1"/>
  <c r="F1266" i="1"/>
  <c r="D1266" i="1"/>
  <c r="B1266" i="1"/>
  <c r="O1265" i="1"/>
  <c r="N1265" i="1"/>
  <c r="M1265" i="1"/>
  <c r="F1265" i="1"/>
  <c r="D1265" i="1"/>
  <c r="B1265" i="1"/>
  <c r="O1264" i="1"/>
  <c r="N1264" i="1"/>
  <c r="M1264" i="1"/>
  <c r="F1264" i="1"/>
  <c r="D1264" i="1"/>
  <c r="B1264" i="1"/>
  <c r="O1263" i="1"/>
  <c r="N1263" i="1"/>
  <c r="M1263" i="1"/>
  <c r="F1263" i="1"/>
  <c r="D1263" i="1"/>
  <c r="B1263" i="1"/>
  <c r="O1262" i="1"/>
  <c r="N1262" i="1"/>
  <c r="M1262" i="1"/>
  <c r="F1262" i="1"/>
  <c r="D1262" i="1"/>
  <c r="B1262" i="1"/>
  <c r="O1261" i="1"/>
  <c r="N1261" i="1"/>
  <c r="M1261" i="1"/>
  <c r="F1261" i="1"/>
  <c r="D1261" i="1"/>
  <c r="B1261" i="1"/>
  <c r="O1260" i="1"/>
  <c r="N1260" i="1"/>
  <c r="M1260" i="1"/>
  <c r="F1260" i="1"/>
  <c r="D1260" i="1"/>
  <c r="B1260" i="1"/>
  <c r="O1259" i="1"/>
  <c r="N1259" i="1"/>
  <c r="M1259" i="1"/>
  <c r="F1259" i="1"/>
  <c r="D1259" i="1"/>
  <c r="B1259" i="1"/>
  <c r="O1258" i="1"/>
  <c r="N1258" i="1"/>
  <c r="M1258" i="1"/>
  <c r="F1258" i="1"/>
  <c r="D1258" i="1"/>
  <c r="B1258" i="1"/>
  <c r="O1257" i="1"/>
  <c r="N1257" i="1"/>
  <c r="M1257" i="1"/>
  <c r="F1257" i="1"/>
  <c r="D1257" i="1"/>
  <c r="B1257" i="1"/>
  <c r="O1256" i="1"/>
  <c r="N1256" i="1"/>
  <c r="M1256" i="1"/>
  <c r="F1256" i="1"/>
  <c r="D1256" i="1"/>
  <c r="B1256" i="1"/>
  <c r="O1255" i="1"/>
  <c r="N1255" i="1"/>
  <c r="M1255" i="1"/>
  <c r="F1255" i="1"/>
  <c r="D1255" i="1"/>
  <c r="B1255" i="1"/>
  <c r="O1254" i="1"/>
  <c r="N1254" i="1"/>
  <c r="M1254" i="1"/>
  <c r="F1254" i="1"/>
  <c r="D1254" i="1"/>
  <c r="B1254" i="1"/>
  <c r="O1253" i="1"/>
  <c r="N1253" i="1"/>
  <c r="M1253" i="1"/>
  <c r="F1253" i="1"/>
  <c r="D1253" i="1"/>
  <c r="B1253" i="1"/>
  <c r="O1252" i="1"/>
  <c r="N1252" i="1"/>
  <c r="M1252" i="1"/>
  <c r="F1252" i="1"/>
  <c r="D1252" i="1"/>
  <c r="B1252" i="1"/>
  <c r="O1251" i="1"/>
  <c r="N1251" i="1"/>
  <c r="M1251" i="1"/>
  <c r="F1251" i="1"/>
  <c r="D1251" i="1"/>
  <c r="B1251" i="1"/>
  <c r="O1250" i="1"/>
  <c r="N1250" i="1"/>
  <c r="M1250" i="1"/>
  <c r="F1250" i="1"/>
  <c r="D1250" i="1"/>
  <c r="B1250" i="1"/>
  <c r="O1249" i="1"/>
  <c r="N1249" i="1"/>
  <c r="M1249" i="1"/>
  <c r="F1249" i="1"/>
  <c r="D1249" i="1"/>
  <c r="B1249" i="1"/>
  <c r="O1248" i="1"/>
  <c r="N1248" i="1"/>
  <c r="M1248" i="1"/>
  <c r="F1248" i="1"/>
  <c r="D1248" i="1"/>
  <c r="B1248" i="1"/>
  <c r="O1247" i="1"/>
  <c r="N1247" i="1"/>
  <c r="M1247" i="1"/>
  <c r="F1247" i="1"/>
  <c r="D1247" i="1"/>
  <c r="B1247" i="1"/>
  <c r="O1246" i="1"/>
  <c r="N1246" i="1"/>
  <c r="M1246" i="1"/>
  <c r="F1246" i="1"/>
  <c r="D1246" i="1"/>
  <c r="B1246" i="1"/>
  <c r="O1245" i="1"/>
  <c r="N1245" i="1"/>
  <c r="M1245" i="1"/>
  <c r="F1245" i="1"/>
  <c r="D1245" i="1"/>
  <c r="B1245" i="1"/>
  <c r="O1244" i="1"/>
  <c r="N1244" i="1"/>
  <c r="M1244" i="1"/>
  <c r="F1244" i="1"/>
  <c r="D1244" i="1"/>
  <c r="B1244" i="1"/>
  <c r="O1243" i="1"/>
  <c r="N1243" i="1"/>
  <c r="M1243" i="1"/>
  <c r="F1243" i="1"/>
  <c r="D1243" i="1"/>
  <c r="B1243" i="1"/>
  <c r="O1242" i="1"/>
  <c r="N1242" i="1"/>
  <c r="M1242" i="1"/>
  <c r="F1242" i="1"/>
  <c r="D1242" i="1"/>
  <c r="B1242" i="1"/>
  <c r="O1241" i="1"/>
  <c r="N1241" i="1"/>
  <c r="M1241" i="1"/>
  <c r="F1241" i="1"/>
  <c r="D1241" i="1"/>
  <c r="B1241" i="1"/>
  <c r="O1240" i="1"/>
  <c r="N1240" i="1"/>
  <c r="M1240" i="1"/>
  <c r="F1240" i="1"/>
  <c r="D1240" i="1"/>
  <c r="B1240" i="1"/>
  <c r="O1239" i="1"/>
  <c r="N1239" i="1"/>
  <c r="M1239" i="1"/>
  <c r="F1239" i="1"/>
  <c r="D1239" i="1"/>
  <c r="B1239" i="1"/>
  <c r="O1238" i="1"/>
  <c r="N1238" i="1"/>
  <c r="M1238" i="1"/>
  <c r="F1238" i="1"/>
  <c r="D1238" i="1"/>
  <c r="B1238" i="1"/>
  <c r="O1237" i="1"/>
  <c r="N1237" i="1"/>
  <c r="M1237" i="1"/>
  <c r="F1237" i="1"/>
  <c r="D1237" i="1"/>
  <c r="B1237" i="1"/>
  <c r="O1236" i="1"/>
  <c r="N1236" i="1"/>
  <c r="M1236" i="1"/>
  <c r="F1236" i="1"/>
  <c r="D1236" i="1"/>
  <c r="B1236" i="1"/>
  <c r="O1235" i="1"/>
  <c r="N1235" i="1"/>
  <c r="M1235" i="1"/>
  <c r="F1235" i="1"/>
  <c r="D1235" i="1"/>
  <c r="B1235" i="1"/>
  <c r="O1234" i="1"/>
  <c r="N1234" i="1"/>
  <c r="M1234" i="1"/>
  <c r="F1234" i="1"/>
  <c r="D1234" i="1"/>
  <c r="B1234" i="1"/>
  <c r="O1233" i="1"/>
  <c r="N1233" i="1"/>
  <c r="M1233" i="1"/>
  <c r="F1233" i="1"/>
  <c r="D1233" i="1"/>
  <c r="B1233" i="1"/>
  <c r="O1232" i="1"/>
  <c r="N1232" i="1"/>
  <c r="M1232" i="1"/>
  <c r="F1232" i="1"/>
  <c r="D1232" i="1"/>
  <c r="B1232" i="1"/>
  <c r="O1231" i="1"/>
  <c r="N1231" i="1"/>
  <c r="M1231" i="1"/>
  <c r="F1231" i="1"/>
  <c r="D1231" i="1"/>
  <c r="B1231" i="1"/>
  <c r="O1230" i="1"/>
  <c r="N1230" i="1"/>
  <c r="M1230" i="1"/>
  <c r="F1230" i="1"/>
  <c r="D1230" i="1"/>
  <c r="B1230" i="1"/>
  <c r="O1229" i="1"/>
  <c r="N1229" i="1"/>
  <c r="M1229" i="1"/>
  <c r="F1229" i="1"/>
  <c r="D1229" i="1"/>
  <c r="B1229" i="1"/>
  <c r="O1228" i="1"/>
  <c r="N1228" i="1"/>
  <c r="M1228" i="1"/>
  <c r="F1228" i="1"/>
  <c r="D1228" i="1"/>
  <c r="B1228" i="1"/>
  <c r="O1227" i="1"/>
  <c r="N1227" i="1"/>
  <c r="M1227" i="1"/>
  <c r="F1227" i="1"/>
  <c r="D1227" i="1"/>
  <c r="B1227" i="1"/>
  <c r="O1226" i="1"/>
  <c r="N1226" i="1"/>
  <c r="M1226" i="1"/>
  <c r="F1226" i="1"/>
  <c r="D1226" i="1"/>
  <c r="B1226" i="1"/>
  <c r="O1225" i="1"/>
  <c r="N1225" i="1"/>
  <c r="M1225" i="1"/>
  <c r="F1225" i="1"/>
  <c r="D1225" i="1"/>
  <c r="B1225" i="1"/>
  <c r="O1224" i="1"/>
  <c r="N1224" i="1"/>
  <c r="M1224" i="1"/>
  <c r="F1224" i="1"/>
  <c r="D1224" i="1"/>
  <c r="B1224" i="1"/>
  <c r="O1223" i="1"/>
  <c r="N1223" i="1"/>
  <c r="M1223" i="1"/>
  <c r="F1223" i="1"/>
  <c r="D1223" i="1"/>
  <c r="B1223" i="1"/>
  <c r="O1222" i="1"/>
  <c r="N1222" i="1"/>
  <c r="M1222" i="1"/>
  <c r="F1222" i="1"/>
  <c r="D1222" i="1"/>
  <c r="B1222" i="1"/>
  <c r="O1221" i="1"/>
  <c r="N1221" i="1"/>
  <c r="M1221" i="1"/>
  <c r="F1221" i="1"/>
  <c r="D1221" i="1"/>
  <c r="B1221" i="1"/>
  <c r="O1220" i="1"/>
  <c r="N1220" i="1"/>
  <c r="M1220" i="1"/>
  <c r="F1220" i="1"/>
  <c r="D1220" i="1"/>
  <c r="B1220" i="1"/>
  <c r="O1219" i="1"/>
  <c r="N1219" i="1"/>
  <c r="M1219" i="1"/>
  <c r="F1219" i="1"/>
  <c r="D1219" i="1"/>
  <c r="B1219" i="1"/>
  <c r="O1218" i="1"/>
  <c r="N1218" i="1"/>
  <c r="M1218" i="1"/>
  <c r="F1218" i="1"/>
  <c r="D1218" i="1"/>
  <c r="B1218" i="1"/>
  <c r="O1217" i="1"/>
  <c r="N1217" i="1"/>
  <c r="M1217" i="1"/>
  <c r="F1217" i="1"/>
  <c r="D1217" i="1"/>
  <c r="B1217" i="1"/>
  <c r="O1216" i="1"/>
  <c r="N1216" i="1"/>
  <c r="M1216" i="1"/>
  <c r="F1216" i="1"/>
  <c r="D1216" i="1"/>
  <c r="B1216" i="1"/>
  <c r="O1215" i="1"/>
  <c r="N1215" i="1"/>
  <c r="M1215" i="1"/>
  <c r="F1215" i="1"/>
  <c r="D1215" i="1"/>
  <c r="B1215" i="1"/>
  <c r="O1214" i="1"/>
  <c r="N1214" i="1"/>
  <c r="M1214" i="1"/>
  <c r="F1214" i="1"/>
  <c r="D1214" i="1"/>
  <c r="B1214" i="1"/>
  <c r="O1213" i="1"/>
  <c r="N1213" i="1"/>
  <c r="M1213" i="1"/>
  <c r="F1213" i="1"/>
  <c r="D1213" i="1"/>
  <c r="B1213" i="1"/>
  <c r="O1212" i="1"/>
  <c r="N1212" i="1"/>
  <c r="M1212" i="1"/>
  <c r="F1212" i="1"/>
  <c r="D1212" i="1"/>
  <c r="B1212" i="1"/>
  <c r="O1211" i="1"/>
  <c r="N1211" i="1"/>
  <c r="M1211" i="1"/>
  <c r="F1211" i="1"/>
  <c r="D1211" i="1"/>
  <c r="B1211" i="1"/>
  <c r="O1210" i="1"/>
  <c r="N1210" i="1"/>
  <c r="M1210" i="1"/>
  <c r="F1210" i="1"/>
  <c r="D1210" i="1"/>
  <c r="B1210" i="1"/>
  <c r="O1209" i="1"/>
  <c r="N1209" i="1"/>
  <c r="M1209" i="1"/>
  <c r="F1209" i="1"/>
  <c r="D1209" i="1"/>
  <c r="B1209" i="1"/>
  <c r="O1208" i="1"/>
  <c r="N1208" i="1"/>
  <c r="M1208" i="1"/>
  <c r="F1208" i="1"/>
  <c r="D1208" i="1"/>
  <c r="B1208" i="1"/>
  <c r="O1207" i="1"/>
  <c r="N1207" i="1"/>
  <c r="M1207" i="1"/>
  <c r="F1207" i="1"/>
  <c r="D1207" i="1"/>
  <c r="B1207" i="1"/>
  <c r="O1206" i="1"/>
  <c r="N1206" i="1"/>
  <c r="M1206" i="1"/>
  <c r="F1206" i="1"/>
  <c r="D1206" i="1"/>
  <c r="B1206" i="1"/>
  <c r="O1205" i="1"/>
  <c r="N1205" i="1"/>
  <c r="M1205" i="1"/>
  <c r="F1205" i="1"/>
  <c r="D1205" i="1"/>
  <c r="B1205" i="1"/>
  <c r="O1204" i="1"/>
  <c r="N1204" i="1"/>
  <c r="M1204" i="1"/>
  <c r="F1204" i="1"/>
  <c r="D1204" i="1"/>
  <c r="B1204" i="1"/>
  <c r="O1203" i="1"/>
  <c r="N1203" i="1"/>
  <c r="M1203" i="1"/>
  <c r="F1203" i="1"/>
  <c r="D1203" i="1"/>
  <c r="B1203" i="1"/>
  <c r="O1202" i="1"/>
  <c r="N1202" i="1"/>
  <c r="M1202" i="1"/>
  <c r="F1202" i="1"/>
  <c r="D1202" i="1"/>
  <c r="B1202" i="1"/>
  <c r="O1201" i="1"/>
  <c r="N1201" i="1"/>
  <c r="M1201" i="1"/>
  <c r="F1201" i="1"/>
  <c r="D1201" i="1"/>
  <c r="B1201" i="1"/>
  <c r="O1200" i="1"/>
  <c r="N1200" i="1"/>
  <c r="M1200" i="1"/>
  <c r="F1200" i="1"/>
  <c r="D1200" i="1"/>
  <c r="B1200" i="1"/>
  <c r="O1199" i="1"/>
  <c r="N1199" i="1"/>
  <c r="M1199" i="1"/>
  <c r="F1199" i="1"/>
  <c r="D1199" i="1"/>
  <c r="B1199" i="1"/>
  <c r="O1198" i="1"/>
  <c r="N1198" i="1"/>
  <c r="M1198" i="1"/>
  <c r="F1198" i="1"/>
  <c r="D1198" i="1"/>
  <c r="B1198" i="1"/>
  <c r="O1197" i="1"/>
  <c r="N1197" i="1"/>
  <c r="M1197" i="1"/>
  <c r="F1197" i="1"/>
  <c r="D1197" i="1"/>
  <c r="B1197" i="1"/>
  <c r="O1196" i="1"/>
  <c r="N1196" i="1"/>
  <c r="M1196" i="1"/>
  <c r="F1196" i="1"/>
  <c r="D1196" i="1"/>
  <c r="B1196" i="1"/>
  <c r="O1195" i="1"/>
  <c r="N1195" i="1"/>
  <c r="M1195" i="1"/>
  <c r="F1195" i="1"/>
  <c r="D1195" i="1"/>
  <c r="B1195" i="1"/>
  <c r="O1194" i="1"/>
  <c r="N1194" i="1"/>
  <c r="M1194" i="1"/>
  <c r="F1194" i="1"/>
  <c r="D1194" i="1"/>
  <c r="B1194" i="1"/>
  <c r="O1193" i="1"/>
  <c r="N1193" i="1"/>
  <c r="M1193" i="1"/>
  <c r="F1193" i="1"/>
  <c r="D1193" i="1"/>
  <c r="B1193" i="1"/>
  <c r="O1192" i="1"/>
  <c r="N1192" i="1"/>
  <c r="M1192" i="1"/>
  <c r="F1192" i="1"/>
  <c r="D1192" i="1"/>
  <c r="B1192" i="1"/>
  <c r="O1191" i="1"/>
  <c r="N1191" i="1"/>
  <c r="M1191" i="1"/>
  <c r="F1191" i="1"/>
  <c r="D1191" i="1"/>
  <c r="B1191" i="1"/>
  <c r="O1190" i="1"/>
  <c r="N1190" i="1"/>
  <c r="M1190" i="1"/>
  <c r="F1190" i="1"/>
  <c r="D1190" i="1"/>
  <c r="B1190" i="1"/>
  <c r="O1189" i="1"/>
  <c r="N1189" i="1"/>
  <c r="M1189" i="1"/>
  <c r="F1189" i="1"/>
  <c r="D1189" i="1"/>
  <c r="B1189" i="1"/>
  <c r="O1188" i="1"/>
  <c r="N1188" i="1"/>
  <c r="M1188" i="1"/>
  <c r="F1188" i="1"/>
  <c r="D1188" i="1"/>
  <c r="B1188" i="1"/>
  <c r="O1187" i="1"/>
  <c r="N1187" i="1"/>
  <c r="M1187" i="1"/>
  <c r="F1187" i="1"/>
  <c r="D1187" i="1"/>
  <c r="B1187" i="1"/>
  <c r="O1186" i="1"/>
  <c r="N1186" i="1"/>
  <c r="M1186" i="1"/>
  <c r="F1186" i="1"/>
  <c r="D1186" i="1"/>
  <c r="B1186" i="1"/>
  <c r="O1185" i="1"/>
  <c r="N1185" i="1"/>
  <c r="M1185" i="1"/>
  <c r="F1185" i="1"/>
  <c r="D1185" i="1"/>
  <c r="B1185" i="1"/>
  <c r="O1184" i="1"/>
  <c r="N1184" i="1"/>
  <c r="M1184" i="1"/>
  <c r="F1184" i="1"/>
  <c r="D1184" i="1"/>
  <c r="B1184" i="1"/>
  <c r="O1183" i="1"/>
  <c r="N1183" i="1"/>
  <c r="M1183" i="1"/>
  <c r="F1183" i="1"/>
  <c r="D1183" i="1"/>
  <c r="B1183" i="1"/>
  <c r="O1182" i="1"/>
  <c r="N1182" i="1"/>
  <c r="M1182" i="1"/>
  <c r="F1182" i="1"/>
  <c r="D1182" i="1"/>
  <c r="B1182" i="1"/>
  <c r="O1181" i="1"/>
  <c r="N1181" i="1"/>
  <c r="M1181" i="1"/>
  <c r="F1181" i="1"/>
  <c r="D1181" i="1"/>
  <c r="B1181" i="1"/>
  <c r="O1180" i="1"/>
  <c r="N1180" i="1"/>
  <c r="M1180" i="1"/>
  <c r="F1180" i="1"/>
  <c r="D1180" i="1"/>
  <c r="B1180" i="1"/>
  <c r="O1179" i="1"/>
  <c r="N1179" i="1"/>
  <c r="M1179" i="1"/>
  <c r="F1179" i="1"/>
  <c r="D1179" i="1"/>
  <c r="B1179" i="1"/>
  <c r="O1178" i="1"/>
  <c r="N1178" i="1"/>
  <c r="M1178" i="1"/>
  <c r="F1178" i="1"/>
  <c r="D1178" i="1"/>
  <c r="B1178" i="1"/>
  <c r="O1177" i="1"/>
  <c r="N1177" i="1"/>
  <c r="M1177" i="1"/>
  <c r="F1177" i="1"/>
  <c r="D1177" i="1"/>
  <c r="B1177" i="1"/>
  <c r="O1176" i="1"/>
  <c r="N1176" i="1"/>
  <c r="M1176" i="1"/>
  <c r="F1176" i="1"/>
  <c r="D1176" i="1"/>
  <c r="B1176" i="1"/>
  <c r="O1175" i="1"/>
  <c r="N1175" i="1"/>
  <c r="M1175" i="1"/>
  <c r="F1175" i="1"/>
  <c r="D1175" i="1"/>
  <c r="B1175" i="1"/>
  <c r="O1174" i="1"/>
  <c r="N1174" i="1"/>
  <c r="M1174" i="1"/>
  <c r="F1174" i="1"/>
  <c r="D1174" i="1"/>
  <c r="B1174" i="1"/>
  <c r="O1173" i="1"/>
  <c r="N1173" i="1"/>
  <c r="M1173" i="1"/>
  <c r="F1173" i="1"/>
  <c r="D1173" i="1"/>
  <c r="B1173" i="1"/>
  <c r="O1172" i="1"/>
  <c r="N1172" i="1"/>
  <c r="M1172" i="1"/>
  <c r="F1172" i="1"/>
  <c r="D1172" i="1"/>
  <c r="B1172" i="1"/>
  <c r="O1171" i="1"/>
  <c r="N1171" i="1"/>
  <c r="M1171" i="1"/>
  <c r="F1171" i="1"/>
  <c r="D1171" i="1"/>
  <c r="B1171" i="1"/>
  <c r="O1170" i="1"/>
  <c r="N1170" i="1"/>
  <c r="M1170" i="1"/>
  <c r="F1170" i="1"/>
  <c r="D1170" i="1"/>
  <c r="B1170" i="1"/>
  <c r="O1169" i="1"/>
  <c r="N1169" i="1"/>
  <c r="M1169" i="1"/>
  <c r="F1169" i="1"/>
  <c r="D1169" i="1"/>
  <c r="B1169" i="1"/>
  <c r="O1168" i="1"/>
  <c r="N1168" i="1"/>
  <c r="M1168" i="1"/>
  <c r="F1168" i="1"/>
  <c r="D1168" i="1"/>
  <c r="B1168" i="1"/>
  <c r="O1167" i="1"/>
  <c r="N1167" i="1"/>
  <c r="M1167" i="1"/>
  <c r="F1167" i="1"/>
  <c r="D1167" i="1"/>
  <c r="B1167" i="1"/>
  <c r="O1166" i="1"/>
  <c r="N1166" i="1"/>
  <c r="M1166" i="1"/>
  <c r="F1166" i="1"/>
  <c r="D1166" i="1"/>
  <c r="B1166" i="1"/>
  <c r="O1165" i="1"/>
  <c r="N1165" i="1"/>
  <c r="M1165" i="1"/>
  <c r="F1165" i="1"/>
  <c r="D1165" i="1"/>
  <c r="B1165" i="1"/>
  <c r="O1164" i="1"/>
  <c r="N1164" i="1"/>
  <c r="M1164" i="1"/>
  <c r="F1164" i="1"/>
  <c r="D1164" i="1"/>
  <c r="B1164" i="1"/>
  <c r="O1163" i="1"/>
  <c r="N1163" i="1"/>
  <c r="M1163" i="1"/>
  <c r="F1163" i="1"/>
  <c r="D1163" i="1"/>
  <c r="B1163" i="1"/>
  <c r="O1162" i="1"/>
  <c r="N1162" i="1"/>
  <c r="M1162" i="1"/>
  <c r="F1162" i="1"/>
  <c r="D1162" i="1"/>
  <c r="B1162" i="1"/>
  <c r="O1161" i="1"/>
  <c r="N1161" i="1"/>
  <c r="M1161" i="1"/>
  <c r="F1161" i="1"/>
  <c r="D1161" i="1"/>
  <c r="B1161" i="1"/>
  <c r="O1160" i="1"/>
  <c r="N1160" i="1"/>
  <c r="M1160" i="1"/>
  <c r="F1160" i="1"/>
  <c r="D1160" i="1"/>
  <c r="B1160" i="1"/>
  <c r="O1159" i="1"/>
  <c r="N1159" i="1"/>
  <c r="M1159" i="1"/>
  <c r="F1159" i="1"/>
  <c r="D1159" i="1"/>
  <c r="B1159" i="1"/>
  <c r="O1158" i="1"/>
  <c r="N1158" i="1"/>
  <c r="M1158" i="1"/>
  <c r="F1158" i="1"/>
  <c r="D1158" i="1"/>
  <c r="B1158" i="1"/>
  <c r="O1157" i="1"/>
  <c r="N1157" i="1"/>
  <c r="M1157" i="1"/>
  <c r="F1157" i="1"/>
  <c r="D1157" i="1"/>
  <c r="B1157" i="1"/>
  <c r="O1156" i="1"/>
  <c r="N1156" i="1"/>
  <c r="M1156" i="1"/>
  <c r="F1156" i="1"/>
  <c r="D1156" i="1"/>
  <c r="B1156" i="1"/>
  <c r="O1155" i="1"/>
  <c r="N1155" i="1"/>
  <c r="M1155" i="1"/>
  <c r="F1155" i="1"/>
  <c r="D1155" i="1"/>
  <c r="B1155" i="1"/>
  <c r="O1154" i="1"/>
  <c r="N1154" i="1"/>
  <c r="M1154" i="1"/>
  <c r="F1154" i="1"/>
  <c r="D1154" i="1"/>
  <c r="B1154" i="1"/>
  <c r="O1153" i="1"/>
  <c r="N1153" i="1"/>
  <c r="M1153" i="1"/>
  <c r="F1153" i="1"/>
  <c r="D1153" i="1"/>
  <c r="B1153" i="1"/>
  <c r="O1152" i="1"/>
  <c r="N1152" i="1"/>
  <c r="M1152" i="1"/>
  <c r="F1152" i="1"/>
  <c r="D1152" i="1"/>
  <c r="B1152" i="1"/>
  <c r="O1151" i="1"/>
  <c r="N1151" i="1"/>
  <c r="M1151" i="1"/>
  <c r="F1151" i="1"/>
  <c r="D1151" i="1"/>
  <c r="B1151" i="1"/>
  <c r="O1150" i="1"/>
  <c r="N1150" i="1"/>
  <c r="M1150" i="1"/>
  <c r="F1150" i="1"/>
  <c r="D1150" i="1"/>
  <c r="B1150" i="1"/>
  <c r="O1149" i="1"/>
  <c r="N1149" i="1"/>
  <c r="M1149" i="1"/>
  <c r="F1149" i="1"/>
  <c r="D1149" i="1"/>
  <c r="B1149" i="1"/>
  <c r="O1148" i="1"/>
  <c r="N1148" i="1"/>
  <c r="M1148" i="1"/>
  <c r="F1148" i="1"/>
  <c r="D1148" i="1"/>
  <c r="B1148" i="1"/>
  <c r="O1147" i="1"/>
  <c r="N1147" i="1"/>
  <c r="M1147" i="1"/>
  <c r="F1147" i="1"/>
  <c r="D1147" i="1"/>
  <c r="B1147" i="1"/>
  <c r="O1146" i="1"/>
  <c r="N1146" i="1"/>
  <c r="M1146" i="1"/>
  <c r="F1146" i="1"/>
  <c r="D1146" i="1"/>
  <c r="B1146" i="1"/>
  <c r="O1145" i="1"/>
  <c r="N1145" i="1"/>
  <c r="M1145" i="1"/>
  <c r="F1145" i="1"/>
  <c r="D1145" i="1"/>
  <c r="B1145" i="1"/>
  <c r="O1144" i="1"/>
  <c r="N1144" i="1"/>
  <c r="M1144" i="1"/>
  <c r="F1144" i="1"/>
  <c r="D1144" i="1"/>
  <c r="B1144" i="1"/>
  <c r="O1143" i="1"/>
  <c r="N1143" i="1"/>
  <c r="M1143" i="1"/>
  <c r="F1143" i="1"/>
  <c r="D1143" i="1"/>
  <c r="B1143" i="1"/>
  <c r="O1142" i="1"/>
  <c r="N1142" i="1"/>
  <c r="M1142" i="1"/>
  <c r="F1142" i="1"/>
  <c r="D1142" i="1"/>
  <c r="B1142" i="1"/>
  <c r="O1141" i="1"/>
  <c r="N1141" i="1"/>
  <c r="M1141" i="1"/>
  <c r="F1141" i="1"/>
  <c r="D1141" i="1"/>
  <c r="B1141" i="1"/>
  <c r="O1140" i="1"/>
  <c r="N1140" i="1"/>
  <c r="M1140" i="1"/>
  <c r="F1140" i="1"/>
  <c r="D1140" i="1"/>
  <c r="B1140" i="1"/>
  <c r="O1139" i="1"/>
  <c r="N1139" i="1"/>
  <c r="M1139" i="1"/>
  <c r="F1139" i="1"/>
  <c r="D1139" i="1"/>
  <c r="B1139" i="1"/>
  <c r="O1138" i="1"/>
  <c r="N1138" i="1"/>
  <c r="M1138" i="1"/>
  <c r="F1138" i="1"/>
  <c r="D1138" i="1"/>
  <c r="B1138" i="1"/>
  <c r="O1137" i="1"/>
  <c r="N1137" i="1"/>
  <c r="M1137" i="1"/>
  <c r="F1137" i="1"/>
  <c r="D1137" i="1"/>
  <c r="B1137" i="1"/>
  <c r="O1136" i="1"/>
  <c r="N1136" i="1"/>
  <c r="M1136" i="1"/>
  <c r="F1136" i="1"/>
  <c r="D1136" i="1"/>
  <c r="B1136" i="1"/>
  <c r="O1135" i="1"/>
  <c r="N1135" i="1"/>
  <c r="M1135" i="1"/>
  <c r="F1135" i="1"/>
  <c r="D1135" i="1"/>
  <c r="B1135" i="1"/>
  <c r="O1134" i="1"/>
  <c r="N1134" i="1"/>
  <c r="M1134" i="1"/>
  <c r="F1134" i="1"/>
  <c r="D1134" i="1"/>
  <c r="B1134" i="1"/>
  <c r="O1133" i="1"/>
  <c r="N1133" i="1"/>
  <c r="M1133" i="1"/>
  <c r="F1133" i="1"/>
  <c r="D1133" i="1"/>
  <c r="B1133" i="1"/>
  <c r="O1132" i="1"/>
  <c r="N1132" i="1"/>
  <c r="M1132" i="1"/>
  <c r="F1132" i="1"/>
  <c r="D1132" i="1"/>
  <c r="B1132" i="1"/>
  <c r="O1131" i="1"/>
  <c r="N1131" i="1"/>
  <c r="M1131" i="1"/>
  <c r="F1131" i="1"/>
  <c r="D1131" i="1"/>
  <c r="B1131" i="1"/>
  <c r="O1130" i="1"/>
  <c r="N1130" i="1"/>
  <c r="M1130" i="1"/>
  <c r="F1130" i="1"/>
  <c r="D1130" i="1"/>
  <c r="B1130" i="1"/>
  <c r="O1129" i="1"/>
  <c r="N1129" i="1"/>
  <c r="M1129" i="1"/>
  <c r="F1129" i="1"/>
  <c r="D1129" i="1"/>
  <c r="B1129" i="1"/>
  <c r="O1128" i="1"/>
  <c r="N1128" i="1"/>
  <c r="M1128" i="1"/>
  <c r="F1128" i="1"/>
  <c r="D1128" i="1"/>
  <c r="B1128" i="1"/>
  <c r="O1127" i="1"/>
  <c r="N1127" i="1"/>
  <c r="M1127" i="1"/>
  <c r="F1127" i="1"/>
  <c r="D1127" i="1"/>
  <c r="B1127" i="1"/>
  <c r="O1126" i="1"/>
  <c r="N1126" i="1"/>
  <c r="M1126" i="1"/>
  <c r="F1126" i="1"/>
  <c r="D1126" i="1"/>
  <c r="B1126" i="1"/>
  <c r="O1125" i="1"/>
  <c r="N1125" i="1"/>
  <c r="M1125" i="1"/>
  <c r="F1125" i="1"/>
  <c r="D1125" i="1"/>
  <c r="B1125" i="1"/>
  <c r="O1124" i="1"/>
  <c r="N1124" i="1"/>
  <c r="M1124" i="1"/>
  <c r="F1124" i="1"/>
  <c r="D1124" i="1"/>
  <c r="B1124" i="1"/>
  <c r="O1123" i="1"/>
  <c r="N1123" i="1"/>
  <c r="M1123" i="1"/>
  <c r="F1123" i="1"/>
  <c r="D1123" i="1"/>
  <c r="B1123" i="1"/>
  <c r="O1122" i="1"/>
  <c r="N1122" i="1"/>
  <c r="M1122" i="1"/>
  <c r="F1122" i="1"/>
  <c r="D1122" i="1"/>
  <c r="B1122" i="1"/>
  <c r="O1121" i="1"/>
  <c r="N1121" i="1"/>
  <c r="M1121" i="1"/>
  <c r="F1121" i="1"/>
  <c r="D1121" i="1"/>
  <c r="B1121" i="1"/>
  <c r="O1120" i="1"/>
  <c r="N1120" i="1"/>
  <c r="M1120" i="1"/>
  <c r="F1120" i="1"/>
  <c r="D1120" i="1"/>
  <c r="B1120" i="1"/>
  <c r="O1119" i="1"/>
  <c r="N1119" i="1"/>
  <c r="M1119" i="1"/>
  <c r="F1119" i="1"/>
  <c r="D1119" i="1"/>
  <c r="B1119" i="1"/>
  <c r="O1118" i="1"/>
  <c r="N1118" i="1"/>
  <c r="M1118" i="1"/>
  <c r="F1118" i="1"/>
  <c r="D1118" i="1"/>
  <c r="B1118" i="1"/>
  <c r="O1117" i="1"/>
  <c r="N1117" i="1"/>
  <c r="M1117" i="1"/>
  <c r="F1117" i="1"/>
  <c r="D1117" i="1"/>
  <c r="B1117" i="1"/>
  <c r="O1116" i="1"/>
  <c r="N1116" i="1"/>
  <c r="M1116" i="1"/>
  <c r="F1116" i="1"/>
  <c r="D1116" i="1"/>
  <c r="B1116" i="1"/>
  <c r="O1115" i="1"/>
  <c r="N1115" i="1"/>
  <c r="M1115" i="1"/>
  <c r="F1115" i="1"/>
  <c r="D1115" i="1"/>
  <c r="B1115" i="1"/>
  <c r="O1114" i="1"/>
  <c r="N1114" i="1"/>
  <c r="M1114" i="1"/>
  <c r="F1114" i="1"/>
  <c r="D1114" i="1"/>
  <c r="B1114" i="1"/>
  <c r="O1113" i="1"/>
  <c r="N1113" i="1"/>
  <c r="M1113" i="1"/>
  <c r="F1113" i="1"/>
  <c r="D1113" i="1"/>
  <c r="B1113" i="1"/>
  <c r="O1112" i="1"/>
  <c r="N1112" i="1"/>
  <c r="M1112" i="1"/>
  <c r="F1112" i="1"/>
  <c r="D1112" i="1"/>
  <c r="B1112" i="1"/>
  <c r="O1111" i="1"/>
  <c r="N1111" i="1"/>
  <c r="M1111" i="1"/>
  <c r="F1111" i="1"/>
  <c r="D1111" i="1"/>
  <c r="B1111" i="1"/>
  <c r="O1110" i="1"/>
  <c r="N1110" i="1"/>
  <c r="M1110" i="1"/>
  <c r="F1110" i="1"/>
  <c r="D1110" i="1"/>
  <c r="B1110" i="1"/>
  <c r="O1109" i="1"/>
  <c r="N1109" i="1"/>
  <c r="M1109" i="1"/>
  <c r="F1109" i="1"/>
  <c r="D1109" i="1"/>
  <c r="B1109" i="1"/>
  <c r="O1108" i="1"/>
  <c r="N1108" i="1"/>
  <c r="M1108" i="1"/>
  <c r="F1108" i="1"/>
  <c r="D1108" i="1"/>
  <c r="B1108" i="1"/>
  <c r="O1107" i="1"/>
  <c r="N1107" i="1"/>
  <c r="M1107" i="1"/>
  <c r="F1107" i="1"/>
  <c r="D1107" i="1"/>
  <c r="B1107" i="1"/>
  <c r="O1106" i="1"/>
  <c r="N1106" i="1"/>
  <c r="M1106" i="1"/>
  <c r="F1106" i="1"/>
  <c r="D1106" i="1"/>
  <c r="B1106" i="1"/>
  <c r="O1105" i="1"/>
  <c r="N1105" i="1"/>
  <c r="M1105" i="1"/>
  <c r="F1105" i="1"/>
  <c r="D1105" i="1"/>
  <c r="B1105" i="1"/>
  <c r="O1104" i="1"/>
  <c r="N1104" i="1"/>
  <c r="M1104" i="1"/>
  <c r="F1104" i="1"/>
  <c r="D1104" i="1"/>
  <c r="B1104" i="1"/>
  <c r="O1103" i="1"/>
  <c r="N1103" i="1"/>
  <c r="M1103" i="1"/>
  <c r="F1103" i="1"/>
  <c r="D1103" i="1"/>
  <c r="B1103" i="1"/>
  <c r="O1102" i="1"/>
  <c r="N1102" i="1"/>
  <c r="M1102" i="1"/>
  <c r="F1102" i="1"/>
  <c r="D1102" i="1"/>
  <c r="B1102" i="1"/>
  <c r="O1101" i="1"/>
  <c r="N1101" i="1"/>
  <c r="M1101" i="1"/>
  <c r="F1101" i="1"/>
  <c r="D1101" i="1"/>
  <c r="B1101" i="1"/>
  <c r="O1100" i="1"/>
  <c r="N1100" i="1"/>
  <c r="M1100" i="1"/>
  <c r="F1100" i="1"/>
  <c r="D1100" i="1"/>
  <c r="B1100" i="1"/>
  <c r="O1099" i="1"/>
  <c r="N1099" i="1"/>
  <c r="M1099" i="1"/>
  <c r="F1099" i="1"/>
  <c r="D1099" i="1"/>
  <c r="B1099" i="1"/>
  <c r="O1098" i="1"/>
  <c r="N1098" i="1"/>
  <c r="M1098" i="1"/>
  <c r="F1098" i="1"/>
  <c r="D1098" i="1"/>
  <c r="B1098" i="1"/>
  <c r="O1097" i="1"/>
  <c r="N1097" i="1"/>
  <c r="M1097" i="1"/>
  <c r="F1097" i="1"/>
  <c r="D1097" i="1"/>
  <c r="B1097" i="1"/>
  <c r="O1096" i="1"/>
  <c r="N1096" i="1"/>
  <c r="M1096" i="1"/>
  <c r="F1096" i="1"/>
  <c r="D1096" i="1"/>
  <c r="B1096" i="1"/>
  <c r="O1095" i="1"/>
  <c r="N1095" i="1"/>
  <c r="M1095" i="1"/>
  <c r="F1095" i="1"/>
  <c r="D1095" i="1"/>
  <c r="B1095" i="1"/>
  <c r="O1094" i="1"/>
  <c r="N1094" i="1"/>
  <c r="M1094" i="1"/>
  <c r="F1094" i="1"/>
  <c r="D1094" i="1"/>
  <c r="B1094" i="1"/>
  <c r="O1093" i="1"/>
  <c r="N1093" i="1"/>
  <c r="M1093" i="1"/>
  <c r="F1093" i="1"/>
  <c r="D1093" i="1"/>
  <c r="B1093" i="1"/>
  <c r="O1092" i="1"/>
  <c r="N1092" i="1"/>
  <c r="M1092" i="1"/>
  <c r="F1092" i="1"/>
  <c r="D1092" i="1"/>
  <c r="B1092" i="1"/>
  <c r="O1091" i="1"/>
  <c r="N1091" i="1"/>
  <c r="M1091" i="1"/>
  <c r="F1091" i="1"/>
  <c r="D1091" i="1"/>
  <c r="B1091" i="1"/>
  <c r="O1090" i="1"/>
  <c r="N1090" i="1"/>
  <c r="M1090" i="1"/>
  <c r="F1090" i="1"/>
  <c r="D1090" i="1"/>
  <c r="B1090" i="1"/>
  <c r="O1089" i="1"/>
  <c r="N1089" i="1"/>
  <c r="M1089" i="1"/>
  <c r="F1089" i="1"/>
  <c r="D1089" i="1"/>
  <c r="B1089" i="1"/>
  <c r="O1088" i="1"/>
  <c r="N1088" i="1"/>
  <c r="M1088" i="1"/>
  <c r="F1088" i="1"/>
  <c r="D1088" i="1"/>
  <c r="B1088" i="1"/>
  <c r="O1087" i="1"/>
  <c r="N1087" i="1"/>
  <c r="M1087" i="1"/>
  <c r="F1087" i="1"/>
  <c r="D1087" i="1"/>
  <c r="B1087" i="1"/>
  <c r="O1086" i="1"/>
  <c r="N1086" i="1"/>
  <c r="M1086" i="1"/>
  <c r="F1086" i="1"/>
  <c r="D1086" i="1"/>
  <c r="B1086" i="1"/>
  <c r="O1085" i="1"/>
  <c r="N1085" i="1"/>
  <c r="M1085" i="1"/>
  <c r="F1085" i="1"/>
  <c r="D1085" i="1"/>
  <c r="B1085" i="1"/>
  <c r="O1084" i="1"/>
  <c r="N1084" i="1"/>
  <c r="M1084" i="1"/>
  <c r="F1084" i="1"/>
  <c r="D1084" i="1"/>
  <c r="B1084" i="1"/>
  <c r="O1083" i="1"/>
  <c r="N1083" i="1"/>
  <c r="M1083" i="1"/>
  <c r="F1083" i="1"/>
  <c r="D1083" i="1"/>
  <c r="B1083" i="1"/>
  <c r="O1082" i="1"/>
  <c r="N1082" i="1"/>
  <c r="M1082" i="1"/>
  <c r="F1082" i="1"/>
  <c r="D1082" i="1"/>
  <c r="B1082" i="1"/>
  <c r="O1081" i="1"/>
  <c r="N1081" i="1"/>
  <c r="M1081" i="1"/>
  <c r="F1081" i="1"/>
  <c r="D1081" i="1"/>
  <c r="B1081" i="1"/>
  <c r="O1080" i="1"/>
  <c r="N1080" i="1"/>
  <c r="M1080" i="1"/>
  <c r="F1080" i="1"/>
  <c r="D1080" i="1"/>
  <c r="B1080" i="1"/>
  <c r="O1079" i="1"/>
  <c r="N1079" i="1"/>
  <c r="M1079" i="1"/>
  <c r="F1079" i="1"/>
  <c r="D1079" i="1"/>
  <c r="B1079" i="1"/>
  <c r="O1078" i="1"/>
  <c r="N1078" i="1"/>
  <c r="M1078" i="1"/>
  <c r="F1078" i="1"/>
  <c r="D1078" i="1"/>
  <c r="B1078" i="1"/>
  <c r="O1077" i="1"/>
  <c r="N1077" i="1"/>
  <c r="M1077" i="1"/>
  <c r="F1077" i="1"/>
  <c r="D1077" i="1"/>
  <c r="B1077" i="1"/>
  <c r="O1076" i="1"/>
  <c r="N1076" i="1"/>
  <c r="M1076" i="1"/>
  <c r="F1076" i="1"/>
  <c r="D1076" i="1"/>
  <c r="B1076" i="1"/>
  <c r="O1075" i="1"/>
  <c r="N1075" i="1"/>
  <c r="M1075" i="1"/>
  <c r="F1075" i="1"/>
  <c r="D1075" i="1"/>
  <c r="B1075" i="1"/>
  <c r="O1074" i="1"/>
  <c r="N1074" i="1"/>
  <c r="M1074" i="1"/>
  <c r="F1074" i="1"/>
  <c r="D1074" i="1"/>
  <c r="B1074" i="1"/>
  <c r="O1073" i="1"/>
  <c r="N1073" i="1"/>
  <c r="M1073" i="1"/>
  <c r="F1073" i="1"/>
  <c r="D1073" i="1"/>
  <c r="B1073" i="1"/>
  <c r="O1072" i="1"/>
  <c r="N1072" i="1"/>
  <c r="M1072" i="1"/>
  <c r="F1072" i="1"/>
  <c r="D1072" i="1"/>
  <c r="B1072" i="1"/>
  <c r="O1071" i="1"/>
  <c r="N1071" i="1"/>
  <c r="M1071" i="1"/>
  <c r="F1071" i="1"/>
  <c r="D1071" i="1"/>
  <c r="B1071" i="1"/>
  <c r="O1070" i="1"/>
  <c r="N1070" i="1"/>
  <c r="M1070" i="1"/>
  <c r="F1070" i="1"/>
  <c r="D1070" i="1"/>
  <c r="B1070" i="1"/>
  <c r="O1069" i="1"/>
  <c r="N1069" i="1"/>
  <c r="M1069" i="1"/>
  <c r="F1069" i="1"/>
  <c r="D1069" i="1"/>
  <c r="B1069" i="1"/>
  <c r="O1068" i="1"/>
  <c r="N1068" i="1"/>
  <c r="M1068" i="1"/>
  <c r="F1068" i="1"/>
  <c r="D1068" i="1"/>
  <c r="B1068" i="1"/>
  <c r="O1067" i="1"/>
  <c r="N1067" i="1"/>
  <c r="M1067" i="1"/>
  <c r="F1067" i="1"/>
  <c r="D1067" i="1"/>
  <c r="B1067" i="1"/>
  <c r="O1066" i="1"/>
  <c r="N1066" i="1"/>
  <c r="M1066" i="1"/>
  <c r="F1066" i="1"/>
  <c r="D1066" i="1"/>
  <c r="B1066" i="1"/>
  <c r="O1065" i="1"/>
  <c r="N1065" i="1"/>
  <c r="M1065" i="1"/>
  <c r="F1065" i="1"/>
  <c r="D1065" i="1"/>
  <c r="B1065" i="1"/>
  <c r="O1064" i="1"/>
  <c r="N1064" i="1"/>
  <c r="M1064" i="1"/>
  <c r="F1064" i="1"/>
  <c r="D1064" i="1"/>
  <c r="B1064" i="1"/>
  <c r="O1063" i="1"/>
  <c r="N1063" i="1"/>
  <c r="M1063" i="1"/>
  <c r="F1063" i="1"/>
  <c r="D1063" i="1"/>
  <c r="B1063" i="1"/>
  <c r="O1062" i="1"/>
  <c r="N1062" i="1"/>
  <c r="M1062" i="1"/>
  <c r="F1062" i="1"/>
  <c r="D1062" i="1"/>
  <c r="B1062" i="1"/>
  <c r="O1061" i="1"/>
  <c r="N1061" i="1"/>
  <c r="M1061" i="1"/>
  <c r="F1061" i="1"/>
  <c r="D1061" i="1"/>
  <c r="B1061" i="1"/>
  <c r="O1060" i="1"/>
  <c r="N1060" i="1"/>
  <c r="M1060" i="1"/>
  <c r="F1060" i="1"/>
  <c r="D1060" i="1"/>
  <c r="B1060" i="1"/>
  <c r="O1059" i="1"/>
  <c r="N1059" i="1"/>
  <c r="M1059" i="1"/>
  <c r="F1059" i="1"/>
  <c r="D1059" i="1"/>
  <c r="B1059" i="1"/>
  <c r="O1058" i="1"/>
  <c r="N1058" i="1"/>
  <c r="M1058" i="1"/>
  <c r="F1058" i="1"/>
  <c r="D1058" i="1"/>
  <c r="B1058" i="1"/>
  <c r="O1057" i="1"/>
  <c r="N1057" i="1"/>
  <c r="M1057" i="1"/>
  <c r="F1057" i="1"/>
  <c r="D1057" i="1"/>
  <c r="B1057" i="1"/>
  <c r="O1056" i="1"/>
  <c r="N1056" i="1"/>
  <c r="M1056" i="1"/>
  <c r="F1056" i="1"/>
  <c r="D1056" i="1"/>
  <c r="B1056" i="1"/>
  <c r="O1055" i="1"/>
  <c r="N1055" i="1"/>
  <c r="M1055" i="1"/>
  <c r="F1055" i="1"/>
  <c r="D1055" i="1"/>
  <c r="B1055" i="1"/>
  <c r="O1054" i="1"/>
  <c r="N1054" i="1"/>
  <c r="M1054" i="1"/>
  <c r="F1054" i="1"/>
  <c r="D1054" i="1"/>
  <c r="B1054" i="1"/>
  <c r="O1053" i="1"/>
  <c r="N1053" i="1"/>
  <c r="M1053" i="1"/>
  <c r="F1053" i="1"/>
  <c r="D1053" i="1"/>
  <c r="B1053" i="1"/>
  <c r="O1052" i="1"/>
  <c r="N1052" i="1"/>
  <c r="M1052" i="1"/>
  <c r="F1052" i="1"/>
  <c r="D1052" i="1"/>
  <c r="B1052" i="1"/>
  <c r="O1051" i="1"/>
  <c r="N1051" i="1"/>
  <c r="M1051" i="1"/>
  <c r="F1051" i="1"/>
  <c r="D1051" i="1"/>
  <c r="B1051" i="1"/>
  <c r="O1050" i="1"/>
  <c r="N1050" i="1"/>
  <c r="M1050" i="1"/>
  <c r="F1050" i="1"/>
  <c r="D1050" i="1"/>
  <c r="B1050" i="1"/>
  <c r="O1049" i="1"/>
  <c r="N1049" i="1"/>
  <c r="M1049" i="1"/>
  <c r="F1049" i="1"/>
  <c r="D1049" i="1"/>
  <c r="B1049" i="1"/>
  <c r="O1048" i="1"/>
  <c r="N1048" i="1"/>
  <c r="M1048" i="1"/>
  <c r="F1048" i="1"/>
  <c r="D1048" i="1"/>
  <c r="B1048" i="1"/>
  <c r="O1047" i="1"/>
  <c r="N1047" i="1"/>
  <c r="M1047" i="1"/>
  <c r="F1047" i="1"/>
  <c r="D1047" i="1"/>
  <c r="B1047" i="1"/>
  <c r="O1046" i="1"/>
  <c r="N1046" i="1"/>
  <c r="M1046" i="1"/>
  <c r="F1046" i="1"/>
  <c r="D1046" i="1"/>
  <c r="B1046" i="1"/>
  <c r="O1045" i="1"/>
  <c r="N1045" i="1"/>
  <c r="M1045" i="1"/>
  <c r="F1045" i="1"/>
  <c r="D1045" i="1"/>
  <c r="B1045" i="1"/>
  <c r="O1044" i="1"/>
  <c r="N1044" i="1"/>
  <c r="M1044" i="1"/>
  <c r="F1044" i="1"/>
  <c r="D1044" i="1"/>
  <c r="B1044" i="1"/>
  <c r="O1043" i="1"/>
  <c r="N1043" i="1"/>
  <c r="M1043" i="1"/>
  <c r="F1043" i="1"/>
  <c r="D1043" i="1"/>
  <c r="B1043" i="1"/>
  <c r="O1042" i="1"/>
  <c r="N1042" i="1"/>
  <c r="M1042" i="1"/>
  <c r="F1042" i="1"/>
  <c r="D1042" i="1"/>
  <c r="B1042" i="1"/>
  <c r="O1041" i="1"/>
  <c r="N1041" i="1"/>
  <c r="M1041" i="1"/>
  <c r="F1041" i="1"/>
  <c r="D1041" i="1"/>
  <c r="B1041" i="1"/>
  <c r="O1040" i="1"/>
  <c r="N1040" i="1"/>
  <c r="M1040" i="1"/>
  <c r="F1040" i="1"/>
  <c r="D1040" i="1"/>
  <c r="B1040" i="1"/>
  <c r="O1039" i="1"/>
  <c r="N1039" i="1"/>
  <c r="M1039" i="1"/>
  <c r="F1039" i="1"/>
  <c r="D1039" i="1"/>
  <c r="B1039" i="1"/>
  <c r="O1038" i="1"/>
  <c r="N1038" i="1"/>
  <c r="M1038" i="1"/>
  <c r="F1038" i="1"/>
  <c r="D1038" i="1"/>
  <c r="B1038" i="1"/>
  <c r="O1037" i="1"/>
  <c r="N1037" i="1"/>
  <c r="M1037" i="1"/>
  <c r="F1037" i="1"/>
  <c r="D1037" i="1"/>
  <c r="B1037" i="1"/>
  <c r="O1036" i="1"/>
  <c r="N1036" i="1"/>
  <c r="M1036" i="1"/>
  <c r="F1036" i="1"/>
  <c r="D1036" i="1"/>
  <c r="B1036" i="1"/>
  <c r="O1035" i="1"/>
  <c r="N1035" i="1"/>
  <c r="M1035" i="1"/>
  <c r="F1035" i="1"/>
  <c r="D1035" i="1"/>
  <c r="B1035" i="1"/>
  <c r="O1034" i="1"/>
  <c r="N1034" i="1"/>
  <c r="M1034" i="1"/>
  <c r="F1034" i="1"/>
  <c r="D1034" i="1"/>
  <c r="B1034" i="1"/>
  <c r="O1033" i="1"/>
  <c r="N1033" i="1"/>
  <c r="M1033" i="1"/>
  <c r="F1033" i="1"/>
  <c r="D1033" i="1"/>
  <c r="B1033" i="1"/>
  <c r="O1032" i="1"/>
  <c r="N1032" i="1"/>
  <c r="M1032" i="1"/>
  <c r="F1032" i="1"/>
  <c r="D1032" i="1"/>
  <c r="B1032" i="1"/>
  <c r="O1031" i="1"/>
  <c r="N1031" i="1"/>
  <c r="M1031" i="1"/>
  <c r="F1031" i="1"/>
  <c r="D1031" i="1"/>
  <c r="B1031" i="1"/>
  <c r="O1030" i="1"/>
  <c r="N1030" i="1"/>
  <c r="M1030" i="1"/>
  <c r="F1030" i="1"/>
  <c r="D1030" i="1"/>
  <c r="B1030" i="1"/>
  <c r="O1029" i="1"/>
  <c r="N1029" i="1"/>
  <c r="M1029" i="1"/>
  <c r="F1029" i="1"/>
  <c r="D1029" i="1"/>
  <c r="B1029" i="1"/>
  <c r="O1028" i="1"/>
  <c r="N1028" i="1"/>
  <c r="M1028" i="1"/>
  <c r="F1028" i="1"/>
  <c r="D1028" i="1"/>
  <c r="B1028" i="1"/>
  <c r="O1027" i="1"/>
  <c r="N1027" i="1"/>
  <c r="M1027" i="1"/>
  <c r="F1027" i="1"/>
  <c r="D1027" i="1"/>
  <c r="B1027" i="1"/>
  <c r="O1026" i="1"/>
  <c r="N1026" i="1"/>
  <c r="M1026" i="1"/>
  <c r="F1026" i="1"/>
  <c r="D1026" i="1"/>
  <c r="B1026" i="1"/>
  <c r="O1025" i="1"/>
  <c r="N1025" i="1"/>
  <c r="M1025" i="1"/>
  <c r="F1025" i="1"/>
  <c r="D1025" i="1"/>
  <c r="B1025" i="1"/>
  <c r="O1024" i="1"/>
  <c r="N1024" i="1"/>
  <c r="M1024" i="1"/>
  <c r="F1024" i="1"/>
  <c r="D1024" i="1"/>
  <c r="B1024" i="1"/>
  <c r="O1023" i="1"/>
  <c r="N1023" i="1"/>
  <c r="M1023" i="1"/>
  <c r="F1023" i="1"/>
  <c r="D1023" i="1"/>
  <c r="B1023" i="1"/>
  <c r="O1022" i="1"/>
  <c r="N1022" i="1"/>
  <c r="M1022" i="1"/>
  <c r="F1022" i="1"/>
  <c r="D1022" i="1"/>
  <c r="B1022" i="1"/>
  <c r="O1021" i="1"/>
  <c r="N1021" i="1"/>
  <c r="M1021" i="1"/>
  <c r="F1021" i="1"/>
  <c r="D1021" i="1"/>
  <c r="B1021" i="1"/>
  <c r="O1020" i="1"/>
  <c r="N1020" i="1"/>
  <c r="M1020" i="1"/>
  <c r="F1020" i="1"/>
  <c r="D1020" i="1"/>
  <c r="B1020" i="1"/>
  <c r="O1019" i="1"/>
  <c r="N1019" i="1"/>
  <c r="M1019" i="1"/>
  <c r="F1019" i="1"/>
  <c r="D1019" i="1"/>
  <c r="B1019" i="1"/>
  <c r="O1018" i="1"/>
  <c r="N1018" i="1"/>
  <c r="M1018" i="1"/>
  <c r="F1018" i="1"/>
  <c r="D1018" i="1"/>
  <c r="B1018" i="1"/>
  <c r="O1017" i="1"/>
  <c r="N1017" i="1"/>
  <c r="M1017" i="1"/>
  <c r="F1017" i="1"/>
  <c r="D1017" i="1"/>
  <c r="B1017" i="1"/>
  <c r="O1016" i="1"/>
  <c r="N1016" i="1"/>
  <c r="M1016" i="1"/>
  <c r="F1016" i="1"/>
  <c r="D1016" i="1"/>
  <c r="B1016" i="1"/>
  <c r="O1015" i="1"/>
  <c r="N1015" i="1"/>
  <c r="M1015" i="1"/>
  <c r="F1015" i="1"/>
  <c r="D1015" i="1"/>
  <c r="B1015" i="1"/>
  <c r="O1014" i="1"/>
  <c r="N1014" i="1"/>
  <c r="M1014" i="1"/>
  <c r="F1014" i="1"/>
  <c r="D1014" i="1"/>
  <c r="B1014" i="1"/>
  <c r="O1013" i="1"/>
  <c r="N1013" i="1"/>
  <c r="M1013" i="1"/>
  <c r="F1013" i="1"/>
  <c r="D1013" i="1"/>
  <c r="B1013" i="1"/>
  <c r="O1012" i="1"/>
  <c r="N1012" i="1"/>
  <c r="M1012" i="1"/>
  <c r="F1012" i="1"/>
  <c r="D1012" i="1"/>
  <c r="B1012" i="1"/>
  <c r="O1011" i="1"/>
  <c r="N1011" i="1"/>
  <c r="M1011" i="1"/>
  <c r="F1011" i="1"/>
  <c r="D1011" i="1"/>
  <c r="B1011" i="1"/>
  <c r="O1010" i="1"/>
  <c r="N1010" i="1"/>
  <c r="M1010" i="1"/>
  <c r="F1010" i="1"/>
  <c r="D1010" i="1"/>
  <c r="B1010" i="1"/>
  <c r="O1009" i="1"/>
  <c r="N1009" i="1"/>
  <c r="M1009" i="1"/>
  <c r="F1009" i="1"/>
  <c r="D1009" i="1"/>
  <c r="B1009" i="1"/>
  <c r="O1008" i="1"/>
  <c r="N1008" i="1"/>
  <c r="M1008" i="1"/>
  <c r="F1008" i="1"/>
  <c r="D1008" i="1"/>
  <c r="B1008" i="1"/>
  <c r="O1007" i="1"/>
  <c r="N1007" i="1"/>
  <c r="M1007" i="1"/>
  <c r="F1007" i="1"/>
  <c r="D1007" i="1"/>
  <c r="B1007" i="1"/>
  <c r="O1006" i="1"/>
  <c r="N1006" i="1"/>
  <c r="M1006" i="1"/>
  <c r="F1006" i="1"/>
  <c r="D1006" i="1"/>
  <c r="B1006" i="1"/>
  <c r="O1005" i="1"/>
  <c r="N1005" i="1"/>
  <c r="M1005" i="1"/>
  <c r="F1005" i="1"/>
  <c r="D1005" i="1"/>
  <c r="B1005" i="1"/>
  <c r="O1004" i="1"/>
  <c r="N1004" i="1"/>
  <c r="M1004" i="1"/>
  <c r="F1004" i="1"/>
  <c r="D1004" i="1"/>
  <c r="B1004" i="1"/>
  <c r="O1003" i="1"/>
  <c r="N1003" i="1"/>
  <c r="M1003" i="1"/>
  <c r="F1003" i="1"/>
  <c r="D1003" i="1"/>
  <c r="B1003" i="1"/>
  <c r="O1002" i="1"/>
  <c r="N1002" i="1"/>
  <c r="M1002" i="1"/>
  <c r="F1002" i="1"/>
  <c r="D1002" i="1"/>
  <c r="B1002" i="1"/>
  <c r="O1001" i="1"/>
  <c r="N1001" i="1"/>
  <c r="M1001" i="1"/>
  <c r="F1001" i="1"/>
  <c r="D1001" i="1"/>
  <c r="B1001" i="1"/>
  <c r="O1000" i="1"/>
  <c r="N1000" i="1"/>
  <c r="M1000" i="1"/>
  <c r="F1000" i="1"/>
  <c r="D1000" i="1"/>
  <c r="B1000" i="1"/>
  <c r="O999" i="1"/>
  <c r="N999" i="1"/>
  <c r="M999" i="1"/>
  <c r="F999" i="1"/>
  <c r="D999" i="1"/>
  <c r="B999" i="1"/>
  <c r="O998" i="1"/>
  <c r="N998" i="1"/>
  <c r="M998" i="1"/>
  <c r="F998" i="1"/>
  <c r="D998" i="1"/>
  <c r="B998" i="1"/>
  <c r="O997" i="1"/>
  <c r="N997" i="1"/>
  <c r="M997" i="1"/>
  <c r="F997" i="1"/>
  <c r="D997" i="1"/>
  <c r="B997" i="1"/>
  <c r="O996" i="1"/>
  <c r="N996" i="1"/>
  <c r="M996" i="1"/>
  <c r="F996" i="1"/>
  <c r="D996" i="1"/>
  <c r="B996" i="1"/>
  <c r="O995" i="1"/>
  <c r="N995" i="1"/>
  <c r="M995" i="1"/>
  <c r="F995" i="1"/>
  <c r="D995" i="1"/>
  <c r="B995" i="1"/>
  <c r="O994" i="1"/>
  <c r="N994" i="1"/>
  <c r="M994" i="1"/>
  <c r="F994" i="1"/>
  <c r="D994" i="1"/>
  <c r="B994" i="1"/>
  <c r="O993" i="1"/>
  <c r="N993" i="1"/>
  <c r="M993" i="1"/>
  <c r="F993" i="1"/>
  <c r="D993" i="1"/>
  <c r="B993" i="1"/>
  <c r="O992" i="1"/>
  <c r="N992" i="1"/>
  <c r="M992" i="1"/>
  <c r="F992" i="1"/>
  <c r="D992" i="1"/>
  <c r="B992" i="1"/>
  <c r="O991" i="1"/>
  <c r="N991" i="1"/>
  <c r="M991" i="1"/>
  <c r="F991" i="1"/>
  <c r="D991" i="1"/>
  <c r="B991" i="1"/>
  <c r="O990" i="1"/>
  <c r="N990" i="1"/>
  <c r="M990" i="1"/>
  <c r="F990" i="1"/>
  <c r="D990" i="1"/>
  <c r="B990" i="1"/>
  <c r="O989" i="1"/>
  <c r="N989" i="1"/>
  <c r="M989" i="1"/>
  <c r="F989" i="1"/>
  <c r="D989" i="1"/>
  <c r="B989" i="1"/>
  <c r="O988" i="1"/>
  <c r="N988" i="1"/>
  <c r="M988" i="1"/>
  <c r="F988" i="1"/>
  <c r="D988" i="1"/>
  <c r="B988" i="1"/>
  <c r="O987" i="1"/>
  <c r="N987" i="1"/>
  <c r="M987" i="1"/>
  <c r="F987" i="1"/>
  <c r="D987" i="1"/>
  <c r="B987" i="1"/>
  <c r="O986" i="1"/>
  <c r="N986" i="1"/>
  <c r="M986" i="1"/>
  <c r="F986" i="1"/>
  <c r="D986" i="1"/>
  <c r="B986" i="1"/>
  <c r="O985" i="1"/>
  <c r="N985" i="1"/>
  <c r="M985" i="1"/>
  <c r="F985" i="1"/>
  <c r="D985" i="1"/>
  <c r="B985" i="1"/>
  <c r="O984" i="1"/>
  <c r="N984" i="1"/>
  <c r="M984" i="1"/>
  <c r="F984" i="1"/>
  <c r="D984" i="1"/>
  <c r="B984" i="1"/>
  <c r="O983" i="1"/>
  <c r="N983" i="1"/>
  <c r="M983" i="1"/>
  <c r="F983" i="1"/>
  <c r="D983" i="1"/>
  <c r="B983" i="1"/>
  <c r="O982" i="1"/>
  <c r="N982" i="1"/>
  <c r="M982" i="1"/>
  <c r="F982" i="1"/>
  <c r="D982" i="1"/>
  <c r="B982" i="1"/>
  <c r="O981" i="1"/>
  <c r="N981" i="1"/>
  <c r="M981" i="1"/>
  <c r="F981" i="1"/>
  <c r="D981" i="1"/>
  <c r="B981" i="1"/>
  <c r="O980" i="1"/>
  <c r="N980" i="1"/>
  <c r="M980" i="1"/>
  <c r="F980" i="1"/>
  <c r="D980" i="1"/>
  <c r="B980" i="1"/>
  <c r="O979" i="1"/>
  <c r="N979" i="1"/>
  <c r="M979" i="1"/>
  <c r="F979" i="1"/>
  <c r="D979" i="1"/>
  <c r="B979" i="1"/>
  <c r="O978" i="1"/>
  <c r="N978" i="1"/>
  <c r="M978" i="1"/>
  <c r="F978" i="1"/>
  <c r="D978" i="1"/>
  <c r="B978" i="1"/>
  <c r="O977" i="1"/>
  <c r="N977" i="1"/>
  <c r="M977" i="1"/>
  <c r="F977" i="1"/>
  <c r="D977" i="1"/>
  <c r="B977" i="1"/>
  <c r="O976" i="1"/>
  <c r="N976" i="1"/>
  <c r="M976" i="1"/>
  <c r="F976" i="1"/>
  <c r="D976" i="1"/>
  <c r="B976" i="1"/>
  <c r="O975" i="1"/>
  <c r="N975" i="1"/>
  <c r="M975" i="1"/>
  <c r="F975" i="1"/>
  <c r="D975" i="1"/>
  <c r="B975" i="1"/>
  <c r="O974" i="1"/>
  <c r="N974" i="1"/>
  <c r="M974" i="1"/>
  <c r="F974" i="1"/>
  <c r="D974" i="1"/>
  <c r="B974" i="1"/>
  <c r="O973" i="1"/>
  <c r="N973" i="1"/>
  <c r="M973" i="1"/>
  <c r="F973" i="1"/>
  <c r="D973" i="1"/>
  <c r="B973" i="1"/>
  <c r="O972" i="1"/>
  <c r="N972" i="1"/>
  <c r="M972" i="1"/>
  <c r="F972" i="1"/>
  <c r="D972" i="1"/>
  <c r="B972" i="1"/>
  <c r="O971" i="1"/>
  <c r="N971" i="1"/>
  <c r="M971" i="1"/>
  <c r="F971" i="1"/>
  <c r="D971" i="1"/>
  <c r="B971" i="1"/>
  <c r="O970" i="1"/>
  <c r="N970" i="1"/>
  <c r="M970" i="1"/>
  <c r="F970" i="1"/>
  <c r="D970" i="1"/>
  <c r="B970" i="1"/>
  <c r="O969" i="1"/>
  <c r="N969" i="1"/>
  <c r="M969" i="1"/>
  <c r="F969" i="1"/>
  <c r="D969" i="1"/>
  <c r="B969" i="1"/>
  <c r="O968" i="1"/>
  <c r="N968" i="1"/>
  <c r="M968" i="1"/>
  <c r="F968" i="1"/>
  <c r="D968" i="1"/>
  <c r="B968" i="1"/>
  <c r="O967" i="1"/>
  <c r="N967" i="1"/>
  <c r="M967" i="1"/>
  <c r="F967" i="1"/>
  <c r="D967" i="1"/>
  <c r="B967" i="1"/>
  <c r="O966" i="1"/>
  <c r="N966" i="1"/>
  <c r="M966" i="1"/>
  <c r="F966" i="1"/>
  <c r="D966" i="1"/>
  <c r="B966" i="1"/>
  <c r="O965" i="1"/>
  <c r="N965" i="1"/>
  <c r="M965" i="1"/>
  <c r="F965" i="1"/>
  <c r="D965" i="1"/>
  <c r="B965" i="1"/>
  <c r="O964" i="1"/>
  <c r="N964" i="1"/>
  <c r="M964" i="1"/>
  <c r="F964" i="1"/>
  <c r="D964" i="1"/>
  <c r="B964" i="1"/>
  <c r="O963" i="1"/>
  <c r="N963" i="1"/>
  <c r="M963" i="1"/>
  <c r="F963" i="1"/>
  <c r="D963" i="1"/>
  <c r="B963" i="1"/>
  <c r="O962" i="1"/>
  <c r="N962" i="1"/>
  <c r="M962" i="1"/>
  <c r="F962" i="1"/>
  <c r="D962" i="1"/>
  <c r="B962" i="1"/>
  <c r="O961" i="1"/>
  <c r="N961" i="1"/>
  <c r="M961" i="1"/>
  <c r="F961" i="1"/>
  <c r="D961" i="1"/>
  <c r="B961" i="1"/>
  <c r="O960" i="1"/>
  <c r="N960" i="1"/>
  <c r="M960" i="1"/>
  <c r="F960" i="1"/>
  <c r="D960" i="1"/>
  <c r="B960" i="1"/>
  <c r="O959" i="1"/>
  <c r="N959" i="1"/>
  <c r="M959" i="1"/>
  <c r="F959" i="1"/>
  <c r="D959" i="1"/>
  <c r="B959" i="1"/>
  <c r="O958" i="1"/>
  <c r="N958" i="1"/>
  <c r="M958" i="1"/>
  <c r="F958" i="1"/>
  <c r="D958" i="1"/>
  <c r="B958" i="1"/>
  <c r="O957" i="1"/>
  <c r="N957" i="1"/>
  <c r="M957" i="1"/>
  <c r="F957" i="1"/>
  <c r="D957" i="1"/>
  <c r="B957" i="1"/>
  <c r="O956" i="1"/>
  <c r="N956" i="1"/>
  <c r="M956" i="1"/>
  <c r="F956" i="1"/>
  <c r="D956" i="1"/>
  <c r="B956" i="1"/>
  <c r="O955" i="1"/>
  <c r="N955" i="1"/>
  <c r="M955" i="1"/>
  <c r="F955" i="1"/>
  <c r="D955" i="1"/>
  <c r="B955" i="1"/>
  <c r="O954" i="1"/>
  <c r="N954" i="1"/>
  <c r="M954" i="1"/>
  <c r="F954" i="1"/>
  <c r="D954" i="1"/>
  <c r="B954" i="1"/>
  <c r="O953" i="1"/>
  <c r="N953" i="1"/>
  <c r="M953" i="1"/>
  <c r="F953" i="1"/>
  <c r="D953" i="1"/>
  <c r="B953" i="1"/>
  <c r="O952" i="1"/>
  <c r="N952" i="1"/>
  <c r="M952" i="1"/>
  <c r="F952" i="1"/>
  <c r="D952" i="1"/>
  <c r="B952" i="1"/>
  <c r="O951" i="1"/>
  <c r="N951" i="1"/>
  <c r="M951" i="1"/>
  <c r="F951" i="1"/>
  <c r="D951" i="1"/>
  <c r="B951" i="1"/>
  <c r="O950" i="1"/>
  <c r="N950" i="1"/>
  <c r="M950" i="1"/>
  <c r="F950" i="1"/>
  <c r="D950" i="1"/>
  <c r="B950" i="1"/>
  <c r="O949" i="1"/>
  <c r="N949" i="1"/>
  <c r="M949" i="1"/>
  <c r="F949" i="1"/>
  <c r="D949" i="1"/>
  <c r="B949" i="1"/>
  <c r="O948" i="1"/>
  <c r="N948" i="1"/>
  <c r="M948" i="1"/>
  <c r="F948" i="1"/>
  <c r="D948" i="1"/>
  <c r="B948" i="1"/>
  <c r="O947" i="1"/>
  <c r="N947" i="1"/>
  <c r="M947" i="1"/>
  <c r="F947" i="1"/>
  <c r="D947" i="1"/>
  <c r="B947" i="1"/>
  <c r="O946" i="1"/>
  <c r="N946" i="1"/>
  <c r="M946" i="1"/>
  <c r="F946" i="1"/>
  <c r="D946" i="1"/>
  <c r="B946" i="1"/>
  <c r="O945" i="1"/>
  <c r="N945" i="1"/>
  <c r="M945" i="1"/>
  <c r="F945" i="1"/>
  <c r="D945" i="1"/>
  <c r="B945" i="1"/>
  <c r="O944" i="1"/>
  <c r="N944" i="1"/>
  <c r="M944" i="1"/>
  <c r="F944" i="1"/>
  <c r="D944" i="1"/>
  <c r="B944" i="1"/>
  <c r="O943" i="1"/>
  <c r="N943" i="1"/>
  <c r="M943" i="1"/>
  <c r="F943" i="1"/>
  <c r="D943" i="1"/>
  <c r="B943" i="1"/>
  <c r="O942" i="1"/>
  <c r="N942" i="1"/>
  <c r="M942" i="1"/>
  <c r="F942" i="1"/>
  <c r="D942" i="1"/>
  <c r="B942" i="1"/>
  <c r="O941" i="1"/>
  <c r="N941" i="1"/>
  <c r="M941" i="1"/>
  <c r="F941" i="1"/>
  <c r="D941" i="1"/>
  <c r="B941" i="1"/>
  <c r="O940" i="1"/>
  <c r="N940" i="1"/>
  <c r="M940" i="1"/>
  <c r="F940" i="1"/>
  <c r="D940" i="1"/>
  <c r="B940" i="1"/>
  <c r="O939" i="1"/>
  <c r="N939" i="1"/>
  <c r="M939" i="1"/>
  <c r="F939" i="1"/>
  <c r="D939" i="1"/>
  <c r="B939" i="1"/>
  <c r="O938" i="1"/>
  <c r="N938" i="1"/>
  <c r="M938" i="1"/>
  <c r="F938" i="1"/>
  <c r="D938" i="1"/>
  <c r="B938" i="1"/>
  <c r="O937" i="1"/>
  <c r="N937" i="1"/>
  <c r="M937" i="1"/>
  <c r="F937" i="1"/>
  <c r="D937" i="1"/>
  <c r="B937" i="1"/>
  <c r="O936" i="1"/>
  <c r="N936" i="1"/>
  <c r="M936" i="1"/>
  <c r="F936" i="1"/>
  <c r="D936" i="1"/>
  <c r="B936" i="1"/>
  <c r="O935" i="1"/>
  <c r="N935" i="1"/>
  <c r="M935" i="1"/>
  <c r="F935" i="1"/>
  <c r="D935" i="1"/>
  <c r="B935" i="1"/>
  <c r="O934" i="1"/>
  <c r="N934" i="1"/>
  <c r="M934" i="1"/>
  <c r="F934" i="1"/>
  <c r="D934" i="1"/>
  <c r="B934" i="1"/>
  <c r="O933" i="1"/>
  <c r="N933" i="1"/>
  <c r="M933" i="1"/>
  <c r="F933" i="1"/>
  <c r="D933" i="1"/>
  <c r="B933" i="1"/>
  <c r="O932" i="1"/>
  <c r="N932" i="1"/>
  <c r="M932" i="1"/>
  <c r="F932" i="1"/>
  <c r="D932" i="1"/>
  <c r="B932" i="1"/>
  <c r="O931" i="1"/>
  <c r="N931" i="1"/>
  <c r="M931" i="1"/>
  <c r="F931" i="1"/>
  <c r="D931" i="1"/>
  <c r="B931" i="1"/>
  <c r="O930" i="1"/>
  <c r="N930" i="1"/>
  <c r="M930" i="1"/>
  <c r="F930" i="1"/>
  <c r="D930" i="1"/>
  <c r="B930" i="1"/>
  <c r="O929" i="1"/>
  <c r="N929" i="1"/>
  <c r="M929" i="1"/>
  <c r="F929" i="1"/>
  <c r="D929" i="1"/>
  <c r="B929" i="1"/>
  <c r="O928" i="1"/>
  <c r="N928" i="1"/>
  <c r="M928" i="1"/>
  <c r="F928" i="1"/>
  <c r="D928" i="1"/>
  <c r="B928" i="1"/>
  <c r="O927" i="1"/>
  <c r="N927" i="1"/>
  <c r="M927" i="1"/>
  <c r="F927" i="1"/>
  <c r="D927" i="1"/>
  <c r="B927" i="1"/>
  <c r="O926" i="1"/>
  <c r="N926" i="1"/>
  <c r="M926" i="1"/>
  <c r="F926" i="1"/>
  <c r="D926" i="1"/>
  <c r="B926" i="1"/>
  <c r="O925" i="1"/>
  <c r="N925" i="1"/>
  <c r="M925" i="1"/>
  <c r="F925" i="1"/>
  <c r="D925" i="1"/>
  <c r="B925" i="1"/>
  <c r="O924" i="1"/>
  <c r="N924" i="1"/>
  <c r="M924" i="1"/>
  <c r="F924" i="1"/>
  <c r="D924" i="1"/>
  <c r="B924" i="1"/>
  <c r="O923" i="1"/>
  <c r="N923" i="1"/>
  <c r="M923" i="1"/>
  <c r="F923" i="1"/>
  <c r="D923" i="1"/>
  <c r="B923" i="1"/>
  <c r="O922" i="1"/>
  <c r="N922" i="1"/>
  <c r="M922" i="1"/>
  <c r="F922" i="1"/>
  <c r="D922" i="1"/>
  <c r="B922" i="1"/>
  <c r="O921" i="1"/>
  <c r="N921" i="1"/>
  <c r="M921" i="1"/>
  <c r="F921" i="1"/>
  <c r="D921" i="1"/>
  <c r="B921" i="1"/>
  <c r="O920" i="1"/>
  <c r="N920" i="1"/>
  <c r="M920" i="1"/>
  <c r="F920" i="1"/>
  <c r="D920" i="1"/>
  <c r="B920" i="1"/>
  <c r="O919" i="1"/>
  <c r="N919" i="1"/>
  <c r="M919" i="1"/>
  <c r="F919" i="1"/>
  <c r="D919" i="1"/>
  <c r="B919" i="1"/>
  <c r="O918" i="1"/>
  <c r="N918" i="1"/>
  <c r="M918" i="1"/>
  <c r="F918" i="1"/>
  <c r="D918" i="1"/>
  <c r="B918" i="1"/>
  <c r="O917" i="1"/>
  <c r="N917" i="1"/>
  <c r="M917" i="1"/>
  <c r="F917" i="1"/>
  <c r="D917" i="1"/>
  <c r="B917" i="1"/>
  <c r="O916" i="1"/>
  <c r="N916" i="1"/>
  <c r="M916" i="1"/>
  <c r="F916" i="1"/>
  <c r="D916" i="1"/>
  <c r="B916" i="1"/>
  <c r="O915" i="1"/>
  <c r="N915" i="1"/>
  <c r="M915" i="1"/>
  <c r="F915" i="1"/>
  <c r="D915" i="1"/>
  <c r="B915" i="1"/>
  <c r="O914" i="1"/>
  <c r="N914" i="1"/>
  <c r="M914" i="1"/>
  <c r="F914" i="1"/>
  <c r="D914" i="1"/>
  <c r="B914" i="1"/>
  <c r="O913" i="1"/>
  <c r="N913" i="1"/>
  <c r="M913" i="1"/>
  <c r="F913" i="1"/>
  <c r="D913" i="1"/>
  <c r="B913" i="1"/>
  <c r="O912" i="1"/>
  <c r="N912" i="1"/>
  <c r="M912" i="1"/>
  <c r="F912" i="1"/>
  <c r="D912" i="1"/>
  <c r="B912" i="1"/>
  <c r="O911" i="1"/>
  <c r="N911" i="1"/>
  <c r="M911" i="1"/>
  <c r="F911" i="1"/>
  <c r="D911" i="1"/>
  <c r="B911" i="1"/>
  <c r="O910" i="1"/>
  <c r="N910" i="1"/>
  <c r="M910" i="1"/>
  <c r="F910" i="1"/>
  <c r="D910" i="1"/>
  <c r="B910" i="1"/>
  <c r="O909" i="1"/>
  <c r="N909" i="1"/>
  <c r="M909" i="1"/>
  <c r="F909" i="1"/>
  <c r="D909" i="1"/>
  <c r="B909" i="1"/>
  <c r="O908" i="1"/>
  <c r="N908" i="1"/>
  <c r="M908" i="1"/>
  <c r="F908" i="1"/>
  <c r="D908" i="1"/>
  <c r="B908" i="1"/>
  <c r="O907" i="1"/>
  <c r="N907" i="1"/>
  <c r="M907" i="1"/>
  <c r="F907" i="1"/>
  <c r="D907" i="1"/>
  <c r="B907" i="1"/>
  <c r="O906" i="1"/>
  <c r="N906" i="1"/>
  <c r="M906" i="1"/>
  <c r="F906" i="1"/>
  <c r="D906" i="1"/>
  <c r="B906" i="1"/>
  <c r="O905" i="1"/>
  <c r="N905" i="1"/>
  <c r="M905" i="1"/>
  <c r="F905" i="1"/>
  <c r="D905" i="1"/>
  <c r="B905" i="1"/>
  <c r="O904" i="1"/>
  <c r="N904" i="1"/>
  <c r="M904" i="1"/>
  <c r="F904" i="1"/>
  <c r="D904" i="1"/>
  <c r="B904" i="1"/>
  <c r="O903" i="1"/>
  <c r="N903" i="1"/>
  <c r="M903" i="1"/>
  <c r="F903" i="1"/>
  <c r="D903" i="1"/>
  <c r="B903" i="1"/>
  <c r="O902" i="1"/>
  <c r="N902" i="1"/>
  <c r="M902" i="1"/>
  <c r="F902" i="1"/>
  <c r="D902" i="1"/>
  <c r="B902" i="1"/>
  <c r="O901" i="1"/>
  <c r="N901" i="1"/>
  <c r="M901" i="1"/>
  <c r="F901" i="1"/>
  <c r="D901" i="1"/>
  <c r="B901" i="1"/>
  <c r="O900" i="1"/>
  <c r="N900" i="1"/>
  <c r="M900" i="1"/>
  <c r="F900" i="1"/>
  <c r="D900" i="1"/>
  <c r="B900" i="1"/>
  <c r="O899" i="1"/>
  <c r="N899" i="1"/>
  <c r="M899" i="1"/>
  <c r="F899" i="1"/>
  <c r="D899" i="1"/>
  <c r="B899" i="1"/>
  <c r="O898" i="1"/>
  <c r="N898" i="1"/>
  <c r="M898" i="1"/>
  <c r="F898" i="1"/>
  <c r="D898" i="1"/>
  <c r="B898" i="1"/>
  <c r="O897" i="1"/>
  <c r="N897" i="1"/>
  <c r="M897" i="1"/>
  <c r="F897" i="1"/>
  <c r="D897" i="1"/>
  <c r="B897" i="1"/>
  <c r="O896" i="1"/>
  <c r="N896" i="1"/>
  <c r="M896" i="1"/>
  <c r="F896" i="1"/>
  <c r="D896" i="1"/>
  <c r="B896" i="1"/>
  <c r="O895" i="1"/>
  <c r="N895" i="1"/>
  <c r="M895" i="1"/>
  <c r="F895" i="1"/>
  <c r="D895" i="1"/>
  <c r="B895" i="1"/>
  <c r="O894" i="1"/>
  <c r="N894" i="1"/>
  <c r="M894" i="1"/>
  <c r="F894" i="1"/>
  <c r="D894" i="1"/>
  <c r="B894" i="1"/>
  <c r="O893" i="1"/>
  <c r="N893" i="1"/>
  <c r="M893" i="1"/>
  <c r="F893" i="1"/>
  <c r="D893" i="1"/>
  <c r="B893" i="1"/>
  <c r="O892" i="1"/>
  <c r="N892" i="1"/>
  <c r="M892" i="1"/>
  <c r="F892" i="1"/>
  <c r="D892" i="1"/>
  <c r="B892" i="1"/>
  <c r="O891" i="1"/>
  <c r="N891" i="1"/>
  <c r="M891" i="1"/>
  <c r="F891" i="1"/>
  <c r="D891" i="1"/>
  <c r="B891" i="1"/>
  <c r="O890" i="1"/>
  <c r="N890" i="1"/>
  <c r="M890" i="1"/>
  <c r="F890" i="1"/>
  <c r="D890" i="1"/>
  <c r="B890" i="1"/>
  <c r="O889" i="1"/>
  <c r="N889" i="1"/>
  <c r="M889" i="1"/>
  <c r="F889" i="1"/>
  <c r="D889" i="1"/>
  <c r="B889" i="1"/>
  <c r="O888" i="1"/>
  <c r="N888" i="1"/>
  <c r="M888" i="1"/>
  <c r="F888" i="1"/>
  <c r="D888" i="1"/>
  <c r="B888" i="1"/>
  <c r="O887" i="1"/>
  <c r="N887" i="1"/>
  <c r="M887" i="1"/>
  <c r="F887" i="1"/>
  <c r="D887" i="1"/>
  <c r="B887" i="1"/>
  <c r="O886" i="1"/>
  <c r="N886" i="1"/>
  <c r="M886" i="1"/>
  <c r="F886" i="1"/>
  <c r="D886" i="1"/>
  <c r="B886" i="1"/>
  <c r="O885" i="1"/>
  <c r="N885" i="1"/>
  <c r="M885" i="1"/>
  <c r="F885" i="1"/>
  <c r="D885" i="1"/>
  <c r="B885" i="1"/>
  <c r="O884" i="1"/>
  <c r="N884" i="1"/>
  <c r="M884" i="1"/>
  <c r="F884" i="1"/>
  <c r="D884" i="1"/>
  <c r="B884" i="1"/>
  <c r="O883" i="1"/>
  <c r="N883" i="1"/>
  <c r="M883" i="1"/>
  <c r="F883" i="1"/>
  <c r="D883" i="1"/>
  <c r="B883" i="1"/>
  <c r="O882" i="1"/>
  <c r="N882" i="1"/>
  <c r="M882" i="1"/>
  <c r="F882" i="1"/>
  <c r="D882" i="1"/>
  <c r="B882" i="1"/>
  <c r="O881" i="1"/>
  <c r="N881" i="1"/>
  <c r="M881" i="1"/>
  <c r="F881" i="1"/>
  <c r="D881" i="1"/>
  <c r="B881" i="1"/>
  <c r="O880" i="1"/>
  <c r="N880" i="1"/>
  <c r="M880" i="1"/>
  <c r="F880" i="1"/>
  <c r="D880" i="1"/>
  <c r="B880" i="1"/>
  <c r="O879" i="1"/>
  <c r="N879" i="1"/>
  <c r="M879" i="1"/>
  <c r="F879" i="1"/>
  <c r="D879" i="1"/>
  <c r="B879" i="1"/>
  <c r="O878" i="1"/>
  <c r="N878" i="1"/>
  <c r="M878" i="1"/>
  <c r="F878" i="1"/>
  <c r="D878" i="1"/>
  <c r="B878" i="1"/>
  <c r="O877" i="1"/>
  <c r="N877" i="1"/>
  <c r="M877" i="1"/>
  <c r="F877" i="1"/>
  <c r="D877" i="1"/>
  <c r="B877" i="1"/>
  <c r="O876" i="1"/>
  <c r="N876" i="1"/>
  <c r="M876" i="1"/>
  <c r="F876" i="1"/>
  <c r="D876" i="1"/>
  <c r="B876" i="1"/>
  <c r="O875" i="1"/>
  <c r="N875" i="1"/>
  <c r="M875" i="1"/>
  <c r="F875" i="1"/>
  <c r="D875" i="1"/>
  <c r="B875" i="1"/>
  <c r="O874" i="1"/>
  <c r="N874" i="1"/>
  <c r="M874" i="1"/>
  <c r="F874" i="1"/>
  <c r="D874" i="1"/>
  <c r="B874" i="1"/>
  <c r="O873" i="1"/>
  <c r="N873" i="1"/>
  <c r="M873" i="1"/>
  <c r="F873" i="1"/>
  <c r="D873" i="1"/>
  <c r="B873" i="1"/>
  <c r="O872" i="1"/>
  <c r="N872" i="1"/>
  <c r="M872" i="1"/>
  <c r="F872" i="1"/>
  <c r="D872" i="1"/>
  <c r="B872" i="1"/>
  <c r="O871" i="1"/>
  <c r="N871" i="1"/>
  <c r="M871" i="1"/>
  <c r="F871" i="1"/>
  <c r="D871" i="1"/>
  <c r="B871" i="1"/>
  <c r="O870" i="1"/>
  <c r="N870" i="1"/>
  <c r="M870" i="1"/>
  <c r="F870" i="1"/>
  <c r="D870" i="1"/>
  <c r="B870" i="1"/>
  <c r="O869" i="1"/>
  <c r="N869" i="1"/>
  <c r="M869" i="1"/>
  <c r="F869" i="1"/>
  <c r="D869" i="1"/>
  <c r="B869" i="1"/>
  <c r="O868" i="1"/>
  <c r="N868" i="1"/>
  <c r="M868" i="1"/>
  <c r="F868" i="1"/>
  <c r="D868" i="1"/>
  <c r="B868" i="1"/>
  <c r="O867" i="1"/>
  <c r="N867" i="1"/>
  <c r="M867" i="1"/>
  <c r="F867" i="1"/>
  <c r="D867" i="1"/>
  <c r="B867" i="1"/>
  <c r="O866" i="1"/>
  <c r="N866" i="1"/>
  <c r="M866" i="1"/>
  <c r="F866" i="1"/>
  <c r="D866" i="1"/>
  <c r="B866" i="1"/>
  <c r="O865" i="1"/>
  <c r="N865" i="1"/>
  <c r="M865" i="1"/>
  <c r="F865" i="1"/>
  <c r="D865" i="1"/>
  <c r="B865" i="1"/>
  <c r="O864" i="1"/>
  <c r="N864" i="1"/>
  <c r="M864" i="1"/>
  <c r="F864" i="1"/>
  <c r="D864" i="1"/>
  <c r="B864" i="1"/>
  <c r="O863" i="1"/>
  <c r="N863" i="1"/>
  <c r="M863" i="1"/>
  <c r="F863" i="1"/>
  <c r="D863" i="1"/>
  <c r="B863" i="1"/>
  <c r="O862" i="1"/>
  <c r="N862" i="1"/>
  <c r="M862" i="1"/>
  <c r="F862" i="1"/>
  <c r="D862" i="1"/>
  <c r="B862" i="1"/>
  <c r="O861" i="1"/>
  <c r="N861" i="1"/>
  <c r="M861" i="1"/>
  <c r="F861" i="1"/>
  <c r="D861" i="1"/>
  <c r="B861" i="1"/>
  <c r="O860" i="1"/>
  <c r="N860" i="1"/>
  <c r="M860" i="1"/>
  <c r="F860" i="1"/>
  <c r="D860" i="1"/>
  <c r="B860" i="1"/>
  <c r="O859" i="1"/>
  <c r="N859" i="1"/>
  <c r="M859" i="1"/>
  <c r="F859" i="1"/>
  <c r="D859" i="1"/>
  <c r="B859" i="1"/>
  <c r="O858" i="1"/>
  <c r="N858" i="1"/>
  <c r="M858" i="1"/>
  <c r="F858" i="1"/>
  <c r="D858" i="1"/>
  <c r="B858" i="1"/>
  <c r="O857" i="1"/>
  <c r="N857" i="1"/>
  <c r="M857" i="1"/>
  <c r="F857" i="1"/>
  <c r="D857" i="1"/>
  <c r="B857" i="1"/>
  <c r="O856" i="1"/>
  <c r="N856" i="1"/>
  <c r="M856" i="1"/>
  <c r="F856" i="1"/>
  <c r="D856" i="1"/>
  <c r="B856" i="1"/>
  <c r="O855" i="1"/>
  <c r="N855" i="1"/>
  <c r="M855" i="1"/>
  <c r="F855" i="1"/>
  <c r="D855" i="1"/>
  <c r="B855" i="1"/>
  <c r="O854" i="1"/>
  <c r="N854" i="1"/>
  <c r="M854" i="1"/>
  <c r="F854" i="1"/>
  <c r="D854" i="1"/>
  <c r="B854" i="1"/>
  <c r="O853" i="1"/>
  <c r="N853" i="1"/>
  <c r="M853" i="1"/>
  <c r="F853" i="1"/>
  <c r="D853" i="1"/>
  <c r="B853" i="1"/>
  <c r="O852" i="1"/>
  <c r="N852" i="1"/>
  <c r="M852" i="1"/>
  <c r="F852" i="1"/>
  <c r="D852" i="1"/>
  <c r="B852" i="1"/>
  <c r="O851" i="1"/>
  <c r="N851" i="1"/>
  <c r="M851" i="1"/>
  <c r="F851" i="1"/>
  <c r="D851" i="1"/>
  <c r="B851" i="1"/>
  <c r="O850" i="1"/>
  <c r="N850" i="1"/>
  <c r="M850" i="1"/>
  <c r="F850" i="1"/>
  <c r="D850" i="1"/>
  <c r="B850" i="1"/>
  <c r="O849" i="1"/>
  <c r="N849" i="1"/>
  <c r="M849" i="1"/>
  <c r="F849" i="1"/>
  <c r="D849" i="1"/>
  <c r="B849" i="1"/>
  <c r="O848" i="1"/>
  <c r="N848" i="1"/>
  <c r="M848" i="1"/>
  <c r="F848" i="1"/>
  <c r="D848" i="1"/>
  <c r="B848" i="1"/>
  <c r="O847" i="1"/>
  <c r="N847" i="1"/>
  <c r="M847" i="1"/>
  <c r="F847" i="1"/>
  <c r="D847" i="1"/>
  <c r="B847" i="1"/>
  <c r="O846" i="1"/>
  <c r="N846" i="1"/>
  <c r="M846" i="1"/>
  <c r="F846" i="1"/>
  <c r="D846" i="1"/>
  <c r="B846" i="1"/>
  <c r="O845" i="1"/>
  <c r="N845" i="1"/>
  <c r="M845" i="1"/>
  <c r="F845" i="1"/>
  <c r="D845" i="1"/>
  <c r="B845" i="1"/>
  <c r="O844" i="1"/>
  <c r="N844" i="1"/>
  <c r="M844" i="1"/>
  <c r="F844" i="1"/>
  <c r="D844" i="1"/>
  <c r="B844" i="1"/>
  <c r="O843" i="1"/>
  <c r="N843" i="1"/>
  <c r="M843" i="1"/>
  <c r="F843" i="1"/>
  <c r="D843" i="1"/>
  <c r="B843" i="1"/>
  <c r="O842" i="1"/>
  <c r="N842" i="1"/>
  <c r="M842" i="1"/>
  <c r="F842" i="1"/>
  <c r="D842" i="1"/>
  <c r="B842" i="1"/>
  <c r="O841" i="1"/>
  <c r="N841" i="1"/>
  <c r="M841" i="1"/>
  <c r="F841" i="1"/>
  <c r="D841" i="1"/>
  <c r="B841" i="1"/>
  <c r="O840" i="1"/>
  <c r="N840" i="1"/>
  <c r="M840" i="1"/>
  <c r="F840" i="1"/>
  <c r="D840" i="1"/>
  <c r="B840" i="1"/>
  <c r="O839" i="1"/>
  <c r="N839" i="1"/>
  <c r="M839" i="1"/>
  <c r="F839" i="1"/>
  <c r="D839" i="1"/>
  <c r="B839" i="1"/>
  <c r="O838" i="1"/>
  <c r="N838" i="1"/>
  <c r="M838" i="1"/>
  <c r="F838" i="1"/>
  <c r="D838" i="1"/>
  <c r="B838" i="1"/>
  <c r="O837" i="1"/>
  <c r="N837" i="1"/>
  <c r="M837" i="1"/>
  <c r="F837" i="1"/>
  <c r="D837" i="1"/>
  <c r="B837" i="1"/>
  <c r="O836" i="1"/>
  <c r="N836" i="1"/>
  <c r="M836" i="1"/>
  <c r="F836" i="1"/>
  <c r="D836" i="1"/>
  <c r="B836" i="1"/>
  <c r="O835" i="1"/>
  <c r="N835" i="1"/>
  <c r="M835" i="1"/>
  <c r="F835" i="1"/>
  <c r="D835" i="1"/>
  <c r="B835" i="1"/>
  <c r="O834" i="1"/>
  <c r="N834" i="1"/>
  <c r="M834" i="1"/>
  <c r="F834" i="1"/>
  <c r="D834" i="1"/>
  <c r="B834" i="1"/>
  <c r="O833" i="1"/>
  <c r="N833" i="1"/>
  <c r="M833" i="1"/>
  <c r="F833" i="1"/>
  <c r="D833" i="1"/>
  <c r="B833" i="1"/>
  <c r="O832" i="1"/>
  <c r="N832" i="1"/>
  <c r="M832" i="1"/>
  <c r="F832" i="1"/>
  <c r="D832" i="1"/>
  <c r="B832" i="1"/>
  <c r="O831" i="1"/>
  <c r="N831" i="1"/>
  <c r="M831" i="1"/>
  <c r="F831" i="1"/>
  <c r="D831" i="1"/>
  <c r="B831" i="1"/>
  <c r="O830" i="1"/>
  <c r="N830" i="1"/>
  <c r="M830" i="1"/>
  <c r="F830" i="1"/>
  <c r="D830" i="1"/>
  <c r="B830" i="1"/>
  <c r="O829" i="1"/>
  <c r="N829" i="1"/>
  <c r="M829" i="1"/>
  <c r="F829" i="1"/>
  <c r="D829" i="1"/>
  <c r="B829" i="1"/>
  <c r="O828" i="1"/>
  <c r="N828" i="1"/>
  <c r="M828" i="1"/>
  <c r="F828" i="1"/>
  <c r="D828" i="1"/>
  <c r="B828" i="1"/>
  <c r="O827" i="1"/>
  <c r="N827" i="1"/>
  <c r="M827" i="1"/>
  <c r="F827" i="1"/>
  <c r="D827" i="1"/>
  <c r="B827" i="1"/>
  <c r="O826" i="1"/>
  <c r="N826" i="1"/>
  <c r="M826" i="1"/>
  <c r="F826" i="1"/>
  <c r="D826" i="1"/>
  <c r="B826" i="1"/>
  <c r="O825" i="1"/>
  <c r="N825" i="1"/>
  <c r="M825" i="1"/>
  <c r="F825" i="1"/>
  <c r="D825" i="1"/>
  <c r="B825" i="1"/>
  <c r="O824" i="1"/>
  <c r="N824" i="1"/>
  <c r="M824" i="1"/>
  <c r="F824" i="1"/>
  <c r="D824" i="1"/>
  <c r="B824" i="1"/>
  <c r="O823" i="1"/>
  <c r="N823" i="1"/>
  <c r="M823" i="1"/>
  <c r="F823" i="1"/>
  <c r="D823" i="1"/>
  <c r="B823" i="1"/>
  <c r="O822" i="1"/>
  <c r="N822" i="1"/>
  <c r="M822" i="1"/>
  <c r="F822" i="1"/>
  <c r="D822" i="1"/>
  <c r="B822" i="1"/>
  <c r="O821" i="1"/>
  <c r="N821" i="1"/>
  <c r="M821" i="1"/>
  <c r="F821" i="1"/>
  <c r="D821" i="1"/>
  <c r="B821" i="1"/>
  <c r="O820" i="1"/>
  <c r="N820" i="1"/>
  <c r="M820" i="1"/>
  <c r="F820" i="1"/>
  <c r="D820" i="1"/>
  <c r="B820" i="1"/>
  <c r="O819" i="1"/>
  <c r="N819" i="1"/>
  <c r="M819" i="1"/>
  <c r="F819" i="1"/>
  <c r="D819" i="1"/>
  <c r="B819" i="1"/>
  <c r="O818" i="1"/>
  <c r="N818" i="1"/>
  <c r="M818" i="1"/>
  <c r="F818" i="1"/>
  <c r="D818" i="1"/>
  <c r="B818" i="1"/>
  <c r="O817" i="1"/>
  <c r="N817" i="1"/>
  <c r="M817" i="1"/>
  <c r="F817" i="1"/>
  <c r="D817" i="1"/>
  <c r="B817" i="1"/>
  <c r="O816" i="1"/>
  <c r="N816" i="1"/>
  <c r="M816" i="1"/>
  <c r="F816" i="1"/>
  <c r="D816" i="1"/>
  <c r="B816" i="1"/>
  <c r="O815" i="1"/>
  <c r="N815" i="1"/>
  <c r="M815" i="1"/>
  <c r="F815" i="1"/>
  <c r="D815" i="1"/>
  <c r="B815" i="1"/>
  <c r="O814" i="1"/>
  <c r="N814" i="1"/>
  <c r="M814" i="1"/>
  <c r="F814" i="1"/>
  <c r="D814" i="1"/>
  <c r="B814" i="1"/>
  <c r="O813" i="1"/>
  <c r="N813" i="1"/>
  <c r="M813" i="1"/>
  <c r="F813" i="1"/>
  <c r="D813" i="1"/>
  <c r="B813" i="1"/>
  <c r="O812" i="1"/>
  <c r="N812" i="1"/>
  <c r="M812" i="1"/>
  <c r="F812" i="1"/>
  <c r="D812" i="1"/>
  <c r="B812" i="1"/>
  <c r="O811" i="1"/>
  <c r="N811" i="1"/>
  <c r="M811" i="1"/>
  <c r="F811" i="1"/>
  <c r="D811" i="1"/>
  <c r="B811" i="1"/>
  <c r="O810" i="1"/>
  <c r="N810" i="1"/>
  <c r="M810" i="1"/>
  <c r="F810" i="1"/>
  <c r="D810" i="1"/>
  <c r="B810" i="1"/>
  <c r="O809" i="1"/>
  <c r="N809" i="1"/>
  <c r="M809" i="1"/>
  <c r="F809" i="1"/>
  <c r="D809" i="1"/>
  <c r="B809" i="1"/>
  <c r="O808" i="1"/>
  <c r="N808" i="1"/>
  <c r="M808" i="1"/>
  <c r="F808" i="1"/>
  <c r="D808" i="1"/>
  <c r="B808" i="1"/>
  <c r="O807" i="1"/>
  <c r="N807" i="1"/>
  <c r="M807" i="1"/>
  <c r="F807" i="1"/>
  <c r="D807" i="1"/>
  <c r="B807" i="1"/>
  <c r="O806" i="1"/>
  <c r="N806" i="1"/>
  <c r="M806" i="1"/>
  <c r="F806" i="1"/>
  <c r="D806" i="1"/>
  <c r="B806" i="1"/>
  <c r="O805" i="1"/>
  <c r="N805" i="1"/>
  <c r="M805" i="1"/>
  <c r="F805" i="1"/>
  <c r="D805" i="1"/>
  <c r="B805" i="1"/>
  <c r="O804" i="1"/>
  <c r="N804" i="1"/>
  <c r="M804" i="1"/>
  <c r="F804" i="1"/>
  <c r="D804" i="1"/>
  <c r="B804" i="1"/>
  <c r="O803" i="1"/>
  <c r="N803" i="1"/>
  <c r="M803" i="1"/>
  <c r="F803" i="1"/>
  <c r="D803" i="1"/>
  <c r="B803" i="1"/>
  <c r="O802" i="1"/>
  <c r="N802" i="1"/>
  <c r="M802" i="1"/>
  <c r="F802" i="1"/>
  <c r="D802" i="1"/>
  <c r="B802" i="1"/>
  <c r="O801" i="1"/>
  <c r="N801" i="1"/>
  <c r="M801" i="1"/>
  <c r="F801" i="1"/>
  <c r="D801" i="1"/>
  <c r="B801" i="1"/>
  <c r="O800" i="1"/>
  <c r="N800" i="1"/>
  <c r="M800" i="1"/>
  <c r="F800" i="1"/>
  <c r="D800" i="1"/>
  <c r="B800" i="1"/>
  <c r="O799" i="1"/>
  <c r="N799" i="1"/>
  <c r="M799" i="1"/>
  <c r="F799" i="1"/>
  <c r="D799" i="1"/>
  <c r="B799" i="1"/>
  <c r="O798" i="1"/>
  <c r="N798" i="1"/>
  <c r="M798" i="1"/>
  <c r="F798" i="1"/>
  <c r="D798" i="1"/>
  <c r="B798" i="1"/>
  <c r="O797" i="1"/>
  <c r="N797" i="1"/>
  <c r="M797" i="1"/>
  <c r="F797" i="1"/>
  <c r="D797" i="1"/>
  <c r="B797" i="1"/>
  <c r="O796" i="1"/>
  <c r="N796" i="1"/>
  <c r="M796" i="1"/>
  <c r="F796" i="1"/>
  <c r="D796" i="1"/>
  <c r="B796" i="1"/>
  <c r="O795" i="1"/>
  <c r="N795" i="1"/>
  <c r="M795" i="1"/>
  <c r="F795" i="1"/>
  <c r="D795" i="1"/>
  <c r="B795" i="1"/>
  <c r="O794" i="1"/>
  <c r="N794" i="1"/>
  <c r="M794" i="1"/>
  <c r="F794" i="1"/>
  <c r="D794" i="1"/>
  <c r="B794" i="1"/>
  <c r="O793" i="1"/>
  <c r="N793" i="1"/>
  <c r="M793" i="1"/>
  <c r="F793" i="1"/>
  <c r="D793" i="1"/>
  <c r="B793" i="1"/>
  <c r="O792" i="1"/>
  <c r="N792" i="1"/>
  <c r="M792" i="1"/>
  <c r="F792" i="1"/>
  <c r="D792" i="1"/>
  <c r="B792" i="1"/>
  <c r="O791" i="1"/>
  <c r="N791" i="1"/>
  <c r="M791" i="1"/>
  <c r="F791" i="1"/>
  <c r="D791" i="1"/>
  <c r="B791" i="1"/>
  <c r="O790" i="1"/>
  <c r="N790" i="1"/>
  <c r="M790" i="1"/>
  <c r="F790" i="1"/>
  <c r="D790" i="1"/>
  <c r="B790" i="1"/>
  <c r="O789" i="1"/>
  <c r="N789" i="1"/>
  <c r="M789" i="1"/>
  <c r="F789" i="1"/>
  <c r="D789" i="1"/>
  <c r="B789" i="1"/>
  <c r="O788" i="1"/>
  <c r="N788" i="1"/>
  <c r="M788" i="1"/>
  <c r="F788" i="1"/>
  <c r="D788" i="1"/>
  <c r="B788" i="1"/>
  <c r="O787" i="1"/>
  <c r="N787" i="1"/>
  <c r="M787" i="1"/>
  <c r="F787" i="1"/>
  <c r="D787" i="1"/>
  <c r="B787" i="1"/>
  <c r="O786" i="1"/>
  <c r="N786" i="1"/>
  <c r="M786" i="1"/>
  <c r="F786" i="1"/>
  <c r="D786" i="1"/>
  <c r="B786" i="1"/>
  <c r="O785" i="1"/>
  <c r="N785" i="1"/>
  <c r="M785" i="1"/>
  <c r="F785" i="1"/>
  <c r="D785" i="1"/>
  <c r="B785" i="1"/>
  <c r="O784" i="1"/>
  <c r="N784" i="1"/>
  <c r="M784" i="1"/>
  <c r="F784" i="1"/>
  <c r="D784" i="1"/>
  <c r="B784" i="1"/>
  <c r="O783" i="1"/>
  <c r="N783" i="1"/>
  <c r="M783" i="1"/>
  <c r="F783" i="1"/>
  <c r="D783" i="1"/>
  <c r="B783" i="1"/>
  <c r="O782" i="1"/>
  <c r="N782" i="1"/>
  <c r="M782" i="1"/>
  <c r="F782" i="1"/>
  <c r="D782" i="1"/>
  <c r="B782" i="1"/>
  <c r="O781" i="1"/>
  <c r="N781" i="1"/>
  <c r="M781" i="1"/>
  <c r="F781" i="1"/>
  <c r="D781" i="1"/>
  <c r="B781" i="1"/>
  <c r="O780" i="1"/>
  <c r="N780" i="1"/>
  <c r="M780" i="1"/>
  <c r="F780" i="1"/>
  <c r="D780" i="1"/>
  <c r="B780" i="1"/>
  <c r="O779" i="1"/>
  <c r="N779" i="1"/>
  <c r="M779" i="1"/>
  <c r="F779" i="1"/>
  <c r="D779" i="1"/>
  <c r="B779" i="1"/>
  <c r="O778" i="1"/>
  <c r="N778" i="1"/>
  <c r="M778" i="1"/>
  <c r="F778" i="1"/>
  <c r="D778" i="1"/>
  <c r="B778" i="1"/>
  <c r="O777" i="1"/>
  <c r="N777" i="1"/>
  <c r="M777" i="1"/>
  <c r="F777" i="1"/>
  <c r="D777" i="1"/>
  <c r="B777" i="1"/>
  <c r="O776" i="1"/>
  <c r="N776" i="1"/>
  <c r="M776" i="1"/>
  <c r="F776" i="1"/>
  <c r="D776" i="1"/>
  <c r="B776" i="1"/>
  <c r="O775" i="1"/>
  <c r="N775" i="1"/>
  <c r="M775" i="1"/>
  <c r="F775" i="1"/>
  <c r="D775" i="1"/>
  <c r="B775" i="1"/>
  <c r="O774" i="1"/>
  <c r="N774" i="1"/>
  <c r="M774" i="1"/>
  <c r="F774" i="1"/>
  <c r="D774" i="1"/>
  <c r="B774" i="1"/>
  <c r="O773" i="1"/>
  <c r="N773" i="1"/>
  <c r="M773" i="1"/>
  <c r="F773" i="1"/>
  <c r="D773" i="1"/>
  <c r="B773" i="1"/>
  <c r="O772" i="1"/>
  <c r="N772" i="1"/>
  <c r="M772" i="1"/>
  <c r="F772" i="1"/>
  <c r="D772" i="1"/>
  <c r="B772" i="1"/>
  <c r="O771" i="1"/>
  <c r="N771" i="1"/>
  <c r="M771" i="1"/>
  <c r="F771" i="1"/>
  <c r="D771" i="1"/>
  <c r="B771" i="1"/>
  <c r="O770" i="1"/>
  <c r="N770" i="1"/>
  <c r="M770" i="1"/>
  <c r="F770" i="1"/>
  <c r="D770" i="1"/>
  <c r="B770" i="1"/>
  <c r="O769" i="1"/>
  <c r="N769" i="1"/>
  <c r="M769" i="1"/>
  <c r="F769" i="1"/>
  <c r="D769" i="1"/>
  <c r="B769" i="1"/>
  <c r="O768" i="1"/>
  <c r="N768" i="1"/>
  <c r="M768" i="1"/>
  <c r="F768" i="1"/>
  <c r="D768" i="1"/>
  <c r="B768" i="1"/>
  <c r="O767" i="1"/>
  <c r="N767" i="1"/>
  <c r="M767" i="1"/>
  <c r="F767" i="1"/>
  <c r="D767" i="1"/>
  <c r="B767" i="1"/>
  <c r="O766" i="1"/>
  <c r="N766" i="1"/>
  <c r="M766" i="1"/>
  <c r="F766" i="1"/>
  <c r="D766" i="1"/>
  <c r="B766" i="1"/>
  <c r="O765" i="1"/>
  <c r="N765" i="1"/>
  <c r="M765" i="1"/>
  <c r="F765" i="1"/>
  <c r="D765" i="1"/>
  <c r="B765" i="1"/>
  <c r="O764" i="1"/>
  <c r="N764" i="1"/>
  <c r="M764" i="1"/>
  <c r="F764" i="1"/>
  <c r="D764" i="1"/>
  <c r="B764" i="1"/>
  <c r="O763" i="1"/>
  <c r="N763" i="1"/>
  <c r="M763" i="1"/>
  <c r="F763" i="1"/>
  <c r="D763" i="1"/>
  <c r="B763" i="1"/>
  <c r="O762" i="1"/>
  <c r="N762" i="1"/>
  <c r="M762" i="1"/>
  <c r="F762" i="1"/>
  <c r="D762" i="1"/>
  <c r="B762" i="1"/>
  <c r="O761" i="1"/>
  <c r="N761" i="1"/>
  <c r="M761" i="1"/>
  <c r="F761" i="1"/>
  <c r="D761" i="1"/>
  <c r="B761" i="1"/>
  <c r="O760" i="1"/>
  <c r="N760" i="1"/>
  <c r="M760" i="1"/>
  <c r="F760" i="1"/>
  <c r="D760" i="1"/>
  <c r="B760" i="1"/>
  <c r="O759" i="1"/>
  <c r="N759" i="1"/>
  <c r="M759" i="1"/>
  <c r="F759" i="1"/>
  <c r="D759" i="1"/>
  <c r="B759" i="1"/>
  <c r="O758" i="1"/>
  <c r="N758" i="1"/>
  <c r="M758" i="1"/>
  <c r="F758" i="1"/>
  <c r="D758" i="1"/>
  <c r="B758" i="1"/>
  <c r="O757" i="1"/>
  <c r="N757" i="1"/>
  <c r="M757" i="1"/>
  <c r="F757" i="1"/>
  <c r="D757" i="1"/>
  <c r="B757" i="1"/>
  <c r="O756" i="1"/>
  <c r="N756" i="1"/>
  <c r="M756" i="1"/>
  <c r="F756" i="1"/>
  <c r="D756" i="1"/>
  <c r="B756" i="1"/>
  <c r="O755" i="1"/>
  <c r="N755" i="1"/>
  <c r="M755" i="1"/>
  <c r="F755" i="1"/>
  <c r="D755" i="1"/>
  <c r="B755" i="1"/>
  <c r="O754" i="1"/>
  <c r="N754" i="1"/>
  <c r="M754" i="1"/>
  <c r="F754" i="1"/>
  <c r="D754" i="1"/>
  <c r="B754" i="1"/>
  <c r="O753" i="1"/>
  <c r="N753" i="1"/>
  <c r="M753" i="1"/>
  <c r="F753" i="1"/>
  <c r="D753" i="1"/>
  <c r="B753" i="1"/>
  <c r="O752" i="1"/>
  <c r="N752" i="1"/>
  <c r="M752" i="1"/>
  <c r="F752" i="1"/>
  <c r="D752" i="1"/>
  <c r="B752" i="1"/>
  <c r="O751" i="1"/>
  <c r="N751" i="1"/>
  <c r="M751" i="1"/>
  <c r="F751" i="1"/>
  <c r="D751" i="1"/>
  <c r="B751" i="1"/>
  <c r="O750" i="1"/>
  <c r="N750" i="1"/>
  <c r="M750" i="1"/>
  <c r="F750" i="1"/>
  <c r="D750" i="1"/>
  <c r="B750" i="1"/>
  <c r="O749" i="1"/>
  <c r="N749" i="1"/>
  <c r="M749" i="1"/>
  <c r="F749" i="1"/>
  <c r="D749" i="1"/>
  <c r="B749" i="1"/>
  <c r="O748" i="1"/>
  <c r="N748" i="1"/>
  <c r="M748" i="1"/>
  <c r="F748" i="1"/>
  <c r="D748" i="1"/>
  <c r="B748" i="1"/>
  <c r="O747" i="1"/>
  <c r="N747" i="1"/>
  <c r="M747" i="1"/>
  <c r="F747" i="1"/>
  <c r="D747" i="1"/>
  <c r="B747" i="1"/>
  <c r="O746" i="1"/>
  <c r="N746" i="1"/>
  <c r="M746" i="1"/>
  <c r="F746" i="1"/>
  <c r="D746" i="1"/>
  <c r="B746" i="1"/>
  <c r="O745" i="1"/>
  <c r="N745" i="1"/>
  <c r="M745" i="1"/>
  <c r="F745" i="1"/>
  <c r="D745" i="1"/>
  <c r="B745" i="1"/>
  <c r="O744" i="1"/>
  <c r="N744" i="1"/>
  <c r="M744" i="1"/>
  <c r="F744" i="1"/>
  <c r="D744" i="1"/>
  <c r="B744" i="1"/>
  <c r="O743" i="1"/>
  <c r="N743" i="1"/>
  <c r="M743" i="1"/>
  <c r="F743" i="1"/>
  <c r="D743" i="1"/>
  <c r="B743" i="1"/>
  <c r="O742" i="1"/>
  <c r="N742" i="1"/>
  <c r="M742" i="1"/>
  <c r="F742" i="1"/>
  <c r="D742" i="1"/>
  <c r="B742" i="1"/>
  <c r="O741" i="1"/>
  <c r="N741" i="1"/>
  <c r="M741" i="1"/>
  <c r="F741" i="1"/>
  <c r="D741" i="1"/>
  <c r="B741" i="1"/>
  <c r="O740" i="1"/>
  <c r="N740" i="1"/>
  <c r="M740" i="1"/>
  <c r="F740" i="1"/>
  <c r="D740" i="1"/>
  <c r="B740" i="1"/>
  <c r="O739" i="1"/>
  <c r="N739" i="1"/>
  <c r="M739" i="1"/>
  <c r="F739" i="1"/>
  <c r="D739" i="1"/>
  <c r="B739" i="1"/>
  <c r="O738" i="1"/>
  <c r="N738" i="1"/>
  <c r="M738" i="1"/>
  <c r="F738" i="1"/>
  <c r="D738" i="1"/>
  <c r="B738" i="1"/>
  <c r="O737" i="1"/>
  <c r="N737" i="1"/>
  <c r="M737" i="1"/>
  <c r="F737" i="1"/>
  <c r="D737" i="1"/>
  <c r="B737" i="1"/>
  <c r="O736" i="1"/>
  <c r="N736" i="1"/>
  <c r="M736" i="1"/>
  <c r="F736" i="1"/>
  <c r="D736" i="1"/>
  <c r="B736" i="1"/>
  <c r="O735" i="1"/>
  <c r="N735" i="1"/>
  <c r="M735" i="1"/>
  <c r="F735" i="1"/>
  <c r="D735" i="1"/>
  <c r="B735" i="1"/>
  <c r="O734" i="1"/>
  <c r="N734" i="1"/>
  <c r="M734" i="1"/>
  <c r="F734" i="1"/>
  <c r="D734" i="1"/>
  <c r="B734" i="1"/>
  <c r="O733" i="1"/>
  <c r="N733" i="1"/>
  <c r="M733" i="1"/>
  <c r="F733" i="1"/>
  <c r="D733" i="1"/>
  <c r="B733" i="1"/>
  <c r="O732" i="1"/>
  <c r="N732" i="1"/>
  <c r="M732" i="1"/>
  <c r="F732" i="1"/>
  <c r="D732" i="1"/>
  <c r="B732" i="1"/>
  <c r="O731" i="1"/>
  <c r="N731" i="1"/>
  <c r="M731" i="1"/>
  <c r="F731" i="1"/>
  <c r="D731" i="1"/>
  <c r="B731" i="1"/>
  <c r="O730" i="1"/>
  <c r="N730" i="1"/>
  <c r="M730" i="1"/>
  <c r="F730" i="1"/>
  <c r="D730" i="1"/>
  <c r="B730" i="1"/>
  <c r="O729" i="1"/>
  <c r="N729" i="1"/>
  <c r="M729" i="1"/>
  <c r="F729" i="1"/>
  <c r="D729" i="1"/>
  <c r="B729" i="1"/>
  <c r="O728" i="1"/>
  <c r="N728" i="1"/>
  <c r="M728" i="1"/>
  <c r="F728" i="1"/>
  <c r="D728" i="1"/>
  <c r="B728" i="1"/>
  <c r="O727" i="1"/>
  <c r="N727" i="1"/>
  <c r="M727" i="1"/>
  <c r="F727" i="1"/>
  <c r="D727" i="1"/>
  <c r="B727" i="1"/>
  <c r="O726" i="1"/>
  <c r="N726" i="1"/>
  <c r="M726" i="1"/>
  <c r="F726" i="1"/>
  <c r="D726" i="1"/>
  <c r="B726" i="1"/>
  <c r="O725" i="1"/>
  <c r="N725" i="1"/>
  <c r="M725" i="1"/>
  <c r="F725" i="1"/>
  <c r="D725" i="1"/>
  <c r="B725" i="1"/>
  <c r="O724" i="1"/>
  <c r="N724" i="1"/>
  <c r="M724" i="1"/>
  <c r="F724" i="1"/>
  <c r="D724" i="1"/>
  <c r="B724" i="1"/>
  <c r="O723" i="1"/>
  <c r="N723" i="1"/>
  <c r="M723" i="1"/>
  <c r="F723" i="1"/>
  <c r="D723" i="1"/>
  <c r="B723" i="1"/>
  <c r="O722" i="1"/>
  <c r="N722" i="1"/>
  <c r="M722" i="1"/>
  <c r="F722" i="1"/>
  <c r="D722" i="1"/>
  <c r="B722" i="1"/>
  <c r="O721" i="1"/>
  <c r="N721" i="1"/>
  <c r="M721" i="1"/>
  <c r="F721" i="1"/>
  <c r="D721" i="1"/>
  <c r="B721" i="1"/>
  <c r="O720" i="1"/>
  <c r="N720" i="1"/>
  <c r="M720" i="1"/>
  <c r="F720" i="1"/>
  <c r="D720" i="1"/>
  <c r="B720" i="1"/>
  <c r="O719" i="1"/>
  <c r="N719" i="1"/>
  <c r="M719" i="1"/>
  <c r="F719" i="1"/>
  <c r="D719" i="1"/>
  <c r="B719" i="1"/>
  <c r="O718" i="1"/>
  <c r="N718" i="1"/>
  <c r="M718" i="1"/>
  <c r="F718" i="1"/>
  <c r="D718" i="1"/>
  <c r="B718" i="1"/>
  <c r="O717" i="1"/>
  <c r="N717" i="1"/>
  <c r="M717" i="1"/>
  <c r="F717" i="1"/>
  <c r="D717" i="1"/>
  <c r="B717" i="1"/>
  <c r="O716" i="1"/>
  <c r="N716" i="1"/>
  <c r="M716" i="1"/>
  <c r="F716" i="1"/>
  <c r="D716" i="1"/>
  <c r="B716" i="1"/>
  <c r="O715" i="1"/>
  <c r="N715" i="1"/>
  <c r="M715" i="1"/>
  <c r="F715" i="1"/>
  <c r="D715" i="1"/>
  <c r="B715" i="1"/>
  <c r="O714" i="1"/>
  <c r="N714" i="1"/>
  <c r="M714" i="1"/>
  <c r="F714" i="1"/>
  <c r="D714" i="1"/>
  <c r="B714" i="1"/>
  <c r="O713" i="1"/>
  <c r="N713" i="1"/>
  <c r="M713" i="1"/>
  <c r="F713" i="1"/>
  <c r="D713" i="1"/>
  <c r="B713" i="1"/>
  <c r="O712" i="1"/>
  <c r="N712" i="1"/>
  <c r="M712" i="1"/>
  <c r="F712" i="1"/>
  <c r="D712" i="1"/>
  <c r="B712" i="1"/>
  <c r="O711" i="1"/>
  <c r="N711" i="1"/>
  <c r="M711" i="1"/>
  <c r="F711" i="1"/>
  <c r="D711" i="1"/>
  <c r="B711" i="1"/>
  <c r="O710" i="1"/>
  <c r="N710" i="1"/>
  <c r="M710" i="1"/>
  <c r="F710" i="1"/>
  <c r="D710" i="1"/>
  <c r="B710" i="1"/>
  <c r="O709" i="1"/>
  <c r="N709" i="1"/>
  <c r="M709" i="1"/>
  <c r="F709" i="1"/>
  <c r="D709" i="1"/>
  <c r="B709" i="1"/>
  <c r="O708" i="1"/>
  <c r="N708" i="1"/>
  <c r="M708" i="1"/>
  <c r="F708" i="1"/>
  <c r="D708" i="1"/>
  <c r="B708" i="1"/>
  <c r="O707" i="1"/>
  <c r="N707" i="1"/>
  <c r="M707" i="1"/>
  <c r="F707" i="1"/>
  <c r="D707" i="1"/>
  <c r="B707" i="1"/>
  <c r="O706" i="1"/>
  <c r="N706" i="1"/>
  <c r="M706" i="1"/>
  <c r="F706" i="1"/>
  <c r="D706" i="1"/>
  <c r="B706" i="1"/>
  <c r="O705" i="1"/>
  <c r="N705" i="1"/>
  <c r="M705" i="1"/>
  <c r="F705" i="1"/>
  <c r="D705" i="1"/>
  <c r="B705" i="1"/>
  <c r="O704" i="1"/>
  <c r="N704" i="1"/>
  <c r="M704" i="1"/>
  <c r="F704" i="1"/>
  <c r="D704" i="1"/>
  <c r="B704" i="1"/>
  <c r="O703" i="1"/>
  <c r="N703" i="1"/>
  <c r="M703" i="1"/>
  <c r="F703" i="1"/>
  <c r="D703" i="1"/>
  <c r="B703" i="1"/>
  <c r="O702" i="1"/>
  <c r="N702" i="1"/>
  <c r="M702" i="1"/>
  <c r="F702" i="1"/>
  <c r="D702" i="1"/>
  <c r="B702" i="1"/>
  <c r="O701" i="1"/>
  <c r="N701" i="1"/>
  <c r="M701" i="1"/>
  <c r="F701" i="1"/>
  <c r="D701" i="1"/>
  <c r="B701" i="1"/>
  <c r="O700" i="1"/>
  <c r="N700" i="1"/>
  <c r="M700" i="1"/>
  <c r="F700" i="1"/>
  <c r="D700" i="1"/>
  <c r="B700" i="1"/>
  <c r="O699" i="1"/>
  <c r="N699" i="1"/>
  <c r="M699" i="1"/>
  <c r="F699" i="1"/>
  <c r="D699" i="1"/>
  <c r="B699" i="1"/>
  <c r="O698" i="1"/>
  <c r="N698" i="1"/>
  <c r="M698" i="1"/>
  <c r="F698" i="1"/>
  <c r="D698" i="1"/>
  <c r="B698" i="1"/>
  <c r="O697" i="1"/>
  <c r="N697" i="1"/>
  <c r="M697" i="1"/>
  <c r="F697" i="1"/>
  <c r="D697" i="1"/>
  <c r="B697" i="1"/>
  <c r="O696" i="1"/>
  <c r="N696" i="1"/>
  <c r="M696" i="1"/>
  <c r="F696" i="1"/>
  <c r="D696" i="1"/>
  <c r="B696" i="1"/>
  <c r="O695" i="1"/>
  <c r="N695" i="1"/>
  <c r="M695" i="1"/>
  <c r="F695" i="1"/>
  <c r="D695" i="1"/>
  <c r="B695" i="1"/>
  <c r="O694" i="1"/>
  <c r="N694" i="1"/>
  <c r="M694" i="1"/>
  <c r="F694" i="1"/>
  <c r="D694" i="1"/>
  <c r="B694" i="1"/>
  <c r="O693" i="1"/>
  <c r="N693" i="1"/>
  <c r="M693" i="1"/>
  <c r="F693" i="1"/>
  <c r="D693" i="1"/>
  <c r="B693" i="1"/>
  <c r="O692" i="1"/>
  <c r="N692" i="1"/>
  <c r="M692" i="1"/>
  <c r="F692" i="1"/>
  <c r="D692" i="1"/>
  <c r="B692" i="1"/>
  <c r="O691" i="1"/>
  <c r="N691" i="1"/>
  <c r="M691" i="1"/>
  <c r="F691" i="1"/>
  <c r="D691" i="1"/>
  <c r="B691" i="1"/>
  <c r="O690" i="1"/>
  <c r="N690" i="1"/>
  <c r="M690" i="1"/>
  <c r="F690" i="1"/>
  <c r="D690" i="1"/>
  <c r="B690" i="1"/>
  <c r="O689" i="1"/>
  <c r="N689" i="1"/>
  <c r="M689" i="1"/>
  <c r="F689" i="1"/>
  <c r="D689" i="1"/>
  <c r="B689" i="1"/>
  <c r="O688" i="1"/>
  <c r="N688" i="1"/>
  <c r="M688" i="1"/>
  <c r="F688" i="1"/>
  <c r="D688" i="1"/>
  <c r="B688" i="1"/>
  <c r="O687" i="1"/>
  <c r="N687" i="1"/>
  <c r="M687" i="1"/>
  <c r="F687" i="1"/>
  <c r="D687" i="1"/>
  <c r="B687" i="1"/>
  <c r="O686" i="1"/>
  <c r="N686" i="1"/>
  <c r="M686" i="1"/>
  <c r="F686" i="1"/>
  <c r="D686" i="1"/>
  <c r="B686" i="1"/>
  <c r="O685" i="1"/>
  <c r="N685" i="1"/>
  <c r="M685" i="1"/>
  <c r="F685" i="1"/>
  <c r="D685" i="1"/>
  <c r="B685" i="1"/>
  <c r="O684" i="1"/>
  <c r="N684" i="1"/>
  <c r="M684" i="1"/>
  <c r="F684" i="1"/>
  <c r="D684" i="1"/>
  <c r="B684" i="1"/>
  <c r="O683" i="1"/>
  <c r="N683" i="1"/>
  <c r="M683" i="1"/>
  <c r="F683" i="1"/>
  <c r="D683" i="1"/>
  <c r="B683" i="1"/>
  <c r="O682" i="1"/>
  <c r="N682" i="1"/>
  <c r="M682" i="1"/>
  <c r="F682" i="1"/>
  <c r="D682" i="1"/>
  <c r="B682" i="1"/>
  <c r="O681" i="1"/>
  <c r="N681" i="1"/>
  <c r="M681" i="1"/>
  <c r="F681" i="1"/>
  <c r="D681" i="1"/>
  <c r="B681" i="1"/>
  <c r="O680" i="1"/>
  <c r="N680" i="1"/>
  <c r="M680" i="1"/>
  <c r="F680" i="1"/>
  <c r="D680" i="1"/>
  <c r="B680" i="1"/>
  <c r="O679" i="1"/>
  <c r="N679" i="1"/>
  <c r="M679" i="1"/>
  <c r="F679" i="1"/>
  <c r="D679" i="1"/>
  <c r="B679" i="1"/>
  <c r="O678" i="1"/>
  <c r="N678" i="1"/>
  <c r="M678" i="1"/>
  <c r="F678" i="1"/>
  <c r="D678" i="1"/>
  <c r="B678" i="1"/>
  <c r="O677" i="1"/>
  <c r="N677" i="1"/>
  <c r="M677" i="1"/>
  <c r="F677" i="1"/>
  <c r="D677" i="1"/>
  <c r="B677" i="1"/>
  <c r="O676" i="1"/>
  <c r="N676" i="1"/>
  <c r="M676" i="1"/>
  <c r="F676" i="1"/>
  <c r="D676" i="1"/>
  <c r="B676" i="1"/>
  <c r="O675" i="1"/>
  <c r="N675" i="1"/>
  <c r="M675" i="1"/>
  <c r="F675" i="1"/>
  <c r="D675" i="1"/>
  <c r="B675" i="1"/>
  <c r="O674" i="1"/>
  <c r="N674" i="1"/>
  <c r="M674" i="1"/>
  <c r="F674" i="1"/>
  <c r="D674" i="1"/>
  <c r="B674" i="1"/>
  <c r="O673" i="1"/>
  <c r="N673" i="1"/>
  <c r="M673" i="1"/>
  <c r="F673" i="1"/>
  <c r="D673" i="1"/>
  <c r="B673" i="1"/>
  <c r="O672" i="1"/>
  <c r="N672" i="1"/>
  <c r="M672" i="1"/>
  <c r="F672" i="1"/>
  <c r="D672" i="1"/>
  <c r="B672" i="1"/>
  <c r="O671" i="1"/>
  <c r="N671" i="1"/>
  <c r="M671" i="1"/>
  <c r="F671" i="1"/>
  <c r="D671" i="1"/>
  <c r="B671" i="1"/>
  <c r="O670" i="1"/>
  <c r="N670" i="1"/>
  <c r="M670" i="1"/>
  <c r="F670" i="1"/>
  <c r="D670" i="1"/>
  <c r="B670" i="1"/>
  <c r="O669" i="1"/>
  <c r="N669" i="1"/>
  <c r="M669" i="1"/>
  <c r="F669" i="1"/>
  <c r="D669" i="1"/>
  <c r="B669" i="1"/>
  <c r="O668" i="1"/>
  <c r="N668" i="1"/>
  <c r="M668" i="1"/>
  <c r="F668" i="1"/>
  <c r="D668" i="1"/>
  <c r="B668" i="1"/>
  <c r="O667" i="1"/>
  <c r="N667" i="1"/>
  <c r="M667" i="1"/>
  <c r="F667" i="1"/>
  <c r="D667" i="1"/>
  <c r="B667" i="1"/>
  <c r="O666" i="1"/>
  <c r="N666" i="1"/>
  <c r="M666" i="1"/>
  <c r="F666" i="1"/>
  <c r="D666" i="1"/>
  <c r="B666" i="1"/>
  <c r="O665" i="1"/>
  <c r="N665" i="1"/>
  <c r="M665" i="1"/>
  <c r="F665" i="1"/>
  <c r="D665" i="1"/>
  <c r="B665" i="1"/>
  <c r="O664" i="1"/>
  <c r="N664" i="1"/>
  <c r="M664" i="1"/>
  <c r="F664" i="1"/>
  <c r="D664" i="1"/>
  <c r="B664" i="1"/>
  <c r="O663" i="1"/>
  <c r="N663" i="1"/>
  <c r="M663" i="1"/>
  <c r="F663" i="1"/>
  <c r="D663" i="1"/>
  <c r="B663" i="1"/>
  <c r="O662" i="1"/>
  <c r="N662" i="1"/>
  <c r="M662" i="1"/>
  <c r="F662" i="1"/>
  <c r="D662" i="1"/>
  <c r="B662" i="1"/>
  <c r="O661" i="1"/>
  <c r="N661" i="1"/>
  <c r="M661" i="1"/>
  <c r="F661" i="1"/>
  <c r="D661" i="1"/>
  <c r="B661" i="1"/>
  <c r="O660" i="1"/>
  <c r="N660" i="1"/>
  <c r="M660" i="1"/>
  <c r="F660" i="1"/>
  <c r="D660" i="1"/>
  <c r="B660" i="1"/>
  <c r="O659" i="1"/>
  <c r="N659" i="1"/>
  <c r="M659" i="1"/>
  <c r="F659" i="1"/>
  <c r="D659" i="1"/>
  <c r="B659" i="1"/>
  <c r="O658" i="1"/>
  <c r="N658" i="1"/>
  <c r="M658" i="1"/>
  <c r="F658" i="1"/>
  <c r="D658" i="1"/>
  <c r="B658" i="1"/>
  <c r="O657" i="1"/>
  <c r="N657" i="1"/>
  <c r="M657" i="1"/>
  <c r="F657" i="1"/>
  <c r="D657" i="1"/>
  <c r="B657" i="1"/>
  <c r="O656" i="1"/>
  <c r="N656" i="1"/>
  <c r="M656" i="1"/>
  <c r="F656" i="1"/>
  <c r="D656" i="1"/>
  <c r="B656" i="1"/>
  <c r="O655" i="1"/>
  <c r="N655" i="1"/>
  <c r="M655" i="1"/>
  <c r="F655" i="1"/>
  <c r="D655" i="1"/>
  <c r="B655" i="1"/>
  <c r="O654" i="1"/>
  <c r="N654" i="1"/>
  <c r="M654" i="1"/>
  <c r="F654" i="1"/>
  <c r="D654" i="1"/>
  <c r="B654" i="1"/>
  <c r="O653" i="1"/>
  <c r="N653" i="1"/>
  <c r="M653" i="1"/>
  <c r="F653" i="1"/>
  <c r="D653" i="1"/>
  <c r="B653" i="1"/>
  <c r="O652" i="1"/>
  <c r="N652" i="1"/>
  <c r="M652" i="1"/>
  <c r="F652" i="1"/>
  <c r="D652" i="1"/>
  <c r="B652" i="1"/>
  <c r="O651" i="1"/>
  <c r="N651" i="1"/>
  <c r="M651" i="1"/>
  <c r="F651" i="1"/>
  <c r="D651" i="1"/>
  <c r="B651" i="1"/>
  <c r="O650" i="1"/>
  <c r="N650" i="1"/>
  <c r="M650" i="1"/>
  <c r="F650" i="1"/>
  <c r="D650" i="1"/>
  <c r="B650" i="1"/>
  <c r="O649" i="1"/>
  <c r="N649" i="1"/>
  <c r="M649" i="1"/>
  <c r="F649" i="1"/>
  <c r="D649" i="1"/>
  <c r="B649" i="1"/>
  <c r="O648" i="1"/>
  <c r="N648" i="1"/>
  <c r="M648" i="1"/>
  <c r="F648" i="1"/>
  <c r="D648" i="1"/>
  <c r="B648" i="1"/>
  <c r="O647" i="1"/>
  <c r="N647" i="1"/>
  <c r="M647" i="1"/>
  <c r="F647" i="1"/>
  <c r="D647" i="1"/>
  <c r="B647" i="1"/>
  <c r="O646" i="1"/>
  <c r="N646" i="1"/>
  <c r="M646" i="1"/>
  <c r="F646" i="1"/>
  <c r="D646" i="1"/>
  <c r="B646" i="1"/>
  <c r="O645" i="1"/>
  <c r="N645" i="1"/>
  <c r="M645" i="1"/>
  <c r="F645" i="1"/>
  <c r="D645" i="1"/>
  <c r="B645" i="1"/>
  <c r="O644" i="1"/>
  <c r="N644" i="1"/>
  <c r="M644" i="1"/>
  <c r="F644" i="1"/>
  <c r="D644" i="1"/>
  <c r="B644" i="1"/>
  <c r="O643" i="1"/>
  <c r="N643" i="1"/>
  <c r="M643" i="1"/>
  <c r="F643" i="1"/>
  <c r="D643" i="1"/>
  <c r="B643" i="1"/>
  <c r="O642" i="1"/>
  <c r="N642" i="1"/>
  <c r="M642" i="1"/>
  <c r="F642" i="1"/>
  <c r="D642" i="1"/>
  <c r="B642" i="1"/>
  <c r="O641" i="1"/>
  <c r="N641" i="1"/>
  <c r="M641" i="1"/>
  <c r="F641" i="1"/>
  <c r="D641" i="1"/>
  <c r="B641" i="1"/>
  <c r="O640" i="1"/>
  <c r="N640" i="1"/>
  <c r="M640" i="1"/>
  <c r="F640" i="1"/>
  <c r="D640" i="1"/>
  <c r="B640" i="1"/>
  <c r="O639" i="1"/>
  <c r="N639" i="1"/>
  <c r="M639" i="1"/>
  <c r="F639" i="1"/>
  <c r="D639" i="1"/>
  <c r="B639" i="1"/>
  <c r="O638" i="1"/>
  <c r="N638" i="1"/>
  <c r="M638" i="1"/>
  <c r="F638" i="1"/>
  <c r="D638" i="1"/>
  <c r="B638" i="1"/>
  <c r="O637" i="1"/>
  <c r="N637" i="1"/>
  <c r="M637" i="1"/>
  <c r="F637" i="1"/>
  <c r="D637" i="1"/>
  <c r="B637" i="1"/>
  <c r="O636" i="1"/>
  <c r="N636" i="1"/>
  <c r="M636" i="1"/>
  <c r="F636" i="1"/>
  <c r="D636" i="1"/>
  <c r="B636" i="1"/>
  <c r="O635" i="1"/>
  <c r="N635" i="1"/>
  <c r="M635" i="1"/>
  <c r="F635" i="1"/>
  <c r="D635" i="1"/>
  <c r="B635" i="1"/>
  <c r="O634" i="1"/>
  <c r="N634" i="1"/>
  <c r="M634" i="1"/>
  <c r="F634" i="1"/>
  <c r="D634" i="1"/>
  <c r="B634" i="1"/>
  <c r="O633" i="1"/>
  <c r="N633" i="1"/>
  <c r="M633" i="1"/>
  <c r="F633" i="1"/>
  <c r="D633" i="1"/>
  <c r="B633" i="1"/>
  <c r="O632" i="1"/>
  <c r="N632" i="1"/>
  <c r="M632" i="1"/>
  <c r="F632" i="1"/>
  <c r="D632" i="1"/>
  <c r="B632" i="1"/>
  <c r="O631" i="1"/>
  <c r="N631" i="1"/>
  <c r="M631" i="1"/>
  <c r="F631" i="1"/>
  <c r="D631" i="1"/>
  <c r="B631" i="1"/>
  <c r="O630" i="1"/>
  <c r="N630" i="1"/>
  <c r="M630" i="1"/>
  <c r="F630" i="1"/>
  <c r="D630" i="1"/>
  <c r="B630" i="1"/>
  <c r="O629" i="1"/>
  <c r="N629" i="1"/>
  <c r="M629" i="1"/>
  <c r="F629" i="1"/>
  <c r="D629" i="1"/>
  <c r="B629" i="1"/>
  <c r="O628" i="1"/>
  <c r="N628" i="1"/>
  <c r="M628" i="1"/>
  <c r="F628" i="1"/>
  <c r="D628" i="1"/>
  <c r="B628" i="1"/>
  <c r="O627" i="1"/>
  <c r="N627" i="1"/>
  <c r="M627" i="1"/>
  <c r="F627" i="1"/>
  <c r="D627" i="1"/>
  <c r="B627" i="1"/>
  <c r="O626" i="1"/>
  <c r="N626" i="1"/>
  <c r="M626" i="1"/>
  <c r="F626" i="1"/>
  <c r="D626" i="1"/>
  <c r="B626" i="1"/>
  <c r="O625" i="1"/>
  <c r="N625" i="1"/>
  <c r="M625" i="1"/>
  <c r="F625" i="1"/>
  <c r="D625" i="1"/>
  <c r="B625" i="1"/>
  <c r="O624" i="1"/>
  <c r="N624" i="1"/>
  <c r="M624" i="1"/>
  <c r="F624" i="1"/>
  <c r="D624" i="1"/>
  <c r="B624" i="1"/>
  <c r="O623" i="1"/>
  <c r="N623" i="1"/>
  <c r="M623" i="1"/>
  <c r="F623" i="1"/>
  <c r="D623" i="1"/>
  <c r="B623" i="1"/>
  <c r="O622" i="1"/>
  <c r="N622" i="1"/>
  <c r="M622" i="1"/>
  <c r="F622" i="1"/>
  <c r="D622" i="1"/>
  <c r="B622" i="1"/>
  <c r="O621" i="1"/>
  <c r="N621" i="1"/>
  <c r="M621" i="1"/>
  <c r="F621" i="1"/>
  <c r="D621" i="1"/>
  <c r="B621" i="1"/>
  <c r="O620" i="1"/>
  <c r="N620" i="1"/>
  <c r="M620" i="1"/>
  <c r="F620" i="1"/>
  <c r="D620" i="1"/>
  <c r="B620" i="1"/>
  <c r="O619" i="1"/>
  <c r="N619" i="1"/>
  <c r="M619" i="1"/>
  <c r="F619" i="1"/>
  <c r="D619" i="1"/>
  <c r="B619" i="1"/>
  <c r="O618" i="1"/>
  <c r="N618" i="1"/>
  <c r="M618" i="1"/>
  <c r="F618" i="1"/>
  <c r="D618" i="1"/>
  <c r="B618" i="1"/>
  <c r="O617" i="1"/>
  <c r="N617" i="1"/>
  <c r="M617" i="1"/>
  <c r="F617" i="1"/>
  <c r="D617" i="1"/>
  <c r="B617" i="1"/>
  <c r="O616" i="1"/>
  <c r="N616" i="1"/>
  <c r="M616" i="1"/>
  <c r="F616" i="1"/>
  <c r="D616" i="1"/>
  <c r="B616" i="1"/>
  <c r="O615" i="1"/>
  <c r="N615" i="1"/>
  <c r="M615" i="1"/>
  <c r="F615" i="1"/>
  <c r="D615" i="1"/>
  <c r="B615" i="1"/>
  <c r="O614" i="1"/>
  <c r="N614" i="1"/>
  <c r="M614" i="1"/>
  <c r="F614" i="1"/>
  <c r="D614" i="1"/>
  <c r="B614" i="1"/>
  <c r="O613" i="1"/>
  <c r="N613" i="1"/>
  <c r="M613" i="1"/>
  <c r="F613" i="1"/>
  <c r="D613" i="1"/>
  <c r="B613" i="1"/>
  <c r="O612" i="1"/>
  <c r="N612" i="1"/>
  <c r="M612" i="1"/>
  <c r="F612" i="1"/>
  <c r="D612" i="1"/>
  <c r="B612" i="1"/>
  <c r="O611" i="1"/>
  <c r="N611" i="1"/>
  <c r="M611" i="1"/>
  <c r="F611" i="1"/>
  <c r="D611" i="1"/>
  <c r="B611" i="1"/>
  <c r="O610" i="1"/>
  <c r="N610" i="1"/>
  <c r="M610" i="1"/>
  <c r="F610" i="1"/>
  <c r="D610" i="1"/>
  <c r="B610" i="1"/>
  <c r="O609" i="1"/>
  <c r="N609" i="1"/>
  <c r="M609" i="1"/>
  <c r="F609" i="1"/>
  <c r="D609" i="1"/>
  <c r="B609" i="1"/>
  <c r="O608" i="1"/>
  <c r="N608" i="1"/>
  <c r="M608" i="1"/>
  <c r="F608" i="1"/>
  <c r="D608" i="1"/>
  <c r="B608" i="1"/>
  <c r="O607" i="1"/>
  <c r="N607" i="1"/>
  <c r="M607" i="1"/>
  <c r="F607" i="1"/>
  <c r="D607" i="1"/>
  <c r="B607" i="1"/>
  <c r="O606" i="1"/>
  <c r="N606" i="1"/>
  <c r="M606" i="1"/>
  <c r="F606" i="1"/>
  <c r="D606" i="1"/>
  <c r="B606" i="1"/>
  <c r="O605" i="1"/>
  <c r="N605" i="1"/>
  <c r="M605" i="1"/>
  <c r="F605" i="1"/>
  <c r="D605" i="1"/>
  <c r="B605" i="1"/>
  <c r="O604" i="1"/>
  <c r="N604" i="1"/>
  <c r="M604" i="1"/>
  <c r="F604" i="1"/>
  <c r="D604" i="1"/>
  <c r="B604" i="1"/>
  <c r="O603" i="1"/>
  <c r="N603" i="1"/>
  <c r="M603" i="1"/>
  <c r="F603" i="1"/>
  <c r="D603" i="1"/>
  <c r="B603" i="1"/>
  <c r="O602" i="1"/>
  <c r="N602" i="1"/>
  <c r="M602" i="1"/>
  <c r="F602" i="1"/>
  <c r="D602" i="1"/>
  <c r="B602" i="1"/>
  <c r="O601" i="1"/>
  <c r="N601" i="1"/>
  <c r="M601" i="1"/>
  <c r="F601" i="1"/>
  <c r="D601" i="1"/>
  <c r="B601" i="1"/>
  <c r="O600" i="1"/>
  <c r="N600" i="1"/>
  <c r="M600" i="1"/>
  <c r="F600" i="1"/>
  <c r="D600" i="1"/>
  <c r="B600" i="1"/>
  <c r="O599" i="1"/>
  <c r="N599" i="1"/>
  <c r="M599" i="1"/>
  <c r="F599" i="1"/>
  <c r="D599" i="1"/>
  <c r="B599" i="1"/>
  <c r="O598" i="1"/>
  <c r="N598" i="1"/>
  <c r="M598" i="1"/>
  <c r="F598" i="1"/>
  <c r="D598" i="1"/>
  <c r="B598" i="1"/>
  <c r="O597" i="1"/>
  <c r="N597" i="1"/>
  <c r="M597" i="1"/>
  <c r="F597" i="1"/>
  <c r="D597" i="1"/>
  <c r="B597" i="1"/>
  <c r="O596" i="1"/>
  <c r="N596" i="1"/>
  <c r="M596" i="1"/>
  <c r="F596" i="1"/>
  <c r="D596" i="1"/>
  <c r="B596" i="1"/>
  <c r="O595" i="1"/>
  <c r="N595" i="1"/>
  <c r="M595" i="1"/>
  <c r="F595" i="1"/>
  <c r="D595" i="1"/>
  <c r="B595" i="1"/>
  <c r="O594" i="1"/>
  <c r="N594" i="1"/>
  <c r="M594" i="1"/>
  <c r="F594" i="1"/>
  <c r="D594" i="1"/>
  <c r="B594" i="1"/>
  <c r="O593" i="1"/>
  <c r="N593" i="1"/>
  <c r="M593" i="1"/>
  <c r="F593" i="1"/>
  <c r="D593" i="1"/>
  <c r="B593" i="1"/>
  <c r="O592" i="1"/>
  <c r="N592" i="1"/>
  <c r="M592" i="1"/>
  <c r="F592" i="1"/>
  <c r="D592" i="1"/>
  <c r="B592" i="1"/>
  <c r="O591" i="1"/>
  <c r="N591" i="1"/>
  <c r="M591" i="1"/>
  <c r="F591" i="1"/>
  <c r="D591" i="1"/>
  <c r="B591" i="1"/>
  <c r="O590" i="1"/>
  <c r="N590" i="1"/>
  <c r="M590" i="1"/>
  <c r="F590" i="1"/>
  <c r="D590" i="1"/>
  <c r="B590" i="1"/>
  <c r="O589" i="1"/>
  <c r="N589" i="1"/>
  <c r="M589" i="1"/>
  <c r="F589" i="1"/>
  <c r="D589" i="1"/>
  <c r="B589" i="1"/>
  <c r="O588" i="1"/>
  <c r="N588" i="1"/>
  <c r="M588" i="1"/>
  <c r="F588" i="1"/>
  <c r="D588" i="1"/>
  <c r="B588" i="1"/>
  <c r="O587" i="1"/>
  <c r="N587" i="1"/>
  <c r="M587" i="1"/>
  <c r="F587" i="1"/>
  <c r="D587" i="1"/>
  <c r="B587" i="1"/>
  <c r="O586" i="1"/>
  <c r="N586" i="1"/>
  <c r="M586" i="1"/>
  <c r="F586" i="1"/>
  <c r="D586" i="1"/>
  <c r="B586" i="1"/>
  <c r="O585" i="1"/>
  <c r="N585" i="1"/>
  <c r="M585" i="1"/>
  <c r="F585" i="1"/>
  <c r="D585" i="1"/>
  <c r="B585" i="1"/>
  <c r="O584" i="1"/>
  <c r="N584" i="1"/>
  <c r="M584" i="1"/>
  <c r="F584" i="1"/>
  <c r="D584" i="1"/>
  <c r="B584" i="1"/>
  <c r="O583" i="1"/>
  <c r="N583" i="1"/>
  <c r="M583" i="1"/>
  <c r="F583" i="1"/>
  <c r="D583" i="1"/>
  <c r="B583" i="1"/>
  <c r="O582" i="1"/>
  <c r="N582" i="1"/>
  <c r="M582" i="1"/>
  <c r="F582" i="1"/>
  <c r="D582" i="1"/>
  <c r="B582" i="1"/>
  <c r="O581" i="1"/>
  <c r="N581" i="1"/>
  <c r="M581" i="1"/>
  <c r="F581" i="1"/>
  <c r="D581" i="1"/>
  <c r="B581" i="1"/>
  <c r="O580" i="1"/>
  <c r="N580" i="1"/>
  <c r="M580" i="1"/>
  <c r="F580" i="1"/>
  <c r="D580" i="1"/>
  <c r="B580" i="1"/>
  <c r="O579" i="1"/>
  <c r="N579" i="1"/>
  <c r="M579" i="1"/>
  <c r="F579" i="1"/>
  <c r="D579" i="1"/>
  <c r="B579" i="1"/>
  <c r="O578" i="1"/>
  <c r="N578" i="1"/>
  <c r="M578" i="1"/>
  <c r="F578" i="1"/>
  <c r="D578" i="1"/>
  <c r="B578" i="1"/>
  <c r="O577" i="1"/>
  <c r="N577" i="1"/>
  <c r="M577" i="1"/>
  <c r="F577" i="1"/>
  <c r="D577" i="1"/>
  <c r="B577" i="1"/>
  <c r="O576" i="1"/>
  <c r="N576" i="1"/>
  <c r="M576" i="1"/>
  <c r="F576" i="1"/>
  <c r="D576" i="1"/>
  <c r="B576" i="1"/>
  <c r="O575" i="1"/>
  <c r="N575" i="1"/>
  <c r="M575" i="1"/>
  <c r="F575" i="1"/>
  <c r="D575" i="1"/>
  <c r="B575" i="1"/>
  <c r="O574" i="1"/>
  <c r="N574" i="1"/>
  <c r="M574" i="1"/>
  <c r="F574" i="1"/>
  <c r="D574" i="1"/>
  <c r="B574" i="1"/>
  <c r="O573" i="1"/>
  <c r="N573" i="1"/>
  <c r="M573" i="1"/>
  <c r="F573" i="1"/>
  <c r="D573" i="1"/>
  <c r="B573" i="1"/>
  <c r="O572" i="1"/>
  <c r="N572" i="1"/>
  <c r="M572" i="1"/>
  <c r="F572" i="1"/>
  <c r="D572" i="1"/>
  <c r="B572" i="1"/>
  <c r="O571" i="1"/>
  <c r="N571" i="1"/>
  <c r="M571" i="1"/>
  <c r="F571" i="1"/>
  <c r="D571" i="1"/>
  <c r="B571" i="1"/>
  <c r="O570" i="1"/>
  <c r="N570" i="1"/>
  <c r="M570" i="1"/>
  <c r="F570" i="1"/>
  <c r="D570" i="1"/>
  <c r="B570" i="1"/>
  <c r="O569" i="1"/>
  <c r="N569" i="1"/>
  <c r="M569" i="1"/>
  <c r="F569" i="1"/>
  <c r="D569" i="1"/>
  <c r="B569" i="1"/>
  <c r="O568" i="1"/>
  <c r="N568" i="1"/>
  <c r="M568" i="1"/>
  <c r="F568" i="1"/>
  <c r="D568" i="1"/>
  <c r="B568" i="1"/>
  <c r="O567" i="1"/>
  <c r="N567" i="1"/>
  <c r="M567" i="1"/>
  <c r="F567" i="1"/>
  <c r="D567" i="1"/>
  <c r="B567" i="1"/>
  <c r="O566" i="1"/>
  <c r="N566" i="1"/>
  <c r="M566" i="1"/>
  <c r="F566" i="1"/>
  <c r="D566" i="1"/>
  <c r="B566" i="1"/>
  <c r="O565" i="1"/>
  <c r="N565" i="1"/>
  <c r="M565" i="1"/>
  <c r="F565" i="1"/>
  <c r="D565" i="1"/>
  <c r="B565" i="1"/>
  <c r="O564" i="1"/>
  <c r="N564" i="1"/>
  <c r="M564" i="1"/>
  <c r="F564" i="1"/>
  <c r="D564" i="1"/>
  <c r="B564" i="1"/>
  <c r="O563" i="1"/>
  <c r="N563" i="1"/>
  <c r="M563" i="1"/>
  <c r="F563" i="1"/>
  <c r="D563" i="1"/>
  <c r="B563" i="1"/>
  <c r="O562" i="1"/>
  <c r="N562" i="1"/>
  <c r="M562" i="1"/>
  <c r="F562" i="1"/>
  <c r="D562" i="1"/>
  <c r="B562" i="1"/>
  <c r="O561" i="1"/>
  <c r="N561" i="1"/>
  <c r="M561" i="1"/>
  <c r="F561" i="1"/>
  <c r="D561" i="1"/>
  <c r="B561" i="1"/>
  <c r="O560" i="1"/>
  <c r="N560" i="1"/>
  <c r="M560" i="1"/>
  <c r="F560" i="1"/>
  <c r="D560" i="1"/>
  <c r="B560" i="1"/>
  <c r="O559" i="1"/>
  <c r="N559" i="1"/>
  <c r="M559" i="1"/>
  <c r="F559" i="1"/>
  <c r="D559" i="1"/>
  <c r="B559" i="1"/>
  <c r="O558" i="1"/>
  <c r="N558" i="1"/>
  <c r="M558" i="1"/>
  <c r="F558" i="1"/>
  <c r="D558" i="1"/>
  <c r="B558" i="1"/>
  <c r="O557" i="1"/>
  <c r="N557" i="1"/>
  <c r="M557" i="1"/>
  <c r="F557" i="1"/>
  <c r="D557" i="1"/>
  <c r="B557" i="1"/>
  <c r="O556" i="1"/>
  <c r="N556" i="1"/>
  <c r="M556" i="1"/>
  <c r="F556" i="1"/>
  <c r="D556" i="1"/>
  <c r="B556" i="1"/>
  <c r="O555" i="1"/>
  <c r="N555" i="1"/>
  <c r="M555" i="1"/>
  <c r="F555" i="1"/>
  <c r="D555" i="1"/>
  <c r="B555" i="1"/>
  <c r="O554" i="1"/>
  <c r="N554" i="1"/>
  <c r="M554" i="1"/>
  <c r="F554" i="1"/>
  <c r="D554" i="1"/>
  <c r="B554" i="1"/>
  <c r="O553" i="1"/>
  <c r="N553" i="1"/>
  <c r="M553" i="1"/>
  <c r="F553" i="1"/>
  <c r="D553" i="1"/>
  <c r="B553" i="1"/>
  <c r="O552" i="1"/>
  <c r="N552" i="1"/>
  <c r="M552" i="1"/>
  <c r="F552" i="1"/>
  <c r="D552" i="1"/>
  <c r="B552" i="1"/>
  <c r="O551" i="1"/>
  <c r="N551" i="1"/>
  <c r="M551" i="1"/>
  <c r="F551" i="1"/>
  <c r="D551" i="1"/>
  <c r="B551" i="1"/>
  <c r="O550" i="1"/>
  <c r="N550" i="1"/>
  <c r="M550" i="1"/>
  <c r="F550" i="1"/>
  <c r="D550" i="1"/>
  <c r="B550" i="1"/>
  <c r="O549" i="1"/>
  <c r="N549" i="1"/>
  <c r="M549" i="1"/>
  <c r="F549" i="1"/>
  <c r="D549" i="1"/>
  <c r="B549" i="1"/>
  <c r="O548" i="1"/>
  <c r="N548" i="1"/>
  <c r="M548" i="1"/>
  <c r="F548" i="1"/>
  <c r="D548" i="1"/>
  <c r="B548" i="1"/>
  <c r="O547" i="1"/>
  <c r="N547" i="1"/>
  <c r="M547" i="1"/>
  <c r="F547" i="1"/>
  <c r="D547" i="1"/>
  <c r="B547" i="1"/>
  <c r="O546" i="1"/>
  <c r="N546" i="1"/>
  <c r="M546" i="1"/>
  <c r="F546" i="1"/>
  <c r="D546" i="1"/>
  <c r="B546" i="1"/>
  <c r="O545" i="1"/>
  <c r="N545" i="1"/>
  <c r="M545" i="1"/>
  <c r="F545" i="1"/>
  <c r="D545" i="1"/>
  <c r="B545" i="1"/>
  <c r="O544" i="1"/>
  <c r="N544" i="1"/>
  <c r="M544" i="1"/>
  <c r="F544" i="1"/>
  <c r="D544" i="1"/>
  <c r="B544" i="1"/>
  <c r="O543" i="1"/>
  <c r="N543" i="1"/>
  <c r="M543" i="1"/>
  <c r="F543" i="1"/>
  <c r="D543" i="1"/>
  <c r="B543" i="1"/>
  <c r="O542" i="1"/>
  <c r="N542" i="1"/>
  <c r="M542" i="1"/>
  <c r="F542" i="1"/>
  <c r="D542" i="1"/>
  <c r="B542" i="1"/>
  <c r="O541" i="1"/>
  <c r="N541" i="1"/>
  <c r="M541" i="1"/>
  <c r="F541" i="1"/>
  <c r="D541" i="1"/>
  <c r="B541" i="1"/>
  <c r="O540" i="1"/>
  <c r="N540" i="1"/>
  <c r="M540" i="1"/>
  <c r="F540" i="1"/>
  <c r="D540" i="1"/>
  <c r="B540" i="1"/>
  <c r="O539" i="1"/>
  <c r="N539" i="1"/>
  <c r="M539" i="1"/>
  <c r="F539" i="1"/>
  <c r="D539" i="1"/>
  <c r="B539" i="1"/>
  <c r="O538" i="1"/>
  <c r="N538" i="1"/>
  <c r="M538" i="1"/>
  <c r="F538" i="1"/>
  <c r="D538" i="1"/>
  <c r="B538" i="1"/>
  <c r="O537" i="1"/>
  <c r="N537" i="1"/>
  <c r="M537" i="1"/>
  <c r="F537" i="1"/>
  <c r="D537" i="1"/>
  <c r="B537" i="1"/>
  <c r="O536" i="1"/>
  <c r="N536" i="1"/>
  <c r="M536" i="1"/>
  <c r="F536" i="1"/>
  <c r="D536" i="1"/>
  <c r="B536" i="1"/>
  <c r="O535" i="1"/>
  <c r="N535" i="1"/>
  <c r="M535" i="1"/>
  <c r="F535" i="1"/>
  <c r="D535" i="1"/>
  <c r="B535" i="1"/>
  <c r="O534" i="1"/>
  <c r="N534" i="1"/>
  <c r="M534" i="1"/>
  <c r="F534" i="1"/>
  <c r="D534" i="1"/>
  <c r="B534" i="1"/>
  <c r="O533" i="1"/>
  <c r="N533" i="1"/>
  <c r="M533" i="1"/>
  <c r="F533" i="1"/>
  <c r="D533" i="1"/>
  <c r="B533" i="1"/>
  <c r="O532" i="1"/>
  <c r="N532" i="1"/>
  <c r="M532" i="1"/>
  <c r="F532" i="1"/>
  <c r="D532" i="1"/>
  <c r="B532" i="1"/>
  <c r="O531" i="1"/>
  <c r="N531" i="1"/>
  <c r="M531" i="1"/>
  <c r="F531" i="1"/>
  <c r="D531" i="1"/>
  <c r="B531" i="1"/>
  <c r="O530" i="1"/>
  <c r="N530" i="1"/>
  <c r="M530" i="1"/>
  <c r="F530" i="1"/>
  <c r="D530" i="1"/>
  <c r="B530" i="1"/>
  <c r="O529" i="1"/>
  <c r="N529" i="1"/>
  <c r="M529" i="1"/>
  <c r="F529" i="1"/>
  <c r="D529" i="1"/>
  <c r="B529" i="1"/>
  <c r="O528" i="1"/>
  <c r="N528" i="1"/>
  <c r="M528" i="1"/>
  <c r="F528" i="1"/>
  <c r="D528" i="1"/>
  <c r="B528" i="1"/>
  <c r="O527" i="1"/>
  <c r="N527" i="1"/>
  <c r="M527" i="1"/>
  <c r="F527" i="1"/>
  <c r="D527" i="1"/>
  <c r="B527" i="1"/>
  <c r="O526" i="1"/>
  <c r="N526" i="1"/>
  <c r="M526" i="1"/>
  <c r="F526" i="1"/>
  <c r="D526" i="1"/>
  <c r="B526" i="1"/>
  <c r="O525" i="1"/>
  <c r="N525" i="1"/>
  <c r="M525" i="1"/>
  <c r="F525" i="1"/>
  <c r="D525" i="1"/>
  <c r="B525" i="1"/>
  <c r="O524" i="1"/>
  <c r="N524" i="1"/>
  <c r="M524" i="1"/>
  <c r="F524" i="1"/>
  <c r="D524" i="1"/>
  <c r="B524" i="1"/>
  <c r="O523" i="1"/>
  <c r="N523" i="1"/>
  <c r="M523" i="1"/>
  <c r="F523" i="1"/>
  <c r="D523" i="1"/>
  <c r="B523" i="1"/>
  <c r="O522" i="1"/>
  <c r="N522" i="1"/>
  <c r="M522" i="1"/>
  <c r="F522" i="1"/>
  <c r="D522" i="1"/>
  <c r="B522" i="1"/>
  <c r="O521" i="1"/>
  <c r="N521" i="1"/>
  <c r="M521" i="1"/>
  <c r="F521" i="1"/>
  <c r="D521" i="1"/>
  <c r="B521" i="1"/>
  <c r="O520" i="1"/>
  <c r="N520" i="1"/>
  <c r="M520" i="1"/>
  <c r="F520" i="1"/>
  <c r="D520" i="1"/>
  <c r="B520" i="1"/>
  <c r="O519" i="1"/>
  <c r="N519" i="1"/>
  <c r="M519" i="1"/>
  <c r="F519" i="1"/>
  <c r="D519" i="1"/>
  <c r="B519" i="1"/>
  <c r="O518" i="1"/>
  <c r="N518" i="1"/>
  <c r="M518" i="1"/>
  <c r="F518" i="1"/>
  <c r="D518" i="1"/>
  <c r="B518" i="1"/>
  <c r="O517" i="1"/>
  <c r="N517" i="1"/>
  <c r="M517" i="1"/>
  <c r="F517" i="1"/>
  <c r="D517" i="1"/>
  <c r="B517" i="1"/>
  <c r="O516" i="1"/>
  <c r="N516" i="1"/>
  <c r="M516" i="1"/>
  <c r="F516" i="1"/>
  <c r="D516" i="1"/>
  <c r="B516" i="1"/>
  <c r="O515" i="1"/>
  <c r="N515" i="1"/>
  <c r="M515" i="1"/>
  <c r="F515" i="1"/>
  <c r="D515" i="1"/>
  <c r="B515" i="1"/>
  <c r="O514" i="1"/>
  <c r="N514" i="1"/>
  <c r="M514" i="1"/>
  <c r="F514" i="1"/>
  <c r="D514" i="1"/>
  <c r="B514" i="1"/>
  <c r="O513" i="1"/>
  <c r="N513" i="1"/>
  <c r="M513" i="1"/>
  <c r="F513" i="1"/>
  <c r="D513" i="1"/>
  <c r="B513" i="1"/>
  <c r="O512" i="1"/>
  <c r="N512" i="1"/>
  <c r="M512" i="1"/>
  <c r="F512" i="1"/>
  <c r="D512" i="1"/>
  <c r="B512" i="1"/>
  <c r="O511" i="1"/>
  <c r="N511" i="1"/>
  <c r="M511" i="1"/>
  <c r="F511" i="1"/>
  <c r="D511" i="1"/>
  <c r="B511" i="1"/>
  <c r="O510" i="1"/>
  <c r="N510" i="1"/>
  <c r="M510" i="1"/>
  <c r="F510" i="1"/>
  <c r="D510" i="1"/>
  <c r="B510" i="1"/>
  <c r="O509" i="1"/>
  <c r="N509" i="1"/>
  <c r="M509" i="1"/>
  <c r="F509" i="1"/>
  <c r="D509" i="1"/>
  <c r="B509" i="1"/>
  <c r="O508" i="1"/>
  <c r="N508" i="1"/>
  <c r="M508" i="1"/>
  <c r="F508" i="1"/>
  <c r="D508" i="1"/>
  <c r="B508" i="1"/>
  <c r="O507" i="1"/>
  <c r="N507" i="1"/>
  <c r="M507" i="1"/>
  <c r="F507" i="1"/>
  <c r="D507" i="1"/>
  <c r="B507" i="1"/>
  <c r="O506" i="1"/>
  <c r="N506" i="1"/>
  <c r="M506" i="1"/>
  <c r="F506" i="1"/>
  <c r="D506" i="1"/>
  <c r="B506" i="1"/>
  <c r="O505" i="1"/>
  <c r="N505" i="1"/>
  <c r="M505" i="1"/>
  <c r="F505" i="1"/>
  <c r="D505" i="1"/>
  <c r="B505" i="1"/>
  <c r="O504" i="1"/>
  <c r="N504" i="1"/>
  <c r="M504" i="1"/>
  <c r="F504" i="1"/>
  <c r="D504" i="1"/>
  <c r="B504" i="1"/>
  <c r="O503" i="1"/>
  <c r="N503" i="1"/>
  <c r="M503" i="1"/>
  <c r="F503" i="1"/>
  <c r="D503" i="1"/>
  <c r="B503" i="1"/>
  <c r="O502" i="1"/>
  <c r="N502" i="1"/>
  <c r="M502" i="1"/>
  <c r="F502" i="1"/>
  <c r="D502" i="1"/>
  <c r="B502" i="1"/>
  <c r="O501" i="1"/>
  <c r="N501" i="1"/>
  <c r="M501" i="1"/>
  <c r="F501" i="1"/>
  <c r="D501" i="1"/>
  <c r="B501" i="1"/>
  <c r="O500" i="1"/>
  <c r="N500" i="1"/>
  <c r="M500" i="1"/>
  <c r="F500" i="1"/>
  <c r="D500" i="1"/>
  <c r="B500" i="1"/>
  <c r="O499" i="1"/>
  <c r="N499" i="1"/>
  <c r="M499" i="1"/>
  <c r="F499" i="1"/>
  <c r="D499" i="1"/>
  <c r="B499" i="1"/>
  <c r="O498" i="1"/>
  <c r="N498" i="1"/>
  <c r="M498" i="1"/>
  <c r="F498" i="1"/>
  <c r="D498" i="1"/>
  <c r="B498" i="1"/>
  <c r="O497" i="1"/>
  <c r="N497" i="1"/>
  <c r="M497" i="1"/>
  <c r="F497" i="1"/>
  <c r="D497" i="1"/>
  <c r="B497" i="1"/>
  <c r="O496" i="1"/>
  <c r="N496" i="1"/>
  <c r="M496" i="1"/>
  <c r="F496" i="1"/>
  <c r="D496" i="1"/>
  <c r="B496" i="1"/>
  <c r="O495" i="1"/>
  <c r="N495" i="1"/>
  <c r="M495" i="1"/>
  <c r="F495" i="1"/>
  <c r="D495" i="1"/>
  <c r="B495" i="1"/>
  <c r="O494" i="1"/>
  <c r="N494" i="1"/>
  <c r="M494" i="1"/>
  <c r="F494" i="1"/>
  <c r="D494" i="1"/>
  <c r="B494" i="1"/>
  <c r="O493" i="1"/>
  <c r="N493" i="1"/>
  <c r="M493" i="1"/>
  <c r="F493" i="1"/>
  <c r="D493" i="1"/>
  <c r="B493" i="1"/>
  <c r="O492" i="1"/>
  <c r="N492" i="1"/>
  <c r="M492" i="1"/>
  <c r="F492" i="1"/>
  <c r="D492" i="1"/>
  <c r="B492" i="1"/>
  <c r="O491" i="1"/>
  <c r="N491" i="1"/>
  <c r="M491" i="1"/>
  <c r="F491" i="1"/>
  <c r="D491" i="1"/>
  <c r="B491" i="1"/>
  <c r="O490" i="1"/>
  <c r="N490" i="1"/>
  <c r="M490" i="1"/>
  <c r="F490" i="1"/>
  <c r="D490" i="1"/>
  <c r="B490" i="1"/>
  <c r="O489" i="1"/>
  <c r="N489" i="1"/>
  <c r="M489" i="1"/>
  <c r="F489" i="1"/>
  <c r="D489" i="1"/>
  <c r="B489" i="1"/>
  <c r="O488" i="1"/>
  <c r="N488" i="1"/>
  <c r="M488" i="1"/>
  <c r="F488" i="1"/>
  <c r="D488" i="1"/>
  <c r="B488" i="1"/>
  <c r="O487" i="1"/>
  <c r="N487" i="1"/>
  <c r="M487" i="1"/>
  <c r="F487" i="1"/>
  <c r="D487" i="1"/>
  <c r="B487" i="1"/>
  <c r="O486" i="1"/>
  <c r="N486" i="1"/>
  <c r="M486" i="1"/>
  <c r="F486" i="1"/>
  <c r="D486" i="1"/>
  <c r="B486" i="1"/>
  <c r="O485" i="1"/>
  <c r="N485" i="1"/>
  <c r="M485" i="1"/>
  <c r="F485" i="1"/>
  <c r="D485" i="1"/>
  <c r="B485" i="1"/>
  <c r="O484" i="1"/>
  <c r="N484" i="1"/>
  <c r="M484" i="1"/>
  <c r="F484" i="1"/>
  <c r="D484" i="1"/>
  <c r="B484" i="1"/>
  <c r="O483" i="1"/>
  <c r="N483" i="1"/>
  <c r="M483" i="1"/>
  <c r="F483" i="1"/>
  <c r="D483" i="1"/>
  <c r="B483" i="1"/>
  <c r="O482" i="1"/>
  <c r="N482" i="1"/>
  <c r="M482" i="1"/>
  <c r="F482" i="1"/>
  <c r="D482" i="1"/>
  <c r="B482" i="1"/>
  <c r="O481" i="1"/>
  <c r="N481" i="1"/>
  <c r="M481" i="1"/>
  <c r="F481" i="1"/>
  <c r="D481" i="1"/>
  <c r="B481" i="1"/>
  <c r="O480" i="1"/>
  <c r="N480" i="1"/>
  <c r="M480" i="1"/>
  <c r="F480" i="1"/>
  <c r="D480" i="1"/>
  <c r="B480" i="1"/>
  <c r="O479" i="1"/>
  <c r="N479" i="1"/>
  <c r="M479" i="1"/>
  <c r="F479" i="1"/>
  <c r="D479" i="1"/>
  <c r="B479" i="1"/>
  <c r="O478" i="1"/>
  <c r="N478" i="1"/>
  <c r="M478" i="1"/>
  <c r="F478" i="1"/>
  <c r="D478" i="1"/>
  <c r="B478" i="1"/>
  <c r="O477" i="1"/>
  <c r="N477" i="1"/>
  <c r="M477" i="1"/>
  <c r="F477" i="1"/>
  <c r="D477" i="1"/>
  <c r="B477" i="1"/>
  <c r="O476" i="1"/>
  <c r="N476" i="1"/>
  <c r="M476" i="1"/>
  <c r="F476" i="1"/>
  <c r="D476" i="1"/>
  <c r="B476" i="1"/>
  <c r="O475" i="1"/>
  <c r="N475" i="1"/>
  <c r="M475" i="1"/>
  <c r="F475" i="1"/>
  <c r="D475" i="1"/>
  <c r="B475" i="1"/>
  <c r="O474" i="1"/>
  <c r="N474" i="1"/>
  <c r="M474" i="1"/>
  <c r="F474" i="1"/>
  <c r="D474" i="1"/>
  <c r="B474" i="1"/>
  <c r="O473" i="1"/>
  <c r="N473" i="1"/>
  <c r="M473" i="1"/>
  <c r="F473" i="1"/>
  <c r="D473" i="1"/>
  <c r="B473" i="1"/>
  <c r="O472" i="1"/>
  <c r="N472" i="1"/>
  <c r="M472" i="1"/>
  <c r="F472" i="1"/>
  <c r="D472" i="1"/>
  <c r="B472" i="1"/>
  <c r="O471" i="1"/>
  <c r="N471" i="1"/>
  <c r="M471" i="1"/>
  <c r="F471" i="1"/>
  <c r="D471" i="1"/>
  <c r="B471" i="1"/>
  <c r="O470" i="1"/>
  <c r="N470" i="1"/>
  <c r="M470" i="1"/>
  <c r="F470" i="1"/>
  <c r="D470" i="1"/>
  <c r="B470" i="1"/>
  <c r="O469" i="1"/>
  <c r="N469" i="1"/>
  <c r="M469" i="1"/>
  <c r="F469" i="1"/>
  <c r="D469" i="1"/>
  <c r="B469" i="1"/>
  <c r="O468" i="1"/>
  <c r="N468" i="1"/>
  <c r="M468" i="1"/>
  <c r="F468" i="1"/>
  <c r="D468" i="1"/>
  <c r="B468" i="1"/>
  <c r="O467" i="1"/>
  <c r="N467" i="1"/>
  <c r="M467" i="1"/>
  <c r="F467" i="1"/>
  <c r="D467" i="1"/>
  <c r="B467" i="1"/>
  <c r="O466" i="1"/>
  <c r="N466" i="1"/>
  <c r="M466" i="1"/>
  <c r="F466" i="1"/>
  <c r="D466" i="1"/>
  <c r="B466" i="1"/>
  <c r="O465" i="1"/>
  <c r="N465" i="1"/>
  <c r="M465" i="1"/>
  <c r="F465" i="1"/>
  <c r="D465" i="1"/>
  <c r="B465" i="1"/>
  <c r="O464" i="1"/>
  <c r="N464" i="1"/>
  <c r="M464" i="1"/>
  <c r="F464" i="1"/>
  <c r="D464" i="1"/>
  <c r="B464" i="1"/>
  <c r="O463" i="1"/>
  <c r="N463" i="1"/>
  <c r="M463" i="1"/>
  <c r="F463" i="1"/>
  <c r="D463" i="1"/>
  <c r="B463" i="1"/>
  <c r="O462" i="1"/>
  <c r="N462" i="1"/>
  <c r="M462" i="1"/>
  <c r="F462" i="1"/>
  <c r="D462" i="1"/>
  <c r="B462" i="1"/>
  <c r="O461" i="1"/>
  <c r="N461" i="1"/>
  <c r="M461" i="1"/>
  <c r="F461" i="1"/>
  <c r="D461" i="1"/>
  <c r="B461" i="1"/>
  <c r="O460" i="1"/>
  <c r="N460" i="1"/>
  <c r="M460" i="1"/>
  <c r="F460" i="1"/>
  <c r="D460" i="1"/>
  <c r="B460" i="1"/>
  <c r="O459" i="1"/>
  <c r="N459" i="1"/>
  <c r="M459" i="1"/>
  <c r="F459" i="1"/>
  <c r="D459" i="1"/>
  <c r="B459" i="1"/>
  <c r="O458" i="1"/>
  <c r="N458" i="1"/>
  <c r="M458" i="1"/>
  <c r="F458" i="1"/>
  <c r="D458" i="1"/>
  <c r="B458" i="1"/>
  <c r="O457" i="1"/>
  <c r="N457" i="1"/>
  <c r="M457" i="1"/>
  <c r="F457" i="1"/>
  <c r="D457" i="1"/>
  <c r="B457" i="1"/>
  <c r="O456" i="1"/>
  <c r="N456" i="1"/>
  <c r="M456" i="1"/>
  <c r="F456" i="1"/>
  <c r="D456" i="1"/>
  <c r="B456" i="1"/>
  <c r="O455" i="1"/>
  <c r="N455" i="1"/>
  <c r="M455" i="1"/>
  <c r="F455" i="1"/>
  <c r="D455" i="1"/>
  <c r="B455" i="1"/>
  <c r="O454" i="1"/>
  <c r="N454" i="1"/>
  <c r="M454" i="1"/>
  <c r="F454" i="1"/>
  <c r="D454" i="1"/>
  <c r="B454" i="1"/>
  <c r="O453" i="1"/>
  <c r="N453" i="1"/>
  <c r="M453" i="1"/>
  <c r="F453" i="1"/>
  <c r="D453" i="1"/>
  <c r="B453" i="1"/>
  <c r="O452" i="1"/>
  <c r="N452" i="1"/>
  <c r="M452" i="1"/>
  <c r="F452" i="1"/>
  <c r="D452" i="1"/>
  <c r="B452" i="1"/>
  <c r="O451" i="1"/>
  <c r="N451" i="1"/>
  <c r="M451" i="1"/>
  <c r="F451" i="1"/>
  <c r="D451" i="1"/>
  <c r="B451" i="1"/>
  <c r="O450" i="1"/>
  <c r="N450" i="1"/>
  <c r="M450" i="1"/>
  <c r="F450" i="1"/>
  <c r="D450" i="1"/>
  <c r="B450" i="1"/>
  <c r="O449" i="1"/>
  <c r="N449" i="1"/>
  <c r="M449" i="1"/>
  <c r="F449" i="1"/>
  <c r="D449" i="1"/>
  <c r="B449" i="1"/>
  <c r="O448" i="1"/>
  <c r="N448" i="1"/>
  <c r="M448" i="1"/>
  <c r="F448" i="1"/>
  <c r="D448" i="1"/>
  <c r="B448" i="1"/>
  <c r="O447" i="1"/>
  <c r="N447" i="1"/>
  <c r="M447" i="1"/>
  <c r="F447" i="1"/>
  <c r="D447" i="1"/>
  <c r="B447" i="1"/>
  <c r="O446" i="1"/>
  <c r="N446" i="1"/>
  <c r="M446" i="1"/>
  <c r="F446" i="1"/>
  <c r="D446" i="1"/>
  <c r="B446" i="1"/>
  <c r="O445" i="1"/>
  <c r="N445" i="1"/>
  <c r="M445" i="1"/>
  <c r="F445" i="1"/>
  <c r="D445" i="1"/>
  <c r="B445" i="1"/>
  <c r="O444" i="1"/>
  <c r="N444" i="1"/>
  <c r="M444" i="1"/>
  <c r="F444" i="1"/>
  <c r="D444" i="1"/>
  <c r="B444" i="1"/>
  <c r="O443" i="1"/>
  <c r="N443" i="1"/>
  <c r="M443" i="1"/>
  <c r="F443" i="1"/>
  <c r="D443" i="1"/>
  <c r="B443" i="1"/>
  <c r="O442" i="1"/>
  <c r="N442" i="1"/>
  <c r="M442" i="1"/>
  <c r="F442" i="1"/>
  <c r="D442" i="1"/>
  <c r="B442" i="1"/>
  <c r="O441" i="1"/>
  <c r="N441" i="1"/>
  <c r="M441" i="1"/>
  <c r="F441" i="1"/>
  <c r="D441" i="1"/>
  <c r="B441" i="1"/>
  <c r="O440" i="1"/>
  <c r="N440" i="1"/>
  <c r="M440" i="1"/>
  <c r="F440" i="1"/>
  <c r="D440" i="1"/>
  <c r="B440" i="1"/>
  <c r="O439" i="1"/>
  <c r="N439" i="1"/>
  <c r="M439" i="1"/>
  <c r="F439" i="1"/>
  <c r="D439" i="1"/>
  <c r="B439" i="1"/>
  <c r="O438" i="1"/>
  <c r="N438" i="1"/>
  <c r="M438" i="1"/>
  <c r="F438" i="1"/>
  <c r="D438" i="1"/>
  <c r="B438" i="1"/>
  <c r="O437" i="1"/>
  <c r="N437" i="1"/>
  <c r="M437" i="1"/>
  <c r="F437" i="1"/>
  <c r="D437" i="1"/>
  <c r="B437" i="1"/>
  <c r="O436" i="1"/>
  <c r="N436" i="1"/>
  <c r="M436" i="1"/>
  <c r="F436" i="1"/>
  <c r="D436" i="1"/>
  <c r="B436" i="1"/>
  <c r="O435" i="1"/>
  <c r="N435" i="1"/>
  <c r="M435" i="1"/>
  <c r="F435" i="1"/>
  <c r="D435" i="1"/>
  <c r="B435" i="1"/>
  <c r="O434" i="1"/>
  <c r="N434" i="1"/>
  <c r="M434" i="1"/>
  <c r="F434" i="1"/>
  <c r="D434" i="1"/>
  <c r="B434" i="1"/>
  <c r="O433" i="1"/>
  <c r="N433" i="1"/>
  <c r="M433" i="1"/>
  <c r="F433" i="1"/>
  <c r="D433" i="1"/>
  <c r="B433" i="1"/>
  <c r="O432" i="1"/>
  <c r="N432" i="1"/>
  <c r="M432" i="1"/>
  <c r="F432" i="1"/>
  <c r="D432" i="1"/>
  <c r="B432" i="1"/>
  <c r="O431" i="1"/>
  <c r="N431" i="1"/>
  <c r="M431" i="1"/>
  <c r="F431" i="1"/>
  <c r="D431" i="1"/>
  <c r="B431" i="1"/>
  <c r="O430" i="1"/>
  <c r="N430" i="1"/>
  <c r="M430" i="1"/>
  <c r="F430" i="1"/>
  <c r="D430" i="1"/>
  <c r="B430" i="1"/>
  <c r="O429" i="1"/>
  <c r="N429" i="1"/>
  <c r="M429" i="1"/>
  <c r="F429" i="1"/>
  <c r="D429" i="1"/>
  <c r="B429" i="1"/>
  <c r="O428" i="1"/>
  <c r="N428" i="1"/>
  <c r="M428" i="1"/>
  <c r="F428" i="1"/>
  <c r="D428" i="1"/>
  <c r="B428" i="1"/>
  <c r="O427" i="1"/>
  <c r="N427" i="1"/>
  <c r="M427" i="1"/>
  <c r="F427" i="1"/>
  <c r="D427" i="1"/>
  <c r="B427" i="1"/>
  <c r="O426" i="1"/>
  <c r="N426" i="1"/>
  <c r="M426" i="1"/>
  <c r="F426" i="1"/>
  <c r="D426" i="1"/>
  <c r="B426" i="1"/>
  <c r="O425" i="1"/>
  <c r="N425" i="1"/>
  <c r="M425" i="1"/>
  <c r="F425" i="1"/>
  <c r="D425" i="1"/>
  <c r="B425" i="1"/>
  <c r="O424" i="1"/>
  <c r="N424" i="1"/>
  <c r="M424" i="1"/>
  <c r="F424" i="1"/>
  <c r="D424" i="1"/>
  <c r="B424" i="1"/>
  <c r="O423" i="1"/>
  <c r="N423" i="1"/>
  <c r="M423" i="1"/>
  <c r="F423" i="1"/>
  <c r="D423" i="1"/>
  <c r="B423" i="1"/>
  <c r="O422" i="1"/>
  <c r="N422" i="1"/>
  <c r="M422" i="1"/>
  <c r="F422" i="1"/>
  <c r="D422" i="1"/>
  <c r="B422" i="1"/>
  <c r="O421" i="1"/>
  <c r="N421" i="1"/>
  <c r="M421" i="1"/>
  <c r="F421" i="1"/>
  <c r="D421" i="1"/>
  <c r="B421" i="1"/>
  <c r="O420" i="1"/>
  <c r="N420" i="1"/>
  <c r="M420" i="1"/>
  <c r="F420" i="1"/>
  <c r="D420" i="1"/>
  <c r="B420" i="1"/>
  <c r="O419" i="1"/>
  <c r="N419" i="1"/>
  <c r="M419" i="1"/>
  <c r="F419" i="1"/>
  <c r="D419" i="1"/>
  <c r="B419" i="1"/>
  <c r="O418" i="1"/>
  <c r="N418" i="1"/>
  <c r="M418" i="1"/>
  <c r="F418" i="1"/>
  <c r="D418" i="1"/>
  <c r="B418" i="1"/>
  <c r="O417" i="1"/>
  <c r="N417" i="1"/>
  <c r="M417" i="1"/>
  <c r="F417" i="1"/>
  <c r="D417" i="1"/>
  <c r="B417" i="1"/>
  <c r="O416" i="1"/>
  <c r="N416" i="1"/>
  <c r="M416" i="1"/>
  <c r="F416" i="1"/>
  <c r="D416" i="1"/>
  <c r="B416" i="1"/>
  <c r="O415" i="1"/>
  <c r="N415" i="1"/>
  <c r="M415" i="1"/>
  <c r="F415" i="1"/>
  <c r="D415" i="1"/>
  <c r="B415" i="1"/>
  <c r="O414" i="1"/>
  <c r="N414" i="1"/>
  <c r="M414" i="1"/>
  <c r="F414" i="1"/>
  <c r="D414" i="1"/>
  <c r="B414" i="1"/>
  <c r="O413" i="1"/>
  <c r="N413" i="1"/>
  <c r="M413" i="1"/>
  <c r="F413" i="1"/>
  <c r="D413" i="1"/>
  <c r="B413" i="1"/>
  <c r="O412" i="1"/>
  <c r="N412" i="1"/>
  <c r="M412" i="1"/>
  <c r="F412" i="1"/>
  <c r="D412" i="1"/>
  <c r="B412" i="1"/>
  <c r="O411" i="1"/>
  <c r="N411" i="1"/>
  <c r="M411" i="1"/>
  <c r="F411" i="1"/>
  <c r="D411" i="1"/>
  <c r="B411" i="1"/>
  <c r="O410" i="1"/>
  <c r="N410" i="1"/>
  <c r="M410" i="1"/>
  <c r="F410" i="1"/>
  <c r="D410" i="1"/>
  <c r="B410" i="1"/>
  <c r="O409" i="1"/>
  <c r="N409" i="1"/>
  <c r="M409" i="1"/>
  <c r="F409" i="1"/>
  <c r="D409" i="1"/>
  <c r="B409" i="1"/>
  <c r="O408" i="1"/>
  <c r="N408" i="1"/>
  <c r="M408" i="1"/>
  <c r="F408" i="1"/>
  <c r="D408" i="1"/>
  <c r="B408" i="1"/>
  <c r="O407" i="1"/>
  <c r="N407" i="1"/>
  <c r="M407" i="1"/>
  <c r="F407" i="1"/>
  <c r="D407" i="1"/>
  <c r="B407" i="1"/>
  <c r="O406" i="1"/>
  <c r="N406" i="1"/>
  <c r="M406" i="1"/>
  <c r="F406" i="1"/>
  <c r="D406" i="1"/>
  <c r="B406" i="1"/>
  <c r="O405" i="1"/>
  <c r="N405" i="1"/>
  <c r="M405" i="1"/>
  <c r="F405" i="1"/>
  <c r="D405" i="1"/>
  <c r="B405" i="1"/>
  <c r="O404" i="1"/>
  <c r="N404" i="1"/>
  <c r="M404" i="1"/>
  <c r="F404" i="1"/>
  <c r="D404" i="1"/>
  <c r="B404" i="1"/>
  <c r="O403" i="1"/>
  <c r="N403" i="1"/>
  <c r="M403" i="1"/>
  <c r="F403" i="1"/>
  <c r="D403" i="1"/>
  <c r="B403" i="1"/>
  <c r="O402" i="1"/>
  <c r="N402" i="1"/>
  <c r="M402" i="1"/>
  <c r="F402" i="1"/>
  <c r="D402" i="1"/>
  <c r="B402" i="1"/>
  <c r="O401" i="1"/>
  <c r="N401" i="1"/>
  <c r="M401" i="1"/>
  <c r="F401" i="1"/>
  <c r="D401" i="1"/>
  <c r="B401" i="1"/>
  <c r="O400" i="1"/>
  <c r="N400" i="1"/>
  <c r="M400" i="1"/>
  <c r="F400" i="1"/>
  <c r="D400" i="1"/>
  <c r="B400" i="1"/>
  <c r="O399" i="1"/>
  <c r="N399" i="1"/>
  <c r="M399" i="1"/>
  <c r="F399" i="1"/>
  <c r="D399" i="1"/>
  <c r="B399" i="1"/>
  <c r="O398" i="1"/>
  <c r="N398" i="1"/>
  <c r="M398" i="1"/>
  <c r="F398" i="1"/>
  <c r="D398" i="1"/>
  <c r="B398" i="1"/>
  <c r="O397" i="1"/>
  <c r="N397" i="1"/>
  <c r="M397" i="1"/>
  <c r="F397" i="1"/>
  <c r="D397" i="1"/>
  <c r="B397" i="1"/>
  <c r="O396" i="1"/>
  <c r="N396" i="1"/>
  <c r="M396" i="1"/>
  <c r="F396" i="1"/>
  <c r="D396" i="1"/>
  <c r="B396" i="1"/>
  <c r="O395" i="1"/>
  <c r="N395" i="1"/>
  <c r="M395" i="1"/>
  <c r="F395" i="1"/>
  <c r="D395" i="1"/>
  <c r="B395" i="1"/>
  <c r="O394" i="1"/>
  <c r="N394" i="1"/>
  <c r="M394" i="1"/>
  <c r="F394" i="1"/>
  <c r="D394" i="1"/>
  <c r="B394" i="1"/>
  <c r="O393" i="1"/>
  <c r="N393" i="1"/>
  <c r="M393" i="1"/>
  <c r="F393" i="1"/>
  <c r="D393" i="1"/>
  <c r="B393" i="1"/>
  <c r="O392" i="1"/>
  <c r="N392" i="1"/>
  <c r="M392" i="1"/>
  <c r="F392" i="1"/>
  <c r="D392" i="1"/>
  <c r="B392" i="1"/>
  <c r="O391" i="1"/>
  <c r="N391" i="1"/>
  <c r="M391" i="1"/>
  <c r="F391" i="1"/>
  <c r="D391" i="1"/>
  <c r="B391" i="1"/>
  <c r="O390" i="1"/>
  <c r="N390" i="1"/>
  <c r="M390" i="1"/>
  <c r="F390" i="1"/>
  <c r="D390" i="1"/>
  <c r="B390" i="1"/>
  <c r="O389" i="1"/>
  <c r="N389" i="1"/>
  <c r="M389" i="1"/>
  <c r="F389" i="1"/>
  <c r="D389" i="1"/>
  <c r="B389" i="1"/>
  <c r="O388" i="1"/>
  <c r="N388" i="1"/>
  <c r="M388" i="1"/>
  <c r="F388" i="1"/>
  <c r="D388" i="1"/>
  <c r="B388" i="1"/>
  <c r="O387" i="1"/>
  <c r="N387" i="1"/>
  <c r="M387" i="1"/>
  <c r="F387" i="1"/>
  <c r="D387" i="1"/>
  <c r="B387" i="1"/>
  <c r="O386" i="1"/>
  <c r="N386" i="1"/>
  <c r="M386" i="1"/>
  <c r="F386" i="1"/>
  <c r="D386" i="1"/>
  <c r="B386" i="1"/>
  <c r="O385" i="1"/>
  <c r="N385" i="1"/>
  <c r="M385" i="1"/>
  <c r="F385" i="1"/>
  <c r="D385" i="1"/>
  <c r="B385" i="1"/>
  <c r="O384" i="1"/>
  <c r="N384" i="1"/>
  <c r="M384" i="1"/>
  <c r="F384" i="1"/>
  <c r="D384" i="1"/>
  <c r="B384" i="1"/>
  <c r="O383" i="1"/>
  <c r="N383" i="1"/>
  <c r="M383" i="1"/>
  <c r="F383" i="1"/>
  <c r="D383" i="1"/>
  <c r="B383" i="1"/>
  <c r="O382" i="1"/>
  <c r="N382" i="1"/>
  <c r="M382" i="1"/>
  <c r="F382" i="1"/>
  <c r="D382" i="1"/>
  <c r="B382" i="1"/>
  <c r="O381" i="1"/>
  <c r="N381" i="1"/>
  <c r="M381" i="1"/>
  <c r="F381" i="1"/>
  <c r="D381" i="1"/>
  <c r="B381" i="1"/>
  <c r="O380" i="1"/>
  <c r="N380" i="1"/>
  <c r="M380" i="1"/>
  <c r="F380" i="1"/>
  <c r="D380" i="1"/>
  <c r="B380" i="1"/>
  <c r="O379" i="1"/>
  <c r="N379" i="1"/>
  <c r="M379" i="1"/>
  <c r="F379" i="1"/>
  <c r="D379" i="1"/>
  <c r="B379" i="1"/>
  <c r="O378" i="1"/>
  <c r="N378" i="1"/>
  <c r="M378" i="1"/>
  <c r="F378" i="1"/>
  <c r="D378" i="1"/>
  <c r="B378" i="1"/>
  <c r="O377" i="1"/>
  <c r="N377" i="1"/>
  <c r="M377" i="1"/>
  <c r="F377" i="1"/>
  <c r="D377" i="1"/>
  <c r="B377" i="1"/>
  <c r="O376" i="1"/>
  <c r="N376" i="1"/>
  <c r="M376" i="1"/>
  <c r="F376" i="1"/>
  <c r="D376" i="1"/>
  <c r="B376" i="1"/>
  <c r="O375" i="1"/>
  <c r="N375" i="1"/>
  <c r="M375" i="1"/>
  <c r="F375" i="1"/>
  <c r="D375" i="1"/>
  <c r="B375" i="1"/>
  <c r="O374" i="1"/>
  <c r="N374" i="1"/>
  <c r="M374" i="1"/>
  <c r="F374" i="1"/>
  <c r="D374" i="1"/>
  <c r="B374" i="1"/>
  <c r="O373" i="1"/>
  <c r="N373" i="1"/>
  <c r="M373" i="1"/>
  <c r="F373" i="1"/>
  <c r="D373" i="1"/>
  <c r="B373" i="1"/>
  <c r="O372" i="1"/>
  <c r="N372" i="1"/>
  <c r="M372" i="1"/>
  <c r="F372" i="1"/>
  <c r="D372" i="1"/>
  <c r="B372" i="1"/>
  <c r="O371" i="1"/>
  <c r="N371" i="1"/>
  <c r="M371" i="1"/>
  <c r="F371" i="1"/>
  <c r="D371" i="1"/>
  <c r="B371" i="1"/>
  <c r="O370" i="1"/>
  <c r="N370" i="1"/>
  <c r="M370" i="1"/>
  <c r="F370" i="1"/>
  <c r="D370" i="1"/>
  <c r="B370" i="1"/>
  <c r="O369" i="1"/>
  <c r="N369" i="1"/>
  <c r="M369" i="1"/>
  <c r="F369" i="1"/>
  <c r="D369" i="1"/>
  <c r="B369" i="1"/>
  <c r="O368" i="1"/>
  <c r="N368" i="1"/>
  <c r="M368" i="1"/>
  <c r="F368" i="1"/>
  <c r="D368" i="1"/>
  <c r="B368" i="1"/>
  <c r="O367" i="1"/>
  <c r="N367" i="1"/>
  <c r="M367" i="1"/>
  <c r="F367" i="1"/>
  <c r="D367" i="1"/>
  <c r="B367" i="1"/>
  <c r="O366" i="1"/>
  <c r="N366" i="1"/>
  <c r="M366" i="1"/>
  <c r="F366" i="1"/>
  <c r="D366" i="1"/>
  <c r="B366" i="1"/>
  <c r="O365" i="1"/>
  <c r="N365" i="1"/>
  <c r="M365" i="1"/>
  <c r="F365" i="1"/>
  <c r="D365" i="1"/>
  <c r="B365" i="1"/>
  <c r="O364" i="1"/>
  <c r="N364" i="1"/>
  <c r="M364" i="1"/>
  <c r="F364" i="1"/>
  <c r="D364" i="1"/>
  <c r="B364" i="1"/>
  <c r="O363" i="1"/>
  <c r="N363" i="1"/>
  <c r="M363" i="1"/>
  <c r="F363" i="1"/>
  <c r="D363" i="1"/>
  <c r="B363" i="1"/>
  <c r="O362" i="1"/>
  <c r="N362" i="1"/>
  <c r="M362" i="1"/>
  <c r="F362" i="1"/>
  <c r="D362" i="1"/>
  <c r="B362" i="1"/>
  <c r="O361" i="1"/>
  <c r="N361" i="1"/>
  <c r="M361" i="1"/>
  <c r="F361" i="1"/>
  <c r="D361" i="1"/>
  <c r="B361" i="1"/>
  <c r="O360" i="1"/>
  <c r="N360" i="1"/>
  <c r="M360" i="1"/>
  <c r="F360" i="1"/>
  <c r="D360" i="1"/>
  <c r="B360" i="1"/>
  <c r="O359" i="1"/>
  <c r="N359" i="1"/>
  <c r="M359" i="1"/>
  <c r="F359" i="1"/>
  <c r="D359" i="1"/>
  <c r="B359" i="1"/>
  <c r="O358" i="1"/>
  <c r="N358" i="1"/>
  <c r="M358" i="1"/>
  <c r="F358" i="1"/>
  <c r="D358" i="1"/>
  <c r="B358" i="1"/>
  <c r="O357" i="1"/>
  <c r="N357" i="1"/>
  <c r="M357" i="1"/>
  <c r="F357" i="1"/>
  <c r="D357" i="1"/>
  <c r="B357" i="1"/>
  <c r="O356" i="1"/>
  <c r="N356" i="1"/>
  <c r="M356" i="1"/>
  <c r="F356" i="1"/>
  <c r="D356" i="1"/>
  <c r="B356" i="1"/>
  <c r="O355" i="1"/>
  <c r="N355" i="1"/>
  <c r="M355" i="1"/>
  <c r="F355" i="1"/>
  <c r="D355" i="1"/>
  <c r="B355" i="1"/>
  <c r="O354" i="1"/>
  <c r="N354" i="1"/>
  <c r="M354" i="1"/>
  <c r="F354" i="1"/>
  <c r="D354" i="1"/>
  <c r="B354" i="1"/>
  <c r="O353" i="1"/>
  <c r="N353" i="1"/>
  <c r="M353" i="1"/>
  <c r="F353" i="1"/>
  <c r="D353" i="1"/>
  <c r="B353" i="1"/>
  <c r="O352" i="1"/>
  <c r="N352" i="1"/>
  <c r="M352" i="1"/>
  <c r="F352" i="1"/>
  <c r="D352" i="1"/>
  <c r="B352" i="1"/>
  <c r="O351" i="1"/>
  <c r="N351" i="1"/>
  <c r="M351" i="1"/>
  <c r="F351" i="1"/>
  <c r="D351" i="1"/>
  <c r="B351" i="1"/>
  <c r="O350" i="1"/>
  <c r="N350" i="1"/>
  <c r="M350" i="1"/>
  <c r="F350" i="1"/>
  <c r="D350" i="1"/>
  <c r="B350" i="1"/>
  <c r="O349" i="1"/>
  <c r="N349" i="1"/>
  <c r="M349" i="1"/>
  <c r="F349" i="1"/>
  <c r="D349" i="1"/>
  <c r="B349" i="1"/>
  <c r="O348" i="1"/>
  <c r="N348" i="1"/>
  <c r="M348" i="1"/>
  <c r="F348" i="1"/>
  <c r="D348" i="1"/>
  <c r="B348" i="1"/>
  <c r="O347" i="1"/>
  <c r="N347" i="1"/>
  <c r="M347" i="1"/>
  <c r="F347" i="1"/>
  <c r="D347" i="1"/>
  <c r="B347" i="1"/>
  <c r="O346" i="1"/>
  <c r="N346" i="1"/>
  <c r="M346" i="1"/>
  <c r="F346" i="1"/>
  <c r="D346" i="1"/>
  <c r="B346" i="1"/>
  <c r="O345" i="1"/>
  <c r="N345" i="1"/>
  <c r="M345" i="1"/>
  <c r="F345" i="1"/>
  <c r="D345" i="1"/>
  <c r="B345" i="1"/>
  <c r="O344" i="1"/>
  <c r="N344" i="1"/>
  <c r="M344" i="1"/>
  <c r="F344" i="1"/>
  <c r="D344" i="1"/>
  <c r="B344" i="1"/>
  <c r="O343" i="1"/>
  <c r="N343" i="1"/>
  <c r="M343" i="1"/>
  <c r="F343" i="1"/>
  <c r="D343" i="1"/>
  <c r="B343" i="1"/>
  <c r="O342" i="1"/>
  <c r="N342" i="1"/>
  <c r="M342" i="1"/>
  <c r="F342" i="1"/>
  <c r="D342" i="1"/>
  <c r="B342" i="1"/>
  <c r="O341" i="1"/>
  <c r="N341" i="1"/>
  <c r="M341" i="1"/>
  <c r="F341" i="1"/>
  <c r="D341" i="1"/>
  <c r="B341" i="1"/>
  <c r="O340" i="1"/>
  <c r="N340" i="1"/>
  <c r="M340" i="1"/>
  <c r="F340" i="1"/>
  <c r="D340" i="1"/>
  <c r="B340" i="1"/>
  <c r="O339" i="1"/>
  <c r="N339" i="1"/>
  <c r="M339" i="1"/>
  <c r="F339" i="1"/>
  <c r="D339" i="1"/>
  <c r="B339" i="1"/>
  <c r="O338" i="1"/>
  <c r="N338" i="1"/>
  <c r="M338" i="1"/>
  <c r="F338" i="1"/>
  <c r="D338" i="1"/>
  <c r="B338" i="1"/>
  <c r="O337" i="1"/>
  <c r="N337" i="1"/>
  <c r="M337" i="1"/>
  <c r="F337" i="1"/>
  <c r="D337" i="1"/>
  <c r="B337" i="1"/>
  <c r="O336" i="1"/>
  <c r="N336" i="1"/>
  <c r="M336" i="1"/>
  <c r="F336" i="1"/>
  <c r="D336" i="1"/>
  <c r="B336" i="1"/>
  <c r="O335" i="1"/>
  <c r="N335" i="1"/>
  <c r="M335" i="1"/>
  <c r="F335" i="1"/>
  <c r="D335" i="1"/>
  <c r="B335" i="1"/>
  <c r="O334" i="1"/>
  <c r="N334" i="1"/>
  <c r="M334" i="1"/>
  <c r="F334" i="1"/>
  <c r="D334" i="1"/>
  <c r="B334" i="1"/>
  <c r="O333" i="1"/>
  <c r="N333" i="1"/>
  <c r="M333" i="1"/>
  <c r="F333" i="1"/>
  <c r="D333" i="1"/>
  <c r="B333" i="1"/>
  <c r="O332" i="1"/>
  <c r="N332" i="1"/>
  <c r="M332" i="1"/>
  <c r="F332" i="1"/>
  <c r="D332" i="1"/>
  <c r="B332" i="1"/>
  <c r="O331" i="1"/>
  <c r="N331" i="1"/>
  <c r="M331" i="1"/>
  <c r="F331" i="1"/>
  <c r="D331" i="1"/>
  <c r="B331" i="1"/>
  <c r="O330" i="1"/>
  <c r="N330" i="1"/>
  <c r="M330" i="1"/>
  <c r="F330" i="1"/>
  <c r="D330" i="1"/>
  <c r="B330" i="1"/>
  <c r="O329" i="1"/>
  <c r="N329" i="1"/>
  <c r="M329" i="1"/>
  <c r="F329" i="1"/>
  <c r="D329" i="1"/>
  <c r="B329" i="1"/>
  <c r="O328" i="1"/>
  <c r="N328" i="1"/>
  <c r="M328" i="1"/>
  <c r="F328" i="1"/>
  <c r="D328" i="1"/>
  <c r="B328" i="1"/>
  <c r="O327" i="1"/>
  <c r="N327" i="1"/>
  <c r="M327" i="1"/>
  <c r="F327" i="1"/>
  <c r="D327" i="1"/>
  <c r="B327" i="1"/>
  <c r="O326" i="1"/>
  <c r="N326" i="1"/>
  <c r="M326" i="1"/>
  <c r="F326" i="1"/>
  <c r="D326" i="1"/>
  <c r="B326" i="1"/>
  <c r="O325" i="1"/>
  <c r="N325" i="1"/>
  <c r="M325" i="1"/>
  <c r="F325" i="1"/>
  <c r="D325" i="1"/>
  <c r="B325" i="1"/>
  <c r="O324" i="1"/>
  <c r="N324" i="1"/>
  <c r="M324" i="1"/>
  <c r="F324" i="1"/>
  <c r="D324" i="1"/>
  <c r="B324" i="1"/>
  <c r="O323" i="1"/>
  <c r="N323" i="1"/>
  <c r="M323" i="1"/>
  <c r="F323" i="1"/>
  <c r="D323" i="1"/>
  <c r="B323" i="1"/>
  <c r="O322" i="1"/>
  <c r="N322" i="1"/>
  <c r="M322" i="1"/>
  <c r="F322" i="1"/>
  <c r="D322" i="1"/>
  <c r="B322" i="1"/>
  <c r="O321" i="1"/>
  <c r="N321" i="1"/>
  <c r="M321" i="1"/>
  <c r="F321" i="1"/>
  <c r="D321" i="1"/>
  <c r="B321" i="1"/>
  <c r="O320" i="1"/>
  <c r="N320" i="1"/>
  <c r="M320" i="1"/>
  <c r="F320" i="1"/>
  <c r="D320" i="1"/>
  <c r="B320" i="1"/>
  <c r="O319" i="1"/>
  <c r="N319" i="1"/>
  <c r="M319" i="1"/>
  <c r="F319" i="1"/>
  <c r="D319" i="1"/>
  <c r="B319" i="1"/>
  <c r="O318" i="1"/>
  <c r="N318" i="1"/>
  <c r="M318" i="1"/>
  <c r="F318" i="1"/>
  <c r="D318" i="1"/>
  <c r="B318" i="1"/>
  <c r="O317" i="1"/>
  <c r="N317" i="1"/>
  <c r="M317" i="1"/>
  <c r="F317" i="1"/>
  <c r="D317" i="1"/>
  <c r="B317" i="1"/>
  <c r="O316" i="1"/>
  <c r="N316" i="1"/>
  <c r="M316" i="1"/>
  <c r="F316" i="1"/>
  <c r="D316" i="1"/>
  <c r="B316" i="1"/>
  <c r="O315" i="1"/>
  <c r="N315" i="1"/>
  <c r="M315" i="1"/>
  <c r="F315" i="1"/>
  <c r="D315" i="1"/>
  <c r="B315" i="1"/>
  <c r="O314" i="1"/>
  <c r="N314" i="1"/>
  <c r="M314" i="1"/>
  <c r="F314" i="1"/>
  <c r="D314" i="1"/>
  <c r="B314" i="1"/>
  <c r="O313" i="1"/>
  <c r="N313" i="1"/>
  <c r="M313" i="1"/>
  <c r="F313" i="1"/>
  <c r="D313" i="1"/>
  <c r="B313" i="1"/>
  <c r="O312" i="1"/>
  <c r="N312" i="1"/>
  <c r="M312" i="1"/>
  <c r="F312" i="1"/>
  <c r="D312" i="1"/>
  <c r="B312" i="1"/>
  <c r="O311" i="1"/>
  <c r="N311" i="1"/>
  <c r="M311" i="1"/>
  <c r="F311" i="1"/>
  <c r="D311" i="1"/>
  <c r="B311" i="1"/>
  <c r="O310" i="1"/>
  <c r="N310" i="1"/>
  <c r="M310" i="1"/>
  <c r="F310" i="1"/>
  <c r="D310" i="1"/>
  <c r="B310" i="1"/>
  <c r="O309" i="1"/>
  <c r="N309" i="1"/>
  <c r="M309" i="1"/>
  <c r="F309" i="1"/>
  <c r="D309" i="1"/>
  <c r="B309" i="1"/>
  <c r="O308" i="1"/>
  <c r="N308" i="1"/>
  <c r="M308" i="1"/>
  <c r="F308" i="1"/>
  <c r="D308" i="1"/>
  <c r="B308" i="1"/>
  <c r="O307" i="1"/>
  <c r="N307" i="1"/>
  <c r="M307" i="1"/>
  <c r="F307" i="1"/>
  <c r="D307" i="1"/>
  <c r="B307" i="1"/>
  <c r="O306" i="1"/>
  <c r="N306" i="1"/>
  <c r="M306" i="1"/>
  <c r="F306" i="1"/>
  <c r="D306" i="1"/>
  <c r="B306" i="1"/>
  <c r="O305" i="1"/>
  <c r="N305" i="1"/>
  <c r="M305" i="1"/>
  <c r="F305" i="1"/>
  <c r="D305" i="1"/>
  <c r="B305" i="1"/>
  <c r="O304" i="1"/>
  <c r="N304" i="1"/>
  <c r="M304" i="1"/>
  <c r="F304" i="1"/>
  <c r="D304" i="1"/>
  <c r="B304" i="1"/>
  <c r="O303" i="1"/>
  <c r="N303" i="1"/>
  <c r="M303" i="1"/>
  <c r="F303" i="1"/>
  <c r="D303" i="1"/>
  <c r="B303" i="1"/>
  <c r="O302" i="1"/>
  <c r="N302" i="1"/>
  <c r="M302" i="1"/>
  <c r="F302" i="1"/>
  <c r="D302" i="1"/>
  <c r="B302" i="1"/>
  <c r="O301" i="1"/>
  <c r="N301" i="1"/>
  <c r="M301" i="1"/>
  <c r="F301" i="1"/>
  <c r="D301" i="1"/>
  <c r="B301" i="1"/>
  <c r="O300" i="1"/>
  <c r="N300" i="1"/>
  <c r="M300" i="1"/>
  <c r="F300" i="1"/>
  <c r="D300" i="1"/>
  <c r="B300" i="1"/>
  <c r="O299" i="1"/>
  <c r="N299" i="1"/>
  <c r="M299" i="1"/>
  <c r="F299" i="1"/>
  <c r="D299" i="1"/>
  <c r="B299" i="1"/>
  <c r="O298" i="1"/>
  <c r="N298" i="1"/>
  <c r="M298" i="1"/>
  <c r="F298" i="1"/>
  <c r="D298" i="1"/>
  <c r="B298" i="1"/>
  <c r="O297" i="1"/>
  <c r="N297" i="1"/>
  <c r="M297" i="1"/>
  <c r="F297" i="1"/>
  <c r="D297" i="1"/>
  <c r="B297" i="1"/>
  <c r="O296" i="1"/>
  <c r="N296" i="1"/>
  <c r="M296" i="1"/>
  <c r="F296" i="1"/>
  <c r="D296" i="1"/>
  <c r="B296" i="1"/>
  <c r="O295" i="1"/>
  <c r="N295" i="1"/>
  <c r="M295" i="1"/>
  <c r="F295" i="1"/>
  <c r="D295" i="1"/>
  <c r="B295" i="1"/>
  <c r="O294" i="1"/>
  <c r="N294" i="1"/>
  <c r="M294" i="1"/>
  <c r="F294" i="1"/>
  <c r="D294" i="1"/>
  <c r="B294" i="1"/>
  <c r="O293" i="1"/>
  <c r="N293" i="1"/>
  <c r="M293" i="1"/>
  <c r="F293" i="1"/>
  <c r="D293" i="1"/>
  <c r="B293" i="1"/>
  <c r="O292" i="1"/>
  <c r="N292" i="1"/>
  <c r="M292" i="1"/>
  <c r="F292" i="1"/>
  <c r="D292" i="1"/>
  <c r="B292" i="1"/>
  <c r="O291" i="1"/>
  <c r="N291" i="1"/>
  <c r="M291" i="1"/>
  <c r="F291" i="1"/>
  <c r="D291" i="1"/>
  <c r="B291" i="1"/>
  <c r="O290" i="1"/>
  <c r="N290" i="1"/>
  <c r="M290" i="1"/>
  <c r="F290" i="1"/>
  <c r="D290" i="1"/>
  <c r="B290" i="1"/>
  <c r="O289" i="1"/>
  <c r="N289" i="1"/>
  <c r="M289" i="1"/>
  <c r="F289" i="1"/>
  <c r="D289" i="1"/>
  <c r="B289" i="1"/>
  <c r="O288" i="1"/>
  <c r="N288" i="1"/>
  <c r="M288" i="1"/>
  <c r="F288" i="1"/>
  <c r="D288" i="1"/>
  <c r="B288" i="1"/>
  <c r="O287" i="1"/>
  <c r="N287" i="1"/>
  <c r="M287" i="1"/>
  <c r="F287" i="1"/>
  <c r="D287" i="1"/>
  <c r="B287" i="1"/>
  <c r="O286" i="1"/>
  <c r="N286" i="1"/>
  <c r="M286" i="1"/>
  <c r="F286" i="1"/>
  <c r="D286" i="1"/>
  <c r="B286" i="1"/>
  <c r="O285" i="1"/>
  <c r="N285" i="1"/>
  <c r="M285" i="1"/>
  <c r="F285" i="1"/>
  <c r="D285" i="1"/>
  <c r="B285" i="1"/>
  <c r="O284" i="1"/>
  <c r="N284" i="1"/>
  <c r="M284" i="1"/>
  <c r="F284" i="1"/>
  <c r="D284" i="1"/>
  <c r="B284" i="1"/>
  <c r="O283" i="1"/>
  <c r="N283" i="1"/>
  <c r="M283" i="1"/>
  <c r="F283" i="1"/>
  <c r="D283" i="1"/>
  <c r="B283" i="1"/>
  <c r="O282" i="1"/>
  <c r="N282" i="1"/>
  <c r="M282" i="1"/>
  <c r="F282" i="1"/>
  <c r="D282" i="1"/>
  <c r="B282" i="1"/>
  <c r="O281" i="1"/>
  <c r="N281" i="1"/>
  <c r="M281" i="1"/>
  <c r="F281" i="1"/>
  <c r="D281" i="1"/>
  <c r="B281" i="1"/>
  <c r="O280" i="1"/>
  <c r="N280" i="1"/>
  <c r="M280" i="1"/>
  <c r="F280" i="1"/>
  <c r="D280" i="1"/>
  <c r="B280" i="1"/>
  <c r="O279" i="1"/>
  <c r="N279" i="1"/>
  <c r="M279" i="1"/>
  <c r="F279" i="1"/>
  <c r="D279" i="1"/>
  <c r="B279" i="1"/>
  <c r="O278" i="1"/>
  <c r="N278" i="1"/>
  <c r="M278" i="1"/>
  <c r="F278" i="1"/>
  <c r="D278" i="1"/>
  <c r="B278" i="1"/>
  <c r="O277" i="1"/>
  <c r="N277" i="1"/>
  <c r="M277" i="1"/>
  <c r="F277" i="1"/>
  <c r="D277" i="1"/>
  <c r="B277" i="1"/>
  <c r="O276" i="1"/>
  <c r="N276" i="1"/>
  <c r="M276" i="1"/>
  <c r="F276" i="1"/>
  <c r="D276" i="1"/>
  <c r="B276" i="1"/>
  <c r="O275" i="1"/>
  <c r="N275" i="1"/>
  <c r="M275" i="1"/>
  <c r="F275" i="1"/>
  <c r="D275" i="1"/>
  <c r="B275" i="1"/>
  <c r="O274" i="1"/>
  <c r="N274" i="1"/>
  <c r="M274" i="1"/>
  <c r="F274" i="1"/>
  <c r="D274" i="1"/>
  <c r="B274" i="1"/>
  <c r="O273" i="1"/>
  <c r="N273" i="1"/>
  <c r="M273" i="1"/>
  <c r="F273" i="1"/>
  <c r="D273" i="1"/>
  <c r="B273" i="1"/>
  <c r="O272" i="1"/>
  <c r="N272" i="1"/>
  <c r="M272" i="1"/>
  <c r="F272" i="1"/>
  <c r="D272" i="1"/>
  <c r="B272" i="1"/>
  <c r="O271" i="1"/>
  <c r="N271" i="1"/>
  <c r="M271" i="1"/>
  <c r="F271" i="1"/>
  <c r="D271" i="1"/>
  <c r="B271" i="1"/>
  <c r="O270" i="1"/>
  <c r="N270" i="1"/>
  <c r="M270" i="1"/>
  <c r="F270" i="1"/>
  <c r="D270" i="1"/>
  <c r="B270" i="1"/>
  <c r="O269" i="1"/>
  <c r="N269" i="1"/>
  <c r="M269" i="1"/>
  <c r="F269" i="1"/>
  <c r="D269" i="1"/>
  <c r="B269" i="1"/>
  <c r="O268" i="1"/>
  <c r="N268" i="1"/>
  <c r="M268" i="1"/>
  <c r="F268" i="1"/>
  <c r="D268" i="1"/>
  <c r="B268" i="1"/>
  <c r="O267" i="1"/>
  <c r="N267" i="1"/>
  <c r="M267" i="1"/>
  <c r="F267" i="1"/>
  <c r="D267" i="1"/>
  <c r="B267" i="1"/>
  <c r="O266" i="1"/>
  <c r="N266" i="1"/>
  <c r="M266" i="1"/>
  <c r="F266" i="1"/>
  <c r="D266" i="1"/>
  <c r="B266" i="1"/>
  <c r="O265" i="1"/>
  <c r="N265" i="1"/>
  <c r="M265" i="1"/>
  <c r="F265" i="1"/>
  <c r="D265" i="1"/>
  <c r="B265" i="1"/>
  <c r="O264" i="1"/>
  <c r="N264" i="1"/>
  <c r="M264" i="1"/>
  <c r="F264" i="1"/>
  <c r="D264" i="1"/>
  <c r="B264" i="1"/>
  <c r="O263" i="1"/>
  <c r="N263" i="1"/>
  <c r="M263" i="1"/>
  <c r="F263" i="1"/>
  <c r="D263" i="1"/>
  <c r="B263" i="1"/>
  <c r="O262" i="1"/>
  <c r="N262" i="1"/>
  <c r="M262" i="1"/>
  <c r="F262" i="1"/>
  <c r="D262" i="1"/>
  <c r="B262" i="1"/>
  <c r="O261" i="1"/>
  <c r="N261" i="1"/>
  <c r="M261" i="1"/>
  <c r="F261" i="1"/>
  <c r="D261" i="1"/>
  <c r="B261" i="1"/>
  <c r="O260" i="1"/>
  <c r="N260" i="1"/>
  <c r="M260" i="1"/>
  <c r="F260" i="1"/>
  <c r="D260" i="1"/>
  <c r="B260" i="1"/>
  <c r="O259" i="1"/>
  <c r="N259" i="1"/>
  <c r="M259" i="1"/>
  <c r="F259" i="1"/>
  <c r="D259" i="1"/>
  <c r="B259" i="1"/>
  <c r="O258" i="1"/>
  <c r="N258" i="1"/>
  <c r="M258" i="1"/>
  <c r="F258" i="1"/>
  <c r="D258" i="1"/>
  <c r="B258" i="1"/>
  <c r="O257" i="1"/>
  <c r="N257" i="1"/>
  <c r="M257" i="1"/>
  <c r="F257" i="1"/>
  <c r="D257" i="1"/>
  <c r="B257" i="1"/>
  <c r="O256" i="1"/>
  <c r="N256" i="1"/>
  <c r="M256" i="1"/>
  <c r="F256" i="1"/>
  <c r="D256" i="1"/>
  <c r="B256" i="1"/>
  <c r="O255" i="1"/>
  <c r="N255" i="1"/>
  <c r="M255" i="1"/>
  <c r="F255" i="1"/>
  <c r="D255" i="1"/>
  <c r="B255" i="1"/>
  <c r="O254" i="1"/>
  <c r="N254" i="1"/>
  <c r="M254" i="1"/>
  <c r="F254" i="1"/>
  <c r="D254" i="1"/>
  <c r="B254" i="1"/>
  <c r="O253" i="1"/>
  <c r="N253" i="1"/>
  <c r="M253" i="1"/>
  <c r="F253" i="1"/>
  <c r="D253" i="1"/>
  <c r="B253" i="1"/>
  <c r="O252" i="1"/>
  <c r="N252" i="1"/>
  <c r="M252" i="1"/>
  <c r="F252" i="1"/>
  <c r="D252" i="1"/>
  <c r="B252" i="1"/>
  <c r="O251" i="1"/>
  <c r="N251" i="1"/>
  <c r="M251" i="1"/>
  <c r="F251" i="1"/>
  <c r="D251" i="1"/>
  <c r="B251" i="1"/>
  <c r="O250" i="1"/>
  <c r="N250" i="1"/>
  <c r="M250" i="1"/>
  <c r="F250" i="1"/>
  <c r="D250" i="1"/>
  <c r="B250" i="1"/>
  <c r="O249" i="1"/>
  <c r="N249" i="1"/>
  <c r="M249" i="1"/>
  <c r="F249" i="1"/>
  <c r="D249" i="1"/>
  <c r="B249" i="1"/>
  <c r="O248" i="1"/>
  <c r="N248" i="1"/>
  <c r="M248" i="1"/>
  <c r="F248" i="1"/>
  <c r="D248" i="1"/>
  <c r="B248" i="1"/>
  <c r="O247" i="1"/>
  <c r="N247" i="1"/>
  <c r="M247" i="1"/>
  <c r="F247" i="1"/>
  <c r="D247" i="1"/>
  <c r="B247" i="1"/>
  <c r="O246" i="1"/>
  <c r="N246" i="1"/>
  <c r="M246" i="1"/>
  <c r="F246" i="1"/>
  <c r="D246" i="1"/>
  <c r="B246" i="1"/>
  <c r="O245" i="1"/>
  <c r="N245" i="1"/>
  <c r="M245" i="1"/>
  <c r="F245" i="1"/>
  <c r="D245" i="1"/>
  <c r="B245" i="1"/>
  <c r="O244" i="1"/>
  <c r="N244" i="1"/>
  <c r="M244" i="1"/>
  <c r="F244" i="1"/>
  <c r="D244" i="1"/>
  <c r="B244" i="1"/>
  <c r="O243" i="1"/>
  <c r="N243" i="1"/>
  <c r="M243" i="1"/>
  <c r="F243" i="1"/>
  <c r="D243" i="1"/>
  <c r="B243" i="1"/>
  <c r="O242" i="1"/>
  <c r="N242" i="1"/>
  <c r="M242" i="1"/>
  <c r="F242" i="1"/>
  <c r="D242" i="1"/>
  <c r="B242" i="1"/>
  <c r="O241" i="1"/>
  <c r="N241" i="1"/>
  <c r="M241" i="1"/>
  <c r="F241" i="1"/>
  <c r="D241" i="1"/>
  <c r="B241" i="1"/>
  <c r="O240" i="1"/>
  <c r="N240" i="1"/>
  <c r="M240" i="1"/>
  <c r="F240" i="1"/>
  <c r="D240" i="1"/>
  <c r="B240" i="1"/>
  <c r="O239" i="1"/>
  <c r="N239" i="1"/>
  <c r="M239" i="1"/>
  <c r="F239" i="1"/>
  <c r="D239" i="1"/>
  <c r="B239" i="1"/>
  <c r="O238" i="1"/>
  <c r="N238" i="1"/>
  <c r="M238" i="1"/>
  <c r="F238" i="1"/>
  <c r="D238" i="1"/>
  <c r="B238" i="1"/>
  <c r="O237" i="1"/>
  <c r="N237" i="1"/>
  <c r="M237" i="1"/>
  <c r="F237" i="1"/>
  <c r="D237" i="1"/>
  <c r="B237" i="1"/>
  <c r="O236" i="1"/>
  <c r="N236" i="1"/>
  <c r="M236" i="1"/>
  <c r="F236" i="1"/>
  <c r="D236" i="1"/>
  <c r="B236" i="1"/>
  <c r="O235" i="1"/>
  <c r="N235" i="1"/>
  <c r="M235" i="1"/>
  <c r="F235" i="1"/>
  <c r="D235" i="1"/>
  <c r="B235" i="1"/>
  <c r="O234" i="1"/>
  <c r="N234" i="1"/>
  <c r="M234" i="1"/>
  <c r="F234" i="1"/>
  <c r="D234" i="1"/>
  <c r="B234" i="1"/>
  <c r="O233" i="1"/>
  <c r="N233" i="1"/>
  <c r="M233" i="1"/>
  <c r="F233" i="1"/>
  <c r="D233" i="1"/>
  <c r="B233" i="1"/>
  <c r="O232" i="1"/>
  <c r="N232" i="1"/>
  <c r="M232" i="1"/>
  <c r="F232" i="1"/>
  <c r="D232" i="1"/>
  <c r="B232" i="1"/>
  <c r="O231" i="1"/>
  <c r="N231" i="1"/>
  <c r="M231" i="1"/>
  <c r="F231" i="1"/>
  <c r="D231" i="1"/>
  <c r="B231" i="1"/>
  <c r="O230" i="1"/>
  <c r="N230" i="1"/>
  <c r="M230" i="1"/>
  <c r="F230" i="1"/>
  <c r="D230" i="1"/>
  <c r="B230" i="1"/>
  <c r="O229" i="1"/>
  <c r="N229" i="1"/>
  <c r="M229" i="1"/>
  <c r="F229" i="1"/>
  <c r="D229" i="1"/>
  <c r="B229" i="1"/>
  <c r="O228" i="1"/>
  <c r="N228" i="1"/>
  <c r="M228" i="1"/>
  <c r="F228" i="1"/>
  <c r="D228" i="1"/>
  <c r="B228" i="1"/>
  <c r="O227" i="1"/>
  <c r="N227" i="1"/>
  <c r="M227" i="1"/>
  <c r="F227" i="1"/>
  <c r="D227" i="1"/>
  <c r="B227" i="1"/>
  <c r="O226" i="1"/>
  <c r="N226" i="1"/>
  <c r="M226" i="1"/>
  <c r="F226" i="1"/>
  <c r="D226" i="1"/>
  <c r="B226" i="1"/>
  <c r="O225" i="1"/>
  <c r="N225" i="1"/>
  <c r="M225" i="1"/>
  <c r="F225" i="1"/>
  <c r="D225" i="1"/>
  <c r="B225" i="1"/>
  <c r="O224" i="1"/>
  <c r="N224" i="1"/>
  <c r="M224" i="1"/>
  <c r="F224" i="1"/>
  <c r="D224" i="1"/>
  <c r="B224" i="1"/>
  <c r="O223" i="1"/>
  <c r="N223" i="1"/>
  <c r="M223" i="1"/>
  <c r="F223" i="1"/>
  <c r="D223" i="1"/>
  <c r="B223" i="1"/>
  <c r="O222" i="1"/>
  <c r="N222" i="1"/>
  <c r="M222" i="1"/>
  <c r="F222" i="1"/>
  <c r="D222" i="1"/>
  <c r="B222" i="1"/>
  <c r="O221" i="1"/>
  <c r="N221" i="1"/>
  <c r="M221" i="1"/>
  <c r="F221" i="1"/>
  <c r="D221" i="1"/>
  <c r="B221" i="1"/>
  <c r="O220" i="1"/>
  <c r="N220" i="1"/>
  <c r="M220" i="1"/>
  <c r="F220" i="1"/>
  <c r="D220" i="1"/>
  <c r="B220" i="1"/>
  <c r="O219" i="1"/>
  <c r="N219" i="1"/>
  <c r="M219" i="1"/>
  <c r="F219" i="1"/>
  <c r="D219" i="1"/>
  <c r="B219" i="1"/>
  <c r="O218" i="1"/>
  <c r="N218" i="1"/>
  <c r="M218" i="1"/>
  <c r="F218" i="1"/>
  <c r="D218" i="1"/>
  <c r="B218" i="1"/>
  <c r="O217" i="1"/>
  <c r="N217" i="1"/>
  <c r="M217" i="1"/>
  <c r="F217" i="1"/>
  <c r="D217" i="1"/>
  <c r="B217" i="1"/>
  <c r="O216" i="1"/>
  <c r="N216" i="1"/>
  <c r="M216" i="1"/>
  <c r="F216" i="1"/>
  <c r="D216" i="1"/>
  <c r="B216" i="1"/>
  <c r="O215" i="1"/>
  <c r="N215" i="1"/>
  <c r="M215" i="1"/>
  <c r="F215" i="1"/>
  <c r="D215" i="1"/>
  <c r="B215" i="1"/>
  <c r="O214" i="1"/>
  <c r="N214" i="1"/>
  <c r="M214" i="1"/>
  <c r="F214" i="1"/>
  <c r="D214" i="1"/>
  <c r="B214" i="1"/>
  <c r="O213" i="1"/>
  <c r="N213" i="1"/>
  <c r="M213" i="1"/>
  <c r="F213" i="1"/>
  <c r="D213" i="1"/>
  <c r="B213" i="1"/>
  <c r="O212" i="1"/>
  <c r="N212" i="1"/>
  <c r="M212" i="1"/>
  <c r="F212" i="1"/>
  <c r="D212" i="1"/>
  <c r="B212" i="1"/>
  <c r="O211" i="1"/>
  <c r="N211" i="1"/>
  <c r="M211" i="1"/>
  <c r="F211" i="1"/>
  <c r="D211" i="1"/>
  <c r="B211" i="1"/>
  <c r="O210" i="1"/>
  <c r="N210" i="1"/>
  <c r="M210" i="1"/>
  <c r="F210" i="1"/>
  <c r="D210" i="1"/>
  <c r="B210" i="1"/>
  <c r="O209" i="1"/>
  <c r="N209" i="1"/>
  <c r="M209" i="1"/>
  <c r="F209" i="1"/>
  <c r="D209" i="1"/>
  <c r="B209" i="1"/>
  <c r="O208" i="1"/>
  <c r="N208" i="1"/>
  <c r="M208" i="1"/>
  <c r="F208" i="1"/>
  <c r="D208" i="1"/>
  <c r="B208" i="1"/>
  <c r="O207" i="1"/>
  <c r="N207" i="1"/>
  <c r="M207" i="1"/>
  <c r="F207" i="1"/>
  <c r="D207" i="1"/>
  <c r="B207" i="1"/>
  <c r="O206" i="1"/>
  <c r="N206" i="1"/>
  <c r="M206" i="1"/>
  <c r="F206" i="1"/>
  <c r="D206" i="1"/>
  <c r="B206" i="1"/>
  <c r="O205" i="1"/>
  <c r="N205" i="1"/>
  <c r="M205" i="1"/>
  <c r="F205" i="1"/>
  <c r="D205" i="1"/>
  <c r="B205" i="1"/>
  <c r="O204" i="1"/>
  <c r="N204" i="1"/>
  <c r="M204" i="1"/>
  <c r="F204" i="1"/>
  <c r="D204" i="1"/>
  <c r="B204" i="1"/>
  <c r="O203" i="1"/>
  <c r="N203" i="1"/>
  <c r="M203" i="1"/>
  <c r="F203" i="1"/>
  <c r="D203" i="1"/>
  <c r="B203" i="1"/>
  <c r="O202" i="1"/>
  <c r="N202" i="1"/>
  <c r="M202" i="1"/>
  <c r="F202" i="1"/>
  <c r="D202" i="1"/>
  <c r="B202" i="1"/>
  <c r="O201" i="1"/>
  <c r="N201" i="1"/>
  <c r="M201" i="1"/>
  <c r="F201" i="1"/>
  <c r="D201" i="1"/>
  <c r="B201" i="1"/>
  <c r="O200" i="1"/>
  <c r="N200" i="1"/>
  <c r="M200" i="1"/>
  <c r="F200" i="1"/>
  <c r="D200" i="1"/>
  <c r="B200" i="1"/>
  <c r="O199" i="1"/>
  <c r="N199" i="1"/>
  <c r="M199" i="1"/>
  <c r="F199" i="1"/>
  <c r="D199" i="1"/>
  <c r="B199" i="1"/>
  <c r="O198" i="1"/>
  <c r="N198" i="1"/>
  <c r="M198" i="1"/>
  <c r="F198" i="1"/>
  <c r="D198" i="1"/>
  <c r="B198" i="1"/>
  <c r="O197" i="1"/>
  <c r="N197" i="1"/>
  <c r="M197" i="1"/>
  <c r="F197" i="1"/>
  <c r="D197" i="1"/>
  <c r="B197" i="1"/>
  <c r="O196" i="1"/>
  <c r="N196" i="1"/>
  <c r="M196" i="1"/>
  <c r="F196" i="1"/>
  <c r="D196" i="1"/>
  <c r="B196" i="1"/>
  <c r="O195" i="1"/>
  <c r="N195" i="1"/>
  <c r="M195" i="1"/>
  <c r="F195" i="1"/>
  <c r="D195" i="1"/>
  <c r="B195" i="1"/>
  <c r="O194" i="1"/>
  <c r="N194" i="1"/>
  <c r="M194" i="1"/>
  <c r="F194" i="1"/>
  <c r="D194" i="1"/>
  <c r="B194" i="1"/>
  <c r="O193" i="1"/>
  <c r="N193" i="1"/>
  <c r="M193" i="1"/>
  <c r="F193" i="1"/>
  <c r="D193" i="1"/>
  <c r="B193" i="1"/>
  <c r="O192" i="1"/>
  <c r="N192" i="1"/>
  <c r="M192" i="1"/>
  <c r="F192" i="1"/>
  <c r="D192" i="1"/>
  <c r="B192" i="1"/>
  <c r="O191" i="1"/>
  <c r="N191" i="1"/>
  <c r="M191" i="1"/>
  <c r="F191" i="1"/>
  <c r="D191" i="1"/>
  <c r="B191" i="1"/>
  <c r="O190" i="1"/>
  <c r="N190" i="1"/>
  <c r="M190" i="1"/>
  <c r="F190" i="1"/>
  <c r="D190" i="1"/>
  <c r="B190" i="1"/>
  <c r="O189" i="1"/>
  <c r="N189" i="1"/>
  <c r="M189" i="1"/>
  <c r="F189" i="1"/>
  <c r="D189" i="1"/>
  <c r="B189" i="1"/>
  <c r="O188" i="1"/>
  <c r="N188" i="1"/>
  <c r="M188" i="1"/>
  <c r="F188" i="1"/>
  <c r="D188" i="1"/>
  <c r="B188" i="1"/>
  <c r="O187" i="1"/>
  <c r="N187" i="1"/>
  <c r="M187" i="1"/>
  <c r="F187" i="1"/>
  <c r="D187" i="1"/>
  <c r="B187" i="1"/>
  <c r="O186" i="1"/>
  <c r="N186" i="1"/>
  <c r="M186" i="1"/>
  <c r="F186" i="1"/>
  <c r="D186" i="1"/>
  <c r="B186" i="1"/>
  <c r="O185" i="1"/>
  <c r="N185" i="1"/>
  <c r="M185" i="1"/>
  <c r="F185" i="1"/>
  <c r="D185" i="1"/>
  <c r="B185" i="1"/>
  <c r="O184" i="1"/>
  <c r="N184" i="1"/>
  <c r="M184" i="1"/>
  <c r="F184" i="1"/>
  <c r="D184" i="1"/>
  <c r="B184" i="1"/>
  <c r="O183" i="1"/>
  <c r="N183" i="1"/>
  <c r="M183" i="1"/>
  <c r="F183" i="1"/>
  <c r="D183" i="1"/>
  <c r="B183" i="1"/>
  <c r="O182" i="1"/>
  <c r="N182" i="1"/>
  <c r="M182" i="1"/>
  <c r="F182" i="1"/>
  <c r="D182" i="1"/>
  <c r="B182" i="1"/>
  <c r="O181" i="1"/>
  <c r="N181" i="1"/>
  <c r="M181" i="1"/>
  <c r="F181" i="1"/>
  <c r="D181" i="1"/>
  <c r="B181" i="1"/>
  <c r="O180" i="1"/>
  <c r="N180" i="1"/>
  <c r="M180" i="1"/>
  <c r="F180" i="1"/>
  <c r="D180" i="1"/>
  <c r="B180" i="1"/>
  <c r="O179" i="1"/>
  <c r="N179" i="1"/>
  <c r="M179" i="1"/>
  <c r="F179" i="1"/>
  <c r="D179" i="1"/>
  <c r="B179" i="1"/>
  <c r="O178" i="1"/>
  <c r="N178" i="1"/>
  <c r="M178" i="1"/>
  <c r="F178" i="1"/>
  <c r="D178" i="1"/>
  <c r="B178" i="1"/>
  <c r="O177" i="1"/>
  <c r="N177" i="1"/>
  <c r="M177" i="1"/>
  <c r="F177" i="1"/>
  <c r="D177" i="1"/>
  <c r="B177" i="1"/>
  <c r="O176" i="1"/>
  <c r="N176" i="1"/>
  <c r="M176" i="1"/>
  <c r="F176" i="1"/>
  <c r="D176" i="1"/>
  <c r="B176" i="1"/>
  <c r="O175" i="1"/>
  <c r="N175" i="1"/>
  <c r="M175" i="1"/>
  <c r="F175" i="1"/>
  <c r="D175" i="1"/>
  <c r="B175" i="1"/>
  <c r="O174" i="1"/>
  <c r="N174" i="1"/>
  <c r="M174" i="1"/>
  <c r="F174" i="1"/>
  <c r="D174" i="1"/>
  <c r="B174" i="1"/>
  <c r="O173" i="1"/>
  <c r="N173" i="1"/>
  <c r="M173" i="1"/>
  <c r="F173" i="1"/>
  <c r="D173" i="1"/>
  <c r="B173" i="1"/>
  <c r="O172" i="1"/>
  <c r="N172" i="1"/>
  <c r="M172" i="1"/>
  <c r="F172" i="1"/>
  <c r="D172" i="1"/>
  <c r="B172" i="1"/>
  <c r="O171" i="1"/>
  <c r="N171" i="1"/>
  <c r="M171" i="1"/>
  <c r="F171" i="1"/>
  <c r="D171" i="1"/>
  <c r="B171" i="1"/>
  <c r="O170" i="1"/>
  <c r="N170" i="1"/>
  <c r="M170" i="1"/>
  <c r="F170" i="1"/>
  <c r="D170" i="1"/>
  <c r="B170" i="1"/>
  <c r="O169" i="1"/>
  <c r="N169" i="1"/>
  <c r="M169" i="1"/>
  <c r="F169" i="1"/>
  <c r="D169" i="1"/>
  <c r="B169" i="1"/>
  <c r="O168" i="1"/>
  <c r="N168" i="1"/>
  <c r="M168" i="1"/>
  <c r="F168" i="1"/>
  <c r="D168" i="1"/>
  <c r="B168" i="1"/>
  <c r="O167" i="1"/>
  <c r="N167" i="1"/>
  <c r="M167" i="1"/>
  <c r="F167" i="1"/>
  <c r="D167" i="1"/>
  <c r="B167" i="1"/>
  <c r="O166" i="1"/>
  <c r="N166" i="1"/>
  <c r="M166" i="1"/>
  <c r="F166" i="1"/>
  <c r="D166" i="1"/>
  <c r="B166" i="1"/>
  <c r="O165" i="1"/>
  <c r="N165" i="1"/>
  <c r="M165" i="1"/>
  <c r="F165" i="1"/>
  <c r="D165" i="1"/>
  <c r="B165" i="1"/>
  <c r="O164" i="1"/>
  <c r="N164" i="1"/>
  <c r="M164" i="1"/>
  <c r="F164" i="1"/>
  <c r="D164" i="1"/>
  <c r="B164" i="1"/>
  <c r="O163" i="1"/>
  <c r="N163" i="1"/>
  <c r="M163" i="1"/>
  <c r="F163" i="1"/>
  <c r="D163" i="1"/>
  <c r="B163" i="1"/>
  <c r="O162" i="1"/>
  <c r="N162" i="1"/>
  <c r="M162" i="1"/>
  <c r="F162" i="1"/>
  <c r="D162" i="1"/>
  <c r="B162" i="1"/>
  <c r="O161" i="1"/>
  <c r="N161" i="1"/>
  <c r="M161" i="1"/>
  <c r="F161" i="1"/>
  <c r="D161" i="1"/>
  <c r="B161" i="1"/>
  <c r="O160" i="1"/>
  <c r="N160" i="1"/>
  <c r="M160" i="1"/>
  <c r="F160" i="1"/>
  <c r="D160" i="1"/>
  <c r="B160" i="1"/>
  <c r="O159" i="1"/>
  <c r="N159" i="1"/>
  <c r="M159" i="1"/>
  <c r="F159" i="1"/>
  <c r="D159" i="1"/>
  <c r="B159" i="1"/>
  <c r="O158" i="1"/>
  <c r="N158" i="1"/>
  <c r="M158" i="1"/>
  <c r="F158" i="1"/>
  <c r="D158" i="1"/>
  <c r="B158" i="1"/>
  <c r="O157" i="1"/>
  <c r="N157" i="1"/>
  <c r="M157" i="1"/>
  <c r="F157" i="1"/>
  <c r="D157" i="1"/>
  <c r="B157" i="1"/>
  <c r="O156" i="1"/>
  <c r="N156" i="1"/>
  <c r="M156" i="1"/>
  <c r="F156" i="1"/>
  <c r="D156" i="1"/>
  <c r="B156" i="1"/>
  <c r="O155" i="1"/>
  <c r="N155" i="1"/>
  <c r="M155" i="1"/>
  <c r="F155" i="1"/>
  <c r="D155" i="1"/>
  <c r="B155" i="1"/>
  <c r="O154" i="1"/>
  <c r="N154" i="1"/>
  <c r="M154" i="1"/>
  <c r="F154" i="1"/>
  <c r="D154" i="1"/>
  <c r="B154" i="1"/>
  <c r="O153" i="1"/>
  <c r="N153" i="1"/>
  <c r="M153" i="1"/>
  <c r="F153" i="1"/>
  <c r="D153" i="1"/>
  <c r="B153" i="1"/>
  <c r="O152" i="1"/>
  <c r="N152" i="1"/>
  <c r="M152" i="1"/>
  <c r="F152" i="1"/>
  <c r="D152" i="1"/>
  <c r="B152" i="1"/>
  <c r="O151" i="1"/>
  <c r="N151" i="1"/>
  <c r="M151" i="1"/>
  <c r="F151" i="1"/>
  <c r="D151" i="1"/>
  <c r="B151" i="1"/>
  <c r="O150" i="1"/>
  <c r="N150" i="1"/>
  <c r="M150" i="1"/>
  <c r="F150" i="1"/>
  <c r="D150" i="1"/>
  <c r="B150" i="1"/>
  <c r="O149" i="1"/>
  <c r="N149" i="1"/>
  <c r="M149" i="1"/>
  <c r="F149" i="1"/>
  <c r="D149" i="1"/>
  <c r="B149" i="1"/>
  <c r="O148" i="1"/>
  <c r="N148" i="1"/>
  <c r="M148" i="1"/>
  <c r="F148" i="1"/>
  <c r="D148" i="1"/>
  <c r="B148" i="1"/>
  <c r="O147" i="1"/>
  <c r="N147" i="1"/>
  <c r="M147" i="1"/>
  <c r="F147" i="1"/>
  <c r="D147" i="1"/>
  <c r="B147" i="1"/>
  <c r="O146" i="1"/>
  <c r="N146" i="1"/>
  <c r="M146" i="1"/>
  <c r="F146" i="1"/>
  <c r="D146" i="1"/>
  <c r="B146" i="1"/>
  <c r="O145" i="1"/>
  <c r="N145" i="1"/>
  <c r="M145" i="1"/>
  <c r="F145" i="1"/>
  <c r="D145" i="1"/>
  <c r="B145" i="1"/>
  <c r="O144" i="1"/>
  <c r="N144" i="1"/>
  <c r="M144" i="1"/>
  <c r="F144" i="1"/>
  <c r="D144" i="1"/>
  <c r="B144" i="1"/>
  <c r="O143" i="1"/>
  <c r="N143" i="1"/>
  <c r="M143" i="1"/>
  <c r="F143" i="1"/>
  <c r="D143" i="1"/>
  <c r="B143" i="1"/>
  <c r="O142" i="1"/>
  <c r="N142" i="1"/>
  <c r="M142" i="1"/>
  <c r="F142" i="1"/>
  <c r="D142" i="1"/>
  <c r="B142" i="1"/>
  <c r="O141" i="1"/>
  <c r="N141" i="1"/>
  <c r="M141" i="1"/>
  <c r="F141" i="1"/>
  <c r="D141" i="1"/>
  <c r="B141" i="1"/>
  <c r="O140" i="1"/>
  <c r="N140" i="1"/>
  <c r="M140" i="1"/>
  <c r="F140" i="1"/>
  <c r="D140" i="1"/>
  <c r="B140" i="1"/>
  <c r="O139" i="1"/>
  <c r="N139" i="1"/>
  <c r="M139" i="1"/>
  <c r="F139" i="1"/>
  <c r="D139" i="1"/>
  <c r="B139" i="1"/>
  <c r="O138" i="1"/>
  <c r="N138" i="1"/>
  <c r="M138" i="1"/>
  <c r="F138" i="1"/>
  <c r="D138" i="1"/>
  <c r="B138" i="1"/>
  <c r="O137" i="1"/>
  <c r="N137" i="1"/>
  <c r="M137" i="1"/>
  <c r="F137" i="1"/>
  <c r="D137" i="1"/>
  <c r="B137" i="1"/>
  <c r="O136" i="1"/>
  <c r="N136" i="1"/>
  <c r="M136" i="1"/>
  <c r="F136" i="1"/>
  <c r="D136" i="1"/>
  <c r="B136" i="1"/>
  <c r="O135" i="1"/>
  <c r="N135" i="1"/>
  <c r="M135" i="1"/>
  <c r="F135" i="1"/>
  <c r="D135" i="1"/>
  <c r="B135" i="1"/>
  <c r="O134" i="1"/>
  <c r="N134" i="1"/>
  <c r="M134" i="1"/>
  <c r="F134" i="1"/>
  <c r="D134" i="1"/>
  <c r="B134" i="1"/>
  <c r="O133" i="1"/>
  <c r="N133" i="1"/>
  <c r="M133" i="1"/>
  <c r="F133" i="1"/>
  <c r="D133" i="1"/>
  <c r="B133" i="1"/>
  <c r="O132" i="1"/>
  <c r="N132" i="1"/>
  <c r="M132" i="1"/>
  <c r="F132" i="1"/>
  <c r="D132" i="1"/>
  <c r="B132" i="1"/>
  <c r="O131" i="1"/>
  <c r="N131" i="1"/>
  <c r="M131" i="1"/>
  <c r="F131" i="1"/>
  <c r="D131" i="1"/>
  <c r="B131" i="1"/>
  <c r="O130" i="1"/>
  <c r="N130" i="1"/>
  <c r="M130" i="1"/>
  <c r="F130" i="1"/>
  <c r="D130" i="1"/>
  <c r="B130" i="1"/>
  <c r="O129" i="1"/>
  <c r="N129" i="1"/>
  <c r="M129" i="1"/>
  <c r="F129" i="1"/>
  <c r="D129" i="1"/>
  <c r="B129" i="1"/>
  <c r="O128" i="1"/>
  <c r="N128" i="1"/>
  <c r="M128" i="1"/>
  <c r="F128" i="1"/>
  <c r="D128" i="1"/>
  <c r="B128" i="1"/>
  <c r="O127" i="1"/>
  <c r="N127" i="1"/>
  <c r="M127" i="1"/>
  <c r="F127" i="1"/>
  <c r="D127" i="1"/>
  <c r="B127" i="1"/>
  <c r="O126" i="1"/>
  <c r="N126" i="1"/>
  <c r="M126" i="1"/>
  <c r="F126" i="1"/>
  <c r="D126" i="1"/>
  <c r="B126" i="1"/>
  <c r="O125" i="1"/>
  <c r="N125" i="1"/>
  <c r="M125" i="1"/>
  <c r="F125" i="1"/>
  <c r="D125" i="1"/>
  <c r="B125" i="1"/>
  <c r="O124" i="1"/>
  <c r="N124" i="1"/>
  <c r="M124" i="1"/>
  <c r="F124" i="1"/>
  <c r="D124" i="1"/>
  <c r="B124" i="1"/>
  <c r="O123" i="1"/>
  <c r="N123" i="1"/>
  <c r="M123" i="1"/>
  <c r="F123" i="1"/>
  <c r="D123" i="1"/>
  <c r="B123" i="1"/>
  <c r="O122" i="1"/>
  <c r="N122" i="1"/>
  <c r="M122" i="1"/>
  <c r="F122" i="1"/>
  <c r="D122" i="1"/>
  <c r="B122" i="1"/>
  <c r="O121" i="1"/>
  <c r="N121" i="1"/>
  <c r="M121" i="1"/>
  <c r="F121" i="1"/>
  <c r="D121" i="1"/>
  <c r="B121" i="1"/>
  <c r="O120" i="1"/>
  <c r="N120" i="1"/>
  <c r="M120" i="1"/>
  <c r="F120" i="1"/>
  <c r="D120" i="1"/>
  <c r="B120" i="1"/>
  <c r="O119" i="1"/>
  <c r="N119" i="1"/>
  <c r="M119" i="1"/>
  <c r="F119" i="1"/>
  <c r="D119" i="1"/>
  <c r="B119" i="1"/>
  <c r="O118" i="1"/>
  <c r="N118" i="1"/>
  <c r="M118" i="1"/>
  <c r="F118" i="1"/>
  <c r="D118" i="1"/>
  <c r="B118" i="1"/>
  <c r="O117" i="1"/>
  <c r="N117" i="1"/>
  <c r="M117" i="1"/>
  <c r="F117" i="1"/>
  <c r="D117" i="1"/>
  <c r="B117" i="1"/>
  <c r="O116" i="1"/>
  <c r="N116" i="1"/>
  <c r="M116" i="1"/>
  <c r="F116" i="1"/>
  <c r="D116" i="1"/>
  <c r="B116" i="1"/>
  <c r="O115" i="1"/>
  <c r="N115" i="1"/>
  <c r="M115" i="1"/>
  <c r="F115" i="1"/>
  <c r="D115" i="1"/>
  <c r="B115" i="1"/>
  <c r="O114" i="1"/>
  <c r="N114" i="1"/>
  <c r="M114" i="1"/>
  <c r="F114" i="1"/>
  <c r="D114" i="1"/>
  <c r="B114" i="1"/>
  <c r="O113" i="1"/>
  <c r="N113" i="1"/>
  <c r="M113" i="1"/>
  <c r="F113" i="1"/>
  <c r="D113" i="1"/>
  <c r="B113" i="1"/>
  <c r="O112" i="1"/>
  <c r="N112" i="1"/>
  <c r="M112" i="1"/>
  <c r="F112" i="1"/>
  <c r="D112" i="1"/>
  <c r="B112" i="1"/>
  <c r="O111" i="1"/>
  <c r="N111" i="1"/>
  <c r="M111" i="1"/>
  <c r="F111" i="1"/>
  <c r="D111" i="1"/>
  <c r="B111" i="1"/>
  <c r="O110" i="1"/>
  <c r="N110" i="1"/>
  <c r="M110" i="1"/>
  <c r="F110" i="1"/>
  <c r="D110" i="1"/>
  <c r="B110" i="1"/>
  <c r="O109" i="1"/>
  <c r="N109" i="1"/>
  <c r="M109" i="1"/>
  <c r="F109" i="1"/>
  <c r="D109" i="1"/>
  <c r="B109" i="1"/>
  <c r="O108" i="1"/>
  <c r="N108" i="1"/>
  <c r="M108" i="1"/>
  <c r="F108" i="1"/>
  <c r="D108" i="1"/>
  <c r="B108" i="1"/>
  <c r="O107" i="1"/>
  <c r="N107" i="1"/>
  <c r="M107" i="1"/>
  <c r="F107" i="1"/>
  <c r="D107" i="1"/>
  <c r="B107" i="1"/>
  <c r="O106" i="1"/>
  <c r="N106" i="1"/>
  <c r="M106" i="1"/>
  <c r="F106" i="1"/>
  <c r="D106" i="1"/>
  <c r="B106" i="1"/>
  <c r="O105" i="1"/>
  <c r="N105" i="1"/>
  <c r="M105" i="1"/>
  <c r="F105" i="1"/>
  <c r="D105" i="1"/>
  <c r="B105" i="1"/>
  <c r="O104" i="1"/>
  <c r="N104" i="1"/>
  <c r="M104" i="1"/>
  <c r="F104" i="1"/>
  <c r="D104" i="1"/>
  <c r="B104" i="1"/>
  <c r="O103" i="1"/>
  <c r="N103" i="1"/>
  <c r="M103" i="1"/>
  <c r="F103" i="1"/>
  <c r="D103" i="1"/>
  <c r="B103" i="1"/>
  <c r="O102" i="1"/>
  <c r="N102" i="1"/>
  <c r="M102" i="1"/>
  <c r="F102" i="1"/>
  <c r="D102" i="1"/>
  <c r="B102" i="1"/>
  <c r="O101" i="1"/>
  <c r="N101" i="1"/>
  <c r="M101" i="1"/>
  <c r="F101" i="1"/>
  <c r="D101" i="1"/>
  <c r="B101" i="1"/>
  <c r="O100" i="1"/>
  <c r="N100" i="1"/>
  <c r="M100" i="1"/>
  <c r="F100" i="1"/>
  <c r="D100" i="1"/>
  <c r="B100" i="1"/>
  <c r="O99" i="1"/>
  <c r="N99" i="1"/>
  <c r="M99" i="1"/>
  <c r="F99" i="1"/>
  <c r="D99" i="1"/>
  <c r="B99" i="1"/>
  <c r="O98" i="1"/>
  <c r="N98" i="1"/>
  <c r="M98" i="1"/>
  <c r="F98" i="1"/>
  <c r="D98" i="1"/>
  <c r="B98" i="1"/>
  <c r="O97" i="1"/>
  <c r="N97" i="1"/>
  <c r="M97" i="1"/>
  <c r="F97" i="1"/>
  <c r="D97" i="1"/>
  <c r="B97" i="1"/>
  <c r="O96" i="1"/>
  <c r="N96" i="1"/>
  <c r="M96" i="1"/>
  <c r="F96" i="1"/>
  <c r="D96" i="1"/>
  <c r="B96" i="1"/>
  <c r="O95" i="1"/>
  <c r="N95" i="1"/>
  <c r="M95" i="1"/>
  <c r="F95" i="1"/>
  <c r="D95" i="1"/>
  <c r="B95" i="1"/>
  <c r="O94" i="1"/>
  <c r="N94" i="1"/>
  <c r="M94" i="1"/>
  <c r="F94" i="1"/>
  <c r="D94" i="1"/>
  <c r="B94" i="1"/>
  <c r="O93" i="1"/>
  <c r="N93" i="1"/>
  <c r="M93" i="1"/>
  <c r="F93" i="1"/>
  <c r="D93" i="1"/>
  <c r="B93" i="1"/>
  <c r="O92" i="1"/>
  <c r="N92" i="1"/>
  <c r="M92" i="1"/>
  <c r="F92" i="1"/>
  <c r="D92" i="1"/>
  <c r="B92" i="1"/>
  <c r="O91" i="1"/>
  <c r="N91" i="1"/>
  <c r="M91" i="1"/>
  <c r="F91" i="1"/>
  <c r="D91" i="1"/>
  <c r="B91" i="1"/>
  <c r="O90" i="1"/>
  <c r="N90" i="1"/>
  <c r="M90" i="1"/>
  <c r="F90" i="1"/>
  <c r="D90" i="1"/>
  <c r="B90" i="1"/>
  <c r="O89" i="1"/>
  <c r="N89" i="1"/>
  <c r="M89" i="1"/>
  <c r="F89" i="1"/>
  <c r="D89" i="1"/>
  <c r="B89" i="1"/>
  <c r="O88" i="1"/>
  <c r="N88" i="1"/>
  <c r="M88" i="1"/>
  <c r="F88" i="1"/>
  <c r="D88" i="1"/>
  <c r="B88" i="1"/>
  <c r="O87" i="1"/>
  <c r="N87" i="1"/>
  <c r="M87" i="1"/>
  <c r="F87" i="1"/>
  <c r="D87" i="1"/>
  <c r="B87" i="1"/>
  <c r="O86" i="1"/>
  <c r="N86" i="1"/>
  <c r="M86" i="1"/>
  <c r="F86" i="1"/>
  <c r="D86" i="1"/>
  <c r="B86" i="1"/>
  <c r="O85" i="1"/>
  <c r="N85" i="1"/>
  <c r="M85" i="1"/>
  <c r="F85" i="1"/>
  <c r="D85" i="1"/>
  <c r="B85" i="1"/>
  <c r="O84" i="1"/>
  <c r="N84" i="1"/>
  <c r="M84" i="1"/>
  <c r="F84" i="1"/>
  <c r="D84" i="1"/>
  <c r="B84" i="1"/>
  <c r="O83" i="1"/>
  <c r="N83" i="1"/>
  <c r="M83" i="1"/>
  <c r="F83" i="1"/>
  <c r="D83" i="1"/>
  <c r="B83" i="1"/>
  <c r="O82" i="1"/>
  <c r="N82" i="1"/>
  <c r="M82" i="1"/>
  <c r="F82" i="1"/>
  <c r="D82" i="1"/>
  <c r="B82" i="1"/>
  <c r="O81" i="1"/>
  <c r="N81" i="1"/>
  <c r="M81" i="1"/>
  <c r="F81" i="1"/>
  <c r="D81" i="1"/>
  <c r="B81" i="1"/>
  <c r="O80" i="1"/>
  <c r="N80" i="1"/>
  <c r="M80" i="1"/>
  <c r="F80" i="1"/>
  <c r="D80" i="1"/>
  <c r="B80" i="1"/>
  <c r="O79" i="1"/>
  <c r="N79" i="1"/>
  <c r="M79" i="1"/>
  <c r="F79" i="1"/>
  <c r="D79" i="1"/>
  <c r="B79" i="1"/>
  <c r="O78" i="1"/>
  <c r="N78" i="1"/>
  <c r="M78" i="1"/>
  <c r="F78" i="1"/>
  <c r="D78" i="1"/>
  <c r="B78" i="1"/>
  <c r="O77" i="1"/>
  <c r="N77" i="1"/>
  <c r="M77" i="1"/>
  <c r="F77" i="1"/>
  <c r="D77" i="1"/>
  <c r="B77" i="1"/>
  <c r="O76" i="1"/>
  <c r="N76" i="1"/>
  <c r="M76" i="1"/>
  <c r="F76" i="1"/>
  <c r="D76" i="1"/>
  <c r="B76" i="1"/>
  <c r="O75" i="1"/>
  <c r="N75" i="1"/>
  <c r="M75" i="1"/>
  <c r="F75" i="1"/>
  <c r="D75" i="1"/>
  <c r="B75" i="1"/>
  <c r="O74" i="1"/>
  <c r="N74" i="1"/>
  <c r="M74" i="1"/>
  <c r="F74" i="1"/>
  <c r="D74" i="1"/>
  <c r="B74" i="1"/>
  <c r="O73" i="1"/>
  <c r="N73" i="1"/>
  <c r="M73" i="1"/>
  <c r="F73" i="1"/>
  <c r="D73" i="1"/>
  <c r="B73" i="1"/>
  <c r="O72" i="1"/>
  <c r="N72" i="1"/>
  <c r="M72" i="1"/>
  <c r="F72" i="1"/>
  <c r="D72" i="1"/>
  <c r="B72" i="1"/>
  <c r="O71" i="1"/>
  <c r="N71" i="1"/>
  <c r="M71" i="1"/>
  <c r="F71" i="1"/>
  <c r="D71" i="1"/>
  <c r="B71" i="1"/>
  <c r="O70" i="1"/>
  <c r="N70" i="1"/>
  <c r="M70" i="1"/>
  <c r="F70" i="1"/>
  <c r="D70" i="1"/>
  <c r="B70" i="1"/>
  <c r="O69" i="1"/>
  <c r="N69" i="1"/>
  <c r="M69" i="1"/>
  <c r="F69" i="1"/>
  <c r="D69" i="1"/>
  <c r="B69" i="1"/>
  <c r="O68" i="1"/>
  <c r="N68" i="1"/>
  <c r="M68" i="1"/>
  <c r="F68" i="1"/>
  <c r="D68" i="1"/>
  <c r="B68" i="1"/>
  <c r="O67" i="1"/>
  <c r="N67" i="1"/>
  <c r="M67" i="1"/>
  <c r="F67" i="1"/>
  <c r="D67" i="1"/>
  <c r="B67" i="1"/>
  <c r="O66" i="1"/>
  <c r="N66" i="1"/>
  <c r="M66" i="1"/>
  <c r="F66" i="1"/>
  <c r="D66" i="1"/>
  <c r="B66" i="1"/>
  <c r="O65" i="1"/>
  <c r="N65" i="1"/>
  <c r="M65" i="1"/>
  <c r="F65" i="1"/>
  <c r="D65" i="1"/>
  <c r="B65" i="1"/>
  <c r="O64" i="1"/>
  <c r="N64" i="1"/>
  <c r="M64" i="1"/>
  <c r="F64" i="1"/>
  <c r="D64" i="1"/>
  <c r="B64" i="1"/>
  <c r="O63" i="1"/>
  <c r="N63" i="1"/>
  <c r="M63" i="1"/>
  <c r="F63" i="1"/>
  <c r="D63" i="1"/>
  <c r="B63" i="1"/>
  <c r="O62" i="1"/>
  <c r="N62" i="1"/>
  <c r="M62" i="1"/>
  <c r="F62" i="1"/>
  <c r="D62" i="1"/>
  <c r="B62" i="1"/>
  <c r="O61" i="1"/>
  <c r="N61" i="1"/>
  <c r="M61" i="1"/>
  <c r="F61" i="1"/>
  <c r="D61" i="1"/>
  <c r="B61" i="1"/>
  <c r="O60" i="1"/>
  <c r="N60" i="1"/>
  <c r="M60" i="1"/>
  <c r="F60" i="1"/>
  <c r="D60" i="1"/>
  <c r="B60" i="1"/>
  <c r="O59" i="1"/>
  <c r="N59" i="1"/>
  <c r="M59" i="1"/>
  <c r="F59" i="1"/>
  <c r="D59" i="1"/>
  <c r="B59" i="1"/>
  <c r="O58" i="1"/>
  <c r="N58" i="1"/>
  <c r="M58" i="1"/>
  <c r="F58" i="1"/>
  <c r="D58" i="1"/>
  <c r="B58" i="1"/>
  <c r="O57" i="1"/>
  <c r="N57" i="1"/>
  <c r="M57" i="1"/>
  <c r="F57" i="1"/>
  <c r="D57" i="1"/>
  <c r="B57" i="1"/>
  <c r="O56" i="1"/>
  <c r="N56" i="1"/>
  <c r="M56" i="1"/>
  <c r="F56" i="1"/>
  <c r="D56" i="1"/>
  <c r="B56" i="1"/>
  <c r="O55" i="1"/>
  <c r="N55" i="1"/>
  <c r="M55" i="1"/>
  <c r="F55" i="1"/>
  <c r="D55" i="1"/>
  <c r="B55" i="1"/>
  <c r="O54" i="1"/>
  <c r="N54" i="1"/>
  <c r="M54" i="1"/>
  <c r="F54" i="1"/>
  <c r="D54" i="1"/>
  <c r="B54" i="1"/>
  <c r="O53" i="1"/>
  <c r="N53" i="1"/>
  <c r="M53" i="1"/>
  <c r="F53" i="1"/>
  <c r="D53" i="1"/>
  <c r="B53" i="1"/>
  <c r="O52" i="1"/>
  <c r="N52" i="1"/>
  <c r="M52" i="1"/>
  <c r="F52" i="1"/>
  <c r="D52" i="1"/>
  <c r="B52" i="1"/>
  <c r="O51" i="1"/>
  <c r="N51" i="1"/>
  <c r="M51" i="1"/>
  <c r="F51" i="1"/>
  <c r="D51" i="1"/>
  <c r="B51" i="1"/>
  <c r="O50" i="1"/>
  <c r="N50" i="1"/>
  <c r="M50" i="1"/>
  <c r="F50" i="1"/>
  <c r="D50" i="1"/>
  <c r="B50" i="1"/>
  <c r="O49" i="1"/>
  <c r="N49" i="1"/>
  <c r="M49" i="1"/>
  <c r="F49" i="1"/>
  <c r="D49" i="1"/>
  <c r="B49" i="1"/>
  <c r="O48" i="1"/>
  <c r="N48" i="1"/>
  <c r="M48" i="1"/>
  <c r="F48" i="1"/>
  <c r="D48" i="1"/>
  <c r="B48" i="1"/>
  <c r="O47" i="1"/>
  <c r="N47" i="1"/>
  <c r="M47" i="1"/>
  <c r="F47" i="1"/>
  <c r="D47" i="1"/>
  <c r="B47" i="1"/>
  <c r="O46" i="1"/>
  <c r="N46" i="1"/>
  <c r="M46" i="1"/>
  <c r="F46" i="1"/>
  <c r="D46" i="1"/>
  <c r="B46" i="1"/>
  <c r="O45" i="1"/>
  <c r="N45" i="1"/>
  <c r="M45" i="1"/>
  <c r="F45" i="1"/>
  <c r="D45" i="1"/>
  <c r="B45" i="1"/>
  <c r="O44" i="1"/>
  <c r="N44" i="1"/>
  <c r="M44" i="1"/>
  <c r="F44" i="1"/>
  <c r="D44" i="1"/>
  <c r="B44" i="1"/>
  <c r="O43" i="1"/>
  <c r="N43" i="1"/>
  <c r="M43" i="1"/>
  <c r="F43" i="1"/>
  <c r="D43" i="1"/>
  <c r="B43" i="1"/>
  <c r="O42" i="1"/>
  <c r="N42" i="1"/>
  <c r="M42" i="1"/>
  <c r="F42" i="1"/>
  <c r="D42" i="1"/>
  <c r="B42" i="1"/>
  <c r="O41" i="1"/>
  <c r="N41" i="1"/>
  <c r="M41" i="1"/>
  <c r="F41" i="1"/>
  <c r="D41" i="1"/>
  <c r="B41" i="1"/>
  <c r="O40" i="1"/>
  <c r="N40" i="1"/>
  <c r="M40" i="1"/>
  <c r="F40" i="1"/>
  <c r="D40" i="1"/>
  <c r="B40" i="1"/>
  <c r="O39" i="1"/>
  <c r="N39" i="1"/>
  <c r="M39" i="1"/>
  <c r="F39" i="1"/>
  <c r="D39" i="1"/>
  <c r="B39" i="1"/>
  <c r="O38" i="1"/>
  <c r="N38" i="1"/>
  <c r="M38" i="1"/>
  <c r="F38" i="1"/>
  <c r="D38" i="1"/>
  <c r="B38" i="1"/>
  <c r="O37" i="1"/>
  <c r="N37" i="1"/>
  <c r="M37" i="1"/>
  <c r="F37" i="1"/>
  <c r="D37" i="1"/>
  <c r="B37" i="1"/>
  <c r="O36" i="1"/>
  <c r="N36" i="1"/>
  <c r="M36" i="1"/>
  <c r="F36" i="1"/>
  <c r="D36" i="1"/>
  <c r="B36" i="1"/>
  <c r="O35" i="1"/>
  <c r="N35" i="1"/>
  <c r="M35" i="1"/>
  <c r="F35" i="1"/>
  <c r="D35" i="1"/>
  <c r="B35" i="1"/>
  <c r="O34" i="1"/>
  <c r="N34" i="1"/>
  <c r="M34" i="1"/>
  <c r="F34" i="1"/>
  <c r="D34" i="1"/>
  <c r="B34" i="1"/>
  <c r="O33" i="1"/>
  <c r="N33" i="1"/>
  <c r="M33" i="1"/>
  <c r="F33" i="1"/>
  <c r="D33" i="1"/>
  <c r="B33" i="1"/>
  <c r="O32" i="1"/>
  <c r="N32" i="1"/>
  <c r="M32" i="1"/>
  <c r="F32" i="1"/>
  <c r="D32" i="1"/>
  <c r="B32" i="1"/>
  <c r="O31" i="1"/>
  <c r="N31" i="1"/>
  <c r="M31" i="1"/>
  <c r="F31" i="1"/>
  <c r="D31" i="1"/>
  <c r="B31" i="1"/>
  <c r="O30" i="1"/>
  <c r="N30" i="1"/>
  <c r="M30" i="1"/>
  <c r="F30" i="1"/>
  <c r="D30" i="1"/>
  <c r="B30" i="1"/>
  <c r="O29" i="1"/>
  <c r="N29" i="1"/>
  <c r="M29" i="1"/>
  <c r="F29" i="1"/>
  <c r="D29" i="1"/>
  <c r="B29" i="1"/>
  <c r="O28" i="1"/>
  <c r="N28" i="1"/>
  <c r="M28" i="1"/>
  <c r="F28" i="1"/>
  <c r="D28" i="1"/>
  <c r="B28" i="1"/>
  <c r="O27" i="1"/>
  <c r="N27" i="1"/>
  <c r="M27" i="1"/>
  <c r="F27" i="1"/>
  <c r="D27" i="1"/>
  <c r="B27" i="1"/>
  <c r="O26" i="1"/>
  <c r="N26" i="1"/>
  <c r="M26" i="1"/>
  <c r="F26" i="1"/>
  <c r="D26" i="1"/>
  <c r="B26" i="1"/>
  <c r="O25" i="1"/>
  <c r="N25" i="1"/>
  <c r="M25" i="1"/>
  <c r="F25" i="1"/>
  <c r="D25" i="1"/>
  <c r="B25" i="1"/>
  <c r="O24" i="1"/>
  <c r="N24" i="1"/>
  <c r="M24" i="1"/>
  <c r="F24" i="1"/>
  <c r="D24" i="1"/>
  <c r="B24" i="1"/>
  <c r="O23" i="1"/>
  <c r="N23" i="1"/>
  <c r="M23" i="1"/>
  <c r="F23" i="1"/>
  <c r="D23" i="1"/>
  <c r="B23" i="1"/>
  <c r="O22" i="1"/>
  <c r="N22" i="1"/>
  <c r="M22" i="1"/>
  <c r="F22" i="1"/>
  <c r="D22" i="1"/>
  <c r="B22" i="1"/>
  <c r="O21" i="1"/>
  <c r="N21" i="1"/>
  <c r="M21" i="1"/>
  <c r="F21" i="1"/>
  <c r="D21" i="1"/>
  <c r="B21" i="1"/>
  <c r="O20" i="1"/>
  <c r="N20" i="1"/>
  <c r="M20" i="1"/>
  <c r="F20" i="1"/>
  <c r="D20" i="1"/>
  <c r="B20" i="1"/>
  <c r="O19" i="1"/>
  <c r="N19" i="1"/>
  <c r="M19" i="1"/>
  <c r="F19" i="1"/>
  <c r="D19" i="1"/>
  <c r="B19" i="1"/>
  <c r="O18" i="1"/>
  <c r="N18" i="1"/>
  <c r="M18" i="1"/>
  <c r="F18" i="1"/>
  <c r="D18" i="1"/>
  <c r="B18" i="1"/>
  <c r="O17" i="1"/>
  <c r="N17" i="1"/>
  <c r="M17" i="1"/>
  <c r="F17" i="1"/>
  <c r="D17" i="1"/>
  <c r="B17" i="1"/>
  <c r="O16" i="1"/>
  <c r="N16" i="1"/>
  <c r="M16" i="1"/>
  <c r="F16" i="1"/>
  <c r="D16" i="1"/>
  <c r="B16" i="1"/>
  <c r="O15" i="1"/>
  <c r="N15" i="1"/>
  <c r="M15" i="1"/>
  <c r="F15" i="1"/>
  <c r="D15" i="1"/>
  <c r="B15" i="1"/>
  <c r="O14" i="1"/>
  <c r="N14" i="1"/>
  <c r="M14" i="1"/>
  <c r="F14" i="1"/>
  <c r="D14" i="1"/>
  <c r="B14" i="1"/>
  <c r="O13" i="1"/>
  <c r="N13" i="1"/>
  <c r="M13" i="1"/>
  <c r="F13" i="1"/>
  <c r="D13" i="1"/>
  <c r="B13" i="1"/>
  <c r="O12" i="1"/>
  <c r="N12" i="1"/>
  <c r="M12" i="1"/>
  <c r="F12" i="1"/>
  <c r="D12" i="1"/>
  <c r="B12" i="1"/>
  <c r="O11" i="1"/>
  <c r="N11" i="1"/>
  <c r="M11" i="1"/>
  <c r="F11" i="1"/>
  <c r="D11" i="1"/>
  <c r="B11" i="1"/>
  <c r="O10" i="1"/>
  <c r="N10" i="1"/>
  <c r="M10" i="1"/>
  <c r="F10" i="1"/>
  <c r="D10" i="1"/>
  <c r="B10" i="1"/>
  <c r="O9" i="1"/>
  <c r="N9" i="1"/>
  <c r="M9" i="1"/>
  <c r="F9" i="1"/>
  <c r="D9" i="1"/>
  <c r="B9" i="1"/>
  <c r="O8" i="1"/>
  <c r="N8" i="1"/>
  <c r="M8" i="1"/>
  <c r="F8" i="1"/>
  <c r="D8" i="1"/>
  <c r="B8" i="1"/>
  <c r="O7" i="1"/>
  <c r="N7" i="1"/>
  <c r="M7" i="1"/>
  <c r="F7" i="1"/>
  <c r="D7" i="1"/>
  <c r="B7" i="1"/>
  <c r="O6" i="1"/>
  <c r="N6" i="1"/>
  <c r="M6" i="1"/>
  <c r="F6" i="1"/>
  <c r="D6" i="1"/>
  <c r="B6" i="1"/>
  <c r="O5" i="1"/>
  <c r="N5" i="1"/>
  <c r="M5" i="1"/>
  <c r="F5" i="1"/>
  <c r="D5" i="1"/>
  <c r="B5" i="1"/>
  <c r="O4" i="1"/>
  <c r="N4" i="1"/>
  <c r="M4" i="1"/>
  <c r="F4" i="1"/>
  <c r="D4" i="1"/>
  <c r="B4" i="1"/>
  <c r="O3" i="1"/>
  <c r="N3" i="1"/>
  <c r="M3" i="1"/>
  <c r="F3" i="1"/>
  <c r="D3" i="1"/>
  <c r="B3" i="1"/>
  <c r="O2" i="1"/>
  <c r="N2" i="1"/>
  <c r="M2" i="1"/>
  <c r="F2" i="1"/>
  <c r="D2" i="1"/>
  <c r="B2" i="1"/>
</calcChain>
</file>

<file path=xl/sharedStrings.xml><?xml version="1.0" encoding="utf-8"?>
<sst xmlns="http://schemas.openxmlformats.org/spreadsheetml/2006/main" count="27322" uniqueCount="359">
  <si>
    <t>State</t>
  </si>
  <si>
    <t>Region</t>
  </si>
  <si>
    <t>Port</t>
  </si>
  <si>
    <t>Port Type</t>
  </si>
  <si>
    <t>Product</t>
  </si>
  <si>
    <t>Product Category</t>
  </si>
  <si>
    <t>2023-24 Value (USD Mn)</t>
  </si>
  <si>
    <t>2025-26 Value (USD Mn)</t>
  </si>
  <si>
    <t>2026-27 Apr-Jul Value (USD Mn)</t>
  </si>
  <si>
    <t>2023-24 Qty (MT)</t>
  </si>
  <si>
    <t>2025-26 Qty (MT)</t>
  </si>
  <si>
    <t>2026-27 Apr-Jul Qty (MT)</t>
  </si>
  <si>
    <t>Value Change 2025-26 vs 2023-24</t>
  </si>
  <si>
    <t>Qty Change 2025-26 vs 2023-24</t>
  </si>
  <si>
    <t>2026-27 Value Change</t>
  </si>
  <si>
    <t>Countryname</t>
  </si>
  <si>
    <t>Gujarat</t>
  </si>
  <si>
    <t>MUNDRA SEA</t>
  </si>
  <si>
    <t>BASMATI RICE</t>
  </si>
  <si>
    <t>India</t>
  </si>
  <si>
    <t>Maharashtra</t>
  </si>
  <si>
    <t>NHAVA SHEVA SEA</t>
  </si>
  <si>
    <t>BUFFALO MEAT</t>
  </si>
  <si>
    <t>Uttar Pradesh</t>
  </si>
  <si>
    <t>CFS ALBATROSS/ICD DADRI</t>
  </si>
  <si>
    <t>Andhra Pradesh</t>
  </si>
  <si>
    <t>KAKINADA SEA</t>
  </si>
  <si>
    <t>NON BASMATI RICE</t>
  </si>
  <si>
    <t>KANDLA SEA SEA</t>
  </si>
  <si>
    <t>VISAKHAPATNAM SEA</t>
  </si>
  <si>
    <t>ICD CGML DADRI</t>
  </si>
  <si>
    <t>West Bengal</t>
  </si>
  <si>
    <t>KOLKATA SEA</t>
  </si>
  <si>
    <t>PULSES</t>
  </si>
  <si>
    <t>ICD PANKI, UP</t>
  </si>
  <si>
    <t>Haryana</t>
  </si>
  <si>
    <t>ICD SAMALKHA PANIPAT Haryana</t>
  </si>
  <si>
    <t>ICD PALWAL, BHAGOLA-JANAULI Haryana</t>
  </si>
  <si>
    <t>ICD SONIPAT ICD</t>
  </si>
  <si>
    <t>MISCELLANEOUS PREPARATIONS</t>
  </si>
  <si>
    <t>Tamil Nadu</t>
  </si>
  <si>
    <t>CHENNAI SEA</t>
  </si>
  <si>
    <t>PROCESSED VEGETABLES</t>
  </si>
  <si>
    <t>ICD Juhi Railway Yard Kanpur ICD</t>
  </si>
  <si>
    <t>ICD NOIDA-DADRI</t>
  </si>
  <si>
    <t>OTHER FRESH FRUITS</t>
  </si>
  <si>
    <t>GUARGUM</t>
  </si>
  <si>
    <t>ICD GARHIHARSARU</t>
  </si>
  <si>
    <t>CEREAL PREPARATIONS</t>
  </si>
  <si>
    <t>Rajasthan</t>
  </si>
  <si>
    <t>ICD DHIRPUR JAIPUR RAJASTHAN</t>
  </si>
  <si>
    <t>GROUNDNUTS</t>
  </si>
  <si>
    <t>PIPAVAB(VICYOR) SEA</t>
  </si>
  <si>
    <t>JAGGERY &amp; CONFECTIONERY</t>
  </si>
  <si>
    <t>PROCESSED FRUITS, JUICES &amp; NUTS</t>
  </si>
  <si>
    <t>FRESH ONIONS</t>
  </si>
  <si>
    <t>ICD NAGPUR</t>
  </si>
  <si>
    <t>Madhya Pradesh</t>
  </si>
  <si>
    <t>ICD MANDIDEEP</t>
  </si>
  <si>
    <t>COCOA PRODUCTS</t>
  </si>
  <si>
    <t>ALCOHOLIC BEVERAGES</t>
  </si>
  <si>
    <t>ICD POWARKHEDA Madhya Pradesh</t>
  </si>
  <si>
    <t>MAIZE</t>
  </si>
  <si>
    <t>KRISHNAPATNAM SEA</t>
  </si>
  <si>
    <t>ICD TONDIAR-PET CHENNAI</t>
  </si>
  <si>
    <t>MILLED PRODUCTS</t>
  </si>
  <si>
    <t>Punjab</t>
  </si>
  <si>
    <t>ADANI ICD KILA RAIPUR LUDHIANA</t>
  </si>
  <si>
    <t>MUMBAI AIR</t>
  </si>
  <si>
    <t>FRUITS &amp; VEGETABLES SEEDS</t>
  </si>
  <si>
    <t>ICD JODHPUR</t>
  </si>
  <si>
    <t>HTPL KILARAIPUR ICD</t>
  </si>
  <si>
    <t>DAIRY PRODUCTS</t>
  </si>
  <si>
    <t>ICD CHOWPAYAL Punjab</t>
  </si>
  <si>
    <t>Telangana</t>
  </si>
  <si>
    <t>ICD HYDERABAD</t>
  </si>
  <si>
    <t>FRESH MANGOES</t>
  </si>
  <si>
    <t>Kerala</t>
  </si>
  <si>
    <t>COCHIN SEA</t>
  </si>
  <si>
    <t>Karnataka</t>
  </si>
  <si>
    <t>ICD BANGALORE</t>
  </si>
  <si>
    <t>CUCUMBER AND GHERKINS( PREPD. &amp; PRESVD)</t>
  </si>
  <si>
    <t>ICD JANORI</t>
  </si>
  <si>
    <t>FRESH GRAPES</t>
  </si>
  <si>
    <t>Cashew Kernel</t>
  </si>
  <si>
    <t>TUTICORIN SEA</t>
  </si>
  <si>
    <t>Delhi</t>
  </si>
  <si>
    <t>DELHI AIRPORT</t>
  </si>
  <si>
    <t>ICD PATLI</t>
  </si>
  <si>
    <t>ICD THAR DRY PORT</t>
  </si>
  <si>
    <t>ICD SABARMATI</t>
  </si>
  <si>
    <t>NEWMANGALORE SEA</t>
  </si>
  <si>
    <t>BANGALORE AIRPORT</t>
  </si>
  <si>
    <t>SHEEP/GOAT MEAT</t>
  </si>
  <si>
    <t>Bihar</t>
  </si>
  <si>
    <t>RAXAUL ICD</t>
  </si>
  <si>
    <t>ICD BARHI</t>
  </si>
  <si>
    <t>ICD MALANPUR</t>
  </si>
  <si>
    <t>ICD THIMMAPUR (CMTL)/AP ICD</t>
  </si>
  <si>
    <t>SINGABAD RAILWAY STATION</t>
  </si>
  <si>
    <t>PLIL ICD</t>
  </si>
  <si>
    <t>HILI (WEST) ROAD/ RAILWAY</t>
  </si>
  <si>
    <t>OTHER FRESH VEGETABLES</t>
  </si>
  <si>
    <t>Chhattisgarh</t>
  </si>
  <si>
    <t>ICD RAIPUR</t>
  </si>
  <si>
    <t>SEZ Mundra</t>
  </si>
  <si>
    <t>DELHI (ICD)</t>
  </si>
  <si>
    <t>ENNORE SEA Tamil Nadu</t>
  </si>
  <si>
    <t>ICD SAHNEWAL, GRFL Punjab</t>
  </si>
  <si>
    <t>HAZIRA PORT, SURAT SEZ</t>
  </si>
  <si>
    <t>Egg and Live Birds (Poultry)</t>
  </si>
  <si>
    <t>ICD BORKHEDI Maharashtra</t>
  </si>
  <si>
    <t>JOGBANI ROAD ICD</t>
  </si>
  <si>
    <t>WHEAT</t>
  </si>
  <si>
    <t>CASEIN</t>
  </si>
  <si>
    <t>ICD SACHANA VIRAMGAM AHMEDABAD</t>
  </si>
  <si>
    <t>OTHER OIL CAKE/SOLID RESDUS</t>
  </si>
  <si>
    <t>KATTUPALLI PORT/ TIRUVALLUR SEA</t>
  </si>
  <si>
    <t>NATURAL HONEY</t>
  </si>
  <si>
    <t>ARSHIYA INTL. FTWZ-SEZ, RAIGAD</t>
  </si>
  <si>
    <t>ICD MODINAGAR ICD</t>
  </si>
  <si>
    <t>ICD THAR DRY PORT, JODHPUR</t>
  </si>
  <si>
    <t>FLORICULTURE</t>
  </si>
  <si>
    <t>NAUTANWA (SONAULI) ICD</t>
  </si>
  <si>
    <t>L C S KHUNWA</t>
  </si>
  <si>
    <t>ANIMAL CASINGS</t>
  </si>
  <si>
    <t>OTHER CEREALS</t>
  </si>
  <si>
    <t>ICD LUDHIANA</t>
  </si>
  <si>
    <t>POULTRY PRODUCTS</t>
  </si>
  <si>
    <t>Odisha</t>
  </si>
  <si>
    <t>DHAMRA(CHANDBALI) SEA</t>
  </si>
  <si>
    <t>JAIGAON ICD</t>
  </si>
  <si>
    <t>COCHIN AIRPORT</t>
  </si>
  <si>
    <t>RANAGHAT ICD</t>
  </si>
  <si>
    <t>ICD NASIK</t>
  </si>
  <si>
    <t>AHMEDABAD AIR CARGO COMPLEX</t>
  </si>
  <si>
    <t>ICD Pakwara Moradabad/Meerut ICD</t>
  </si>
  <si>
    <t>HYDERABAD AIRPORT</t>
  </si>
  <si>
    <t>ICD LONI</t>
  </si>
  <si>
    <t>NEPALGANJ ROAD/ RAILWAY</t>
  </si>
  <si>
    <t>SEZ Kandla</t>
  </si>
  <si>
    <t>PETRAPOLE LAND ROAD/ RAILWAY</t>
  </si>
  <si>
    <t>Cashew shell liquid (CNSL)</t>
  </si>
  <si>
    <t>OLD MUNDRA SEA</t>
  </si>
  <si>
    <t>Millet</t>
  </si>
  <si>
    <t>ICD Talegaon Maharashtra</t>
  </si>
  <si>
    <t>KOTWALIGATE (MOHEDIPUR) ROAD/ RAILWAY</t>
  </si>
  <si>
    <t>BARHNI Road/Railway</t>
  </si>
  <si>
    <t>ICD CFS STARTRACK DADRI</t>
  </si>
  <si>
    <t>SEZ Cochin</t>
  </si>
  <si>
    <t>Cashew Nuts Roasted/Value Added</t>
  </si>
  <si>
    <t>MANGO PULP</t>
  </si>
  <si>
    <t>GHAJADANGA SEA PORT</t>
  </si>
  <si>
    <t>ICD ANKLESHWAR</t>
  </si>
  <si>
    <t>ICD MALIWADA</t>
  </si>
  <si>
    <t>ICD TUMB</t>
  </si>
  <si>
    <t>JNEHRU PORT TRUST Sea</t>
  </si>
  <si>
    <t>ACC CALICUT, KARIPUR Airport</t>
  </si>
  <si>
    <t>ICD KATHUWAS ALWAR</t>
  </si>
  <si>
    <t>Assam</t>
  </si>
  <si>
    <t>HATISAR (Deosiri) ROAD/ RAILWAY</t>
  </si>
  <si>
    <t>ICD PITHAMPUR (INDORE)</t>
  </si>
  <si>
    <t>ICD DHANNAD</t>
  </si>
  <si>
    <t>ICD DHANAKYA JAIPUR RAJASTHAN</t>
  </si>
  <si>
    <t>CHENNAI AIR</t>
  </si>
  <si>
    <t>KRIBHO INFRA LTD.ICD (HARYANA)</t>
  </si>
  <si>
    <t>Goa</t>
  </si>
  <si>
    <t>CCIL ICD BALLI GOA</t>
  </si>
  <si>
    <t>TRIVANDRUM AIRPORT</t>
  </si>
  <si>
    <t>CHENGRABANDHA RLY.STATION</t>
  </si>
  <si>
    <t>OTHERS (BETEL LEAVES &amp; NUTS)</t>
  </si>
  <si>
    <t>BHITHAMORE ICD</t>
  </si>
  <si>
    <t>PORBANDAR Sea</t>
  </si>
  <si>
    <t>ICD DIGHI PUNE</t>
  </si>
  <si>
    <t>ALBUMIN( Eggs &amp; Milk )</t>
  </si>
  <si>
    <t>ICD KHEDA</t>
  </si>
  <si>
    <t>ICD KANAKPURA</t>
  </si>
  <si>
    <t>ARSHIYA NORTHERN FTWZLTD NOIDA SEZ</t>
  </si>
  <si>
    <t>SRI City Pvt Ltd ICD</t>
  </si>
  <si>
    <t>Cashew Nuts Fresh/Dried In Shell</t>
  </si>
  <si>
    <t>ICD DALPATPUR MORADABAD</t>
  </si>
  <si>
    <t>WALNUTS</t>
  </si>
  <si>
    <t>LUCKNOW AIR Uttar Pradesh</t>
  </si>
  <si>
    <t>ICD TUTICORIN</t>
  </si>
  <si>
    <t>BHIMNAGAR ROAD/ RAILWAY</t>
  </si>
  <si>
    <t>SONBARSA ROAD/ RAILWAY</t>
  </si>
  <si>
    <t>DARRANGA (Rangia) ROAD/ RAILWAY</t>
  </si>
  <si>
    <t>LCD TOOTHIBARI, MAHARAJGANJ</t>
  </si>
  <si>
    <t>PANITANKI ROAD/ RAILWAY</t>
  </si>
  <si>
    <t>Uttarakhand</t>
  </si>
  <si>
    <t>ICD SIDCHUL PANTNAGAR</t>
  </si>
  <si>
    <t>GOURIPHANTA ROAD/ RAILWAY</t>
  </si>
  <si>
    <t>KOLKATA AIRPORT</t>
  </si>
  <si>
    <t>ICD SANDKHEDA KASHIPUR</t>
  </si>
  <si>
    <t>AIR CARGO TRICHI Tamilnadu</t>
  </si>
  <si>
    <t>GANGAVARAM PORT SEA</t>
  </si>
  <si>
    <t>PEAR CITY FOOD PORT SEZ</t>
  </si>
  <si>
    <t>INDORE AIRPORT</t>
  </si>
  <si>
    <t>ICD Piyala Ballagarh ICD</t>
  </si>
  <si>
    <t>PARADIP SEA</t>
  </si>
  <si>
    <t>ACC MOPA, GOA</t>
  </si>
  <si>
    <t>ICD FARIDABAD</t>
  </si>
  <si>
    <t>MANGALORE SEZ</t>
  </si>
  <si>
    <t>BAIRGANIA Bihar</t>
  </si>
  <si>
    <t>T.T.SHED (KIDDERPORE) ROAD/ RAILWAY</t>
  </si>
  <si>
    <t>ICD ARAKKANOM</t>
  </si>
  <si>
    <t>VISAKHAPATNAM SPL ECONOMIC ZON</t>
  </si>
  <si>
    <t>ICD CFS PATPARGANJ</t>
  </si>
  <si>
    <t>ICD DHANDARI KALAN, PSWC Punjab</t>
  </si>
  <si>
    <t>CHENNAI EPZ</t>
  </si>
  <si>
    <t>ICD SATTVA BENGALURU VEMGAL I KARNATAKA</t>
  </si>
  <si>
    <t>ACC COIMBATORE AIRPORT</t>
  </si>
  <si>
    <t>Himachal Pradesh</t>
  </si>
  <si>
    <t>ICD BADDI Himachal Pradesh</t>
  </si>
  <si>
    <t>KERALA INDUS INFRA SEZ</t>
  </si>
  <si>
    <t>LCS NAGARKATA JALPAIGURI</t>
  </si>
  <si>
    <t>KANNUR AIR CARGO</t>
  </si>
  <si>
    <t>FALTA EPZ/SEZ</t>
  </si>
  <si>
    <t>LCS KAMARDWISA Assam</t>
  </si>
  <si>
    <t>ACC AMRITSAR (RAJASANSI) Punjab</t>
  </si>
  <si>
    <t>ICD Irgur</t>
  </si>
  <si>
    <t>PROCESSED MEAT</t>
  </si>
  <si>
    <t>PUNE AIR CARGO MAHARASHTRA</t>
  </si>
  <si>
    <t>ICD MALUR KARNATAKA</t>
  </si>
  <si>
    <t>CFS/ICD CHHEHETA AMRITSAR</t>
  </si>
  <si>
    <t>SEZ Indore</t>
  </si>
  <si>
    <t>MANGALORE AIR CARGO</t>
  </si>
  <si>
    <t>LCS BANBASA,CHAMPAWAT/UTTARAKHAND</t>
  </si>
  <si>
    <t>SEZ Noida</t>
  </si>
  <si>
    <t>ICD HOSUR Tamilnadu</t>
  </si>
  <si>
    <t>BABATPUR AIRPORT</t>
  </si>
  <si>
    <t>Sikkim</t>
  </si>
  <si>
    <t>CHAMURCHI ROAD/ RAILWAY</t>
  </si>
  <si>
    <t>ICD KOTA</t>
  </si>
  <si>
    <t>MAHINDRA WORLD CITY (JAIPUR)</t>
  </si>
  <si>
    <t>CCIL ICD VARNAMA</t>
  </si>
  <si>
    <t>LCS LOKSAN</t>
  </si>
  <si>
    <t>JAIPUR A.C. AIRPORT</t>
  </si>
  <si>
    <t>PIPRAUN</t>
  </si>
  <si>
    <t>NAVKAR CORP. LTD. ICD MORBI Gujarat</t>
  </si>
  <si>
    <t>MEGA IT SEZ GIDC GANDHINAGAR GUJARAT</t>
  </si>
  <si>
    <t>MADURAI AIRPORT</t>
  </si>
  <si>
    <t>LCS FULBARI ROAD/ RAILWAY</t>
  </si>
  <si>
    <t>Tripura</t>
  </si>
  <si>
    <t>SRIMANTAPUR ROAD/ RAILWAY</t>
  </si>
  <si>
    <t>NAGPUR AIR Maharashtra</t>
  </si>
  <si>
    <t>KARIMGANJ STEAMERGHAT</t>
  </si>
  <si>
    <t>GALGALIA ROAD/ RAILWAY</t>
  </si>
  <si>
    <t>ACC GOA,DABOLIM Airport</t>
  </si>
  <si>
    <t>LCS KULKULI</t>
  </si>
  <si>
    <t>VALLARPADOM SEZ,ERNAKULAM KERALA</t>
  </si>
  <si>
    <t>Pondicherry</t>
  </si>
  <si>
    <t>ICD PONDICHERRY</t>
  </si>
  <si>
    <t>LCS MANU ROAD/ RAILWAY</t>
  </si>
  <si>
    <t>ICD MARRIAPALLAEM</t>
  </si>
  <si>
    <t>KIADB PHARMACEUTICAL SEZ</t>
  </si>
  <si>
    <t>AP Industrial Infra Ltd PH SEZ</t>
  </si>
  <si>
    <t>NIRMALI/KANAULI ROAD/ RAILWAY</t>
  </si>
  <si>
    <t>Meghalaya</t>
  </si>
  <si>
    <t>MAHENDRAGANJ ROAD/ RAILWAY</t>
  </si>
  <si>
    <t>NAVI MUMBAI INTERNATIONAL AIRPORT MAHARASHTRA</t>
  </si>
  <si>
    <t>OTHER MEAT</t>
  </si>
  <si>
    <t>GUWAHATI AIRPORT</t>
  </si>
  <si>
    <t>Ramki Pharma City (India) Pvt SEZ</t>
  </si>
  <si>
    <t>BIOCON LTD SEZ KARNATAKA</t>
  </si>
  <si>
    <t>JAIGAD SEA</t>
  </si>
  <si>
    <t>ICD KOTTYAM KERALA</t>
  </si>
  <si>
    <t>ICD TUDIYALUR</t>
  </si>
  <si>
    <t>INTEGR. CHENNAI BUSINESS PARK</t>
  </si>
  <si>
    <t>J MATADEE CHENNAI Tamilnadu</t>
  </si>
  <si>
    <t>QUEST SEZ BALGAOM KARNATAKA</t>
  </si>
  <si>
    <t>NEW CHENNAI TOWNSHIP PVT LTD SEZ TN</t>
  </si>
  <si>
    <t>SATTVA CFS LOGISTICS</t>
  </si>
  <si>
    <t>AGARTALA ROAD/ RAILWAY</t>
  </si>
  <si>
    <t>KHOWAIGHAT ROAD/ RAILWAY</t>
  </si>
  <si>
    <t>LCS MAHURIGHAT</t>
  </si>
  <si>
    <t>OLD RAGHNA BAZAR LCS (TRIPURA) ROAD/ RAILWAY</t>
  </si>
  <si>
    <t>DHARCHULA ROAD/ RAILWAY</t>
  </si>
  <si>
    <t>ICD AGRA</t>
  </si>
  <si>
    <t>ICD BAWAL Haryana</t>
  </si>
  <si>
    <t>SEZ Dahej</t>
  </si>
  <si>
    <t>Pharma dev by Zydus, Ahmedabad SEA</t>
  </si>
  <si>
    <t>ICD VADODARA/BARODA</t>
  </si>
  <si>
    <t>EPZ/SEZ SURAT</t>
  </si>
  <si>
    <t>TIKUNIA ROAD/ RAILWAY</t>
  </si>
  <si>
    <t>ICD DURGAPUR, WB</t>
  </si>
  <si>
    <t>LAUKAHA, MADHUBANI</t>
  </si>
  <si>
    <t>ICD BIHTA BIHAR</t>
  </si>
  <si>
    <t>JOYNAGAR ROAD/ RAILWAY</t>
  </si>
  <si>
    <t>SUTARKANDI ROAD/ RAILWAY</t>
  </si>
  <si>
    <t>LCS BIRPARA ALIPURDUAR</t>
  </si>
  <si>
    <t>GOLOKGANS RLY.STN</t>
  </si>
  <si>
    <t>RAIGANJ LCS West Bengal</t>
  </si>
  <si>
    <t>DAWKI ROAD/ RAILWAY</t>
  </si>
  <si>
    <t>SERUM BIO PHARM PARK SEZ PUNE Maharashtra</t>
  </si>
  <si>
    <t>BHUBANESWAR AIR CARGO Odisha</t>
  </si>
  <si>
    <t>MUMBAI SEA</t>
  </si>
  <si>
    <t>CFS DAPPER(DERABASSI)</t>
  </si>
  <si>
    <t>MAHA AIRPORT DEV CORP NAGPUR Maharashtra</t>
  </si>
  <si>
    <t>MAGARPATTA TOWN DEVP SEZ PUNE MAHARASHTRA</t>
  </si>
  <si>
    <t>ICD DAPPAR, PUNJAB STATE WAREH</t>
  </si>
  <si>
    <t>ICD TELEGAON</t>
  </si>
  <si>
    <t>ICD JAIPUR</t>
  </si>
  <si>
    <t>ICD RAJSICO</t>
  </si>
  <si>
    <t>RIICO SEZ-II SITAPURA</t>
  </si>
  <si>
    <t>ICD CFS Nashik</t>
  </si>
  <si>
    <t>CFS NDR INFRASTRUCTURE P LTD</t>
  </si>
  <si>
    <t>ACC JANORI (NASIK) SEA</t>
  </si>
  <si>
    <t>VIZHINJAM INTL SEAPORT ADANI SEA</t>
  </si>
  <si>
    <t>FLEXTRONICS TECHN SEZ SRIPERU</t>
  </si>
  <si>
    <t>ICBP PVT LTD FTWZ SEZ, EDAYANC Tamil Nadu</t>
  </si>
  <si>
    <t>ICD CHETTIPALAYAM Tamil Nadu</t>
  </si>
  <si>
    <t>India Export Statistics-APEDA Major Products</t>
  </si>
  <si>
    <t>Year: 2026-27,2025-26,2023-24</t>
  </si>
  <si>
    <t>State: All</t>
  </si>
  <si>
    <t>Port: All</t>
  </si>
  <si>
    <t>Country: All</t>
  </si>
  <si>
    <t>Product: Agri Products (APEDA Only) </t>
  </si>
  <si>
    <t>Value In USD Million</t>
  </si>
  <si>
    <t>Quantity In MT</t>
  </si>
  <si>
    <t>Products</t>
  </si>
  <si>
    <t>2023-24</t>
  </si>
  <si>
    <t>2025-26</t>
  </si>
  <si>
    <t>2026-27 (April-July)</t>
  </si>
  <si>
    <t>Total</t>
  </si>
  <si>
    <t>world</t>
  </si>
  <si>
    <t xml:space="preserve">Source: DGCIS </t>
  </si>
  <si>
    <t>South</t>
  </si>
  <si>
    <t>North-East</t>
  </si>
  <si>
    <t>East</t>
  </si>
  <si>
    <t>Central</t>
  </si>
  <si>
    <t>North</t>
  </si>
  <si>
    <t>West</t>
  </si>
  <si>
    <t>Dairy, Poultry &amp; Honey</t>
  </si>
  <si>
    <t>Processed Foods</t>
  </si>
  <si>
    <t>Meat &amp; Animal Products</t>
  </si>
  <si>
    <t>Cereals &amp; Grains</t>
  </si>
  <si>
    <t>Nuts &amp; Oilseeds</t>
  </si>
  <si>
    <t>Others</t>
  </si>
  <si>
    <t>Fresh Fruits &amp; Vegetables</t>
  </si>
  <si>
    <t>Pulses</t>
  </si>
  <si>
    <t>Air Cargo</t>
  </si>
  <si>
    <t>Inland ICD / CFS</t>
  </si>
  <si>
    <t>Land Border / Rail</t>
  </si>
  <si>
    <t>SEZ / EPZ</t>
  </si>
  <si>
    <t>Sea Port</t>
  </si>
  <si>
    <t>Row Labels</t>
  </si>
  <si>
    <t>Grand Total</t>
  </si>
  <si>
    <t>Sum of 2025-26 Value (USD Mn)</t>
  </si>
  <si>
    <t>Share%</t>
  </si>
  <si>
    <t>Sum of 2023-24 Value (USD Mn)</t>
  </si>
  <si>
    <t>% 2025-26 Value (USD Mn)2</t>
  </si>
  <si>
    <t>Pivot_Category</t>
  </si>
  <si>
    <t>Pivot_Product</t>
  </si>
  <si>
    <t>Pivot_Region</t>
  </si>
  <si>
    <t>%2025-26 Value (USD Mn)2</t>
  </si>
  <si>
    <t>Pivot_PortType</t>
  </si>
  <si>
    <t>Pivot_Port</t>
  </si>
  <si>
    <r>
      <t>Pivot_State</t>
    </r>
    <r>
      <rPr>
        <sz val="11"/>
        <color theme="1"/>
        <rFont val="Aptos Narrow"/>
        <family val="2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</si>
</sst>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"/>
    </font>
    <font>
      <b/>
      <sz val="11"/>
      <color rgb="FFFFFFFF"/>
      <name val="Aptos Narrow"/>
      <family val="2"/>
    </font>
    <font>
      <sz val="11"/>
      <name val="Aptos Narrow"/>
      <family val="2"/>
    </font>
    <font>
      <b/>
      <sz val="13.5"/>
      <color theme="1"/>
      <name val="Aptos Narrow"/>
      <family val="2"/>
      <charset val="1"/>
    </font>
    <font>
      <b/>
      <sz val="10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i/>
      <sz val="10"/>
      <color theme="1"/>
      <name val="Aptos Narrow"/>
      <family val="2"/>
      <charset val="1"/>
    </font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xfId="0"/>
    <xf numFmtId="0" fontId="4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0" fontId="0" fillId="0" borderId="0" xfId="0" applyAlignment="1">
      <alignment wrapText="1"/>
    </xf>
    <xf numFmtId="4" fontId="4" fillId="0" borderId="0" xfId="0" applyNumberFormat="1" applyFont="1" applyAlignment="1">
      <alignment horizontal="right" wrapText="1"/>
    </xf>
    <xf numFmtId="0" fontId="5" fillId="0" borderId="0" xfId="0" applyFont="1" applyAlignment="1">
      <alignment wrapText="1"/>
    </xf>
    <xf numFmtId="4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8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</cellXfs>
  <cellStyles count="2">
    <cellStyle name="Normal" xfId="0" builtinId="0"/>
    <cellStyle name="Style 1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AN" refreshedDate="46303.849928356482" createdVersion="8" refreshedVersion="8" minRefreshableVersion="3" recordCount="3288" xr:uid="{D8A8C2F0-6A26-4140-B3BA-97823B6F38F8}">
  <cacheSource type="worksheet">
    <worksheetSource name="ExportData"/>
  </cacheSource>
  <cacheFields count="16">
    <cacheField name="State" numFmtId="0">
      <sharedItems count="25">
        <s v="Gujarat"/>
        <s v="Maharashtra"/>
        <s v="Uttar Pradesh"/>
        <s v="Andhra Pradesh"/>
        <s v="West Bengal"/>
        <s v="Haryana"/>
        <s v="Tamil Nadu"/>
        <s v="Rajasthan"/>
        <s v="Madhya Pradesh"/>
        <s v="Punjab"/>
        <s v="Telangana"/>
        <s v="Kerala"/>
        <s v="Karnataka"/>
        <s v="Delhi"/>
        <s v="Bihar"/>
        <s v="Chhattisgarh"/>
        <s v="Odisha"/>
        <s v="Assam"/>
        <s v="Goa"/>
        <s v="Uttarakhand"/>
        <s v="Himachal Pradesh"/>
        <s v="Sikkim"/>
        <s v="Tripura"/>
        <s v="Pondicherry"/>
        <s v="Meghalaya"/>
      </sharedItems>
    </cacheField>
    <cacheField name="Region" numFmtId="0">
      <sharedItems count="6">
        <s v="West"/>
        <s v="North"/>
        <s v="South"/>
        <s v="East"/>
        <s v="Central"/>
        <s v="North-East"/>
      </sharedItems>
    </cacheField>
    <cacheField name="Port" numFmtId="0">
      <sharedItems count="226">
        <s v="MUNDRA SEA"/>
        <s v="NHAVA SHEVA SEA"/>
        <s v="CFS ALBATROSS/ICD DADRI"/>
        <s v="KAKINADA SEA"/>
        <s v="KANDLA SEA SEA"/>
        <s v="VISAKHAPATNAM SEA"/>
        <s v="ICD CGML DADRI"/>
        <s v="KOLKATA SEA"/>
        <s v="ICD PANKI, UP"/>
        <s v="ICD SAMALKHA PANIPAT Haryana"/>
        <s v="ICD PALWAL, BHAGOLA-JANAULI Haryana"/>
        <s v="ICD SONIPAT ICD"/>
        <s v="CHENNAI SEA"/>
        <s v="ICD Juhi Railway Yard Kanpur ICD"/>
        <s v="ICD NOIDA-DADRI"/>
        <s v="ICD GARHIHARSARU"/>
        <s v="ICD DHIRPUR JAIPUR RAJASTHAN"/>
        <s v="PIPAVAB(VICYOR) SEA"/>
        <s v="ICD NAGPUR"/>
        <s v="ICD MANDIDEEP"/>
        <s v="ICD POWARKHEDA Madhya Pradesh"/>
        <s v="KRISHNAPATNAM SEA"/>
        <s v="ICD TONDIAR-PET CHENNAI"/>
        <s v="ADANI ICD KILA RAIPUR LUDHIANA"/>
        <s v="MUMBAI AIR"/>
        <s v="ICD JODHPUR"/>
        <s v="HTPL KILARAIPUR ICD"/>
        <s v="ICD CHOWPAYAL Punjab"/>
        <s v="ICD HYDERABAD"/>
        <s v="COCHIN SEA"/>
        <s v="ICD BANGALORE"/>
        <s v="ICD JANORI"/>
        <s v="TUTICORIN SEA"/>
        <s v="DELHI AIRPORT"/>
        <s v="ICD PATLI"/>
        <s v="ICD THAR DRY PORT"/>
        <s v="ICD SABARMATI"/>
        <s v="NEWMANGALORE SEA"/>
        <s v="BANGALORE AIRPORT"/>
        <s v="RAXAUL ICD"/>
        <s v="ICD BARHI"/>
        <s v="ICD MALANPUR"/>
        <s v="ICD THIMMAPUR (CMTL)/AP ICD"/>
        <s v="SINGABAD RAILWAY STATION"/>
        <s v="PLIL ICD"/>
        <s v="HILI (WEST) ROAD/ RAILWAY"/>
        <s v="ICD RAIPUR"/>
        <s v="SEZ Mundra"/>
        <s v="DELHI (ICD)"/>
        <s v="ENNORE SEA Tamil Nadu"/>
        <s v="ICD SAHNEWAL, GRFL Punjab"/>
        <s v="HAZIRA PORT, SURAT SEZ"/>
        <s v="ICD BORKHEDI Maharashtra"/>
        <s v="JOGBANI ROAD ICD"/>
        <s v="ICD SACHANA VIRAMGAM AHMEDABAD"/>
        <s v="KATTUPALLI PORT/ TIRUVALLUR SEA"/>
        <s v="ARSHIYA INTL. FTWZ-SEZ, RAIGAD"/>
        <s v="ICD MODINAGAR ICD"/>
        <s v="ICD THAR DRY PORT, JODHPUR"/>
        <s v="NAUTANWA (SONAULI) ICD"/>
        <s v="L C S KHUNWA"/>
        <s v="ICD LUDHIANA"/>
        <s v="DHAMRA(CHANDBALI) SEA"/>
        <s v="JAIGAON ICD"/>
        <s v="COCHIN AIRPORT"/>
        <s v="RANAGHAT ICD"/>
        <s v="ICD NASIK"/>
        <s v="AHMEDABAD AIR CARGO COMPLEX"/>
        <s v="ICD Pakwara Moradabad/Meerut ICD"/>
        <s v="HYDERABAD AIRPORT"/>
        <s v="ICD LONI"/>
        <s v="NEPALGANJ ROAD/ RAILWAY"/>
        <s v="SEZ Kandla"/>
        <s v="PETRAPOLE LAND ROAD/ RAILWAY"/>
        <s v="OLD MUNDRA SEA"/>
        <s v="ICD Talegaon Maharashtra"/>
        <s v="KOTWALIGATE (MOHEDIPUR) ROAD/ RAILWAY"/>
        <s v="BARHNI Road/Railway"/>
        <s v="ICD CFS STARTRACK DADRI"/>
        <s v="SEZ Cochin"/>
        <s v="GHAJADANGA SEA PORT"/>
        <s v="ICD ANKLESHWAR"/>
        <s v="ICD MALIWADA"/>
        <s v="ICD TUMB"/>
        <s v="JNEHRU PORT TRUST Sea"/>
        <s v="ACC CALICUT, KARIPUR Airport"/>
        <s v="ICD KATHUWAS ALWAR"/>
        <s v="HATISAR (Deosiri) ROAD/ RAILWAY"/>
        <s v="ICD PITHAMPUR (INDORE)"/>
        <s v="ICD DHANNAD"/>
        <s v="ICD DHANAKYA JAIPUR RAJASTHAN"/>
        <s v="CHENNAI AIR"/>
        <s v="KRIBHO INFRA LTD.ICD (HARYANA)"/>
        <s v="CCIL ICD BALLI GOA"/>
        <s v="TRIVANDRUM AIRPORT"/>
        <s v="CHENGRABANDHA RLY.STATION"/>
        <s v="BHITHAMORE ICD"/>
        <s v="PORBANDAR Sea"/>
        <s v="ICD DIGHI PUNE"/>
        <s v="ICD KHEDA"/>
        <s v="ICD KANAKPURA"/>
        <s v="ARSHIYA NORTHERN FTWZLTD NOIDA SEZ"/>
        <s v="SRI City Pvt Ltd ICD"/>
        <s v="ICD DALPATPUR MORADABAD"/>
        <s v="LUCKNOW AIR Uttar Pradesh"/>
        <s v="ICD TUTICORIN"/>
        <s v="BHIMNAGAR ROAD/ RAILWAY"/>
        <s v="SONBARSA ROAD/ RAILWAY"/>
        <s v="DARRANGA (Rangia) ROAD/ RAILWAY"/>
        <s v="LCD TOOTHIBARI, MAHARAJGANJ"/>
        <s v="PANITANKI ROAD/ RAILWAY"/>
        <s v="ICD SIDCHUL PANTNAGAR"/>
        <s v="GOURIPHANTA ROAD/ RAILWAY"/>
        <s v="KOLKATA AIRPORT"/>
        <s v="ICD SANDKHEDA KASHIPUR"/>
        <s v="AIR CARGO TRICHI Tamilnadu"/>
        <s v="GANGAVARAM PORT SEA"/>
        <s v="PEAR CITY FOOD PORT SEZ"/>
        <s v="INDORE AIRPORT"/>
        <s v="ICD Piyala Ballagarh ICD"/>
        <s v="PARADIP SEA"/>
        <s v="ACC MOPA, GOA"/>
        <s v="ICD FARIDABAD"/>
        <s v="MANGALORE SEZ"/>
        <s v="BAIRGANIA Bihar"/>
        <s v="T.T.SHED (KIDDERPORE) ROAD/ RAILWAY"/>
        <s v="ICD ARAKKANOM"/>
        <s v="VISAKHAPATNAM SPL ECONOMIC ZON"/>
        <s v="ICD CFS PATPARGANJ"/>
        <s v="ICD DHANDARI KALAN, PSWC Punjab"/>
        <s v="CHENNAI EPZ"/>
        <s v="ICD SATTVA BENGALURU VEMGAL I KARNATAKA"/>
        <s v="ACC COIMBATORE AIRPORT"/>
        <s v="ICD BADDI Himachal Pradesh"/>
        <s v="KERALA INDUS INFRA SEZ"/>
        <s v="LCS NAGARKATA JALPAIGURI"/>
        <s v="KANNUR AIR CARGO"/>
        <s v="FALTA EPZ/SEZ"/>
        <s v="LCS KAMARDWISA Assam"/>
        <s v="ACC AMRITSAR (RAJASANSI) Punjab"/>
        <s v="ICD Irgur"/>
        <s v="PUNE AIR CARGO MAHARASHTRA"/>
        <s v="ICD MALUR KARNATAKA"/>
        <s v="CFS/ICD CHHEHETA AMRITSAR"/>
        <s v="SEZ Indore"/>
        <s v="MANGALORE AIR CARGO"/>
        <s v="LCS BANBASA,CHAMPAWAT/UTTARAKHAND"/>
        <s v="SEZ Noida"/>
        <s v="ICD HOSUR Tamilnadu"/>
        <s v="BABATPUR AIRPORT"/>
        <s v="CHAMURCHI ROAD/ RAILWAY"/>
        <s v="ICD KOTA"/>
        <s v="MAHINDRA WORLD CITY (JAIPUR)"/>
        <s v="CCIL ICD VARNAMA"/>
        <s v="LCS LOKSAN"/>
        <s v="JAIPUR A.C. AIRPORT"/>
        <s v="PIPRAUN"/>
        <s v="NAVKAR CORP. LTD. ICD MORBI Gujarat"/>
        <s v="MEGA IT SEZ GIDC GANDHINAGAR GUJARAT"/>
        <s v="MADURAI AIRPORT"/>
        <s v="LCS FULBARI ROAD/ RAILWAY"/>
        <s v="SRIMANTAPUR ROAD/ RAILWAY"/>
        <s v="NAGPUR AIR Maharashtra"/>
        <s v="KARIMGANJ STEAMERGHAT"/>
        <s v="GALGALIA ROAD/ RAILWAY"/>
        <s v="ACC GOA,DABOLIM Airport"/>
        <s v="LCS KULKULI"/>
        <s v="VALLARPADOM SEZ,ERNAKULAM KERALA"/>
        <s v="ICD PONDICHERRY"/>
        <s v="LCS MANU ROAD/ RAILWAY"/>
        <s v="ICD MARRIAPALLAEM"/>
        <s v="KIADB PHARMACEUTICAL SEZ"/>
        <s v="AP Industrial Infra Ltd PH SEZ"/>
        <s v="NIRMALI/KANAULI ROAD/ RAILWAY"/>
        <s v="MAHENDRAGANJ ROAD/ RAILWAY"/>
        <s v="NAVI MUMBAI INTERNATIONAL AIRPORT MAHARASHTRA"/>
        <s v="GUWAHATI AIRPORT"/>
        <s v="Ramki Pharma City (India) Pvt SEZ"/>
        <s v="BIOCON LTD SEZ KARNATAKA"/>
        <s v="JAIGAD SEA"/>
        <s v="ICD KOTTYAM KERALA"/>
        <s v="ICD TUDIYALUR"/>
        <s v="INTEGR. CHENNAI BUSINESS PARK"/>
        <s v="J MATADEE CHENNAI Tamilnadu"/>
        <s v="QUEST SEZ BALGAOM KARNATAKA"/>
        <s v="NEW CHENNAI TOWNSHIP PVT LTD SEZ TN"/>
        <s v="SATTVA CFS LOGISTICS"/>
        <s v="AGARTALA ROAD/ RAILWAY"/>
        <s v="KHOWAIGHAT ROAD/ RAILWAY"/>
        <s v="LCS MAHURIGHAT"/>
        <s v="OLD RAGHNA BAZAR LCS (TRIPURA) ROAD/ RAILWAY"/>
        <s v="DHARCHULA ROAD/ RAILWAY"/>
        <s v="ICD AGRA"/>
        <s v="ICD BAWAL Haryana"/>
        <s v="SEZ Dahej"/>
        <s v="Pharma dev by Zydus, Ahmedabad SEA"/>
        <s v="ICD VADODARA/BARODA"/>
        <s v="EPZ/SEZ SURAT"/>
        <s v="TIKUNIA ROAD/ RAILWAY"/>
        <s v="ICD DURGAPUR, WB"/>
        <s v="LAUKAHA, MADHUBANI"/>
        <s v="ICD BIHTA BIHAR"/>
        <s v="JOYNAGAR ROAD/ RAILWAY"/>
        <s v="SUTARKANDI ROAD/ RAILWAY"/>
        <s v="LCS BIRPARA ALIPURDUAR"/>
        <s v="GOLOKGANS RLY.STN"/>
        <s v="RAIGANJ LCS West Bengal"/>
        <s v="DAWKI ROAD/ RAILWAY"/>
        <s v="SERUM BIO PHARM PARK SEZ PUNE Maharashtra"/>
        <s v="BHUBANESWAR AIR CARGO Odisha"/>
        <s v="MUMBAI SEA"/>
        <s v="CFS DAPPER(DERABASSI)"/>
        <s v="MAHA AIRPORT DEV CORP NAGPUR Maharashtra"/>
        <s v="MAGARPATTA TOWN DEVP SEZ PUNE MAHARASHTRA"/>
        <s v="ICD DAPPAR, PUNJAB STATE WAREH"/>
        <s v="ICD TELEGAON"/>
        <s v="ICD JAIPUR"/>
        <s v="ICD RAJSICO"/>
        <s v="RIICO SEZ-II SITAPURA"/>
        <s v="ICD CFS Nashik"/>
        <s v="CFS NDR INFRASTRUCTURE P LTD"/>
        <s v="ACC JANORI (NASIK) SEA"/>
        <s v="VIZHINJAM INTL SEAPORT ADANI SEA"/>
        <s v="FLEXTRONICS TECHN SEZ SRIPERU"/>
        <s v="ICBP PVT LTD FTWZ SEZ, EDAYANC Tamil Nadu"/>
        <s v="ICD CHETTIPALAYAM Tamil Nadu"/>
      </sharedItems>
    </cacheField>
    <cacheField name="Port Type" numFmtId="0">
      <sharedItems count="5">
        <s v="Sea Port"/>
        <s v="Inland ICD / CFS"/>
        <s v="Land Border / Rail"/>
        <s v="Air Cargo"/>
        <s v="SEZ / EPZ"/>
      </sharedItems>
    </cacheField>
    <cacheField name="Product" numFmtId="0">
      <sharedItems count="44">
        <s v="BASMATI RICE"/>
        <s v="BUFFALO MEAT"/>
        <s v="NON BASMATI RICE"/>
        <s v="PULSES"/>
        <s v="MISCELLANEOUS PREPARATIONS"/>
        <s v="PROCESSED VEGETABLES"/>
        <s v="OTHER FRESH FRUITS"/>
        <s v="GUARGUM"/>
        <s v="CEREAL PREPARATIONS"/>
        <s v="GROUNDNUTS"/>
        <s v="JAGGERY &amp; CONFECTIONERY"/>
        <s v="PROCESSED FRUITS, JUICES &amp; NUTS"/>
        <s v="FRESH ONIONS"/>
        <s v="COCOA PRODUCTS"/>
        <s v="ALCOHOLIC BEVERAGES"/>
        <s v="MAIZE"/>
        <s v="MILLED PRODUCTS"/>
        <s v="FRUITS &amp; VEGETABLES SEEDS"/>
        <s v="DAIRY PRODUCTS"/>
        <s v="FRESH MANGOES"/>
        <s v="CUCUMBER AND GHERKINS( PREPD. &amp; PRESVD)"/>
        <s v="FRESH GRAPES"/>
        <s v="Cashew Kernel"/>
        <s v="SHEEP/GOAT MEAT"/>
        <s v="OTHER FRESH VEGETABLES"/>
        <s v="Egg and Live Birds (Poultry)"/>
        <s v="WHEAT"/>
        <s v="CASEIN"/>
        <s v="OTHER OIL CAKE/SOLID RESDUS"/>
        <s v="NATURAL HONEY"/>
        <s v="FLORICULTURE"/>
        <s v="ANIMAL CASINGS"/>
        <s v="OTHER CEREALS"/>
        <s v="POULTRY PRODUCTS"/>
        <s v="Cashew shell liquid (CNSL)"/>
        <s v="Millet"/>
        <s v="Cashew Nuts Roasted/Value Added"/>
        <s v="MANGO PULP"/>
        <s v="OTHERS (BETEL LEAVES &amp; NUTS)"/>
        <s v="ALBUMIN( Eggs &amp; Milk )"/>
        <s v="Cashew Nuts Fresh/Dried In Shell"/>
        <s v="WALNUTS"/>
        <s v="PROCESSED MEAT"/>
        <s v="OTHER MEAT"/>
      </sharedItems>
    </cacheField>
    <cacheField name="Product Category" numFmtId="0">
      <sharedItems count="8">
        <s v="Cereals &amp; Grains"/>
        <s v="Meat &amp; Animal Products"/>
        <s v="Pulses"/>
        <s v="Processed Foods"/>
        <s v="Fresh Fruits &amp; Vegetables"/>
        <s v="Others"/>
        <s v="Nuts &amp; Oilseeds"/>
        <s v="Dairy, Poultry &amp; Honey"/>
      </sharedItems>
    </cacheField>
    <cacheField name="2023-24 Value (USD Mn)" numFmtId="4">
      <sharedItems containsSemiMixedTypes="0" containsString="0" containsNumber="1" minValue="0" maxValue="2169.9899999999998"/>
    </cacheField>
    <cacheField name="2025-26 Value (USD Mn)" numFmtId="4">
      <sharedItems containsSemiMixedTypes="0" containsString="0" containsNumber="1" minValue="0" maxValue="2298.4499999999998"/>
    </cacheField>
    <cacheField name="2026-27 Apr-Jul Value (USD Mn)" numFmtId="4">
      <sharedItems containsSemiMixedTypes="0" containsString="0" containsNumber="1" minValue="0" maxValue="830.81"/>
    </cacheField>
    <cacheField name="2023-24 Qty (MT)" numFmtId="4">
      <sharedItems containsSemiMixedTypes="0" containsString="0" containsNumber="1" minValue="0" maxValue="2589020.6800000002"/>
    </cacheField>
    <cacheField name="2025-26 Qty (MT)" numFmtId="4">
      <sharedItems containsSemiMixedTypes="0" containsString="0" containsNumber="1" minValue="0" maxValue="3778728.48"/>
    </cacheField>
    <cacheField name="2026-27 Apr-Jul Qty (MT)" numFmtId="4">
      <sharedItems containsSemiMixedTypes="0" containsString="0" containsNumber="1" minValue="0" maxValue="1296925.48"/>
    </cacheField>
    <cacheField name="Value Change 2025-26 vs 2023-24" numFmtId="4">
      <sharedItems containsSemiMixedTypes="0" containsString="0" containsNumber="1" minValue="-158.45000000000002" maxValue="578.4899999999999"/>
    </cacheField>
    <cacheField name="Qty Change 2025-26 vs 2023-24" numFmtId="4">
      <sharedItems containsSemiMixedTypes="0" containsString="0" containsNumber="1" minValue="-363188.35" maxValue="1222197.3699999999"/>
    </cacheField>
    <cacheField name="2026-27 Value Change" numFmtId="4">
      <sharedItems containsSemiMixedTypes="0" containsString="0" containsNumber="1" minValue="-1467.6399999999999" maxValue="45.93"/>
    </cacheField>
    <cacheField name="Country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88">
  <r>
    <x v="0"/>
    <x v="0"/>
    <x v="0"/>
    <x v="0"/>
    <x v="0"/>
    <x v="0"/>
    <n v="2169.9899999999998"/>
    <n v="2298.4499999999998"/>
    <n v="830.81"/>
    <n v="1998793.13"/>
    <n v="2690097.56"/>
    <n v="902322.53"/>
    <n v="128.46000000000004"/>
    <n v="691304.43000000017"/>
    <n v="-1467.6399999999999"/>
    <s v="India"/>
  </r>
  <r>
    <x v="1"/>
    <x v="0"/>
    <x v="1"/>
    <x v="0"/>
    <x v="1"/>
    <x v="1"/>
    <n v="917.88"/>
    <n v="1496.37"/>
    <n v="562.28"/>
    <n v="318733.64"/>
    <n v="425067.48"/>
    <n v="130651.44"/>
    <n v="578.4899999999999"/>
    <n v="106333.83999999997"/>
    <n v="-934.08999999999992"/>
    <s v="India"/>
  </r>
  <r>
    <x v="2"/>
    <x v="1"/>
    <x v="2"/>
    <x v="1"/>
    <x v="1"/>
    <x v="1"/>
    <n v="936.57"/>
    <n v="1048.6600000000001"/>
    <n v="544.64"/>
    <n v="324888.7"/>
    <n v="290388.46999999997"/>
    <n v="124459.18"/>
    <n v="112.09000000000003"/>
    <n v="-34500.23000000004"/>
    <n v="-504.0200000000001"/>
    <s v="India"/>
  </r>
  <r>
    <x v="3"/>
    <x v="2"/>
    <x v="3"/>
    <x v="0"/>
    <x v="2"/>
    <x v="0"/>
    <n v="1019.88"/>
    <n v="1359.84"/>
    <n v="419.33"/>
    <n v="2589020.6800000002"/>
    <n v="3778728.48"/>
    <n v="1296925.48"/>
    <n v="339.95999999999992"/>
    <n v="1189707.7999999998"/>
    <n v="-940.51"/>
    <s v="India"/>
  </r>
  <r>
    <x v="0"/>
    <x v="0"/>
    <x v="4"/>
    <x v="0"/>
    <x v="0"/>
    <x v="0"/>
    <n v="1242.07"/>
    <n v="1187.45"/>
    <n v="389.9"/>
    <n v="1177950.22"/>
    <n v="1481392.61"/>
    <n v="427258.73"/>
    <n v="-54.619999999999891"/>
    <n v="303442.39000000013"/>
    <n v="-797.55000000000007"/>
    <s v="India"/>
  </r>
  <r>
    <x v="3"/>
    <x v="2"/>
    <x v="5"/>
    <x v="0"/>
    <x v="2"/>
    <x v="0"/>
    <n v="667.67"/>
    <n v="612.51"/>
    <n v="250.94"/>
    <n v="1654430.74"/>
    <n v="1690603.53"/>
    <n v="774317.55"/>
    <n v="-55.159999999999968"/>
    <n v="36172.790000000037"/>
    <n v="-361.57"/>
    <s v="India"/>
  </r>
  <r>
    <x v="0"/>
    <x v="0"/>
    <x v="0"/>
    <x v="0"/>
    <x v="2"/>
    <x v="0"/>
    <n v="730.01"/>
    <n v="693.36"/>
    <n v="248.56"/>
    <n v="1736946.48"/>
    <n v="1507924.44"/>
    <n v="563528.32999999996"/>
    <n v="-36.649999999999977"/>
    <n v="-229022.04000000004"/>
    <n v="-444.8"/>
    <s v="India"/>
  </r>
  <r>
    <x v="2"/>
    <x v="1"/>
    <x v="6"/>
    <x v="1"/>
    <x v="1"/>
    <x v="1"/>
    <n v="358.89"/>
    <n v="532.99"/>
    <n v="222.25"/>
    <n v="123625.07"/>
    <n v="147257.68"/>
    <n v="50127.91"/>
    <n v="174.10000000000002"/>
    <n v="23632.609999999986"/>
    <n v="-310.74"/>
    <s v="India"/>
  </r>
  <r>
    <x v="0"/>
    <x v="0"/>
    <x v="4"/>
    <x v="0"/>
    <x v="2"/>
    <x v="0"/>
    <n v="257.12"/>
    <n v="582.61"/>
    <n v="206.94"/>
    <n v="667453.21"/>
    <n v="1527054.14"/>
    <n v="578738.97"/>
    <n v="325.49"/>
    <n v="859600.92999999993"/>
    <n v="-375.67"/>
    <s v="India"/>
  </r>
  <r>
    <x v="4"/>
    <x v="3"/>
    <x v="7"/>
    <x v="0"/>
    <x v="2"/>
    <x v="0"/>
    <n v="396.23"/>
    <n v="456.93"/>
    <n v="184.12"/>
    <n v="943947.01"/>
    <n v="1244058.79"/>
    <n v="560583.15"/>
    <n v="60.699999999999989"/>
    <n v="300111.78000000003"/>
    <n v="-272.81"/>
    <s v="India"/>
  </r>
  <r>
    <x v="0"/>
    <x v="0"/>
    <x v="0"/>
    <x v="0"/>
    <x v="3"/>
    <x v="2"/>
    <n v="176.05"/>
    <n v="385.68"/>
    <n v="183.38"/>
    <n v="135676.5"/>
    <n v="394735.21"/>
    <n v="185043.86"/>
    <n v="209.63"/>
    <n v="259058.71000000002"/>
    <n v="-202.3"/>
    <s v="India"/>
  </r>
  <r>
    <x v="1"/>
    <x v="0"/>
    <x v="1"/>
    <x v="0"/>
    <x v="2"/>
    <x v="0"/>
    <n v="257.82"/>
    <n v="464.19"/>
    <n v="178.79"/>
    <n v="634642.31000000006"/>
    <n v="1152704.8500000001"/>
    <n v="457683.02"/>
    <n v="206.37"/>
    <n v="518062.54000000004"/>
    <n v="-285.39999999999998"/>
    <s v="India"/>
  </r>
  <r>
    <x v="2"/>
    <x v="1"/>
    <x v="8"/>
    <x v="1"/>
    <x v="1"/>
    <x v="1"/>
    <n v="244.28"/>
    <n v="383.85"/>
    <n v="172.59"/>
    <n v="83226.09"/>
    <n v="105788.1"/>
    <n v="39229.54"/>
    <n v="139.57000000000002"/>
    <n v="22562.010000000009"/>
    <n v="-211.26000000000002"/>
    <s v="India"/>
  </r>
  <r>
    <x v="5"/>
    <x v="1"/>
    <x v="9"/>
    <x v="1"/>
    <x v="0"/>
    <x v="0"/>
    <n v="708.84"/>
    <n v="614.47"/>
    <n v="171.06"/>
    <n v="630071.72"/>
    <n v="694163.8"/>
    <n v="178285.48"/>
    <n v="-94.37"/>
    <n v="64092.080000000075"/>
    <n v="-443.41"/>
    <s v="India"/>
  </r>
  <r>
    <x v="5"/>
    <x v="1"/>
    <x v="10"/>
    <x v="1"/>
    <x v="1"/>
    <x v="1"/>
    <n v="85.85"/>
    <n v="258.39"/>
    <n v="146.59"/>
    <n v="28495.81"/>
    <n v="68950.259999999995"/>
    <n v="32921.11"/>
    <n v="172.54"/>
    <n v="40454.449999999997"/>
    <n v="-111.79999999999998"/>
    <s v="India"/>
  </r>
  <r>
    <x v="5"/>
    <x v="1"/>
    <x v="11"/>
    <x v="1"/>
    <x v="0"/>
    <x v="0"/>
    <n v="627.62"/>
    <n v="497.59"/>
    <n v="136.69"/>
    <n v="530579.68000000005"/>
    <n v="513636.09"/>
    <n v="131757.81"/>
    <n v="-130.03000000000003"/>
    <n v="-16943.590000000026"/>
    <n v="-360.9"/>
    <s v="India"/>
  </r>
  <r>
    <x v="1"/>
    <x v="0"/>
    <x v="1"/>
    <x v="0"/>
    <x v="4"/>
    <x v="3"/>
    <n v="356.49"/>
    <n v="364.19"/>
    <n v="133.69999999999999"/>
    <n v="334989.06"/>
    <n v="240052.8"/>
    <n v="106650.69"/>
    <n v="7.6999999999999886"/>
    <n v="-94936.260000000009"/>
    <n v="-230.49"/>
    <s v="India"/>
  </r>
  <r>
    <x v="6"/>
    <x v="2"/>
    <x v="12"/>
    <x v="0"/>
    <x v="2"/>
    <x v="0"/>
    <n v="99.31"/>
    <n v="267.44"/>
    <n v="122.84"/>
    <n v="221886.7"/>
    <n v="684374.24"/>
    <n v="334764.42"/>
    <n v="168.13"/>
    <n v="462487.54"/>
    <n v="-144.6"/>
    <s v="India"/>
  </r>
  <r>
    <x v="0"/>
    <x v="0"/>
    <x v="0"/>
    <x v="0"/>
    <x v="5"/>
    <x v="3"/>
    <n v="235.35"/>
    <n v="318.45999999999998"/>
    <n v="121.98"/>
    <n v="151133.37"/>
    <n v="227849.27"/>
    <n v="95516.95"/>
    <n v="83.109999999999985"/>
    <n v="76715.899999999994"/>
    <n v="-196.47999999999996"/>
    <s v="India"/>
  </r>
  <r>
    <x v="2"/>
    <x v="1"/>
    <x v="13"/>
    <x v="2"/>
    <x v="1"/>
    <x v="1"/>
    <n v="308.51"/>
    <n v="388.63"/>
    <n v="120.7"/>
    <n v="106433.8"/>
    <n v="105030.57"/>
    <n v="27295.95"/>
    <n v="80.12"/>
    <n v="-1403.2299999999959"/>
    <n v="-267.93"/>
    <s v="India"/>
  </r>
  <r>
    <x v="1"/>
    <x v="0"/>
    <x v="1"/>
    <x v="0"/>
    <x v="3"/>
    <x v="2"/>
    <n v="211.77"/>
    <n v="244.26"/>
    <n v="120.12"/>
    <n v="181900.11"/>
    <n v="236761.71"/>
    <n v="125030.53"/>
    <n v="32.489999999999981"/>
    <n v="54861.600000000006"/>
    <n v="-124.13999999999999"/>
    <s v="India"/>
  </r>
  <r>
    <x v="2"/>
    <x v="1"/>
    <x v="14"/>
    <x v="1"/>
    <x v="1"/>
    <x v="1"/>
    <n v="276.20999999999998"/>
    <n v="406.53"/>
    <n v="109.06"/>
    <n v="95964.37"/>
    <n v="114981.73"/>
    <n v="25896.87"/>
    <n v="130.32"/>
    <n v="19017.36"/>
    <n v="-297.46999999999997"/>
    <s v="India"/>
  </r>
  <r>
    <x v="1"/>
    <x v="0"/>
    <x v="1"/>
    <x v="0"/>
    <x v="6"/>
    <x v="4"/>
    <n v="259.45999999999998"/>
    <n v="458.56"/>
    <n v="100.12"/>
    <n v="464222.76"/>
    <n v="953314.21"/>
    <n v="162439.96"/>
    <n v="199.10000000000002"/>
    <n v="489091.44999999995"/>
    <n v="-358.44"/>
    <s v="India"/>
  </r>
  <r>
    <x v="0"/>
    <x v="0"/>
    <x v="0"/>
    <x v="0"/>
    <x v="7"/>
    <x v="5"/>
    <n v="260.02"/>
    <n v="255.16"/>
    <n v="99.75"/>
    <n v="194115.81"/>
    <n v="197740.14"/>
    <n v="76474.009999999995"/>
    <n v="-4.8599999999999852"/>
    <n v="3624.3300000000163"/>
    <n v="-155.41"/>
    <s v="India"/>
  </r>
  <r>
    <x v="0"/>
    <x v="0"/>
    <x v="0"/>
    <x v="0"/>
    <x v="4"/>
    <x v="3"/>
    <n v="157.86000000000001"/>
    <n v="225.98"/>
    <n v="94.35"/>
    <n v="105758.42"/>
    <n v="141239.45000000001"/>
    <n v="54208.39"/>
    <n v="68.119999999999976"/>
    <n v="35481.030000000013"/>
    <n v="-131.63"/>
    <s v="India"/>
  </r>
  <r>
    <x v="5"/>
    <x v="1"/>
    <x v="15"/>
    <x v="1"/>
    <x v="1"/>
    <x v="1"/>
    <n v="211.98"/>
    <n v="215.9"/>
    <n v="93.51"/>
    <n v="71020.86"/>
    <n v="58455.6"/>
    <n v="20805.43"/>
    <n v="3.9200000000000159"/>
    <n v="-12565.260000000002"/>
    <n v="-122.39"/>
    <s v="India"/>
  </r>
  <r>
    <x v="1"/>
    <x v="0"/>
    <x v="1"/>
    <x v="0"/>
    <x v="8"/>
    <x v="3"/>
    <n v="193.43"/>
    <n v="249.48"/>
    <n v="82.34"/>
    <n v="163652.71"/>
    <n v="203325.42"/>
    <n v="62796.88"/>
    <n v="56.049999999999983"/>
    <n v="39672.710000000021"/>
    <n v="-167.14"/>
    <s v="India"/>
  </r>
  <r>
    <x v="7"/>
    <x v="1"/>
    <x v="16"/>
    <x v="1"/>
    <x v="0"/>
    <x v="0"/>
    <n v="0"/>
    <n v="104.08"/>
    <n v="72.39"/>
    <n v="0"/>
    <n v="123657.69"/>
    <n v="78169.91"/>
    <n v="104.08"/>
    <n v="123657.69"/>
    <n v="-31.689999999999998"/>
    <s v="India"/>
  </r>
  <r>
    <x v="0"/>
    <x v="0"/>
    <x v="0"/>
    <x v="0"/>
    <x v="9"/>
    <x v="6"/>
    <n v="356.1"/>
    <n v="367.06"/>
    <n v="70.849999999999994"/>
    <n v="275148.46999999997"/>
    <n v="347533.03"/>
    <n v="55698.79"/>
    <n v="10.95999999999998"/>
    <n v="72384.560000000056"/>
    <n v="-296.21000000000004"/>
    <s v="India"/>
  </r>
  <r>
    <x v="0"/>
    <x v="0"/>
    <x v="17"/>
    <x v="0"/>
    <x v="5"/>
    <x v="3"/>
    <n v="94.35"/>
    <n v="194.65"/>
    <n v="70.33"/>
    <n v="68644.62"/>
    <n v="148194.69"/>
    <n v="54969.71"/>
    <n v="100.30000000000001"/>
    <n v="79550.070000000007"/>
    <n v="-124.32000000000001"/>
    <s v="India"/>
  </r>
  <r>
    <x v="1"/>
    <x v="0"/>
    <x v="1"/>
    <x v="0"/>
    <x v="10"/>
    <x v="3"/>
    <n v="172.87"/>
    <n v="220.04"/>
    <n v="67.849999999999994"/>
    <n v="183627.44"/>
    <n v="236449.79"/>
    <n v="72541.86"/>
    <n v="47.169999999999987"/>
    <n v="52822.350000000006"/>
    <n v="-152.19"/>
    <s v="India"/>
  </r>
  <r>
    <x v="1"/>
    <x v="0"/>
    <x v="1"/>
    <x v="0"/>
    <x v="11"/>
    <x v="3"/>
    <n v="161.80000000000001"/>
    <n v="193.66"/>
    <n v="64.260000000000005"/>
    <n v="107505.26"/>
    <n v="131008.99"/>
    <n v="46353.83"/>
    <n v="31.859999999999985"/>
    <n v="23503.73000000001"/>
    <n v="-129.39999999999998"/>
    <s v="India"/>
  </r>
  <r>
    <x v="1"/>
    <x v="0"/>
    <x v="1"/>
    <x v="0"/>
    <x v="12"/>
    <x v="4"/>
    <n v="128"/>
    <n v="206.03"/>
    <n v="62.42"/>
    <n v="484487.92"/>
    <n v="777171.6"/>
    <n v="251328.82"/>
    <n v="78.03"/>
    <n v="292683.68"/>
    <n v="-143.61000000000001"/>
    <s v="India"/>
  </r>
  <r>
    <x v="1"/>
    <x v="0"/>
    <x v="18"/>
    <x v="1"/>
    <x v="2"/>
    <x v="0"/>
    <n v="344.62"/>
    <n v="186.17"/>
    <n v="58.96"/>
    <n v="842250.63"/>
    <n v="479062.28"/>
    <n v="162205.24"/>
    <n v="-158.45000000000002"/>
    <n v="-363188.35"/>
    <n v="-127.20999999999998"/>
    <s v="India"/>
  </r>
  <r>
    <x v="8"/>
    <x v="4"/>
    <x v="19"/>
    <x v="1"/>
    <x v="0"/>
    <x v="0"/>
    <n v="185.06"/>
    <n v="181.67"/>
    <n v="58.75"/>
    <n v="148835.84"/>
    <n v="202915.19"/>
    <n v="62200.88"/>
    <n v="-3.3900000000000148"/>
    <n v="54079.350000000006"/>
    <n v="-122.91999999999999"/>
    <s v="India"/>
  </r>
  <r>
    <x v="0"/>
    <x v="0"/>
    <x v="17"/>
    <x v="0"/>
    <x v="9"/>
    <x v="6"/>
    <n v="181.14"/>
    <n v="162.75"/>
    <n v="57.73"/>
    <n v="146310.54"/>
    <n v="153857.81"/>
    <n v="48002.27"/>
    <n v="-18.389999999999986"/>
    <n v="7547.2699999999895"/>
    <n v="-105.02000000000001"/>
    <s v="India"/>
  </r>
  <r>
    <x v="1"/>
    <x v="0"/>
    <x v="1"/>
    <x v="0"/>
    <x v="13"/>
    <x v="3"/>
    <n v="135.63999999999999"/>
    <n v="225.84"/>
    <n v="57.43"/>
    <n v="20917.240000000002"/>
    <n v="25555.98"/>
    <n v="9715.69"/>
    <n v="90.200000000000017"/>
    <n v="4638.739999999998"/>
    <n v="-168.41"/>
    <s v="India"/>
  </r>
  <r>
    <x v="1"/>
    <x v="0"/>
    <x v="1"/>
    <x v="0"/>
    <x v="5"/>
    <x v="3"/>
    <n v="137.07"/>
    <n v="139.9"/>
    <n v="52.62"/>
    <n v="88770.45"/>
    <n v="95493.94"/>
    <n v="36998.61"/>
    <n v="2.8300000000000125"/>
    <n v="6723.4900000000052"/>
    <n v="-87.28"/>
    <s v="India"/>
  </r>
  <r>
    <x v="1"/>
    <x v="0"/>
    <x v="1"/>
    <x v="0"/>
    <x v="14"/>
    <x v="3"/>
    <n v="139.21"/>
    <n v="128.49"/>
    <n v="52.2"/>
    <n v="120003.88"/>
    <n v="98577.19"/>
    <n v="47510.29"/>
    <n v="-10.719999999999999"/>
    <n v="-21426.690000000002"/>
    <n v="-76.290000000000006"/>
    <s v="India"/>
  </r>
  <r>
    <x v="8"/>
    <x v="4"/>
    <x v="20"/>
    <x v="1"/>
    <x v="0"/>
    <x v="0"/>
    <n v="0"/>
    <n v="62.24"/>
    <n v="48.87"/>
    <n v="0"/>
    <n v="74316.740000000005"/>
    <n v="52592.74"/>
    <n v="62.24"/>
    <n v="74316.740000000005"/>
    <n v="-13.370000000000005"/>
    <s v="India"/>
  </r>
  <r>
    <x v="3"/>
    <x v="2"/>
    <x v="5"/>
    <x v="0"/>
    <x v="15"/>
    <x v="0"/>
    <n v="94.97"/>
    <n v="0.19"/>
    <n v="46.12"/>
    <n v="340393.1"/>
    <n v="741.13"/>
    <n v="196717.6"/>
    <n v="-94.78"/>
    <n v="-339651.97"/>
    <n v="45.93"/>
    <s v="India"/>
  </r>
  <r>
    <x v="0"/>
    <x v="0"/>
    <x v="4"/>
    <x v="0"/>
    <x v="3"/>
    <x v="2"/>
    <n v="6.2"/>
    <n v="79.59"/>
    <n v="39.19"/>
    <n v="7843.55"/>
    <n v="82296.2"/>
    <n v="55200.480000000003"/>
    <n v="73.39"/>
    <n v="74452.649999999994"/>
    <n v="-40.400000000000006"/>
    <s v="India"/>
  </r>
  <r>
    <x v="3"/>
    <x v="2"/>
    <x v="21"/>
    <x v="0"/>
    <x v="15"/>
    <x v="0"/>
    <n v="36.11"/>
    <n v="0"/>
    <n v="38.36"/>
    <n v="129550"/>
    <n v="0"/>
    <n v="171159"/>
    <n v="-36.11"/>
    <n v="-129550"/>
    <n v="38.36"/>
    <s v="India"/>
  </r>
  <r>
    <x v="6"/>
    <x v="2"/>
    <x v="22"/>
    <x v="1"/>
    <x v="2"/>
    <x v="0"/>
    <n v="48.68"/>
    <n v="103.24"/>
    <n v="38.28"/>
    <n v="117681.98"/>
    <n v="279115.05"/>
    <n v="106442.46"/>
    <n v="54.559999999999995"/>
    <n v="161433.07"/>
    <n v="-64.959999999999994"/>
    <s v="India"/>
  </r>
  <r>
    <x v="1"/>
    <x v="0"/>
    <x v="1"/>
    <x v="0"/>
    <x v="16"/>
    <x v="0"/>
    <n v="81.069999999999993"/>
    <n v="96.04"/>
    <n v="36.6"/>
    <n v="140471.57999999999"/>
    <n v="176502.6"/>
    <n v="69698.98"/>
    <n v="14.970000000000013"/>
    <n v="36031.020000000019"/>
    <n v="-59.440000000000005"/>
    <s v="India"/>
  </r>
  <r>
    <x v="5"/>
    <x v="1"/>
    <x v="11"/>
    <x v="1"/>
    <x v="1"/>
    <x v="1"/>
    <n v="60.39"/>
    <n v="59.66"/>
    <n v="36.51"/>
    <n v="21375.25"/>
    <n v="16436.63"/>
    <n v="8162.57"/>
    <n v="-0.73000000000000398"/>
    <n v="-4938.619999999999"/>
    <n v="-23.15"/>
    <s v="India"/>
  </r>
  <r>
    <x v="9"/>
    <x v="1"/>
    <x v="23"/>
    <x v="1"/>
    <x v="2"/>
    <x v="0"/>
    <n v="25.57"/>
    <n v="81.2"/>
    <n v="34.03"/>
    <n v="60904.29"/>
    <n v="215245.74"/>
    <n v="95786.64"/>
    <n v="55.63"/>
    <n v="154341.44999999998"/>
    <n v="-47.17"/>
    <s v="India"/>
  </r>
  <r>
    <x v="1"/>
    <x v="0"/>
    <x v="24"/>
    <x v="3"/>
    <x v="17"/>
    <x v="5"/>
    <n v="33.4"/>
    <n v="47.7"/>
    <n v="32.590000000000003"/>
    <n v="193.19"/>
    <n v="227.92"/>
    <n v="147.57"/>
    <n v="14.300000000000004"/>
    <n v="34.72999999999999"/>
    <n v="-15.11"/>
    <s v="India"/>
  </r>
  <r>
    <x v="7"/>
    <x v="1"/>
    <x v="25"/>
    <x v="1"/>
    <x v="7"/>
    <x v="5"/>
    <n v="112.61"/>
    <n v="122.21"/>
    <n v="32.33"/>
    <n v="98803.47"/>
    <n v="116674.03"/>
    <n v="31598.55"/>
    <n v="9.5999999999999943"/>
    <n v="17870.559999999998"/>
    <n v="-89.88"/>
    <s v="India"/>
  </r>
  <r>
    <x v="9"/>
    <x v="1"/>
    <x v="26"/>
    <x v="1"/>
    <x v="0"/>
    <x v="0"/>
    <n v="131.79"/>
    <n v="70.31"/>
    <n v="32.1"/>
    <n v="109572.55"/>
    <n v="69809.63"/>
    <n v="30574.16"/>
    <n v="-61.47999999999999"/>
    <n v="-39762.92"/>
    <n v="-38.21"/>
    <s v="India"/>
  </r>
  <r>
    <x v="1"/>
    <x v="0"/>
    <x v="1"/>
    <x v="0"/>
    <x v="18"/>
    <x v="7"/>
    <n v="58.22"/>
    <n v="92.31"/>
    <n v="32.01"/>
    <n v="12314.94"/>
    <n v="19466.04"/>
    <n v="8243.17"/>
    <n v="34.090000000000003"/>
    <n v="7151.1"/>
    <n v="-60.300000000000004"/>
    <s v="India"/>
  </r>
  <r>
    <x v="0"/>
    <x v="0"/>
    <x v="0"/>
    <x v="0"/>
    <x v="11"/>
    <x v="3"/>
    <n v="95.74"/>
    <n v="114.71"/>
    <n v="31.39"/>
    <n v="55215.65"/>
    <n v="68895.360000000001"/>
    <n v="17119.54"/>
    <n v="18.97"/>
    <n v="13679.71"/>
    <n v="-83.32"/>
    <s v="India"/>
  </r>
  <r>
    <x v="9"/>
    <x v="1"/>
    <x v="27"/>
    <x v="1"/>
    <x v="0"/>
    <x v="0"/>
    <n v="164.94"/>
    <n v="112.3"/>
    <n v="30.84"/>
    <n v="119715.32"/>
    <n v="89709.24"/>
    <n v="23763.62"/>
    <n v="-52.64"/>
    <n v="-30006.080000000002"/>
    <n v="-81.459999999999994"/>
    <s v="India"/>
  </r>
  <r>
    <x v="1"/>
    <x v="0"/>
    <x v="1"/>
    <x v="0"/>
    <x v="15"/>
    <x v="0"/>
    <n v="38.06"/>
    <n v="108.55"/>
    <n v="28.51"/>
    <n v="125676.12"/>
    <n v="438198.44"/>
    <n v="118377.22"/>
    <n v="70.489999999999995"/>
    <n v="312522.32"/>
    <n v="-80.039999999999992"/>
    <s v="India"/>
  </r>
  <r>
    <x v="0"/>
    <x v="0"/>
    <x v="0"/>
    <x v="0"/>
    <x v="8"/>
    <x v="3"/>
    <n v="63.06"/>
    <n v="82.31"/>
    <n v="24.87"/>
    <n v="47054.03"/>
    <n v="57167.33"/>
    <n v="17580.79"/>
    <n v="19.25"/>
    <n v="10113.300000000003"/>
    <n v="-57.44"/>
    <s v="India"/>
  </r>
  <r>
    <x v="10"/>
    <x v="2"/>
    <x v="28"/>
    <x v="1"/>
    <x v="8"/>
    <x v="3"/>
    <n v="59.4"/>
    <n v="74.52"/>
    <n v="24.85"/>
    <n v="48911.83"/>
    <n v="60000.04"/>
    <n v="18331.830000000002"/>
    <n v="15.119999999999997"/>
    <n v="11088.21"/>
    <n v="-49.669999999999995"/>
    <s v="India"/>
  </r>
  <r>
    <x v="1"/>
    <x v="0"/>
    <x v="24"/>
    <x v="3"/>
    <x v="19"/>
    <x v="4"/>
    <n v="24.35"/>
    <n v="22.47"/>
    <n v="24.47"/>
    <n v="7797.24"/>
    <n v="8183.43"/>
    <n v="8513.02"/>
    <n v="-1.8800000000000026"/>
    <n v="386.19000000000051"/>
    <n v="2"/>
    <s v="India"/>
  </r>
  <r>
    <x v="11"/>
    <x v="2"/>
    <x v="29"/>
    <x v="0"/>
    <x v="4"/>
    <x v="3"/>
    <n v="48.36"/>
    <n v="69.7"/>
    <n v="23.84"/>
    <n v="20171.080000000002"/>
    <n v="25597.41"/>
    <n v="8918.23"/>
    <n v="21.340000000000003"/>
    <n v="5426.3299999999981"/>
    <n v="-45.86"/>
    <s v="India"/>
  </r>
  <r>
    <x v="12"/>
    <x v="2"/>
    <x v="30"/>
    <x v="1"/>
    <x v="20"/>
    <x v="3"/>
    <n v="68.72"/>
    <n v="89.25"/>
    <n v="23.66"/>
    <n v="65777.62"/>
    <n v="82852.31"/>
    <n v="22459.59"/>
    <n v="20.53"/>
    <n v="17074.690000000002"/>
    <n v="-65.59"/>
    <s v="India"/>
  </r>
  <r>
    <x v="1"/>
    <x v="0"/>
    <x v="31"/>
    <x v="1"/>
    <x v="21"/>
    <x v="4"/>
    <n v="265.63"/>
    <n v="219.52"/>
    <n v="23.25"/>
    <n v="166982.26999999999"/>
    <n v="101433.24"/>
    <n v="10279.08"/>
    <n v="-46.109999999999985"/>
    <n v="-65549.029999999984"/>
    <n v="-196.27"/>
    <s v="India"/>
  </r>
  <r>
    <x v="11"/>
    <x v="2"/>
    <x v="29"/>
    <x v="0"/>
    <x v="22"/>
    <x v="6"/>
    <n v="136.74"/>
    <n v="91.26"/>
    <n v="23.08"/>
    <n v="20165.63"/>
    <n v="11135.49"/>
    <n v="3019.32"/>
    <n v="-45.480000000000004"/>
    <n v="-9030.1400000000012"/>
    <n v="-68.180000000000007"/>
    <s v="India"/>
  </r>
  <r>
    <x v="6"/>
    <x v="2"/>
    <x v="32"/>
    <x v="0"/>
    <x v="2"/>
    <x v="0"/>
    <n v="67.22"/>
    <n v="33.229999999999997"/>
    <n v="22.82"/>
    <n v="118740"/>
    <n v="56082.59"/>
    <n v="43675.81"/>
    <n v="-33.99"/>
    <n v="-62657.41"/>
    <n v="-10.409999999999997"/>
    <s v="India"/>
  </r>
  <r>
    <x v="6"/>
    <x v="2"/>
    <x v="12"/>
    <x v="0"/>
    <x v="9"/>
    <x v="6"/>
    <n v="127.96"/>
    <n v="27.19"/>
    <n v="22.47"/>
    <n v="97288.89"/>
    <n v="23474.63"/>
    <n v="16828.54"/>
    <n v="-100.77"/>
    <n v="-73814.259999999995"/>
    <n v="-4.7200000000000024"/>
    <s v="India"/>
  </r>
  <r>
    <x v="13"/>
    <x v="1"/>
    <x v="33"/>
    <x v="3"/>
    <x v="1"/>
    <x v="1"/>
    <n v="26.74"/>
    <n v="34.85"/>
    <n v="22.46"/>
    <n v="6307.04"/>
    <n v="6996.55"/>
    <n v="4540.62"/>
    <n v="8.110000000000003"/>
    <n v="689.51000000000022"/>
    <n v="-12.39"/>
    <s v="India"/>
  </r>
  <r>
    <x v="5"/>
    <x v="1"/>
    <x v="34"/>
    <x v="1"/>
    <x v="0"/>
    <x v="0"/>
    <n v="104.4"/>
    <n v="111.4"/>
    <n v="21.57"/>
    <n v="91634.39"/>
    <n v="124526.46"/>
    <n v="22445.83"/>
    <n v="7"/>
    <n v="32892.070000000007"/>
    <n v="-89.830000000000013"/>
    <s v="India"/>
  </r>
  <r>
    <x v="10"/>
    <x v="2"/>
    <x v="28"/>
    <x v="1"/>
    <x v="2"/>
    <x v="0"/>
    <n v="42.56"/>
    <n v="42.02"/>
    <n v="21.22"/>
    <n v="23463.279999999999"/>
    <n v="19434.68"/>
    <n v="10794.44"/>
    <n v="-0.53999999999999915"/>
    <n v="-4028.5999999999985"/>
    <n v="-20.800000000000004"/>
    <s v="India"/>
  </r>
  <r>
    <x v="11"/>
    <x v="2"/>
    <x v="29"/>
    <x v="0"/>
    <x v="2"/>
    <x v="0"/>
    <n v="55.15"/>
    <n v="59.27"/>
    <n v="20.9"/>
    <n v="82181.759999999995"/>
    <n v="90947.7"/>
    <n v="31435.19"/>
    <n v="4.1200000000000045"/>
    <n v="8765.9400000000023"/>
    <n v="-38.370000000000005"/>
    <s v="India"/>
  </r>
  <r>
    <x v="0"/>
    <x v="0"/>
    <x v="0"/>
    <x v="0"/>
    <x v="10"/>
    <x v="3"/>
    <n v="72.010000000000005"/>
    <n v="61.49"/>
    <n v="20.86"/>
    <n v="102850.82"/>
    <n v="83862.92"/>
    <n v="30724.78"/>
    <n v="-10.520000000000003"/>
    <n v="-18987.900000000009"/>
    <n v="-40.630000000000003"/>
    <s v="India"/>
  </r>
  <r>
    <x v="3"/>
    <x v="2"/>
    <x v="5"/>
    <x v="0"/>
    <x v="1"/>
    <x v="1"/>
    <n v="54.93"/>
    <n v="103.34"/>
    <n v="20.6"/>
    <n v="19977.3"/>
    <n v="34118.339999999997"/>
    <n v="4942.84"/>
    <n v="48.410000000000004"/>
    <n v="14141.039999999997"/>
    <n v="-82.740000000000009"/>
    <s v="India"/>
  </r>
  <r>
    <x v="0"/>
    <x v="0"/>
    <x v="35"/>
    <x v="1"/>
    <x v="5"/>
    <x v="3"/>
    <n v="12.61"/>
    <n v="23.39"/>
    <n v="20.54"/>
    <n v="6334.83"/>
    <n v="20392.830000000002"/>
    <n v="22704.14"/>
    <n v="10.780000000000001"/>
    <n v="14058.000000000002"/>
    <n v="-2.8500000000000014"/>
    <s v="India"/>
  </r>
  <r>
    <x v="0"/>
    <x v="0"/>
    <x v="36"/>
    <x v="1"/>
    <x v="4"/>
    <x v="3"/>
    <n v="30.03"/>
    <n v="58.52"/>
    <n v="20.48"/>
    <n v="11291.33"/>
    <n v="16691.95"/>
    <n v="5996.31"/>
    <n v="28.490000000000002"/>
    <n v="5400.6200000000008"/>
    <n v="-38.040000000000006"/>
    <s v="India"/>
  </r>
  <r>
    <x v="2"/>
    <x v="1"/>
    <x v="6"/>
    <x v="1"/>
    <x v="4"/>
    <x v="3"/>
    <n v="51.68"/>
    <n v="51.05"/>
    <n v="19.82"/>
    <n v="15716.46"/>
    <n v="15602.5"/>
    <n v="5958.26"/>
    <n v="-0.63000000000000256"/>
    <n v="-113.95999999999913"/>
    <n v="-31.229999999999997"/>
    <s v="India"/>
  </r>
  <r>
    <x v="6"/>
    <x v="2"/>
    <x v="32"/>
    <x v="0"/>
    <x v="12"/>
    <x v="4"/>
    <n v="29.46"/>
    <n v="47.44"/>
    <n v="19.670000000000002"/>
    <n v="96642.5"/>
    <n v="184523.49"/>
    <n v="77134.17"/>
    <n v="17.979999999999997"/>
    <n v="87880.989999999991"/>
    <n v="-27.769999999999996"/>
    <s v="India"/>
  </r>
  <r>
    <x v="12"/>
    <x v="2"/>
    <x v="37"/>
    <x v="0"/>
    <x v="22"/>
    <x v="6"/>
    <n v="53.64"/>
    <n v="48.86"/>
    <n v="19.440000000000001"/>
    <n v="7978.47"/>
    <n v="5839.6"/>
    <n v="2425.89"/>
    <n v="-4.7800000000000011"/>
    <n v="-2138.87"/>
    <n v="-29.419999999999998"/>
    <s v="India"/>
  </r>
  <r>
    <x v="12"/>
    <x v="2"/>
    <x v="38"/>
    <x v="3"/>
    <x v="17"/>
    <x v="5"/>
    <n v="27.04"/>
    <n v="35.69"/>
    <n v="19.27"/>
    <n v="243.29"/>
    <n v="300"/>
    <n v="130.99"/>
    <n v="8.6499999999999986"/>
    <n v="56.710000000000008"/>
    <n v="-16.419999999999998"/>
    <s v="India"/>
  </r>
  <r>
    <x v="6"/>
    <x v="2"/>
    <x v="12"/>
    <x v="0"/>
    <x v="11"/>
    <x v="3"/>
    <n v="107.34"/>
    <n v="74.03"/>
    <n v="19.02"/>
    <n v="97699.23"/>
    <n v="85149.13"/>
    <n v="28817.06"/>
    <n v="-33.31"/>
    <n v="-12550.099999999991"/>
    <n v="-55.010000000000005"/>
    <s v="India"/>
  </r>
  <r>
    <x v="9"/>
    <x v="1"/>
    <x v="27"/>
    <x v="1"/>
    <x v="14"/>
    <x v="3"/>
    <n v="32.96"/>
    <n v="22.6"/>
    <n v="18.829999999999998"/>
    <n v="32931.01"/>
    <n v="14317.4"/>
    <n v="21020.44"/>
    <n v="-10.36"/>
    <n v="-18613.61"/>
    <n v="-3.7700000000000031"/>
    <s v="India"/>
  </r>
  <r>
    <x v="1"/>
    <x v="0"/>
    <x v="18"/>
    <x v="1"/>
    <x v="4"/>
    <x v="3"/>
    <n v="31.75"/>
    <n v="47.98"/>
    <n v="18.72"/>
    <n v="16781.169999999998"/>
    <n v="33477.65"/>
    <n v="12336.66"/>
    <n v="16.229999999999997"/>
    <n v="16696.480000000003"/>
    <n v="-29.259999999999998"/>
    <s v="India"/>
  </r>
  <r>
    <x v="13"/>
    <x v="1"/>
    <x v="33"/>
    <x v="3"/>
    <x v="23"/>
    <x v="1"/>
    <n v="49.83"/>
    <n v="59.34"/>
    <n v="18.62"/>
    <n v="6791.59"/>
    <n v="7678.34"/>
    <n v="2637.8"/>
    <n v="9.5100000000000051"/>
    <n v="886.75"/>
    <n v="-40.72"/>
    <s v="India"/>
  </r>
  <r>
    <x v="14"/>
    <x v="3"/>
    <x v="39"/>
    <x v="2"/>
    <x v="2"/>
    <x v="0"/>
    <n v="55.9"/>
    <n v="89.41"/>
    <n v="18.57"/>
    <n v="223255.48"/>
    <n v="307746.7"/>
    <n v="51984.03"/>
    <n v="33.51"/>
    <n v="84491.22"/>
    <n v="-70.84"/>
    <s v="India"/>
  </r>
  <r>
    <x v="6"/>
    <x v="2"/>
    <x v="32"/>
    <x v="0"/>
    <x v="22"/>
    <x v="6"/>
    <n v="65.239999999999995"/>
    <n v="58.95"/>
    <n v="18.52"/>
    <n v="9456.11"/>
    <n v="7097.79"/>
    <n v="2225.69"/>
    <n v="-6.289999999999992"/>
    <n v="-2358.3200000000006"/>
    <n v="-40.430000000000007"/>
    <s v="India"/>
  </r>
  <r>
    <x v="2"/>
    <x v="1"/>
    <x v="14"/>
    <x v="1"/>
    <x v="0"/>
    <x v="0"/>
    <n v="52.56"/>
    <n v="56.11"/>
    <n v="18.47"/>
    <n v="37972.58"/>
    <n v="50589.93"/>
    <n v="16372.42"/>
    <n v="3.5499999999999972"/>
    <n v="12617.349999999999"/>
    <n v="-37.64"/>
    <s v="India"/>
  </r>
  <r>
    <x v="5"/>
    <x v="1"/>
    <x v="40"/>
    <x v="1"/>
    <x v="0"/>
    <x v="0"/>
    <n v="132.41999999999999"/>
    <n v="58.11"/>
    <n v="18.36"/>
    <n v="119537.36"/>
    <n v="66168.240000000005"/>
    <n v="18926.98"/>
    <n v="-74.309999999999988"/>
    <n v="-53369.119999999995"/>
    <n v="-39.75"/>
    <s v="India"/>
  </r>
  <r>
    <x v="8"/>
    <x v="4"/>
    <x v="41"/>
    <x v="1"/>
    <x v="18"/>
    <x v="7"/>
    <n v="4.87"/>
    <n v="48.64"/>
    <n v="18.02"/>
    <n v="907.2"/>
    <n v="7567.79"/>
    <n v="2713.92"/>
    <n v="43.77"/>
    <n v="6660.59"/>
    <n v="-30.62"/>
    <s v="India"/>
  </r>
  <r>
    <x v="10"/>
    <x v="2"/>
    <x v="42"/>
    <x v="1"/>
    <x v="8"/>
    <x v="3"/>
    <n v="47.63"/>
    <n v="52.65"/>
    <n v="17.53"/>
    <n v="43303.59"/>
    <n v="48698.57"/>
    <n v="16533.05"/>
    <n v="5.019999999999996"/>
    <n v="5394.9800000000032"/>
    <n v="-35.119999999999997"/>
    <s v="India"/>
  </r>
  <r>
    <x v="4"/>
    <x v="3"/>
    <x v="43"/>
    <x v="2"/>
    <x v="15"/>
    <x v="0"/>
    <n v="14.21"/>
    <n v="27.48"/>
    <n v="17.39"/>
    <n v="58769.54"/>
    <n v="125265.02"/>
    <n v="83104.06"/>
    <n v="13.27"/>
    <n v="66495.48000000001"/>
    <n v="-10.09"/>
    <s v="India"/>
  </r>
  <r>
    <x v="9"/>
    <x v="1"/>
    <x v="44"/>
    <x v="1"/>
    <x v="0"/>
    <x v="0"/>
    <n v="0"/>
    <n v="79.41"/>
    <n v="17.309999999999999"/>
    <n v="0"/>
    <n v="66860.03"/>
    <n v="15804.25"/>
    <n v="79.41"/>
    <n v="66860.03"/>
    <n v="-62.099999999999994"/>
    <s v="India"/>
  </r>
  <r>
    <x v="4"/>
    <x v="3"/>
    <x v="45"/>
    <x v="2"/>
    <x v="3"/>
    <x v="2"/>
    <n v="47.86"/>
    <n v="52.79"/>
    <n v="17.12"/>
    <n v="55300.78"/>
    <n v="61928.63"/>
    <n v="18768.87"/>
    <n v="4.93"/>
    <n v="6627.8499999999985"/>
    <n v="-35.67"/>
    <s v="India"/>
  </r>
  <r>
    <x v="0"/>
    <x v="0"/>
    <x v="0"/>
    <x v="0"/>
    <x v="24"/>
    <x v="4"/>
    <n v="25.15"/>
    <n v="28.39"/>
    <n v="16.84"/>
    <n v="83488.429999999993"/>
    <n v="102051.59"/>
    <n v="68659.31"/>
    <n v="3.240000000000002"/>
    <n v="18563.160000000003"/>
    <n v="-11.55"/>
    <s v="India"/>
  </r>
  <r>
    <x v="0"/>
    <x v="0"/>
    <x v="0"/>
    <x v="0"/>
    <x v="18"/>
    <x v="7"/>
    <n v="34.32"/>
    <n v="41.77"/>
    <n v="16.04"/>
    <n v="6069.77"/>
    <n v="8315.65"/>
    <n v="3638.66"/>
    <n v="7.4500000000000028"/>
    <n v="2245.8799999999992"/>
    <n v="-25.730000000000004"/>
    <s v="India"/>
  </r>
  <r>
    <x v="4"/>
    <x v="3"/>
    <x v="7"/>
    <x v="0"/>
    <x v="4"/>
    <x v="3"/>
    <n v="42.28"/>
    <n v="31.38"/>
    <n v="15.71"/>
    <n v="98705.7"/>
    <n v="84260.45"/>
    <n v="47796.639999999999"/>
    <n v="-10.900000000000002"/>
    <n v="-14445.25"/>
    <n v="-15.669999999999998"/>
    <s v="India"/>
  </r>
  <r>
    <x v="15"/>
    <x v="4"/>
    <x v="46"/>
    <x v="1"/>
    <x v="2"/>
    <x v="0"/>
    <n v="34.369999999999997"/>
    <n v="8.35"/>
    <n v="14.71"/>
    <n v="83429.64"/>
    <n v="23851.8"/>
    <n v="44332.26"/>
    <n v="-26.019999999999996"/>
    <n v="-59577.84"/>
    <n v="6.3600000000000012"/>
    <s v="India"/>
  </r>
  <r>
    <x v="0"/>
    <x v="0"/>
    <x v="47"/>
    <x v="4"/>
    <x v="3"/>
    <x v="2"/>
    <n v="7.85"/>
    <n v="12.02"/>
    <n v="14.56"/>
    <n v="13063.3"/>
    <n v="19544.810000000001"/>
    <n v="32362.63"/>
    <n v="4.17"/>
    <n v="6481.510000000002"/>
    <n v="2.5400000000000009"/>
    <s v="India"/>
  </r>
  <r>
    <x v="13"/>
    <x v="1"/>
    <x v="48"/>
    <x v="1"/>
    <x v="4"/>
    <x v="3"/>
    <n v="19.48"/>
    <n v="36.630000000000003"/>
    <n v="14.37"/>
    <n v="4118.07"/>
    <n v="6649.3"/>
    <n v="2257.6"/>
    <n v="17.150000000000002"/>
    <n v="2531.2300000000005"/>
    <n v="-22.260000000000005"/>
    <s v="India"/>
  </r>
  <r>
    <x v="6"/>
    <x v="2"/>
    <x v="12"/>
    <x v="0"/>
    <x v="4"/>
    <x v="3"/>
    <n v="36.61"/>
    <n v="39.19"/>
    <n v="14.3"/>
    <n v="26706.95"/>
    <n v="22162.23"/>
    <n v="11643.1"/>
    <n v="2.5799999999999983"/>
    <n v="-4544.7200000000012"/>
    <n v="-24.889999999999997"/>
    <s v="India"/>
  </r>
  <r>
    <x v="12"/>
    <x v="2"/>
    <x v="30"/>
    <x v="1"/>
    <x v="4"/>
    <x v="3"/>
    <n v="30.28"/>
    <n v="37.68"/>
    <n v="14.21"/>
    <n v="8102.04"/>
    <n v="10102.65"/>
    <n v="3519.18"/>
    <n v="7.3999999999999986"/>
    <n v="2000.6099999999997"/>
    <n v="-23.47"/>
    <s v="India"/>
  </r>
  <r>
    <x v="6"/>
    <x v="2"/>
    <x v="12"/>
    <x v="0"/>
    <x v="3"/>
    <x v="2"/>
    <n v="17.36"/>
    <n v="24.53"/>
    <n v="14.19"/>
    <n v="15285.55"/>
    <n v="25081.53"/>
    <n v="14897.39"/>
    <n v="7.1700000000000017"/>
    <n v="9795.98"/>
    <n v="-10.340000000000002"/>
    <s v="India"/>
  </r>
  <r>
    <x v="6"/>
    <x v="2"/>
    <x v="49"/>
    <x v="0"/>
    <x v="20"/>
    <x v="3"/>
    <n v="35.28"/>
    <n v="43.57"/>
    <n v="14.05"/>
    <n v="32217.86"/>
    <n v="40314.050000000003"/>
    <n v="13360.63"/>
    <n v="8.2899999999999991"/>
    <n v="8096.1900000000023"/>
    <n v="-29.52"/>
    <s v="India"/>
  </r>
  <r>
    <x v="9"/>
    <x v="1"/>
    <x v="50"/>
    <x v="1"/>
    <x v="0"/>
    <x v="0"/>
    <n v="80.95"/>
    <n v="33.79"/>
    <n v="13.91"/>
    <n v="65568.789999999994"/>
    <n v="33312.06"/>
    <n v="13563.8"/>
    <n v="-47.160000000000004"/>
    <n v="-32256.729999999996"/>
    <n v="-19.88"/>
    <s v="India"/>
  </r>
  <r>
    <x v="11"/>
    <x v="2"/>
    <x v="29"/>
    <x v="0"/>
    <x v="8"/>
    <x v="3"/>
    <n v="36.94"/>
    <n v="47.35"/>
    <n v="13.75"/>
    <n v="20787.46"/>
    <n v="24777.64"/>
    <n v="7440.92"/>
    <n v="10.410000000000004"/>
    <n v="3990.1800000000003"/>
    <n v="-33.6"/>
    <s v="India"/>
  </r>
  <r>
    <x v="2"/>
    <x v="1"/>
    <x v="14"/>
    <x v="1"/>
    <x v="18"/>
    <x v="7"/>
    <n v="13.43"/>
    <n v="25.17"/>
    <n v="13.75"/>
    <n v="2653.99"/>
    <n v="4631.8900000000003"/>
    <n v="2221.2600000000002"/>
    <n v="11.740000000000002"/>
    <n v="1977.9000000000005"/>
    <n v="-11.420000000000002"/>
    <s v="India"/>
  </r>
  <r>
    <x v="0"/>
    <x v="0"/>
    <x v="35"/>
    <x v="1"/>
    <x v="7"/>
    <x v="5"/>
    <n v="56.39"/>
    <n v="40.43"/>
    <n v="13.58"/>
    <n v="65487.97"/>
    <n v="47709.54"/>
    <n v="16317.43"/>
    <n v="-15.96"/>
    <n v="-17778.43"/>
    <n v="-26.85"/>
    <s v="India"/>
  </r>
  <r>
    <x v="6"/>
    <x v="2"/>
    <x v="12"/>
    <x v="0"/>
    <x v="20"/>
    <x v="3"/>
    <n v="37.96"/>
    <n v="51.34"/>
    <n v="13.44"/>
    <n v="35252.980000000003"/>
    <n v="52530.66"/>
    <n v="13805.67"/>
    <n v="13.380000000000003"/>
    <n v="17277.68"/>
    <n v="-37.900000000000006"/>
    <s v="India"/>
  </r>
  <r>
    <x v="1"/>
    <x v="0"/>
    <x v="1"/>
    <x v="0"/>
    <x v="0"/>
    <x v="0"/>
    <n v="6.35"/>
    <n v="9.26"/>
    <n v="12.97"/>
    <n v="5009.41"/>
    <n v="8449.77"/>
    <n v="10972.62"/>
    <n v="2.91"/>
    <n v="3440.3600000000006"/>
    <n v="3.7100000000000009"/>
    <s v="India"/>
  </r>
  <r>
    <x v="6"/>
    <x v="2"/>
    <x v="49"/>
    <x v="0"/>
    <x v="11"/>
    <x v="3"/>
    <n v="67"/>
    <n v="53.1"/>
    <n v="12.83"/>
    <n v="67115.92"/>
    <n v="69910.63"/>
    <n v="19487.009999999998"/>
    <n v="-13.899999999999999"/>
    <n v="2794.7100000000064"/>
    <n v="-40.270000000000003"/>
    <s v="India"/>
  </r>
  <r>
    <x v="0"/>
    <x v="0"/>
    <x v="17"/>
    <x v="0"/>
    <x v="3"/>
    <x v="2"/>
    <n v="0.36"/>
    <n v="11.07"/>
    <n v="12.7"/>
    <n v="254.35"/>
    <n v="10816.04"/>
    <n v="12511.15"/>
    <n v="10.71"/>
    <n v="10561.69"/>
    <n v="1.629999999999999"/>
    <s v="India"/>
  </r>
  <r>
    <x v="0"/>
    <x v="0"/>
    <x v="47"/>
    <x v="4"/>
    <x v="8"/>
    <x v="3"/>
    <n v="39.69"/>
    <n v="32.82"/>
    <n v="12.57"/>
    <n v="9564.17"/>
    <n v="12827.51"/>
    <n v="4641.2700000000004"/>
    <n v="-6.8699999999999974"/>
    <n v="3263.34"/>
    <n v="-20.25"/>
    <s v="India"/>
  </r>
  <r>
    <x v="0"/>
    <x v="0"/>
    <x v="51"/>
    <x v="4"/>
    <x v="2"/>
    <x v="0"/>
    <n v="37.68"/>
    <n v="80.180000000000007"/>
    <n v="12.54"/>
    <n v="91635.15"/>
    <n v="217731.95"/>
    <n v="35884.51"/>
    <n v="42.500000000000007"/>
    <n v="126096.80000000002"/>
    <n v="-67.640000000000015"/>
    <s v="India"/>
  </r>
  <r>
    <x v="1"/>
    <x v="0"/>
    <x v="24"/>
    <x v="3"/>
    <x v="4"/>
    <x v="3"/>
    <n v="18.79"/>
    <n v="28.19"/>
    <n v="12.53"/>
    <n v="703.56"/>
    <n v="1011.44"/>
    <n v="369.32"/>
    <n v="9.4000000000000021"/>
    <n v="307.88000000000011"/>
    <n v="-15.660000000000002"/>
    <s v="India"/>
  </r>
  <r>
    <x v="12"/>
    <x v="2"/>
    <x v="37"/>
    <x v="0"/>
    <x v="20"/>
    <x v="3"/>
    <n v="53.03"/>
    <n v="52.96"/>
    <n v="12.51"/>
    <n v="54469.62"/>
    <n v="57929.96"/>
    <n v="14162"/>
    <n v="-7.0000000000000284E-2"/>
    <n v="3460.3399999999965"/>
    <n v="-40.450000000000003"/>
    <s v="India"/>
  </r>
  <r>
    <x v="6"/>
    <x v="2"/>
    <x v="32"/>
    <x v="0"/>
    <x v="25"/>
    <x v="7"/>
    <n v="60.94"/>
    <n v="55.81"/>
    <n v="12.38"/>
    <n v="803379.95"/>
    <n v="730592.58"/>
    <n v="165734.98000000001"/>
    <n v="-5.1299999999999955"/>
    <n v="-72787.37"/>
    <n v="-43.43"/>
    <s v="India"/>
  </r>
  <r>
    <x v="1"/>
    <x v="0"/>
    <x v="24"/>
    <x v="3"/>
    <x v="23"/>
    <x v="1"/>
    <n v="21.63"/>
    <n v="35.700000000000003"/>
    <n v="12.34"/>
    <n v="2765.43"/>
    <n v="4327.1400000000003"/>
    <n v="1532.78"/>
    <n v="14.070000000000004"/>
    <n v="1561.7100000000005"/>
    <n v="-23.360000000000003"/>
    <s v="India"/>
  </r>
  <r>
    <x v="6"/>
    <x v="2"/>
    <x v="22"/>
    <x v="1"/>
    <x v="9"/>
    <x v="6"/>
    <n v="68.77"/>
    <n v="24.2"/>
    <n v="12.16"/>
    <n v="52665.75"/>
    <n v="20869.439999999999"/>
    <n v="8776.6"/>
    <n v="-44.569999999999993"/>
    <n v="-31796.31"/>
    <n v="-12.04"/>
    <s v="India"/>
  </r>
  <r>
    <x v="1"/>
    <x v="0"/>
    <x v="52"/>
    <x v="1"/>
    <x v="2"/>
    <x v="0"/>
    <n v="137.74"/>
    <n v="25.49"/>
    <n v="12.09"/>
    <n v="345569.53"/>
    <n v="66867.39"/>
    <n v="33368.99"/>
    <n v="-112.25000000000001"/>
    <n v="-278702.14"/>
    <n v="-13.399999999999999"/>
    <s v="India"/>
  </r>
  <r>
    <x v="5"/>
    <x v="1"/>
    <x v="11"/>
    <x v="1"/>
    <x v="2"/>
    <x v="0"/>
    <n v="48.63"/>
    <n v="48.01"/>
    <n v="11.99"/>
    <n v="71818.600000000006"/>
    <n v="70584.12"/>
    <n v="17976.349999999999"/>
    <n v="-0.62000000000000455"/>
    <n v="-1234.4800000000105"/>
    <n v="-36.019999999999996"/>
    <s v="India"/>
  </r>
  <r>
    <x v="1"/>
    <x v="0"/>
    <x v="1"/>
    <x v="0"/>
    <x v="21"/>
    <x v="4"/>
    <n v="76.41"/>
    <n v="79.89"/>
    <n v="11.97"/>
    <n v="50877.85"/>
    <n v="39788.870000000003"/>
    <n v="6110.73"/>
    <n v="3.480000000000004"/>
    <n v="-11088.979999999996"/>
    <n v="-67.92"/>
    <s v="India"/>
  </r>
  <r>
    <x v="14"/>
    <x v="3"/>
    <x v="53"/>
    <x v="2"/>
    <x v="26"/>
    <x v="0"/>
    <n v="13.75"/>
    <n v="1.44"/>
    <n v="11.96"/>
    <n v="47274.559999999998"/>
    <n v="4483.41"/>
    <n v="45192.58"/>
    <n v="-12.31"/>
    <n v="-42791.149999999994"/>
    <n v="10.520000000000001"/>
    <s v="India"/>
  </r>
  <r>
    <x v="11"/>
    <x v="2"/>
    <x v="29"/>
    <x v="0"/>
    <x v="11"/>
    <x v="3"/>
    <n v="18.190000000000001"/>
    <n v="37.299999999999997"/>
    <n v="11.87"/>
    <n v="8566.2999999999993"/>
    <n v="14820.36"/>
    <n v="4443.5200000000004"/>
    <n v="19.109999999999996"/>
    <n v="6254.0600000000013"/>
    <n v="-25.43"/>
    <s v="India"/>
  </r>
  <r>
    <x v="11"/>
    <x v="2"/>
    <x v="29"/>
    <x v="0"/>
    <x v="25"/>
    <x v="7"/>
    <n v="28.51"/>
    <n v="124.38"/>
    <n v="11.86"/>
    <n v="365871.02"/>
    <n v="1588068.39"/>
    <n v="166062.6"/>
    <n v="95.86999999999999"/>
    <n v="1222197.3699999999"/>
    <n v="-112.52"/>
    <s v="India"/>
  </r>
  <r>
    <x v="1"/>
    <x v="0"/>
    <x v="1"/>
    <x v="0"/>
    <x v="27"/>
    <x v="7"/>
    <n v="3.13"/>
    <n v="13.56"/>
    <n v="11.68"/>
    <n v="352.2"/>
    <n v="2044.88"/>
    <n v="1865.11"/>
    <n v="10.43"/>
    <n v="1692.68"/>
    <n v="-1.8800000000000008"/>
    <s v="India"/>
  </r>
  <r>
    <x v="1"/>
    <x v="0"/>
    <x v="1"/>
    <x v="0"/>
    <x v="24"/>
    <x v="4"/>
    <n v="58.8"/>
    <n v="57.09"/>
    <n v="11.67"/>
    <n v="85714.33"/>
    <n v="82387.929999999993"/>
    <n v="18144.22"/>
    <n v="-1.7099999999999937"/>
    <n v="-3326.4000000000087"/>
    <n v="-45.42"/>
    <s v="India"/>
  </r>
  <r>
    <x v="0"/>
    <x v="0"/>
    <x v="0"/>
    <x v="0"/>
    <x v="16"/>
    <x v="0"/>
    <n v="24.14"/>
    <n v="21.86"/>
    <n v="11.56"/>
    <n v="36895.589999999997"/>
    <n v="36588.53"/>
    <n v="21430.19"/>
    <n v="-2.2800000000000011"/>
    <n v="-307.05999999999767"/>
    <n v="-10.299999999999999"/>
    <s v="India"/>
  </r>
  <r>
    <x v="9"/>
    <x v="1"/>
    <x v="26"/>
    <x v="1"/>
    <x v="14"/>
    <x v="3"/>
    <n v="15.46"/>
    <n v="16.97"/>
    <n v="11.46"/>
    <n v="15169.76"/>
    <n v="12421.19"/>
    <n v="10488.79"/>
    <n v="1.509999999999998"/>
    <n v="-2748.5699999999997"/>
    <n v="-5.509999999999998"/>
    <s v="India"/>
  </r>
  <r>
    <x v="0"/>
    <x v="0"/>
    <x v="54"/>
    <x v="1"/>
    <x v="5"/>
    <x v="3"/>
    <n v="93.21"/>
    <n v="60.66"/>
    <n v="11.1"/>
    <n v="68304.240000000005"/>
    <n v="58602.01"/>
    <n v="11891.11"/>
    <n v="-32.549999999999997"/>
    <n v="-9702.2300000000032"/>
    <n v="-49.559999999999995"/>
    <s v="India"/>
  </r>
  <r>
    <x v="4"/>
    <x v="3"/>
    <x v="7"/>
    <x v="0"/>
    <x v="1"/>
    <x v="1"/>
    <n v="1.06"/>
    <n v="37.340000000000003"/>
    <n v="11.02"/>
    <n v="365.37"/>
    <n v="11107.42"/>
    <n v="2463.48"/>
    <n v="36.28"/>
    <n v="10742.05"/>
    <n v="-26.320000000000004"/>
    <s v="India"/>
  </r>
  <r>
    <x v="4"/>
    <x v="3"/>
    <x v="7"/>
    <x v="0"/>
    <x v="28"/>
    <x v="5"/>
    <n v="22.96"/>
    <n v="16.16"/>
    <n v="10.91"/>
    <n v="116803.64"/>
    <n v="110381.09"/>
    <n v="67008.160000000003"/>
    <n v="-6.8000000000000007"/>
    <n v="-6422.5500000000029"/>
    <n v="-5.25"/>
    <s v="India"/>
  </r>
  <r>
    <x v="6"/>
    <x v="2"/>
    <x v="32"/>
    <x v="0"/>
    <x v="15"/>
    <x v="0"/>
    <n v="26.8"/>
    <n v="1.56"/>
    <n v="10.87"/>
    <n v="89842.96"/>
    <n v="6791.52"/>
    <n v="47382"/>
    <n v="-25.240000000000002"/>
    <n v="-83051.44"/>
    <n v="9.3099999999999987"/>
    <s v="India"/>
  </r>
  <r>
    <x v="6"/>
    <x v="2"/>
    <x v="55"/>
    <x v="0"/>
    <x v="9"/>
    <x v="6"/>
    <n v="40.72"/>
    <n v="11.17"/>
    <n v="10.63"/>
    <n v="30748.44"/>
    <n v="9843.43"/>
    <n v="8171.67"/>
    <n v="-29.549999999999997"/>
    <n v="-20905.009999999998"/>
    <n v="-0.53999999999999915"/>
    <s v="India"/>
  </r>
  <r>
    <x v="5"/>
    <x v="1"/>
    <x v="10"/>
    <x v="1"/>
    <x v="29"/>
    <x v="7"/>
    <n v="18.45"/>
    <n v="24.56"/>
    <n v="10.46"/>
    <n v="11760.5"/>
    <n v="13039.56"/>
    <n v="6667.84"/>
    <n v="6.1099999999999994"/>
    <n v="1279.0599999999995"/>
    <n v="-14.099999999999998"/>
    <s v="India"/>
  </r>
  <r>
    <x v="9"/>
    <x v="1"/>
    <x v="27"/>
    <x v="1"/>
    <x v="29"/>
    <x v="7"/>
    <n v="34.89"/>
    <n v="24.5"/>
    <n v="10.44"/>
    <n v="21221.03"/>
    <n v="12719.23"/>
    <n v="5917.69"/>
    <n v="-10.39"/>
    <n v="-8501.7999999999993"/>
    <n v="-14.06"/>
    <s v="India"/>
  </r>
  <r>
    <x v="9"/>
    <x v="1"/>
    <x v="27"/>
    <x v="1"/>
    <x v="8"/>
    <x v="3"/>
    <n v="23.24"/>
    <n v="45.92"/>
    <n v="10.39"/>
    <n v="15819.99"/>
    <n v="23408.84"/>
    <n v="5042.2"/>
    <n v="22.680000000000003"/>
    <n v="7588.85"/>
    <n v="-35.53"/>
    <s v="India"/>
  </r>
  <r>
    <x v="1"/>
    <x v="0"/>
    <x v="1"/>
    <x v="0"/>
    <x v="25"/>
    <x v="7"/>
    <n v="0.27"/>
    <n v="1.73"/>
    <n v="10.37"/>
    <n v="2564.5100000000002"/>
    <n v="14147.74"/>
    <n v="125583.98"/>
    <n v="1.46"/>
    <n v="11583.23"/>
    <n v="8.6399999999999988"/>
    <s v="India"/>
  </r>
  <r>
    <x v="9"/>
    <x v="1"/>
    <x v="50"/>
    <x v="1"/>
    <x v="8"/>
    <x v="3"/>
    <n v="29.27"/>
    <n v="34.74"/>
    <n v="10.33"/>
    <n v="12592.58"/>
    <n v="18998.11"/>
    <n v="5608.29"/>
    <n v="5.4700000000000024"/>
    <n v="6405.5300000000007"/>
    <n v="-24.410000000000004"/>
    <s v="India"/>
  </r>
  <r>
    <x v="5"/>
    <x v="1"/>
    <x v="11"/>
    <x v="1"/>
    <x v="29"/>
    <x v="7"/>
    <n v="45.47"/>
    <n v="40.950000000000003"/>
    <n v="10.19"/>
    <n v="25939.73"/>
    <n v="22021.200000000001"/>
    <n v="6923.55"/>
    <n v="-4.519999999999996"/>
    <n v="-3918.5299999999988"/>
    <n v="-30.760000000000005"/>
    <s v="India"/>
  </r>
  <r>
    <x v="1"/>
    <x v="0"/>
    <x v="56"/>
    <x v="4"/>
    <x v="14"/>
    <x v="3"/>
    <n v="10.07"/>
    <n v="17.37"/>
    <n v="10.08"/>
    <n v="980.03"/>
    <n v="1246.1300000000001"/>
    <n v="679.96"/>
    <n v="7.3000000000000007"/>
    <n v="266.10000000000014"/>
    <n v="-7.2900000000000009"/>
    <s v="India"/>
  </r>
  <r>
    <x v="1"/>
    <x v="0"/>
    <x v="24"/>
    <x v="3"/>
    <x v="24"/>
    <x v="4"/>
    <n v="34.4"/>
    <n v="38.53"/>
    <n v="10.07"/>
    <n v="23226.48"/>
    <n v="22836.21"/>
    <n v="6651.16"/>
    <n v="4.1300000000000026"/>
    <n v="-390.27000000000044"/>
    <n v="-28.46"/>
    <s v="India"/>
  </r>
  <r>
    <x v="2"/>
    <x v="1"/>
    <x v="57"/>
    <x v="1"/>
    <x v="4"/>
    <x v="3"/>
    <n v="28.7"/>
    <n v="20.46"/>
    <n v="9.93"/>
    <n v="68146.64"/>
    <n v="49398.85"/>
    <n v="21646.73"/>
    <n v="-8.2399999999999984"/>
    <n v="-18747.79"/>
    <n v="-10.530000000000001"/>
    <s v="India"/>
  </r>
  <r>
    <x v="0"/>
    <x v="0"/>
    <x v="35"/>
    <x v="1"/>
    <x v="18"/>
    <x v="7"/>
    <n v="22.07"/>
    <n v="26.75"/>
    <n v="9.7899999999999991"/>
    <n v="4890.55"/>
    <n v="7502.13"/>
    <n v="3045.02"/>
    <n v="4.68"/>
    <n v="2611.58"/>
    <n v="-16.96"/>
    <s v="India"/>
  </r>
  <r>
    <x v="13"/>
    <x v="1"/>
    <x v="33"/>
    <x v="3"/>
    <x v="4"/>
    <x v="3"/>
    <n v="20.84"/>
    <n v="30.29"/>
    <n v="9.73"/>
    <n v="901.27"/>
    <n v="1384.59"/>
    <n v="555.76"/>
    <n v="9.4499999999999993"/>
    <n v="483.31999999999994"/>
    <n v="-20.56"/>
    <s v="India"/>
  </r>
  <r>
    <x v="0"/>
    <x v="0"/>
    <x v="4"/>
    <x v="0"/>
    <x v="26"/>
    <x v="0"/>
    <n v="0"/>
    <n v="0"/>
    <n v="9.68"/>
    <n v="0.27"/>
    <n v="0"/>
    <n v="35630"/>
    <n v="0"/>
    <n v="-0.27"/>
    <n v="9.68"/>
    <s v="India"/>
  </r>
  <r>
    <x v="7"/>
    <x v="1"/>
    <x v="58"/>
    <x v="1"/>
    <x v="7"/>
    <x v="5"/>
    <n v="15.89"/>
    <n v="9.3000000000000007"/>
    <n v="9.66"/>
    <n v="11766.04"/>
    <n v="7279.52"/>
    <n v="8588.58"/>
    <n v="-6.59"/>
    <n v="-4486.5200000000004"/>
    <n v="0.35999999999999943"/>
    <s v="India"/>
  </r>
  <r>
    <x v="12"/>
    <x v="2"/>
    <x v="30"/>
    <x v="1"/>
    <x v="5"/>
    <x v="3"/>
    <n v="25.96"/>
    <n v="24.33"/>
    <n v="9.65"/>
    <n v="15582.02"/>
    <n v="16885.41"/>
    <n v="6823.43"/>
    <n v="-1.6300000000000026"/>
    <n v="1303.3899999999994"/>
    <n v="-14.679999999999998"/>
    <s v="India"/>
  </r>
  <r>
    <x v="14"/>
    <x v="3"/>
    <x v="39"/>
    <x v="2"/>
    <x v="15"/>
    <x v="0"/>
    <n v="46.91"/>
    <n v="46.97"/>
    <n v="9.5399999999999991"/>
    <n v="159804.39000000001"/>
    <n v="158544.15"/>
    <n v="40284.620000000003"/>
    <n v="6.0000000000002274E-2"/>
    <n v="-1260.2400000000198"/>
    <n v="-37.43"/>
    <s v="India"/>
  </r>
  <r>
    <x v="1"/>
    <x v="0"/>
    <x v="1"/>
    <x v="0"/>
    <x v="19"/>
    <x v="4"/>
    <n v="25.55"/>
    <n v="18.489999999999998"/>
    <n v="9.44"/>
    <n v="16996.64"/>
    <n v="12516.43"/>
    <n v="6534.01"/>
    <n v="-7.0600000000000023"/>
    <n v="-4480.2099999999991"/>
    <n v="-9.0499999999999989"/>
    <s v="India"/>
  </r>
  <r>
    <x v="1"/>
    <x v="0"/>
    <x v="31"/>
    <x v="1"/>
    <x v="12"/>
    <x v="4"/>
    <n v="73.290000000000006"/>
    <n v="51.87"/>
    <n v="9.34"/>
    <n v="256963.32"/>
    <n v="220099.12"/>
    <n v="39038.83"/>
    <n v="-21.420000000000009"/>
    <n v="-36864.200000000012"/>
    <n v="-42.53"/>
    <s v="India"/>
  </r>
  <r>
    <x v="6"/>
    <x v="2"/>
    <x v="55"/>
    <x v="0"/>
    <x v="2"/>
    <x v="0"/>
    <n v="3.84"/>
    <n v="9.77"/>
    <n v="8.8699999999999992"/>
    <n v="5659.83"/>
    <n v="20358.53"/>
    <n v="18654.53"/>
    <n v="5.93"/>
    <n v="14698.699999999999"/>
    <n v="-0.90000000000000036"/>
    <s v="India"/>
  </r>
  <r>
    <x v="5"/>
    <x v="1"/>
    <x v="34"/>
    <x v="1"/>
    <x v="1"/>
    <x v="1"/>
    <n v="36.1"/>
    <n v="0"/>
    <n v="8.7899999999999991"/>
    <n v="12192.77"/>
    <n v="0"/>
    <n v="1931.3"/>
    <n v="-36.1"/>
    <n v="-12192.77"/>
    <n v="8.7899999999999991"/>
    <s v="India"/>
  </r>
  <r>
    <x v="2"/>
    <x v="1"/>
    <x v="2"/>
    <x v="1"/>
    <x v="4"/>
    <x v="3"/>
    <n v="21.1"/>
    <n v="25.14"/>
    <n v="8.73"/>
    <n v="8281.0499999999993"/>
    <n v="8941.86"/>
    <n v="3531.05"/>
    <n v="4.0399999999999991"/>
    <n v="660.81000000000131"/>
    <n v="-16.41"/>
    <s v="India"/>
  </r>
  <r>
    <x v="5"/>
    <x v="1"/>
    <x v="9"/>
    <x v="1"/>
    <x v="29"/>
    <x v="7"/>
    <n v="15.86"/>
    <n v="28.54"/>
    <n v="8.67"/>
    <n v="10189.84"/>
    <n v="15334.91"/>
    <n v="5437.68"/>
    <n v="12.68"/>
    <n v="5145.07"/>
    <n v="-19.869999999999997"/>
    <s v="India"/>
  </r>
  <r>
    <x v="5"/>
    <x v="1"/>
    <x v="9"/>
    <x v="1"/>
    <x v="8"/>
    <x v="3"/>
    <n v="1.88"/>
    <n v="4.46"/>
    <n v="8.66"/>
    <n v="920.82"/>
    <n v="1702.81"/>
    <n v="2680.61"/>
    <n v="2.58"/>
    <n v="781.9899999999999"/>
    <n v="4.2"/>
    <s v="India"/>
  </r>
  <r>
    <x v="0"/>
    <x v="0"/>
    <x v="35"/>
    <x v="1"/>
    <x v="4"/>
    <x v="3"/>
    <n v="38.82"/>
    <n v="27.21"/>
    <n v="8.56"/>
    <n v="16422.13"/>
    <n v="12942.91"/>
    <n v="4961.21"/>
    <n v="-11.61"/>
    <n v="-3479.2200000000012"/>
    <n v="-18.649999999999999"/>
    <s v="India"/>
  </r>
  <r>
    <x v="5"/>
    <x v="1"/>
    <x v="11"/>
    <x v="1"/>
    <x v="4"/>
    <x v="3"/>
    <n v="16.77"/>
    <n v="25.69"/>
    <n v="8.39"/>
    <n v="6319.57"/>
    <n v="11925.51"/>
    <n v="4513.1000000000004"/>
    <n v="8.9200000000000017"/>
    <n v="5605.9400000000005"/>
    <n v="-17.3"/>
    <s v="India"/>
  </r>
  <r>
    <x v="10"/>
    <x v="2"/>
    <x v="42"/>
    <x v="1"/>
    <x v="2"/>
    <x v="0"/>
    <n v="0.3"/>
    <n v="4.38"/>
    <n v="8.2799999999999994"/>
    <n v="299.73"/>
    <n v="2057.31"/>
    <n v="3697.41"/>
    <n v="4.08"/>
    <n v="1757.58"/>
    <n v="3.8999999999999995"/>
    <s v="India"/>
  </r>
  <r>
    <x v="0"/>
    <x v="0"/>
    <x v="51"/>
    <x v="4"/>
    <x v="5"/>
    <x v="3"/>
    <n v="23.98"/>
    <n v="23.45"/>
    <n v="8.26"/>
    <n v="14866.81"/>
    <n v="14230.5"/>
    <n v="4684.8599999999997"/>
    <n v="-0.53000000000000114"/>
    <n v="-636.30999999999949"/>
    <n v="-15.19"/>
    <s v="India"/>
  </r>
  <r>
    <x v="1"/>
    <x v="0"/>
    <x v="24"/>
    <x v="3"/>
    <x v="30"/>
    <x v="5"/>
    <n v="23.92"/>
    <n v="27.67"/>
    <n v="8.19"/>
    <n v="954.41"/>
    <n v="1051.9000000000001"/>
    <n v="229.17"/>
    <n v="3.75"/>
    <n v="97.490000000000123"/>
    <n v="-19.480000000000004"/>
    <s v="India"/>
  </r>
  <r>
    <x v="9"/>
    <x v="1"/>
    <x v="44"/>
    <x v="1"/>
    <x v="8"/>
    <x v="3"/>
    <n v="0"/>
    <n v="12.62"/>
    <n v="8.14"/>
    <n v="0"/>
    <n v="8906.42"/>
    <n v="5389.16"/>
    <n v="12.62"/>
    <n v="8906.42"/>
    <n v="-4.4799999999999986"/>
    <s v="India"/>
  </r>
  <r>
    <x v="14"/>
    <x v="3"/>
    <x v="39"/>
    <x v="2"/>
    <x v="4"/>
    <x v="3"/>
    <n v="21.43"/>
    <n v="25.86"/>
    <n v="8.1"/>
    <n v="9063.6200000000008"/>
    <n v="12939.94"/>
    <n v="4633.3500000000004"/>
    <n v="4.43"/>
    <n v="3876.3199999999997"/>
    <n v="-17.759999999999998"/>
    <s v="India"/>
  </r>
  <r>
    <x v="2"/>
    <x v="1"/>
    <x v="59"/>
    <x v="2"/>
    <x v="26"/>
    <x v="0"/>
    <n v="21.87"/>
    <n v="2.48"/>
    <n v="8.06"/>
    <n v="71141.45"/>
    <n v="8315.5"/>
    <n v="29810.51"/>
    <n v="-19.39"/>
    <n v="-62825.95"/>
    <n v="5.58"/>
    <s v="India"/>
  </r>
  <r>
    <x v="2"/>
    <x v="1"/>
    <x v="60"/>
    <x v="1"/>
    <x v="2"/>
    <x v="0"/>
    <n v="0"/>
    <n v="22.72"/>
    <n v="7.92"/>
    <n v="0"/>
    <n v="53689.41"/>
    <n v="17791.47"/>
    <n v="22.72"/>
    <n v="53689.41"/>
    <n v="-14.799999999999999"/>
    <s v="India"/>
  </r>
  <r>
    <x v="2"/>
    <x v="1"/>
    <x v="59"/>
    <x v="2"/>
    <x v="8"/>
    <x v="3"/>
    <n v="27.84"/>
    <n v="23.31"/>
    <n v="7.79"/>
    <n v="5651.96"/>
    <n v="7054.08"/>
    <n v="2017.04"/>
    <n v="-4.5300000000000011"/>
    <n v="1402.12"/>
    <n v="-15.52"/>
    <s v="India"/>
  </r>
  <r>
    <x v="5"/>
    <x v="1"/>
    <x v="9"/>
    <x v="1"/>
    <x v="2"/>
    <x v="0"/>
    <n v="11.57"/>
    <n v="28.5"/>
    <n v="7.77"/>
    <n v="19316.79"/>
    <n v="48872.04"/>
    <n v="11970.99"/>
    <n v="16.93"/>
    <n v="29555.25"/>
    <n v="-20.73"/>
    <s v="India"/>
  </r>
  <r>
    <x v="6"/>
    <x v="2"/>
    <x v="12"/>
    <x v="0"/>
    <x v="8"/>
    <x v="3"/>
    <n v="21.68"/>
    <n v="24.27"/>
    <n v="7.5"/>
    <n v="8876.2199999999993"/>
    <n v="10579.73"/>
    <n v="3565.6"/>
    <n v="2.59"/>
    <n v="1703.5100000000002"/>
    <n v="-16.77"/>
    <s v="India"/>
  </r>
  <r>
    <x v="1"/>
    <x v="0"/>
    <x v="1"/>
    <x v="0"/>
    <x v="31"/>
    <x v="1"/>
    <n v="14.26"/>
    <n v="24.42"/>
    <n v="7.47"/>
    <n v="4866.9399999999996"/>
    <n v="6946.93"/>
    <n v="2175.6"/>
    <n v="10.160000000000002"/>
    <n v="2079.9900000000007"/>
    <n v="-16.950000000000003"/>
    <s v="India"/>
  </r>
  <r>
    <x v="0"/>
    <x v="0"/>
    <x v="0"/>
    <x v="0"/>
    <x v="32"/>
    <x v="0"/>
    <n v="7.74"/>
    <n v="15.37"/>
    <n v="7.46"/>
    <n v="8879.59"/>
    <n v="13563.17"/>
    <n v="10368.15"/>
    <n v="7.629999999999999"/>
    <n v="4683.58"/>
    <n v="-7.9099999999999993"/>
    <s v="India"/>
  </r>
  <r>
    <x v="6"/>
    <x v="2"/>
    <x v="12"/>
    <x v="0"/>
    <x v="18"/>
    <x v="7"/>
    <n v="16.77"/>
    <n v="21.26"/>
    <n v="7.36"/>
    <n v="4516.08"/>
    <n v="6912.32"/>
    <n v="2936.02"/>
    <n v="4.490000000000002"/>
    <n v="2396.2399999999998"/>
    <n v="-13.900000000000002"/>
    <s v="India"/>
  </r>
  <r>
    <x v="9"/>
    <x v="1"/>
    <x v="61"/>
    <x v="1"/>
    <x v="0"/>
    <x v="0"/>
    <n v="62.18"/>
    <n v="24.8"/>
    <n v="7.29"/>
    <n v="46724.94"/>
    <n v="24692.44"/>
    <n v="6398.02"/>
    <n v="-37.379999999999995"/>
    <n v="-22032.500000000004"/>
    <n v="-17.510000000000002"/>
    <s v="India"/>
  </r>
  <r>
    <x v="10"/>
    <x v="2"/>
    <x v="28"/>
    <x v="1"/>
    <x v="4"/>
    <x v="3"/>
    <n v="8.2899999999999991"/>
    <n v="16.010000000000002"/>
    <n v="7.28"/>
    <n v="1933.64"/>
    <n v="3515.46"/>
    <n v="1329.51"/>
    <n v="7.7200000000000024"/>
    <n v="1581.82"/>
    <n v="-8.73"/>
    <s v="India"/>
  </r>
  <r>
    <x v="12"/>
    <x v="2"/>
    <x v="30"/>
    <x v="1"/>
    <x v="33"/>
    <x v="7"/>
    <n v="14.56"/>
    <n v="24.89"/>
    <n v="7.22"/>
    <n v="2403.7199999999998"/>
    <n v="3447.41"/>
    <n v="1016.46"/>
    <n v="10.33"/>
    <n v="1043.69"/>
    <n v="-17.670000000000002"/>
    <s v="India"/>
  </r>
  <r>
    <x v="16"/>
    <x v="3"/>
    <x v="62"/>
    <x v="0"/>
    <x v="2"/>
    <x v="0"/>
    <n v="0"/>
    <n v="34.51"/>
    <n v="7.16"/>
    <n v="0"/>
    <n v="93900"/>
    <n v="21500"/>
    <n v="34.51"/>
    <n v="93900"/>
    <n v="-27.349999999999998"/>
    <s v="India"/>
  </r>
  <r>
    <x v="4"/>
    <x v="3"/>
    <x v="63"/>
    <x v="2"/>
    <x v="18"/>
    <x v="7"/>
    <n v="18.940000000000001"/>
    <n v="20.02"/>
    <n v="7.14"/>
    <n v="10771.58"/>
    <n v="13016.68"/>
    <n v="5303.33"/>
    <n v="1.0799999999999983"/>
    <n v="2245.1000000000004"/>
    <n v="-12.879999999999999"/>
    <s v="India"/>
  </r>
  <r>
    <x v="6"/>
    <x v="2"/>
    <x v="32"/>
    <x v="0"/>
    <x v="20"/>
    <x v="3"/>
    <n v="32.57"/>
    <n v="28.19"/>
    <n v="7.11"/>
    <n v="29295.38"/>
    <n v="33283.93"/>
    <n v="8947.3799999999992"/>
    <n v="-4.379999999999999"/>
    <n v="3988.5499999999993"/>
    <n v="-21.080000000000002"/>
    <s v="India"/>
  </r>
  <r>
    <x v="11"/>
    <x v="2"/>
    <x v="64"/>
    <x v="3"/>
    <x v="24"/>
    <x v="4"/>
    <n v="13.06"/>
    <n v="16.22"/>
    <n v="7.1"/>
    <n v="12910.09"/>
    <n v="16152.28"/>
    <n v="6076.72"/>
    <n v="3.1599999999999984"/>
    <n v="3242.1900000000005"/>
    <n v="-9.1199999999999992"/>
    <s v="India"/>
  </r>
  <r>
    <x v="5"/>
    <x v="1"/>
    <x v="15"/>
    <x v="1"/>
    <x v="31"/>
    <x v="1"/>
    <n v="11.64"/>
    <n v="12.99"/>
    <n v="7.08"/>
    <n v="4027.84"/>
    <n v="3409.1"/>
    <n v="1688.9"/>
    <n v="1.3499999999999996"/>
    <n v="-618.74000000000024"/>
    <n v="-5.91"/>
    <s v="India"/>
  </r>
  <r>
    <x v="4"/>
    <x v="3"/>
    <x v="65"/>
    <x v="1"/>
    <x v="15"/>
    <x v="0"/>
    <n v="5.47"/>
    <n v="8.31"/>
    <n v="7.05"/>
    <n v="22112.400000000001"/>
    <n v="37021.32"/>
    <n v="33798.11"/>
    <n v="2.8400000000000007"/>
    <n v="14908.919999999998"/>
    <n v="-1.2600000000000007"/>
    <s v="India"/>
  </r>
  <r>
    <x v="1"/>
    <x v="0"/>
    <x v="1"/>
    <x v="0"/>
    <x v="7"/>
    <x v="5"/>
    <n v="14.33"/>
    <n v="22.54"/>
    <n v="7.05"/>
    <n v="3406.17"/>
    <n v="5424.94"/>
    <n v="1794.69"/>
    <n v="8.2099999999999991"/>
    <n v="2018.7699999999995"/>
    <n v="-15.489999999999998"/>
    <s v="India"/>
  </r>
  <r>
    <x v="0"/>
    <x v="0"/>
    <x v="17"/>
    <x v="0"/>
    <x v="7"/>
    <x v="5"/>
    <n v="0.02"/>
    <n v="14.4"/>
    <n v="6.94"/>
    <n v="8.75"/>
    <n v="21850"/>
    <n v="10550"/>
    <n v="14.38"/>
    <n v="21841.25"/>
    <n v="-7.46"/>
    <s v="India"/>
  </r>
  <r>
    <x v="1"/>
    <x v="0"/>
    <x v="66"/>
    <x v="1"/>
    <x v="12"/>
    <x v="4"/>
    <n v="0"/>
    <n v="13.36"/>
    <n v="6.94"/>
    <n v="0"/>
    <n v="59278.68"/>
    <n v="25505.18"/>
    <n v="13.36"/>
    <n v="59278.68"/>
    <n v="-6.419999999999999"/>
    <s v="India"/>
  </r>
  <r>
    <x v="0"/>
    <x v="0"/>
    <x v="67"/>
    <x v="3"/>
    <x v="4"/>
    <x v="3"/>
    <n v="12.18"/>
    <n v="16.739999999999998"/>
    <n v="6.93"/>
    <n v="601.35"/>
    <n v="890.95"/>
    <n v="365.94"/>
    <n v="4.5599999999999987"/>
    <n v="289.60000000000002"/>
    <n v="-9.8099999999999987"/>
    <s v="India"/>
  </r>
  <r>
    <x v="2"/>
    <x v="1"/>
    <x v="14"/>
    <x v="1"/>
    <x v="4"/>
    <x v="3"/>
    <n v="20.94"/>
    <n v="14.72"/>
    <n v="6.92"/>
    <n v="9142.82"/>
    <n v="7531.18"/>
    <n v="3104.55"/>
    <n v="-6.2200000000000006"/>
    <n v="-1611.6399999999994"/>
    <n v="-7.8000000000000007"/>
    <s v="India"/>
  </r>
  <r>
    <x v="5"/>
    <x v="1"/>
    <x v="9"/>
    <x v="1"/>
    <x v="18"/>
    <x v="7"/>
    <n v="0.28000000000000003"/>
    <n v="18.670000000000002"/>
    <n v="6.88"/>
    <n v="93.59"/>
    <n v="3712.08"/>
    <n v="1383.35"/>
    <n v="18.39"/>
    <n v="3618.49"/>
    <n v="-11.790000000000003"/>
    <s v="India"/>
  </r>
  <r>
    <x v="2"/>
    <x v="1"/>
    <x v="68"/>
    <x v="1"/>
    <x v="10"/>
    <x v="3"/>
    <n v="10.77"/>
    <n v="5.22"/>
    <n v="6.86"/>
    <n v="15561.32"/>
    <n v="7389.02"/>
    <n v="10384.18"/>
    <n v="-5.55"/>
    <n v="-8172.2999999999993"/>
    <n v="1.6400000000000006"/>
    <s v="India"/>
  </r>
  <r>
    <x v="10"/>
    <x v="2"/>
    <x v="69"/>
    <x v="3"/>
    <x v="17"/>
    <x v="5"/>
    <n v="12.81"/>
    <n v="16.12"/>
    <n v="6.82"/>
    <n v="75.47"/>
    <n v="109.16"/>
    <n v="31.3"/>
    <n v="3.3100000000000005"/>
    <n v="33.69"/>
    <n v="-9.3000000000000007"/>
    <s v="India"/>
  </r>
  <r>
    <x v="2"/>
    <x v="1"/>
    <x v="8"/>
    <x v="1"/>
    <x v="14"/>
    <x v="3"/>
    <n v="0"/>
    <n v="4.5"/>
    <n v="6.79"/>
    <n v="0"/>
    <n v="4970"/>
    <n v="9378.91"/>
    <n v="4.5"/>
    <n v="4970"/>
    <n v="2.29"/>
    <s v="India"/>
  </r>
  <r>
    <x v="14"/>
    <x v="3"/>
    <x v="39"/>
    <x v="2"/>
    <x v="8"/>
    <x v="3"/>
    <n v="22.69"/>
    <n v="21.56"/>
    <n v="6.76"/>
    <n v="2385.81"/>
    <n v="3761.98"/>
    <n v="716.51"/>
    <n v="-1.1300000000000026"/>
    <n v="1376.17"/>
    <n v="-14.799999999999999"/>
    <s v="India"/>
  </r>
  <r>
    <x v="6"/>
    <x v="2"/>
    <x v="32"/>
    <x v="0"/>
    <x v="11"/>
    <x v="3"/>
    <n v="13.15"/>
    <n v="26.18"/>
    <n v="6.64"/>
    <n v="11929.76"/>
    <n v="22202.59"/>
    <n v="6443.85"/>
    <n v="13.03"/>
    <n v="10272.83"/>
    <n v="-19.54"/>
    <s v="India"/>
  </r>
  <r>
    <x v="2"/>
    <x v="1"/>
    <x v="70"/>
    <x v="1"/>
    <x v="1"/>
    <x v="1"/>
    <n v="0"/>
    <n v="47.35"/>
    <n v="6.6"/>
    <n v="0"/>
    <n v="13126.62"/>
    <n v="1605.77"/>
    <n v="47.35"/>
    <n v="13126.62"/>
    <n v="-40.75"/>
    <s v="India"/>
  </r>
  <r>
    <x v="11"/>
    <x v="2"/>
    <x v="29"/>
    <x v="0"/>
    <x v="16"/>
    <x v="0"/>
    <n v="18.899999999999999"/>
    <n v="21.44"/>
    <n v="6.5"/>
    <n v="21146.74"/>
    <n v="23302.33"/>
    <n v="6879.91"/>
    <n v="2.5400000000000027"/>
    <n v="2155.59"/>
    <n v="-14.940000000000001"/>
    <s v="India"/>
  </r>
  <r>
    <x v="9"/>
    <x v="1"/>
    <x v="61"/>
    <x v="1"/>
    <x v="8"/>
    <x v="3"/>
    <n v="34.75"/>
    <n v="19.39"/>
    <n v="6.48"/>
    <n v="25545.26"/>
    <n v="17002.599999999999"/>
    <n v="5449.63"/>
    <n v="-15.36"/>
    <n v="-8542.66"/>
    <n v="-12.91"/>
    <s v="India"/>
  </r>
  <r>
    <x v="4"/>
    <x v="3"/>
    <x v="45"/>
    <x v="2"/>
    <x v="9"/>
    <x v="6"/>
    <n v="7.72"/>
    <n v="17.29"/>
    <n v="6.43"/>
    <n v="10262.24"/>
    <n v="23004.33"/>
    <n v="8267.84"/>
    <n v="9.57"/>
    <n v="12742.090000000002"/>
    <n v="-10.86"/>
    <s v="India"/>
  </r>
  <r>
    <x v="6"/>
    <x v="2"/>
    <x v="32"/>
    <x v="0"/>
    <x v="33"/>
    <x v="7"/>
    <n v="27.73"/>
    <n v="28.03"/>
    <n v="6.29"/>
    <n v="5619.22"/>
    <n v="5553.27"/>
    <n v="1289.3800000000001"/>
    <n v="0.30000000000000071"/>
    <n v="-65.949999999999818"/>
    <n v="-21.740000000000002"/>
    <s v="India"/>
  </r>
  <r>
    <x v="11"/>
    <x v="2"/>
    <x v="29"/>
    <x v="0"/>
    <x v="18"/>
    <x v="7"/>
    <n v="19.73"/>
    <n v="22.4"/>
    <n v="6.25"/>
    <n v="2515.5700000000002"/>
    <n v="2963.67"/>
    <n v="759.91"/>
    <n v="2.6699999999999982"/>
    <n v="448.09999999999991"/>
    <n v="-16.149999999999999"/>
    <s v="India"/>
  </r>
  <r>
    <x v="0"/>
    <x v="0"/>
    <x v="51"/>
    <x v="4"/>
    <x v="4"/>
    <x v="3"/>
    <n v="25.24"/>
    <n v="19.61"/>
    <n v="6.24"/>
    <n v="36751.21"/>
    <n v="16753.169999999998"/>
    <n v="6781.06"/>
    <n v="-5.629999999999999"/>
    <n v="-19998.04"/>
    <n v="-13.37"/>
    <s v="India"/>
  </r>
  <r>
    <x v="0"/>
    <x v="0"/>
    <x v="35"/>
    <x v="1"/>
    <x v="8"/>
    <x v="3"/>
    <n v="11.29"/>
    <n v="18.71"/>
    <n v="6.24"/>
    <n v="5425.48"/>
    <n v="8593.44"/>
    <n v="3141.7"/>
    <n v="7.4200000000000017"/>
    <n v="3167.9600000000009"/>
    <n v="-12.47"/>
    <s v="India"/>
  </r>
  <r>
    <x v="2"/>
    <x v="1"/>
    <x v="68"/>
    <x v="1"/>
    <x v="14"/>
    <x v="3"/>
    <n v="16.11"/>
    <n v="16"/>
    <n v="6.2"/>
    <n v="7980.31"/>
    <n v="6776.38"/>
    <n v="3273.49"/>
    <n v="-0.10999999999999943"/>
    <n v="-1203.9300000000003"/>
    <n v="-9.8000000000000007"/>
    <s v="India"/>
  </r>
  <r>
    <x v="6"/>
    <x v="2"/>
    <x v="32"/>
    <x v="0"/>
    <x v="24"/>
    <x v="4"/>
    <n v="22.41"/>
    <n v="20.87"/>
    <n v="6.13"/>
    <n v="48566.39"/>
    <n v="42642.93"/>
    <n v="12896.1"/>
    <n v="-1.5399999999999991"/>
    <n v="-5923.4599999999991"/>
    <n v="-14.740000000000002"/>
    <s v="India"/>
  </r>
  <r>
    <x v="4"/>
    <x v="3"/>
    <x v="71"/>
    <x v="2"/>
    <x v="2"/>
    <x v="0"/>
    <n v="5.74"/>
    <n v="17.7"/>
    <n v="6.13"/>
    <n v="13736.73"/>
    <n v="37111.019999999997"/>
    <n v="10264.620000000001"/>
    <n v="11.959999999999999"/>
    <n v="23374.289999999997"/>
    <n v="-11.57"/>
    <s v="India"/>
  </r>
  <r>
    <x v="12"/>
    <x v="2"/>
    <x v="30"/>
    <x v="1"/>
    <x v="8"/>
    <x v="3"/>
    <n v="15.37"/>
    <n v="14.86"/>
    <n v="6.07"/>
    <n v="7015.28"/>
    <n v="7006.46"/>
    <n v="3445.92"/>
    <n v="-0.50999999999999979"/>
    <n v="-8.819999999999709"/>
    <n v="-8.7899999999999991"/>
    <s v="India"/>
  </r>
  <r>
    <x v="11"/>
    <x v="2"/>
    <x v="29"/>
    <x v="0"/>
    <x v="5"/>
    <x v="3"/>
    <n v="29.19"/>
    <n v="20.04"/>
    <n v="6.05"/>
    <n v="12906.02"/>
    <n v="8616.61"/>
    <n v="2534.69"/>
    <n v="-9.1500000000000021"/>
    <n v="-4289.41"/>
    <n v="-13.989999999999998"/>
    <s v="India"/>
  </r>
  <r>
    <x v="0"/>
    <x v="0"/>
    <x v="72"/>
    <x v="4"/>
    <x v="4"/>
    <x v="3"/>
    <n v="5.64"/>
    <n v="11.42"/>
    <n v="5.99"/>
    <n v="762.21"/>
    <n v="2533.88"/>
    <n v="704.33"/>
    <n v="5.78"/>
    <n v="1771.67"/>
    <n v="-5.43"/>
    <s v="India"/>
  </r>
  <r>
    <x v="5"/>
    <x v="1"/>
    <x v="34"/>
    <x v="1"/>
    <x v="7"/>
    <x v="5"/>
    <n v="22.84"/>
    <n v="8.16"/>
    <n v="5.95"/>
    <n v="10954.73"/>
    <n v="4036.26"/>
    <n v="3283.66"/>
    <n v="-14.68"/>
    <n v="-6918.4699999999993"/>
    <n v="-2.21"/>
    <s v="India"/>
  </r>
  <r>
    <x v="3"/>
    <x v="2"/>
    <x v="5"/>
    <x v="0"/>
    <x v="22"/>
    <x v="6"/>
    <n v="31.28"/>
    <n v="21.84"/>
    <n v="5.9"/>
    <n v="4354.08"/>
    <n v="2535.9699999999998"/>
    <n v="709.08"/>
    <n v="-9.4400000000000013"/>
    <n v="-1818.1100000000001"/>
    <n v="-15.94"/>
    <s v="India"/>
  </r>
  <r>
    <x v="9"/>
    <x v="1"/>
    <x v="44"/>
    <x v="1"/>
    <x v="29"/>
    <x v="7"/>
    <n v="0"/>
    <n v="3.95"/>
    <n v="5.86"/>
    <n v="0"/>
    <n v="2434.6"/>
    <n v="3583.18"/>
    <n v="3.95"/>
    <n v="2434.6"/>
    <n v="1.9100000000000001"/>
    <s v="India"/>
  </r>
  <r>
    <x v="6"/>
    <x v="2"/>
    <x v="55"/>
    <x v="0"/>
    <x v="11"/>
    <x v="3"/>
    <n v="22.9"/>
    <n v="28.84"/>
    <n v="5.85"/>
    <n v="22381.66"/>
    <n v="36039.199999999997"/>
    <n v="8338.81"/>
    <n v="5.9400000000000013"/>
    <n v="13657.539999999997"/>
    <n v="-22.990000000000002"/>
    <s v="India"/>
  </r>
  <r>
    <x v="4"/>
    <x v="3"/>
    <x v="73"/>
    <x v="2"/>
    <x v="21"/>
    <x v="4"/>
    <n v="21.07"/>
    <n v="17.04"/>
    <n v="5.83"/>
    <n v="68252.86"/>
    <n v="40381.629999999997"/>
    <n v="13464.81"/>
    <n v="-4.0300000000000011"/>
    <n v="-27871.230000000003"/>
    <n v="-11.209999999999999"/>
    <s v="India"/>
  </r>
  <r>
    <x v="2"/>
    <x v="1"/>
    <x v="6"/>
    <x v="1"/>
    <x v="8"/>
    <x v="3"/>
    <n v="15.7"/>
    <n v="14.6"/>
    <n v="5.83"/>
    <n v="6818.8"/>
    <n v="6138.58"/>
    <n v="2417.1799999999998"/>
    <n v="-1.0999999999999996"/>
    <n v="-680.22000000000025"/>
    <n v="-8.77"/>
    <s v="India"/>
  </r>
  <r>
    <x v="1"/>
    <x v="0"/>
    <x v="31"/>
    <x v="1"/>
    <x v="8"/>
    <x v="3"/>
    <n v="18.149999999999999"/>
    <n v="19.45"/>
    <n v="5.8"/>
    <n v="10133.25"/>
    <n v="11302.47"/>
    <n v="3518.98"/>
    <n v="1.3000000000000007"/>
    <n v="1169.2199999999993"/>
    <n v="-13.649999999999999"/>
    <s v="India"/>
  </r>
  <r>
    <x v="4"/>
    <x v="3"/>
    <x v="7"/>
    <x v="0"/>
    <x v="30"/>
    <x v="5"/>
    <n v="12.81"/>
    <n v="11.97"/>
    <n v="5.73"/>
    <n v="2335.86"/>
    <n v="2046.53"/>
    <n v="1030.8699999999999"/>
    <n v="-0.83999999999999986"/>
    <n v="-289.33000000000015"/>
    <n v="-6.24"/>
    <s v="India"/>
  </r>
  <r>
    <x v="1"/>
    <x v="0"/>
    <x v="1"/>
    <x v="0"/>
    <x v="17"/>
    <x v="5"/>
    <n v="11.11"/>
    <n v="14.86"/>
    <n v="5.69"/>
    <n v="2912.65"/>
    <n v="4151.01"/>
    <n v="517.51"/>
    <n v="3.75"/>
    <n v="1238.3600000000001"/>
    <n v="-9.1699999999999982"/>
    <s v="India"/>
  </r>
  <r>
    <x v="0"/>
    <x v="0"/>
    <x v="0"/>
    <x v="0"/>
    <x v="13"/>
    <x v="3"/>
    <n v="7.14"/>
    <n v="12.02"/>
    <n v="5.67"/>
    <n v="1082.6099999999999"/>
    <n v="1525.43"/>
    <n v="651.76"/>
    <n v="4.88"/>
    <n v="442.82000000000016"/>
    <n v="-6.35"/>
    <s v="India"/>
  </r>
  <r>
    <x v="6"/>
    <x v="2"/>
    <x v="12"/>
    <x v="0"/>
    <x v="34"/>
    <x v="6"/>
    <n v="3.73"/>
    <n v="7.35"/>
    <n v="5.67"/>
    <n v="6159.26"/>
    <n v="10943.5"/>
    <n v="6644.31"/>
    <n v="3.6199999999999997"/>
    <n v="4784.24"/>
    <n v="-1.6799999999999997"/>
    <s v="India"/>
  </r>
  <r>
    <x v="6"/>
    <x v="2"/>
    <x v="12"/>
    <x v="0"/>
    <x v="10"/>
    <x v="3"/>
    <n v="14.14"/>
    <n v="12.98"/>
    <n v="5.62"/>
    <n v="17225.009999999998"/>
    <n v="12631.26"/>
    <n v="7039.39"/>
    <n v="-1.1600000000000001"/>
    <n v="-4593.7499999999982"/>
    <n v="-7.36"/>
    <s v="India"/>
  </r>
  <r>
    <x v="0"/>
    <x v="0"/>
    <x v="74"/>
    <x v="0"/>
    <x v="2"/>
    <x v="0"/>
    <n v="34.92"/>
    <n v="30.76"/>
    <n v="5.59"/>
    <n v="87398.81"/>
    <n v="80140.5"/>
    <n v="15573.51"/>
    <n v="-4.16"/>
    <n v="-7258.3099999999977"/>
    <n v="-25.17"/>
    <s v="India"/>
  </r>
  <r>
    <x v="0"/>
    <x v="0"/>
    <x v="0"/>
    <x v="0"/>
    <x v="35"/>
    <x v="0"/>
    <n v="26.01"/>
    <n v="24.97"/>
    <n v="5.59"/>
    <n v="65253.25"/>
    <n v="58237.26"/>
    <n v="14008.03"/>
    <n v="-1.0400000000000027"/>
    <n v="-7015.989999999998"/>
    <n v="-19.38"/>
    <s v="India"/>
  </r>
  <r>
    <x v="14"/>
    <x v="3"/>
    <x v="53"/>
    <x v="2"/>
    <x v="15"/>
    <x v="0"/>
    <n v="28.59"/>
    <n v="19.43"/>
    <n v="5.5"/>
    <n v="111718.25"/>
    <n v="73263.05"/>
    <n v="25136.49"/>
    <n v="-9.16"/>
    <n v="-38455.199999999997"/>
    <n v="-13.93"/>
    <s v="India"/>
  </r>
  <r>
    <x v="10"/>
    <x v="2"/>
    <x v="28"/>
    <x v="1"/>
    <x v="33"/>
    <x v="7"/>
    <n v="13.06"/>
    <n v="19.100000000000001"/>
    <n v="5.47"/>
    <n v="3030.77"/>
    <n v="3729.89"/>
    <n v="956.81"/>
    <n v="6.0400000000000009"/>
    <n v="699.11999999999989"/>
    <n v="-13.630000000000003"/>
    <s v="India"/>
  </r>
  <r>
    <x v="1"/>
    <x v="0"/>
    <x v="75"/>
    <x v="1"/>
    <x v="21"/>
    <x v="4"/>
    <n v="0"/>
    <n v="30.78"/>
    <n v="5.4"/>
    <n v="0"/>
    <n v="14693.83"/>
    <n v="2350.1999999999998"/>
    <n v="30.78"/>
    <n v="14693.83"/>
    <n v="-25.380000000000003"/>
    <s v="India"/>
  </r>
  <r>
    <x v="12"/>
    <x v="2"/>
    <x v="38"/>
    <x v="3"/>
    <x v="24"/>
    <x v="4"/>
    <n v="11.77"/>
    <n v="15.03"/>
    <n v="5.4"/>
    <n v="9355.32"/>
    <n v="10864.1"/>
    <n v="3455.01"/>
    <n v="3.26"/>
    <n v="1508.7800000000007"/>
    <n v="-9.629999999999999"/>
    <s v="India"/>
  </r>
  <r>
    <x v="1"/>
    <x v="0"/>
    <x v="24"/>
    <x v="3"/>
    <x v="6"/>
    <x v="4"/>
    <n v="16.05"/>
    <n v="19.93"/>
    <n v="5.37"/>
    <n v="7585.02"/>
    <n v="8571.48"/>
    <n v="2157.42"/>
    <n v="3.879999999999999"/>
    <n v="986.45999999999913"/>
    <n v="-14.559999999999999"/>
    <s v="India"/>
  </r>
  <r>
    <x v="3"/>
    <x v="2"/>
    <x v="5"/>
    <x v="0"/>
    <x v="4"/>
    <x v="3"/>
    <n v="32.130000000000003"/>
    <n v="8.64"/>
    <n v="5.36"/>
    <n v="74222.899999999994"/>
    <n v="19433.560000000001"/>
    <n v="13998.36"/>
    <n v="-23.490000000000002"/>
    <n v="-54789.34"/>
    <n v="-3.2800000000000002"/>
    <s v="India"/>
  </r>
  <r>
    <x v="6"/>
    <x v="2"/>
    <x v="12"/>
    <x v="0"/>
    <x v="15"/>
    <x v="0"/>
    <n v="14.39"/>
    <n v="6.12"/>
    <n v="5.34"/>
    <n v="15601.83"/>
    <n v="6957.43"/>
    <n v="8418.2900000000009"/>
    <n v="-8.27"/>
    <n v="-8644.4"/>
    <n v="-0.78000000000000025"/>
    <s v="India"/>
  </r>
  <r>
    <x v="4"/>
    <x v="3"/>
    <x v="76"/>
    <x v="2"/>
    <x v="3"/>
    <x v="2"/>
    <n v="34"/>
    <n v="23.5"/>
    <n v="5.33"/>
    <n v="38114.44"/>
    <n v="32821.64"/>
    <n v="6526.43"/>
    <n v="-10.5"/>
    <n v="-5292.8000000000029"/>
    <n v="-18.170000000000002"/>
    <s v="India"/>
  </r>
  <r>
    <x v="0"/>
    <x v="0"/>
    <x v="74"/>
    <x v="0"/>
    <x v="0"/>
    <x v="0"/>
    <n v="39.18"/>
    <n v="36.76"/>
    <n v="5.3"/>
    <n v="36327.11"/>
    <n v="44202.400000000001"/>
    <n v="5617.67"/>
    <n v="-2.4200000000000017"/>
    <n v="7875.2900000000009"/>
    <n v="-31.459999999999997"/>
    <s v="India"/>
  </r>
  <r>
    <x v="4"/>
    <x v="3"/>
    <x v="63"/>
    <x v="2"/>
    <x v="4"/>
    <x v="3"/>
    <n v="18.440000000000001"/>
    <n v="14.78"/>
    <n v="5.2"/>
    <n v="10595.34"/>
    <n v="10304.76"/>
    <n v="4896.75"/>
    <n v="-3.6600000000000019"/>
    <n v="-290.57999999999993"/>
    <n v="-9.5799999999999983"/>
    <s v="India"/>
  </r>
  <r>
    <x v="6"/>
    <x v="2"/>
    <x v="32"/>
    <x v="0"/>
    <x v="4"/>
    <x v="3"/>
    <n v="8.41"/>
    <n v="12.71"/>
    <n v="5.08"/>
    <n v="6527.43"/>
    <n v="4995.63"/>
    <n v="3761.74"/>
    <n v="4.3000000000000007"/>
    <n v="-1531.8000000000002"/>
    <n v="-7.6300000000000008"/>
    <s v="India"/>
  </r>
  <r>
    <x v="1"/>
    <x v="0"/>
    <x v="1"/>
    <x v="0"/>
    <x v="35"/>
    <x v="0"/>
    <n v="15.2"/>
    <n v="18.100000000000001"/>
    <n v="5.0199999999999996"/>
    <n v="31503.67"/>
    <n v="38997.800000000003"/>
    <n v="10489.16"/>
    <n v="2.9000000000000021"/>
    <n v="7494.1300000000047"/>
    <n v="-13.080000000000002"/>
    <s v="India"/>
  </r>
  <r>
    <x v="9"/>
    <x v="1"/>
    <x v="27"/>
    <x v="1"/>
    <x v="4"/>
    <x v="3"/>
    <n v="6.86"/>
    <n v="13.89"/>
    <n v="5.01"/>
    <n v="3225.18"/>
    <n v="4546.67"/>
    <n v="1605.19"/>
    <n v="7.03"/>
    <n v="1321.4900000000002"/>
    <n v="-8.8800000000000008"/>
    <s v="India"/>
  </r>
  <r>
    <x v="16"/>
    <x v="3"/>
    <x v="77"/>
    <x v="2"/>
    <x v="26"/>
    <x v="0"/>
    <n v="7.52"/>
    <n v="0"/>
    <n v="4.99"/>
    <n v="23763.3"/>
    <n v="0"/>
    <n v="18491.310000000001"/>
    <n v="-7.52"/>
    <n v="-23763.3"/>
    <n v="4.99"/>
    <s v="India"/>
  </r>
  <r>
    <x v="6"/>
    <x v="2"/>
    <x v="32"/>
    <x v="0"/>
    <x v="3"/>
    <x v="2"/>
    <n v="7.44"/>
    <n v="9.32"/>
    <n v="4.96"/>
    <n v="7288.15"/>
    <n v="9064.56"/>
    <n v="5173.22"/>
    <n v="1.88"/>
    <n v="1776.4099999999999"/>
    <n v="-4.3600000000000003"/>
    <s v="India"/>
  </r>
  <r>
    <x v="6"/>
    <x v="2"/>
    <x v="55"/>
    <x v="0"/>
    <x v="20"/>
    <x v="3"/>
    <n v="13.73"/>
    <n v="12.73"/>
    <n v="4.96"/>
    <n v="12061.04"/>
    <n v="15061.03"/>
    <n v="5544.73"/>
    <n v="-1"/>
    <n v="2999.99"/>
    <n v="-7.7700000000000005"/>
    <s v="India"/>
  </r>
  <r>
    <x v="6"/>
    <x v="2"/>
    <x v="55"/>
    <x v="0"/>
    <x v="34"/>
    <x v="6"/>
    <n v="0.97"/>
    <n v="13.6"/>
    <n v="4.96"/>
    <n v="1540.6"/>
    <n v="20078.18"/>
    <n v="5805.08"/>
    <n v="12.629999999999999"/>
    <n v="18537.580000000002"/>
    <n v="-8.64"/>
    <s v="India"/>
  </r>
  <r>
    <x v="4"/>
    <x v="3"/>
    <x v="76"/>
    <x v="2"/>
    <x v="15"/>
    <x v="0"/>
    <n v="4.91"/>
    <n v="10.36"/>
    <n v="4.9400000000000004"/>
    <n v="18610.04"/>
    <n v="44876.01"/>
    <n v="22316.43"/>
    <n v="5.4499999999999993"/>
    <n v="26265.97"/>
    <n v="-5.419999999999999"/>
    <s v="India"/>
  </r>
  <r>
    <x v="5"/>
    <x v="1"/>
    <x v="15"/>
    <x v="1"/>
    <x v="8"/>
    <x v="3"/>
    <n v="15.93"/>
    <n v="15.44"/>
    <n v="4.83"/>
    <n v="12172.5"/>
    <n v="11986.07"/>
    <n v="2759.46"/>
    <n v="-0.49000000000000021"/>
    <n v="-186.43000000000029"/>
    <n v="-10.61"/>
    <s v="India"/>
  </r>
  <r>
    <x v="1"/>
    <x v="0"/>
    <x v="52"/>
    <x v="1"/>
    <x v="4"/>
    <x v="3"/>
    <n v="32.36"/>
    <n v="1.03"/>
    <n v="4.8099999999999996"/>
    <n v="27684.04"/>
    <n v="857.97"/>
    <n v="3738.51"/>
    <n v="-31.33"/>
    <n v="-26826.07"/>
    <n v="3.7799999999999994"/>
    <s v="India"/>
  </r>
  <r>
    <x v="14"/>
    <x v="3"/>
    <x v="53"/>
    <x v="2"/>
    <x v="2"/>
    <x v="0"/>
    <n v="24.26"/>
    <n v="20.47"/>
    <n v="4.78"/>
    <n v="77139.850000000006"/>
    <n v="67815.69"/>
    <n v="13470.34"/>
    <n v="-3.7900000000000027"/>
    <n v="-9324.1600000000035"/>
    <n v="-15.689999999999998"/>
    <s v="India"/>
  </r>
  <r>
    <x v="2"/>
    <x v="1"/>
    <x v="78"/>
    <x v="1"/>
    <x v="29"/>
    <x v="7"/>
    <n v="17.09"/>
    <n v="18.12"/>
    <n v="4.7300000000000004"/>
    <n v="11449.16"/>
    <n v="10740.7"/>
    <n v="2961.89"/>
    <n v="1.0300000000000011"/>
    <n v="-708.45999999999913"/>
    <n v="-13.39"/>
    <s v="India"/>
  </r>
  <r>
    <x v="6"/>
    <x v="2"/>
    <x v="12"/>
    <x v="0"/>
    <x v="5"/>
    <x v="3"/>
    <n v="18.850000000000001"/>
    <n v="16.59"/>
    <n v="4.7300000000000004"/>
    <n v="11893.54"/>
    <n v="8778.16"/>
    <n v="2409.42"/>
    <n v="-2.2600000000000016"/>
    <n v="-3115.380000000001"/>
    <n v="-11.86"/>
    <s v="India"/>
  </r>
  <r>
    <x v="11"/>
    <x v="2"/>
    <x v="79"/>
    <x v="4"/>
    <x v="36"/>
    <x v="6"/>
    <n v="19.600000000000001"/>
    <n v="20.21"/>
    <n v="4.6900000000000004"/>
    <n v="2120.29"/>
    <n v="2396.5500000000002"/>
    <n v="567.23"/>
    <n v="0.60999999999999943"/>
    <n v="276.26000000000022"/>
    <n v="-15.52"/>
    <s v="India"/>
  </r>
  <r>
    <x v="12"/>
    <x v="2"/>
    <x v="37"/>
    <x v="0"/>
    <x v="8"/>
    <x v="3"/>
    <n v="13.46"/>
    <n v="14.31"/>
    <n v="4.62"/>
    <n v="6753.61"/>
    <n v="6584.63"/>
    <n v="2475.5700000000002"/>
    <n v="0.84999999999999964"/>
    <n v="-168.97999999999956"/>
    <n v="-9.6900000000000013"/>
    <s v="India"/>
  </r>
  <r>
    <x v="0"/>
    <x v="0"/>
    <x v="51"/>
    <x v="4"/>
    <x v="37"/>
    <x v="3"/>
    <n v="17.05"/>
    <n v="16.34"/>
    <n v="4.5999999999999996"/>
    <n v="10253.620000000001"/>
    <n v="9721.5400000000009"/>
    <n v="2950.33"/>
    <n v="-0.71000000000000085"/>
    <n v="-532.07999999999993"/>
    <n v="-11.74"/>
    <s v="India"/>
  </r>
  <r>
    <x v="5"/>
    <x v="1"/>
    <x v="9"/>
    <x v="1"/>
    <x v="4"/>
    <x v="3"/>
    <n v="25.7"/>
    <n v="12.32"/>
    <n v="4.58"/>
    <n v="22735.15"/>
    <n v="7600.43"/>
    <n v="3447.01"/>
    <n v="-13.379999999999999"/>
    <n v="-15134.720000000001"/>
    <n v="-7.74"/>
    <s v="India"/>
  </r>
  <r>
    <x v="6"/>
    <x v="2"/>
    <x v="32"/>
    <x v="0"/>
    <x v="8"/>
    <x v="3"/>
    <n v="12.46"/>
    <n v="12.38"/>
    <n v="4.54"/>
    <n v="5355.63"/>
    <n v="5140.6000000000004"/>
    <n v="2455.08"/>
    <n v="-8.0000000000000071E-2"/>
    <n v="-215.02999999999975"/>
    <n v="-7.8400000000000007"/>
    <s v="India"/>
  </r>
  <r>
    <x v="7"/>
    <x v="1"/>
    <x v="25"/>
    <x v="1"/>
    <x v="3"/>
    <x v="2"/>
    <n v="10.96"/>
    <n v="11.94"/>
    <n v="4.54"/>
    <n v="6411.93"/>
    <n v="7900.48"/>
    <n v="3241.03"/>
    <n v="0.97999999999999865"/>
    <n v="1488.5499999999993"/>
    <n v="-7.3999999999999995"/>
    <s v="India"/>
  </r>
  <r>
    <x v="0"/>
    <x v="0"/>
    <x v="17"/>
    <x v="0"/>
    <x v="11"/>
    <x v="3"/>
    <n v="21.97"/>
    <n v="15.79"/>
    <n v="4.5"/>
    <n v="10921.44"/>
    <n v="7932.45"/>
    <n v="2261.0700000000002"/>
    <n v="-6.18"/>
    <n v="-2988.9900000000007"/>
    <n v="-11.29"/>
    <s v="India"/>
  </r>
  <r>
    <x v="0"/>
    <x v="0"/>
    <x v="36"/>
    <x v="1"/>
    <x v="8"/>
    <x v="3"/>
    <n v="8.52"/>
    <n v="11.9"/>
    <n v="4.5"/>
    <n v="4631.07"/>
    <n v="6013.07"/>
    <n v="2522.7800000000002"/>
    <n v="3.3800000000000008"/>
    <n v="1382"/>
    <n v="-7.4"/>
    <s v="India"/>
  </r>
  <r>
    <x v="2"/>
    <x v="1"/>
    <x v="60"/>
    <x v="1"/>
    <x v="26"/>
    <x v="0"/>
    <n v="0"/>
    <n v="1.33"/>
    <n v="4.5"/>
    <n v="0"/>
    <n v="4568.32"/>
    <n v="16166.79"/>
    <n v="1.33"/>
    <n v="4568.32"/>
    <n v="3.17"/>
    <s v="India"/>
  </r>
  <r>
    <x v="6"/>
    <x v="2"/>
    <x v="49"/>
    <x v="0"/>
    <x v="5"/>
    <x v="3"/>
    <n v="9.35"/>
    <n v="11.65"/>
    <n v="4.4800000000000004"/>
    <n v="5651.33"/>
    <n v="6571.13"/>
    <n v="2671.82"/>
    <n v="2.3000000000000007"/>
    <n v="919.80000000000018"/>
    <n v="-7.17"/>
    <s v="India"/>
  </r>
  <r>
    <x v="2"/>
    <x v="1"/>
    <x v="6"/>
    <x v="1"/>
    <x v="18"/>
    <x v="7"/>
    <n v="6.75"/>
    <n v="8.99"/>
    <n v="4.4000000000000004"/>
    <n v="1039.81"/>
    <n v="1477.09"/>
    <n v="769.1"/>
    <n v="2.2400000000000002"/>
    <n v="437.28"/>
    <n v="-4.59"/>
    <s v="India"/>
  </r>
  <r>
    <x v="10"/>
    <x v="2"/>
    <x v="69"/>
    <x v="3"/>
    <x v="6"/>
    <x v="4"/>
    <n v="2.7"/>
    <n v="9.7799999999999994"/>
    <n v="4.3899999999999997"/>
    <n v="431.45"/>
    <n v="1741.25"/>
    <n v="708.02"/>
    <n v="7.0799999999999992"/>
    <n v="1309.8"/>
    <n v="-5.39"/>
    <s v="India"/>
  </r>
  <r>
    <x v="4"/>
    <x v="3"/>
    <x v="80"/>
    <x v="2"/>
    <x v="9"/>
    <x v="6"/>
    <n v="0.79"/>
    <n v="3.67"/>
    <n v="4.34"/>
    <n v="978.58"/>
    <n v="4778.8100000000004"/>
    <n v="5569.26"/>
    <n v="2.88"/>
    <n v="3800.2300000000005"/>
    <n v="0.66999999999999993"/>
    <s v="India"/>
  </r>
  <r>
    <x v="0"/>
    <x v="0"/>
    <x v="4"/>
    <x v="0"/>
    <x v="7"/>
    <x v="5"/>
    <n v="7.81"/>
    <n v="32.75"/>
    <n v="4.26"/>
    <n v="4177.07"/>
    <n v="47755.83"/>
    <n v="5571"/>
    <n v="24.94"/>
    <n v="43578.76"/>
    <n v="-28.490000000000002"/>
    <s v="India"/>
  </r>
  <r>
    <x v="2"/>
    <x v="1"/>
    <x v="59"/>
    <x v="2"/>
    <x v="6"/>
    <x v="4"/>
    <n v="14.22"/>
    <n v="14.83"/>
    <n v="4.21"/>
    <n v="67872.649999999994"/>
    <n v="58029.32"/>
    <n v="21680.65"/>
    <n v="0.60999999999999943"/>
    <n v="-9843.3299999999945"/>
    <n v="-10.620000000000001"/>
    <s v="India"/>
  </r>
  <r>
    <x v="0"/>
    <x v="0"/>
    <x v="81"/>
    <x v="1"/>
    <x v="7"/>
    <x v="5"/>
    <n v="9.2200000000000006"/>
    <n v="17.11"/>
    <n v="4.1399999999999997"/>
    <n v="4253.2700000000004"/>
    <n v="9303.8700000000008"/>
    <n v="2301.15"/>
    <n v="7.8899999999999988"/>
    <n v="5050.6000000000004"/>
    <n v="-12.969999999999999"/>
    <s v="India"/>
  </r>
  <r>
    <x v="13"/>
    <x v="1"/>
    <x v="48"/>
    <x v="1"/>
    <x v="0"/>
    <x v="0"/>
    <n v="11.02"/>
    <n v="12.26"/>
    <n v="4.1399999999999997"/>
    <n v="9207.7900000000009"/>
    <n v="12501.95"/>
    <n v="3851.13"/>
    <n v="1.2400000000000002"/>
    <n v="3294.16"/>
    <n v="-8.120000000000001"/>
    <s v="India"/>
  </r>
  <r>
    <x v="12"/>
    <x v="2"/>
    <x v="38"/>
    <x v="3"/>
    <x v="19"/>
    <x v="4"/>
    <n v="2.0699999999999998"/>
    <n v="2.59"/>
    <n v="4.13"/>
    <n v="597.15"/>
    <n v="662.94"/>
    <n v="815.68"/>
    <n v="0.52"/>
    <n v="65.790000000000077"/>
    <n v="1.54"/>
    <s v="India"/>
  </r>
  <r>
    <x v="1"/>
    <x v="0"/>
    <x v="82"/>
    <x v="1"/>
    <x v="14"/>
    <x v="3"/>
    <n v="11.64"/>
    <n v="11.31"/>
    <n v="4.01"/>
    <n v="7648.25"/>
    <n v="7821.59"/>
    <n v="2651.58"/>
    <n v="-0.33000000000000007"/>
    <n v="173.34000000000015"/>
    <n v="-7.3000000000000007"/>
    <s v="India"/>
  </r>
  <r>
    <x v="4"/>
    <x v="3"/>
    <x v="7"/>
    <x v="0"/>
    <x v="5"/>
    <x v="3"/>
    <n v="7.86"/>
    <n v="10.69"/>
    <n v="4.01"/>
    <n v="6031.14"/>
    <n v="7196.26"/>
    <n v="2953.69"/>
    <n v="2.8299999999999992"/>
    <n v="1165.1199999999999"/>
    <n v="-6.68"/>
    <s v="India"/>
  </r>
  <r>
    <x v="6"/>
    <x v="2"/>
    <x v="49"/>
    <x v="0"/>
    <x v="4"/>
    <x v="3"/>
    <n v="8.8800000000000008"/>
    <n v="9.83"/>
    <n v="4"/>
    <n v="5126.13"/>
    <n v="2831.58"/>
    <n v="1477.1"/>
    <n v="0.94999999999999929"/>
    <n v="-2294.5500000000002"/>
    <n v="-5.83"/>
    <s v="India"/>
  </r>
  <r>
    <x v="6"/>
    <x v="2"/>
    <x v="12"/>
    <x v="0"/>
    <x v="24"/>
    <x v="4"/>
    <n v="4.7699999999999996"/>
    <n v="10.06"/>
    <n v="3.95"/>
    <n v="6225.23"/>
    <n v="12046.82"/>
    <n v="4843.28"/>
    <n v="5.2900000000000009"/>
    <n v="5821.59"/>
    <n v="-6.11"/>
    <s v="India"/>
  </r>
  <r>
    <x v="5"/>
    <x v="1"/>
    <x v="11"/>
    <x v="1"/>
    <x v="8"/>
    <x v="3"/>
    <n v="8.26"/>
    <n v="11.93"/>
    <n v="3.94"/>
    <n v="4963.3900000000003"/>
    <n v="7301.06"/>
    <n v="2523.65"/>
    <n v="3.67"/>
    <n v="2337.67"/>
    <n v="-7.99"/>
    <s v="India"/>
  </r>
  <r>
    <x v="10"/>
    <x v="2"/>
    <x v="28"/>
    <x v="1"/>
    <x v="15"/>
    <x v="0"/>
    <n v="16.91"/>
    <n v="20.059999999999999"/>
    <n v="3.87"/>
    <n v="8439.01"/>
    <n v="7549.1"/>
    <n v="1446.32"/>
    <n v="3.1499999999999986"/>
    <n v="-889.90999999999985"/>
    <n v="-16.189999999999998"/>
    <s v="India"/>
  </r>
  <r>
    <x v="0"/>
    <x v="0"/>
    <x v="17"/>
    <x v="0"/>
    <x v="24"/>
    <x v="4"/>
    <n v="22.22"/>
    <n v="13.38"/>
    <n v="3.86"/>
    <n v="70576.14"/>
    <n v="47141"/>
    <n v="15276.82"/>
    <n v="-8.8399999999999981"/>
    <n v="-23435.14"/>
    <n v="-9.5200000000000014"/>
    <s v="India"/>
  </r>
  <r>
    <x v="1"/>
    <x v="0"/>
    <x v="1"/>
    <x v="0"/>
    <x v="20"/>
    <x v="3"/>
    <n v="6.1"/>
    <n v="13.66"/>
    <n v="3.82"/>
    <n v="6373.96"/>
    <n v="16317.36"/>
    <n v="4383.42"/>
    <n v="7.5600000000000005"/>
    <n v="9943.4000000000015"/>
    <n v="-9.84"/>
    <s v="India"/>
  </r>
  <r>
    <x v="2"/>
    <x v="1"/>
    <x v="59"/>
    <x v="2"/>
    <x v="4"/>
    <x v="3"/>
    <n v="6.15"/>
    <n v="9.6199999999999992"/>
    <n v="3.79"/>
    <n v="3257.43"/>
    <n v="8738.73"/>
    <n v="3371.9"/>
    <n v="3.4699999999999989"/>
    <n v="5481.2999999999993"/>
    <n v="-5.8299999999999992"/>
    <s v="India"/>
  </r>
  <r>
    <x v="9"/>
    <x v="1"/>
    <x v="61"/>
    <x v="1"/>
    <x v="4"/>
    <x v="3"/>
    <n v="7.21"/>
    <n v="6.51"/>
    <n v="3.77"/>
    <n v="3462.75"/>
    <n v="3270.89"/>
    <n v="1698.16"/>
    <n v="-0.70000000000000018"/>
    <n v="-191.86000000000013"/>
    <n v="-2.7399999999999998"/>
    <s v="India"/>
  </r>
  <r>
    <x v="4"/>
    <x v="3"/>
    <x v="71"/>
    <x v="2"/>
    <x v="0"/>
    <x v="0"/>
    <n v="27.58"/>
    <n v="23.44"/>
    <n v="3.76"/>
    <n v="29010.81"/>
    <n v="30530.55"/>
    <n v="4567.5200000000004"/>
    <n v="-4.139999999999997"/>
    <n v="1519.739999999998"/>
    <n v="-19.68"/>
    <s v="India"/>
  </r>
  <r>
    <x v="6"/>
    <x v="2"/>
    <x v="12"/>
    <x v="0"/>
    <x v="12"/>
    <x v="4"/>
    <n v="25.47"/>
    <n v="16.68"/>
    <n v="3.71"/>
    <n v="42220.07"/>
    <n v="40866.76"/>
    <n v="14422.06"/>
    <n v="-8.7899999999999991"/>
    <n v="-1353.3099999999977"/>
    <n v="-12.969999999999999"/>
    <s v="India"/>
  </r>
  <r>
    <x v="14"/>
    <x v="3"/>
    <x v="39"/>
    <x v="2"/>
    <x v="3"/>
    <x v="2"/>
    <n v="7.57"/>
    <n v="10.8"/>
    <n v="3.69"/>
    <n v="8590.25"/>
    <n v="13558.39"/>
    <n v="4698.13"/>
    <n v="3.2300000000000004"/>
    <n v="4968.1399999999994"/>
    <n v="-7.1100000000000012"/>
    <s v="India"/>
  </r>
  <r>
    <x v="8"/>
    <x v="4"/>
    <x v="41"/>
    <x v="1"/>
    <x v="27"/>
    <x v="7"/>
    <n v="6.76"/>
    <n v="4.12"/>
    <n v="3.66"/>
    <n v="779"/>
    <n v="613"/>
    <n v="563"/>
    <n v="-2.6399999999999997"/>
    <n v="-166"/>
    <n v="-0.45999999999999996"/>
    <s v="India"/>
  </r>
  <r>
    <x v="10"/>
    <x v="2"/>
    <x v="69"/>
    <x v="3"/>
    <x v="4"/>
    <x v="3"/>
    <n v="6.95"/>
    <n v="8.9600000000000009"/>
    <n v="3.65"/>
    <n v="195.97"/>
    <n v="348.77"/>
    <n v="124.17"/>
    <n v="2.0100000000000007"/>
    <n v="152.79999999999998"/>
    <n v="-5.3100000000000005"/>
    <s v="India"/>
  </r>
  <r>
    <x v="1"/>
    <x v="0"/>
    <x v="31"/>
    <x v="1"/>
    <x v="11"/>
    <x v="3"/>
    <n v="24.12"/>
    <n v="14.17"/>
    <n v="3.64"/>
    <n v="18404.21"/>
    <n v="8583.4"/>
    <n v="1951.23"/>
    <n v="-9.9500000000000011"/>
    <n v="-9820.81"/>
    <n v="-10.53"/>
    <s v="India"/>
  </r>
  <r>
    <x v="0"/>
    <x v="0"/>
    <x v="0"/>
    <x v="0"/>
    <x v="6"/>
    <x v="4"/>
    <n v="11.65"/>
    <n v="15.29"/>
    <n v="3.64"/>
    <n v="10061.83"/>
    <n v="10908.82"/>
    <n v="1903.41"/>
    <n v="3.6399999999999988"/>
    <n v="846.98999999999978"/>
    <n v="-11.649999999999999"/>
    <s v="India"/>
  </r>
  <r>
    <x v="1"/>
    <x v="0"/>
    <x v="1"/>
    <x v="0"/>
    <x v="37"/>
    <x v="3"/>
    <n v="21.48"/>
    <n v="14.91"/>
    <n v="3.63"/>
    <n v="18377.759999999998"/>
    <n v="10651.99"/>
    <n v="2960.67"/>
    <n v="-6.57"/>
    <n v="-7725.7699999999986"/>
    <n v="-11.280000000000001"/>
    <s v="India"/>
  </r>
  <r>
    <x v="5"/>
    <x v="1"/>
    <x v="11"/>
    <x v="1"/>
    <x v="14"/>
    <x v="3"/>
    <n v="9.7200000000000006"/>
    <n v="5.95"/>
    <n v="3.61"/>
    <n v="9812.92"/>
    <n v="3923.43"/>
    <n v="3607.95"/>
    <n v="-3.7700000000000005"/>
    <n v="-5889.49"/>
    <n v="-2.3400000000000003"/>
    <s v="India"/>
  </r>
  <r>
    <x v="14"/>
    <x v="3"/>
    <x v="39"/>
    <x v="2"/>
    <x v="0"/>
    <x v="0"/>
    <n v="11.68"/>
    <n v="12.83"/>
    <n v="3.61"/>
    <n v="11947.73"/>
    <n v="16351.52"/>
    <n v="3870.66"/>
    <n v="1.1500000000000004"/>
    <n v="4403.7900000000009"/>
    <n v="-9.2200000000000006"/>
    <s v="India"/>
  </r>
  <r>
    <x v="10"/>
    <x v="2"/>
    <x v="28"/>
    <x v="1"/>
    <x v="10"/>
    <x v="3"/>
    <n v="10.39"/>
    <n v="11.81"/>
    <n v="3.61"/>
    <n v="7483.42"/>
    <n v="9055.91"/>
    <n v="2684.91"/>
    <n v="1.42"/>
    <n v="1572.4899999999998"/>
    <n v="-8.2000000000000011"/>
    <s v="India"/>
  </r>
  <r>
    <x v="0"/>
    <x v="0"/>
    <x v="83"/>
    <x v="1"/>
    <x v="14"/>
    <x v="3"/>
    <n v="19.579999999999998"/>
    <n v="24.64"/>
    <n v="3.59"/>
    <n v="22570.93"/>
    <n v="29026.959999999999"/>
    <n v="3789.72"/>
    <n v="5.0600000000000023"/>
    <n v="6456.0299999999988"/>
    <n v="-21.05"/>
    <s v="India"/>
  </r>
  <r>
    <x v="5"/>
    <x v="1"/>
    <x v="34"/>
    <x v="1"/>
    <x v="4"/>
    <x v="3"/>
    <n v="0.69"/>
    <n v="3.91"/>
    <n v="3.59"/>
    <n v="361.55"/>
    <n v="1585.47"/>
    <n v="1589.81"/>
    <n v="3.22"/>
    <n v="1223.92"/>
    <n v="-0.32000000000000028"/>
    <s v="India"/>
  </r>
  <r>
    <x v="5"/>
    <x v="1"/>
    <x v="34"/>
    <x v="1"/>
    <x v="11"/>
    <x v="3"/>
    <n v="5.14"/>
    <n v="11.39"/>
    <n v="3.53"/>
    <n v="2047.11"/>
    <n v="4669.4799999999996"/>
    <n v="1615.25"/>
    <n v="6.2500000000000009"/>
    <n v="2622.37"/>
    <n v="-7.8600000000000012"/>
    <s v="India"/>
  </r>
  <r>
    <x v="4"/>
    <x v="3"/>
    <x v="71"/>
    <x v="2"/>
    <x v="3"/>
    <x v="2"/>
    <n v="9.94"/>
    <n v="11.39"/>
    <n v="3.52"/>
    <n v="11892.58"/>
    <n v="15183.62"/>
    <n v="4924.07"/>
    <n v="1.4500000000000011"/>
    <n v="3291.0400000000009"/>
    <n v="-7.870000000000001"/>
    <s v="India"/>
  </r>
  <r>
    <x v="1"/>
    <x v="0"/>
    <x v="84"/>
    <x v="0"/>
    <x v="10"/>
    <x v="3"/>
    <n v="15.56"/>
    <n v="15.83"/>
    <n v="3.48"/>
    <n v="14779.68"/>
    <n v="16199.16"/>
    <n v="3649.2"/>
    <n v="0.26999999999999957"/>
    <n v="1419.4799999999996"/>
    <n v="-12.35"/>
    <s v="India"/>
  </r>
  <r>
    <x v="4"/>
    <x v="3"/>
    <x v="63"/>
    <x v="2"/>
    <x v="8"/>
    <x v="3"/>
    <n v="9.5299999999999994"/>
    <n v="8.82"/>
    <n v="3.47"/>
    <n v="4720.67"/>
    <n v="3041.89"/>
    <n v="2004.67"/>
    <n v="-0.70999999999999908"/>
    <n v="-1678.7800000000002"/>
    <n v="-5.35"/>
    <s v="India"/>
  </r>
  <r>
    <x v="6"/>
    <x v="2"/>
    <x v="12"/>
    <x v="0"/>
    <x v="22"/>
    <x v="6"/>
    <n v="11.05"/>
    <n v="10.6"/>
    <n v="3.44"/>
    <n v="1589.56"/>
    <n v="1184.81"/>
    <n v="394.82"/>
    <n v="-0.45000000000000107"/>
    <n v="-404.75"/>
    <n v="-7.16"/>
    <s v="India"/>
  </r>
  <r>
    <x v="2"/>
    <x v="1"/>
    <x v="59"/>
    <x v="2"/>
    <x v="12"/>
    <x v="4"/>
    <n v="11.38"/>
    <n v="10.67"/>
    <n v="3.44"/>
    <n v="55151.63"/>
    <n v="81866.19"/>
    <n v="31741.65"/>
    <n v="-0.71000000000000085"/>
    <n v="26714.560000000005"/>
    <n v="-7.23"/>
    <s v="India"/>
  </r>
  <r>
    <x v="13"/>
    <x v="1"/>
    <x v="48"/>
    <x v="1"/>
    <x v="8"/>
    <x v="3"/>
    <n v="30.32"/>
    <n v="30.99"/>
    <n v="3.4"/>
    <n v="7862.27"/>
    <n v="8280.1"/>
    <n v="1048.04"/>
    <n v="0.66999999999999815"/>
    <n v="417.82999999999993"/>
    <n v="-27.59"/>
    <s v="India"/>
  </r>
  <r>
    <x v="14"/>
    <x v="3"/>
    <x v="39"/>
    <x v="2"/>
    <x v="26"/>
    <x v="0"/>
    <n v="6.73"/>
    <n v="0"/>
    <n v="3.39"/>
    <n v="23957.52"/>
    <n v="0"/>
    <n v="12392.59"/>
    <n v="-6.73"/>
    <n v="-23957.52"/>
    <n v="3.39"/>
    <s v="India"/>
  </r>
  <r>
    <x v="12"/>
    <x v="2"/>
    <x v="38"/>
    <x v="3"/>
    <x v="30"/>
    <x v="5"/>
    <n v="9.7899999999999991"/>
    <n v="15.95"/>
    <n v="3.38"/>
    <n v="2050.29"/>
    <n v="3581.81"/>
    <n v="839.18"/>
    <n v="6.16"/>
    <n v="1531.52"/>
    <n v="-12.57"/>
    <s v="India"/>
  </r>
  <r>
    <x v="4"/>
    <x v="3"/>
    <x v="80"/>
    <x v="2"/>
    <x v="6"/>
    <x v="4"/>
    <n v="2"/>
    <n v="3.52"/>
    <n v="3.37"/>
    <n v="5847.43"/>
    <n v="9110.2000000000007"/>
    <n v="9498.66"/>
    <n v="1.52"/>
    <n v="3262.7700000000004"/>
    <n v="-0.14999999999999991"/>
    <s v="India"/>
  </r>
  <r>
    <x v="1"/>
    <x v="0"/>
    <x v="31"/>
    <x v="1"/>
    <x v="6"/>
    <x v="4"/>
    <n v="26.84"/>
    <n v="24.17"/>
    <n v="3.34"/>
    <n v="55273.15"/>
    <n v="48681.96"/>
    <n v="7174.37"/>
    <n v="-2.6699999999999982"/>
    <n v="-6591.1900000000023"/>
    <n v="-20.830000000000002"/>
    <s v="India"/>
  </r>
  <r>
    <x v="4"/>
    <x v="3"/>
    <x v="63"/>
    <x v="2"/>
    <x v="2"/>
    <x v="0"/>
    <n v="5.2"/>
    <n v="9.7200000000000006"/>
    <n v="3.32"/>
    <n v="12320.37"/>
    <n v="24184.14"/>
    <n v="9207.99"/>
    <n v="4.5200000000000005"/>
    <n v="11863.769999999999"/>
    <n v="-6.4"/>
    <s v="India"/>
  </r>
  <r>
    <x v="6"/>
    <x v="2"/>
    <x v="55"/>
    <x v="0"/>
    <x v="4"/>
    <x v="3"/>
    <n v="4.3499999999999996"/>
    <n v="6.89"/>
    <n v="3.31"/>
    <n v="2497.12"/>
    <n v="3765.64"/>
    <n v="2135.6"/>
    <n v="2.54"/>
    <n v="1268.52"/>
    <n v="-3.5799999999999996"/>
    <s v="India"/>
  </r>
  <r>
    <x v="2"/>
    <x v="1"/>
    <x v="6"/>
    <x v="1"/>
    <x v="3"/>
    <x v="2"/>
    <n v="8.8699999999999992"/>
    <n v="8.92"/>
    <n v="3.29"/>
    <n v="4039.42"/>
    <n v="4679.2"/>
    <n v="1703.27"/>
    <n v="5.0000000000000711E-2"/>
    <n v="639.77999999999975"/>
    <n v="-5.63"/>
    <s v="India"/>
  </r>
  <r>
    <x v="10"/>
    <x v="2"/>
    <x v="42"/>
    <x v="1"/>
    <x v="14"/>
    <x v="3"/>
    <n v="0"/>
    <n v="13.42"/>
    <n v="3.26"/>
    <n v="0"/>
    <n v="8712.7000000000007"/>
    <n v="2222.38"/>
    <n v="13.42"/>
    <n v="8712.7000000000007"/>
    <n v="-10.16"/>
    <s v="India"/>
  </r>
  <r>
    <x v="0"/>
    <x v="0"/>
    <x v="51"/>
    <x v="4"/>
    <x v="8"/>
    <x v="3"/>
    <n v="8.35"/>
    <n v="15.58"/>
    <n v="3.24"/>
    <n v="6348.01"/>
    <n v="12510.88"/>
    <n v="2512.64"/>
    <n v="7.23"/>
    <n v="6162.869999999999"/>
    <n v="-12.34"/>
    <s v="India"/>
  </r>
  <r>
    <x v="9"/>
    <x v="1"/>
    <x v="23"/>
    <x v="1"/>
    <x v="4"/>
    <x v="3"/>
    <n v="0.08"/>
    <n v="18.350000000000001"/>
    <n v="3.23"/>
    <n v="28.13"/>
    <n v="16094.41"/>
    <n v="2686.4"/>
    <n v="18.270000000000003"/>
    <n v="16066.28"/>
    <n v="-15.120000000000001"/>
    <s v="India"/>
  </r>
  <r>
    <x v="4"/>
    <x v="3"/>
    <x v="73"/>
    <x v="2"/>
    <x v="2"/>
    <x v="0"/>
    <n v="3.58"/>
    <n v="18.54"/>
    <n v="3.22"/>
    <n v="1742.94"/>
    <n v="28473.13"/>
    <n v="1317.66"/>
    <n v="14.959999999999999"/>
    <n v="26730.190000000002"/>
    <n v="-15.319999999999999"/>
    <s v="India"/>
  </r>
  <r>
    <x v="11"/>
    <x v="2"/>
    <x v="85"/>
    <x v="3"/>
    <x v="24"/>
    <x v="4"/>
    <n v="6.39"/>
    <n v="9.32"/>
    <n v="3.18"/>
    <n v="6932.35"/>
    <n v="10476.75"/>
    <n v="2508.67"/>
    <n v="2.9300000000000006"/>
    <n v="3544.3999999999996"/>
    <n v="-6.1400000000000006"/>
    <s v="India"/>
  </r>
  <r>
    <x v="7"/>
    <x v="1"/>
    <x v="86"/>
    <x v="1"/>
    <x v="7"/>
    <x v="5"/>
    <n v="8.82"/>
    <n v="8.2799999999999994"/>
    <n v="3.15"/>
    <n v="4935.0200000000004"/>
    <n v="4979.6000000000004"/>
    <n v="1897.93"/>
    <n v="-0.54000000000000092"/>
    <n v="44.579999999999927"/>
    <n v="-5.129999999999999"/>
    <s v="India"/>
  </r>
  <r>
    <x v="0"/>
    <x v="0"/>
    <x v="36"/>
    <x v="1"/>
    <x v="10"/>
    <x v="3"/>
    <n v="8.92"/>
    <n v="18.25"/>
    <n v="3.15"/>
    <n v="12882"/>
    <n v="28026.400000000001"/>
    <n v="3852"/>
    <n v="9.33"/>
    <n v="15144.400000000001"/>
    <n v="-15.1"/>
    <s v="India"/>
  </r>
  <r>
    <x v="8"/>
    <x v="4"/>
    <x v="41"/>
    <x v="1"/>
    <x v="14"/>
    <x v="3"/>
    <n v="24.32"/>
    <n v="30.51"/>
    <n v="3.07"/>
    <n v="11459.22"/>
    <n v="14293.48"/>
    <n v="1340.08"/>
    <n v="6.1900000000000013"/>
    <n v="2834.26"/>
    <n v="-27.44"/>
    <s v="India"/>
  </r>
  <r>
    <x v="11"/>
    <x v="2"/>
    <x v="64"/>
    <x v="3"/>
    <x v="6"/>
    <x v="4"/>
    <n v="6.99"/>
    <n v="6.68"/>
    <n v="3.06"/>
    <n v="7939.04"/>
    <n v="6704.57"/>
    <n v="2467.4499999999998"/>
    <n v="-0.3100000000000005"/>
    <n v="-1234.4700000000003"/>
    <n v="-3.6199999999999997"/>
    <s v="India"/>
  </r>
  <r>
    <x v="4"/>
    <x v="3"/>
    <x v="63"/>
    <x v="2"/>
    <x v="0"/>
    <x v="0"/>
    <n v="9.91"/>
    <n v="10.09"/>
    <n v="3.06"/>
    <n v="12318.91"/>
    <n v="16335.88"/>
    <n v="5157.75"/>
    <n v="0.17999999999999972"/>
    <n v="4016.9699999999993"/>
    <n v="-7.0299999999999994"/>
    <s v="India"/>
  </r>
  <r>
    <x v="4"/>
    <x v="3"/>
    <x v="45"/>
    <x v="2"/>
    <x v="26"/>
    <x v="0"/>
    <n v="0"/>
    <n v="0"/>
    <n v="3.04"/>
    <n v="0"/>
    <n v="0"/>
    <n v="11356.58"/>
    <n v="0"/>
    <n v="0"/>
    <n v="3.04"/>
    <s v="India"/>
  </r>
  <r>
    <x v="6"/>
    <x v="2"/>
    <x v="49"/>
    <x v="0"/>
    <x v="8"/>
    <x v="3"/>
    <n v="9.5399999999999991"/>
    <n v="10.06"/>
    <n v="3.03"/>
    <n v="3233.88"/>
    <n v="2788.72"/>
    <n v="892"/>
    <n v="0.52000000000000135"/>
    <n v="-445.16000000000031"/>
    <n v="-7.0300000000000011"/>
    <s v="India"/>
  </r>
  <r>
    <x v="6"/>
    <x v="2"/>
    <x v="12"/>
    <x v="0"/>
    <x v="13"/>
    <x v="3"/>
    <n v="2.12"/>
    <n v="22.12"/>
    <n v="3.01"/>
    <n v="346.38"/>
    <n v="2013.28"/>
    <n v="457.56"/>
    <n v="20"/>
    <n v="1666.9"/>
    <n v="-19.11"/>
    <s v="India"/>
  </r>
  <r>
    <x v="12"/>
    <x v="2"/>
    <x v="38"/>
    <x v="3"/>
    <x v="25"/>
    <x v="7"/>
    <n v="16.260000000000002"/>
    <n v="16.98"/>
    <n v="2.97"/>
    <n v="47040.75"/>
    <n v="46754.12"/>
    <n v="9281.25"/>
    <n v="0.71999999999999886"/>
    <n v="-286.62999999999738"/>
    <n v="-14.01"/>
    <s v="India"/>
  </r>
  <r>
    <x v="4"/>
    <x v="3"/>
    <x v="80"/>
    <x v="2"/>
    <x v="24"/>
    <x v="4"/>
    <n v="18.97"/>
    <n v="26.66"/>
    <n v="2.97"/>
    <n v="46738.559999999998"/>
    <n v="85503.01"/>
    <n v="9835.98"/>
    <n v="7.6900000000000013"/>
    <n v="38764.449999999997"/>
    <n v="-23.69"/>
    <s v="India"/>
  </r>
  <r>
    <x v="16"/>
    <x v="3"/>
    <x v="77"/>
    <x v="2"/>
    <x v="2"/>
    <x v="0"/>
    <n v="1.56"/>
    <n v="15.41"/>
    <n v="2.95"/>
    <n v="3981.12"/>
    <n v="33991.47"/>
    <n v="6352.23"/>
    <n v="13.85"/>
    <n v="30010.350000000002"/>
    <n v="-12.46"/>
    <s v="India"/>
  </r>
  <r>
    <x v="4"/>
    <x v="3"/>
    <x v="80"/>
    <x v="2"/>
    <x v="3"/>
    <x v="2"/>
    <n v="1.48"/>
    <n v="13.94"/>
    <n v="2.94"/>
    <n v="1730.77"/>
    <n v="19627.59"/>
    <n v="3692.32"/>
    <n v="12.459999999999999"/>
    <n v="17896.82"/>
    <n v="-11"/>
    <s v="India"/>
  </r>
  <r>
    <x v="4"/>
    <x v="3"/>
    <x v="7"/>
    <x v="0"/>
    <x v="8"/>
    <x v="3"/>
    <n v="14.86"/>
    <n v="10.53"/>
    <n v="2.93"/>
    <n v="9461.52"/>
    <n v="7607.43"/>
    <n v="2846.68"/>
    <n v="-4.33"/>
    <n v="-1854.0900000000001"/>
    <n v="-7.6"/>
    <s v="India"/>
  </r>
  <r>
    <x v="6"/>
    <x v="2"/>
    <x v="32"/>
    <x v="0"/>
    <x v="16"/>
    <x v="0"/>
    <n v="6.18"/>
    <n v="2.48"/>
    <n v="2.9"/>
    <n v="12647.36"/>
    <n v="3723.52"/>
    <n v="6317.47"/>
    <n v="-3.6999999999999997"/>
    <n v="-8923.84"/>
    <n v="0.41999999999999993"/>
    <s v="India"/>
  </r>
  <r>
    <x v="7"/>
    <x v="1"/>
    <x v="16"/>
    <x v="1"/>
    <x v="2"/>
    <x v="0"/>
    <n v="0"/>
    <n v="4.13"/>
    <n v="2.88"/>
    <n v="0"/>
    <n v="7792.9"/>
    <n v="4100.32"/>
    <n v="4.13"/>
    <n v="7792.9"/>
    <n v="-1.25"/>
    <s v="India"/>
  </r>
  <r>
    <x v="4"/>
    <x v="3"/>
    <x v="45"/>
    <x v="2"/>
    <x v="15"/>
    <x v="0"/>
    <n v="14.35"/>
    <n v="36.979999999999997"/>
    <n v="2.83"/>
    <n v="16628.27"/>
    <n v="99468.95"/>
    <n v="12534.7"/>
    <n v="22.629999999999995"/>
    <n v="82840.679999999993"/>
    <n v="-34.15"/>
    <s v="India"/>
  </r>
  <r>
    <x v="13"/>
    <x v="1"/>
    <x v="33"/>
    <x v="3"/>
    <x v="17"/>
    <x v="5"/>
    <n v="7.66"/>
    <n v="7.81"/>
    <n v="2.83"/>
    <n v="72.540000000000006"/>
    <n v="171.48"/>
    <n v="43.96"/>
    <n v="0.14999999999999947"/>
    <n v="98.939999999999984"/>
    <n v="-4.9799999999999995"/>
    <s v="India"/>
  </r>
  <r>
    <x v="11"/>
    <x v="2"/>
    <x v="64"/>
    <x v="3"/>
    <x v="4"/>
    <x v="3"/>
    <n v="2.0099999999999998"/>
    <n v="4.95"/>
    <n v="2.81"/>
    <n v="154.84"/>
    <n v="327.63"/>
    <n v="445.82"/>
    <n v="2.9400000000000004"/>
    <n v="172.79"/>
    <n v="-2.14"/>
    <s v="India"/>
  </r>
  <r>
    <x v="1"/>
    <x v="0"/>
    <x v="31"/>
    <x v="1"/>
    <x v="5"/>
    <x v="3"/>
    <n v="18.54"/>
    <n v="3.36"/>
    <n v="2.8"/>
    <n v="14493.04"/>
    <n v="2807.26"/>
    <n v="1909.27"/>
    <n v="-15.18"/>
    <n v="-11685.78"/>
    <n v="-0.56000000000000005"/>
    <s v="India"/>
  </r>
  <r>
    <x v="10"/>
    <x v="2"/>
    <x v="69"/>
    <x v="3"/>
    <x v="25"/>
    <x v="7"/>
    <n v="1.36"/>
    <n v="7.9"/>
    <n v="2.79"/>
    <n v="3437.27"/>
    <n v="21823.87"/>
    <n v="8882.1"/>
    <n v="6.54"/>
    <n v="18386.599999999999"/>
    <n v="-5.1100000000000003"/>
    <s v="India"/>
  </r>
  <r>
    <x v="17"/>
    <x v="5"/>
    <x v="87"/>
    <x v="2"/>
    <x v="2"/>
    <x v="0"/>
    <n v="0"/>
    <n v="8.52"/>
    <n v="2.78"/>
    <n v="0"/>
    <n v="23861.03"/>
    <n v="6437.93"/>
    <n v="8.52"/>
    <n v="23861.03"/>
    <n v="-5.74"/>
    <s v="India"/>
  </r>
  <r>
    <x v="11"/>
    <x v="2"/>
    <x v="29"/>
    <x v="0"/>
    <x v="6"/>
    <x v="4"/>
    <n v="19.010000000000002"/>
    <n v="29.23"/>
    <n v="2.75"/>
    <n v="38944.5"/>
    <n v="51026.32"/>
    <n v="3801.91"/>
    <n v="10.219999999999999"/>
    <n v="12081.82"/>
    <n v="-26.48"/>
    <s v="India"/>
  </r>
  <r>
    <x v="4"/>
    <x v="3"/>
    <x v="73"/>
    <x v="2"/>
    <x v="17"/>
    <x v="5"/>
    <n v="8.0500000000000007"/>
    <n v="8.18"/>
    <n v="2.75"/>
    <n v="1724.71"/>
    <n v="1112.6500000000001"/>
    <n v="395.65"/>
    <n v="0.12999999999999901"/>
    <n v="-612.05999999999995"/>
    <n v="-5.43"/>
    <s v="India"/>
  </r>
  <r>
    <x v="4"/>
    <x v="3"/>
    <x v="45"/>
    <x v="2"/>
    <x v="22"/>
    <x v="6"/>
    <n v="1.53"/>
    <n v="2.69"/>
    <n v="2.74"/>
    <n v="352.02"/>
    <n v="649.54999999999995"/>
    <n v="598.80999999999995"/>
    <n v="1.1599999999999999"/>
    <n v="297.52999999999997"/>
    <n v="5.0000000000000266E-2"/>
    <s v="India"/>
  </r>
  <r>
    <x v="4"/>
    <x v="3"/>
    <x v="63"/>
    <x v="2"/>
    <x v="1"/>
    <x v="1"/>
    <n v="4.8600000000000003"/>
    <n v="7.39"/>
    <n v="2.72"/>
    <n v="1841.73"/>
    <n v="2058.44"/>
    <n v="645.99"/>
    <n v="2.5299999999999994"/>
    <n v="216.71000000000004"/>
    <n v="-4.67"/>
    <s v="India"/>
  </r>
  <r>
    <x v="12"/>
    <x v="2"/>
    <x v="38"/>
    <x v="3"/>
    <x v="4"/>
    <x v="3"/>
    <n v="4.63"/>
    <n v="5.71"/>
    <n v="2.72"/>
    <n v="212.84"/>
    <n v="480.47"/>
    <n v="205.41"/>
    <n v="1.08"/>
    <n v="267.63"/>
    <n v="-2.9899999999999998"/>
    <s v="India"/>
  </r>
  <r>
    <x v="8"/>
    <x v="4"/>
    <x v="88"/>
    <x v="1"/>
    <x v="10"/>
    <x v="3"/>
    <n v="10.27"/>
    <n v="8.32"/>
    <n v="2.72"/>
    <n v="7514.27"/>
    <n v="6536.99"/>
    <n v="2239.89"/>
    <n v="-1.9499999999999993"/>
    <n v="-977.28000000000065"/>
    <n v="-5.6"/>
    <s v="India"/>
  </r>
  <r>
    <x v="8"/>
    <x v="4"/>
    <x v="89"/>
    <x v="1"/>
    <x v="4"/>
    <x v="3"/>
    <n v="4.49"/>
    <n v="4.87"/>
    <n v="2.69"/>
    <n v="1149.92"/>
    <n v="2985.02"/>
    <n v="2853.39"/>
    <n v="0.37999999999999989"/>
    <n v="1835.1"/>
    <n v="-2.1800000000000002"/>
    <s v="India"/>
  </r>
  <r>
    <x v="2"/>
    <x v="1"/>
    <x v="57"/>
    <x v="1"/>
    <x v="29"/>
    <x v="7"/>
    <n v="8.07"/>
    <n v="12.36"/>
    <n v="2.63"/>
    <n v="4934.6899999999996"/>
    <n v="6992.49"/>
    <n v="1736.48"/>
    <n v="4.2899999999999991"/>
    <n v="2057.8000000000002"/>
    <n v="-9.73"/>
    <s v="India"/>
  </r>
  <r>
    <x v="7"/>
    <x v="1"/>
    <x v="90"/>
    <x v="1"/>
    <x v="29"/>
    <x v="7"/>
    <n v="0"/>
    <n v="0.96"/>
    <n v="2.62"/>
    <n v="0"/>
    <n v="484.8"/>
    <n v="1890.6"/>
    <n v="0.96"/>
    <n v="484.8"/>
    <n v="1.6600000000000001"/>
    <s v="India"/>
  </r>
  <r>
    <x v="9"/>
    <x v="1"/>
    <x v="61"/>
    <x v="1"/>
    <x v="14"/>
    <x v="3"/>
    <n v="0.55000000000000004"/>
    <n v="0.92"/>
    <n v="2.58"/>
    <n v="408.82"/>
    <n v="628.51"/>
    <n v="2117.39"/>
    <n v="0.37"/>
    <n v="219.69"/>
    <n v="1.6600000000000001"/>
    <s v="India"/>
  </r>
  <r>
    <x v="6"/>
    <x v="2"/>
    <x v="32"/>
    <x v="0"/>
    <x v="6"/>
    <x v="4"/>
    <n v="6.9"/>
    <n v="8.8699999999999992"/>
    <n v="2.58"/>
    <n v="14873.24"/>
    <n v="17762.54"/>
    <n v="4778.42"/>
    <n v="1.9699999999999989"/>
    <n v="2889.3000000000011"/>
    <n v="-6.2899999999999991"/>
    <s v="India"/>
  </r>
  <r>
    <x v="12"/>
    <x v="2"/>
    <x v="38"/>
    <x v="3"/>
    <x v="6"/>
    <x v="4"/>
    <n v="5.87"/>
    <n v="8.84"/>
    <n v="2.56"/>
    <n v="2438.02"/>
    <n v="3663.29"/>
    <n v="912.75"/>
    <n v="2.9699999999999998"/>
    <n v="1225.27"/>
    <n v="-6.2799999999999994"/>
    <s v="India"/>
  </r>
  <r>
    <x v="6"/>
    <x v="2"/>
    <x v="91"/>
    <x v="3"/>
    <x v="24"/>
    <x v="4"/>
    <n v="8.81"/>
    <n v="7.73"/>
    <n v="2.5299999999999998"/>
    <n v="8603.68"/>
    <n v="8385.91"/>
    <n v="2154.4499999999998"/>
    <n v="-1.08"/>
    <n v="-217.77000000000044"/>
    <n v="-5.2000000000000011"/>
    <s v="India"/>
  </r>
  <r>
    <x v="5"/>
    <x v="1"/>
    <x v="92"/>
    <x v="1"/>
    <x v="8"/>
    <x v="3"/>
    <n v="0.12"/>
    <n v="4.97"/>
    <n v="2.5"/>
    <n v="29.43"/>
    <n v="5112.88"/>
    <n v="2572.2800000000002"/>
    <n v="4.8499999999999996"/>
    <n v="5083.45"/>
    <n v="-2.4699999999999998"/>
    <s v="India"/>
  </r>
  <r>
    <x v="8"/>
    <x v="4"/>
    <x v="88"/>
    <x v="1"/>
    <x v="3"/>
    <x v="2"/>
    <n v="8.8800000000000008"/>
    <n v="7.13"/>
    <n v="2.48"/>
    <n v="6335.74"/>
    <n v="6212.69"/>
    <n v="2260.5500000000002"/>
    <n v="-1.7500000000000009"/>
    <n v="-123.05000000000018"/>
    <n v="-4.6500000000000004"/>
    <s v="India"/>
  </r>
  <r>
    <x v="18"/>
    <x v="0"/>
    <x v="93"/>
    <x v="1"/>
    <x v="14"/>
    <x v="3"/>
    <n v="5.29"/>
    <n v="9.34"/>
    <n v="2.4500000000000002"/>
    <n v="3450.93"/>
    <n v="6219.8"/>
    <n v="1736.52"/>
    <n v="4.05"/>
    <n v="2768.8700000000003"/>
    <n v="-6.89"/>
    <s v="India"/>
  </r>
  <r>
    <x v="5"/>
    <x v="1"/>
    <x v="15"/>
    <x v="1"/>
    <x v="4"/>
    <x v="3"/>
    <n v="0.85"/>
    <n v="10.4"/>
    <n v="2.44"/>
    <n v="292.72000000000003"/>
    <n v="3719.57"/>
    <n v="1067.56"/>
    <n v="9.5500000000000007"/>
    <n v="3426.8500000000004"/>
    <n v="-7.9600000000000009"/>
    <s v="India"/>
  </r>
  <r>
    <x v="11"/>
    <x v="2"/>
    <x v="94"/>
    <x v="3"/>
    <x v="24"/>
    <x v="4"/>
    <n v="6.87"/>
    <n v="8.27"/>
    <n v="2.4300000000000002"/>
    <n v="7135.13"/>
    <n v="8249.9500000000007"/>
    <n v="2102.9"/>
    <n v="1.3999999999999995"/>
    <n v="1114.8200000000006"/>
    <n v="-5.84"/>
    <s v="India"/>
  </r>
  <r>
    <x v="0"/>
    <x v="0"/>
    <x v="36"/>
    <x v="1"/>
    <x v="18"/>
    <x v="7"/>
    <n v="14.64"/>
    <n v="9.2200000000000006"/>
    <n v="2.41"/>
    <n v="4651.29"/>
    <n v="3272.66"/>
    <n v="1087.8399999999999"/>
    <n v="-5.42"/>
    <n v="-1378.63"/>
    <n v="-6.8100000000000005"/>
    <s v="India"/>
  </r>
  <r>
    <x v="4"/>
    <x v="3"/>
    <x v="63"/>
    <x v="2"/>
    <x v="15"/>
    <x v="0"/>
    <n v="6.21"/>
    <n v="7.72"/>
    <n v="2.39"/>
    <n v="22585.66"/>
    <n v="30954.02"/>
    <n v="11114.17"/>
    <n v="1.5099999999999998"/>
    <n v="8368.36"/>
    <n v="-5.33"/>
    <s v="India"/>
  </r>
  <r>
    <x v="4"/>
    <x v="3"/>
    <x v="95"/>
    <x v="2"/>
    <x v="15"/>
    <x v="0"/>
    <n v="7.74"/>
    <n v="7.71"/>
    <n v="2.37"/>
    <n v="29313.16"/>
    <n v="30469.72"/>
    <n v="11357.41"/>
    <n v="-3.0000000000000249E-2"/>
    <n v="1156.5600000000013"/>
    <n v="-5.34"/>
    <s v="India"/>
  </r>
  <r>
    <x v="0"/>
    <x v="0"/>
    <x v="36"/>
    <x v="1"/>
    <x v="3"/>
    <x v="2"/>
    <n v="3.82"/>
    <n v="5.88"/>
    <n v="2.36"/>
    <n v="2497.09"/>
    <n v="4438.22"/>
    <n v="1710.79"/>
    <n v="2.06"/>
    <n v="1941.13"/>
    <n v="-3.52"/>
    <s v="India"/>
  </r>
  <r>
    <x v="5"/>
    <x v="1"/>
    <x v="34"/>
    <x v="1"/>
    <x v="8"/>
    <x v="3"/>
    <n v="3.15"/>
    <n v="6.11"/>
    <n v="2.36"/>
    <n v="3025.86"/>
    <n v="6985.18"/>
    <n v="2840.06"/>
    <n v="2.9600000000000004"/>
    <n v="3959.32"/>
    <n v="-3.7500000000000004"/>
    <s v="India"/>
  </r>
  <r>
    <x v="6"/>
    <x v="2"/>
    <x v="22"/>
    <x v="1"/>
    <x v="20"/>
    <x v="3"/>
    <n v="2.73"/>
    <n v="6.44"/>
    <n v="2.36"/>
    <n v="2584.9299999999998"/>
    <n v="5506.8"/>
    <n v="2235.13"/>
    <n v="3.7100000000000004"/>
    <n v="2921.8700000000003"/>
    <n v="-4.08"/>
    <s v="India"/>
  </r>
  <r>
    <x v="2"/>
    <x v="1"/>
    <x v="70"/>
    <x v="1"/>
    <x v="0"/>
    <x v="0"/>
    <n v="0"/>
    <n v="13.38"/>
    <n v="2.35"/>
    <n v="0"/>
    <n v="15230.09"/>
    <n v="2285.5100000000002"/>
    <n v="13.38"/>
    <n v="15230.09"/>
    <n v="-11.030000000000001"/>
    <s v="India"/>
  </r>
  <r>
    <x v="6"/>
    <x v="2"/>
    <x v="91"/>
    <x v="3"/>
    <x v="4"/>
    <x v="3"/>
    <n v="7.12"/>
    <n v="6.69"/>
    <n v="2.35"/>
    <n v="450.64"/>
    <n v="414.89"/>
    <n v="158.99"/>
    <n v="-0.42999999999999972"/>
    <n v="-35.75"/>
    <n v="-4.34"/>
    <s v="India"/>
  </r>
  <r>
    <x v="2"/>
    <x v="1"/>
    <x v="60"/>
    <x v="1"/>
    <x v="0"/>
    <x v="0"/>
    <n v="0"/>
    <n v="2.2599999999999998"/>
    <n v="2.34"/>
    <n v="0"/>
    <n v="2812.95"/>
    <n v="2429"/>
    <n v="2.2599999999999998"/>
    <n v="2812.95"/>
    <n v="8.0000000000000071E-2"/>
    <s v="India"/>
  </r>
  <r>
    <x v="12"/>
    <x v="2"/>
    <x v="30"/>
    <x v="1"/>
    <x v="11"/>
    <x v="3"/>
    <n v="10.87"/>
    <n v="7.04"/>
    <n v="2.33"/>
    <n v="7626.32"/>
    <n v="4262.26"/>
    <n v="2053.6999999999998"/>
    <n v="-3.8299999999999992"/>
    <n v="-3364.0599999999995"/>
    <n v="-4.71"/>
    <s v="India"/>
  </r>
  <r>
    <x v="2"/>
    <x v="1"/>
    <x v="59"/>
    <x v="2"/>
    <x v="24"/>
    <x v="4"/>
    <n v="11.15"/>
    <n v="12.9"/>
    <n v="2.31"/>
    <n v="95247.87"/>
    <n v="114007.47"/>
    <n v="23110.73"/>
    <n v="1.75"/>
    <n v="18759.600000000006"/>
    <n v="-10.59"/>
    <s v="India"/>
  </r>
  <r>
    <x v="4"/>
    <x v="3"/>
    <x v="73"/>
    <x v="2"/>
    <x v="4"/>
    <x v="3"/>
    <n v="7.42"/>
    <n v="6.12"/>
    <n v="2.31"/>
    <n v="1442.73"/>
    <n v="1118.2"/>
    <n v="673.12"/>
    <n v="-1.2999999999999998"/>
    <n v="-324.52999999999997"/>
    <n v="-3.81"/>
    <s v="India"/>
  </r>
  <r>
    <x v="6"/>
    <x v="2"/>
    <x v="55"/>
    <x v="0"/>
    <x v="24"/>
    <x v="4"/>
    <n v="3.83"/>
    <n v="8.15"/>
    <n v="2.31"/>
    <n v="4451.7700000000004"/>
    <n v="10174.17"/>
    <n v="2928.25"/>
    <n v="4.32"/>
    <n v="5722.4"/>
    <n v="-5.84"/>
    <s v="India"/>
  </r>
  <r>
    <x v="16"/>
    <x v="3"/>
    <x v="77"/>
    <x v="2"/>
    <x v="4"/>
    <x v="3"/>
    <n v="6.7"/>
    <n v="7.26"/>
    <n v="2.2999999999999998"/>
    <n v="12279.4"/>
    <n v="14929.75"/>
    <n v="5061.34"/>
    <n v="0.55999999999999961"/>
    <n v="2650.3500000000004"/>
    <n v="-4.96"/>
    <s v="India"/>
  </r>
  <r>
    <x v="1"/>
    <x v="0"/>
    <x v="1"/>
    <x v="0"/>
    <x v="38"/>
    <x v="5"/>
    <n v="1.84"/>
    <n v="4.03"/>
    <n v="2.2999999999999998"/>
    <n v="249.44"/>
    <n v="1101.52"/>
    <n v="1063.6300000000001"/>
    <n v="2.1900000000000004"/>
    <n v="852.07999999999993"/>
    <n v="-1.7300000000000004"/>
    <s v="India"/>
  </r>
  <r>
    <x v="1"/>
    <x v="0"/>
    <x v="84"/>
    <x v="0"/>
    <x v="6"/>
    <x v="4"/>
    <n v="0"/>
    <n v="1.57"/>
    <n v="2.2999999999999998"/>
    <n v="0"/>
    <n v="217.47"/>
    <n v="368.71"/>
    <n v="1.57"/>
    <n v="217.47"/>
    <n v="0.72999999999999976"/>
    <s v="India"/>
  </r>
  <r>
    <x v="9"/>
    <x v="1"/>
    <x v="61"/>
    <x v="1"/>
    <x v="29"/>
    <x v="7"/>
    <n v="4.9400000000000004"/>
    <n v="6.99"/>
    <n v="2.29"/>
    <n v="3311.54"/>
    <n v="3453.41"/>
    <n v="1231.05"/>
    <n v="2.0499999999999998"/>
    <n v="141.86999999999989"/>
    <n v="-4.7"/>
    <s v="India"/>
  </r>
  <r>
    <x v="6"/>
    <x v="2"/>
    <x v="12"/>
    <x v="0"/>
    <x v="6"/>
    <x v="4"/>
    <n v="3.78"/>
    <n v="5.45"/>
    <n v="2.29"/>
    <n v="2878.88"/>
    <n v="4725.05"/>
    <n v="2499.85"/>
    <n v="1.6700000000000004"/>
    <n v="1846.17"/>
    <n v="-3.16"/>
    <s v="India"/>
  </r>
  <r>
    <x v="14"/>
    <x v="3"/>
    <x v="39"/>
    <x v="2"/>
    <x v="6"/>
    <x v="4"/>
    <n v="6.01"/>
    <n v="8.6999999999999993"/>
    <n v="2.2599999999999998"/>
    <n v="17529.84"/>
    <n v="27412.14"/>
    <n v="6955.6"/>
    <n v="2.6899999999999995"/>
    <n v="9882.2999999999993"/>
    <n v="-6.4399999999999995"/>
    <s v="India"/>
  </r>
  <r>
    <x v="4"/>
    <x v="3"/>
    <x v="7"/>
    <x v="0"/>
    <x v="11"/>
    <x v="3"/>
    <n v="6.68"/>
    <n v="6.96"/>
    <n v="2.21"/>
    <n v="5468.79"/>
    <n v="6445.12"/>
    <n v="1990.34"/>
    <n v="0.28000000000000025"/>
    <n v="976.32999999999993"/>
    <n v="-4.75"/>
    <s v="India"/>
  </r>
  <r>
    <x v="11"/>
    <x v="2"/>
    <x v="29"/>
    <x v="0"/>
    <x v="10"/>
    <x v="3"/>
    <n v="6.45"/>
    <n v="6.91"/>
    <n v="2.21"/>
    <n v="5520.8"/>
    <n v="5586.74"/>
    <n v="1626.84"/>
    <n v="0.45999999999999996"/>
    <n v="65.9399999999996"/>
    <n v="-4.7"/>
    <s v="India"/>
  </r>
  <r>
    <x v="11"/>
    <x v="2"/>
    <x v="79"/>
    <x v="4"/>
    <x v="22"/>
    <x v="6"/>
    <n v="8.98"/>
    <n v="17.54"/>
    <n v="2.19"/>
    <n v="1178.6199999999999"/>
    <n v="2036.87"/>
    <n v="299.20999999999998"/>
    <n v="8.5599999999999987"/>
    <n v="858.25"/>
    <n v="-15.35"/>
    <s v="India"/>
  </r>
  <r>
    <x v="2"/>
    <x v="1"/>
    <x v="57"/>
    <x v="1"/>
    <x v="0"/>
    <x v="0"/>
    <n v="3.91"/>
    <n v="15.79"/>
    <n v="2.1800000000000002"/>
    <n v="3543.19"/>
    <n v="16353.7"/>
    <n v="2625.58"/>
    <n v="11.879999999999999"/>
    <n v="12810.51"/>
    <n v="-13.61"/>
    <s v="India"/>
  </r>
  <r>
    <x v="12"/>
    <x v="2"/>
    <x v="30"/>
    <x v="1"/>
    <x v="18"/>
    <x v="7"/>
    <n v="3.23"/>
    <n v="4.0199999999999996"/>
    <n v="2.1800000000000002"/>
    <n v="407.8"/>
    <n v="581.32000000000005"/>
    <n v="288.86"/>
    <n v="0.78999999999999959"/>
    <n v="173.52000000000004"/>
    <n v="-1.8399999999999994"/>
    <s v="India"/>
  </r>
  <r>
    <x v="4"/>
    <x v="3"/>
    <x v="96"/>
    <x v="2"/>
    <x v="2"/>
    <x v="0"/>
    <n v="3.83"/>
    <n v="9"/>
    <n v="2.17"/>
    <n v="9024.09"/>
    <n v="30925.86"/>
    <n v="7213.92"/>
    <n v="5.17"/>
    <n v="21901.77"/>
    <n v="-6.83"/>
    <s v="India"/>
  </r>
  <r>
    <x v="0"/>
    <x v="0"/>
    <x v="47"/>
    <x v="4"/>
    <x v="6"/>
    <x v="4"/>
    <n v="0.32"/>
    <n v="0.02"/>
    <n v="2.17"/>
    <n v="437.18"/>
    <n v="22.77"/>
    <n v="571.83000000000004"/>
    <n v="-0.3"/>
    <n v="-414.41"/>
    <n v="2.15"/>
    <s v="India"/>
  </r>
  <r>
    <x v="8"/>
    <x v="4"/>
    <x v="88"/>
    <x v="1"/>
    <x v="4"/>
    <x v="3"/>
    <n v="15"/>
    <n v="7.83"/>
    <n v="2.16"/>
    <n v="15774.85"/>
    <n v="9285.67"/>
    <n v="2357.8000000000002"/>
    <n v="-7.17"/>
    <n v="-6489.18"/>
    <n v="-5.67"/>
    <s v="India"/>
  </r>
  <r>
    <x v="0"/>
    <x v="0"/>
    <x v="97"/>
    <x v="0"/>
    <x v="2"/>
    <x v="0"/>
    <n v="12.59"/>
    <n v="7.37"/>
    <n v="2.14"/>
    <n v="28655"/>
    <n v="20961.27"/>
    <n v="6500"/>
    <n v="-5.22"/>
    <n v="-7693.73"/>
    <n v="-5.23"/>
    <s v="India"/>
  </r>
  <r>
    <x v="6"/>
    <x v="2"/>
    <x v="12"/>
    <x v="0"/>
    <x v="33"/>
    <x v="7"/>
    <n v="3.61"/>
    <n v="6.93"/>
    <n v="2.13"/>
    <n v="1406.66"/>
    <n v="1711.89"/>
    <n v="391.96"/>
    <n v="3.32"/>
    <n v="305.23"/>
    <n v="-4.8"/>
    <s v="India"/>
  </r>
  <r>
    <x v="4"/>
    <x v="3"/>
    <x v="80"/>
    <x v="2"/>
    <x v="2"/>
    <x v="0"/>
    <n v="0"/>
    <n v="122.5"/>
    <n v="2.12"/>
    <n v="0"/>
    <n v="329690.03000000003"/>
    <n v="5842.16"/>
    <n v="122.5"/>
    <n v="329690.03000000003"/>
    <n v="-120.38"/>
    <s v="India"/>
  </r>
  <r>
    <x v="6"/>
    <x v="2"/>
    <x v="32"/>
    <x v="0"/>
    <x v="30"/>
    <x v="5"/>
    <n v="11.61"/>
    <n v="5.73"/>
    <n v="2.12"/>
    <n v="2468.1999999999998"/>
    <n v="2116.86"/>
    <n v="1486.84"/>
    <n v="-5.879999999999999"/>
    <n v="-351.33999999999969"/>
    <n v="-3.6100000000000003"/>
    <s v="India"/>
  </r>
  <r>
    <x v="6"/>
    <x v="2"/>
    <x v="32"/>
    <x v="0"/>
    <x v="18"/>
    <x v="7"/>
    <n v="2.74"/>
    <n v="4.07"/>
    <n v="2.11"/>
    <n v="496.43"/>
    <n v="1528.44"/>
    <n v="617.12"/>
    <n v="1.33"/>
    <n v="1032.01"/>
    <n v="-1.9600000000000004"/>
    <s v="India"/>
  </r>
  <r>
    <x v="1"/>
    <x v="0"/>
    <x v="98"/>
    <x v="1"/>
    <x v="18"/>
    <x v="7"/>
    <n v="4.9400000000000004"/>
    <n v="4.57"/>
    <n v="2.1"/>
    <n v="671.52"/>
    <n v="902.21"/>
    <n v="420.17"/>
    <n v="-0.37000000000000011"/>
    <n v="230.69000000000005"/>
    <n v="-2.4700000000000002"/>
    <s v="India"/>
  </r>
  <r>
    <x v="2"/>
    <x v="1"/>
    <x v="59"/>
    <x v="2"/>
    <x v="2"/>
    <x v="0"/>
    <n v="10.77"/>
    <n v="18.920000000000002"/>
    <n v="2.1"/>
    <n v="34594.01"/>
    <n v="63918.77"/>
    <n v="6477.55"/>
    <n v="8.1500000000000021"/>
    <n v="29324.759999999995"/>
    <n v="-16.82"/>
    <s v="India"/>
  </r>
  <r>
    <x v="10"/>
    <x v="2"/>
    <x v="42"/>
    <x v="1"/>
    <x v="10"/>
    <x v="3"/>
    <n v="9.5299999999999994"/>
    <n v="8.93"/>
    <n v="2.09"/>
    <n v="7854.71"/>
    <n v="7755.35"/>
    <n v="1795.54"/>
    <n v="-0.59999999999999964"/>
    <n v="-99.359999999999673"/>
    <n v="-6.84"/>
    <s v="India"/>
  </r>
  <r>
    <x v="8"/>
    <x v="4"/>
    <x v="89"/>
    <x v="1"/>
    <x v="8"/>
    <x v="3"/>
    <n v="0.03"/>
    <n v="1.03"/>
    <n v="2.06"/>
    <n v="44"/>
    <n v="1074.3499999999999"/>
    <n v="2146.4499999999998"/>
    <n v="1"/>
    <n v="1030.3499999999999"/>
    <n v="1.03"/>
    <s v="India"/>
  </r>
  <r>
    <x v="0"/>
    <x v="0"/>
    <x v="36"/>
    <x v="1"/>
    <x v="11"/>
    <x v="3"/>
    <n v="6.52"/>
    <n v="5.53"/>
    <n v="2.02"/>
    <n v="2517.23"/>
    <n v="2051.61"/>
    <n v="833.56"/>
    <n v="-0.98999999999999932"/>
    <n v="-465.61999999999989"/>
    <n v="-3.5100000000000002"/>
    <s v="India"/>
  </r>
  <r>
    <x v="0"/>
    <x v="0"/>
    <x v="4"/>
    <x v="0"/>
    <x v="9"/>
    <x v="6"/>
    <n v="31.48"/>
    <n v="34.159999999999997"/>
    <n v="1.99"/>
    <n v="24401.53"/>
    <n v="35094.46"/>
    <n v="1354.02"/>
    <n v="2.6799999999999962"/>
    <n v="10692.93"/>
    <n v="-32.169999999999995"/>
    <s v="India"/>
  </r>
  <r>
    <x v="6"/>
    <x v="2"/>
    <x v="32"/>
    <x v="0"/>
    <x v="39"/>
    <x v="7"/>
    <n v="12.01"/>
    <n v="10.36"/>
    <n v="1.97"/>
    <n v="1011"/>
    <n v="1427.95"/>
    <n v="333.25"/>
    <n v="-1.6500000000000004"/>
    <n v="416.95000000000005"/>
    <n v="-8.3899999999999988"/>
    <s v="India"/>
  </r>
  <r>
    <x v="4"/>
    <x v="3"/>
    <x v="71"/>
    <x v="2"/>
    <x v="15"/>
    <x v="0"/>
    <n v="16.38"/>
    <n v="16.14"/>
    <n v="1.95"/>
    <n v="60178.35"/>
    <n v="64687.68"/>
    <n v="8824.8799999999992"/>
    <n v="-0.23999999999999844"/>
    <n v="4509.3300000000017"/>
    <n v="-14.190000000000001"/>
    <s v="India"/>
  </r>
  <r>
    <x v="16"/>
    <x v="3"/>
    <x v="77"/>
    <x v="2"/>
    <x v="0"/>
    <x v="0"/>
    <n v="3.15"/>
    <n v="5.81"/>
    <n v="1.94"/>
    <n v="3293.73"/>
    <n v="7781.77"/>
    <n v="2382.81"/>
    <n v="2.6599999999999997"/>
    <n v="4488.0400000000009"/>
    <n v="-3.8699999999999997"/>
    <s v="India"/>
  </r>
  <r>
    <x v="0"/>
    <x v="0"/>
    <x v="0"/>
    <x v="0"/>
    <x v="37"/>
    <x v="3"/>
    <n v="6.88"/>
    <n v="6.17"/>
    <n v="1.94"/>
    <n v="4302.04"/>
    <n v="3804.24"/>
    <n v="1228.1400000000001"/>
    <n v="-0.71"/>
    <n v="-497.80000000000018"/>
    <n v="-4.2300000000000004"/>
    <s v="India"/>
  </r>
  <r>
    <x v="1"/>
    <x v="0"/>
    <x v="18"/>
    <x v="1"/>
    <x v="8"/>
    <x v="3"/>
    <n v="2.2000000000000002"/>
    <n v="3.69"/>
    <n v="1.9"/>
    <n v="1375.5"/>
    <n v="2339"/>
    <n v="934.66"/>
    <n v="1.4899999999999998"/>
    <n v="963.5"/>
    <n v="-1.79"/>
    <s v="India"/>
  </r>
  <r>
    <x v="12"/>
    <x v="2"/>
    <x v="30"/>
    <x v="1"/>
    <x v="14"/>
    <x v="3"/>
    <n v="6.54"/>
    <n v="5.37"/>
    <n v="1.9"/>
    <n v="3358.14"/>
    <n v="2614.91"/>
    <n v="974.28"/>
    <n v="-1.17"/>
    <n v="-743.23"/>
    <n v="-3.47"/>
    <s v="India"/>
  </r>
  <r>
    <x v="8"/>
    <x v="4"/>
    <x v="99"/>
    <x v="1"/>
    <x v="4"/>
    <x v="3"/>
    <n v="0.8"/>
    <n v="5.93"/>
    <n v="1.9"/>
    <n v="875.59"/>
    <n v="3555.7"/>
    <n v="1344.38"/>
    <n v="5.13"/>
    <n v="2680.1099999999997"/>
    <n v="-4.0299999999999994"/>
    <s v="India"/>
  </r>
  <r>
    <x v="11"/>
    <x v="2"/>
    <x v="29"/>
    <x v="0"/>
    <x v="24"/>
    <x v="4"/>
    <n v="8.3800000000000008"/>
    <n v="10.18"/>
    <n v="1.89"/>
    <n v="11584.18"/>
    <n v="13650.31"/>
    <n v="2144.54"/>
    <n v="1.7999999999999989"/>
    <n v="2066.1299999999992"/>
    <n v="-8.2899999999999991"/>
    <s v="India"/>
  </r>
  <r>
    <x v="14"/>
    <x v="3"/>
    <x v="39"/>
    <x v="2"/>
    <x v="11"/>
    <x v="3"/>
    <n v="5.61"/>
    <n v="4.62"/>
    <n v="1.87"/>
    <n v="5760.81"/>
    <n v="6604.26"/>
    <n v="1926.95"/>
    <n v="-0.99000000000000021"/>
    <n v="843.44999999999982"/>
    <n v="-2.75"/>
    <s v="India"/>
  </r>
  <r>
    <x v="5"/>
    <x v="1"/>
    <x v="34"/>
    <x v="1"/>
    <x v="18"/>
    <x v="7"/>
    <n v="5.0199999999999996"/>
    <n v="2.95"/>
    <n v="1.87"/>
    <n v="2016.21"/>
    <n v="1070.94"/>
    <n v="626.97"/>
    <n v="-2.0699999999999994"/>
    <n v="-945.27"/>
    <n v="-1.08"/>
    <s v="India"/>
  </r>
  <r>
    <x v="4"/>
    <x v="3"/>
    <x v="63"/>
    <x v="2"/>
    <x v="33"/>
    <x v="7"/>
    <n v="4.93"/>
    <n v="4.82"/>
    <n v="1.85"/>
    <n v="2486.8000000000002"/>
    <n v="2492.14"/>
    <n v="956.24"/>
    <n v="-0.10999999999999943"/>
    <n v="5.3399999999996908"/>
    <n v="-2.97"/>
    <s v="India"/>
  </r>
  <r>
    <x v="14"/>
    <x v="3"/>
    <x v="39"/>
    <x v="2"/>
    <x v="10"/>
    <x v="3"/>
    <n v="3.92"/>
    <n v="4.9800000000000004"/>
    <n v="1.81"/>
    <n v="6090.78"/>
    <n v="7004.62"/>
    <n v="2377.34"/>
    <n v="1.0600000000000005"/>
    <n v="913.84000000000015"/>
    <n v="-3.1700000000000004"/>
    <s v="India"/>
  </r>
  <r>
    <x v="0"/>
    <x v="0"/>
    <x v="51"/>
    <x v="4"/>
    <x v="11"/>
    <x v="3"/>
    <n v="1.69"/>
    <n v="3.86"/>
    <n v="1.8"/>
    <n v="734.09"/>
    <n v="1578.34"/>
    <n v="716.2"/>
    <n v="2.17"/>
    <n v="844.24999999999989"/>
    <n v="-2.0599999999999996"/>
    <s v="India"/>
  </r>
  <r>
    <x v="2"/>
    <x v="1"/>
    <x v="59"/>
    <x v="2"/>
    <x v="10"/>
    <x v="3"/>
    <n v="6.55"/>
    <n v="3.73"/>
    <n v="1.8"/>
    <n v="3834.35"/>
    <n v="2883.2"/>
    <n v="1594.83"/>
    <n v="-2.82"/>
    <n v="-951.15000000000009"/>
    <n v="-1.93"/>
    <s v="India"/>
  </r>
  <r>
    <x v="4"/>
    <x v="3"/>
    <x v="80"/>
    <x v="2"/>
    <x v="11"/>
    <x v="3"/>
    <n v="3.14"/>
    <n v="5.89"/>
    <n v="1.79"/>
    <n v="12012.56"/>
    <n v="13456.46"/>
    <n v="3635.56"/>
    <n v="2.7499999999999996"/>
    <n v="1443.8999999999996"/>
    <n v="-4.0999999999999996"/>
    <s v="India"/>
  </r>
  <r>
    <x v="2"/>
    <x v="1"/>
    <x v="13"/>
    <x v="2"/>
    <x v="31"/>
    <x v="1"/>
    <n v="3.45"/>
    <n v="5.2"/>
    <n v="1.79"/>
    <n v="654.26"/>
    <n v="1297.53"/>
    <n v="402.5"/>
    <n v="1.75"/>
    <n v="643.27"/>
    <n v="-3.41"/>
    <s v="India"/>
  </r>
  <r>
    <x v="6"/>
    <x v="2"/>
    <x v="12"/>
    <x v="0"/>
    <x v="16"/>
    <x v="0"/>
    <n v="4.6500000000000004"/>
    <n v="5.24"/>
    <n v="1.78"/>
    <n v="7392.15"/>
    <n v="9158.7099999999991"/>
    <n v="3118.11"/>
    <n v="0.58999999999999986"/>
    <n v="1766.5599999999995"/>
    <n v="-3.46"/>
    <s v="India"/>
  </r>
  <r>
    <x v="11"/>
    <x v="2"/>
    <x v="79"/>
    <x v="4"/>
    <x v="14"/>
    <x v="3"/>
    <n v="17.010000000000002"/>
    <n v="4.04"/>
    <n v="1.77"/>
    <n v="964.58"/>
    <n v="222.02"/>
    <n v="43.28"/>
    <n v="-12.970000000000002"/>
    <n v="-742.56000000000006"/>
    <n v="-2.27"/>
    <s v="India"/>
  </r>
  <r>
    <x v="8"/>
    <x v="4"/>
    <x v="88"/>
    <x v="1"/>
    <x v="16"/>
    <x v="0"/>
    <n v="0.74"/>
    <n v="1.6"/>
    <n v="1.77"/>
    <n v="1120.5999999999999"/>
    <n v="2653.49"/>
    <n v="3791.14"/>
    <n v="0.8600000000000001"/>
    <n v="1532.8899999999999"/>
    <n v="0.16999999999999993"/>
    <s v="India"/>
  </r>
  <r>
    <x v="0"/>
    <x v="0"/>
    <x v="97"/>
    <x v="0"/>
    <x v="9"/>
    <x v="6"/>
    <n v="6.18"/>
    <n v="7.65"/>
    <n v="1.77"/>
    <n v="5392"/>
    <n v="7736.9"/>
    <n v="1569.52"/>
    <n v="1.4700000000000006"/>
    <n v="2344.8999999999996"/>
    <n v="-5.8800000000000008"/>
    <s v="India"/>
  </r>
  <r>
    <x v="4"/>
    <x v="3"/>
    <x v="7"/>
    <x v="0"/>
    <x v="10"/>
    <x v="3"/>
    <n v="0.13"/>
    <n v="5.49"/>
    <n v="1.76"/>
    <n v="109.41"/>
    <n v="13681.81"/>
    <n v="4311.8100000000004"/>
    <n v="5.36"/>
    <n v="13572.4"/>
    <n v="-3.7300000000000004"/>
    <s v="India"/>
  </r>
  <r>
    <x v="9"/>
    <x v="1"/>
    <x v="50"/>
    <x v="1"/>
    <x v="29"/>
    <x v="7"/>
    <n v="10.69"/>
    <n v="19.09"/>
    <n v="1.76"/>
    <n v="5696.01"/>
    <n v="11161.14"/>
    <n v="1172.96"/>
    <n v="8.4"/>
    <n v="5465.1299999999992"/>
    <n v="-17.329999999999998"/>
    <s v="India"/>
  </r>
  <r>
    <x v="11"/>
    <x v="2"/>
    <x v="94"/>
    <x v="3"/>
    <x v="6"/>
    <x v="4"/>
    <n v="4.01"/>
    <n v="4.55"/>
    <n v="1.75"/>
    <n v="3850.39"/>
    <n v="4217.25"/>
    <n v="1539.52"/>
    <n v="0.54"/>
    <n v="366.86000000000013"/>
    <n v="-2.8"/>
    <s v="India"/>
  </r>
  <r>
    <x v="12"/>
    <x v="2"/>
    <x v="30"/>
    <x v="1"/>
    <x v="39"/>
    <x v="7"/>
    <n v="4.8899999999999997"/>
    <n v="3.93"/>
    <n v="1.75"/>
    <n v="450.51"/>
    <n v="677.45"/>
    <n v="306.69"/>
    <n v="-0.95999999999999952"/>
    <n v="226.94000000000005"/>
    <n v="-2.1800000000000002"/>
    <s v="India"/>
  </r>
  <r>
    <x v="0"/>
    <x v="0"/>
    <x v="35"/>
    <x v="1"/>
    <x v="16"/>
    <x v="0"/>
    <n v="4.07"/>
    <n v="4.28"/>
    <n v="1.71"/>
    <n v="9382.02"/>
    <n v="10330.049999999999"/>
    <n v="4353.66"/>
    <n v="0.20999999999999996"/>
    <n v="948.02999999999884"/>
    <n v="-2.5700000000000003"/>
    <s v="India"/>
  </r>
  <r>
    <x v="11"/>
    <x v="2"/>
    <x v="64"/>
    <x v="3"/>
    <x v="30"/>
    <x v="5"/>
    <n v="3.82"/>
    <n v="4.09"/>
    <n v="1.7"/>
    <n v="996.87"/>
    <n v="1096.52"/>
    <n v="454.47"/>
    <n v="0.27"/>
    <n v="99.649999999999977"/>
    <n v="-2.3899999999999997"/>
    <s v="India"/>
  </r>
  <r>
    <x v="7"/>
    <x v="1"/>
    <x v="100"/>
    <x v="1"/>
    <x v="29"/>
    <x v="7"/>
    <n v="6.05"/>
    <n v="3.83"/>
    <n v="1.69"/>
    <n v="3909.44"/>
    <n v="2143.52"/>
    <n v="1150.2"/>
    <n v="-2.2199999999999998"/>
    <n v="-1765.92"/>
    <n v="-2.14"/>
    <s v="India"/>
  </r>
  <r>
    <x v="6"/>
    <x v="2"/>
    <x v="55"/>
    <x v="0"/>
    <x v="10"/>
    <x v="3"/>
    <n v="23.26"/>
    <n v="5.86"/>
    <n v="1.67"/>
    <n v="41812.06"/>
    <n v="9514.77"/>
    <n v="2611.7800000000002"/>
    <n v="-17.400000000000002"/>
    <n v="-32297.289999999997"/>
    <n v="-4.1900000000000004"/>
    <s v="India"/>
  </r>
  <r>
    <x v="8"/>
    <x v="4"/>
    <x v="99"/>
    <x v="1"/>
    <x v="8"/>
    <x v="3"/>
    <n v="0"/>
    <n v="5.62"/>
    <n v="1.67"/>
    <n v="0"/>
    <n v="4994.33"/>
    <n v="1306.6300000000001"/>
    <n v="5.62"/>
    <n v="4994.33"/>
    <n v="-3.95"/>
    <s v="India"/>
  </r>
  <r>
    <x v="1"/>
    <x v="0"/>
    <x v="66"/>
    <x v="1"/>
    <x v="6"/>
    <x v="4"/>
    <n v="0"/>
    <n v="9.17"/>
    <n v="1.66"/>
    <n v="0"/>
    <n v="22578.34"/>
    <n v="4399.53"/>
    <n v="9.17"/>
    <n v="22578.34"/>
    <n v="-7.51"/>
    <s v="India"/>
  </r>
  <r>
    <x v="4"/>
    <x v="3"/>
    <x v="7"/>
    <x v="0"/>
    <x v="15"/>
    <x v="0"/>
    <n v="9.76"/>
    <n v="0.01"/>
    <n v="1.66"/>
    <n v="37682.61"/>
    <n v="24.84"/>
    <n v="7292.99"/>
    <n v="-9.75"/>
    <n v="-37657.770000000004"/>
    <n v="1.65"/>
    <s v="India"/>
  </r>
  <r>
    <x v="4"/>
    <x v="3"/>
    <x v="76"/>
    <x v="2"/>
    <x v="4"/>
    <x v="3"/>
    <n v="4.5599999999999996"/>
    <n v="5.86"/>
    <n v="1.64"/>
    <n v="10035.6"/>
    <n v="13493.12"/>
    <n v="3732.75"/>
    <n v="1.3000000000000007"/>
    <n v="3457.5200000000004"/>
    <n v="-4.2200000000000006"/>
    <s v="India"/>
  </r>
  <r>
    <x v="2"/>
    <x v="1"/>
    <x v="101"/>
    <x v="4"/>
    <x v="14"/>
    <x v="3"/>
    <n v="8.6199999999999992"/>
    <n v="9.4700000000000006"/>
    <n v="1.64"/>
    <n v="667.66"/>
    <n v="488.55"/>
    <n v="73.83"/>
    <n v="0.85000000000000142"/>
    <n v="-179.10999999999996"/>
    <n v="-7.830000000000001"/>
    <s v="India"/>
  </r>
  <r>
    <x v="14"/>
    <x v="3"/>
    <x v="53"/>
    <x v="2"/>
    <x v="0"/>
    <x v="0"/>
    <n v="3.16"/>
    <n v="5.25"/>
    <n v="1.63"/>
    <n v="3350.52"/>
    <n v="6811.06"/>
    <n v="2002"/>
    <n v="2.09"/>
    <n v="3460.5400000000004"/>
    <n v="-3.62"/>
    <s v="India"/>
  </r>
  <r>
    <x v="2"/>
    <x v="1"/>
    <x v="14"/>
    <x v="1"/>
    <x v="2"/>
    <x v="0"/>
    <n v="2.5"/>
    <n v="3.53"/>
    <n v="1.63"/>
    <n v="3474.9"/>
    <n v="3666.85"/>
    <n v="1860.61"/>
    <n v="1.0299999999999998"/>
    <n v="191.94999999999982"/>
    <n v="-1.9"/>
    <s v="India"/>
  </r>
  <r>
    <x v="2"/>
    <x v="1"/>
    <x v="2"/>
    <x v="1"/>
    <x v="18"/>
    <x v="7"/>
    <n v="0.25"/>
    <n v="17.53"/>
    <n v="1.63"/>
    <n v="53.2"/>
    <n v="3664.43"/>
    <n v="348.44"/>
    <n v="17.28"/>
    <n v="3611.23"/>
    <n v="-15.900000000000002"/>
    <s v="India"/>
  </r>
  <r>
    <x v="6"/>
    <x v="2"/>
    <x v="102"/>
    <x v="1"/>
    <x v="14"/>
    <x v="3"/>
    <n v="12.53"/>
    <n v="12.06"/>
    <n v="1.62"/>
    <n v="617.39"/>
    <n v="191.04"/>
    <n v="8.4600000000000009"/>
    <n v="-0.46999999999999886"/>
    <n v="-426.35"/>
    <n v="-10.440000000000001"/>
    <s v="India"/>
  </r>
  <r>
    <x v="2"/>
    <x v="1"/>
    <x v="14"/>
    <x v="1"/>
    <x v="27"/>
    <x v="7"/>
    <n v="3.4"/>
    <n v="0"/>
    <n v="1.62"/>
    <n v="334.36"/>
    <n v="0"/>
    <n v="247"/>
    <n v="-3.4"/>
    <n v="-334.36"/>
    <n v="1.62"/>
    <s v="India"/>
  </r>
  <r>
    <x v="0"/>
    <x v="0"/>
    <x v="51"/>
    <x v="4"/>
    <x v="3"/>
    <x v="2"/>
    <n v="7.43"/>
    <n v="6.62"/>
    <n v="1.6"/>
    <n v="5219.3"/>
    <n v="5619.2"/>
    <n v="1238.22"/>
    <n v="-0.80999999999999961"/>
    <n v="399.89999999999964"/>
    <n v="-5.0199999999999996"/>
    <s v="India"/>
  </r>
  <r>
    <x v="6"/>
    <x v="2"/>
    <x v="12"/>
    <x v="0"/>
    <x v="14"/>
    <x v="3"/>
    <n v="4.4800000000000004"/>
    <n v="4.37"/>
    <n v="1.59"/>
    <n v="1562.92"/>
    <n v="2282.0100000000002"/>
    <n v="444.68"/>
    <n v="-0.11000000000000032"/>
    <n v="719.09000000000015"/>
    <n v="-2.7800000000000002"/>
    <s v="India"/>
  </r>
  <r>
    <x v="10"/>
    <x v="2"/>
    <x v="42"/>
    <x v="1"/>
    <x v="13"/>
    <x v="3"/>
    <n v="3.07"/>
    <n v="5.79"/>
    <n v="1.57"/>
    <n v="2288.5500000000002"/>
    <n v="4045.33"/>
    <n v="1016.8"/>
    <n v="2.72"/>
    <n v="1756.7799999999997"/>
    <n v="-4.22"/>
    <s v="India"/>
  </r>
  <r>
    <x v="8"/>
    <x v="4"/>
    <x v="41"/>
    <x v="1"/>
    <x v="10"/>
    <x v="3"/>
    <n v="0.52"/>
    <n v="3.9"/>
    <n v="1.57"/>
    <n v="413.8"/>
    <n v="3388.7"/>
    <n v="1502.68"/>
    <n v="3.38"/>
    <n v="2974.8999999999996"/>
    <n v="-2.33"/>
    <s v="India"/>
  </r>
  <r>
    <x v="6"/>
    <x v="2"/>
    <x v="32"/>
    <x v="0"/>
    <x v="5"/>
    <x v="3"/>
    <n v="3.29"/>
    <n v="3.32"/>
    <n v="1.56"/>
    <n v="2385.4299999999998"/>
    <n v="2623.59"/>
    <n v="1337.55"/>
    <n v="2.9999999999999805E-2"/>
    <n v="238.16000000000031"/>
    <n v="-1.7599999999999998"/>
    <s v="India"/>
  </r>
  <r>
    <x v="4"/>
    <x v="3"/>
    <x v="45"/>
    <x v="2"/>
    <x v="11"/>
    <x v="3"/>
    <n v="0.68"/>
    <n v="0.66"/>
    <n v="1.55"/>
    <n v="978.16"/>
    <n v="343.81"/>
    <n v="806.59"/>
    <n v="-2.0000000000000018E-2"/>
    <n v="-634.34999999999991"/>
    <n v="0.89"/>
    <s v="India"/>
  </r>
  <r>
    <x v="8"/>
    <x v="4"/>
    <x v="88"/>
    <x v="1"/>
    <x v="8"/>
    <x v="3"/>
    <n v="0.82"/>
    <n v="4.8600000000000003"/>
    <n v="1.55"/>
    <n v="490.88"/>
    <n v="4705.5600000000004"/>
    <n v="1409.63"/>
    <n v="4.04"/>
    <n v="4214.68"/>
    <n v="-3.3100000000000005"/>
    <s v="India"/>
  </r>
  <r>
    <x v="6"/>
    <x v="2"/>
    <x v="49"/>
    <x v="0"/>
    <x v="37"/>
    <x v="3"/>
    <n v="6.16"/>
    <n v="6.67"/>
    <n v="1.54"/>
    <n v="6455.87"/>
    <n v="8624.9500000000007"/>
    <n v="2341.46"/>
    <n v="0.50999999999999979"/>
    <n v="2169.0800000000008"/>
    <n v="-5.13"/>
    <s v="India"/>
  </r>
  <r>
    <x v="6"/>
    <x v="2"/>
    <x v="32"/>
    <x v="0"/>
    <x v="40"/>
    <x v="6"/>
    <n v="15.95"/>
    <n v="99.93"/>
    <n v="1.53"/>
    <n v="14903.89"/>
    <n v="68369.05"/>
    <n v="1030.0899999999999"/>
    <n v="83.98"/>
    <n v="53465.16"/>
    <n v="-98.4"/>
    <s v="India"/>
  </r>
  <r>
    <x v="12"/>
    <x v="2"/>
    <x v="37"/>
    <x v="0"/>
    <x v="4"/>
    <x v="3"/>
    <n v="3.16"/>
    <n v="2.77"/>
    <n v="1.52"/>
    <n v="1949.68"/>
    <n v="1531.96"/>
    <n v="884.55"/>
    <n v="-0.39000000000000012"/>
    <n v="-417.72"/>
    <n v="-1.25"/>
    <s v="India"/>
  </r>
  <r>
    <x v="14"/>
    <x v="3"/>
    <x v="39"/>
    <x v="2"/>
    <x v="9"/>
    <x v="6"/>
    <n v="4.12"/>
    <n v="6.14"/>
    <n v="1.52"/>
    <n v="4508.12"/>
    <n v="7028.29"/>
    <n v="1701.79"/>
    <n v="2.0199999999999996"/>
    <n v="2520.17"/>
    <n v="-4.6199999999999992"/>
    <s v="India"/>
  </r>
  <r>
    <x v="4"/>
    <x v="3"/>
    <x v="73"/>
    <x v="2"/>
    <x v="6"/>
    <x v="4"/>
    <n v="30.27"/>
    <n v="28.29"/>
    <n v="1.51"/>
    <n v="107069.34"/>
    <n v="81723.41"/>
    <n v="4041.93"/>
    <n v="-1.9800000000000004"/>
    <n v="-25345.929999999993"/>
    <n v="-26.779999999999998"/>
    <s v="India"/>
  </r>
  <r>
    <x v="4"/>
    <x v="3"/>
    <x v="63"/>
    <x v="2"/>
    <x v="24"/>
    <x v="4"/>
    <n v="5.84"/>
    <n v="4.7699999999999996"/>
    <n v="1.51"/>
    <n v="13636.65"/>
    <n v="12905.05"/>
    <n v="4566.1499999999996"/>
    <n v="-1.0700000000000003"/>
    <n v="-731.60000000000036"/>
    <n v="-3.26"/>
    <s v="India"/>
  </r>
  <r>
    <x v="4"/>
    <x v="3"/>
    <x v="63"/>
    <x v="2"/>
    <x v="6"/>
    <x v="4"/>
    <n v="4.66"/>
    <n v="5.0999999999999996"/>
    <n v="1.49"/>
    <n v="5829.64"/>
    <n v="6929.47"/>
    <n v="2699.02"/>
    <n v="0.4399999999999995"/>
    <n v="1099.83"/>
    <n v="-3.6099999999999994"/>
    <s v="India"/>
  </r>
  <r>
    <x v="0"/>
    <x v="0"/>
    <x v="47"/>
    <x v="4"/>
    <x v="18"/>
    <x v="7"/>
    <n v="3.22"/>
    <n v="4.0199999999999996"/>
    <n v="1.48"/>
    <n v="260.66000000000003"/>
    <n v="514.5"/>
    <n v="195.5"/>
    <n v="0.79999999999999938"/>
    <n v="253.83999999999997"/>
    <n v="-2.5399999999999996"/>
    <s v="India"/>
  </r>
  <r>
    <x v="4"/>
    <x v="3"/>
    <x v="7"/>
    <x v="0"/>
    <x v="16"/>
    <x v="0"/>
    <n v="0.08"/>
    <n v="0.2"/>
    <n v="1.48"/>
    <n v="188.29"/>
    <n v="575"/>
    <n v="4102.8999999999996"/>
    <n v="0.12000000000000001"/>
    <n v="386.71000000000004"/>
    <n v="1.28"/>
    <s v="India"/>
  </r>
  <r>
    <x v="10"/>
    <x v="2"/>
    <x v="42"/>
    <x v="1"/>
    <x v="15"/>
    <x v="0"/>
    <n v="0"/>
    <n v="8.7100000000000009"/>
    <n v="1.48"/>
    <n v="0"/>
    <n v="3494.1"/>
    <n v="595.6"/>
    <n v="8.7100000000000009"/>
    <n v="3494.1"/>
    <n v="-7.23"/>
    <s v="India"/>
  </r>
  <r>
    <x v="10"/>
    <x v="2"/>
    <x v="28"/>
    <x v="1"/>
    <x v="13"/>
    <x v="3"/>
    <n v="5.08"/>
    <n v="5.13"/>
    <n v="1.48"/>
    <n v="2846.51"/>
    <n v="2564.17"/>
    <n v="857.61"/>
    <n v="4.9999999999999822E-2"/>
    <n v="-282.34000000000015"/>
    <n v="-3.65"/>
    <s v="India"/>
  </r>
  <r>
    <x v="12"/>
    <x v="2"/>
    <x v="30"/>
    <x v="1"/>
    <x v="10"/>
    <x v="3"/>
    <n v="5.99"/>
    <n v="3.97"/>
    <n v="1.46"/>
    <n v="5992.09"/>
    <n v="2145.48"/>
    <n v="693.76"/>
    <n v="-2.02"/>
    <n v="-3846.61"/>
    <n v="-2.5100000000000002"/>
    <s v="India"/>
  </r>
  <r>
    <x v="4"/>
    <x v="3"/>
    <x v="7"/>
    <x v="0"/>
    <x v="3"/>
    <x v="2"/>
    <n v="2.63"/>
    <n v="7.12"/>
    <n v="1.46"/>
    <n v="3096.99"/>
    <n v="12733.41"/>
    <n v="1857.56"/>
    <n v="4.49"/>
    <n v="9636.42"/>
    <n v="-5.66"/>
    <s v="India"/>
  </r>
  <r>
    <x v="2"/>
    <x v="1"/>
    <x v="103"/>
    <x v="1"/>
    <x v="14"/>
    <x v="3"/>
    <n v="0"/>
    <n v="0"/>
    <n v="1.45"/>
    <n v="0"/>
    <n v="0"/>
    <n v="707.9"/>
    <n v="0"/>
    <n v="0"/>
    <n v="1.45"/>
    <s v="India"/>
  </r>
  <r>
    <x v="9"/>
    <x v="1"/>
    <x v="26"/>
    <x v="1"/>
    <x v="29"/>
    <x v="7"/>
    <n v="0.02"/>
    <n v="10.11"/>
    <n v="1.45"/>
    <n v="16.600000000000001"/>
    <n v="7065.32"/>
    <n v="970.23"/>
    <n v="10.09"/>
    <n v="7048.7199999999993"/>
    <n v="-8.66"/>
    <s v="India"/>
  </r>
  <r>
    <x v="12"/>
    <x v="2"/>
    <x v="30"/>
    <x v="1"/>
    <x v="17"/>
    <x v="5"/>
    <n v="3.34"/>
    <n v="3.99"/>
    <n v="1.45"/>
    <n v="124.04"/>
    <n v="197.68"/>
    <n v="80.33"/>
    <n v="0.65000000000000036"/>
    <n v="73.64"/>
    <n v="-2.54"/>
    <s v="India"/>
  </r>
  <r>
    <x v="0"/>
    <x v="0"/>
    <x v="0"/>
    <x v="0"/>
    <x v="15"/>
    <x v="0"/>
    <n v="7.24"/>
    <n v="4.55"/>
    <n v="1.45"/>
    <n v="22294.71"/>
    <n v="13632.62"/>
    <n v="5014.49"/>
    <n v="-2.6900000000000004"/>
    <n v="-8662.0899999999983"/>
    <n v="-3.0999999999999996"/>
    <s v="India"/>
  </r>
  <r>
    <x v="1"/>
    <x v="0"/>
    <x v="1"/>
    <x v="0"/>
    <x v="41"/>
    <x v="6"/>
    <n v="2.02"/>
    <n v="6.83"/>
    <n v="1.44"/>
    <n v="396.13"/>
    <n v="838.44"/>
    <n v="287.3"/>
    <n v="4.8100000000000005"/>
    <n v="442.31000000000006"/>
    <n v="-5.3900000000000006"/>
    <s v="India"/>
  </r>
  <r>
    <x v="11"/>
    <x v="2"/>
    <x v="29"/>
    <x v="0"/>
    <x v="14"/>
    <x v="3"/>
    <n v="0.33"/>
    <n v="3.29"/>
    <n v="1.44"/>
    <n v="320.24"/>
    <n v="1137.6099999999999"/>
    <n v="943.15"/>
    <n v="2.96"/>
    <n v="817.36999999999989"/>
    <n v="-1.85"/>
    <s v="India"/>
  </r>
  <r>
    <x v="6"/>
    <x v="2"/>
    <x v="22"/>
    <x v="1"/>
    <x v="15"/>
    <x v="0"/>
    <n v="3.6"/>
    <n v="1.02"/>
    <n v="1.43"/>
    <n v="12516.42"/>
    <n v="3440.66"/>
    <n v="6270.55"/>
    <n v="-2.58"/>
    <n v="-9075.76"/>
    <n v="0.40999999999999992"/>
    <s v="India"/>
  </r>
  <r>
    <x v="6"/>
    <x v="2"/>
    <x v="22"/>
    <x v="1"/>
    <x v="11"/>
    <x v="3"/>
    <n v="5.76"/>
    <n v="4.24"/>
    <n v="1.43"/>
    <n v="5749.29"/>
    <n v="4831.3599999999997"/>
    <n v="2010.39"/>
    <n v="-1.5199999999999996"/>
    <n v="-917.93000000000029"/>
    <n v="-2.8100000000000005"/>
    <s v="India"/>
  </r>
  <r>
    <x v="0"/>
    <x v="0"/>
    <x v="67"/>
    <x v="3"/>
    <x v="19"/>
    <x v="4"/>
    <n v="1.98"/>
    <n v="1.84"/>
    <n v="1.43"/>
    <n v="686.98"/>
    <n v="516.78"/>
    <n v="396.4"/>
    <n v="-0.1399999999999999"/>
    <n v="-170.20000000000005"/>
    <n v="-0.41000000000000014"/>
    <s v="India"/>
  </r>
  <r>
    <x v="2"/>
    <x v="1"/>
    <x v="6"/>
    <x v="1"/>
    <x v="5"/>
    <x v="3"/>
    <n v="3.9"/>
    <n v="3.88"/>
    <n v="1.42"/>
    <n v="1351.4"/>
    <n v="1377.38"/>
    <n v="485.2"/>
    <n v="-2.0000000000000018E-2"/>
    <n v="25.980000000000018"/>
    <n v="-2.46"/>
    <s v="India"/>
  </r>
  <r>
    <x v="2"/>
    <x v="1"/>
    <x v="14"/>
    <x v="1"/>
    <x v="8"/>
    <x v="3"/>
    <n v="5.49"/>
    <n v="4.9000000000000004"/>
    <n v="1.41"/>
    <n v="2442.92"/>
    <n v="2004.74"/>
    <n v="622.09"/>
    <n v="-0.58999999999999986"/>
    <n v="-438.18000000000006"/>
    <n v="-3.49"/>
    <s v="India"/>
  </r>
  <r>
    <x v="14"/>
    <x v="3"/>
    <x v="39"/>
    <x v="2"/>
    <x v="13"/>
    <x v="3"/>
    <n v="3.61"/>
    <n v="3.6"/>
    <n v="1.4"/>
    <n v="957.7"/>
    <n v="848.58"/>
    <n v="179.55"/>
    <n v="-9.9999999999997868E-3"/>
    <n v="-109.12"/>
    <n v="-2.2000000000000002"/>
    <s v="India"/>
  </r>
  <r>
    <x v="5"/>
    <x v="1"/>
    <x v="92"/>
    <x v="1"/>
    <x v="4"/>
    <x v="3"/>
    <n v="0.17"/>
    <n v="1.92"/>
    <n v="1.39"/>
    <n v="97.97"/>
    <n v="1164.4100000000001"/>
    <n v="1001.76"/>
    <n v="1.75"/>
    <n v="1066.44"/>
    <n v="-0.53"/>
    <s v="India"/>
  </r>
  <r>
    <x v="3"/>
    <x v="2"/>
    <x v="5"/>
    <x v="0"/>
    <x v="10"/>
    <x v="3"/>
    <n v="2.2599999999999998"/>
    <n v="5.35"/>
    <n v="1.39"/>
    <n v="4181.16"/>
    <n v="12730.83"/>
    <n v="3468"/>
    <n v="3.09"/>
    <n v="8549.67"/>
    <n v="-3.96"/>
    <s v="India"/>
  </r>
  <r>
    <x v="6"/>
    <x v="2"/>
    <x v="55"/>
    <x v="0"/>
    <x v="8"/>
    <x v="3"/>
    <n v="3.31"/>
    <n v="2.42"/>
    <n v="1.39"/>
    <n v="1231.78"/>
    <n v="1233.95"/>
    <n v="553.39"/>
    <n v="-0.89000000000000012"/>
    <n v="2.1700000000000728"/>
    <n v="-1.03"/>
    <s v="India"/>
  </r>
  <r>
    <x v="4"/>
    <x v="3"/>
    <x v="63"/>
    <x v="2"/>
    <x v="16"/>
    <x v="0"/>
    <n v="0.94"/>
    <n v="3.44"/>
    <n v="1.38"/>
    <n v="2444.2800000000002"/>
    <n v="8747.2900000000009"/>
    <n v="3726.99"/>
    <n v="2.5"/>
    <n v="6303.01"/>
    <n v="-2.06"/>
    <s v="India"/>
  </r>
  <r>
    <x v="2"/>
    <x v="1"/>
    <x v="104"/>
    <x v="3"/>
    <x v="1"/>
    <x v="1"/>
    <n v="7.58"/>
    <n v="6.72"/>
    <n v="1.38"/>
    <n v="1813.14"/>
    <n v="1452.17"/>
    <n v="247.08"/>
    <n v="-0.86000000000000032"/>
    <n v="-360.97"/>
    <n v="-5.34"/>
    <s v="India"/>
  </r>
  <r>
    <x v="14"/>
    <x v="3"/>
    <x v="53"/>
    <x v="2"/>
    <x v="24"/>
    <x v="4"/>
    <n v="2.2799999999999998"/>
    <n v="4.34"/>
    <n v="1.38"/>
    <n v="14013.62"/>
    <n v="26918.43"/>
    <n v="10229.82"/>
    <n v="2.06"/>
    <n v="12904.81"/>
    <n v="-2.96"/>
    <s v="India"/>
  </r>
  <r>
    <x v="1"/>
    <x v="0"/>
    <x v="1"/>
    <x v="0"/>
    <x v="32"/>
    <x v="0"/>
    <n v="3.9"/>
    <n v="2.7"/>
    <n v="1.37"/>
    <n v="5847.33"/>
    <n v="3627.69"/>
    <n v="1821.67"/>
    <n v="-1.1999999999999997"/>
    <n v="-2219.64"/>
    <n v="-1.33"/>
    <s v="India"/>
  </r>
  <r>
    <x v="0"/>
    <x v="0"/>
    <x v="0"/>
    <x v="0"/>
    <x v="26"/>
    <x v="0"/>
    <n v="0.01"/>
    <n v="1.22"/>
    <n v="1.37"/>
    <n v="3.03"/>
    <n v="2295.23"/>
    <n v="3866.71"/>
    <n v="1.21"/>
    <n v="2292.1999999999998"/>
    <n v="0.15000000000000013"/>
    <s v="India"/>
  </r>
  <r>
    <x v="11"/>
    <x v="2"/>
    <x v="85"/>
    <x v="3"/>
    <x v="6"/>
    <x v="4"/>
    <n v="4.76"/>
    <n v="3.09"/>
    <n v="1.37"/>
    <n v="4714.43"/>
    <n v="3023.07"/>
    <n v="959.15"/>
    <n v="-1.67"/>
    <n v="-1691.3600000000001"/>
    <n v="-1.7199999999999998"/>
    <s v="India"/>
  </r>
  <r>
    <x v="4"/>
    <x v="3"/>
    <x v="71"/>
    <x v="2"/>
    <x v="26"/>
    <x v="0"/>
    <n v="6.26"/>
    <n v="1.24"/>
    <n v="1.33"/>
    <n v="21064.25"/>
    <n v="4046.53"/>
    <n v="4781.2"/>
    <n v="-5.0199999999999996"/>
    <n v="-17017.72"/>
    <n v="9.000000000000008E-2"/>
    <s v="India"/>
  </r>
  <r>
    <x v="8"/>
    <x v="4"/>
    <x v="99"/>
    <x v="1"/>
    <x v="10"/>
    <x v="3"/>
    <n v="0.74"/>
    <n v="5.46"/>
    <n v="1.32"/>
    <n v="573.72"/>
    <n v="4020.54"/>
    <n v="896.95"/>
    <n v="4.72"/>
    <n v="3446.8199999999997"/>
    <n v="-4.1399999999999997"/>
    <s v="India"/>
  </r>
  <r>
    <x v="0"/>
    <x v="0"/>
    <x v="51"/>
    <x v="4"/>
    <x v="10"/>
    <x v="3"/>
    <n v="3.67"/>
    <n v="3.96"/>
    <n v="1.32"/>
    <n v="5110.13"/>
    <n v="4303.8999999999996"/>
    <n v="1927.82"/>
    <n v="0.29000000000000004"/>
    <n v="-806.23000000000047"/>
    <n v="-2.6399999999999997"/>
    <s v="India"/>
  </r>
  <r>
    <x v="0"/>
    <x v="0"/>
    <x v="54"/>
    <x v="1"/>
    <x v="18"/>
    <x v="7"/>
    <n v="0"/>
    <n v="2.33"/>
    <n v="1.31"/>
    <n v="0"/>
    <n v="754.01"/>
    <n v="334.45"/>
    <n v="2.33"/>
    <n v="754.01"/>
    <n v="-1.02"/>
    <s v="India"/>
  </r>
  <r>
    <x v="1"/>
    <x v="0"/>
    <x v="66"/>
    <x v="1"/>
    <x v="11"/>
    <x v="3"/>
    <n v="0"/>
    <n v="1.04"/>
    <n v="1.31"/>
    <n v="0"/>
    <n v="615.16999999999996"/>
    <n v="524.88"/>
    <n v="1.04"/>
    <n v="615.16999999999996"/>
    <n v="0.27"/>
    <s v="India"/>
  </r>
  <r>
    <x v="6"/>
    <x v="2"/>
    <x v="105"/>
    <x v="1"/>
    <x v="30"/>
    <x v="5"/>
    <n v="0.98"/>
    <n v="5.92"/>
    <n v="1.31"/>
    <n v="212.62"/>
    <n v="1056.96"/>
    <n v="240.53"/>
    <n v="4.9399999999999995"/>
    <n v="844.34"/>
    <n v="-4.6099999999999994"/>
    <s v="India"/>
  </r>
  <r>
    <x v="4"/>
    <x v="3"/>
    <x v="45"/>
    <x v="2"/>
    <x v="17"/>
    <x v="5"/>
    <n v="2.96"/>
    <n v="4.83"/>
    <n v="1.3"/>
    <n v="3558.2"/>
    <n v="4233.29"/>
    <n v="1063.1400000000001"/>
    <n v="1.87"/>
    <n v="675.09000000000015"/>
    <n v="-3.5300000000000002"/>
    <s v="India"/>
  </r>
  <r>
    <x v="6"/>
    <x v="2"/>
    <x v="55"/>
    <x v="0"/>
    <x v="5"/>
    <x v="3"/>
    <n v="1.47"/>
    <n v="2.66"/>
    <n v="1.3"/>
    <n v="923.63"/>
    <n v="1940.99"/>
    <n v="855.65"/>
    <n v="1.1900000000000002"/>
    <n v="1017.36"/>
    <n v="-1.36"/>
    <s v="India"/>
  </r>
  <r>
    <x v="6"/>
    <x v="2"/>
    <x v="12"/>
    <x v="0"/>
    <x v="37"/>
    <x v="3"/>
    <n v="5.26"/>
    <n v="7.25"/>
    <n v="1.29"/>
    <n v="4790.4399999999996"/>
    <n v="9946.49"/>
    <n v="2063.2800000000002"/>
    <n v="1.9900000000000002"/>
    <n v="5156.05"/>
    <n v="-5.96"/>
    <s v="India"/>
  </r>
  <r>
    <x v="5"/>
    <x v="1"/>
    <x v="10"/>
    <x v="1"/>
    <x v="4"/>
    <x v="3"/>
    <n v="0.63"/>
    <n v="0.97"/>
    <n v="1.29"/>
    <n v="300.11"/>
    <n v="366.91"/>
    <n v="544.05999999999995"/>
    <n v="0.33999999999999997"/>
    <n v="66.800000000000011"/>
    <n v="0.32000000000000006"/>
    <s v="India"/>
  </r>
  <r>
    <x v="11"/>
    <x v="2"/>
    <x v="64"/>
    <x v="3"/>
    <x v="19"/>
    <x v="4"/>
    <n v="1.1000000000000001"/>
    <n v="1.78"/>
    <n v="1.29"/>
    <n v="547.73"/>
    <n v="914.65"/>
    <n v="456.11"/>
    <n v="0.67999999999999994"/>
    <n v="366.91999999999996"/>
    <n v="-0.49"/>
    <s v="India"/>
  </r>
  <r>
    <x v="2"/>
    <x v="1"/>
    <x v="78"/>
    <x v="1"/>
    <x v="5"/>
    <x v="3"/>
    <n v="3.08"/>
    <n v="3.76"/>
    <n v="1.27"/>
    <n v="549.03"/>
    <n v="239.73"/>
    <n v="119.87"/>
    <n v="0.67999999999999972"/>
    <n v="-309.29999999999995"/>
    <n v="-2.4899999999999998"/>
    <s v="India"/>
  </r>
  <r>
    <x v="5"/>
    <x v="1"/>
    <x v="10"/>
    <x v="1"/>
    <x v="18"/>
    <x v="7"/>
    <n v="7.35"/>
    <n v="1.07"/>
    <n v="1.27"/>
    <n v="1526.36"/>
    <n v="223.66"/>
    <n v="375"/>
    <n v="-6.2799999999999994"/>
    <n v="-1302.6999999999998"/>
    <n v="0.19999999999999996"/>
    <s v="India"/>
  </r>
  <r>
    <x v="1"/>
    <x v="0"/>
    <x v="75"/>
    <x v="1"/>
    <x v="6"/>
    <x v="4"/>
    <n v="0"/>
    <n v="15.32"/>
    <n v="1.26"/>
    <n v="0"/>
    <n v="34806.71"/>
    <n v="2754.17"/>
    <n v="15.32"/>
    <n v="34806.71"/>
    <n v="-14.06"/>
    <s v="India"/>
  </r>
  <r>
    <x v="4"/>
    <x v="3"/>
    <x v="73"/>
    <x v="2"/>
    <x v="24"/>
    <x v="4"/>
    <n v="13.92"/>
    <n v="5.47"/>
    <n v="1.26"/>
    <n v="58286.8"/>
    <n v="18682.2"/>
    <n v="4316.66"/>
    <n v="-8.4499999999999993"/>
    <n v="-39604.600000000006"/>
    <n v="-4.21"/>
    <s v="India"/>
  </r>
  <r>
    <x v="14"/>
    <x v="3"/>
    <x v="106"/>
    <x v="2"/>
    <x v="2"/>
    <x v="0"/>
    <n v="0.51"/>
    <n v="3.51"/>
    <n v="1.25"/>
    <n v="1912.55"/>
    <n v="12514.03"/>
    <n v="4206.3500000000004"/>
    <n v="3"/>
    <n v="10601.480000000001"/>
    <n v="-2.2599999999999998"/>
    <s v="India"/>
  </r>
  <r>
    <x v="6"/>
    <x v="2"/>
    <x v="91"/>
    <x v="3"/>
    <x v="6"/>
    <x v="4"/>
    <n v="1.4"/>
    <n v="1.55"/>
    <n v="1.25"/>
    <n v="874.81"/>
    <n v="1145.93"/>
    <n v="827.56"/>
    <n v="0.15000000000000013"/>
    <n v="271.12000000000012"/>
    <n v="-0.30000000000000004"/>
    <s v="India"/>
  </r>
  <r>
    <x v="2"/>
    <x v="1"/>
    <x v="107"/>
    <x v="2"/>
    <x v="12"/>
    <x v="4"/>
    <n v="0.67"/>
    <n v="3.09"/>
    <n v="1.25"/>
    <n v="3725.76"/>
    <n v="11025.6"/>
    <n v="4767.82"/>
    <n v="2.42"/>
    <n v="7299.84"/>
    <n v="-1.8399999999999999"/>
    <s v="India"/>
  </r>
  <r>
    <x v="9"/>
    <x v="1"/>
    <x v="50"/>
    <x v="1"/>
    <x v="4"/>
    <x v="3"/>
    <n v="8.06"/>
    <n v="5.48"/>
    <n v="1.24"/>
    <n v="4634.34"/>
    <n v="2682.45"/>
    <n v="717.91"/>
    <n v="-2.58"/>
    <n v="-1951.8900000000003"/>
    <n v="-4.24"/>
    <s v="India"/>
  </r>
  <r>
    <x v="10"/>
    <x v="2"/>
    <x v="28"/>
    <x v="1"/>
    <x v="35"/>
    <x v="0"/>
    <n v="3.2"/>
    <n v="0.87"/>
    <n v="1.24"/>
    <n v="1781.52"/>
    <n v="386.52"/>
    <n v="597.99"/>
    <n v="-2.33"/>
    <n v="-1395"/>
    <n v="0.37"/>
    <s v="India"/>
  </r>
  <r>
    <x v="6"/>
    <x v="2"/>
    <x v="32"/>
    <x v="0"/>
    <x v="9"/>
    <x v="6"/>
    <n v="0.3"/>
    <n v="1.91"/>
    <n v="1.23"/>
    <n v="221.85"/>
    <n v="1342.46"/>
    <n v="836.72"/>
    <n v="1.6099999999999999"/>
    <n v="1120.6100000000001"/>
    <n v="-0.67999999999999994"/>
    <s v="India"/>
  </r>
  <r>
    <x v="2"/>
    <x v="1"/>
    <x v="59"/>
    <x v="2"/>
    <x v="13"/>
    <x v="3"/>
    <n v="9.26"/>
    <n v="6.63"/>
    <n v="1.23"/>
    <n v="1234.02"/>
    <n v="1162.21"/>
    <n v="169.73"/>
    <n v="-2.63"/>
    <n v="-71.809999999999945"/>
    <n v="-5.4"/>
    <s v="India"/>
  </r>
  <r>
    <x v="1"/>
    <x v="0"/>
    <x v="98"/>
    <x v="1"/>
    <x v="4"/>
    <x v="3"/>
    <n v="1.0900000000000001"/>
    <n v="1.47"/>
    <n v="1.22"/>
    <n v="366.58"/>
    <n v="499.63"/>
    <n v="281.44"/>
    <n v="0.37999999999999989"/>
    <n v="133.05000000000001"/>
    <n v="-0.25"/>
    <s v="India"/>
  </r>
  <r>
    <x v="12"/>
    <x v="2"/>
    <x v="37"/>
    <x v="0"/>
    <x v="13"/>
    <x v="3"/>
    <n v="3.39"/>
    <n v="5.04"/>
    <n v="1.22"/>
    <n v="1654.4"/>
    <n v="2322.12"/>
    <n v="577.32000000000005"/>
    <n v="1.65"/>
    <n v="667.7199999999998"/>
    <n v="-3.8200000000000003"/>
    <s v="India"/>
  </r>
  <r>
    <x v="8"/>
    <x v="4"/>
    <x v="88"/>
    <x v="1"/>
    <x v="13"/>
    <x v="3"/>
    <n v="4.4000000000000004"/>
    <n v="4.5599999999999996"/>
    <n v="1.22"/>
    <n v="2798.23"/>
    <n v="2965.42"/>
    <n v="728.34"/>
    <n v="0.15999999999999925"/>
    <n v="167.19000000000005"/>
    <n v="-3.34"/>
    <s v="India"/>
  </r>
  <r>
    <x v="16"/>
    <x v="3"/>
    <x v="77"/>
    <x v="2"/>
    <x v="9"/>
    <x v="6"/>
    <n v="4.82"/>
    <n v="6.13"/>
    <n v="1.22"/>
    <n v="5005.99"/>
    <n v="6698.36"/>
    <n v="1127.8900000000001"/>
    <n v="1.3099999999999996"/>
    <n v="1692.37"/>
    <n v="-4.91"/>
    <s v="India"/>
  </r>
  <r>
    <x v="12"/>
    <x v="2"/>
    <x v="37"/>
    <x v="0"/>
    <x v="5"/>
    <x v="3"/>
    <n v="7.44"/>
    <n v="9.4499999999999993"/>
    <n v="1.21"/>
    <n v="5161.08"/>
    <n v="7381.88"/>
    <n v="901.09"/>
    <n v="2.0099999999999989"/>
    <n v="2220.8000000000002"/>
    <n v="-8.2399999999999984"/>
    <s v="India"/>
  </r>
  <r>
    <x v="2"/>
    <x v="1"/>
    <x v="60"/>
    <x v="1"/>
    <x v="6"/>
    <x v="4"/>
    <n v="0"/>
    <n v="3.86"/>
    <n v="1.2"/>
    <n v="0"/>
    <n v="12806.73"/>
    <n v="5585.93"/>
    <n v="3.86"/>
    <n v="12806.73"/>
    <n v="-2.66"/>
    <s v="India"/>
  </r>
  <r>
    <x v="4"/>
    <x v="3"/>
    <x v="96"/>
    <x v="2"/>
    <x v="26"/>
    <x v="0"/>
    <n v="0"/>
    <n v="0"/>
    <n v="1.19"/>
    <n v="0"/>
    <n v="0"/>
    <n v="4714.95"/>
    <n v="0"/>
    <n v="0"/>
    <n v="1.19"/>
    <s v="India"/>
  </r>
  <r>
    <x v="10"/>
    <x v="2"/>
    <x v="28"/>
    <x v="1"/>
    <x v="39"/>
    <x v="7"/>
    <n v="3.07"/>
    <n v="2.92"/>
    <n v="1.18"/>
    <n v="466.97"/>
    <n v="615.26"/>
    <n v="201.75"/>
    <n v="-0.14999999999999991"/>
    <n v="148.28999999999996"/>
    <n v="-1.74"/>
    <s v="India"/>
  </r>
  <r>
    <x v="1"/>
    <x v="0"/>
    <x v="1"/>
    <x v="0"/>
    <x v="22"/>
    <x v="6"/>
    <n v="2.79"/>
    <n v="1.19"/>
    <n v="1.17"/>
    <n v="435.27"/>
    <n v="207.76"/>
    <n v="137.96"/>
    <n v="-1.6"/>
    <n v="-227.51"/>
    <n v="-2.0000000000000018E-2"/>
    <s v="India"/>
  </r>
  <r>
    <x v="0"/>
    <x v="0"/>
    <x v="54"/>
    <x v="1"/>
    <x v="4"/>
    <x v="3"/>
    <n v="0.11"/>
    <n v="0.69"/>
    <n v="1.1599999999999999"/>
    <n v="103.44"/>
    <n v="448.24"/>
    <n v="732.08"/>
    <n v="0.57999999999999996"/>
    <n v="344.8"/>
    <n v="0.47"/>
    <s v="India"/>
  </r>
  <r>
    <x v="9"/>
    <x v="1"/>
    <x v="50"/>
    <x v="1"/>
    <x v="17"/>
    <x v="5"/>
    <n v="1.02"/>
    <n v="1.1399999999999999"/>
    <n v="1.1599999999999999"/>
    <n v="87.59"/>
    <n v="96.86"/>
    <n v="190.51"/>
    <n v="0.11999999999999988"/>
    <n v="9.269999999999996"/>
    <n v="2.0000000000000018E-2"/>
    <s v="India"/>
  </r>
  <r>
    <x v="1"/>
    <x v="0"/>
    <x v="98"/>
    <x v="1"/>
    <x v="5"/>
    <x v="3"/>
    <n v="2.87"/>
    <n v="3.81"/>
    <n v="1.1399999999999999"/>
    <n v="4077.49"/>
    <n v="5248.43"/>
    <n v="1716.32"/>
    <n v="0.94"/>
    <n v="1170.9400000000005"/>
    <n v="-2.67"/>
    <s v="India"/>
  </r>
  <r>
    <x v="2"/>
    <x v="1"/>
    <x v="107"/>
    <x v="2"/>
    <x v="2"/>
    <x v="0"/>
    <n v="1.06"/>
    <n v="14.22"/>
    <n v="1.1399999999999999"/>
    <n v="5786.8"/>
    <n v="61018.46"/>
    <n v="4811.8900000000003"/>
    <n v="13.16"/>
    <n v="55231.659999999996"/>
    <n v="-13.08"/>
    <s v="India"/>
  </r>
  <r>
    <x v="6"/>
    <x v="2"/>
    <x v="105"/>
    <x v="1"/>
    <x v="18"/>
    <x v="7"/>
    <n v="0.03"/>
    <n v="0.82"/>
    <n v="1.1399999999999999"/>
    <n v="4"/>
    <n v="814.48"/>
    <n v="1003.44"/>
    <n v="0.78999999999999992"/>
    <n v="810.48"/>
    <n v="0.31999999999999995"/>
    <s v="India"/>
  </r>
  <r>
    <x v="14"/>
    <x v="3"/>
    <x v="53"/>
    <x v="2"/>
    <x v="4"/>
    <x v="3"/>
    <n v="2.84"/>
    <n v="3.52"/>
    <n v="1.1399999999999999"/>
    <n v="4224.83"/>
    <n v="5697.07"/>
    <n v="2180"/>
    <n v="0.68000000000000016"/>
    <n v="1472.2399999999998"/>
    <n v="-2.38"/>
    <s v="India"/>
  </r>
  <r>
    <x v="8"/>
    <x v="4"/>
    <x v="89"/>
    <x v="1"/>
    <x v="3"/>
    <x v="2"/>
    <n v="0.43"/>
    <n v="0.59"/>
    <n v="1.1299999999999999"/>
    <n v="339.56"/>
    <n v="449.48"/>
    <n v="1085.22"/>
    <n v="0.15999999999999998"/>
    <n v="109.92000000000002"/>
    <n v="0.53999999999999992"/>
    <s v="India"/>
  </r>
  <r>
    <x v="17"/>
    <x v="5"/>
    <x v="108"/>
    <x v="2"/>
    <x v="2"/>
    <x v="0"/>
    <n v="1.75"/>
    <n v="3.1"/>
    <n v="1.1299999999999999"/>
    <n v="4170.2"/>
    <n v="7343.27"/>
    <n v="2909.5"/>
    <n v="1.35"/>
    <n v="3173.0700000000006"/>
    <n v="-1.9700000000000002"/>
    <s v="India"/>
  </r>
  <r>
    <x v="4"/>
    <x v="3"/>
    <x v="63"/>
    <x v="2"/>
    <x v="28"/>
    <x v="5"/>
    <n v="0.6"/>
    <n v="1.73"/>
    <n v="1.1299999999999999"/>
    <n v="2596.1799999999998"/>
    <n v="8989.2199999999993"/>
    <n v="5746.48"/>
    <n v="1.1299999999999999"/>
    <n v="6393.0399999999991"/>
    <n v="-0.60000000000000009"/>
    <s v="India"/>
  </r>
  <r>
    <x v="2"/>
    <x v="1"/>
    <x v="8"/>
    <x v="1"/>
    <x v="4"/>
    <x v="3"/>
    <n v="0.34"/>
    <n v="1.76"/>
    <n v="1.1299999999999999"/>
    <n v="115.82"/>
    <n v="661.47"/>
    <n v="514.47"/>
    <n v="1.42"/>
    <n v="545.65000000000009"/>
    <n v="-0.63000000000000012"/>
    <s v="India"/>
  </r>
  <r>
    <x v="10"/>
    <x v="2"/>
    <x v="28"/>
    <x v="1"/>
    <x v="20"/>
    <x v="3"/>
    <n v="3.76"/>
    <n v="6.13"/>
    <n v="1.1200000000000001"/>
    <n v="3513.9"/>
    <n v="6556.2"/>
    <n v="1088.75"/>
    <n v="2.37"/>
    <n v="3042.2999999999997"/>
    <n v="-5.01"/>
    <s v="India"/>
  </r>
  <r>
    <x v="14"/>
    <x v="3"/>
    <x v="53"/>
    <x v="2"/>
    <x v="12"/>
    <x v="4"/>
    <n v="0.85"/>
    <n v="2.86"/>
    <n v="1.1200000000000001"/>
    <n v="3427.19"/>
    <n v="14554.76"/>
    <n v="6606.26"/>
    <n v="2.0099999999999998"/>
    <n v="11127.57"/>
    <n v="-1.7399999999999998"/>
    <s v="India"/>
  </r>
  <r>
    <x v="9"/>
    <x v="1"/>
    <x v="26"/>
    <x v="1"/>
    <x v="8"/>
    <x v="3"/>
    <n v="10.86"/>
    <n v="4.3499999999999996"/>
    <n v="1.1200000000000001"/>
    <n v="6619.84"/>
    <n v="2392.79"/>
    <n v="785.53"/>
    <n v="-6.51"/>
    <n v="-4227.05"/>
    <n v="-3.2299999999999995"/>
    <s v="India"/>
  </r>
  <r>
    <x v="6"/>
    <x v="2"/>
    <x v="49"/>
    <x v="0"/>
    <x v="6"/>
    <x v="4"/>
    <n v="0.53"/>
    <n v="1.79"/>
    <n v="1.1000000000000001"/>
    <n v="439.85"/>
    <n v="1910.76"/>
    <n v="1193.98"/>
    <n v="1.26"/>
    <n v="1470.9099999999999"/>
    <n v="-0.69"/>
    <s v="India"/>
  </r>
  <r>
    <x v="5"/>
    <x v="1"/>
    <x v="40"/>
    <x v="1"/>
    <x v="2"/>
    <x v="0"/>
    <n v="2.57"/>
    <n v="6.39"/>
    <n v="1.1000000000000001"/>
    <n v="4456.21"/>
    <n v="10814.31"/>
    <n v="1846.1"/>
    <n v="3.82"/>
    <n v="6358.0999999999995"/>
    <n v="-5.2899999999999991"/>
    <s v="India"/>
  </r>
  <r>
    <x v="4"/>
    <x v="3"/>
    <x v="71"/>
    <x v="2"/>
    <x v="24"/>
    <x v="4"/>
    <n v="9.26"/>
    <n v="5.33"/>
    <n v="1.0900000000000001"/>
    <n v="54509.45"/>
    <n v="30404.52"/>
    <n v="6589.67"/>
    <n v="-3.9299999999999997"/>
    <n v="-24104.929999999997"/>
    <n v="-4.24"/>
    <s v="India"/>
  </r>
  <r>
    <x v="7"/>
    <x v="1"/>
    <x v="100"/>
    <x v="1"/>
    <x v="16"/>
    <x v="0"/>
    <n v="0.98"/>
    <n v="3.54"/>
    <n v="1.08"/>
    <n v="1554.73"/>
    <n v="6957.63"/>
    <n v="2091.0100000000002"/>
    <n v="2.56"/>
    <n v="5402.9"/>
    <n v="-2.46"/>
    <s v="India"/>
  </r>
  <r>
    <x v="2"/>
    <x v="1"/>
    <x v="109"/>
    <x v="2"/>
    <x v="4"/>
    <x v="3"/>
    <n v="0.03"/>
    <n v="0.56000000000000005"/>
    <n v="1.08"/>
    <n v="3.53"/>
    <n v="21.77"/>
    <n v="32.51"/>
    <n v="0.53"/>
    <n v="18.239999999999998"/>
    <n v="0.52"/>
    <s v="India"/>
  </r>
  <r>
    <x v="2"/>
    <x v="1"/>
    <x v="14"/>
    <x v="1"/>
    <x v="29"/>
    <x v="7"/>
    <n v="2.15"/>
    <n v="2.35"/>
    <n v="1.08"/>
    <n v="1115.4000000000001"/>
    <n v="1303.3399999999999"/>
    <n v="731.55"/>
    <n v="0.20000000000000018"/>
    <n v="187.93999999999983"/>
    <n v="-1.27"/>
    <s v="India"/>
  </r>
  <r>
    <x v="0"/>
    <x v="0"/>
    <x v="47"/>
    <x v="4"/>
    <x v="13"/>
    <x v="3"/>
    <n v="0"/>
    <n v="2.8"/>
    <n v="1.07"/>
    <n v="0"/>
    <n v="230.33"/>
    <n v="98.54"/>
    <n v="2.8"/>
    <n v="230.33"/>
    <n v="-1.7299999999999998"/>
    <s v="India"/>
  </r>
  <r>
    <x v="6"/>
    <x v="2"/>
    <x v="105"/>
    <x v="1"/>
    <x v="33"/>
    <x v="7"/>
    <n v="0.1"/>
    <n v="6.44"/>
    <n v="1.07"/>
    <n v="14.3"/>
    <n v="866.79"/>
    <n v="136.5"/>
    <n v="6.3400000000000007"/>
    <n v="852.49"/>
    <n v="-5.37"/>
    <s v="India"/>
  </r>
  <r>
    <x v="1"/>
    <x v="0"/>
    <x v="24"/>
    <x v="3"/>
    <x v="25"/>
    <x v="7"/>
    <n v="2.35"/>
    <n v="2.79"/>
    <n v="1.07"/>
    <n v="5813.86"/>
    <n v="4485.28"/>
    <n v="1580.07"/>
    <n v="0.43999999999999995"/>
    <n v="-1328.58"/>
    <n v="-1.72"/>
    <s v="India"/>
  </r>
  <r>
    <x v="4"/>
    <x v="3"/>
    <x v="76"/>
    <x v="2"/>
    <x v="9"/>
    <x v="6"/>
    <n v="5.35"/>
    <n v="4.3"/>
    <n v="1.07"/>
    <n v="7146.77"/>
    <n v="5809.53"/>
    <n v="1389.38"/>
    <n v="-1.0499999999999998"/>
    <n v="-1337.2400000000007"/>
    <n v="-3.2299999999999995"/>
    <s v="India"/>
  </r>
  <r>
    <x v="8"/>
    <x v="4"/>
    <x v="19"/>
    <x v="1"/>
    <x v="4"/>
    <x v="3"/>
    <n v="6.24"/>
    <n v="4.79"/>
    <n v="1.06"/>
    <n v="6383.57"/>
    <n v="5879.86"/>
    <n v="1285.2"/>
    <n v="-1.4500000000000002"/>
    <n v="-503.71000000000004"/>
    <n v="-3.73"/>
    <s v="India"/>
  </r>
  <r>
    <x v="6"/>
    <x v="2"/>
    <x v="55"/>
    <x v="0"/>
    <x v="33"/>
    <x v="7"/>
    <n v="0"/>
    <n v="0.67"/>
    <n v="1.06"/>
    <n v="0"/>
    <n v="166.85"/>
    <n v="216.66"/>
    <n v="0.67"/>
    <n v="166.85"/>
    <n v="0.39"/>
    <s v="India"/>
  </r>
  <r>
    <x v="14"/>
    <x v="3"/>
    <x v="110"/>
    <x v="2"/>
    <x v="24"/>
    <x v="4"/>
    <n v="6.17"/>
    <n v="6.16"/>
    <n v="1.06"/>
    <n v="41919.230000000003"/>
    <n v="40625.230000000003"/>
    <n v="8845.58"/>
    <n v="-9.9999999999997868E-3"/>
    <n v="-1294"/>
    <n v="-5.0999999999999996"/>
    <s v="India"/>
  </r>
  <r>
    <x v="5"/>
    <x v="1"/>
    <x v="11"/>
    <x v="1"/>
    <x v="32"/>
    <x v="0"/>
    <n v="0.12"/>
    <n v="0.95"/>
    <n v="1.06"/>
    <n v="62.23"/>
    <n v="415.1"/>
    <n v="330.07"/>
    <n v="0.83"/>
    <n v="352.87"/>
    <n v="0.1100000000000001"/>
    <s v="India"/>
  </r>
  <r>
    <x v="2"/>
    <x v="1"/>
    <x v="68"/>
    <x v="1"/>
    <x v="4"/>
    <x v="3"/>
    <n v="2.71"/>
    <n v="1.26"/>
    <n v="1.05"/>
    <n v="5006.88"/>
    <n v="857.22"/>
    <n v="2050.75"/>
    <n v="-1.45"/>
    <n v="-4149.66"/>
    <n v="-0.20999999999999996"/>
    <s v="India"/>
  </r>
  <r>
    <x v="19"/>
    <x v="1"/>
    <x v="111"/>
    <x v="1"/>
    <x v="4"/>
    <x v="3"/>
    <n v="1.1599999999999999"/>
    <n v="0.17"/>
    <n v="1.05"/>
    <n v="2842.25"/>
    <n v="291"/>
    <n v="3085.5"/>
    <n v="-0.98999999999999988"/>
    <n v="-2551.25"/>
    <n v="0.88"/>
    <s v="India"/>
  </r>
  <r>
    <x v="9"/>
    <x v="1"/>
    <x v="27"/>
    <x v="1"/>
    <x v="18"/>
    <x v="7"/>
    <n v="3.2"/>
    <n v="2.13"/>
    <n v="1.04"/>
    <n v="463.17"/>
    <n v="314.97000000000003"/>
    <n v="149.31"/>
    <n v="-1.0700000000000003"/>
    <n v="-148.19999999999999"/>
    <n v="-1.0899999999999999"/>
    <s v="India"/>
  </r>
  <r>
    <x v="1"/>
    <x v="0"/>
    <x v="24"/>
    <x v="3"/>
    <x v="5"/>
    <x v="3"/>
    <n v="2.5"/>
    <n v="2.2599999999999998"/>
    <n v="1.04"/>
    <n v="953.32"/>
    <n v="737.81"/>
    <n v="343.98"/>
    <n v="-0.24000000000000021"/>
    <n v="-215.5100000000001"/>
    <n v="-1.2199999999999998"/>
    <s v="India"/>
  </r>
  <r>
    <x v="14"/>
    <x v="3"/>
    <x v="39"/>
    <x v="2"/>
    <x v="5"/>
    <x v="3"/>
    <n v="2.54"/>
    <n v="2.76"/>
    <n v="1.03"/>
    <n v="1672.62"/>
    <n v="5445.71"/>
    <n v="2041.4"/>
    <n v="0.21999999999999975"/>
    <n v="3773.09"/>
    <n v="-1.7299999999999998"/>
    <s v="India"/>
  </r>
  <r>
    <x v="11"/>
    <x v="2"/>
    <x v="29"/>
    <x v="0"/>
    <x v="33"/>
    <x v="7"/>
    <n v="0.35"/>
    <n v="2.2999999999999998"/>
    <n v="1.01"/>
    <n v="53.27"/>
    <n v="1109.05"/>
    <n v="492"/>
    <n v="1.9499999999999997"/>
    <n v="1055.78"/>
    <n v="-1.2899999999999998"/>
    <s v="India"/>
  </r>
  <r>
    <x v="0"/>
    <x v="0"/>
    <x v="0"/>
    <x v="0"/>
    <x v="17"/>
    <x v="5"/>
    <n v="7.81"/>
    <n v="11.02"/>
    <n v="1"/>
    <n v="4157.16"/>
    <n v="4709.93"/>
    <n v="728.69"/>
    <n v="3.21"/>
    <n v="552.77000000000044"/>
    <n v="-10.02"/>
    <s v="India"/>
  </r>
  <r>
    <x v="6"/>
    <x v="2"/>
    <x v="49"/>
    <x v="0"/>
    <x v="2"/>
    <x v="0"/>
    <n v="0.36"/>
    <n v="1.27"/>
    <n v="1"/>
    <n v="502.48"/>
    <n v="1932.52"/>
    <n v="1530.76"/>
    <n v="0.91"/>
    <n v="1430.04"/>
    <n v="-0.27"/>
    <s v="India"/>
  </r>
  <r>
    <x v="2"/>
    <x v="1"/>
    <x v="112"/>
    <x v="2"/>
    <x v="4"/>
    <x v="3"/>
    <n v="0.56999999999999995"/>
    <n v="3.44"/>
    <n v="1"/>
    <n v="237.71"/>
    <n v="448.59"/>
    <n v="54.75"/>
    <n v="2.87"/>
    <n v="210.87999999999997"/>
    <n v="-2.44"/>
    <s v="India"/>
  </r>
  <r>
    <x v="1"/>
    <x v="0"/>
    <x v="18"/>
    <x v="1"/>
    <x v="0"/>
    <x v="0"/>
    <n v="0.09"/>
    <n v="0.69"/>
    <n v="1"/>
    <n v="76.05"/>
    <n v="884"/>
    <n v="942"/>
    <n v="0.6"/>
    <n v="807.95"/>
    <n v="0.31000000000000005"/>
    <s v="India"/>
  </r>
  <r>
    <x v="4"/>
    <x v="3"/>
    <x v="113"/>
    <x v="3"/>
    <x v="24"/>
    <x v="4"/>
    <n v="1.92"/>
    <n v="2.85"/>
    <n v="0.99"/>
    <n v="1874.39"/>
    <n v="2865.74"/>
    <n v="1039.3699999999999"/>
    <n v="0.93000000000000016"/>
    <n v="991.34999999999968"/>
    <n v="-1.86"/>
    <s v="India"/>
  </r>
  <r>
    <x v="12"/>
    <x v="2"/>
    <x v="30"/>
    <x v="1"/>
    <x v="16"/>
    <x v="0"/>
    <n v="1.5"/>
    <n v="2.48"/>
    <n v="0.97"/>
    <n v="1944.04"/>
    <n v="3011.56"/>
    <n v="1175.6300000000001"/>
    <n v="0.98"/>
    <n v="1067.52"/>
    <n v="-1.51"/>
    <s v="India"/>
  </r>
  <r>
    <x v="5"/>
    <x v="1"/>
    <x v="15"/>
    <x v="1"/>
    <x v="7"/>
    <x v="5"/>
    <n v="11.44"/>
    <n v="2.59"/>
    <n v="0.97"/>
    <n v="5807.54"/>
    <n v="1459.28"/>
    <n v="667.96"/>
    <n v="-8.85"/>
    <n v="-4348.26"/>
    <n v="-1.6199999999999999"/>
    <s v="India"/>
  </r>
  <r>
    <x v="19"/>
    <x v="1"/>
    <x v="114"/>
    <x v="1"/>
    <x v="8"/>
    <x v="3"/>
    <n v="0.52"/>
    <n v="2.1"/>
    <n v="0.97"/>
    <n v="464.83"/>
    <n v="1167.22"/>
    <n v="477.48"/>
    <n v="1.58"/>
    <n v="702.3900000000001"/>
    <n v="-1.1300000000000001"/>
    <s v="India"/>
  </r>
  <r>
    <x v="0"/>
    <x v="0"/>
    <x v="4"/>
    <x v="0"/>
    <x v="11"/>
    <x v="3"/>
    <n v="2.94"/>
    <n v="5.8"/>
    <n v="0.97"/>
    <n v="2041.16"/>
    <n v="5439.42"/>
    <n v="759.1"/>
    <n v="2.86"/>
    <n v="3398.26"/>
    <n v="-4.83"/>
    <s v="India"/>
  </r>
  <r>
    <x v="1"/>
    <x v="0"/>
    <x v="66"/>
    <x v="1"/>
    <x v="21"/>
    <x v="4"/>
    <n v="0"/>
    <n v="8.9499999999999993"/>
    <n v="0.96"/>
    <n v="0"/>
    <n v="4433.51"/>
    <n v="455.85"/>
    <n v="8.9499999999999993"/>
    <n v="4433.51"/>
    <n v="-7.9899999999999993"/>
    <s v="India"/>
  </r>
  <r>
    <x v="14"/>
    <x v="3"/>
    <x v="39"/>
    <x v="2"/>
    <x v="22"/>
    <x v="6"/>
    <n v="1.44"/>
    <n v="1.88"/>
    <n v="0.96"/>
    <n v="210.54"/>
    <n v="267.93"/>
    <n v="148.88999999999999"/>
    <n v="0.43999999999999995"/>
    <n v="57.390000000000015"/>
    <n v="-0.91999999999999993"/>
    <s v="India"/>
  </r>
  <r>
    <x v="9"/>
    <x v="1"/>
    <x v="50"/>
    <x v="1"/>
    <x v="14"/>
    <x v="3"/>
    <n v="1.1299999999999999"/>
    <n v="2.14"/>
    <n v="0.95"/>
    <n v="891.08"/>
    <n v="1908.98"/>
    <n v="784.68"/>
    <n v="1.0100000000000002"/>
    <n v="1017.9"/>
    <n v="-1.1900000000000002"/>
    <s v="India"/>
  </r>
  <r>
    <x v="14"/>
    <x v="3"/>
    <x v="106"/>
    <x v="2"/>
    <x v="12"/>
    <x v="4"/>
    <n v="1.79"/>
    <n v="2.13"/>
    <n v="0.95"/>
    <n v="7785.44"/>
    <n v="12037.56"/>
    <n v="5731.6"/>
    <n v="0.33999999999999986"/>
    <n v="4252.12"/>
    <n v="-1.18"/>
    <s v="India"/>
  </r>
  <r>
    <x v="6"/>
    <x v="2"/>
    <x v="55"/>
    <x v="0"/>
    <x v="37"/>
    <x v="3"/>
    <n v="0.92"/>
    <n v="4.3899999999999997"/>
    <n v="0.95"/>
    <n v="882.77"/>
    <n v="5876.9"/>
    <n v="1632.67"/>
    <n v="3.4699999999999998"/>
    <n v="4994.1299999999992"/>
    <n v="-3.4399999999999995"/>
    <s v="India"/>
  </r>
  <r>
    <x v="2"/>
    <x v="1"/>
    <x v="59"/>
    <x v="2"/>
    <x v="0"/>
    <x v="0"/>
    <n v="5.07"/>
    <n v="7.33"/>
    <n v="0.95"/>
    <n v="5152.97"/>
    <n v="9643.7000000000007"/>
    <n v="1131.56"/>
    <n v="2.2599999999999998"/>
    <n v="4490.7300000000005"/>
    <n v="-6.38"/>
    <s v="India"/>
  </r>
  <r>
    <x v="2"/>
    <x v="1"/>
    <x v="59"/>
    <x v="2"/>
    <x v="15"/>
    <x v="0"/>
    <n v="9.49"/>
    <n v="6.27"/>
    <n v="0.95"/>
    <n v="35220.89"/>
    <n v="24606.78"/>
    <n v="3996.59"/>
    <n v="-3.2200000000000006"/>
    <n v="-10614.11"/>
    <n v="-5.3199999999999994"/>
    <s v="India"/>
  </r>
  <r>
    <x v="19"/>
    <x v="1"/>
    <x v="114"/>
    <x v="1"/>
    <x v="7"/>
    <x v="5"/>
    <n v="4.5999999999999996"/>
    <n v="2.96"/>
    <n v="0.94"/>
    <n v="1317.81"/>
    <n v="924.71"/>
    <n v="319.23"/>
    <n v="-1.6399999999999997"/>
    <n v="-393.09999999999991"/>
    <n v="-2.02"/>
    <s v="India"/>
  </r>
  <r>
    <x v="5"/>
    <x v="1"/>
    <x v="34"/>
    <x v="1"/>
    <x v="2"/>
    <x v="0"/>
    <n v="0.98"/>
    <n v="4.49"/>
    <n v="0.94"/>
    <n v="1593.1"/>
    <n v="8047.82"/>
    <n v="1883"/>
    <n v="3.5100000000000002"/>
    <n v="6454.7199999999993"/>
    <n v="-3.5500000000000003"/>
    <s v="India"/>
  </r>
  <r>
    <x v="4"/>
    <x v="3"/>
    <x v="73"/>
    <x v="2"/>
    <x v="29"/>
    <x v="7"/>
    <n v="1.02"/>
    <n v="1.79"/>
    <n v="0.94"/>
    <n v="609"/>
    <n v="1031.7"/>
    <n v="627"/>
    <n v="0.77"/>
    <n v="422.70000000000005"/>
    <n v="-0.85000000000000009"/>
    <s v="India"/>
  </r>
  <r>
    <x v="1"/>
    <x v="0"/>
    <x v="1"/>
    <x v="0"/>
    <x v="9"/>
    <x v="6"/>
    <n v="15.85"/>
    <n v="11.37"/>
    <n v="0.93"/>
    <n v="12119.47"/>
    <n v="10181.549999999999"/>
    <n v="649.37"/>
    <n v="-4.4800000000000004"/>
    <n v="-1937.92"/>
    <n v="-10.44"/>
    <s v="India"/>
  </r>
  <r>
    <x v="6"/>
    <x v="2"/>
    <x v="115"/>
    <x v="3"/>
    <x v="24"/>
    <x v="4"/>
    <n v="2.63"/>
    <n v="2.41"/>
    <n v="0.93"/>
    <n v="3504.09"/>
    <n v="3264.21"/>
    <n v="1103.1300000000001"/>
    <n v="-0.21999999999999975"/>
    <n v="-239.88000000000011"/>
    <n v="-1.48"/>
    <s v="India"/>
  </r>
  <r>
    <x v="1"/>
    <x v="0"/>
    <x v="1"/>
    <x v="0"/>
    <x v="33"/>
    <x v="7"/>
    <n v="4.0199999999999996"/>
    <n v="6.27"/>
    <n v="0.93"/>
    <n v="1074.73"/>
    <n v="2138.19"/>
    <n v="474.2"/>
    <n v="2.25"/>
    <n v="1063.46"/>
    <n v="-5.34"/>
    <s v="India"/>
  </r>
  <r>
    <x v="19"/>
    <x v="1"/>
    <x v="114"/>
    <x v="1"/>
    <x v="10"/>
    <x v="3"/>
    <n v="0.6"/>
    <n v="2.08"/>
    <n v="0.93"/>
    <n v="1108.26"/>
    <n v="3425.77"/>
    <n v="1479.78"/>
    <n v="1.48"/>
    <n v="2317.5100000000002"/>
    <n v="-1.1499999999999999"/>
    <s v="India"/>
  </r>
  <r>
    <x v="4"/>
    <x v="3"/>
    <x v="76"/>
    <x v="2"/>
    <x v="8"/>
    <x v="3"/>
    <n v="1.18"/>
    <n v="1.86"/>
    <n v="0.93"/>
    <n v="1908.91"/>
    <n v="3294.39"/>
    <n v="1574.1"/>
    <n v="0.68000000000000016"/>
    <n v="1385.4799999999998"/>
    <n v="-0.93"/>
    <s v="India"/>
  </r>
  <r>
    <x v="6"/>
    <x v="2"/>
    <x v="91"/>
    <x v="3"/>
    <x v="30"/>
    <x v="5"/>
    <n v="2.82"/>
    <n v="2.81"/>
    <n v="0.92"/>
    <n v="1675.84"/>
    <n v="1507.46"/>
    <n v="473.06"/>
    <n v="-9.9999999999997868E-3"/>
    <n v="-168.37999999999988"/>
    <n v="-1.8900000000000001"/>
    <s v="India"/>
  </r>
  <r>
    <x v="5"/>
    <x v="1"/>
    <x v="11"/>
    <x v="1"/>
    <x v="3"/>
    <x v="2"/>
    <n v="4.33"/>
    <n v="3.6"/>
    <n v="0.92"/>
    <n v="3440.74"/>
    <n v="2922.43"/>
    <n v="745.42"/>
    <n v="-0.73"/>
    <n v="-518.30999999999995"/>
    <n v="-2.68"/>
    <s v="India"/>
  </r>
  <r>
    <x v="0"/>
    <x v="0"/>
    <x v="36"/>
    <x v="1"/>
    <x v="7"/>
    <x v="5"/>
    <n v="3.87"/>
    <n v="1.98"/>
    <n v="0.91"/>
    <n v="2101.52"/>
    <n v="1094.99"/>
    <n v="492.94"/>
    <n v="-1.8900000000000001"/>
    <n v="-1006.53"/>
    <n v="-1.0699999999999998"/>
    <s v="India"/>
  </r>
  <r>
    <x v="3"/>
    <x v="2"/>
    <x v="116"/>
    <x v="0"/>
    <x v="22"/>
    <x v="6"/>
    <n v="0"/>
    <n v="1.68"/>
    <n v="0.91"/>
    <n v="0"/>
    <n v="191.39"/>
    <n v="96.39"/>
    <n v="1.68"/>
    <n v="191.39"/>
    <n v="-0.76999999999999991"/>
    <s v="India"/>
  </r>
  <r>
    <x v="16"/>
    <x v="3"/>
    <x v="77"/>
    <x v="2"/>
    <x v="6"/>
    <x v="4"/>
    <n v="4.3499999999999996"/>
    <n v="3.65"/>
    <n v="0.91"/>
    <n v="17168.05"/>
    <n v="15064.63"/>
    <n v="3832.46"/>
    <n v="-0.69999999999999973"/>
    <n v="-2103.42"/>
    <n v="-2.7399999999999998"/>
    <s v="India"/>
  </r>
  <r>
    <x v="2"/>
    <x v="1"/>
    <x v="6"/>
    <x v="1"/>
    <x v="0"/>
    <x v="0"/>
    <n v="13.44"/>
    <n v="2.71"/>
    <n v="0.9"/>
    <n v="11782.68"/>
    <n v="2593.84"/>
    <n v="842.66"/>
    <n v="-10.73"/>
    <n v="-9188.84"/>
    <n v="-1.81"/>
    <s v="India"/>
  </r>
  <r>
    <x v="2"/>
    <x v="1"/>
    <x v="8"/>
    <x v="1"/>
    <x v="31"/>
    <x v="1"/>
    <n v="4.84"/>
    <n v="4.57"/>
    <n v="0.89"/>
    <n v="1374.55"/>
    <n v="857"/>
    <n v="145.5"/>
    <n v="-0.26999999999999957"/>
    <n v="-517.54999999999995"/>
    <n v="-3.68"/>
    <s v="India"/>
  </r>
  <r>
    <x v="1"/>
    <x v="0"/>
    <x v="66"/>
    <x v="1"/>
    <x v="5"/>
    <x v="3"/>
    <n v="0"/>
    <n v="1.27"/>
    <n v="0.89"/>
    <n v="0"/>
    <n v="964.85"/>
    <n v="811.4"/>
    <n v="1.27"/>
    <n v="964.85"/>
    <n v="-0.38"/>
    <s v="India"/>
  </r>
  <r>
    <x v="11"/>
    <x v="2"/>
    <x v="29"/>
    <x v="0"/>
    <x v="3"/>
    <x v="2"/>
    <n v="3.16"/>
    <n v="3.72"/>
    <n v="0.89"/>
    <n v="2413.87"/>
    <n v="2481.77"/>
    <n v="611.29"/>
    <n v="0.56000000000000005"/>
    <n v="67.900000000000091"/>
    <n v="-2.83"/>
    <s v="India"/>
  </r>
  <r>
    <x v="1"/>
    <x v="0"/>
    <x v="66"/>
    <x v="1"/>
    <x v="24"/>
    <x v="4"/>
    <n v="0"/>
    <n v="1.3"/>
    <n v="0.88"/>
    <n v="0"/>
    <n v="1882.53"/>
    <n v="1113.58"/>
    <n v="1.3"/>
    <n v="1882.53"/>
    <n v="-0.42000000000000004"/>
    <s v="India"/>
  </r>
  <r>
    <x v="6"/>
    <x v="2"/>
    <x v="49"/>
    <x v="0"/>
    <x v="10"/>
    <x v="3"/>
    <n v="2.19"/>
    <n v="0.85"/>
    <n v="0.87"/>
    <n v="805.78"/>
    <n v="350.24"/>
    <n v="311.94"/>
    <n v="-1.3399999999999999"/>
    <n v="-455.53999999999996"/>
    <n v="2.0000000000000018E-2"/>
    <s v="India"/>
  </r>
  <r>
    <x v="2"/>
    <x v="1"/>
    <x v="59"/>
    <x v="2"/>
    <x v="21"/>
    <x v="4"/>
    <n v="2.52"/>
    <n v="2.41"/>
    <n v="0.87"/>
    <n v="7116.28"/>
    <n v="4730.72"/>
    <n v="1967.81"/>
    <n v="-0.10999999999999988"/>
    <n v="-2385.5599999999995"/>
    <n v="-1.54"/>
    <s v="India"/>
  </r>
  <r>
    <x v="11"/>
    <x v="2"/>
    <x v="29"/>
    <x v="0"/>
    <x v="17"/>
    <x v="5"/>
    <n v="2.1"/>
    <n v="3.75"/>
    <n v="0.87"/>
    <n v="224.86"/>
    <n v="220.11"/>
    <n v="66.44"/>
    <n v="1.65"/>
    <n v="-4.75"/>
    <n v="-2.88"/>
    <s v="India"/>
  </r>
  <r>
    <x v="10"/>
    <x v="2"/>
    <x v="28"/>
    <x v="1"/>
    <x v="5"/>
    <x v="3"/>
    <n v="2.42"/>
    <n v="1.99"/>
    <n v="0.87"/>
    <n v="678.98"/>
    <n v="511.15"/>
    <n v="215.86"/>
    <n v="-0.42999999999999994"/>
    <n v="-167.83000000000004"/>
    <n v="-1.1200000000000001"/>
    <s v="India"/>
  </r>
  <r>
    <x v="6"/>
    <x v="2"/>
    <x v="32"/>
    <x v="0"/>
    <x v="10"/>
    <x v="3"/>
    <n v="2"/>
    <n v="2.42"/>
    <n v="0.85"/>
    <n v="1874.6"/>
    <n v="2110.02"/>
    <n v="601.37"/>
    <n v="0.41999999999999993"/>
    <n v="235.42000000000007"/>
    <n v="-1.5699999999999998"/>
    <s v="India"/>
  </r>
  <r>
    <x v="7"/>
    <x v="1"/>
    <x v="100"/>
    <x v="1"/>
    <x v="4"/>
    <x v="3"/>
    <n v="0.19"/>
    <n v="1.29"/>
    <n v="0.85"/>
    <n v="81.510000000000005"/>
    <n v="736.66"/>
    <n v="594.79999999999995"/>
    <n v="1.1000000000000001"/>
    <n v="655.15"/>
    <n v="-0.44000000000000006"/>
    <s v="India"/>
  </r>
  <r>
    <x v="7"/>
    <x v="1"/>
    <x v="58"/>
    <x v="1"/>
    <x v="4"/>
    <x v="3"/>
    <n v="0.25"/>
    <n v="2.71"/>
    <n v="0.85"/>
    <n v="119.54"/>
    <n v="1436.62"/>
    <n v="487.22"/>
    <n v="2.46"/>
    <n v="1317.08"/>
    <n v="-1.8599999999999999"/>
    <s v="India"/>
  </r>
  <r>
    <x v="6"/>
    <x v="2"/>
    <x v="22"/>
    <x v="1"/>
    <x v="37"/>
    <x v="3"/>
    <n v="0.21"/>
    <n v="0.23"/>
    <n v="0.84"/>
    <n v="172.99"/>
    <n v="556.61"/>
    <n v="2064"/>
    <n v="2.0000000000000018E-2"/>
    <n v="383.62"/>
    <n v="0.61"/>
    <s v="India"/>
  </r>
  <r>
    <x v="2"/>
    <x v="1"/>
    <x v="59"/>
    <x v="2"/>
    <x v="5"/>
    <x v="3"/>
    <n v="1.55"/>
    <n v="1.82"/>
    <n v="0.84"/>
    <n v="1455.76"/>
    <n v="1816.41"/>
    <n v="593.65"/>
    <n v="0.27"/>
    <n v="360.65000000000009"/>
    <n v="-0.98000000000000009"/>
    <s v="India"/>
  </r>
  <r>
    <x v="2"/>
    <x v="1"/>
    <x v="104"/>
    <x v="3"/>
    <x v="23"/>
    <x v="1"/>
    <n v="2.14"/>
    <n v="2.85"/>
    <n v="0.84"/>
    <n v="310.5"/>
    <n v="379.83"/>
    <n v="115.74"/>
    <n v="0.71"/>
    <n v="69.329999999999984"/>
    <n v="-2.0100000000000002"/>
    <s v="India"/>
  </r>
  <r>
    <x v="1"/>
    <x v="0"/>
    <x v="75"/>
    <x v="1"/>
    <x v="2"/>
    <x v="0"/>
    <n v="0"/>
    <n v="1.22"/>
    <n v="0.83"/>
    <n v="0"/>
    <n v="1586.48"/>
    <n v="1009.6"/>
    <n v="1.22"/>
    <n v="1586.48"/>
    <n v="-0.39"/>
    <s v="India"/>
  </r>
  <r>
    <x v="6"/>
    <x v="2"/>
    <x v="105"/>
    <x v="1"/>
    <x v="39"/>
    <x v="7"/>
    <n v="0.16"/>
    <n v="3.84"/>
    <n v="0.82"/>
    <n v="18"/>
    <n v="552.79999999999995"/>
    <n v="131"/>
    <n v="3.6799999999999997"/>
    <n v="534.79999999999995"/>
    <n v="-3.02"/>
    <s v="India"/>
  </r>
  <r>
    <x v="6"/>
    <x v="2"/>
    <x v="117"/>
    <x v="4"/>
    <x v="4"/>
    <x v="3"/>
    <n v="8.31"/>
    <n v="4.84"/>
    <n v="0.82"/>
    <n v="1368.52"/>
    <n v="1598.73"/>
    <n v="337.27"/>
    <n v="-3.4700000000000006"/>
    <n v="230.21000000000004"/>
    <n v="-4.0199999999999996"/>
    <s v="India"/>
  </r>
  <r>
    <x v="4"/>
    <x v="3"/>
    <x v="71"/>
    <x v="2"/>
    <x v="12"/>
    <x v="4"/>
    <n v="1.1499999999999999"/>
    <n v="1.6"/>
    <n v="0.82"/>
    <n v="4349.4799999999996"/>
    <n v="5986.54"/>
    <n v="3271.45"/>
    <n v="0.45000000000000018"/>
    <n v="1637.0600000000004"/>
    <n v="-0.78000000000000014"/>
    <s v="India"/>
  </r>
  <r>
    <x v="0"/>
    <x v="0"/>
    <x v="35"/>
    <x v="1"/>
    <x v="11"/>
    <x v="3"/>
    <n v="8.08"/>
    <n v="6.36"/>
    <n v="0.81"/>
    <n v="4754.42"/>
    <n v="3788.7"/>
    <n v="369.59"/>
    <n v="-1.7199999999999998"/>
    <n v="-965.72000000000025"/>
    <n v="-5.5500000000000007"/>
    <s v="India"/>
  </r>
  <r>
    <x v="14"/>
    <x v="3"/>
    <x v="110"/>
    <x v="2"/>
    <x v="6"/>
    <x v="4"/>
    <n v="2.78"/>
    <n v="2.79"/>
    <n v="0.81"/>
    <n v="8456.64"/>
    <n v="9879.43"/>
    <n v="4279.38"/>
    <n v="1.0000000000000231E-2"/>
    <n v="1422.7900000000009"/>
    <n v="-1.98"/>
    <s v="India"/>
  </r>
  <r>
    <x v="5"/>
    <x v="1"/>
    <x v="11"/>
    <x v="1"/>
    <x v="5"/>
    <x v="3"/>
    <n v="3.6"/>
    <n v="2.78"/>
    <n v="0.81"/>
    <n v="2042.85"/>
    <n v="1654.7"/>
    <n v="422.38"/>
    <n v="-0.82000000000000028"/>
    <n v="-388.14999999999986"/>
    <n v="-1.9699999999999998"/>
    <s v="India"/>
  </r>
  <r>
    <x v="4"/>
    <x v="3"/>
    <x v="96"/>
    <x v="2"/>
    <x v="3"/>
    <x v="2"/>
    <n v="1.84"/>
    <n v="2.2599999999999998"/>
    <n v="0.81"/>
    <n v="2192.25"/>
    <n v="3259.35"/>
    <n v="1195.2"/>
    <n v="0.41999999999999971"/>
    <n v="1067.0999999999999"/>
    <n v="-1.4499999999999997"/>
    <s v="India"/>
  </r>
  <r>
    <x v="6"/>
    <x v="2"/>
    <x v="12"/>
    <x v="0"/>
    <x v="39"/>
    <x v="7"/>
    <n v="0.24"/>
    <n v="1.24"/>
    <n v="0.8"/>
    <n v="54.3"/>
    <n v="208.07"/>
    <n v="133.44999999999999"/>
    <n v="1"/>
    <n v="153.76999999999998"/>
    <n v="-0.43999999999999995"/>
    <s v="India"/>
  </r>
  <r>
    <x v="10"/>
    <x v="2"/>
    <x v="69"/>
    <x v="3"/>
    <x v="24"/>
    <x v="4"/>
    <n v="1.1499999999999999"/>
    <n v="1"/>
    <n v="0.8"/>
    <n v="1118.75"/>
    <n v="469.54"/>
    <n v="266.86"/>
    <n v="-0.14999999999999991"/>
    <n v="-649.21"/>
    <n v="-0.19999999999999996"/>
    <s v="India"/>
  </r>
  <r>
    <x v="2"/>
    <x v="1"/>
    <x v="107"/>
    <x v="2"/>
    <x v="5"/>
    <x v="3"/>
    <n v="0.37"/>
    <n v="2.94"/>
    <n v="0.79"/>
    <n v="3055.85"/>
    <n v="17366"/>
    <n v="5033.6000000000004"/>
    <n v="2.57"/>
    <n v="14310.15"/>
    <n v="-2.15"/>
    <s v="India"/>
  </r>
  <r>
    <x v="2"/>
    <x v="1"/>
    <x v="60"/>
    <x v="1"/>
    <x v="3"/>
    <x v="2"/>
    <n v="0"/>
    <n v="1.53"/>
    <n v="0.79"/>
    <n v="0"/>
    <n v="2057.5300000000002"/>
    <n v="1065.68"/>
    <n v="1.53"/>
    <n v="2057.5300000000002"/>
    <n v="-0.74"/>
    <s v="India"/>
  </r>
  <r>
    <x v="2"/>
    <x v="1"/>
    <x v="14"/>
    <x v="1"/>
    <x v="5"/>
    <x v="3"/>
    <n v="2.29"/>
    <n v="2.11"/>
    <n v="0.79"/>
    <n v="1908.3"/>
    <n v="2153.4299999999998"/>
    <n v="885.02"/>
    <n v="-0.18000000000000016"/>
    <n v="245.12999999999988"/>
    <n v="-1.3199999999999998"/>
    <s v="India"/>
  </r>
  <r>
    <x v="3"/>
    <x v="2"/>
    <x v="5"/>
    <x v="0"/>
    <x v="0"/>
    <x v="0"/>
    <n v="0.27"/>
    <n v="0.05"/>
    <n v="0.79"/>
    <n v="800.99"/>
    <n v="75.25"/>
    <n v="1400"/>
    <n v="-0.22000000000000003"/>
    <n v="-725.74"/>
    <n v="0.74"/>
    <s v="India"/>
  </r>
  <r>
    <x v="5"/>
    <x v="1"/>
    <x v="11"/>
    <x v="1"/>
    <x v="31"/>
    <x v="1"/>
    <n v="1.23"/>
    <n v="1.77"/>
    <n v="0.79"/>
    <n v="511.05"/>
    <n v="387"/>
    <n v="232.5"/>
    <n v="0.54"/>
    <n v="-124.05000000000001"/>
    <n v="-0.98"/>
    <s v="India"/>
  </r>
  <r>
    <x v="8"/>
    <x v="4"/>
    <x v="118"/>
    <x v="3"/>
    <x v="4"/>
    <x v="3"/>
    <n v="1.91"/>
    <n v="1.72"/>
    <n v="0.78"/>
    <n v="47.72"/>
    <n v="43.27"/>
    <n v="9.84"/>
    <n v="-0.18999999999999995"/>
    <n v="-4.4499999999999957"/>
    <n v="-0.94"/>
    <s v="India"/>
  </r>
  <r>
    <x v="2"/>
    <x v="1"/>
    <x v="112"/>
    <x v="2"/>
    <x v="24"/>
    <x v="4"/>
    <n v="0"/>
    <n v="3.72"/>
    <n v="0.77"/>
    <n v="0"/>
    <n v="21915.21"/>
    <n v="4728.09"/>
    <n v="3.72"/>
    <n v="21915.21"/>
    <n v="-2.95"/>
    <s v="India"/>
  </r>
  <r>
    <x v="14"/>
    <x v="3"/>
    <x v="39"/>
    <x v="2"/>
    <x v="12"/>
    <x v="4"/>
    <n v="0.56000000000000005"/>
    <n v="2.13"/>
    <n v="0.77"/>
    <n v="2566.61"/>
    <n v="7836.92"/>
    <n v="2936.75"/>
    <n v="1.5699999999999998"/>
    <n v="5270.3099999999995"/>
    <n v="-1.3599999999999999"/>
    <s v="India"/>
  </r>
  <r>
    <x v="7"/>
    <x v="1"/>
    <x v="100"/>
    <x v="1"/>
    <x v="7"/>
    <x v="5"/>
    <n v="5.03"/>
    <n v="3.01"/>
    <n v="0.77"/>
    <n v="2783.3"/>
    <n v="1966.41"/>
    <n v="421.76"/>
    <n v="-2.0200000000000005"/>
    <n v="-816.8900000000001"/>
    <n v="-2.2399999999999998"/>
    <s v="India"/>
  </r>
  <r>
    <x v="4"/>
    <x v="3"/>
    <x v="45"/>
    <x v="2"/>
    <x v="2"/>
    <x v="0"/>
    <n v="0"/>
    <n v="172.61"/>
    <n v="0.76"/>
    <n v="0"/>
    <n v="379534.13"/>
    <n v="1737.14"/>
    <n v="172.61"/>
    <n v="379534.13"/>
    <n v="-171.85000000000002"/>
    <s v="India"/>
  </r>
  <r>
    <x v="6"/>
    <x v="2"/>
    <x v="105"/>
    <x v="1"/>
    <x v="4"/>
    <x v="3"/>
    <n v="0.15"/>
    <n v="1.17"/>
    <n v="0.76"/>
    <n v="67.84"/>
    <n v="253.87"/>
    <n v="471.5"/>
    <n v="1.02"/>
    <n v="186.03"/>
    <n v="-0.40999999999999992"/>
    <s v="India"/>
  </r>
  <r>
    <x v="0"/>
    <x v="0"/>
    <x v="51"/>
    <x v="4"/>
    <x v="15"/>
    <x v="0"/>
    <n v="0.3"/>
    <n v="0.82"/>
    <n v="0.76"/>
    <n v="1053.6099999999999"/>
    <n v="2860.66"/>
    <n v="3314.17"/>
    <n v="0.52"/>
    <n v="1807.05"/>
    <n v="-5.9999999999999942E-2"/>
    <s v="India"/>
  </r>
  <r>
    <x v="17"/>
    <x v="5"/>
    <x v="87"/>
    <x v="2"/>
    <x v="15"/>
    <x v="0"/>
    <n v="0.93"/>
    <n v="1.65"/>
    <n v="0.76"/>
    <n v="3150.07"/>
    <n v="6749.96"/>
    <n v="3404.8"/>
    <n v="0.71999999999999986"/>
    <n v="3599.89"/>
    <n v="-0.8899999999999999"/>
    <s v="India"/>
  </r>
  <r>
    <x v="14"/>
    <x v="3"/>
    <x v="39"/>
    <x v="2"/>
    <x v="28"/>
    <x v="5"/>
    <n v="0.61"/>
    <n v="1.85"/>
    <n v="0.75"/>
    <n v="2782.99"/>
    <n v="13049.51"/>
    <n v="4346.43"/>
    <n v="1.2400000000000002"/>
    <n v="10266.52"/>
    <n v="-1.1000000000000001"/>
    <s v="India"/>
  </r>
  <r>
    <x v="0"/>
    <x v="0"/>
    <x v="74"/>
    <x v="0"/>
    <x v="9"/>
    <x v="6"/>
    <n v="0.73"/>
    <n v="0.23"/>
    <n v="0.75"/>
    <n v="610"/>
    <n v="230"/>
    <n v="675"/>
    <n v="-0.5"/>
    <n v="-380"/>
    <n v="0.52"/>
    <s v="India"/>
  </r>
  <r>
    <x v="2"/>
    <x v="1"/>
    <x v="2"/>
    <x v="1"/>
    <x v="23"/>
    <x v="1"/>
    <n v="1.63"/>
    <n v="0.89"/>
    <n v="0.75"/>
    <n v="219.83"/>
    <n v="134.55000000000001"/>
    <n v="112.7"/>
    <n v="-0.73999999999999988"/>
    <n v="-85.28"/>
    <n v="-0.14000000000000001"/>
    <s v="India"/>
  </r>
  <r>
    <x v="2"/>
    <x v="1"/>
    <x v="78"/>
    <x v="1"/>
    <x v="3"/>
    <x v="2"/>
    <n v="0.56999999999999995"/>
    <n v="1.28"/>
    <n v="0.75"/>
    <n v="81.12"/>
    <n v="172.09"/>
    <n v="102.09"/>
    <n v="0.71000000000000008"/>
    <n v="90.97"/>
    <n v="-0.53"/>
    <s v="India"/>
  </r>
  <r>
    <x v="0"/>
    <x v="0"/>
    <x v="47"/>
    <x v="4"/>
    <x v="4"/>
    <x v="3"/>
    <n v="0.69"/>
    <n v="0.69"/>
    <n v="0.75"/>
    <n v="172.69"/>
    <n v="268.24"/>
    <n v="83.81"/>
    <n v="0"/>
    <n v="95.550000000000011"/>
    <n v="6.0000000000000053E-2"/>
    <s v="India"/>
  </r>
  <r>
    <x v="17"/>
    <x v="5"/>
    <x v="87"/>
    <x v="2"/>
    <x v="18"/>
    <x v="7"/>
    <n v="0.21"/>
    <n v="2.59"/>
    <n v="0.74"/>
    <n v="114.58"/>
    <n v="2346.0700000000002"/>
    <n v="684.38"/>
    <n v="2.38"/>
    <n v="2231.4900000000002"/>
    <n v="-1.8499999999999999"/>
    <s v="India"/>
  </r>
  <r>
    <x v="2"/>
    <x v="1"/>
    <x v="78"/>
    <x v="1"/>
    <x v="14"/>
    <x v="3"/>
    <n v="0"/>
    <n v="0.11"/>
    <n v="0.73"/>
    <n v="0"/>
    <n v="55.17"/>
    <n v="318.66000000000003"/>
    <n v="0.11"/>
    <n v="55.17"/>
    <n v="0.62"/>
    <s v="India"/>
  </r>
  <r>
    <x v="5"/>
    <x v="1"/>
    <x v="119"/>
    <x v="1"/>
    <x v="8"/>
    <x v="3"/>
    <n v="1.72"/>
    <n v="2.4700000000000002"/>
    <n v="0.73"/>
    <n v="2427.65"/>
    <n v="2951.91"/>
    <n v="973.71"/>
    <n v="0.75000000000000022"/>
    <n v="524.25999999999976"/>
    <n v="-1.7400000000000002"/>
    <s v="India"/>
  </r>
  <r>
    <x v="0"/>
    <x v="0"/>
    <x v="4"/>
    <x v="0"/>
    <x v="10"/>
    <x v="3"/>
    <n v="0.72"/>
    <n v="3.59"/>
    <n v="0.73"/>
    <n v="1413.06"/>
    <n v="7820.18"/>
    <n v="1598.18"/>
    <n v="2.87"/>
    <n v="6407.1200000000008"/>
    <n v="-2.86"/>
    <s v="India"/>
  </r>
  <r>
    <x v="1"/>
    <x v="0"/>
    <x v="31"/>
    <x v="1"/>
    <x v="24"/>
    <x v="4"/>
    <n v="8.0299999999999994"/>
    <n v="5.0199999999999996"/>
    <n v="0.72"/>
    <n v="11673.64"/>
    <n v="7619.47"/>
    <n v="1047.8599999999999"/>
    <n v="-3.01"/>
    <n v="-4054.1699999999992"/>
    <n v="-4.3"/>
    <s v="India"/>
  </r>
  <r>
    <x v="9"/>
    <x v="1"/>
    <x v="26"/>
    <x v="1"/>
    <x v="4"/>
    <x v="3"/>
    <n v="6.09"/>
    <n v="7.91"/>
    <n v="0.72"/>
    <n v="3021.56"/>
    <n v="3808.3"/>
    <n v="358.09"/>
    <n v="1.8200000000000003"/>
    <n v="786.74000000000024"/>
    <n v="-7.19"/>
    <s v="India"/>
  </r>
  <r>
    <x v="1"/>
    <x v="0"/>
    <x v="1"/>
    <x v="0"/>
    <x v="34"/>
    <x v="6"/>
    <n v="0.55000000000000004"/>
    <n v="1.84"/>
    <n v="0.72"/>
    <n v="763.89"/>
    <n v="2078.52"/>
    <n v="778.94"/>
    <n v="1.29"/>
    <n v="1314.63"/>
    <n v="-1.1200000000000001"/>
    <s v="India"/>
  </r>
  <r>
    <x v="2"/>
    <x v="1"/>
    <x v="2"/>
    <x v="1"/>
    <x v="14"/>
    <x v="3"/>
    <n v="1.91"/>
    <n v="5.91"/>
    <n v="0.72"/>
    <n v="724.24"/>
    <n v="2878.39"/>
    <n v="363.72"/>
    <n v="4"/>
    <n v="2154.1499999999996"/>
    <n v="-5.19"/>
    <s v="India"/>
  </r>
  <r>
    <x v="4"/>
    <x v="3"/>
    <x v="96"/>
    <x v="2"/>
    <x v="24"/>
    <x v="4"/>
    <n v="2.04"/>
    <n v="0.82"/>
    <n v="0.72"/>
    <n v="11380.48"/>
    <n v="6902.9"/>
    <n v="8259.1"/>
    <n v="-1.2200000000000002"/>
    <n v="-4477.58"/>
    <n v="-9.9999999999999978E-2"/>
    <s v="India"/>
  </r>
  <r>
    <x v="6"/>
    <x v="2"/>
    <x v="55"/>
    <x v="0"/>
    <x v="15"/>
    <x v="0"/>
    <n v="2.25"/>
    <n v="0"/>
    <n v="0.72"/>
    <n v="8150.54"/>
    <n v="3.1"/>
    <n v="3091.03"/>
    <n v="-2.25"/>
    <n v="-8147.44"/>
    <n v="0.72"/>
    <s v="India"/>
  </r>
  <r>
    <x v="2"/>
    <x v="1"/>
    <x v="112"/>
    <x v="2"/>
    <x v="12"/>
    <x v="4"/>
    <n v="0"/>
    <n v="1.54"/>
    <n v="0.71"/>
    <n v="0"/>
    <n v="5511.98"/>
    <n v="2719.32"/>
    <n v="1.54"/>
    <n v="5511.98"/>
    <n v="-0.83000000000000007"/>
    <s v="India"/>
  </r>
  <r>
    <x v="17"/>
    <x v="5"/>
    <x v="108"/>
    <x v="2"/>
    <x v="18"/>
    <x v="7"/>
    <n v="2.39"/>
    <n v="1.9"/>
    <n v="0.71"/>
    <n v="1129.8900000000001"/>
    <n v="1274.3800000000001"/>
    <n v="570.24"/>
    <n v="-0.49000000000000021"/>
    <n v="144.49"/>
    <n v="-1.19"/>
    <s v="India"/>
  </r>
  <r>
    <x v="14"/>
    <x v="3"/>
    <x v="110"/>
    <x v="2"/>
    <x v="2"/>
    <x v="0"/>
    <n v="0.28000000000000003"/>
    <n v="1.43"/>
    <n v="0.71"/>
    <n v="758.08"/>
    <n v="3453.99"/>
    <n v="1734.44"/>
    <n v="1.1499999999999999"/>
    <n v="2695.91"/>
    <n v="-0.72"/>
    <s v="India"/>
  </r>
  <r>
    <x v="18"/>
    <x v="0"/>
    <x v="93"/>
    <x v="1"/>
    <x v="22"/>
    <x v="6"/>
    <n v="1.82"/>
    <n v="2.12"/>
    <n v="0.7"/>
    <n v="231"/>
    <n v="214.33"/>
    <n v="68.040000000000006"/>
    <n v="0.30000000000000004"/>
    <n v="-16.669999999999987"/>
    <n v="-1.4200000000000002"/>
    <s v="India"/>
  </r>
  <r>
    <x v="4"/>
    <x v="3"/>
    <x v="45"/>
    <x v="2"/>
    <x v="8"/>
    <x v="3"/>
    <n v="2.08"/>
    <n v="1.71"/>
    <n v="0.7"/>
    <n v="3501.6"/>
    <n v="3424.49"/>
    <n v="1205.95"/>
    <n v="-0.37000000000000011"/>
    <n v="-77.110000000000127"/>
    <n v="-1.01"/>
    <s v="India"/>
  </r>
  <r>
    <x v="6"/>
    <x v="2"/>
    <x v="55"/>
    <x v="0"/>
    <x v="3"/>
    <x v="2"/>
    <n v="0.64"/>
    <n v="1"/>
    <n v="0.7"/>
    <n v="453.19"/>
    <n v="867.13"/>
    <n v="641.54999999999995"/>
    <n v="0.36"/>
    <n v="413.94"/>
    <n v="-0.30000000000000004"/>
    <s v="India"/>
  </r>
  <r>
    <x v="0"/>
    <x v="0"/>
    <x v="72"/>
    <x v="4"/>
    <x v="3"/>
    <x v="2"/>
    <n v="3.26"/>
    <n v="3.09"/>
    <n v="0.69"/>
    <n v="2611.1799999999998"/>
    <n v="2322.15"/>
    <n v="540.13"/>
    <n v="-0.16999999999999993"/>
    <n v="-289.02999999999975"/>
    <n v="-2.4"/>
    <s v="India"/>
  </r>
  <r>
    <x v="0"/>
    <x v="0"/>
    <x v="35"/>
    <x v="1"/>
    <x v="10"/>
    <x v="3"/>
    <n v="3.23"/>
    <n v="3.58"/>
    <n v="0.69"/>
    <n v="5712.54"/>
    <n v="7149.16"/>
    <n v="1302.9100000000001"/>
    <n v="0.35000000000000009"/>
    <n v="1436.62"/>
    <n v="-2.89"/>
    <s v="India"/>
  </r>
  <r>
    <x v="3"/>
    <x v="2"/>
    <x v="116"/>
    <x v="0"/>
    <x v="2"/>
    <x v="0"/>
    <n v="17.62"/>
    <n v="9.57"/>
    <n v="0.68"/>
    <n v="47250"/>
    <n v="24384.75"/>
    <n v="1986.42"/>
    <n v="-8.0500000000000007"/>
    <n v="-22865.25"/>
    <n v="-8.89"/>
    <s v="India"/>
  </r>
  <r>
    <x v="0"/>
    <x v="0"/>
    <x v="17"/>
    <x v="0"/>
    <x v="37"/>
    <x v="3"/>
    <n v="2.82"/>
    <n v="2.78"/>
    <n v="0.68"/>
    <n v="1875.34"/>
    <n v="1754.84"/>
    <n v="492.28"/>
    <n v="-4.0000000000000036E-2"/>
    <n v="-120.5"/>
    <n v="-2.0999999999999996"/>
    <s v="India"/>
  </r>
  <r>
    <x v="16"/>
    <x v="3"/>
    <x v="120"/>
    <x v="0"/>
    <x v="34"/>
    <x v="6"/>
    <n v="0"/>
    <n v="0.69"/>
    <n v="0.67"/>
    <n v="0"/>
    <n v="1488.86"/>
    <n v="1121.96"/>
    <n v="0.69"/>
    <n v="1488.86"/>
    <n v="-1.9999999999999907E-2"/>
    <s v="India"/>
  </r>
  <r>
    <x v="14"/>
    <x v="3"/>
    <x v="106"/>
    <x v="2"/>
    <x v="24"/>
    <x v="4"/>
    <n v="4.05"/>
    <n v="3.38"/>
    <n v="0.67"/>
    <n v="33721.1"/>
    <n v="25379.08"/>
    <n v="5743.16"/>
    <n v="-0.66999999999999993"/>
    <n v="-8342.0199999999968"/>
    <n v="-2.71"/>
    <s v="India"/>
  </r>
  <r>
    <x v="9"/>
    <x v="1"/>
    <x v="27"/>
    <x v="1"/>
    <x v="5"/>
    <x v="3"/>
    <n v="3.56"/>
    <n v="3.68"/>
    <n v="0.66"/>
    <n v="2410.64"/>
    <n v="3005.53"/>
    <n v="544.09"/>
    <n v="0.12000000000000011"/>
    <n v="594.89000000000033"/>
    <n v="-3.02"/>
    <s v="India"/>
  </r>
  <r>
    <x v="2"/>
    <x v="1"/>
    <x v="60"/>
    <x v="1"/>
    <x v="24"/>
    <x v="4"/>
    <n v="0"/>
    <n v="3.19"/>
    <n v="0.66"/>
    <n v="0"/>
    <n v="21215.34"/>
    <n v="4794.6099999999997"/>
    <n v="3.19"/>
    <n v="21215.34"/>
    <n v="-2.5299999999999998"/>
    <s v="India"/>
  </r>
  <r>
    <x v="4"/>
    <x v="3"/>
    <x v="96"/>
    <x v="2"/>
    <x v="12"/>
    <x v="4"/>
    <n v="1.04"/>
    <n v="0.79"/>
    <n v="0.66"/>
    <n v="3556.76"/>
    <n v="4386.28"/>
    <n v="4538.1499999999996"/>
    <n v="-0.25"/>
    <n v="829.51999999999953"/>
    <n v="-0.13"/>
    <s v="India"/>
  </r>
  <r>
    <x v="12"/>
    <x v="2"/>
    <x v="30"/>
    <x v="1"/>
    <x v="2"/>
    <x v="0"/>
    <n v="2.9"/>
    <n v="2.65"/>
    <n v="0.66"/>
    <n v="3977.91"/>
    <n v="3909.82"/>
    <n v="940.77"/>
    <n v="-0.25"/>
    <n v="-68.089999999999691"/>
    <n v="-1.9899999999999998"/>
    <s v="India"/>
  </r>
  <r>
    <x v="4"/>
    <x v="3"/>
    <x v="80"/>
    <x v="2"/>
    <x v="15"/>
    <x v="0"/>
    <n v="0.66"/>
    <n v="1.24"/>
    <n v="0.65"/>
    <n v="2809.13"/>
    <n v="5792.05"/>
    <n v="3093.33"/>
    <n v="0.57999999999999996"/>
    <n v="2982.92"/>
    <n v="-0.59"/>
    <s v="India"/>
  </r>
  <r>
    <x v="18"/>
    <x v="0"/>
    <x v="121"/>
    <x v="3"/>
    <x v="24"/>
    <x v="4"/>
    <n v="3.07"/>
    <n v="3.7"/>
    <n v="0.64"/>
    <n v="957.65"/>
    <n v="1252.9000000000001"/>
    <n v="283.36"/>
    <n v="0.63000000000000034"/>
    <n v="295.25000000000011"/>
    <n v="-3.06"/>
    <s v="India"/>
  </r>
  <r>
    <x v="4"/>
    <x v="3"/>
    <x v="71"/>
    <x v="2"/>
    <x v="6"/>
    <x v="4"/>
    <n v="3.17"/>
    <n v="3.83"/>
    <n v="0.64"/>
    <n v="14640.44"/>
    <n v="11956.76"/>
    <n v="3043.5"/>
    <n v="0.66000000000000014"/>
    <n v="-2683.6800000000003"/>
    <n v="-3.19"/>
    <s v="India"/>
  </r>
  <r>
    <x v="10"/>
    <x v="2"/>
    <x v="69"/>
    <x v="3"/>
    <x v="19"/>
    <x v="4"/>
    <n v="0.7"/>
    <n v="0.6"/>
    <n v="0.63"/>
    <n v="279.87"/>
    <n v="295.86"/>
    <n v="278.37"/>
    <n v="-9.9999999999999978E-2"/>
    <n v="15.990000000000009"/>
    <n v="3.0000000000000027E-2"/>
    <s v="India"/>
  </r>
  <r>
    <x v="14"/>
    <x v="3"/>
    <x v="39"/>
    <x v="2"/>
    <x v="24"/>
    <x v="4"/>
    <n v="1.53"/>
    <n v="2.94"/>
    <n v="0.63"/>
    <n v="6885.51"/>
    <n v="15062.74"/>
    <n v="3420.39"/>
    <n v="1.41"/>
    <n v="8177.23"/>
    <n v="-2.31"/>
    <s v="India"/>
  </r>
  <r>
    <x v="4"/>
    <x v="3"/>
    <x v="73"/>
    <x v="2"/>
    <x v="8"/>
    <x v="3"/>
    <n v="0.89"/>
    <n v="1.67"/>
    <n v="0.63"/>
    <n v="585.02"/>
    <n v="710.65"/>
    <n v="320.08999999999997"/>
    <n v="0.77999999999999992"/>
    <n v="125.63"/>
    <n v="-1.04"/>
    <s v="India"/>
  </r>
  <r>
    <x v="5"/>
    <x v="1"/>
    <x v="122"/>
    <x v="1"/>
    <x v="4"/>
    <x v="3"/>
    <n v="0.43"/>
    <n v="0.96"/>
    <n v="0.63"/>
    <n v="84.56"/>
    <n v="202.78"/>
    <n v="317.61"/>
    <n v="0.53"/>
    <n v="118.22"/>
    <n v="-0.32999999999999996"/>
    <s v="India"/>
  </r>
  <r>
    <x v="4"/>
    <x v="3"/>
    <x v="113"/>
    <x v="3"/>
    <x v="38"/>
    <x v="5"/>
    <n v="1.98"/>
    <n v="1.77"/>
    <n v="0.63"/>
    <n v="522.79"/>
    <n v="604.49"/>
    <n v="202.09"/>
    <n v="-0.20999999999999996"/>
    <n v="81.700000000000045"/>
    <n v="-1.1400000000000001"/>
    <s v="India"/>
  </r>
  <r>
    <x v="6"/>
    <x v="2"/>
    <x v="12"/>
    <x v="0"/>
    <x v="0"/>
    <x v="0"/>
    <n v="1.29"/>
    <n v="1.3"/>
    <n v="0.62"/>
    <n v="1155.56"/>
    <n v="1230.18"/>
    <n v="595.46"/>
    <n v="1.0000000000000009E-2"/>
    <n v="74.620000000000118"/>
    <n v="-0.68"/>
    <s v="India"/>
  </r>
  <r>
    <x v="4"/>
    <x v="3"/>
    <x v="63"/>
    <x v="2"/>
    <x v="25"/>
    <x v="7"/>
    <n v="0"/>
    <n v="0.08"/>
    <n v="0.62"/>
    <n v="0"/>
    <n v="859.32"/>
    <n v="6105.98"/>
    <n v="0.08"/>
    <n v="859.32"/>
    <n v="0.54"/>
    <s v="India"/>
  </r>
  <r>
    <x v="2"/>
    <x v="1"/>
    <x v="112"/>
    <x v="2"/>
    <x v="6"/>
    <x v="4"/>
    <n v="0"/>
    <n v="4.09"/>
    <n v="0.62"/>
    <n v="0"/>
    <n v="9364.32"/>
    <n v="2195.7800000000002"/>
    <n v="4.09"/>
    <n v="9364.32"/>
    <n v="-3.4699999999999998"/>
    <s v="India"/>
  </r>
  <r>
    <x v="4"/>
    <x v="3"/>
    <x v="63"/>
    <x v="2"/>
    <x v="38"/>
    <x v="5"/>
    <n v="2.98"/>
    <n v="2.0099999999999998"/>
    <n v="0.62"/>
    <n v="927.48"/>
    <n v="694.18"/>
    <n v="242.44"/>
    <n v="-0.9700000000000002"/>
    <n v="-233.30000000000007"/>
    <n v="-1.3899999999999997"/>
    <s v="India"/>
  </r>
  <r>
    <x v="4"/>
    <x v="3"/>
    <x v="63"/>
    <x v="2"/>
    <x v="3"/>
    <x v="2"/>
    <n v="1.85"/>
    <n v="1.63"/>
    <n v="0.61"/>
    <n v="1777.53"/>
    <n v="1682.1"/>
    <n v="735.5"/>
    <n v="-0.2200000000000002"/>
    <n v="-95.430000000000064"/>
    <n v="-1.02"/>
    <s v="India"/>
  </r>
  <r>
    <x v="9"/>
    <x v="1"/>
    <x v="44"/>
    <x v="1"/>
    <x v="4"/>
    <x v="3"/>
    <n v="0"/>
    <n v="0.28000000000000003"/>
    <n v="0.61"/>
    <n v="0"/>
    <n v="88.92"/>
    <n v="224.46"/>
    <n v="0.28000000000000003"/>
    <n v="88.92"/>
    <n v="0.32999999999999996"/>
    <s v="India"/>
  </r>
  <r>
    <x v="0"/>
    <x v="0"/>
    <x v="72"/>
    <x v="4"/>
    <x v="5"/>
    <x v="3"/>
    <n v="6.1"/>
    <n v="1.29"/>
    <n v="0.6"/>
    <n v="1074.71"/>
    <n v="368.06"/>
    <n v="169.35"/>
    <n v="-4.8099999999999996"/>
    <n v="-706.65000000000009"/>
    <n v="-0.69000000000000006"/>
    <s v="India"/>
  </r>
  <r>
    <x v="6"/>
    <x v="2"/>
    <x v="49"/>
    <x v="0"/>
    <x v="30"/>
    <x v="5"/>
    <n v="3.22"/>
    <n v="1.97"/>
    <n v="0.59"/>
    <n v="429.34"/>
    <n v="258.52"/>
    <n v="106.52"/>
    <n v="-1.2500000000000002"/>
    <n v="-170.82"/>
    <n v="-1.38"/>
    <s v="India"/>
  </r>
  <r>
    <x v="0"/>
    <x v="0"/>
    <x v="36"/>
    <x v="1"/>
    <x v="16"/>
    <x v="0"/>
    <n v="1.2"/>
    <n v="2.2999999999999998"/>
    <n v="0.59"/>
    <n v="1199.83"/>
    <n v="2974.27"/>
    <n v="675.85"/>
    <n v="1.0999999999999999"/>
    <n v="1774.44"/>
    <n v="-1.71"/>
    <s v="India"/>
  </r>
  <r>
    <x v="4"/>
    <x v="3"/>
    <x v="63"/>
    <x v="2"/>
    <x v="10"/>
    <x v="3"/>
    <n v="1.29"/>
    <n v="1.54"/>
    <n v="0.59"/>
    <n v="865.86"/>
    <n v="1648.7"/>
    <n v="541.62"/>
    <n v="0.25"/>
    <n v="782.84"/>
    <n v="-0.95000000000000007"/>
    <s v="India"/>
  </r>
  <r>
    <x v="14"/>
    <x v="3"/>
    <x v="39"/>
    <x v="2"/>
    <x v="35"/>
    <x v="0"/>
    <n v="3.34"/>
    <n v="2.5"/>
    <n v="0.59"/>
    <n v="9301.11"/>
    <n v="7128.39"/>
    <n v="1682.46"/>
    <n v="-0.83999999999999986"/>
    <n v="-2172.7200000000003"/>
    <n v="-1.9100000000000001"/>
    <s v="India"/>
  </r>
  <r>
    <x v="0"/>
    <x v="0"/>
    <x v="51"/>
    <x v="4"/>
    <x v="7"/>
    <x v="5"/>
    <n v="2.71"/>
    <n v="1.26"/>
    <n v="0.59"/>
    <n v="1416.9"/>
    <n v="737.23"/>
    <n v="322.27"/>
    <n v="-1.45"/>
    <n v="-679.67000000000007"/>
    <n v="-0.67"/>
    <s v="India"/>
  </r>
  <r>
    <x v="1"/>
    <x v="0"/>
    <x v="82"/>
    <x v="1"/>
    <x v="15"/>
    <x v="0"/>
    <n v="0"/>
    <n v="0.5"/>
    <n v="0.57999999999999996"/>
    <n v="0"/>
    <n v="2132.5700000000002"/>
    <n v="2608.9499999999998"/>
    <n v="0.5"/>
    <n v="2132.5700000000002"/>
    <n v="7.999999999999996E-2"/>
    <s v="India"/>
  </r>
  <r>
    <x v="12"/>
    <x v="2"/>
    <x v="123"/>
    <x v="4"/>
    <x v="34"/>
    <x v="6"/>
    <n v="2.09"/>
    <n v="1.19"/>
    <n v="0.57999999999999996"/>
    <n v="1543.46"/>
    <n v="1202.05"/>
    <n v="852.17"/>
    <n v="-0.89999999999999991"/>
    <n v="-341.41000000000008"/>
    <n v="-0.61"/>
    <s v="India"/>
  </r>
  <r>
    <x v="0"/>
    <x v="0"/>
    <x v="36"/>
    <x v="1"/>
    <x v="5"/>
    <x v="3"/>
    <n v="1.44"/>
    <n v="1.87"/>
    <n v="0.56999999999999995"/>
    <n v="573.80999999999995"/>
    <n v="814.07"/>
    <n v="255.03"/>
    <n v="0.43000000000000016"/>
    <n v="240.2600000000001"/>
    <n v="-1.3000000000000003"/>
    <s v="India"/>
  </r>
  <r>
    <x v="14"/>
    <x v="3"/>
    <x v="53"/>
    <x v="2"/>
    <x v="28"/>
    <x v="5"/>
    <n v="0.31"/>
    <n v="0.74"/>
    <n v="0.56999999999999995"/>
    <n v="1714.38"/>
    <n v="5742.41"/>
    <n v="4064.54"/>
    <n v="0.43"/>
    <n v="4028.0299999999997"/>
    <n v="-0.17000000000000004"/>
    <s v="India"/>
  </r>
  <r>
    <x v="2"/>
    <x v="1"/>
    <x v="112"/>
    <x v="2"/>
    <x v="2"/>
    <x v="0"/>
    <n v="0"/>
    <n v="4.3600000000000003"/>
    <n v="0.56000000000000005"/>
    <n v="0"/>
    <n v="10856.72"/>
    <n v="1270.8800000000001"/>
    <n v="4.3600000000000003"/>
    <n v="10856.72"/>
    <n v="-3.8000000000000003"/>
    <s v="India"/>
  </r>
  <r>
    <x v="13"/>
    <x v="1"/>
    <x v="33"/>
    <x v="3"/>
    <x v="24"/>
    <x v="4"/>
    <n v="2.23"/>
    <n v="2.29"/>
    <n v="0.56000000000000005"/>
    <n v="736.29"/>
    <n v="627.91"/>
    <n v="213.72"/>
    <n v="6.0000000000000053E-2"/>
    <n v="-108.38"/>
    <n v="-1.73"/>
    <s v="India"/>
  </r>
  <r>
    <x v="5"/>
    <x v="1"/>
    <x v="15"/>
    <x v="1"/>
    <x v="11"/>
    <x v="3"/>
    <n v="32.31"/>
    <n v="2.52"/>
    <n v="0.56000000000000005"/>
    <n v="10303.65"/>
    <n v="893.37"/>
    <n v="239.67"/>
    <n v="-29.790000000000003"/>
    <n v="-9410.2799999999988"/>
    <n v="-1.96"/>
    <s v="India"/>
  </r>
  <r>
    <x v="2"/>
    <x v="1"/>
    <x v="112"/>
    <x v="2"/>
    <x v="26"/>
    <x v="0"/>
    <n v="0"/>
    <n v="1.53"/>
    <n v="0.56000000000000005"/>
    <n v="0"/>
    <n v="5200.83"/>
    <n v="2050.21"/>
    <n v="1.53"/>
    <n v="5200.83"/>
    <n v="-0.97"/>
    <s v="India"/>
  </r>
  <r>
    <x v="16"/>
    <x v="3"/>
    <x v="77"/>
    <x v="2"/>
    <x v="22"/>
    <x v="6"/>
    <n v="0.32"/>
    <n v="1.38"/>
    <n v="0.55000000000000004"/>
    <n v="55.26"/>
    <n v="189.82"/>
    <n v="75.55"/>
    <n v="1.0599999999999998"/>
    <n v="134.56"/>
    <n v="-0.82999999999999985"/>
    <s v="India"/>
  </r>
  <r>
    <x v="14"/>
    <x v="3"/>
    <x v="124"/>
    <x v="3"/>
    <x v="10"/>
    <x v="3"/>
    <n v="3.05"/>
    <n v="1.93"/>
    <n v="0.55000000000000004"/>
    <n v="9416.58"/>
    <n v="5335.85"/>
    <n v="1518.64"/>
    <n v="-1.1199999999999999"/>
    <n v="-4080.7299999999996"/>
    <n v="-1.38"/>
    <s v="India"/>
  </r>
  <r>
    <x v="4"/>
    <x v="3"/>
    <x v="96"/>
    <x v="2"/>
    <x v="10"/>
    <x v="3"/>
    <n v="1.69"/>
    <n v="1.28"/>
    <n v="0.55000000000000004"/>
    <n v="7007.25"/>
    <n v="4517.3900000000003"/>
    <n v="2097.37"/>
    <n v="-0.40999999999999992"/>
    <n v="-2489.8599999999997"/>
    <n v="-0.73"/>
    <s v="India"/>
  </r>
  <r>
    <x v="4"/>
    <x v="3"/>
    <x v="113"/>
    <x v="3"/>
    <x v="6"/>
    <x v="4"/>
    <n v="0.19"/>
    <n v="0.83"/>
    <n v="0.55000000000000004"/>
    <n v="242.46"/>
    <n v="1037.24"/>
    <n v="523.89"/>
    <n v="0.6399999999999999"/>
    <n v="794.78"/>
    <n v="-0.27999999999999992"/>
    <s v="India"/>
  </r>
  <r>
    <x v="6"/>
    <x v="2"/>
    <x v="32"/>
    <x v="0"/>
    <x v="37"/>
    <x v="3"/>
    <n v="8.69"/>
    <n v="3.18"/>
    <n v="0.54"/>
    <n v="9584.4500000000007"/>
    <n v="5672.36"/>
    <n v="1204.1600000000001"/>
    <n v="-5.51"/>
    <n v="-3912.0900000000011"/>
    <n v="-2.64"/>
    <s v="India"/>
  </r>
  <r>
    <x v="6"/>
    <x v="2"/>
    <x v="12"/>
    <x v="0"/>
    <x v="30"/>
    <x v="5"/>
    <n v="3.17"/>
    <n v="2.37"/>
    <n v="0.54"/>
    <n v="929.5"/>
    <n v="444.58"/>
    <n v="81.209999999999994"/>
    <n v="-0.79999999999999982"/>
    <n v="-484.92"/>
    <n v="-1.83"/>
    <s v="India"/>
  </r>
  <r>
    <x v="1"/>
    <x v="0"/>
    <x v="75"/>
    <x v="1"/>
    <x v="5"/>
    <x v="3"/>
    <n v="0"/>
    <n v="0.92"/>
    <n v="0.54"/>
    <n v="0"/>
    <n v="1170.55"/>
    <n v="779.95"/>
    <n v="0.92"/>
    <n v="1170.55"/>
    <n v="-0.38"/>
    <s v="India"/>
  </r>
  <r>
    <x v="0"/>
    <x v="0"/>
    <x v="4"/>
    <x v="0"/>
    <x v="5"/>
    <x v="3"/>
    <n v="0.39"/>
    <n v="5.96"/>
    <n v="0.54"/>
    <n v="356.87"/>
    <n v="6426.59"/>
    <n v="262.62"/>
    <n v="5.57"/>
    <n v="6069.72"/>
    <n v="-5.42"/>
    <s v="India"/>
  </r>
  <r>
    <x v="4"/>
    <x v="3"/>
    <x v="76"/>
    <x v="2"/>
    <x v="22"/>
    <x v="6"/>
    <n v="0.93"/>
    <n v="1.98"/>
    <n v="0.53"/>
    <n v="259"/>
    <n v="478.8"/>
    <n v="112.3"/>
    <n v="1.0499999999999998"/>
    <n v="219.8"/>
    <n v="-1.45"/>
    <s v="India"/>
  </r>
  <r>
    <x v="16"/>
    <x v="3"/>
    <x v="77"/>
    <x v="2"/>
    <x v="24"/>
    <x v="4"/>
    <n v="2.06"/>
    <n v="2.88"/>
    <n v="0.53"/>
    <n v="17365.88"/>
    <n v="22746.31"/>
    <n v="3864.59"/>
    <n v="0.81999999999999984"/>
    <n v="5380.43"/>
    <n v="-2.3499999999999996"/>
    <s v="India"/>
  </r>
  <r>
    <x v="19"/>
    <x v="1"/>
    <x v="114"/>
    <x v="1"/>
    <x v="14"/>
    <x v="3"/>
    <n v="2.31"/>
    <n v="0.47"/>
    <n v="0.53"/>
    <n v="2087.1999999999998"/>
    <n v="441.4"/>
    <n v="539.70000000000005"/>
    <n v="-1.84"/>
    <n v="-1645.7999999999997"/>
    <n v="6.0000000000000053E-2"/>
    <s v="India"/>
  </r>
  <r>
    <x v="6"/>
    <x v="2"/>
    <x v="115"/>
    <x v="3"/>
    <x v="30"/>
    <x v="5"/>
    <n v="1.55"/>
    <n v="2.19"/>
    <n v="0.53"/>
    <n v="1028.6300000000001"/>
    <n v="1068.3699999999999"/>
    <n v="275.44"/>
    <n v="0.6399999999999999"/>
    <n v="39.739999999999782"/>
    <n v="-1.66"/>
    <s v="India"/>
  </r>
  <r>
    <x v="5"/>
    <x v="1"/>
    <x v="10"/>
    <x v="1"/>
    <x v="5"/>
    <x v="3"/>
    <n v="1.05"/>
    <n v="1.75"/>
    <n v="0.51"/>
    <n v="1210.8"/>
    <n v="2048.7199999999998"/>
    <n v="714.05"/>
    <n v="0.7"/>
    <n v="837.91999999999985"/>
    <n v="-1.24"/>
    <s v="India"/>
  </r>
  <r>
    <x v="4"/>
    <x v="3"/>
    <x v="7"/>
    <x v="0"/>
    <x v="33"/>
    <x v="7"/>
    <n v="0.15"/>
    <n v="0.77"/>
    <n v="0.51"/>
    <n v="80.37"/>
    <n v="456.94"/>
    <n v="280.14999999999998"/>
    <n v="0.62"/>
    <n v="376.57"/>
    <n v="-0.26"/>
    <s v="India"/>
  </r>
  <r>
    <x v="12"/>
    <x v="2"/>
    <x v="37"/>
    <x v="0"/>
    <x v="11"/>
    <x v="3"/>
    <n v="8.35"/>
    <n v="1.55"/>
    <n v="0.51"/>
    <n v="5726.01"/>
    <n v="751.33"/>
    <n v="296.43"/>
    <n v="-6.8"/>
    <n v="-4974.68"/>
    <n v="-1.04"/>
    <s v="India"/>
  </r>
  <r>
    <x v="4"/>
    <x v="3"/>
    <x v="125"/>
    <x v="2"/>
    <x v="2"/>
    <x v="0"/>
    <n v="0"/>
    <n v="0"/>
    <n v="0.51"/>
    <n v="0"/>
    <n v="0"/>
    <n v="1500"/>
    <n v="0"/>
    <n v="0"/>
    <n v="0.51"/>
    <s v="India"/>
  </r>
  <r>
    <x v="1"/>
    <x v="0"/>
    <x v="18"/>
    <x v="1"/>
    <x v="3"/>
    <x v="2"/>
    <n v="2.0699999999999998"/>
    <n v="2.4500000000000002"/>
    <n v="0.5"/>
    <n v="1312.14"/>
    <n v="1955.53"/>
    <n v="403.5"/>
    <n v="0.38000000000000034"/>
    <n v="643.38999999999987"/>
    <n v="-1.9500000000000002"/>
    <s v="India"/>
  </r>
  <r>
    <x v="17"/>
    <x v="5"/>
    <x v="87"/>
    <x v="2"/>
    <x v="0"/>
    <x v="0"/>
    <n v="0.1"/>
    <n v="1.8"/>
    <n v="0.5"/>
    <n v="107.74"/>
    <n v="2960.27"/>
    <n v="890.49"/>
    <n v="1.7"/>
    <n v="2852.53"/>
    <n v="-1.3"/>
    <s v="India"/>
  </r>
  <r>
    <x v="14"/>
    <x v="3"/>
    <x v="53"/>
    <x v="2"/>
    <x v="5"/>
    <x v="3"/>
    <n v="1.1299999999999999"/>
    <n v="1.48"/>
    <n v="0.5"/>
    <n v="1178.3800000000001"/>
    <n v="1269.81"/>
    <n v="406.81"/>
    <n v="0.35000000000000009"/>
    <n v="91.429999999999836"/>
    <n v="-0.98"/>
    <s v="India"/>
  </r>
  <r>
    <x v="14"/>
    <x v="3"/>
    <x v="39"/>
    <x v="2"/>
    <x v="21"/>
    <x v="4"/>
    <n v="2.5299999999999998"/>
    <n v="1.1499999999999999"/>
    <n v="0.5"/>
    <n v="6338.21"/>
    <n v="2859.07"/>
    <n v="1099.33"/>
    <n v="-1.38"/>
    <n v="-3479.14"/>
    <n v="-0.64999999999999991"/>
    <s v="India"/>
  </r>
  <r>
    <x v="6"/>
    <x v="2"/>
    <x v="126"/>
    <x v="1"/>
    <x v="37"/>
    <x v="3"/>
    <n v="0"/>
    <n v="3.94"/>
    <n v="0.49"/>
    <n v="0"/>
    <n v="4654.5600000000004"/>
    <n v="690.76"/>
    <n v="3.94"/>
    <n v="4654.5600000000004"/>
    <n v="-3.45"/>
    <s v="India"/>
  </r>
  <r>
    <x v="6"/>
    <x v="2"/>
    <x v="55"/>
    <x v="0"/>
    <x v="16"/>
    <x v="0"/>
    <n v="1.07"/>
    <n v="1.36"/>
    <n v="0.49"/>
    <n v="2323.3200000000002"/>
    <n v="3097.03"/>
    <n v="1200.54"/>
    <n v="0.29000000000000004"/>
    <n v="773.71"/>
    <n v="-0.87000000000000011"/>
    <s v="India"/>
  </r>
  <r>
    <x v="1"/>
    <x v="0"/>
    <x v="52"/>
    <x v="1"/>
    <x v="3"/>
    <x v="2"/>
    <n v="0"/>
    <n v="0.25"/>
    <n v="0.49"/>
    <n v="0"/>
    <n v="193.5"/>
    <n v="389.5"/>
    <n v="0.25"/>
    <n v="193.5"/>
    <n v="0.24"/>
    <s v="India"/>
  </r>
  <r>
    <x v="4"/>
    <x v="3"/>
    <x v="125"/>
    <x v="2"/>
    <x v="15"/>
    <x v="0"/>
    <n v="4.01"/>
    <n v="1.36"/>
    <n v="0.49"/>
    <n v="14897.8"/>
    <n v="6212.52"/>
    <n v="2161.09"/>
    <n v="-2.6499999999999995"/>
    <n v="-8685.2799999999988"/>
    <n v="-0.87000000000000011"/>
    <s v="India"/>
  </r>
  <r>
    <x v="4"/>
    <x v="3"/>
    <x v="96"/>
    <x v="2"/>
    <x v="6"/>
    <x v="4"/>
    <n v="2.69"/>
    <n v="3.72"/>
    <n v="0.48"/>
    <n v="5052.34"/>
    <n v="8599.66"/>
    <n v="1332.39"/>
    <n v="1.0300000000000002"/>
    <n v="3547.3199999999997"/>
    <n v="-3.24"/>
    <s v="India"/>
  </r>
  <r>
    <x v="2"/>
    <x v="1"/>
    <x v="60"/>
    <x v="1"/>
    <x v="12"/>
    <x v="4"/>
    <n v="0"/>
    <n v="1.73"/>
    <n v="0.48"/>
    <n v="0"/>
    <n v="8683.2900000000009"/>
    <n v="2272.34"/>
    <n v="1.73"/>
    <n v="8683.2900000000009"/>
    <n v="-1.25"/>
    <s v="India"/>
  </r>
  <r>
    <x v="3"/>
    <x v="2"/>
    <x v="127"/>
    <x v="1"/>
    <x v="30"/>
    <x v="5"/>
    <n v="0.84"/>
    <n v="1.07"/>
    <n v="0.48"/>
    <n v="230.15"/>
    <n v="419.42"/>
    <n v="177.67"/>
    <n v="0.23000000000000009"/>
    <n v="189.27"/>
    <n v="-0.59000000000000008"/>
    <s v="India"/>
  </r>
  <r>
    <x v="14"/>
    <x v="3"/>
    <x v="39"/>
    <x v="2"/>
    <x v="18"/>
    <x v="7"/>
    <n v="3.51"/>
    <n v="2.23"/>
    <n v="0.48"/>
    <n v="381.91"/>
    <n v="442.15"/>
    <n v="108.33"/>
    <n v="-1.2799999999999998"/>
    <n v="60.239999999999952"/>
    <n v="-1.75"/>
    <s v="India"/>
  </r>
  <r>
    <x v="10"/>
    <x v="2"/>
    <x v="42"/>
    <x v="1"/>
    <x v="3"/>
    <x v="2"/>
    <n v="0"/>
    <n v="2.9"/>
    <n v="0.47"/>
    <n v="0"/>
    <n v="1170.58"/>
    <n v="203.23"/>
    <n v="2.9"/>
    <n v="1170.58"/>
    <n v="-2.4299999999999997"/>
    <s v="India"/>
  </r>
  <r>
    <x v="4"/>
    <x v="3"/>
    <x v="7"/>
    <x v="0"/>
    <x v="17"/>
    <x v="5"/>
    <n v="0.77"/>
    <n v="1.08"/>
    <n v="0.47"/>
    <n v="146.54"/>
    <n v="86.02"/>
    <n v="88.5"/>
    <n v="0.31000000000000005"/>
    <n v="-60.519999999999996"/>
    <n v="-0.6100000000000001"/>
    <s v="India"/>
  </r>
  <r>
    <x v="0"/>
    <x v="0"/>
    <x v="97"/>
    <x v="0"/>
    <x v="3"/>
    <x v="2"/>
    <n v="1.02"/>
    <n v="0.04"/>
    <n v="0.47"/>
    <n v="1095.0999999999999"/>
    <n v="35"/>
    <n v="520"/>
    <n v="-0.98"/>
    <n v="-1060.0999999999999"/>
    <n v="0.43"/>
    <s v="India"/>
  </r>
  <r>
    <x v="10"/>
    <x v="2"/>
    <x v="42"/>
    <x v="1"/>
    <x v="20"/>
    <x v="3"/>
    <n v="0.5"/>
    <n v="1.55"/>
    <n v="0.47"/>
    <n v="411.44"/>
    <n v="1458.77"/>
    <n v="576.55999999999995"/>
    <n v="1.05"/>
    <n v="1047.33"/>
    <n v="-1.08"/>
    <s v="India"/>
  </r>
  <r>
    <x v="6"/>
    <x v="2"/>
    <x v="32"/>
    <x v="0"/>
    <x v="35"/>
    <x v="0"/>
    <n v="0.43"/>
    <n v="1.27"/>
    <n v="0.47"/>
    <n v="478.56"/>
    <n v="2011.63"/>
    <n v="786.2"/>
    <n v="0.84000000000000008"/>
    <n v="1533.0700000000002"/>
    <n v="-0.8"/>
    <s v="India"/>
  </r>
  <r>
    <x v="5"/>
    <x v="1"/>
    <x v="92"/>
    <x v="1"/>
    <x v="29"/>
    <x v="7"/>
    <n v="0"/>
    <n v="2.23"/>
    <n v="0.47"/>
    <n v="0.01"/>
    <n v="632.62"/>
    <n v="140.02000000000001"/>
    <n v="2.23"/>
    <n v="632.61"/>
    <n v="-1.76"/>
    <s v="India"/>
  </r>
  <r>
    <x v="4"/>
    <x v="3"/>
    <x v="63"/>
    <x v="2"/>
    <x v="11"/>
    <x v="3"/>
    <n v="1.34"/>
    <n v="0.98"/>
    <n v="0.47"/>
    <n v="1084.56"/>
    <n v="833.21"/>
    <n v="420.98"/>
    <n v="-0.3600000000000001"/>
    <n v="-251.34999999999991"/>
    <n v="-0.51"/>
    <s v="India"/>
  </r>
  <r>
    <x v="2"/>
    <x v="1"/>
    <x v="70"/>
    <x v="1"/>
    <x v="31"/>
    <x v="1"/>
    <n v="0"/>
    <n v="4.0999999999999996"/>
    <n v="0.46"/>
    <n v="0"/>
    <n v="1123.8"/>
    <n v="182"/>
    <n v="4.0999999999999996"/>
    <n v="1123.8"/>
    <n v="-3.6399999999999997"/>
    <s v="India"/>
  </r>
  <r>
    <x v="9"/>
    <x v="1"/>
    <x v="26"/>
    <x v="1"/>
    <x v="2"/>
    <x v="0"/>
    <n v="1.87"/>
    <n v="2.5099999999999998"/>
    <n v="0.46"/>
    <n v="3192.66"/>
    <n v="4762.68"/>
    <n v="620.85"/>
    <n v="0.63999999999999968"/>
    <n v="1570.0200000000004"/>
    <n v="-2.0499999999999998"/>
    <s v="India"/>
  </r>
  <r>
    <x v="9"/>
    <x v="1"/>
    <x v="23"/>
    <x v="1"/>
    <x v="8"/>
    <x v="3"/>
    <n v="0.06"/>
    <n v="1.24"/>
    <n v="0.46"/>
    <n v="40.69"/>
    <n v="687.52"/>
    <n v="224"/>
    <n v="1.18"/>
    <n v="646.82999999999993"/>
    <n v="-0.78"/>
    <s v="India"/>
  </r>
  <r>
    <x v="14"/>
    <x v="3"/>
    <x v="53"/>
    <x v="2"/>
    <x v="8"/>
    <x v="3"/>
    <n v="1.55"/>
    <n v="1.22"/>
    <n v="0.46"/>
    <n v="1910.44"/>
    <n v="1134.8499999999999"/>
    <n v="483.41"/>
    <n v="-0.33000000000000007"/>
    <n v="-775.59000000000015"/>
    <n v="-0.76"/>
    <s v="India"/>
  </r>
  <r>
    <x v="6"/>
    <x v="2"/>
    <x v="32"/>
    <x v="0"/>
    <x v="13"/>
    <x v="3"/>
    <n v="0.26"/>
    <n v="0.46"/>
    <n v="0.46"/>
    <n v="34.65"/>
    <n v="98.69"/>
    <n v="102.59"/>
    <n v="0.2"/>
    <n v="64.039999999999992"/>
    <n v="0"/>
    <s v="India"/>
  </r>
  <r>
    <x v="17"/>
    <x v="5"/>
    <x v="108"/>
    <x v="2"/>
    <x v="8"/>
    <x v="3"/>
    <n v="1.58"/>
    <n v="1.21"/>
    <n v="0.46"/>
    <n v="1197.1199999999999"/>
    <n v="773.68"/>
    <n v="284.23"/>
    <n v="-0.37000000000000011"/>
    <n v="-423.43999999999994"/>
    <n v="-0.75"/>
    <s v="India"/>
  </r>
  <r>
    <x v="14"/>
    <x v="3"/>
    <x v="53"/>
    <x v="2"/>
    <x v="14"/>
    <x v="3"/>
    <n v="1.25"/>
    <n v="1.38"/>
    <n v="0.46"/>
    <n v="105.55"/>
    <n v="132.80000000000001"/>
    <n v="65"/>
    <n v="0.12999999999999989"/>
    <n v="27.250000000000014"/>
    <n v="-0.91999999999999993"/>
    <s v="India"/>
  </r>
  <r>
    <x v="1"/>
    <x v="0"/>
    <x v="1"/>
    <x v="0"/>
    <x v="23"/>
    <x v="1"/>
    <n v="0.18"/>
    <n v="0.71"/>
    <n v="0.46"/>
    <n v="31.64"/>
    <n v="110.17"/>
    <n v="60.35"/>
    <n v="0.53"/>
    <n v="78.53"/>
    <n v="-0.24999999999999994"/>
    <s v="India"/>
  </r>
  <r>
    <x v="13"/>
    <x v="1"/>
    <x v="48"/>
    <x v="1"/>
    <x v="13"/>
    <x v="3"/>
    <n v="1.97"/>
    <n v="1.32"/>
    <n v="0.45"/>
    <n v="198.42"/>
    <n v="85.46"/>
    <n v="22.16"/>
    <n v="-0.64999999999999991"/>
    <n v="-112.96"/>
    <n v="-0.87000000000000011"/>
    <s v="India"/>
  </r>
  <r>
    <x v="0"/>
    <x v="0"/>
    <x v="0"/>
    <x v="0"/>
    <x v="29"/>
    <x v="7"/>
    <n v="0.97"/>
    <n v="3.58"/>
    <n v="0.45"/>
    <n v="513.21"/>
    <n v="1938.1"/>
    <n v="221.16"/>
    <n v="2.6100000000000003"/>
    <n v="1424.8899999999999"/>
    <n v="-3.13"/>
    <s v="India"/>
  </r>
  <r>
    <x v="17"/>
    <x v="5"/>
    <x v="108"/>
    <x v="2"/>
    <x v="4"/>
    <x v="3"/>
    <n v="0.85"/>
    <n v="0.49"/>
    <n v="0.45"/>
    <n v="549.77"/>
    <n v="701.25"/>
    <n v="843.66"/>
    <n v="-0.36"/>
    <n v="151.48000000000002"/>
    <n v="-3.999999999999998E-2"/>
    <s v="India"/>
  </r>
  <r>
    <x v="13"/>
    <x v="1"/>
    <x v="33"/>
    <x v="3"/>
    <x v="11"/>
    <x v="3"/>
    <n v="0.64"/>
    <n v="0.52"/>
    <n v="0.45"/>
    <n v="93.89"/>
    <n v="132.69"/>
    <n v="104.66"/>
    <n v="-0.12"/>
    <n v="38.799999999999997"/>
    <n v="-7.0000000000000007E-2"/>
    <s v="India"/>
  </r>
  <r>
    <x v="1"/>
    <x v="0"/>
    <x v="24"/>
    <x v="3"/>
    <x v="7"/>
    <x v="5"/>
    <n v="0.25"/>
    <n v="0.52"/>
    <n v="0.45"/>
    <n v="54.93"/>
    <n v="104.66"/>
    <n v="74.14"/>
    <n v="0.27"/>
    <n v="49.73"/>
    <n v="-7.0000000000000007E-2"/>
    <s v="India"/>
  </r>
  <r>
    <x v="6"/>
    <x v="2"/>
    <x v="32"/>
    <x v="0"/>
    <x v="38"/>
    <x v="5"/>
    <n v="1.67"/>
    <n v="1.63"/>
    <n v="0.44"/>
    <n v="325.70999999999998"/>
    <n v="277.18"/>
    <n v="81.069999999999993"/>
    <n v="-4.0000000000000036E-2"/>
    <n v="-48.529999999999973"/>
    <n v="-1.19"/>
    <s v="India"/>
  </r>
  <r>
    <x v="0"/>
    <x v="0"/>
    <x v="17"/>
    <x v="0"/>
    <x v="4"/>
    <x v="3"/>
    <n v="1.82"/>
    <n v="1.62"/>
    <n v="0.44"/>
    <n v="1160.02"/>
    <n v="912.36"/>
    <n v="289.04000000000002"/>
    <n v="-0.19999999999999996"/>
    <n v="-247.65999999999997"/>
    <n v="-1.1800000000000002"/>
    <s v="India"/>
  </r>
  <r>
    <x v="13"/>
    <x v="1"/>
    <x v="128"/>
    <x v="1"/>
    <x v="4"/>
    <x v="3"/>
    <n v="1.62"/>
    <n v="1.93"/>
    <n v="0.44"/>
    <n v="255.39"/>
    <n v="2403.0500000000002"/>
    <n v="760.25"/>
    <n v="0.30999999999999983"/>
    <n v="2147.6600000000003"/>
    <n v="-1.49"/>
    <s v="India"/>
  </r>
  <r>
    <x v="4"/>
    <x v="3"/>
    <x v="63"/>
    <x v="2"/>
    <x v="13"/>
    <x v="3"/>
    <n v="0.92"/>
    <n v="1.19"/>
    <n v="0.44"/>
    <n v="179.11"/>
    <n v="188.3"/>
    <n v="75.25"/>
    <n v="0.26999999999999991"/>
    <n v="9.1899999999999977"/>
    <n v="-0.75"/>
    <s v="India"/>
  </r>
  <r>
    <x v="0"/>
    <x v="0"/>
    <x v="36"/>
    <x v="1"/>
    <x v="13"/>
    <x v="3"/>
    <n v="0.38"/>
    <n v="1.88"/>
    <n v="0.44"/>
    <n v="61.29"/>
    <n v="276.95"/>
    <n v="96.73"/>
    <n v="1.5"/>
    <n v="215.66"/>
    <n v="-1.44"/>
    <s v="India"/>
  </r>
  <r>
    <x v="10"/>
    <x v="2"/>
    <x v="42"/>
    <x v="1"/>
    <x v="4"/>
    <x v="3"/>
    <n v="1.05"/>
    <n v="0.6"/>
    <n v="0.44"/>
    <n v="333.44"/>
    <n v="225.09"/>
    <n v="135.5"/>
    <n v="-0.45000000000000007"/>
    <n v="-108.35"/>
    <n v="-0.15999999999999998"/>
    <s v="India"/>
  </r>
  <r>
    <x v="2"/>
    <x v="1"/>
    <x v="8"/>
    <x v="1"/>
    <x v="8"/>
    <x v="3"/>
    <n v="0.2"/>
    <n v="1.75"/>
    <n v="0.44"/>
    <n v="190.27"/>
    <n v="1586.78"/>
    <n v="415.68"/>
    <n v="1.55"/>
    <n v="1396.51"/>
    <n v="-1.31"/>
    <s v="India"/>
  </r>
  <r>
    <x v="9"/>
    <x v="1"/>
    <x v="50"/>
    <x v="1"/>
    <x v="5"/>
    <x v="3"/>
    <n v="1.1299999999999999"/>
    <n v="0.96"/>
    <n v="0.44"/>
    <n v="763.68"/>
    <n v="627.16999999999996"/>
    <n v="299.7"/>
    <n v="-0.16999999999999993"/>
    <n v="-136.51"/>
    <n v="-0.52"/>
    <s v="India"/>
  </r>
  <r>
    <x v="6"/>
    <x v="2"/>
    <x v="102"/>
    <x v="1"/>
    <x v="4"/>
    <x v="3"/>
    <n v="1.3"/>
    <n v="0.55000000000000004"/>
    <n v="0.44"/>
    <n v="298.60000000000002"/>
    <n v="123.66"/>
    <n v="118.47"/>
    <n v="-0.75"/>
    <n v="-174.94000000000003"/>
    <n v="-0.11000000000000004"/>
    <s v="India"/>
  </r>
  <r>
    <x v="11"/>
    <x v="2"/>
    <x v="79"/>
    <x v="4"/>
    <x v="11"/>
    <x v="3"/>
    <n v="0.62"/>
    <n v="1.52"/>
    <n v="0.43"/>
    <n v="103.18"/>
    <n v="124.45"/>
    <n v="55.42"/>
    <n v="0.9"/>
    <n v="21.269999999999996"/>
    <n v="-1.0900000000000001"/>
    <s v="India"/>
  </r>
  <r>
    <x v="11"/>
    <x v="2"/>
    <x v="94"/>
    <x v="3"/>
    <x v="30"/>
    <x v="5"/>
    <n v="1.05"/>
    <n v="1.32"/>
    <n v="0.43"/>
    <n v="372.27"/>
    <n v="376.45"/>
    <n v="129.29"/>
    <n v="0.27"/>
    <n v="4.1800000000000068"/>
    <n v="-0.89000000000000012"/>
    <s v="India"/>
  </r>
  <r>
    <x v="2"/>
    <x v="1"/>
    <x v="2"/>
    <x v="1"/>
    <x v="8"/>
    <x v="3"/>
    <n v="1.1499999999999999"/>
    <n v="1.49"/>
    <n v="0.43"/>
    <n v="529.32000000000005"/>
    <n v="624.70000000000005"/>
    <n v="166.05"/>
    <n v="0.34000000000000008"/>
    <n v="95.38"/>
    <n v="-1.06"/>
    <s v="India"/>
  </r>
  <r>
    <x v="5"/>
    <x v="1"/>
    <x v="9"/>
    <x v="1"/>
    <x v="10"/>
    <x v="3"/>
    <n v="2.17"/>
    <n v="1.52"/>
    <n v="0.43"/>
    <n v="3503.97"/>
    <n v="2522.12"/>
    <n v="613.59"/>
    <n v="-0.64999999999999991"/>
    <n v="-981.84999999999991"/>
    <n v="-1.0900000000000001"/>
    <s v="India"/>
  </r>
  <r>
    <x v="6"/>
    <x v="2"/>
    <x v="115"/>
    <x v="3"/>
    <x v="18"/>
    <x v="7"/>
    <n v="0.8"/>
    <n v="1.07"/>
    <n v="0.43"/>
    <n v="165.34"/>
    <n v="215.42"/>
    <n v="78.3"/>
    <n v="0.27"/>
    <n v="50.079999999999984"/>
    <n v="-0.64000000000000012"/>
    <s v="India"/>
  </r>
  <r>
    <x v="12"/>
    <x v="2"/>
    <x v="30"/>
    <x v="1"/>
    <x v="3"/>
    <x v="2"/>
    <n v="0.83"/>
    <n v="1.07"/>
    <n v="0.43"/>
    <n v="435.78"/>
    <n v="519.54999999999995"/>
    <n v="197.92"/>
    <n v="0.2400000000000001"/>
    <n v="83.769999999999982"/>
    <n v="-0.64000000000000012"/>
    <s v="India"/>
  </r>
  <r>
    <x v="9"/>
    <x v="1"/>
    <x v="129"/>
    <x v="1"/>
    <x v="4"/>
    <x v="3"/>
    <n v="1.44"/>
    <n v="1.1200000000000001"/>
    <n v="0.43"/>
    <n v="644.32000000000005"/>
    <n v="478.26"/>
    <n v="196.41"/>
    <n v="-0.31999999999999984"/>
    <n v="-166.06000000000006"/>
    <n v="-0.69000000000000017"/>
    <s v="India"/>
  </r>
  <r>
    <x v="2"/>
    <x v="1"/>
    <x v="6"/>
    <x v="1"/>
    <x v="14"/>
    <x v="3"/>
    <n v="0.18"/>
    <n v="0"/>
    <n v="0.43"/>
    <n v="4.8600000000000003"/>
    <n v="0"/>
    <n v="182.56"/>
    <n v="-0.18"/>
    <n v="-4.8600000000000003"/>
    <n v="0.43"/>
    <s v="India"/>
  </r>
  <r>
    <x v="2"/>
    <x v="1"/>
    <x v="59"/>
    <x v="2"/>
    <x v="28"/>
    <x v="5"/>
    <n v="0.94"/>
    <n v="1.62"/>
    <n v="0.43"/>
    <n v="4544.78"/>
    <n v="11250.48"/>
    <n v="2482.37"/>
    <n v="0.68000000000000016"/>
    <n v="6705.7"/>
    <n v="-1.1900000000000002"/>
    <s v="India"/>
  </r>
  <r>
    <x v="8"/>
    <x v="4"/>
    <x v="99"/>
    <x v="1"/>
    <x v="13"/>
    <x v="3"/>
    <n v="0.17"/>
    <n v="5.87"/>
    <n v="0.43"/>
    <n v="95.06"/>
    <n v="3735.29"/>
    <n v="253.57"/>
    <n v="5.7"/>
    <n v="3640.23"/>
    <n v="-5.44"/>
    <s v="India"/>
  </r>
  <r>
    <x v="8"/>
    <x v="4"/>
    <x v="19"/>
    <x v="1"/>
    <x v="3"/>
    <x v="2"/>
    <n v="0"/>
    <n v="0.21"/>
    <n v="0.42"/>
    <n v="0"/>
    <n v="151.06"/>
    <n v="400"/>
    <n v="0.21"/>
    <n v="151.06"/>
    <n v="0.21"/>
    <s v="India"/>
  </r>
  <r>
    <x v="5"/>
    <x v="1"/>
    <x v="34"/>
    <x v="1"/>
    <x v="31"/>
    <x v="1"/>
    <n v="2.06"/>
    <n v="0"/>
    <n v="0.42"/>
    <n v="934.88"/>
    <n v="0"/>
    <n v="56"/>
    <n v="-2.06"/>
    <n v="-934.88"/>
    <n v="0.42"/>
    <s v="India"/>
  </r>
  <r>
    <x v="6"/>
    <x v="2"/>
    <x v="55"/>
    <x v="0"/>
    <x v="12"/>
    <x v="4"/>
    <n v="5.15"/>
    <n v="4.1100000000000003"/>
    <n v="0.41"/>
    <n v="9433.0300000000007"/>
    <n v="8984.5"/>
    <n v="1706.74"/>
    <n v="-1.04"/>
    <n v="-448.53000000000065"/>
    <n v="-3.7"/>
    <s v="India"/>
  </r>
  <r>
    <x v="11"/>
    <x v="2"/>
    <x v="79"/>
    <x v="4"/>
    <x v="30"/>
    <x v="5"/>
    <n v="1.2"/>
    <n v="1.26"/>
    <n v="0.41"/>
    <n v="10.91"/>
    <n v="4.28"/>
    <n v="1.36"/>
    <n v="6.0000000000000053E-2"/>
    <n v="-6.63"/>
    <n v="-0.85000000000000009"/>
    <s v="India"/>
  </r>
  <r>
    <x v="10"/>
    <x v="2"/>
    <x v="28"/>
    <x v="1"/>
    <x v="17"/>
    <x v="5"/>
    <n v="2.38"/>
    <n v="1.81"/>
    <n v="0.41"/>
    <n v="244.43"/>
    <n v="290.97000000000003"/>
    <n v="51.75"/>
    <n v="-0.56999999999999984"/>
    <n v="46.54000000000002"/>
    <n v="-1.4000000000000001"/>
    <s v="India"/>
  </r>
  <r>
    <x v="1"/>
    <x v="0"/>
    <x v="18"/>
    <x v="1"/>
    <x v="11"/>
    <x v="3"/>
    <n v="1.1599999999999999"/>
    <n v="1.0900000000000001"/>
    <n v="0.41"/>
    <n v="888.26"/>
    <n v="685.45"/>
    <n v="307.51"/>
    <n v="-6.999999999999984E-2"/>
    <n v="-202.80999999999995"/>
    <n v="-0.68000000000000016"/>
    <s v="India"/>
  </r>
  <r>
    <x v="14"/>
    <x v="3"/>
    <x v="53"/>
    <x v="2"/>
    <x v="6"/>
    <x v="4"/>
    <n v="0.67"/>
    <n v="1.23"/>
    <n v="0.41"/>
    <n v="1645.65"/>
    <n v="2606.67"/>
    <n v="1549.44"/>
    <n v="0.55999999999999994"/>
    <n v="961.02"/>
    <n v="-0.82000000000000006"/>
    <s v="India"/>
  </r>
  <r>
    <x v="0"/>
    <x v="0"/>
    <x v="83"/>
    <x v="1"/>
    <x v="4"/>
    <x v="3"/>
    <n v="0.54"/>
    <n v="0.35"/>
    <n v="0.41"/>
    <n v="277.3"/>
    <n v="926.68"/>
    <n v="951.03"/>
    <n v="-0.19000000000000006"/>
    <n v="649.37999999999988"/>
    <n v="0.06"/>
    <s v="India"/>
  </r>
  <r>
    <x v="4"/>
    <x v="3"/>
    <x v="71"/>
    <x v="2"/>
    <x v="4"/>
    <x v="3"/>
    <n v="0.56000000000000005"/>
    <n v="1.45"/>
    <n v="0.41"/>
    <n v="372.62"/>
    <n v="900.13"/>
    <n v="255.47"/>
    <n v="0.8899999999999999"/>
    <n v="527.51"/>
    <n v="-1.04"/>
    <s v="India"/>
  </r>
  <r>
    <x v="4"/>
    <x v="3"/>
    <x v="71"/>
    <x v="2"/>
    <x v="21"/>
    <x v="4"/>
    <n v="1.07"/>
    <n v="0.77"/>
    <n v="0.41"/>
    <n v="2617.8200000000002"/>
    <n v="1367.99"/>
    <n v="769.17"/>
    <n v="-0.30000000000000004"/>
    <n v="-1249.8300000000002"/>
    <n v="-0.36000000000000004"/>
    <s v="India"/>
  </r>
  <r>
    <x v="5"/>
    <x v="1"/>
    <x v="11"/>
    <x v="1"/>
    <x v="13"/>
    <x v="3"/>
    <n v="0.28000000000000003"/>
    <n v="1.9"/>
    <n v="0.41"/>
    <n v="85.3"/>
    <n v="492.27"/>
    <n v="124.46"/>
    <n v="1.6199999999999999"/>
    <n v="406.96999999999997"/>
    <n v="-1.49"/>
    <s v="India"/>
  </r>
  <r>
    <x v="4"/>
    <x v="3"/>
    <x v="63"/>
    <x v="2"/>
    <x v="19"/>
    <x v="4"/>
    <n v="0.46"/>
    <n v="0.55000000000000004"/>
    <n v="0.41"/>
    <n v="535.82000000000005"/>
    <n v="654.54"/>
    <n v="556.49"/>
    <n v="9.0000000000000024E-2"/>
    <n v="118.71999999999991"/>
    <n v="-0.14000000000000007"/>
    <s v="India"/>
  </r>
  <r>
    <x v="13"/>
    <x v="1"/>
    <x v="33"/>
    <x v="3"/>
    <x v="5"/>
    <x v="3"/>
    <n v="1.64"/>
    <n v="1.59"/>
    <n v="0.41"/>
    <n v="51.03"/>
    <n v="50.31"/>
    <n v="27.63"/>
    <n v="-4.9999999999999822E-2"/>
    <n v="-0.71999999999999886"/>
    <n v="-1.1800000000000002"/>
    <s v="India"/>
  </r>
  <r>
    <x v="0"/>
    <x v="0"/>
    <x v="54"/>
    <x v="1"/>
    <x v="7"/>
    <x v="5"/>
    <n v="3.76"/>
    <n v="3.61"/>
    <n v="0.4"/>
    <n v="5645.33"/>
    <n v="3595.62"/>
    <n v="206.21"/>
    <n v="-0.14999999999999991"/>
    <n v="-2049.71"/>
    <n v="-3.21"/>
    <s v="India"/>
  </r>
  <r>
    <x v="6"/>
    <x v="2"/>
    <x v="55"/>
    <x v="0"/>
    <x v="18"/>
    <x v="7"/>
    <n v="0.6"/>
    <n v="1.54"/>
    <n v="0.4"/>
    <n v="87.14"/>
    <n v="195.25"/>
    <n v="46.93"/>
    <n v="0.94000000000000006"/>
    <n v="108.11"/>
    <n v="-1.1400000000000001"/>
    <s v="India"/>
  </r>
  <r>
    <x v="11"/>
    <x v="2"/>
    <x v="29"/>
    <x v="0"/>
    <x v="13"/>
    <x v="3"/>
    <n v="1.1399999999999999"/>
    <n v="3.38"/>
    <n v="0.4"/>
    <n v="190.53"/>
    <n v="461.79"/>
    <n v="49.97"/>
    <n v="2.2400000000000002"/>
    <n v="271.26"/>
    <n v="-2.98"/>
    <s v="India"/>
  </r>
  <r>
    <x v="5"/>
    <x v="1"/>
    <x v="11"/>
    <x v="1"/>
    <x v="16"/>
    <x v="0"/>
    <n v="0.94"/>
    <n v="3.51"/>
    <n v="0.39"/>
    <n v="1498.78"/>
    <n v="5281.08"/>
    <n v="611.08000000000004"/>
    <n v="2.57"/>
    <n v="3782.3"/>
    <n v="-3.1199999999999997"/>
    <s v="India"/>
  </r>
  <r>
    <x v="4"/>
    <x v="3"/>
    <x v="73"/>
    <x v="2"/>
    <x v="3"/>
    <x v="2"/>
    <n v="72.84"/>
    <n v="2.42"/>
    <n v="0.38"/>
    <n v="89288.98"/>
    <n v="3104.65"/>
    <n v="468.98"/>
    <n v="-70.42"/>
    <n v="-86184.33"/>
    <n v="-2.04"/>
    <s v="India"/>
  </r>
  <r>
    <x v="0"/>
    <x v="0"/>
    <x v="36"/>
    <x v="1"/>
    <x v="35"/>
    <x v="0"/>
    <n v="0.54"/>
    <n v="0.91"/>
    <n v="0.38"/>
    <n v="539.57000000000005"/>
    <n v="1222.6500000000001"/>
    <n v="731.32"/>
    <n v="0.37"/>
    <n v="683.08"/>
    <n v="-0.53"/>
    <s v="India"/>
  </r>
  <r>
    <x v="13"/>
    <x v="1"/>
    <x v="48"/>
    <x v="1"/>
    <x v="18"/>
    <x v="7"/>
    <n v="1.92"/>
    <n v="1.52"/>
    <n v="0.38"/>
    <n v="270.24"/>
    <n v="218.83"/>
    <n v="69.37"/>
    <n v="-0.39999999999999991"/>
    <n v="-51.41"/>
    <n v="-1.1400000000000001"/>
    <s v="India"/>
  </r>
  <r>
    <x v="0"/>
    <x v="0"/>
    <x v="35"/>
    <x v="1"/>
    <x v="3"/>
    <x v="2"/>
    <n v="2.74"/>
    <n v="1.1399999999999999"/>
    <n v="0.38"/>
    <n v="1489.16"/>
    <n v="724.5"/>
    <n v="252.22"/>
    <n v="-1.6000000000000003"/>
    <n v="-764.66000000000008"/>
    <n v="-0.7599999999999999"/>
    <s v="India"/>
  </r>
  <r>
    <x v="6"/>
    <x v="2"/>
    <x v="130"/>
    <x v="4"/>
    <x v="8"/>
    <x v="3"/>
    <n v="0.2"/>
    <n v="1"/>
    <n v="0.37"/>
    <n v="104"/>
    <n v="552.79"/>
    <n v="232.72"/>
    <n v="0.8"/>
    <n v="448.78999999999996"/>
    <n v="-0.63"/>
    <s v="India"/>
  </r>
  <r>
    <x v="6"/>
    <x v="2"/>
    <x v="12"/>
    <x v="0"/>
    <x v="35"/>
    <x v="0"/>
    <n v="0.98"/>
    <n v="1.64"/>
    <n v="0.37"/>
    <n v="1330.14"/>
    <n v="2311.6799999999998"/>
    <n v="448.3"/>
    <n v="0.65999999999999992"/>
    <n v="981.53999999999974"/>
    <n v="-1.27"/>
    <s v="India"/>
  </r>
  <r>
    <x v="2"/>
    <x v="1"/>
    <x v="112"/>
    <x v="2"/>
    <x v="21"/>
    <x v="4"/>
    <n v="0"/>
    <n v="1.06"/>
    <n v="0.37"/>
    <n v="0"/>
    <n v="1858.4"/>
    <n v="705.22"/>
    <n v="1.06"/>
    <n v="1858.4"/>
    <n v="-0.69000000000000006"/>
    <s v="India"/>
  </r>
  <r>
    <x v="3"/>
    <x v="2"/>
    <x v="5"/>
    <x v="0"/>
    <x v="11"/>
    <x v="3"/>
    <n v="0.72"/>
    <n v="5.23"/>
    <n v="0.37"/>
    <n v="1249.51"/>
    <n v="6477.95"/>
    <n v="431.2"/>
    <n v="4.5100000000000007"/>
    <n v="5228.4399999999996"/>
    <n v="-4.8600000000000003"/>
    <s v="India"/>
  </r>
  <r>
    <x v="14"/>
    <x v="3"/>
    <x v="110"/>
    <x v="2"/>
    <x v="35"/>
    <x v="0"/>
    <n v="2.04"/>
    <n v="1.62"/>
    <n v="0.37"/>
    <n v="5614.26"/>
    <n v="4669.46"/>
    <n v="1120.1400000000001"/>
    <n v="-0.41999999999999993"/>
    <n v="-944.80000000000018"/>
    <n v="-1.25"/>
    <s v="India"/>
  </r>
  <r>
    <x v="1"/>
    <x v="0"/>
    <x v="84"/>
    <x v="0"/>
    <x v="15"/>
    <x v="0"/>
    <n v="0.28000000000000003"/>
    <n v="1.02"/>
    <n v="0.37"/>
    <n v="802.6"/>
    <n v="2637.5"/>
    <n v="1086.5"/>
    <n v="0.74"/>
    <n v="1834.9"/>
    <n v="-0.65"/>
    <s v="India"/>
  </r>
  <r>
    <x v="4"/>
    <x v="3"/>
    <x v="63"/>
    <x v="2"/>
    <x v="12"/>
    <x v="4"/>
    <n v="0.96"/>
    <n v="1.06"/>
    <n v="0.37"/>
    <n v="2603.91"/>
    <n v="4180.6000000000004"/>
    <n v="1597.56"/>
    <n v="0.10000000000000009"/>
    <n v="1576.6900000000005"/>
    <n v="-0.69000000000000006"/>
    <s v="India"/>
  </r>
  <r>
    <x v="7"/>
    <x v="1"/>
    <x v="58"/>
    <x v="1"/>
    <x v="24"/>
    <x v="4"/>
    <n v="0.06"/>
    <n v="0.17"/>
    <n v="0.37"/>
    <n v="26"/>
    <n v="157.72"/>
    <n v="334.13"/>
    <n v="0.11000000000000001"/>
    <n v="131.72"/>
    <n v="0.19999999999999998"/>
    <s v="India"/>
  </r>
  <r>
    <x v="4"/>
    <x v="3"/>
    <x v="76"/>
    <x v="2"/>
    <x v="11"/>
    <x v="3"/>
    <n v="7.0000000000000007E-2"/>
    <n v="0.28999999999999998"/>
    <n v="0.37"/>
    <n v="58.01"/>
    <n v="532.15"/>
    <n v="266.44"/>
    <n v="0.21999999999999997"/>
    <n v="474.14"/>
    <n v="8.0000000000000016E-2"/>
    <s v="India"/>
  </r>
  <r>
    <x v="2"/>
    <x v="1"/>
    <x v="104"/>
    <x v="3"/>
    <x v="24"/>
    <x v="4"/>
    <n v="0.19"/>
    <n v="0.48"/>
    <n v="0.37"/>
    <n v="294.72000000000003"/>
    <n v="833.72"/>
    <n v="496.66"/>
    <n v="0.28999999999999998"/>
    <n v="539"/>
    <n v="-0.10999999999999999"/>
    <s v="India"/>
  </r>
  <r>
    <x v="11"/>
    <x v="2"/>
    <x v="64"/>
    <x v="3"/>
    <x v="11"/>
    <x v="3"/>
    <n v="0.57999999999999996"/>
    <n v="1.42"/>
    <n v="0.37"/>
    <n v="447.13"/>
    <n v="404.31"/>
    <n v="223.14"/>
    <n v="0.84"/>
    <n v="-42.819999999999993"/>
    <n v="-1.0499999999999998"/>
    <s v="India"/>
  </r>
  <r>
    <x v="13"/>
    <x v="1"/>
    <x v="33"/>
    <x v="3"/>
    <x v="7"/>
    <x v="5"/>
    <n v="0.38"/>
    <n v="0.25"/>
    <n v="0.36"/>
    <n v="92.93"/>
    <n v="75.31"/>
    <n v="94.31"/>
    <n v="-0.13"/>
    <n v="-17.620000000000005"/>
    <n v="0.10999999999999999"/>
    <s v="India"/>
  </r>
  <r>
    <x v="17"/>
    <x v="5"/>
    <x v="87"/>
    <x v="2"/>
    <x v="8"/>
    <x v="3"/>
    <n v="0.11"/>
    <n v="1.27"/>
    <n v="0.36"/>
    <n v="26.8"/>
    <n v="439.73"/>
    <n v="141.25"/>
    <n v="1.1599999999999999"/>
    <n v="412.93"/>
    <n v="-0.91"/>
    <s v="India"/>
  </r>
  <r>
    <x v="2"/>
    <x v="1"/>
    <x v="14"/>
    <x v="1"/>
    <x v="16"/>
    <x v="0"/>
    <n v="0.63"/>
    <n v="0.7"/>
    <n v="0.36"/>
    <n v="863.55"/>
    <n v="960.41"/>
    <n v="496.38"/>
    <n v="6.9999999999999951E-2"/>
    <n v="96.860000000000014"/>
    <n v="-0.33999999999999997"/>
    <s v="India"/>
  </r>
  <r>
    <x v="10"/>
    <x v="2"/>
    <x v="28"/>
    <x v="1"/>
    <x v="3"/>
    <x v="2"/>
    <n v="3.3"/>
    <n v="1.05"/>
    <n v="0.35"/>
    <n v="1433.68"/>
    <n v="600.03"/>
    <n v="252.3"/>
    <n v="-2.25"/>
    <n v="-833.65000000000009"/>
    <n v="-0.70000000000000007"/>
    <s v="India"/>
  </r>
  <r>
    <x v="6"/>
    <x v="2"/>
    <x v="12"/>
    <x v="0"/>
    <x v="17"/>
    <x v="5"/>
    <n v="1.84"/>
    <n v="0.08"/>
    <n v="0.35"/>
    <n v="1351.05"/>
    <n v="40.72"/>
    <n v="54.05"/>
    <n v="-1.76"/>
    <n v="-1310.33"/>
    <n v="0.26999999999999996"/>
    <s v="India"/>
  </r>
  <r>
    <x v="12"/>
    <x v="2"/>
    <x v="131"/>
    <x v="1"/>
    <x v="32"/>
    <x v="0"/>
    <n v="0"/>
    <n v="0.01"/>
    <n v="0.35"/>
    <n v="0"/>
    <n v="5.33"/>
    <n v="161"/>
    <n v="0.01"/>
    <n v="5.33"/>
    <n v="0.33999999999999997"/>
    <s v="India"/>
  </r>
  <r>
    <x v="3"/>
    <x v="2"/>
    <x v="5"/>
    <x v="0"/>
    <x v="33"/>
    <x v="7"/>
    <n v="7.0000000000000007E-2"/>
    <n v="1.4"/>
    <n v="0.35"/>
    <n v="64.59"/>
    <n v="210.4"/>
    <n v="56.1"/>
    <n v="1.3299999999999998"/>
    <n v="145.81"/>
    <n v="-1.0499999999999998"/>
    <s v="India"/>
  </r>
  <r>
    <x v="4"/>
    <x v="3"/>
    <x v="73"/>
    <x v="2"/>
    <x v="5"/>
    <x v="3"/>
    <n v="0.02"/>
    <n v="0.39"/>
    <n v="0.35"/>
    <n v="15.03"/>
    <n v="435.76"/>
    <n v="288.31"/>
    <n v="0.37"/>
    <n v="420.73"/>
    <n v="-4.0000000000000036E-2"/>
    <s v="India"/>
  </r>
  <r>
    <x v="10"/>
    <x v="2"/>
    <x v="28"/>
    <x v="1"/>
    <x v="16"/>
    <x v="0"/>
    <n v="18.97"/>
    <n v="1.17"/>
    <n v="0.35"/>
    <n v="5503.44"/>
    <n v="1433.12"/>
    <n v="425.13"/>
    <n v="-17.799999999999997"/>
    <n v="-4070.3199999999997"/>
    <n v="-0.82"/>
    <s v="India"/>
  </r>
  <r>
    <x v="13"/>
    <x v="1"/>
    <x v="33"/>
    <x v="3"/>
    <x v="18"/>
    <x v="7"/>
    <n v="0.98"/>
    <n v="1.37"/>
    <n v="0.34"/>
    <n v="152.63"/>
    <n v="185.08"/>
    <n v="64.11"/>
    <n v="0.39000000000000012"/>
    <n v="32.450000000000017"/>
    <n v="-1.03"/>
    <s v="India"/>
  </r>
  <r>
    <x v="8"/>
    <x v="4"/>
    <x v="19"/>
    <x v="1"/>
    <x v="2"/>
    <x v="0"/>
    <n v="0.76"/>
    <n v="1.61"/>
    <n v="0.34"/>
    <n v="1408.74"/>
    <n v="2541.04"/>
    <n v="515.03"/>
    <n v="0.85000000000000009"/>
    <n v="1132.3"/>
    <n v="-1.27"/>
    <s v="India"/>
  </r>
  <r>
    <x v="6"/>
    <x v="2"/>
    <x v="132"/>
    <x v="3"/>
    <x v="24"/>
    <x v="4"/>
    <n v="0.45"/>
    <n v="1.08"/>
    <n v="0.34"/>
    <n v="443.86"/>
    <n v="1085.6400000000001"/>
    <n v="351.04"/>
    <n v="0.63000000000000012"/>
    <n v="641.78000000000009"/>
    <n v="-0.74"/>
    <s v="India"/>
  </r>
  <r>
    <x v="20"/>
    <x v="1"/>
    <x v="133"/>
    <x v="1"/>
    <x v="4"/>
    <x v="3"/>
    <n v="0.87"/>
    <n v="0.08"/>
    <n v="0.34"/>
    <n v="448.72"/>
    <n v="52.14"/>
    <n v="63.41"/>
    <n v="-0.79"/>
    <n v="-396.58000000000004"/>
    <n v="0.26"/>
    <s v="India"/>
  </r>
  <r>
    <x v="11"/>
    <x v="2"/>
    <x v="134"/>
    <x v="4"/>
    <x v="8"/>
    <x v="3"/>
    <n v="0"/>
    <n v="1.08"/>
    <n v="0.34"/>
    <n v="0"/>
    <n v="444.98"/>
    <n v="138.47"/>
    <n v="1.08"/>
    <n v="444.98"/>
    <n v="-0.74"/>
    <s v="India"/>
  </r>
  <r>
    <x v="4"/>
    <x v="3"/>
    <x v="73"/>
    <x v="2"/>
    <x v="10"/>
    <x v="3"/>
    <n v="0.53"/>
    <n v="0.92"/>
    <n v="0.34"/>
    <n v="624.53"/>
    <n v="1167.8599999999999"/>
    <n v="425.56"/>
    <n v="0.39"/>
    <n v="543.32999999999993"/>
    <n v="-0.58000000000000007"/>
    <s v="India"/>
  </r>
  <r>
    <x v="13"/>
    <x v="1"/>
    <x v="48"/>
    <x v="1"/>
    <x v="5"/>
    <x v="3"/>
    <n v="1.0900000000000001"/>
    <n v="0.88"/>
    <n v="0.34"/>
    <n v="660.88"/>
    <n v="547.74"/>
    <n v="215.42"/>
    <n v="-0.21000000000000008"/>
    <n v="-113.13999999999999"/>
    <n v="-0.54"/>
    <s v="India"/>
  </r>
  <r>
    <x v="6"/>
    <x v="2"/>
    <x v="49"/>
    <x v="0"/>
    <x v="16"/>
    <x v="0"/>
    <n v="1.1299999999999999"/>
    <n v="1.03"/>
    <n v="0.34"/>
    <n v="1067.22"/>
    <n v="785.73"/>
    <n v="279.83"/>
    <n v="-9.9999999999999867E-2"/>
    <n v="-281.49"/>
    <n v="-0.69"/>
    <s v="India"/>
  </r>
  <r>
    <x v="13"/>
    <x v="1"/>
    <x v="48"/>
    <x v="1"/>
    <x v="10"/>
    <x v="3"/>
    <n v="3.42"/>
    <n v="1.44"/>
    <n v="0.34"/>
    <n v="2603.3200000000002"/>
    <n v="925.16"/>
    <n v="261.72000000000003"/>
    <n v="-1.98"/>
    <n v="-1678.1600000000003"/>
    <n v="-1.0999999999999999"/>
    <s v="India"/>
  </r>
  <r>
    <x v="13"/>
    <x v="1"/>
    <x v="48"/>
    <x v="1"/>
    <x v="11"/>
    <x v="3"/>
    <n v="1.55"/>
    <n v="1.68"/>
    <n v="0.34"/>
    <n v="419.44"/>
    <n v="402.72"/>
    <n v="75.989999999999995"/>
    <n v="0.12999999999999989"/>
    <n v="-16.71999999999997"/>
    <n v="-1.3399999999999999"/>
    <s v="India"/>
  </r>
  <r>
    <x v="1"/>
    <x v="0"/>
    <x v="84"/>
    <x v="0"/>
    <x v="16"/>
    <x v="0"/>
    <n v="0"/>
    <n v="0.36"/>
    <n v="0.34"/>
    <n v="0"/>
    <n v="1207.2"/>
    <n v="1176"/>
    <n v="0.36"/>
    <n v="1207.2"/>
    <n v="-1.9999999999999962E-2"/>
    <s v="India"/>
  </r>
  <r>
    <x v="0"/>
    <x v="0"/>
    <x v="35"/>
    <x v="1"/>
    <x v="35"/>
    <x v="0"/>
    <n v="0.5"/>
    <n v="0.54"/>
    <n v="0.34"/>
    <n v="306.81"/>
    <n v="476.4"/>
    <n v="294.5"/>
    <n v="4.0000000000000036E-2"/>
    <n v="169.58999999999997"/>
    <n v="-0.2"/>
    <s v="India"/>
  </r>
  <r>
    <x v="2"/>
    <x v="1"/>
    <x v="6"/>
    <x v="1"/>
    <x v="22"/>
    <x v="6"/>
    <n v="0.06"/>
    <n v="0.33"/>
    <n v="0.34"/>
    <n v="8"/>
    <n v="34.58"/>
    <n v="38.15"/>
    <n v="0.27"/>
    <n v="26.58"/>
    <n v="1.0000000000000009E-2"/>
    <s v="India"/>
  </r>
  <r>
    <x v="1"/>
    <x v="0"/>
    <x v="84"/>
    <x v="0"/>
    <x v="32"/>
    <x v="0"/>
    <n v="0.42"/>
    <n v="0.59"/>
    <n v="0.33"/>
    <n v="783.96"/>
    <n v="1369.47"/>
    <n v="783"/>
    <n v="0.16999999999999998"/>
    <n v="585.51"/>
    <n v="-0.25999999999999995"/>
    <s v="India"/>
  </r>
  <r>
    <x v="2"/>
    <x v="1"/>
    <x v="59"/>
    <x v="2"/>
    <x v="11"/>
    <x v="3"/>
    <n v="1.73"/>
    <n v="1.42"/>
    <n v="0.33"/>
    <n v="1237.99"/>
    <n v="944.72"/>
    <n v="146.12"/>
    <n v="-0.31000000000000005"/>
    <n v="-293.27"/>
    <n v="-1.0899999999999999"/>
    <s v="India"/>
  </r>
  <r>
    <x v="1"/>
    <x v="0"/>
    <x v="18"/>
    <x v="1"/>
    <x v="18"/>
    <x v="7"/>
    <n v="0.66"/>
    <n v="2.46"/>
    <n v="0.33"/>
    <n v="133.24"/>
    <n v="503.64"/>
    <n v="57.71"/>
    <n v="1.7999999999999998"/>
    <n v="370.4"/>
    <n v="-2.13"/>
    <s v="India"/>
  </r>
  <r>
    <x v="1"/>
    <x v="0"/>
    <x v="1"/>
    <x v="0"/>
    <x v="30"/>
    <x v="5"/>
    <n v="2.37"/>
    <n v="1.03"/>
    <n v="0.33"/>
    <n v="407.87"/>
    <n v="424.07"/>
    <n v="89.76"/>
    <n v="-1.34"/>
    <n v="16.199999999999989"/>
    <n v="-0.7"/>
    <s v="India"/>
  </r>
  <r>
    <x v="4"/>
    <x v="3"/>
    <x v="76"/>
    <x v="2"/>
    <x v="2"/>
    <x v="0"/>
    <n v="0"/>
    <n v="32.200000000000003"/>
    <n v="0.33"/>
    <n v="0"/>
    <n v="83887.64"/>
    <n v="769.61"/>
    <n v="32.200000000000003"/>
    <n v="83887.64"/>
    <n v="-31.870000000000005"/>
    <s v="India"/>
  </r>
  <r>
    <x v="2"/>
    <x v="1"/>
    <x v="14"/>
    <x v="1"/>
    <x v="3"/>
    <x v="2"/>
    <n v="0.69"/>
    <n v="0.87"/>
    <n v="0.33"/>
    <n v="481.2"/>
    <n v="626.16999999999996"/>
    <n v="249.79"/>
    <n v="0.18000000000000005"/>
    <n v="144.96999999999997"/>
    <n v="-0.54"/>
    <s v="India"/>
  </r>
  <r>
    <x v="14"/>
    <x v="3"/>
    <x v="53"/>
    <x v="2"/>
    <x v="10"/>
    <x v="3"/>
    <n v="0.98"/>
    <n v="0.88"/>
    <n v="0.33"/>
    <n v="2062.2199999999998"/>
    <n v="2222.85"/>
    <n v="796.8"/>
    <n v="-9.9999999999999978E-2"/>
    <n v="160.63000000000011"/>
    <n v="-0.55000000000000004"/>
    <s v="India"/>
  </r>
  <r>
    <x v="6"/>
    <x v="2"/>
    <x v="32"/>
    <x v="0"/>
    <x v="17"/>
    <x v="5"/>
    <n v="1.25"/>
    <n v="0.1"/>
    <n v="0.33"/>
    <n v="98.49"/>
    <n v="18.72"/>
    <n v="22.91"/>
    <n v="-1.1499999999999999"/>
    <n v="-79.77"/>
    <n v="0.23"/>
    <s v="India"/>
  </r>
  <r>
    <x v="13"/>
    <x v="1"/>
    <x v="48"/>
    <x v="1"/>
    <x v="17"/>
    <x v="5"/>
    <n v="2.0099999999999998"/>
    <n v="2"/>
    <n v="0.33"/>
    <n v="690.65"/>
    <n v="783.96"/>
    <n v="123.64"/>
    <n v="-9.9999999999997868E-3"/>
    <n v="93.310000000000059"/>
    <n v="-1.67"/>
    <s v="India"/>
  </r>
  <r>
    <x v="13"/>
    <x v="1"/>
    <x v="48"/>
    <x v="1"/>
    <x v="14"/>
    <x v="3"/>
    <n v="1.8"/>
    <n v="3.06"/>
    <n v="0.33"/>
    <n v="188.88"/>
    <n v="181.33"/>
    <n v="45.96"/>
    <n v="1.26"/>
    <n v="-7.5499999999999829"/>
    <n v="-2.73"/>
    <s v="India"/>
  </r>
  <r>
    <x v="2"/>
    <x v="1"/>
    <x v="6"/>
    <x v="1"/>
    <x v="16"/>
    <x v="0"/>
    <n v="0.05"/>
    <n v="0.15"/>
    <n v="0.33"/>
    <n v="33.369999999999997"/>
    <n v="157.16"/>
    <n v="406.3"/>
    <n v="9.9999999999999992E-2"/>
    <n v="123.78999999999999"/>
    <n v="0.18000000000000002"/>
    <s v="India"/>
  </r>
  <r>
    <x v="9"/>
    <x v="1"/>
    <x v="27"/>
    <x v="1"/>
    <x v="17"/>
    <x v="5"/>
    <n v="0.28999999999999998"/>
    <n v="0.42"/>
    <n v="0.33"/>
    <n v="27.59"/>
    <n v="51.12"/>
    <n v="18.7"/>
    <n v="0.13"/>
    <n v="23.529999999999998"/>
    <n v="-8.9999999999999969E-2"/>
    <s v="India"/>
  </r>
  <r>
    <x v="4"/>
    <x v="3"/>
    <x v="135"/>
    <x v="2"/>
    <x v="0"/>
    <x v="0"/>
    <n v="0"/>
    <n v="0.37"/>
    <n v="0.33"/>
    <n v="3"/>
    <n v="710.39"/>
    <n v="569.73"/>
    <n v="0.37"/>
    <n v="707.39"/>
    <n v="-3.999999999999998E-2"/>
    <s v="India"/>
  </r>
  <r>
    <x v="5"/>
    <x v="1"/>
    <x v="11"/>
    <x v="1"/>
    <x v="18"/>
    <x v="7"/>
    <n v="3.02"/>
    <n v="2.04"/>
    <n v="0.32"/>
    <n v="509.03"/>
    <n v="490.94"/>
    <n v="44.34"/>
    <n v="-0.98"/>
    <n v="-18.089999999999975"/>
    <n v="-1.72"/>
    <s v="India"/>
  </r>
  <r>
    <x v="11"/>
    <x v="2"/>
    <x v="29"/>
    <x v="0"/>
    <x v="28"/>
    <x v="5"/>
    <n v="0.46"/>
    <n v="0.89"/>
    <n v="0.32"/>
    <n v="991.8"/>
    <n v="1555.24"/>
    <n v="458.06"/>
    <n v="0.43"/>
    <n v="563.44000000000005"/>
    <n v="-0.57000000000000006"/>
    <s v="India"/>
  </r>
  <r>
    <x v="9"/>
    <x v="1"/>
    <x v="44"/>
    <x v="1"/>
    <x v="2"/>
    <x v="0"/>
    <n v="0"/>
    <n v="2.06"/>
    <n v="0.32"/>
    <n v="0"/>
    <n v="3625.2"/>
    <n v="488.25"/>
    <n v="2.06"/>
    <n v="3625.2"/>
    <n v="-1.74"/>
    <s v="India"/>
  </r>
  <r>
    <x v="0"/>
    <x v="0"/>
    <x v="67"/>
    <x v="3"/>
    <x v="17"/>
    <x v="5"/>
    <n v="0.56000000000000005"/>
    <n v="0.8"/>
    <n v="0.32"/>
    <n v="16.55"/>
    <n v="22.01"/>
    <n v="7.47"/>
    <n v="0.24"/>
    <n v="5.4600000000000009"/>
    <n v="-0.48000000000000004"/>
    <s v="India"/>
  </r>
  <r>
    <x v="4"/>
    <x v="3"/>
    <x v="63"/>
    <x v="2"/>
    <x v="5"/>
    <x v="3"/>
    <n v="1.1299999999999999"/>
    <n v="1.03"/>
    <n v="0.32"/>
    <n v="791.09"/>
    <n v="767.43"/>
    <n v="265.45999999999998"/>
    <n v="-9.9999999999999867E-2"/>
    <n v="-23.660000000000082"/>
    <n v="-0.71"/>
    <s v="India"/>
  </r>
  <r>
    <x v="5"/>
    <x v="1"/>
    <x v="92"/>
    <x v="1"/>
    <x v="7"/>
    <x v="5"/>
    <n v="0"/>
    <n v="0.84"/>
    <n v="0.32"/>
    <n v="0"/>
    <n v="587.41"/>
    <n v="217.75"/>
    <n v="0.84"/>
    <n v="587.41"/>
    <n v="-0.52"/>
    <s v="India"/>
  </r>
  <r>
    <x v="0"/>
    <x v="0"/>
    <x v="74"/>
    <x v="0"/>
    <x v="35"/>
    <x v="0"/>
    <n v="0.85"/>
    <n v="0.53"/>
    <n v="0.32"/>
    <n v="2653"/>
    <n v="1695"/>
    <n v="1060"/>
    <n v="-0.31999999999999995"/>
    <n v="-958"/>
    <n v="-0.21000000000000002"/>
    <s v="India"/>
  </r>
  <r>
    <x v="2"/>
    <x v="1"/>
    <x v="78"/>
    <x v="1"/>
    <x v="1"/>
    <x v="1"/>
    <n v="0.71"/>
    <n v="39.06"/>
    <n v="0.31"/>
    <n v="618"/>
    <n v="10541.06"/>
    <n v="137.01"/>
    <n v="38.35"/>
    <n v="9923.06"/>
    <n v="-38.75"/>
    <s v="India"/>
  </r>
  <r>
    <x v="14"/>
    <x v="3"/>
    <x v="53"/>
    <x v="2"/>
    <x v="3"/>
    <x v="2"/>
    <n v="1.41"/>
    <n v="1.61"/>
    <n v="0.31"/>
    <n v="1751"/>
    <n v="2309.19"/>
    <n v="446.78"/>
    <n v="0.20000000000000018"/>
    <n v="558.19000000000005"/>
    <n v="-1.3"/>
    <s v="India"/>
  </r>
  <r>
    <x v="5"/>
    <x v="1"/>
    <x v="11"/>
    <x v="1"/>
    <x v="11"/>
    <x v="3"/>
    <n v="0.79"/>
    <n v="2.0299999999999998"/>
    <n v="0.31"/>
    <n v="284.43"/>
    <n v="881.34"/>
    <n v="154.69"/>
    <n v="1.2399999999999998"/>
    <n v="596.91000000000008"/>
    <n v="-1.7199999999999998"/>
    <s v="India"/>
  </r>
  <r>
    <x v="6"/>
    <x v="2"/>
    <x v="105"/>
    <x v="1"/>
    <x v="22"/>
    <x v="6"/>
    <n v="0"/>
    <n v="0"/>
    <n v="0.31"/>
    <n v="1.25"/>
    <n v="0.05"/>
    <n v="32.76"/>
    <n v="0"/>
    <n v="-1.2"/>
    <n v="0.31"/>
    <s v="India"/>
  </r>
  <r>
    <x v="0"/>
    <x v="0"/>
    <x v="97"/>
    <x v="0"/>
    <x v="0"/>
    <x v="0"/>
    <n v="0.38"/>
    <n v="2.4"/>
    <n v="0.31"/>
    <n v="400"/>
    <n v="3267.79"/>
    <n v="352"/>
    <n v="2.02"/>
    <n v="2867.79"/>
    <n v="-2.09"/>
    <s v="India"/>
  </r>
  <r>
    <x v="7"/>
    <x v="1"/>
    <x v="58"/>
    <x v="1"/>
    <x v="3"/>
    <x v="2"/>
    <n v="0.51"/>
    <n v="1.68"/>
    <n v="0.31"/>
    <n v="244.62"/>
    <n v="1076.28"/>
    <n v="193.7"/>
    <n v="1.17"/>
    <n v="831.66"/>
    <n v="-1.3699999999999999"/>
    <s v="India"/>
  </r>
  <r>
    <x v="11"/>
    <x v="2"/>
    <x v="136"/>
    <x v="3"/>
    <x v="24"/>
    <x v="4"/>
    <n v="1.39"/>
    <n v="2.19"/>
    <n v="0.3"/>
    <n v="1520.61"/>
    <n v="2222.02"/>
    <n v="278.82"/>
    <n v="0.8"/>
    <n v="701.41000000000008"/>
    <n v="-1.89"/>
    <s v="India"/>
  </r>
  <r>
    <x v="0"/>
    <x v="0"/>
    <x v="51"/>
    <x v="4"/>
    <x v="16"/>
    <x v="0"/>
    <n v="0.6"/>
    <n v="1.08"/>
    <n v="0.3"/>
    <n v="652.21"/>
    <n v="1571.75"/>
    <n v="387.55"/>
    <n v="0.48000000000000009"/>
    <n v="919.54"/>
    <n v="-0.78"/>
    <s v="India"/>
  </r>
  <r>
    <x v="5"/>
    <x v="1"/>
    <x v="11"/>
    <x v="1"/>
    <x v="10"/>
    <x v="3"/>
    <n v="2.5099999999999998"/>
    <n v="1.78"/>
    <n v="0.3"/>
    <n v="1729.47"/>
    <n v="1348.78"/>
    <n v="235.29"/>
    <n v="-0.72999999999999976"/>
    <n v="-380.69000000000005"/>
    <n v="-1.48"/>
    <s v="India"/>
  </r>
  <r>
    <x v="1"/>
    <x v="0"/>
    <x v="31"/>
    <x v="1"/>
    <x v="20"/>
    <x v="3"/>
    <n v="0.14000000000000001"/>
    <n v="0.84"/>
    <n v="0.3"/>
    <n v="153.13999999999999"/>
    <n v="1280.29"/>
    <n v="415.6"/>
    <n v="0.7"/>
    <n v="1127.1500000000001"/>
    <n v="-0.54"/>
    <s v="India"/>
  </r>
  <r>
    <x v="6"/>
    <x v="2"/>
    <x v="105"/>
    <x v="1"/>
    <x v="2"/>
    <x v="0"/>
    <n v="0.03"/>
    <n v="0.4"/>
    <n v="0.3"/>
    <n v="36.26"/>
    <n v="683.59"/>
    <n v="549.91"/>
    <n v="0.37"/>
    <n v="647.33000000000004"/>
    <n v="-0.10000000000000003"/>
    <s v="India"/>
  </r>
  <r>
    <x v="2"/>
    <x v="1"/>
    <x v="8"/>
    <x v="1"/>
    <x v="13"/>
    <x v="3"/>
    <n v="0"/>
    <n v="0.19"/>
    <n v="0.28999999999999998"/>
    <n v="0"/>
    <n v="53.09"/>
    <n v="144.79"/>
    <n v="0.19"/>
    <n v="53.09"/>
    <n v="9.9999999999999978E-2"/>
    <s v="India"/>
  </r>
  <r>
    <x v="0"/>
    <x v="0"/>
    <x v="47"/>
    <x v="4"/>
    <x v="21"/>
    <x v="4"/>
    <n v="0"/>
    <n v="0"/>
    <n v="0.28000000000000003"/>
    <n v="0"/>
    <n v="0"/>
    <n v="108.77"/>
    <n v="0"/>
    <n v="0"/>
    <n v="0.28000000000000003"/>
    <s v="India"/>
  </r>
  <r>
    <x v="2"/>
    <x v="1"/>
    <x v="14"/>
    <x v="1"/>
    <x v="10"/>
    <x v="3"/>
    <n v="0.7"/>
    <n v="2.89"/>
    <n v="0.28000000000000003"/>
    <n v="376.15"/>
    <n v="3625.15"/>
    <n v="215.03"/>
    <n v="2.1900000000000004"/>
    <n v="3249"/>
    <n v="-2.6100000000000003"/>
    <s v="India"/>
  </r>
  <r>
    <x v="13"/>
    <x v="1"/>
    <x v="33"/>
    <x v="3"/>
    <x v="8"/>
    <x v="3"/>
    <n v="1.08"/>
    <n v="0.64"/>
    <n v="0.28000000000000003"/>
    <n v="396.86"/>
    <n v="162.58000000000001"/>
    <n v="97.47"/>
    <n v="-0.44000000000000006"/>
    <n v="-234.28"/>
    <n v="-0.36"/>
    <s v="India"/>
  </r>
  <r>
    <x v="6"/>
    <x v="2"/>
    <x v="22"/>
    <x v="1"/>
    <x v="8"/>
    <x v="3"/>
    <n v="0.13"/>
    <n v="1.36"/>
    <n v="0.28000000000000003"/>
    <n v="57.34"/>
    <n v="821.93"/>
    <n v="184.4"/>
    <n v="1.23"/>
    <n v="764.58999999999992"/>
    <n v="-1.08"/>
    <s v="India"/>
  </r>
  <r>
    <x v="7"/>
    <x v="1"/>
    <x v="100"/>
    <x v="1"/>
    <x v="8"/>
    <x v="3"/>
    <n v="0.42"/>
    <n v="0.47"/>
    <n v="0.28000000000000003"/>
    <n v="357.22"/>
    <n v="304.95"/>
    <n v="222.63"/>
    <n v="4.9999999999999989E-2"/>
    <n v="-52.270000000000039"/>
    <n v="-0.18999999999999995"/>
    <s v="India"/>
  </r>
  <r>
    <x v="5"/>
    <x v="1"/>
    <x v="119"/>
    <x v="1"/>
    <x v="18"/>
    <x v="7"/>
    <n v="0.81"/>
    <n v="0.7"/>
    <n v="0.27"/>
    <n v="200"/>
    <n v="230.81"/>
    <n v="100"/>
    <n v="-0.1100000000000001"/>
    <n v="30.810000000000002"/>
    <n v="-0.42999999999999994"/>
    <s v="India"/>
  </r>
  <r>
    <x v="4"/>
    <x v="3"/>
    <x v="76"/>
    <x v="2"/>
    <x v="10"/>
    <x v="3"/>
    <n v="0.81"/>
    <n v="0.56000000000000005"/>
    <n v="0.27"/>
    <n v="1399.11"/>
    <n v="917.45"/>
    <n v="485.23"/>
    <n v="-0.25"/>
    <n v="-481.65999999999985"/>
    <n v="-0.29000000000000004"/>
    <s v="India"/>
  </r>
  <r>
    <x v="6"/>
    <x v="2"/>
    <x v="91"/>
    <x v="3"/>
    <x v="5"/>
    <x v="3"/>
    <n v="0.45"/>
    <n v="0.26"/>
    <n v="0.27"/>
    <n v="317.74"/>
    <n v="438.83"/>
    <n v="208.28"/>
    <n v="-0.19"/>
    <n v="121.08999999999997"/>
    <n v="1.0000000000000009E-2"/>
    <s v="India"/>
  </r>
  <r>
    <x v="6"/>
    <x v="2"/>
    <x v="22"/>
    <x v="1"/>
    <x v="4"/>
    <x v="3"/>
    <n v="0.88"/>
    <n v="0.21"/>
    <n v="0.27"/>
    <n v="430.81"/>
    <n v="163.57"/>
    <n v="97.61"/>
    <n v="-0.67"/>
    <n v="-267.24"/>
    <n v="6.0000000000000026E-2"/>
    <s v="India"/>
  </r>
  <r>
    <x v="14"/>
    <x v="3"/>
    <x v="39"/>
    <x v="2"/>
    <x v="17"/>
    <x v="5"/>
    <n v="0.78"/>
    <n v="0.53"/>
    <n v="0.26"/>
    <n v="154.74"/>
    <n v="251.33"/>
    <n v="114.74"/>
    <n v="-0.25"/>
    <n v="96.59"/>
    <n v="-0.27"/>
    <s v="India"/>
  </r>
  <r>
    <x v="0"/>
    <x v="0"/>
    <x v="35"/>
    <x v="1"/>
    <x v="2"/>
    <x v="0"/>
    <n v="0.24"/>
    <n v="0.08"/>
    <n v="0.26"/>
    <n v="367.46"/>
    <n v="79.45"/>
    <n v="582.66999999999996"/>
    <n v="-0.15999999999999998"/>
    <n v="-288.01"/>
    <n v="0.18"/>
    <s v="India"/>
  </r>
  <r>
    <x v="6"/>
    <x v="2"/>
    <x v="115"/>
    <x v="3"/>
    <x v="6"/>
    <x v="4"/>
    <n v="0.19"/>
    <n v="0.47"/>
    <n v="0.26"/>
    <n v="121.72"/>
    <n v="481.75"/>
    <n v="234.83"/>
    <n v="0.27999999999999997"/>
    <n v="360.03"/>
    <n v="-0.20999999999999996"/>
    <s v="India"/>
  </r>
  <r>
    <x v="0"/>
    <x v="0"/>
    <x v="0"/>
    <x v="0"/>
    <x v="22"/>
    <x v="6"/>
    <n v="0.35"/>
    <n v="0.45"/>
    <n v="0.26"/>
    <n v="35.99"/>
    <n v="47.68"/>
    <n v="31.04"/>
    <n v="0.10000000000000003"/>
    <n v="11.689999999999998"/>
    <n v="-0.19"/>
    <s v="India"/>
  </r>
  <r>
    <x v="1"/>
    <x v="0"/>
    <x v="84"/>
    <x v="0"/>
    <x v="35"/>
    <x v="0"/>
    <n v="0"/>
    <n v="1.1200000000000001"/>
    <n v="0.26"/>
    <n v="0"/>
    <n v="2874.32"/>
    <n v="692"/>
    <n v="1.1200000000000001"/>
    <n v="2874.32"/>
    <n v="-0.8600000000000001"/>
    <s v="India"/>
  </r>
  <r>
    <x v="2"/>
    <x v="1"/>
    <x v="6"/>
    <x v="1"/>
    <x v="27"/>
    <x v="7"/>
    <n v="0"/>
    <n v="0"/>
    <n v="0.26"/>
    <n v="0"/>
    <n v="0"/>
    <n v="33"/>
    <n v="0"/>
    <n v="0"/>
    <n v="0.26"/>
    <s v="India"/>
  </r>
  <r>
    <x v="8"/>
    <x v="4"/>
    <x v="88"/>
    <x v="1"/>
    <x v="5"/>
    <x v="3"/>
    <n v="0.74"/>
    <n v="0.65"/>
    <n v="0.26"/>
    <n v="343.06"/>
    <n v="811.89"/>
    <n v="280.69"/>
    <n v="-8.9999999999999969E-2"/>
    <n v="468.83"/>
    <n v="-0.39"/>
    <s v="India"/>
  </r>
  <r>
    <x v="6"/>
    <x v="2"/>
    <x v="115"/>
    <x v="3"/>
    <x v="4"/>
    <x v="3"/>
    <n v="0.48"/>
    <n v="0.99"/>
    <n v="0.25"/>
    <n v="133.22999999999999"/>
    <n v="265.92"/>
    <n v="71.12"/>
    <n v="0.51"/>
    <n v="132.69000000000003"/>
    <n v="-0.74"/>
    <s v="India"/>
  </r>
  <r>
    <x v="4"/>
    <x v="3"/>
    <x v="113"/>
    <x v="3"/>
    <x v="19"/>
    <x v="4"/>
    <n v="0.01"/>
    <n v="0.34"/>
    <n v="0.25"/>
    <n v="12.27"/>
    <n v="239.53"/>
    <n v="155.63"/>
    <n v="0.33"/>
    <n v="227.26"/>
    <n v="-9.0000000000000024E-2"/>
    <s v="India"/>
  </r>
  <r>
    <x v="5"/>
    <x v="1"/>
    <x v="9"/>
    <x v="1"/>
    <x v="14"/>
    <x v="3"/>
    <n v="0.04"/>
    <n v="0.28000000000000003"/>
    <n v="0.25"/>
    <n v="28.81"/>
    <n v="155.58000000000001"/>
    <n v="168.22"/>
    <n v="0.24000000000000002"/>
    <n v="126.77000000000001"/>
    <n v="-3.0000000000000027E-2"/>
    <s v="India"/>
  </r>
  <r>
    <x v="14"/>
    <x v="3"/>
    <x v="110"/>
    <x v="2"/>
    <x v="12"/>
    <x v="4"/>
    <n v="0.34"/>
    <n v="0.61"/>
    <n v="0.25"/>
    <n v="1778.42"/>
    <n v="3263.67"/>
    <n v="1474.66"/>
    <n v="0.26999999999999996"/>
    <n v="1485.25"/>
    <n v="-0.36"/>
    <s v="India"/>
  </r>
  <r>
    <x v="4"/>
    <x v="3"/>
    <x v="137"/>
    <x v="4"/>
    <x v="4"/>
    <x v="3"/>
    <n v="0"/>
    <n v="0.33"/>
    <n v="0.25"/>
    <n v="0"/>
    <n v="14.63"/>
    <n v="12.03"/>
    <n v="0.33"/>
    <n v="14.63"/>
    <n v="-8.0000000000000016E-2"/>
    <s v="India"/>
  </r>
  <r>
    <x v="5"/>
    <x v="1"/>
    <x v="92"/>
    <x v="1"/>
    <x v="0"/>
    <x v="0"/>
    <n v="0.08"/>
    <n v="1.02"/>
    <n v="0.25"/>
    <n v="65.94"/>
    <n v="963.74"/>
    <n v="208.96"/>
    <n v="0.94000000000000006"/>
    <n v="897.8"/>
    <n v="-0.77"/>
    <s v="India"/>
  </r>
  <r>
    <x v="17"/>
    <x v="5"/>
    <x v="138"/>
    <x v="2"/>
    <x v="18"/>
    <x v="7"/>
    <n v="0.01"/>
    <n v="0.17"/>
    <n v="0.25"/>
    <n v="7.67"/>
    <n v="133.47999999999999"/>
    <n v="216.8"/>
    <n v="0.16"/>
    <n v="125.80999999999999"/>
    <n v="7.9999999999999988E-2"/>
    <s v="India"/>
  </r>
  <r>
    <x v="6"/>
    <x v="2"/>
    <x v="12"/>
    <x v="0"/>
    <x v="32"/>
    <x v="0"/>
    <n v="0.67"/>
    <n v="0.62"/>
    <n v="0.25"/>
    <n v="415.83"/>
    <n v="727.52"/>
    <n v="273.39"/>
    <n v="-5.0000000000000044E-2"/>
    <n v="311.69"/>
    <n v="-0.37"/>
    <s v="India"/>
  </r>
  <r>
    <x v="2"/>
    <x v="1"/>
    <x v="60"/>
    <x v="1"/>
    <x v="19"/>
    <x v="4"/>
    <n v="0"/>
    <n v="0.55000000000000004"/>
    <n v="0.25"/>
    <n v="0"/>
    <n v="1384.73"/>
    <n v="845.55"/>
    <n v="0.55000000000000004"/>
    <n v="1384.73"/>
    <n v="-0.30000000000000004"/>
    <s v="India"/>
  </r>
  <r>
    <x v="6"/>
    <x v="2"/>
    <x v="55"/>
    <x v="0"/>
    <x v="6"/>
    <x v="4"/>
    <n v="0.68"/>
    <n v="1.91"/>
    <n v="0.25"/>
    <n v="505.16"/>
    <n v="1798.97"/>
    <n v="229.72"/>
    <n v="1.23"/>
    <n v="1293.81"/>
    <n v="-1.66"/>
    <s v="India"/>
  </r>
  <r>
    <x v="10"/>
    <x v="2"/>
    <x v="28"/>
    <x v="1"/>
    <x v="11"/>
    <x v="3"/>
    <n v="0.17"/>
    <n v="0.53"/>
    <n v="0.24"/>
    <n v="46.69"/>
    <n v="143.30000000000001"/>
    <n v="48.38"/>
    <n v="0.36"/>
    <n v="96.610000000000014"/>
    <n v="-0.29000000000000004"/>
    <s v="India"/>
  </r>
  <r>
    <x v="0"/>
    <x v="0"/>
    <x v="0"/>
    <x v="0"/>
    <x v="38"/>
    <x v="5"/>
    <n v="0.66"/>
    <n v="0.97"/>
    <n v="0.24"/>
    <n v="91.45"/>
    <n v="113.62"/>
    <n v="34.630000000000003"/>
    <n v="0.30999999999999994"/>
    <n v="22.17"/>
    <n v="-0.73"/>
    <s v="India"/>
  </r>
  <r>
    <x v="16"/>
    <x v="3"/>
    <x v="77"/>
    <x v="2"/>
    <x v="10"/>
    <x v="3"/>
    <n v="0.89"/>
    <n v="0.96"/>
    <n v="0.24"/>
    <n v="1792.87"/>
    <n v="2180.8000000000002"/>
    <n v="556.62"/>
    <n v="6.9999999999999951E-2"/>
    <n v="387.93000000000029"/>
    <n v="-0.72"/>
    <s v="India"/>
  </r>
  <r>
    <x v="1"/>
    <x v="0"/>
    <x v="18"/>
    <x v="1"/>
    <x v="5"/>
    <x v="3"/>
    <n v="1.49"/>
    <n v="1.17"/>
    <n v="0.24"/>
    <n v="637.45000000000005"/>
    <n v="609.61"/>
    <n v="52.32"/>
    <n v="-0.32000000000000006"/>
    <n v="-27.840000000000032"/>
    <n v="-0.92999999999999994"/>
    <s v="India"/>
  </r>
  <r>
    <x v="1"/>
    <x v="0"/>
    <x v="66"/>
    <x v="1"/>
    <x v="15"/>
    <x v="0"/>
    <n v="0"/>
    <n v="0.64"/>
    <n v="0.24"/>
    <n v="0"/>
    <n v="2840.03"/>
    <n v="1016.55"/>
    <n v="0.64"/>
    <n v="2840.03"/>
    <n v="-0.4"/>
    <s v="India"/>
  </r>
  <r>
    <x v="4"/>
    <x v="3"/>
    <x v="71"/>
    <x v="2"/>
    <x v="28"/>
    <x v="5"/>
    <n v="0.65"/>
    <n v="0.69"/>
    <n v="0.24"/>
    <n v="3292.07"/>
    <n v="4696.34"/>
    <n v="1185.03"/>
    <n v="3.9999999999999925E-2"/>
    <n v="1404.27"/>
    <n v="-0.44999999999999996"/>
    <s v="India"/>
  </r>
  <r>
    <x v="9"/>
    <x v="1"/>
    <x v="27"/>
    <x v="1"/>
    <x v="2"/>
    <x v="0"/>
    <n v="1.57"/>
    <n v="0.96"/>
    <n v="0.24"/>
    <n v="2602.12"/>
    <n v="1183.3599999999999"/>
    <n v="255.12"/>
    <n v="-0.6100000000000001"/>
    <n v="-1418.76"/>
    <n v="-0.72"/>
    <s v="India"/>
  </r>
  <r>
    <x v="4"/>
    <x v="3"/>
    <x v="96"/>
    <x v="2"/>
    <x v="21"/>
    <x v="4"/>
    <n v="0.94"/>
    <n v="0.77"/>
    <n v="0.24"/>
    <n v="1862.58"/>
    <n v="1554.27"/>
    <n v="443.35"/>
    <n v="-0.16999999999999993"/>
    <n v="-308.30999999999995"/>
    <n v="-0.53"/>
    <s v="India"/>
  </r>
  <r>
    <x v="6"/>
    <x v="2"/>
    <x v="32"/>
    <x v="0"/>
    <x v="0"/>
    <x v="0"/>
    <n v="0.56000000000000005"/>
    <n v="0.65"/>
    <n v="0.23"/>
    <n v="302.36"/>
    <n v="563.27"/>
    <n v="271.44"/>
    <n v="8.9999999999999969E-2"/>
    <n v="260.90999999999997"/>
    <n v="-0.42000000000000004"/>
    <s v="India"/>
  </r>
  <r>
    <x v="4"/>
    <x v="3"/>
    <x v="96"/>
    <x v="2"/>
    <x v="4"/>
    <x v="3"/>
    <n v="0.34"/>
    <n v="0.67"/>
    <n v="0.23"/>
    <n v="118.52"/>
    <n v="320.51"/>
    <n v="91.47"/>
    <n v="0.33"/>
    <n v="201.99"/>
    <n v="-0.44000000000000006"/>
    <s v="India"/>
  </r>
  <r>
    <x v="6"/>
    <x v="2"/>
    <x v="49"/>
    <x v="0"/>
    <x v="3"/>
    <x v="2"/>
    <n v="0.37"/>
    <n v="0.59"/>
    <n v="0.23"/>
    <n v="200.5"/>
    <n v="391.64"/>
    <n v="169.16"/>
    <n v="0.21999999999999997"/>
    <n v="191.14"/>
    <n v="-0.36"/>
    <s v="India"/>
  </r>
  <r>
    <x v="14"/>
    <x v="3"/>
    <x v="39"/>
    <x v="2"/>
    <x v="19"/>
    <x v="4"/>
    <n v="0.35"/>
    <n v="0.46"/>
    <n v="0.23"/>
    <n v="1138.95"/>
    <n v="1339.66"/>
    <n v="717.5"/>
    <n v="0.11000000000000004"/>
    <n v="200.71000000000004"/>
    <n v="-0.23"/>
    <s v="India"/>
  </r>
  <r>
    <x v="16"/>
    <x v="3"/>
    <x v="77"/>
    <x v="2"/>
    <x v="12"/>
    <x v="4"/>
    <n v="0.32"/>
    <n v="0.53"/>
    <n v="0.23"/>
    <n v="1277.4100000000001"/>
    <n v="3143.51"/>
    <n v="1316.34"/>
    <n v="0.21000000000000002"/>
    <n v="1866.1000000000001"/>
    <n v="-0.30000000000000004"/>
    <s v="India"/>
  </r>
  <r>
    <x v="9"/>
    <x v="1"/>
    <x v="27"/>
    <x v="1"/>
    <x v="33"/>
    <x v="7"/>
    <n v="0.42"/>
    <n v="0.56000000000000005"/>
    <n v="0.23"/>
    <n v="98.81"/>
    <n v="122.8"/>
    <n v="40.770000000000003"/>
    <n v="0.14000000000000007"/>
    <n v="23.989999999999995"/>
    <n v="-0.33000000000000007"/>
    <s v="India"/>
  </r>
  <r>
    <x v="0"/>
    <x v="0"/>
    <x v="67"/>
    <x v="3"/>
    <x v="7"/>
    <x v="5"/>
    <n v="0.15"/>
    <n v="0.08"/>
    <n v="0.23"/>
    <n v="51.87"/>
    <n v="26.12"/>
    <n v="42.8"/>
    <n v="-6.9999999999999993E-2"/>
    <n v="-25.749999999999996"/>
    <n v="0.15000000000000002"/>
    <s v="India"/>
  </r>
  <r>
    <x v="1"/>
    <x v="0"/>
    <x v="98"/>
    <x v="1"/>
    <x v="8"/>
    <x v="3"/>
    <n v="0.61"/>
    <n v="0.47"/>
    <n v="0.23"/>
    <n v="308.45999999999998"/>
    <n v="175.49"/>
    <n v="85.45"/>
    <n v="-0.14000000000000001"/>
    <n v="-132.96999999999997"/>
    <n v="-0.23999999999999996"/>
    <s v="India"/>
  </r>
  <r>
    <x v="6"/>
    <x v="2"/>
    <x v="91"/>
    <x v="3"/>
    <x v="33"/>
    <x v="7"/>
    <n v="0.23"/>
    <n v="0.11"/>
    <n v="0.23"/>
    <n v="28.04"/>
    <n v="13.03"/>
    <n v="61.63"/>
    <n v="-0.12000000000000001"/>
    <n v="-15.01"/>
    <n v="0.12000000000000001"/>
    <s v="India"/>
  </r>
  <r>
    <x v="4"/>
    <x v="3"/>
    <x v="73"/>
    <x v="2"/>
    <x v="35"/>
    <x v="0"/>
    <n v="0.56000000000000005"/>
    <n v="0.87"/>
    <n v="0.23"/>
    <n v="2021.57"/>
    <n v="3212.95"/>
    <n v="980.91"/>
    <n v="0.30999999999999994"/>
    <n v="1191.3799999999999"/>
    <n v="-0.64"/>
    <s v="India"/>
  </r>
  <r>
    <x v="6"/>
    <x v="2"/>
    <x v="22"/>
    <x v="1"/>
    <x v="3"/>
    <x v="2"/>
    <n v="2.59"/>
    <n v="0.56999999999999995"/>
    <n v="0.22"/>
    <n v="104.62"/>
    <n v="451.03"/>
    <n v="182.32"/>
    <n v="-2.02"/>
    <n v="346.40999999999997"/>
    <n v="-0.35"/>
    <s v="India"/>
  </r>
  <r>
    <x v="6"/>
    <x v="2"/>
    <x v="55"/>
    <x v="0"/>
    <x v="39"/>
    <x v="7"/>
    <n v="0"/>
    <n v="0.1"/>
    <n v="0.22"/>
    <n v="0"/>
    <n v="11"/>
    <n v="36"/>
    <n v="0.1"/>
    <n v="11"/>
    <n v="0.12"/>
    <s v="India"/>
  </r>
  <r>
    <x v="13"/>
    <x v="1"/>
    <x v="48"/>
    <x v="1"/>
    <x v="29"/>
    <x v="7"/>
    <n v="7.35"/>
    <n v="0.06"/>
    <n v="0.22"/>
    <n v="4936.71"/>
    <n v="16.170000000000002"/>
    <n v="97.76"/>
    <n v="-7.29"/>
    <n v="-4920.54"/>
    <n v="0.16"/>
    <s v="India"/>
  </r>
  <r>
    <x v="9"/>
    <x v="1"/>
    <x v="139"/>
    <x v="3"/>
    <x v="24"/>
    <x v="4"/>
    <n v="0.11"/>
    <n v="0.33"/>
    <n v="0.22"/>
    <n v="74.010000000000005"/>
    <n v="150.41"/>
    <n v="100.22"/>
    <n v="0.22000000000000003"/>
    <n v="76.399999999999991"/>
    <n v="-0.11000000000000001"/>
    <s v="India"/>
  </r>
  <r>
    <x v="1"/>
    <x v="0"/>
    <x v="98"/>
    <x v="1"/>
    <x v="25"/>
    <x v="7"/>
    <n v="0"/>
    <n v="2.84"/>
    <n v="0.22"/>
    <n v="0"/>
    <n v="34674"/>
    <n v="2833.92"/>
    <n v="2.84"/>
    <n v="34674"/>
    <n v="-2.6199999999999997"/>
    <s v="India"/>
  </r>
  <r>
    <x v="11"/>
    <x v="2"/>
    <x v="29"/>
    <x v="0"/>
    <x v="36"/>
    <x v="6"/>
    <n v="1.8"/>
    <n v="2.4300000000000002"/>
    <n v="0.22"/>
    <n v="176.77"/>
    <n v="239.99"/>
    <n v="21.63"/>
    <n v="0.63000000000000012"/>
    <n v="63.22"/>
    <n v="-2.21"/>
    <s v="India"/>
  </r>
  <r>
    <x v="9"/>
    <x v="1"/>
    <x v="139"/>
    <x v="3"/>
    <x v="19"/>
    <x v="4"/>
    <n v="0"/>
    <n v="0.16"/>
    <n v="0.22"/>
    <n v="0"/>
    <n v="88.69"/>
    <n v="85.36"/>
    <n v="0.16"/>
    <n v="88.69"/>
    <n v="0.06"/>
    <s v="India"/>
  </r>
  <r>
    <x v="16"/>
    <x v="3"/>
    <x v="77"/>
    <x v="2"/>
    <x v="11"/>
    <x v="3"/>
    <n v="0.37"/>
    <n v="0.57999999999999996"/>
    <n v="0.22"/>
    <n v="1432.56"/>
    <n v="1689.41"/>
    <n v="863.18"/>
    <n v="0.20999999999999996"/>
    <n v="256.85000000000014"/>
    <n v="-0.36"/>
    <s v="India"/>
  </r>
  <r>
    <x v="6"/>
    <x v="2"/>
    <x v="22"/>
    <x v="1"/>
    <x v="5"/>
    <x v="3"/>
    <n v="2.13"/>
    <n v="2.08"/>
    <n v="0.22"/>
    <n v="1687.25"/>
    <n v="1290.25"/>
    <n v="132.69"/>
    <n v="-4.9999999999999822E-2"/>
    <n v="-397"/>
    <n v="-1.86"/>
    <s v="India"/>
  </r>
  <r>
    <x v="1"/>
    <x v="0"/>
    <x v="1"/>
    <x v="0"/>
    <x v="39"/>
    <x v="7"/>
    <n v="0.04"/>
    <n v="0.02"/>
    <n v="0.22"/>
    <n v="6.7"/>
    <n v="2.41"/>
    <n v="15.92"/>
    <n v="-0.02"/>
    <n v="-4.29"/>
    <n v="0.2"/>
    <s v="India"/>
  </r>
  <r>
    <x v="2"/>
    <x v="1"/>
    <x v="57"/>
    <x v="1"/>
    <x v="10"/>
    <x v="3"/>
    <n v="0.81"/>
    <n v="0.46"/>
    <n v="0.22"/>
    <n v="1226.06"/>
    <n v="844.55"/>
    <n v="389.11"/>
    <n v="-0.35000000000000003"/>
    <n v="-381.51"/>
    <n v="-0.24000000000000002"/>
    <s v="India"/>
  </r>
  <r>
    <x v="9"/>
    <x v="1"/>
    <x v="44"/>
    <x v="1"/>
    <x v="14"/>
    <x v="3"/>
    <n v="0"/>
    <n v="1.84"/>
    <n v="0.21"/>
    <n v="0"/>
    <n v="1088.1400000000001"/>
    <n v="130.38999999999999"/>
    <n v="1.84"/>
    <n v="1088.1400000000001"/>
    <n v="-1.6300000000000001"/>
    <s v="India"/>
  </r>
  <r>
    <x v="1"/>
    <x v="0"/>
    <x v="1"/>
    <x v="0"/>
    <x v="26"/>
    <x v="0"/>
    <n v="0.32"/>
    <n v="0.62"/>
    <n v="0.21"/>
    <n v="485.03"/>
    <n v="1281.76"/>
    <n v="600"/>
    <n v="0.3"/>
    <n v="796.73"/>
    <n v="-0.41000000000000003"/>
    <s v="India"/>
  </r>
  <r>
    <x v="11"/>
    <x v="2"/>
    <x v="134"/>
    <x v="4"/>
    <x v="11"/>
    <x v="3"/>
    <n v="0.01"/>
    <n v="0.39"/>
    <n v="0.21"/>
    <n v="9.01"/>
    <n v="94.61"/>
    <n v="55.65"/>
    <n v="0.38"/>
    <n v="85.6"/>
    <n v="-0.18000000000000002"/>
    <s v="India"/>
  </r>
  <r>
    <x v="13"/>
    <x v="1"/>
    <x v="33"/>
    <x v="3"/>
    <x v="10"/>
    <x v="3"/>
    <n v="0.24"/>
    <n v="0.2"/>
    <n v="0.21"/>
    <n v="45.68"/>
    <n v="63.24"/>
    <n v="26.88"/>
    <n v="-3.999999999999998E-2"/>
    <n v="17.560000000000002"/>
    <n v="9.9999999999999811E-3"/>
    <s v="India"/>
  </r>
  <r>
    <x v="2"/>
    <x v="1"/>
    <x v="8"/>
    <x v="1"/>
    <x v="2"/>
    <x v="0"/>
    <n v="0.44"/>
    <n v="1.92"/>
    <n v="0.21"/>
    <n v="937.2"/>
    <n v="4067.71"/>
    <n v="486"/>
    <n v="1.48"/>
    <n v="3130.51"/>
    <n v="-1.71"/>
    <s v="India"/>
  </r>
  <r>
    <x v="0"/>
    <x v="0"/>
    <x v="17"/>
    <x v="0"/>
    <x v="8"/>
    <x v="3"/>
    <n v="0.11"/>
    <n v="0.86"/>
    <n v="0.21"/>
    <n v="44.1"/>
    <n v="392.43"/>
    <n v="97.55"/>
    <n v="0.75"/>
    <n v="348.33"/>
    <n v="-0.65"/>
    <s v="India"/>
  </r>
  <r>
    <x v="5"/>
    <x v="1"/>
    <x v="122"/>
    <x v="1"/>
    <x v="11"/>
    <x v="3"/>
    <n v="0.09"/>
    <n v="0.28999999999999998"/>
    <n v="0.21"/>
    <n v="12.13"/>
    <n v="37.130000000000003"/>
    <n v="28.14"/>
    <n v="0.19999999999999998"/>
    <n v="25"/>
    <n v="-7.9999999999999988E-2"/>
    <s v="India"/>
  </r>
  <r>
    <x v="0"/>
    <x v="0"/>
    <x v="97"/>
    <x v="0"/>
    <x v="35"/>
    <x v="0"/>
    <n v="0.25"/>
    <n v="0.34"/>
    <n v="0.21"/>
    <n v="715"/>
    <n v="1008"/>
    <n v="672"/>
    <n v="9.0000000000000024E-2"/>
    <n v="293"/>
    <n v="-0.13000000000000003"/>
    <s v="India"/>
  </r>
  <r>
    <x v="12"/>
    <x v="2"/>
    <x v="38"/>
    <x v="3"/>
    <x v="11"/>
    <x v="3"/>
    <n v="0.45"/>
    <n v="0.23"/>
    <n v="0.21"/>
    <n v="52.28"/>
    <n v="60.1"/>
    <n v="65.64"/>
    <n v="-0.22"/>
    <n v="7.82"/>
    <n v="-2.0000000000000018E-2"/>
    <s v="India"/>
  </r>
  <r>
    <x v="4"/>
    <x v="3"/>
    <x v="71"/>
    <x v="2"/>
    <x v="22"/>
    <x v="6"/>
    <n v="0.11"/>
    <n v="0.2"/>
    <n v="0.21"/>
    <n v="383.42"/>
    <n v="608.37"/>
    <n v="683.94"/>
    <n v="9.0000000000000011E-2"/>
    <n v="224.95"/>
    <n v="9.9999999999999811E-3"/>
    <s v="India"/>
  </r>
  <r>
    <x v="11"/>
    <x v="2"/>
    <x v="85"/>
    <x v="3"/>
    <x v="11"/>
    <x v="3"/>
    <n v="0.27"/>
    <n v="0.28000000000000003"/>
    <n v="0.21"/>
    <n v="170.7"/>
    <n v="199.62"/>
    <n v="99"/>
    <n v="1.0000000000000009E-2"/>
    <n v="28.920000000000016"/>
    <n v="-7.0000000000000034E-2"/>
    <s v="India"/>
  </r>
  <r>
    <x v="12"/>
    <x v="2"/>
    <x v="38"/>
    <x v="3"/>
    <x v="5"/>
    <x v="3"/>
    <n v="0.69"/>
    <n v="0.87"/>
    <n v="0.21"/>
    <n v="135.41"/>
    <n v="168.9"/>
    <n v="30.66"/>
    <n v="0.18000000000000005"/>
    <n v="33.490000000000009"/>
    <n v="-0.66"/>
    <s v="India"/>
  </r>
  <r>
    <x v="4"/>
    <x v="3"/>
    <x v="76"/>
    <x v="2"/>
    <x v="6"/>
    <x v="4"/>
    <n v="0"/>
    <n v="0.01"/>
    <n v="0.21"/>
    <n v="0.5"/>
    <n v="52.06"/>
    <n v="57.86"/>
    <n v="0.01"/>
    <n v="51.56"/>
    <n v="0.19999999999999998"/>
    <s v="India"/>
  </r>
  <r>
    <x v="1"/>
    <x v="0"/>
    <x v="24"/>
    <x v="3"/>
    <x v="11"/>
    <x v="3"/>
    <n v="0.82"/>
    <n v="0.61"/>
    <n v="0.21"/>
    <n v="127.91"/>
    <n v="105.41"/>
    <n v="35.729999999999997"/>
    <n v="-0.20999999999999996"/>
    <n v="-22.5"/>
    <n v="-0.4"/>
    <s v="India"/>
  </r>
  <r>
    <x v="9"/>
    <x v="1"/>
    <x v="61"/>
    <x v="1"/>
    <x v="10"/>
    <x v="3"/>
    <n v="0.74"/>
    <n v="0.91"/>
    <n v="0.21"/>
    <n v="523.63"/>
    <n v="651.38"/>
    <n v="127.72"/>
    <n v="0.17000000000000004"/>
    <n v="127.75"/>
    <n v="-0.70000000000000007"/>
    <s v="India"/>
  </r>
  <r>
    <x v="16"/>
    <x v="3"/>
    <x v="77"/>
    <x v="2"/>
    <x v="3"/>
    <x v="2"/>
    <n v="1.5"/>
    <n v="1.02"/>
    <n v="0.21"/>
    <n v="1808.07"/>
    <n v="1429.37"/>
    <n v="309.63"/>
    <n v="-0.48"/>
    <n v="-378.70000000000005"/>
    <n v="-0.81"/>
    <s v="India"/>
  </r>
  <r>
    <x v="19"/>
    <x v="1"/>
    <x v="114"/>
    <x v="1"/>
    <x v="4"/>
    <x v="3"/>
    <n v="1.06"/>
    <n v="0.82"/>
    <n v="0.2"/>
    <n v="208.34"/>
    <n v="235.92"/>
    <n v="41.4"/>
    <n v="-0.2400000000000001"/>
    <n v="27.579999999999984"/>
    <n v="-0.61999999999999988"/>
    <s v="India"/>
  </r>
  <r>
    <x v="2"/>
    <x v="1"/>
    <x v="2"/>
    <x v="1"/>
    <x v="5"/>
    <x v="3"/>
    <n v="0.39"/>
    <n v="0.4"/>
    <n v="0.2"/>
    <n v="180.8"/>
    <n v="131.88999999999999"/>
    <n v="67.489999999999995"/>
    <n v="1.0000000000000009E-2"/>
    <n v="-48.910000000000025"/>
    <n v="-0.2"/>
    <s v="India"/>
  </r>
  <r>
    <x v="0"/>
    <x v="0"/>
    <x v="0"/>
    <x v="0"/>
    <x v="30"/>
    <x v="5"/>
    <n v="0.34"/>
    <n v="0.38"/>
    <n v="0.2"/>
    <n v="169.25"/>
    <n v="110.66"/>
    <n v="34.06"/>
    <n v="3.999999999999998E-2"/>
    <n v="-58.59"/>
    <n v="-0.18"/>
    <s v="India"/>
  </r>
  <r>
    <x v="11"/>
    <x v="2"/>
    <x v="79"/>
    <x v="4"/>
    <x v="8"/>
    <x v="3"/>
    <n v="0.32"/>
    <n v="0.55000000000000004"/>
    <n v="0.2"/>
    <n v="236.04"/>
    <n v="215.17"/>
    <n v="72.819999999999993"/>
    <n v="0.23000000000000004"/>
    <n v="-20.870000000000005"/>
    <n v="-0.35000000000000003"/>
    <s v="India"/>
  </r>
  <r>
    <x v="0"/>
    <x v="0"/>
    <x v="51"/>
    <x v="4"/>
    <x v="0"/>
    <x v="0"/>
    <n v="0.83"/>
    <n v="0.62"/>
    <n v="0.2"/>
    <n v="700.8"/>
    <n v="509.7"/>
    <n v="175.67"/>
    <n v="-0.20999999999999996"/>
    <n v="-191.09999999999997"/>
    <n v="-0.42"/>
    <s v="India"/>
  </r>
  <r>
    <x v="1"/>
    <x v="0"/>
    <x v="31"/>
    <x v="1"/>
    <x v="37"/>
    <x v="3"/>
    <n v="4.08"/>
    <n v="0.4"/>
    <n v="0.2"/>
    <n v="3215.47"/>
    <n v="237.69"/>
    <n v="242.94"/>
    <n v="-3.68"/>
    <n v="-2977.7799999999997"/>
    <n v="-0.2"/>
    <s v="India"/>
  </r>
  <r>
    <x v="8"/>
    <x v="4"/>
    <x v="41"/>
    <x v="1"/>
    <x v="13"/>
    <x v="3"/>
    <n v="0.02"/>
    <n v="0.64"/>
    <n v="0.2"/>
    <n v="12.81"/>
    <n v="559.49"/>
    <n v="148.88999999999999"/>
    <n v="0.62"/>
    <n v="546.68000000000006"/>
    <n v="-0.44"/>
    <s v="India"/>
  </r>
  <r>
    <x v="11"/>
    <x v="2"/>
    <x v="85"/>
    <x v="3"/>
    <x v="30"/>
    <x v="5"/>
    <n v="0.24"/>
    <n v="0.46"/>
    <n v="0.2"/>
    <n v="171.34"/>
    <n v="348.47"/>
    <n v="119.63"/>
    <n v="0.22000000000000003"/>
    <n v="177.13000000000002"/>
    <n v="-0.26"/>
    <s v="India"/>
  </r>
  <r>
    <x v="0"/>
    <x v="0"/>
    <x v="51"/>
    <x v="4"/>
    <x v="9"/>
    <x v="6"/>
    <n v="4.16"/>
    <n v="0.91"/>
    <n v="0.2"/>
    <n v="3067.85"/>
    <n v="772.11"/>
    <n v="147.34"/>
    <n v="-3.25"/>
    <n v="-2295.7399999999998"/>
    <n v="-0.71"/>
    <s v="India"/>
  </r>
  <r>
    <x v="17"/>
    <x v="5"/>
    <x v="138"/>
    <x v="2"/>
    <x v="2"/>
    <x v="0"/>
    <n v="0"/>
    <n v="0.27"/>
    <n v="0.2"/>
    <n v="0"/>
    <n v="662.77"/>
    <n v="505.04"/>
    <n v="0.27"/>
    <n v="662.77"/>
    <n v="-7.0000000000000007E-2"/>
    <s v="India"/>
  </r>
  <r>
    <x v="6"/>
    <x v="2"/>
    <x v="140"/>
    <x v="1"/>
    <x v="18"/>
    <x v="7"/>
    <n v="7.0000000000000007E-2"/>
    <n v="0.57999999999999996"/>
    <n v="0.2"/>
    <n v="8.65"/>
    <n v="82.66"/>
    <n v="35.65"/>
    <n v="0.51"/>
    <n v="74.009999999999991"/>
    <n v="-0.37999999999999995"/>
    <s v="India"/>
  </r>
  <r>
    <x v="4"/>
    <x v="3"/>
    <x v="63"/>
    <x v="2"/>
    <x v="42"/>
    <x v="1"/>
    <n v="0.49"/>
    <n v="0.55000000000000004"/>
    <n v="0.2"/>
    <n v="141.44"/>
    <n v="173.84"/>
    <n v="64.8"/>
    <n v="6.0000000000000053E-2"/>
    <n v="32.400000000000006"/>
    <n v="-0.35000000000000003"/>
    <s v="India"/>
  </r>
  <r>
    <x v="16"/>
    <x v="3"/>
    <x v="77"/>
    <x v="2"/>
    <x v="21"/>
    <x v="4"/>
    <n v="2.08"/>
    <n v="1.42"/>
    <n v="0.2"/>
    <n v="4630.46"/>
    <n v="3244.76"/>
    <n v="842.12"/>
    <n v="-0.66000000000000014"/>
    <n v="-1385.6999999999998"/>
    <n v="-1.22"/>
    <s v="India"/>
  </r>
  <r>
    <x v="4"/>
    <x v="3"/>
    <x v="80"/>
    <x v="2"/>
    <x v="4"/>
    <x v="3"/>
    <n v="0"/>
    <n v="0.14000000000000001"/>
    <n v="0.2"/>
    <n v="0"/>
    <n v="191.2"/>
    <n v="218.93"/>
    <n v="0.14000000000000001"/>
    <n v="191.2"/>
    <n v="0.06"/>
    <s v="India"/>
  </r>
  <r>
    <x v="13"/>
    <x v="1"/>
    <x v="48"/>
    <x v="1"/>
    <x v="7"/>
    <x v="5"/>
    <n v="0.41"/>
    <n v="0.59"/>
    <n v="0.2"/>
    <n v="121.79"/>
    <n v="195.59"/>
    <n v="84.1"/>
    <n v="0.18"/>
    <n v="73.8"/>
    <n v="-0.38999999999999996"/>
    <s v="India"/>
  </r>
  <r>
    <x v="0"/>
    <x v="0"/>
    <x v="36"/>
    <x v="1"/>
    <x v="38"/>
    <x v="5"/>
    <n v="0.15"/>
    <n v="0.19"/>
    <n v="0.19"/>
    <n v="27.32"/>
    <n v="24.7"/>
    <n v="19.68"/>
    <n v="4.0000000000000008E-2"/>
    <n v="-2.620000000000001"/>
    <n v="0"/>
    <s v="India"/>
  </r>
  <r>
    <x v="2"/>
    <x v="1"/>
    <x v="112"/>
    <x v="2"/>
    <x v="3"/>
    <x v="2"/>
    <n v="0"/>
    <n v="0.73"/>
    <n v="0.19"/>
    <n v="0"/>
    <n v="975.44"/>
    <n v="269.33"/>
    <n v="0.73"/>
    <n v="975.44"/>
    <n v="-0.54"/>
    <s v="India"/>
  </r>
  <r>
    <x v="6"/>
    <x v="2"/>
    <x v="91"/>
    <x v="3"/>
    <x v="38"/>
    <x v="5"/>
    <n v="0.33"/>
    <n v="0.57999999999999996"/>
    <n v="0.19"/>
    <n v="25.41"/>
    <n v="47.6"/>
    <n v="13.1"/>
    <n v="0.24999999999999994"/>
    <n v="22.19"/>
    <n v="-0.38999999999999996"/>
    <s v="India"/>
  </r>
  <r>
    <x v="1"/>
    <x v="0"/>
    <x v="24"/>
    <x v="3"/>
    <x v="12"/>
    <x v="4"/>
    <n v="0.34"/>
    <n v="0.62"/>
    <n v="0.19"/>
    <n v="216.71"/>
    <n v="342.47"/>
    <n v="109.42"/>
    <n v="0.27999999999999997"/>
    <n v="125.76000000000002"/>
    <n v="-0.43"/>
    <s v="India"/>
  </r>
  <r>
    <x v="12"/>
    <x v="2"/>
    <x v="37"/>
    <x v="0"/>
    <x v="34"/>
    <x v="6"/>
    <n v="0.23"/>
    <n v="0.13"/>
    <n v="0.19"/>
    <n v="449.46"/>
    <n v="252.48"/>
    <n v="279.94"/>
    <n v="-0.1"/>
    <n v="-196.98"/>
    <n v="0.06"/>
    <s v="India"/>
  </r>
  <r>
    <x v="1"/>
    <x v="0"/>
    <x v="24"/>
    <x v="3"/>
    <x v="10"/>
    <x v="3"/>
    <n v="0.56000000000000005"/>
    <n v="1.71"/>
    <n v="0.19"/>
    <n v="97.83"/>
    <n v="222.31"/>
    <n v="33.380000000000003"/>
    <n v="1.1499999999999999"/>
    <n v="124.48"/>
    <n v="-1.52"/>
    <s v="India"/>
  </r>
  <r>
    <x v="0"/>
    <x v="0"/>
    <x v="36"/>
    <x v="1"/>
    <x v="0"/>
    <x v="0"/>
    <n v="0.34"/>
    <n v="0.83"/>
    <n v="0.19"/>
    <n v="253.66"/>
    <n v="745.53"/>
    <n v="174.76"/>
    <n v="0.48999999999999994"/>
    <n v="491.87"/>
    <n v="-0.6399999999999999"/>
    <s v="India"/>
  </r>
  <r>
    <x v="9"/>
    <x v="1"/>
    <x v="27"/>
    <x v="1"/>
    <x v="11"/>
    <x v="3"/>
    <n v="0.28000000000000003"/>
    <n v="0.41"/>
    <n v="0.19"/>
    <n v="83.35"/>
    <n v="104.93"/>
    <n v="84.48"/>
    <n v="0.12999999999999995"/>
    <n v="21.580000000000013"/>
    <n v="-0.21999999999999997"/>
    <s v="India"/>
  </r>
  <r>
    <x v="1"/>
    <x v="0"/>
    <x v="24"/>
    <x v="3"/>
    <x v="13"/>
    <x v="3"/>
    <n v="0.54"/>
    <n v="0.3"/>
    <n v="0.19"/>
    <n v="58.99"/>
    <n v="31.22"/>
    <n v="34.99"/>
    <n v="-0.24000000000000005"/>
    <n v="-27.770000000000003"/>
    <n v="-0.10999999999999999"/>
    <s v="India"/>
  </r>
  <r>
    <x v="1"/>
    <x v="0"/>
    <x v="1"/>
    <x v="0"/>
    <x v="36"/>
    <x v="6"/>
    <n v="7.0000000000000007E-2"/>
    <n v="0.6"/>
    <n v="0.19"/>
    <n v="7.03"/>
    <n v="181.12"/>
    <n v="43.35"/>
    <n v="0.53"/>
    <n v="174.09"/>
    <n v="-0.41"/>
    <s v="India"/>
  </r>
  <r>
    <x v="6"/>
    <x v="2"/>
    <x v="91"/>
    <x v="3"/>
    <x v="8"/>
    <x v="3"/>
    <n v="0.78"/>
    <n v="0.43"/>
    <n v="0.19"/>
    <n v="156.04"/>
    <n v="88.81"/>
    <n v="37.39"/>
    <n v="-0.35000000000000003"/>
    <n v="-67.22999999999999"/>
    <n v="-0.24"/>
    <s v="India"/>
  </r>
  <r>
    <x v="17"/>
    <x v="5"/>
    <x v="87"/>
    <x v="2"/>
    <x v="4"/>
    <x v="3"/>
    <n v="0.09"/>
    <n v="0.82"/>
    <n v="0.19"/>
    <n v="41.25"/>
    <n v="407.12"/>
    <n v="145.96"/>
    <n v="0.73"/>
    <n v="365.87"/>
    <n v="-0.62999999999999989"/>
    <s v="India"/>
  </r>
  <r>
    <x v="4"/>
    <x v="3"/>
    <x v="96"/>
    <x v="2"/>
    <x v="0"/>
    <x v="0"/>
    <n v="0.27"/>
    <n v="0.44"/>
    <n v="0.19"/>
    <n v="252.43"/>
    <n v="668.15"/>
    <n v="285.02999999999997"/>
    <n v="0.16999999999999998"/>
    <n v="415.71999999999997"/>
    <n v="-0.25"/>
    <s v="India"/>
  </r>
  <r>
    <x v="0"/>
    <x v="0"/>
    <x v="47"/>
    <x v="4"/>
    <x v="2"/>
    <x v="0"/>
    <n v="0"/>
    <n v="0"/>
    <n v="0.18"/>
    <n v="0"/>
    <n v="0"/>
    <n v="400"/>
    <n v="0"/>
    <n v="0"/>
    <n v="0.18"/>
    <s v="India"/>
  </r>
  <r>
    <x v="6"/>
    <x v="2"/>
    <x v="55"/>
    <x v="0"/>
    <x v="32"/>
    <x v="0"/>
    <n v="0.06"/>
    <n v="0.12"/>
    <n v="0.18"/>
    <n v="57.53"/>
    <n v="171.79"/>
    <n v="258.01"/>
    <n v="0.06"/>
    <n v="114.25999999999999"/>
    <n v="0.06"/>
    <s v="India"/>
  </r>
  <r>
    <x v="0"/>
    <x v="0"/>
    <x v="54"/>
    <x v="1"/>
    <x v="3"/>
    <x v="2"/>
    <n v="0"/>
    <n v="0.36"/>
    <n v="0.18"/>
    <n v="8.9"/>
    <n v="272.43"/>
    <n v="134.94999999999999"/>
    <n v="0.36"/>
    <n v="263.53000000000003"/>
    <n v="-0.18"/>
    <s v="India"/>
  </r>
  <r>
    <x v="1"/>
    <x v="0"/>
    <x v="98"/>
    <x v="1"/>
    <x v="16"/>
    <x v="0"/>
    <n v="0.34"/>
    <n v="0.74"/>
    <n v="0.18"/>
    <n v="301.8"/>
    <n v="593.80999999999995"/>
    <n v="130.43"/>
    <n v="0.39999999999999997"/>
    <n v="292.00999999999993"/>
    <n v="-0.56000000000000005"/>
    <s v="India"/>
  </r>
  <r>
    <x v="17"/>
    <x v="5"/>
    <x v="87"/>
    <x v="2"/>
    <x v="16"/>
    <x v="0"/>
    <n v="0"/>
    <n v="0.32"/>
    <n v="0.18"/>
    <n v="0"/>
    <n v="674.8"/>
    <n v="381.16"/>
    <n v="0.32"/>
    <n v="674.8"/>
    <n v="-0.14000000000000001"/>
    <s v="India"/>
  </r>
  <r>
    <x v="4"/>
    <x v="3"/>
    <x v="63"/>
    <x v="2"/>
    <x v="26"/>
    <x v="0"/>
    <n v="0.01"/>
    <n v="0.26"/>
    <n v="0.18"/>
    <n v="25"/>
    <n v="685.1"/>
    <n v="550.01"/>
    <n v="0.25"/>
    <n v="660.1"/>
    <n v="-8.0000000000000016E-2"/>
    <s v="India"/>
  </r>
  <r>
    <x v="0"/>
    <x v="0"/>
    <x v="97"/>
    <x v="0"/>
    <x v="11"/>
    <x v="3"/>
    <n v="0"/>
    <n v="0.12"/>
    <n v="0.18"/>
    <n v="0"/>
    <n v="154.5"/>
    <n v="194.27"/>
    <n v="0.12"/>
    <n v="154.5"/>
    <n v="0.06"/>
    <s v="India"/>
  </r>
  <r>
    <x v="9"/>
    <x v="1"/>
    <x v="27"/>
    <x v="1"/>
    <x v="10"/>
    <x v="3"/>
    <n v="1.41"/>
    <n v="2.88"/>
    <n v="0.18"/>
    <n v="388.73"/>
    <n v="1269.3"/>
    <n v="135.04"/>
    <n v="1.47"/>
    <n v="880.56999999999994"/>
    <n v="-2.6999999999999997"/>
    <s v="India"/>
  </r>
  <r>
    <x v="11"/>
    <x v="2"/>
    <x v="85"/>
    <x v="3"/>
    <x v="19"/>
    <x v="4"/>
    <n v="0.35"/>
    <n v="0.59"/>
    <n v="0.18"/>
    <n v="193.81"/>
    <n v="349.84"/>
    <n v="87.68"/>
    <n v="0.24"/>
    <n v="156.02999999999997"/>
    <n v="-0.41"/>
    <s v="India"/>
  </r>
  <r>
    <x v="4"/>
    <x v="3"/>
    <x v="95"/>
    <x v="2"/>
    <x v="17"/>
    <x v="5"/>
    <n v="0.69"/>
    <n v="0.42"/>
    <n v="0.18"/>
    <n v="126.54"/>
    <n v="66.900000000000006"/>
    <n v="5.0199999999999996"/>
    <n v="-0.26999999999999996"/>
    <n v="-59.64"/>
    <n v="-0.24"/>
    <s v="India"/>
  </r>
  <r>
    <x v="13"/>
    <x v="1"/>
    <x v="33"/>
    <x v="3"/>
    <x v="33"/>
    <x v="7"/>
    <n v="0.46"/>
    <n v="0.36"/>
    <n v="0.18"/>
    <n v="204.47"/>
    <n v="154.01"/>
    <n v="86.58"/>
    <n v="-0.10000000000000003"/>
    <n v="-50.460000000000008"/>
    <n v="-0.18"/>
    <s v="India"/>
  </r>
  <r>
    <x v="1"/>
    <x v="0"/>
    <x v="24"/>
    <x v="3"/>
    <x v="31"/>
    <x v="1"/>
    <n v="0.78"/>
    <n v="0.49"/>
    <n v="0.18"/>
    <n v="76.14"/>
    <n v="62.33"/>
    <n v="25.29"/>
    <n v="-0.29000000000000004"/>
    <n v="-13.810000000000002"/>
    <n v="-0.31"/>
    <s v="India"/>
  </r>
  <r>
    <x v="1"/>
    <x v="0"/>
    <x v="141"/>
    <x v="3"/>
    <x v="6"/>
    <x v="4"/>
    <n v="0"/>
    <n v="0.32"/>
    <n v="0.18"/>
    <n v="0.66"/>
    <n v="60.13"/>
    <n v="31.83"/>
    <n v="0.32"/>
    <n v="59.470000000000006"/>
    <n v="-0.14000000000000001"/>
    <s v="India"/>
  </r>
  <r>
    <x v="2"/>
    <x v="1"/>
    <x v="112"/>
    <x v="2"/>
    <x v="8"/>
    <x v="3"/>
    <n v="0.14000000000000001"/>
    <n v="0.82"/>
    <n v="0.18"/>
    <n v="75.61"/>
    <n v="187.38"/>
    <n v="35.35"/>
    <n v="0.67999999999999994"/>
    <n v="111.77"/>
    <n v="-0.6399999999999999"/>
    <s v="India"/>
  </r>
  <r>
    <x v="0"/>
    <x v="0"/>
    <x v="97"/>
    <x v="0"/>
    <x v="15"/>
    <x v="0"/>
    <n v="0.28000000000000003"/>
    <n v="0.39"/>
    <n v="0.18"/>
    <n v="750"/>
    <n v="1160"/>
    <n v="590"/>
    <n v="0.10999999999999999"/>
    <n v="410"/>
    <n v="-0.21000000000000002"/>
    <s v="India"/>
  </r>
  <r>
    <x v="0"/>
    <x v="0"/>
    <x v="36"/>
    <x v="1"/>
    <x v="37"/>
    <x v="3"/>
    <n v="0.94"/>
    <n v="0.76"/>
    <n v="0.18"/>
    <n v="546.76"/>
    <n v="396.3"/>
    <n v="116.69"/>
    <n v="-0.17999999999999994"/>
    <n v="-150.45999999999998"/>
    <n v="-0.58000000000000007"/>
    <s v="India"/>
  </r>
  <r>
    <x v="10"/>
    <x v="2"/>
    <x v="28"/>
    <x v="1"/>
    <x v="14"/>
    <x v="3"/>
    <n v="10.23"/>
    <n v="1.06"/>
    <n v="0.18"/>
    <n v="7422.97"/>
    <n v="821.7"/>
    <n v="103.78"/>
    <n v="-9.17"/>
    <n v="-6601.27"/>
    <n v="-0.88000000000000012"/>
    <s v="India"/>
  </r>
  <r>
    <x v="6"/>
    <x v="2"/>
    <x v="91"/>
    <x v="3"/>
    <x v="11"/>
    <x v="3"/>
    <n v="0.22"/>
    <n v="7.0000000000000007E-2"/>
    <n v="0.18"/>
    <n v="130.61000000000001"/>
    <n v="19.309999999999999"/>
    <n v="80.27"/>
    <n v="-0.15"/>
    <n v="-111.30000000000001"/>
    <n v="0.10999999999999999"/>
    <s v="India"/>
  </r>
  <r>
    <x v="17"/>
    <x v="5"/>
    <x v="87"/>
    <x v="2"/>
    <x v="24"/>
    <x v="4"/>
    <n v="0.13"/>
    <n v="0.57999999999999996"/>
    <n v="0.18"/>
    <n v="400.73"/>
    <n v="1812.65"/>
    <n v="580.86"/>
    <n v="0.44999999999999996"/>
    <n v="1411.92"/>
    <n v="-0.39999999999999997"/>
    <s v="India"/>
  </r>
  <r>
    <x v="10"/>
    <x v="2"/>
    <x v="42"/>
    <x v="1"/>
    <x v="16"/>
    <x v="0"/>
    <n v="1.03"/>
    <n v="0.37"/>
    <n v="0.18"/>
    <n v="331.04"/>
    <n v="367.88"/>
    <n v="200.85"/>
    <n v="-0.66"/>
    <n v="36.839999999999975"/>
    <n v="-0.19"/>
    <s v="India"/>
  </r>
  <r>
    <x v="11"/>
    <x v="2"/>
    <x v="29"/>
    <x v="0"/>
    <x v="12"/>
    <x v="4"/>
    <n v="0.23"/>
    <n v="0.23"/>
    <n v="0.17"/>
    <n v="259.16000000000003"/>
    <n v="143.91999999999999"/>
    <n v="65.3"/>
    <n v="0"/>
    <n v="-115.24000000000004"/>
    <n v="-0.06"/>
    <s v="India"/>
  </r>
  <r>
    <x v="14"/>
    <x v="3"/>
    <x v="53"/>
    <x v="2"/>
    <x v="17"/>
    <x v="5"/>
    <n v="0.3"/>
    <n v="0.56999999999999995"/>
    <n v="0.17"/>
    <n v="8.7799999999999994"/>
    <n v="157.08000000000001"/>
    <n v="1.32"/>
    <n v="0.26999999999999996"/>
    <n v="148.30000000000001"/>
    <n v="-0.39999999999999991"/>
    <s v="India"/>
  </r>
  <r>
    <x v="2"/>
    <x v="1"/>
    <x v="59"/>
    <x v="2"/>
    <x v="14"/>
    <x v="3"/>
    <n v="0.19"/>
    <n v="0.14000000000000001"/>
    <n v="0.17"/>
    <n v="76.38"/>
    <n v="76.47"/>
    <n v="23.19"/>
    <n v="-4.9999999999999989E-2"/>
    <n v="9.0000000000003411E-2"/>
    <n v="0.03"/>
    <s v="India"/>
  </r>
  <r>
    <x v="1"/>
    <x v="0"/>
    <x v="84"/>
    <x v="0"/>
    <x v="14"/>
    <x v="3"/>
    <n v="2.37"/>
    <n v="2.3199999999999998"/>
    <n v="0.17"/>
    <n v="148.41999999999999"/>
    <n v="182.65"/>
    <n v="36.21"/>
    <n v="-5.0000000000000266E-2"/>
    <n v="34.230000000000018"/>
    <n v="-2.15"/>
    <s v="India"/>
  </r>
  <r>
    <x v="1"/>
    <x v="0"/>
    <x v="56"/>
    <x v="4"/>
    <x v="8"/>
    <x v="3"/>
    <n v="0"/>
    <n v="0.38"/>
    <n v="0.17"/>
    <n v="0"/>
    <n v="100.8"/>
    <n v="45.6"/>
    <n v="0.38"/>
    <n v="100.8"/>
    <n v="-0.21"/>
    <s v="India"/>
  </r>
  <r>
    <x v="0"/>
    <x v="0"/>
    <x v="36"/>
    <x v="1"/>
    <x v="2"/>
    <x v="0"/>
    <n v="0.21"/>
    <n v="0.34"/>
    <n v="0.17"/>
    <n v="379.82"/>
    <n v="396.22"/>
    <n v="171.18"/>
    <n v="0.13000000000000003"/>
    <n v="16.400000000000034"/>
    <n v="-0.17"/>
    <s v="India"/>
  </r>
  <r>
    <x v="4"/>
    <x v="3"/>
    <x v="45"/>
    <x v="2"/>
    <x v="35"/>
    <x v="0"/>
    <n v="1.1100000000000001"/>
    <n v="1.07"/>
    <n v="0.17"/>
    <n v="4021.85"/>
    <n v="3419.18"/>
    <n v="553"/>
    <n v="-4.0000000000000036E-2"/>
    <n v="-602.67000000000007"/>
    <n v="-0.9"/>
    <s v="India"/>
  </r>
  <r>
    <x v="9"/>
    <x v="1"/>
    <x v="61"/>
    <x v="1"/>
    <x v="17"/>
    <x v="5"/>
    <n v="1.78"/>
    <n v="1.02"/>
    <n v="0.17"/>
    <n v="199.57"/>
    <n v="76.88"/>
    <n v="13.08"/>
    <n v="-0.76"/>
    <n v="-122.69"/>
    <n v="-0.85"/>
    <s v="India"/>
  </r>
  <r>
    <x v="5"/>
    <x v="1"/>
    <x v="15"/>
    <x v="1"/>
    <x v="10"/>
    <x v="3"/>
    <n v="0.9"/>
    <n v="0.47"/>
    <n v="0.17"/>
    <n v="471.12"/>
    <n v="249.31"/>
    <n v="108.27"/>
    <n v="-0.43000000000000005"/>
    <n v="-221.81"/>
    <n v="-0.29999999999999993"/>
    <s v="India"/>
  </r>
  <r>
    <x v="14"/>
    <x v="3"/>
    <x v="39"/>
    <x v="2"/>
    <x v="29"/>
    <x v="7"/>
    <n v="0.73"/>
    <n v="1.1499999999999999"/>
    <n v="0.17"/>
    <n v="550.76"/>
    <n v="680.16"/>
    <n v="124.54"/>
    <n v="0.41999999999999993"/>
    <n v="129.39999999999998"/>
    <n v="-0.97999999999999987"/>
    <s v="India"/>
  </r>
  <r>
    <x v="1"/>
    <x v="0"/>
    <x v="75"/>
    <x v="1"/>
    <x v="3"/>
    <x v="2"/>
    <n v="0"/>
    <n v="0.15"/>
    <n v="0.16"/>
    <n v="0"/>
    <n v="103.97"/>
    <n v="129.01"/>
    <n v="0.15"/>
    <n v="103.97"/>
    <n v="1.0000000000000009E-2"/>
    <s v="India"/>
  </r>
  <r>
    <x v="2"/>
    <x v="1"/>
    <x v="112"/>
    <x v="2"/>
    <x v="11"/>
    <x v="3"/>
    <n v="0.02"/>
    <n v="0.17"/>
    <n v="0.16"/>
    <n v="8.64"/>
    <n v="8.99"/>
    <n v="0.3"/>
    <n v="0.15000000000000002"/>
    <n v="0.34999999999999964"/>
    <n v="-1.0000000000000009E-2"/>
    <s v="India"/>
  </r>
  <r>
    <x v="14"/>
    <x v="3"/>
    <x v="53"/>
    <x v="2"/>
    <x v="35"/>
    <x v="0"/>
    <n v="0.6"/>
    <n v="0.6"/>
    <n v="0.16"/>
    <n v="1680.13"/>
    <n v="1674.48"/>
    <n v="503"/>
    <n v="0"/>
    <n v="-5.6500000000000909"/>
    <n v="-0.43999999999999995"/>
    <s v="India"/>
  </r>
  <r>
    <x v="10"/>
    <x v="2"/>
    <x v="69"/>
    <x v="3"/>
    <x v="2"/>
    <x v="0"/>
    <n v="0"/>
    <n v="0.08"/>
    <n v="0.16"/>
    <n v="1.21"/>
    <n v="16.87"/>
    <n v="155.53"/>
    <n v="0.08"/>
    <n v="15.66"/>
    <n v="0.08"/>
    <s v="India"/>
  </r>
  <r>
    <x v="11"/>
    <x v="2"/>
    <x v="64"/>
    <x v="3"/>
    <x v="25"/>
    <x v="7"/>
    <n v="0.68"/>
    <n v="0.01"/>
    <n v="0.16"/>
    <n v="2466.54"/>
    <n v="37.979999999999997"/>
    <n v="577.79999999999995"/>
    <n v="-0.67"/>
    <n v="-2428.56"/>
    <n v="0.15"/>
    <s v="India"/>
  </r>
  <r>
    <x v="13"/>
    <x v="1"/>
    <x v="48"/>
    <x v="1"/>
    <x v="38"/>
    <x v="5"/>
    <n v="0.36"/>
    <n v="0.12"/>
    <n v="0.16"/>
    <n v="81.38"/>
    <n v="13.78"/>
    <n v="19.59"/>
    <n v="-0.24"/>
    <n v="-67.599999999999994"/>
    <n v="4.0000000000000008E-2"/>
    <s v="India"/>
  </r>
  <r>
    <x v="1"/>
    <x v="0"/>
    <x v="66"/>
    <x v="1"/>
    <x v="37"/>
    <x v="3"/>
    <n v="0"/>
    <n v="0.03"/>
    <n v="0.16"/>
    <n v="0"/>
    <n v="17.14"/>
    <n v="89.61"/>
    <n v="0.03"/>
    <n v="17.14"/>
    <n v="0.13"/>
    <s v="India"/>
  </r>
  <r>
    <x v="5"/>
    <x v="1"/>
    <x v="11"/>
    <x v="1"/>
    <x v="35"/>
    <x v="0"/>
    <n v="0.11"/>
    <n v="0.33"/>
    <n v="0.16"/>
    <n v="132.47"/>
    <n v="274.10000000000002"/>
    <n v="156.52000000000001"/>
    <n v="0.22000000000000003"/>
    <n v="141.63000000000002"/>
    <n v="-0.17"/>
    <s v="India"/>
  </r>
  <r>
    <x v="12"/>
    <x v="2"/>
    <x v="38"/>
    <x v="3"/>
    <x v="8"/>
    <x v="3"/>
    <n v="0.06"/>
    <n v="0.36"/>
    <n v="0.16"/>
    <n v="13.55"/>
    <n v="44.53"/>
    <n v="20.91"/>
    <n v="0.3"/>
    <n v="30.98"/>
    <n v="-0.19999999999999998"/>
    <s v="India"/>
  </r>
  <r>
    <x v="9"/>
    <x v="1"/>
    <x v="50"/>
    <x v="1"/>
    <x v="2"/>
    <x v="0"/>
    <n v="2.2400000000000002"/>
    <n v="1.98"/>
    <n v="0.16"/>
    <n v="3539.36"/>
    <n v="3172.95"/>
    <n v="228.84"/>
    <n v="-0.26000000000000023"/>
    <n v="-366.41000000000031"/>
    <n v="-1.82"/>
    <s v="India"/>
  </r>
  <r>
    <x v="4"/>
    <x v="3"/>
    <x v="63"/>
    <x v="2"/>
    <x v="14"/>
    <x v="3"/>
    <n v="0.57999999999999996"/>
    <n v="0.67"/>
    <n v="0.15"/>
    <n v="353.45"/>
    <n v="171.02"/>
    <n v="125.63"/>
    <n v="9.000000000000008E-2"/>
    <n v="-182.42999999999998"/>
    <n v="-0.52"/>
    <s v="India"/>
  </r>
  <r>
    <x v="2"/>
    <x v="1"/>
    <x v="8"/>
    <x v="1"/>
    <x v="11"/>
    <x v="3"/>
    <n v="0.69"/>
    <n v="0.15"/>
    <n v="0.15"/>
    <n v="109.26"/>
    <n v="40.15"/>
    <n v="27.66"/>
    <n v="-0.53999999999999992"/>
    <n v="-69.110000000000014"/>
    <n v="0"/>
    <s v="India"/>
  </r>
  <r>
    <x v="4"/>
    <x v="3"/>
    <x v="76"/>
    <x v="2"/>
    <x v="5"/>
    <x v="3"/>
    <n v="1.67"/>
    <n v="0.03"/>
    <n v="0.15"/>
    <n v="10336.59"/>
    <n v="34.369999999999997"/>
    <n v="234.06"/>
    <n v="-1.64"/>
    <n v="-10302.219999999999"/>
    <n v="0.12"/>
    <s v="India"/>
  </r>
  <r>
    <x v="12"/>
    <x v="2"/>
    <x v="142"/>
    <x v="1"/>
    <x v="20"/>
    <x v="3"/>
    <n v="0"/>
    <n v="0"/>
    <n v="0.15"/>
    <n v="0"/>
    <n v="0"/>
    <n v="137.79"/>
    <n v="0"/>
    <n v="0"/>
    <n v="0.15"/>
    <s v="India"/>
  </r>
  <r>
    <x v="6"/>
    <x v="2"/>
    <x v="32"/>
    <x v="0"/>
    <x v="36"/>
    <x v="6"/>
    <n v="0.35"/>
    <n v="0.67"/>
    <n v="0.15"/>
    <n v="66.27"/>
    <n v="74.69"/>
    <n v="17.28"/>
    <n v="0.32000000000000006"/>
    <n v="8.4200000000000017"/>
    <n v="-0.52"/>
    <s v="India"/>
  </r>
  <r>
    <x v="0"/>
    <x v="0"/>
    <x v="4"/>
    <x v="0"/>
    <x v="4"/>
    <x v="3"/>
    <n v="0.54"/>
    <n v="4.2300000000000004"/>
    <n v="0.15"/>
    <n v="816.18"/>
    <n v="2143.19"/>
    <n v="313.93"/>
    <n v="3.6900000000000004"/>
    <n v="1327.0100000000002"/>
    <n v="-4.08"/>
    <s v="India"/>
  </r>
  <r>
    <x v="2"/>
    <x v="1"/>
    <x v="6"/>
    <x v="1"/>
    <x v="11"/>
    <x v="3"/>
    <n v="0.27"/>
    <n v="0.63"/>
    <n v="0.15"/>
    <n v="68.44"/>
    <n v="192.63"/>
    <n v="50.3"/>
    <n v="0.36"/>
    <n v="124.19"/>
    <n v="-0.48"/>
    <s v="India"/>
  </r>
  <r>
    <x v="2"/>
    <x v="1"/>
    <x v="2"/>
    <x v="1"/>
    <x v="11"/>
    <x v="3"/>
    <n v="0.19"/>
    <n v="0.61"/>
    <n v="0.15"/>
    <n v="85.54"/>
    <n v="176.04"/>
    <n v="37.86"/>
    <n v="0.42"/>
    <n v="90.499999999999986"/>
    <n v="-0.45999999999999996"/>
    <s v="India"/>
  </r>
  <r>
    <x v="1"/>
    <x v="0"/>
    <x v="1"/>
    <x v="0"/>
    <x v="40"/>
    <x v="6"/>
    <n v="0.27"/>
    <n v="0.24"/>
    <n v="0.15"/>
    <n v="29.9"/>
    <n v="18.47"/>
    <n v="11.79"/>
    <n v="-3.0000000000000027E-2"/>
    <n v="-11.43"/>
    <n v="-0.09"/>
    <s v="India"/>
  </r>
  <r>
    <x v="18"/>
    <x v="0"/>
    <x v="93"/>
    <x v="1"/>
    <x v="4"/>
    <x v="3"/>
    <n v="0"/>
    <n v="0"/>
    <n v="0.15"/>
    <n v="1.63"/>
    <n v="0"/>
    <n v="112.19"/>
    <n v="0"/>
    <n v="-1.63"/>
    <n v="0.15"/>
    <s v="India"/>
  </r>
  <r>
    <x v="7"/>
    <x v="1"/>
    <x v="100"/>
    <x v="1"/>
    <x v="3"/>
    <x v="2"/>
    <n v="0.4"/>
    <n v="0.63"/>
    <n v="0.15"/>
    <n v="257.81"/>
    <n v="607.42999999999995"/>
    <n v="121.3"/>
    <n v="0.22999999999999998"/>
    <n v="349.61999999999995"/>
    <n v="-0.48"/>
    <s v="India"/>
  </r>
  <r>
    <x v="14"/>
    <x v="3"/>
    <x v="106"/>
    <x v="2"/>
    <x v="26"/>
    <x v="0"/>
    <n v="0.15"/>
    <n v="0"/>
    <n v="0.15"/>
    <n v="500.99"/>
    <n v="0"/>
    <n v="578.92999999999995"/>
    <n v="-0.15"/>
    <n v="-500.99"/>
    <n v="0.15"/>
    <s v="India"/>
  </r>
  <r>
    <x v="14"/>
    <x v="3"/>
    <x v="110"/>
    <x v="2"/>
    <x v="11"/>
    <x v="3"/>
    <n v="0.25"/>
    <n v="0.27"/>
    <n v="0.15"/>
    <n v="281.19"/>
    <n v="534.84"/>
    <n v="267.52"/>
    <n v="2.0000000000000018E-2"/>
    <n v="253.65000000000003"/>
    <n v="-0.12000000000000002"/>
    <s v="India"/>
  </r>
  <r>
    <x v="9"/>
    <x v="1"/>
    <x v="143"/>
    <x v="1"/>
    <x v="0"/>
    <x v="0"/>
    <n v="14.92"/>
    <n v="7.78"/>
    <n v="0.15"/>
    <n v="11488.11"/>
    <n v="7220.83"/>
    <n v="133.24"/>
    <n v="-7.14"/>
    <n v="-4267.2800000000007"/>
    <n v="-7.63"/>
    <s v="India"/>
  </r>
  <r>
    <x v="13"/>
    <x v="1"/>
    <x v="48"/>
    <x v="1"/>
    <x v="3"/>
    <x v="2"/>
    <n v="0.62"/>
    <n v="0.23"/>
    <n v="0.15"/>
    <n v="383.11"/>
    <n v="161.03"/>
    <n v="97.01"/>
    <n v="-0.39"/>
    <n v="-222.08"/>
    <n v="-8.0000000000000016E-2"/>
    <s v="India"/>
  </r>
  <r>
    <x v="17"/>
    <x v="5"/>
    <x v="108"/>
    <x v="2"/>
    <x v="0"/>
    <x v="0"/>
    <n v="0.91"/>
    <n v="0.36"/>
    <n v="0.14000000000000001"/>
    <n v="1215.57"/>
    <n v="489.33"/>
    <n v="235.27"/>
    <n v="-0.55000000000000004"/>
    <n v="-726.24"/>
    <n v="-0.21999999999999997"/>
    <s v="India"/>
  </r>
  <r>
    <x v="1"/>
    <x v="0"/>
    <x v="18"/>
    <x v="1"/>
    <x v="10"/>
    <x v="3"/>
    <n v="0.17"/>
    <n v="0.37"/>
    <n v="0.14000000000000001"/>
    <n v="59.47"/>
    <n v="41.36"/>
    <n v="29.59"/>
    <n v="0.19999999999999998"/>
    <n v="-18.11"/>
    <n v="-0.22999999999999998"/>
    <s v="India"/>
  </r>
  <r>
    <x v="4"/>
    <x v="3"/>
    <x v="65"/>
    <x v="1"/>
    <x v="28"/>
    <x v="5"/>
    <n v="0.87"/>
    <n v="0"/>
    <n v="0.14000000000000001"/>
    <n v="4173.83"/>
    <n v="0"/>
    <n v="910.5"/>
    <n v="-0.87"/>
    <n v="-4173.83"/>
    <n v="0.14000000000000001"/>
    <s v="India"/>
  </r>
  <r>
    <x v="6"/>
    <x v="2"/>
    <x v="55"/>
    <x v="0"/>
    <x v="35"/>
    <x v="0"/>
    <n v="0.16"/>
    <n v="0.16"/>
    <n v="0.14000000000000001"/>
    <n v="207.74"/>
    <n v="256.47000000000003"/>
    <n v="264.14999999999998"/>
    <n v="0"/>
    <n v="48.730000000000018"/>
    <n v="-1.999999999999999E-2"/>
    <s v="India"/>
  </r>
  <r>
    <x v="11"/>
    <x v="2"/>
    <x v="136"/>
    <x v="3"/>
    <x v="6"/>
    <x v="4"/>
    <n v="0.45"/>
    <n v="0.61"/>
    <n v="0.14000000000000001"/>
    <n v="484.58"/>
    <n v="620.32000000000005"/>
    <n v="126.35"/>
    <n v="0.15999999999999998"/>
    <n v="135.74000000000007"/>
    <n v="-0.47"/>
    <s v="India"/>
  </r>
  <r>
    <x v="13"/>
    <x v="1"/>
    <x v="33"/>
    <x v="3"/>
    <x v="13"/>
    <x v="3"/>
    <n v="0.35"/>
    <n v="0.34"/>
    <n v="0.14000000000000001"/>
    <n v="23.88"/>
    <n v="27.16"/>
    <n v="12.65"/>
    <n v="-9.9999999999999534E-3"/>
    <n v="3.2800000000000011"/>
    <n v="-0.2"/>
    <s v="India"/>
  </r>
  <r>
    <x v="4"/>
    <x v="3"/>
    <x v="71"/>
    <x v="2"/>
    <x v="5"/>
    <x v="3"/>
    <n v="0.84"/>
    <n v="0.33"/>
    <n v="0.14000000000000001"/>
    <n v="1030.68"/>
    <n v="347.38"/>
    <n v="108.09"/>
    <n v="-0.51"/>
    <n v="-683.30000000000007"/>
    <n v="-0.19"/>
    <s v="India"/>
  </r>
  <r>
    <x v="6"/>
    <x v="2"/>
    <x v="91"/>
    <x v="3"/>
    <x v="19"/>
    <x v="4"/>
    <n v="0.32"/>
    <n v="0.45"/>
    <n v="0.14000000000000001"/>
    <n v="105.29"/>
    <n v="242.43"/>
    <n v="38.71"/>
    <n v="0.13"/>
    <n v="137.13999999999999"/>
    <n v="-0.31"/>
    <s v="India"/>
  </r>
  <r>
    <x v="6"/>
    <x v="2"/>
    <x v="132"/>
    <x v="3"/>
    <x v="30"/>
    <x v="5"/>
    <n v="0.22"/>
    <n v="0.5"/>
    <n v="0.14000000000000001"/>
    <n v="97.16"/>
    <n v="135.55000000000001"/>
    <n v="43.51"/>
    <n v="0.28000000000000003"/>
    <n v="38.390000000000015"/>
    <n v="-0.36"/>
    <s v="India"/>
  </r>
  <r>
    <x v="13"/>
    <x v="1"/>
    <x v="33"/>
    <x v="3"/>
    <x v="6"/>
    <x v="4"/>
    <n v="0.43"/>
    <n v="0.2"/>
    <n v="0.14000000000000001"/>
    <n v="126.14"/>
    <n v="61.88"/>
    <n v="34.090000000000003"/>
    <n v="-0.22999999999999998"/>
    <n v="-64.259999999999991"/>
    <n v="-0.06"/>
    <s v="India"/>
  </r>
  <r>
    <x v="1"/>
    <x v="0"/>
    <x v="66"/>
    <x v="1"/>
    <x v="4"/>
    <x v="3"/>
    <n v="0"/>
    <n v="0.16"/>
    <n v="0.14000000000000001"/>
    <n v="0"/>
    <n v="56.63"/>
    <n v="68.540000000000006"/>
    <n v="0.16"/>
    <n v="56.63"/>
    <n v="-1.999999999999999E-2"/>
    <s v="India"/>
  </r>
  <r>
    <x v="1"/>
    <x v="0"/>
    <x v="98"/>
    <x v="1"/>
    <x v="10"/>
    <x v="3"/>
    <n v="0.05"/>
    <n v="0.09"/>
    <n v="0.14000000000000001"/>
    <n v="30.2"/>
    <n v="50.48"/>
    <n v="61.52"/>
    <n v="3.9999999999999994E-2"/>
    <n v="20.279999999999998"/>
    <n v="5.0000000000000017E-2"/>
    <s v="India"/>
  </r>
  <r>
    <x v="17"/>
    <x v="5"/>
    <x v="108"/>
    <x v="2"/>
    <x v="3"/>
    <x v="2"/>
    <n v="0.37"/>
    <n v="0.27"/>
    <n v="0.14000000000000001"/>
    <n v="418.56"/>
    <n v="322.02999999999997"/>
    <n v="181.59"/>
    <n v="-9.9999999999999978E-2"/>
    <n v="-96.53000000000003"/>
    <n v="-0.13"/>
    <s v="India"/>
  </r>
  <r>
    <x v="8"/>
    <x v="4"/>
    <x v="89"/>
    <x v="1"/>
    <x v="10"/>
    <x v="3"/>
    <n v="0.38"/>
    <n v="0.24"/>
    <n v="0.14000000000000001"/>
    <n v="310.31"/>
    <n v="201.92"/>
    <n v="115.16"/>
    <n v="-0.14000000000000001"/>
    <n v="-108.39000000000001"/>
    <n v="-9.9999999999999978E-2"/>
    <s v="India"/>
  </r>
  <r>
    <x v="14"/>
    <x v="3"/>
    <x v="53"/>
    <x v="2"/>
    <x v="13"/>
    <x v="3"/>
    <n v="0.18"/>
    <n v="0.28000000000000003"/>
    <n v="0.14000000000000001"/>
    <n v="87.02"/>
    <n v="112.11"/>
    <n v="52.02"/>
    <n v="0.10000000000000003"/>
    <n v="25.090000000000003"/>
    <n v="-0.14000000000000001"/>
    <s v="India"/>
  </r>
  <r>
    <x v="3"/>
    <x v="2"/>
    <x v="116"/>
    <x v="0"/>
    <x v="4"/>
    <x v="3"/>
    <n v="0"/>
    <n v="0.28000000000000003"/>
    <n v="0.14000000000000001"/>
    <n v="0"/>
    <n v="426.65"/>
    <n v="219.35"/>
    <n v="0.28000000000000003"/>
    <n v="426.65"/>
    <n v="-0.14000000000000001"/>
    <s v="India"/>
  </r>
  <r>
    <x v="1"/>
    <x v="0"/>
    <x v="24"/>
    <x v="3"/>
    <x v="27"/>
    <x v="7"/>
    <n v="0.09"/>
    <n v="0.26"/>
    <n v="0.14000000000000001"/>
    <n v="11.48"/>
    <n v="4.6900000000000004"/>
    <n v="2.09"/>
    <n v="0.17"/>
    <n v="-6.79"/>
    <n v="-0.12"/>
    <s v="India"/>
  </r>
  <r>
    <x v="5"/>
    <x v="1"/>
    <x v="92"/>
    <x v="1"/>
    <x v="13"/>
    <x v="3"/>
    <n v="0.15"/>
    <n v="1.52"/>
    <n v="0.14000000000000001"/>
    <n v="7.18"/>
    <n v="75.72"/>
    <n v="7.79"/>
    <n v="1.37"/>
    <n v="68.539999999999992"/>
    <n v="-1.38"/>
    <s v="India"/>
  </r>
  <r>
    <x v="8"/>
    <x v="4"/>
    <x v="88"/>
    <x v="1"/>
    <x v="14"/>
    <x v="3"/>
    <n v="1.1100000000000001"/>
    <n v="0.72"/>
    <n v="0.14000000000000001"/>
    <n v="1087.0899999999999"/>
    <n v="660.6"/>
    <n v="98.78"/>
    <n v="-0.39000000000000012"/>
    <n v="-426.4899999999999"/>
    <n v="-0.57999999999999996"/>
    <s v="India"/>
  </r>
  <r>
    <x v="11"/>
    <x v="2"/>
    <x v="64"/>
    <x v="3"/>
    <x v="5"/>
    <x v="3"/>
    <n v="2"/>
    <n v="0.39"/>
    <n v="0.14000000000000001"/>
    <n v="1729.38"/>
    <n v="405.6"/>
    <n v="107.56"/>
    <n v="-1.6099999999999999"/>
    <n v="-1323.7800000000002"/>
    <n v="-0.25"/>
    <s v="India"/>
  </r>
  <r>
    <x v="5"/>
    <x v="1"/>
    <x v="92"/>
    <x v="1"/>
    <x v="5"/>
    <x v="3"/>
    <n v="0.01"/>
    <n v="0.26"/>
    <n v="0.14000000000000001"/>
    <n v="8.74"/>
    <n v="118.66"/>
    <n v="58.49"/>
    <n v="0.25"/>
    <n v="109.92"/>
    <n v="-0.12"/>
    <s v="India"/>
  </r>
  <r>
    <x v="0"/>
    <x v="0"/>
    <x v="36"/>
    <x v="1"/>
    <x v="6"/>
    <x v="4"/>
    <n v="0.56999999999999995"/>
    <n v="0.54"/>
    <n v="0.14000000000000001"/>
    <n v="100.99"/>
    <n v="118.75"/>
    <n v="29.23"/>
    <n v="-2.9999999999999916E-2"/>
    <n v="17.760000000000005"/>
    <n v="-0.4"/>
    <s v="India"/>
  </r>
  <r>
    <x v="4"/>
    <x v="3"/>
    <x v="76"/>
    <x v="2"/>
    <x v="26"/>
    <x v="0"/>
    <n v="0"/>
    <n v="0"/>
    <n v="0.14000000000000001"/>
    <n v="0"/>
    <n v="0"/>
    <n v="477.6"/>
    <n v="0"/>
    <n v="0"/>
    <n v="0.14000000000000001"/>
    <s v="India"/>
  </r>
  <r>
    <x v="8"/>
    <x v="4"/>
    <x v="144"/>
    <x v="4"/>
    <x v="5"/>
    <x v="3"/>
    <n v="0.3"/>
    <n v="0.76"/>
    <n v="0.14000000000000001"/>
    <n v="70.599999999999994"/>
    <n v="176.44"/>
    <n v="32.42"/>
    <n v="0.46"/>
    <n v="105.84"/>
    <n v="-0.62"/>
    <s v="India"/>
  </r>
  <r>
    <x v="14"/>
    <x v="3"/>
    <x v="110"/>
    <x v="2"/>
    <x v="3"/>
    <x v="2"/>
    <n v="1.27"/>
    <n v="0.56000000000000005"/>
    <n v="0.14000000000000001"/>
    <n v="1584.89"/>
    <n v="781.67"/>
    <n v="193.7"/>
    <n v="-0.71"/>
    <n v="-803.22000000000014"/>
    <n v="-0.42000000000000004"/>
    <s v="India"/>
  </r>
  <r>
    <x v="4"/>
    <x v="3"/>
    <x v="96"/>
    <x v="2"/>
    <x v="5"/>
    <x v="3"/>
    <n v="2.68"/>
    <n v="3.84"/>
    <n v="0.13"/>
    <n v="13582.62"/>
    <n v="34103.49"/>
    <n v="855.03"/>
    <n v="1.1599999999999997"/>
    <n v="20520.869999999995"/>
    <n v="-3.71"/>
    <s v="India"/>
  </r>
  <r>
    <x v="12"/>
    <x v="2"/>
    <x v="145"/>
    <x v="3"/>
    <x v="24"/>
    <x v="4"/>
    <n v="0.82"/>
    <n v="1.17"/>
    <n v="0.13"/>
    <n v="904.36"/>
    <n v="1190.33"/>
    <n v="118.08"/>
    <n v="0.35"/>
    <n v="285.96999999999991"/>
    <n v="-1.04"/>
    <s v="India"/>
  </r>
  <r>
    <x v="11"/>
    <x v="2"/>
    <x v="79"/>
    <x v="4"/>
    <x v="13"/>
    <x v="3"/>
    <n v="0.24"/>
    <n v="0.5"/>
    <n v="0.13"/>
    <n v="12.38"/>
    <n v="17.64"/>
    <n v="5.25"/>
    <n v="0.26"/>
    <n v="5.26"/>
    <n v="-0.37"/>
    <s v="India"/>
  </r>
  <r>
    <x v="13"/>
    <x v="1"/>
    <x v="33"/>
    <x v="3"/>
    <x v="19"/>
    <x v="4"/>
    <n v="0.73"/>
    <n v="0.34"/>
    <n v="0.13"/>
    <n v="206.18"/>
    <n v="133.27000000000001"/>
    <n v="46.55"/>
    <n v="-0.38999999999999996"/>
    <n v="-72.91"/>
    <n v="-0.21000000000000002"/>
    <s v="India"/>
  </r>
  <r>
    <x v="7"/>
    <x v="1"/>
    <x v="100"/>
    <x v="1"/>
    <x v="14"/>
    <x v="3"/>
    <n v="0"/>
    <n v="0.33"/>
    <n v="0.13"/>
    <n v="0"/>
    <n v="168.54"/>
    <n v="69.349999999999994"/>
    <n v="0.33"/>
    <n v="168.54"/>
    <n v="-0.2"/>
    <s v="India"/>
  </r>
  <r>
    <x v="0"/>
    <x v="0"/>
    <x v="4"/>
    <x v="0"/>
    <x v="18"/>
    <x v="7"/>
    <n v="0.01"/>
    <n v="0"/>
    <n v="0.13"/>
    <n v="1.08"/>
    <n v="2.7"/>
    <n v="34.86"/>
    <n v="-0.01"/>
    <n v="1.62"/>
    <n v="0.13"/>
    <s v="India"/>
  </r>
  <r>
    <x v="10"/>
    <x v="2"/>
    <x v="28"/>
    <x v="1"/>
    <x v="18"/>
    <x v="7"/>
    <n v="0.32"/>
    <n v="0.28000000000000003"/>
    <n v="0.13"/>
    <n v="52.85"/>
    <n v="67.239999999999995"/>
    <n v="43.34"/>
    <n v="-3.999999999999998E-2"/>
    <n v="14.389999999999993"/>
    <n v="-0.15000000000000002"/>
    <s v="India"/>
  </r>
  <r>
    <x v="19"/>
    <x v="1"/>
    <x v="146"/>
    <x v="2"/>
    <x v="4"/>
    <x v="3"/>
    <n v="0.15"/>
    <n v="0.19"/>
    <n v="0.13"/>
    <n v="20.51"/>
    <n v="18.62"/>
    <n v="12.61"/>
    <n v="4.0000000000000008E-2"/>
    <n v="-1.8900000000000006"/>
    <n v="-0.06"/>
    <s v="India"/>
  </r>
  <r>
    <x v="4"/>
    <x v="3"/>
    <x v="71"/>
    <x v="2"/>
    <x v="10"/>
    <x v="3"/>
    <n v="0.3"/>
    <n v="0.64"/>
    <n v="0.13"/>
    <n v="1128.53"/>
    <n v="1787.56"/>
    <n v="364.38"/>
    <n v="0.34"/>
    <n v="659.03"/>
    <n v="-0.51"/>
    <s v="India"/>
  </r>
  <r>
    <x v="1"/>
    <x v="0"/>
    <x v="1"/>
    <x v="0"/>
    <x v="42"/>
    <x v="1"/>
    <n v="0.59"/>
    <n v="0.36"/>
    <n v="0.13"/>
    <n v="242.72"/>
    <n v="73.94"/>
    <n v="28"/>
    <n v="-0.22999999999999998"/>
    <n v="-168.78"/>
    <n v="-0.22999999999999998"/>
    <s v="India"/>
  </r>
  <r>
    <x v="4"/>
    <x v="3"/>
    <x v="95"/>
    <x v="2"/>
    <x v="11"/>
    <x v="3"/>
    <n v="0.02"/>
    <n v="0.24"/>
    <n v="0.13"/>
    <n v="33.6"/>
    <n v="420"/>
    <n v="175.4"/>
    <n v="0.22"/>
    <n v="386.4"/>
    <n v="-0.10999999999999999"/>
    <s v="India"/>
  </r>
  <r>
    <x v="1"/>
    <x v="0"/>
    <x v="1"/>
    <x v="0"/>
    <x v="29"/>
    <x v="7"/>
    <n v="0.38"/>
    <n v="0.27"/>
    <n v="0.13"/>
    <n v="125.03"/>
    <n v="85.17"/>
    <n v="53.55"/>
    <n v="-0.10999999999999999"/>
    <n v="-39.86"/>
    <n v="-0.14000000000000001"/>
    <s v="India"/>
  </r>
  <r>
    <x v="4"/>
    <x v="3"/>
    <x v="71"/>
    <x v="2"/>
    <x v="8"/>
    <x v="3"/>
    <n v="0.21"/>
    <n v="0.28000000000000003"/>
    <n v="0.13"/>
    <n v="176.75"/>
    <n v="125.37"/>
    <n v="79.08"/>
    <n v="7.0000000000000034E-2"/>
    <n v="-51.379999999999995"/>
    <n v="-0.15000000000000002"/>
    <s v="India"/>
  </r>
  <r>
    <x v="5"/>
    <x v="1"/>
    <x v="11"/>
    <x v="1"/>
    <x v="17"/>
    <x v="5"/>
    <n v="0.12"/>
    <n v="7.0000000000000007E-2"/>
    <n v="0.13"/>
    <n v="76.77"/>
    <n v="8.11"/>
    <n v="79.53"/>
    <n v="-4.9999999999999989E-2"/>
    <n v="-68.66"/>
    <n v="0.06"/>
    <s v="India"/>
  </r>
  <r>
    <x v="6"/>
    <x v="2"/>
    <x v="49"/>
    <x v="0"/>
    <x v="18"/>
    <x v="7"/>
    <n v="0.78"/>
    <n v="0.18"/>
    <n v="0.12"/>
    <n v="108.35"/>
    <n v="26.14"/>
    <n v="14.9"/>
    <n v="-0.60000000000000009"/>
    <n v="-82.21"/>
    <n v="-0.06"/>
    <s v="India"/>
  </r>
  <r>
    <x v="0"/>
    <x v="0"/>
    <x v="54"/>
    <x v="1"/>
    <x v="8"/>
    <x v="3"/>
    <n v="0.06"/>
    <n v="0.35"/>
    <n v="0.12"/>
    <n v="37.06"/>
    <n v="277.89999999999998"/>
    <n v="119.77"/>
    <n v="0.28999999999999998"/>
    <n v="240.83999999999997"/>
    <n v="-0.22999999999999998"/>
    <s v="India"/>
  </r>
  <r>
    <x v="2"/>
    <x v="1"/>
    <x v="147"/>
    <x v="4"/>
    <x v="14"/>
    <x v="3"/>
    <n v="0"/>
    <n v="0"/>
    <n v="0.12"/>
    <n v="0"/>
    <n v="0"/>
    <n v="12.6"/>
    <n v="0"/>
    <n v="0"/>
    <n v="0.12"/>
    <s v="India"/>
  </r>
  <r>
    <x v="5"/>
    <x v="1"/>
    <x v="11"/>
    <x v="1"/>
    <x v="34"/>
    <x v="6"/>
    <n v="0"/>
    <n v="0"/>
    <n v="0.12"/>
    <n v="0"/>
    <n v="0"/>
    <n v="158.51"/>
    <n v="0"/>
    <n v="0"/>
    <n v="0.12"/>
    <s v="India"/>
  </r>
  <r>
    <x v="14"/>
    <x v="3"/>
    <x v="53"/>
    <x v="2"/>
    <x v="16"/>
    <x v="0"/>
    <n v="0.34"/>
    <n v="0.37"/>
    <n v="0.12"/>
    <n v="939.14"/>
    <n v="1107"/>
    <n v="410"/>
    <n v="2.9999999999999971E-2"/>
    <n v="167.86"/>
    <n v="-0.25"/>
    <s v="India"/>
  </r>
  <r>
    <x v="4"/>
    <x v="3"/>
    <x v="80"/>
    <x v="2"/>
    <x v="8"/>
    <x v="3"/>
    <n v="0"/>
    <n v="0"/>
    <n v="0.12"/>
    <n v="0"/>
    <n v="0"/>
    <n v="210.03"/>
    <n v="0"/>
    <n v="0"/>
    <n v="0.12"/>
    <s v="India"/>
  </r>
  <r>
    <x v="17"/>
    <x v="5"/>
    <x v="87"/>
    <x v="2"/>
    <x v="3"/>
    <x v="2"/>
    <n v="0"/>
    <n v="0.28000000000000003"/>
    <n v="0.12"/>
    <n v="4.93"/>
    <n v="313.48"/>
    <n v="154.97"/>
    <n v="0.28000000000000003"/>
    <n v="308.55"/>
    <n v="-0.16000000000000003"/>
    <s v="India"/>
  </r>
  <r>
    <x v="4"/>
    <x v="3"/>
    <x v="76"/>
    <x v="2"/>
    <x v="29"/>
    <x v="7"/>
    <n v="0"/>
    <n v="0.17"/>
    <n v="0.12"/>
    <n v="0"/>
    <n v="85.2"/>
    <n v="60"/>
    <n v="0.17"/>
    <n v="85.2"/>
    <n v="-5.0000000000000017E-2"/>
    <s v="India"/>
  </r>
  <r>
    <x v="0"/>
    <x v="0"/>
    <x v="35"/>
    <x v="1"/>
    <x v="0"/>
    <x v="0"/>
    <n v="2.2400000000000002"/>
    <n v="1.1499999999999999"/>
    <n v="0.12"/>
    <n v="1710.76"/>
    <n v="1140.83"/>
    <n v="90.57"/>
    <n v="-1.0900000000000003"/>
    <n v="-569.93000000000006"/>
    <n v="-1.0299999999999998"/>
    <s v="India"/>
  </r>
  <r>
    <x v="6"/>
    <x v="2"/>
    <x v="126"/>
    <x v="1"/>
    <x v="6"/>
    <x v="4"/>
    <n v="0"/>
    <n v="1.19"/>
    <n v="0.12"/>
    <n v="0.02"/>
    <n v="1327.49"/>
    <n v="183.19"/>
    <n v="1.19"/>
    <n v="1327.47"/>
    <n v="-1.0699999999999998"/>
    <s v="India"/>
  </r>
  <r>
    <x v="0"/>
    <x v="0"/>
    <x v="36"/>
    <x v="1"/>
    <x v="32"/>
    <x v="0"/>
    <n v="0.39"/>
    <n v="0.31"/>
    <n v="0.12"/>
    <n v="208.51"/>
    <n v="271.77999999999997"/>
    <n v="89.91"/>
    <n v="-8.0000000000000016E-2"/>
    <n v="63.269999999999982"/>
    <n v="-0.19"/>
    <s v="India"/>
  </r>
  <r>
    <x v="14"/>
    <x v="3"/>
    <x v="53"/>
    <x v="2"/>
    <x v="11"/>
    <x v="3"/>
    <n v="0.55000000000000004"/>
    <n v="0.57999999999999996"/>
    <n v="0.12"/>
    <n v="507.37"/>
    <n v="433.23"/>
    <n v="167.61"/>
    <n v="2.9999999999999916E-2"/>
    <n v="-74.139999999999986"/>
    <n v="-0.45999999999999996"/>
    <s v="India"/>
  </r>
  <r>
    <x v="12"/>
    <x v="2"/>
    <x v="37"/>
    <x v="0"/>
    <x v="15"/>
    <x v="0"/>
    <n v="0"/>
    <n v="0.15"/>
    <n v="0.12"/>
    <n v="0"/>
    <n v="556.5"/>
    <n v="443.5"/>
    <n v="0.15"/>
    <n v="556.5"/>
    <n v="-0.03"/>
    <s v="India"/>
  </r>
  <r>
    <x v="9"/>
    <x v="1"/>
    <x v="61"/>
    <x v="1"/>
    <x v="11"/>
    <x v="3"/>
    <n v="0.16"/>
    <n v="0.28000000000000003"/>
    <n v="0.12"/>
    <n v="68.23"/>
    <n v="128.25"/>
    <n v="47.99"/>
    <n v="0.12000000000000002"/>
    <n v="60.019999999999996"/>
    <n v="-0.16000000000000003"/>
    <s v="India"/>
  </r>
  <r>
    <x v="1"/>
    <x v="0"/>
    <x v="24"/>
    <x v="3"/>
    <x v="8"/>
    <x v="3"/>
    <n v="0.32"/>
    <n v="1.31"/>
    <n v="0.12"/>
    <n v="53.97"/>
    <n v="293.29000000000002"/>
    <n v="34.340000000000003"/>
    <n v="0.99"/>
    <n v="239.32000000000002"/>
    <n v="-1.19"/>
    <s v="India"/>
  </r>
  <r>
    <x v="5"/>
    <x v="1"/>
    <x v="10"/>
    <x v="1"/>
    <x v="31"/>
    <x v="1"/>
    <n v="0.06"/>
    <n v="2.4500000000000002"/>
    <n v="0.12"/>
    <n v="35.4"/>
    <n v="514"/>
    <n v="54"/>
    <n v="2.39"/>
    <n v="478.6"/>
    <n v="-2.33"/>
    <s v="India"/>
  </r>
  <r>
    <x v="2"/>
    <x v="1"/>
    <x v="60"/>
    <x v="1"/>
    <x v="10"/>
    <x v="3"/>
    <n v="0"/>
    <n v="0.54"/>
    <n v="0.12"/>
    <n v="0"/>
    <n v="1893.96"/>
    <n v="440.28"/>
    <n v="0.54"/>
    <n v="1893.96"/>
    <n v="-0.42000000000000004"/>
    <s v="India"/>
  </r>
  <r>
    <x v="2"/>
    <x v="1"/>
    <x v="8"/>
    <x v="1"/>
    <x v="10"/>
    <x v="3"/>
    <n v="0.01"/>
    <n v="0.59"/>
    <n v="0.12"/>
    <n v="28.73"/>
    <n v="1210.94"/>
    <n v="268.93"/>
    <n v="0.57999999999999996"/>
    <n v="1182.21"/>
    <n v="-0.47"/>
    <s v="India"/>
  </r>
  <r>
    <x v="4"/>
    <x v="3"/>
    <x v="7"/>
    <x v="0"/>
    <x v="0"/>
    <x v="0"/>
    <n v="0.06"/>
    <n v="0.6"/>
    <n v="0.12"/>
    <n v="59.27"/>
    <n v="452.54"/>
    <n v="91.37"/>
    <n v="0.54"/>
    <n v="393.27000000000004"/>
    <n v="-0.48"/>
    <s v="India"/>
  </r>
  <r>
    <x v="14"/>
    <x v="3"/>
    <x v="110"/>
    <x v="2"/>
    <x v="10"/>
    <x v="3"/>
    <n v="0.34"/>
    <n v="0.4"/>
    <n v="0.12"/>
    <n v="436.75"/>
    <n v="642.07000000000005"/>
    <n v="175.5"/>
    <n v="0.06"/>
    <n v="205.32000000000005"/>
    <n v="-0.28000000000000003"/>
    <s v="India"/>
  </r>
  <r>
    <x v="5"/>
    <x v="1"/>
    <x v="92"/>
    <x v="1"/>
    <x v="10"/>
    <x v="3"/>
    <n v="0.01"/>
    <n v="0.45"/>
    <n v="0.12"/>
    <n v="7.05"/>
    <n v="334.15"/>
    <n v="77.67"/>
    <n v="0.44"/>
    <n v="327.09999999999997"/>
    <n v="-0.33"/>
    <s v="India"/>
  </r>
  <r>
    <x v="8"/>
    <x v="4"/>
    <x v="99"/>
    <x v="1"/>
    <x v="5"/>
    <x v="3"/>
    <n v="0.04"/>
    <n v="0.43"/>
    <n v="0.12"/>
    <n v="12.16"/>
    <n v="122.72"/>
    <n v="33.94"/>
    <n v="0.39"/>
    <n v="110.56"/>
    <n v="-0.31"/>
    <s v="India"/>
  </r>
  <r>
    <x v="14"/>
    <x v="3"/>
    <x v="110"/>
    <x v="2"/>
    <x v="21"/>
    <x v="4"/>
    <n v="0.27"/>
    <n v="0.17"/>
    <n v="0.12"/>
    <n v="345.16"/>
    <n v="318.77"/>
    <n v="239.8"/>
    <n v="-0.1"/>
    <n v="-26.390000000000043"/>
    <n v="-5.0000000000000017E-2"/>
    <s v="India"/>
  </r>
  <r>
    <x v="17"/>
    <x v="5"/>
    <x v="87"/>
    <x v="2"/>
    <x v="6"/>
    <x v="4"/>
    <n v="0.04"/>
    <n v="0.35"/>
    <n v="0.11"/>
    <n v="49.88"/>
    <n v="498.06"/>
    <n v="190.1"/>
    <n v="0.31"/>
    <n v="448.18"/>
    <n v="-0.24"/>
    <s v="India"/>
  </r>
  <r>
    <x v="4"/>
    <x v="3"/>
    <x v="135"/>
    <x v="2"/>
    <x v="15"/>
    <x v="0"/>
    <n v="0.47"/>
    <n v="0.24"/>
    <n v="0.11"/>
    <n v="1368.84"/>
    <n v="926.13"/>
    <n v="451.86"/>
    <n v="-0.22999999999999998"/>
    <n v="-442.70999999999992"/>
    <n v="-0.13"/>
    <s v="India"/>
  </r>
  <r>
    <x v="12"/>
    <x v="2"/>
    <x v="131"/>
    <x v="1"/>
    <x v="11"/>
    <x v="3"/>
    <n v="0"/>
    <n v="2.92"/>
    <n v="0.11"/>
    <n v="0"/>
    <n v="2940.6"/>
    <n v="69.64"/>
    <n v="2.92"/>
    <n v="2940.6"/>
    <n v="-2.81"/>
    <s v="India"/>
  </r>
  <r>
    <x v="1"/>
    <x v="0"/>
    <x v="75"/>
    <x v="1"/>
    <x v="19"/>
    <x v="4"/>
    <n v="0"/>
    <n v="0.22"/>
    <n v="0.11"/>
    <n v="0"/>
    <n v="169.84"/>
    <n v="100.63"/>
    <n v="0.22"/>
    <n v="169.84"/>
    <n v="-0.11"/>
    <s v="India"/>
  </r>
  <r>
    <x v="19"/>
    <x v="1"/>
    <x v="114"/>
    <x v="1"/>
    <x v="18"/>
    <x v="7"/>
    <n v="0"/>
    <n v="0.05"/>
    <n v="0.11"/>
    <n v="0.05"/>
    <n v="7.54"/>
    <n v="14.71"/>
    <n v="0.05"/>
    <n v="7.49"/>
    <n v="0.06"/>
    <s v="India"/>
  </r>
  <r>
    <x v="18"/>
    <x v="0"/>
    <x v="121"/>
    <x v="3"/>
    <x v="19"/>
    <x v="4"/>
    <n v="0"/>
    <n v="0.06"/>
    <n v="0.11"/>
    <n v="0"/>
    <n v="22.52"/>
    <n v="50.15"/>
    <n v="0.06"/>
    <n v="22.52"/>
    <n v="0.05"/>
    <s v="India"/>
  </r>
  <r>
    <x v="5"/>
    <x v="1"/>
    <x v="92"/>
    <x v="1"/>
    <x v="16"/>
    <x v="0"/>
    <n v="0.02"/>
    <n v="0.17"/>
    <n v="0.11"/>
    <n v="12.95"/>
    <n v="190.62"/>
    <n v="165.48"/>
    <n v="0.15000000000000002"/>
    <n v="177.67000000000002"/>
    <n v="-6.0000000000000012E-2"/>
    <s v="India"/>
  </r>
  <r>
    <x v="19"/>
    <x v="1"/>
    <x v="146"/>
    <x v="2"/>
    <x v="3"/>
    <x v="2"/>
    <n v="0.16"/>
    <n v="0.15"/>
    <n v="0.11"/>
    <n v="192.38"/>
    <n v="200.82"/>
    <n v="193.02"/>
    <n v="-1.0000000000000009E-2"/>
    <n v="8.4399999999999977"/>
    <n v="-3.9999999999999994E-2"/>
    <s v="India"/>
  </r>
  <r>
    <x v="2"/>
    <x v="1"/>
    <x v="60"/>
    <x v="1"/>
    <x v="21"/>
    <x v="4"/>
    <n v="0"/>
    <n v="0.45"/>
    <n v="0.11"/>
    <n v="0"/>
    <n v="829.44"/>
    <n v="256.67"/>
    <n v="0.45"/>
    <n v="829.44"/>
    <n v="-0.34"/>
    <s v="India"/>
  </r>
  <r>
    <x v="9"/>
    <x v="1"/>
    <x v="139"/>
    <x v="3"/>
    <x v="5"/>
    <x v="3"/>
    <n v="1.04"/>
    <n v="0.56999999999999995"/>
    <n v="0.11"/>
    <n v="8.07"/>
    <n v="5.82"/>
    <n v="1.1399999999999999"/>
    <n v="-0.47000000000000008"/>
    <n v="-2.25"/>
    <n v="-0.45999999999999996"/>
    <s v="India"/>
  </r>
  <r>
    <x v="0"/>
    <x v="0"/>
    <x v="51"/>
    <x v="4"/>
    <x v="35"/>
    <x v="0"/>
    <n v="0.48"/>
    <n v="1.77"/>
    <n v="0.11"/>
    <n v="1034.67"/>
    <n v="4864.76"/>
    <n v="257.36"/>
    <n v="1.29"/>
    <n v="3830.09"/>
    <n v="-1.66"/>
    <s v="India"/>
  </r>
  <r>
    <x v="1"/>
    <x v="0"/>
    <x v="141"/>
    <x v="3"/>
    <x v="24"/>
    <x v="4"/>
    <n v="0.01"/>
    <n v="7.0000000000000007E-2"/>
    <n v="0.11"/>
    <n v="5.99"/>
    <n v="28.72"/>
    <n v="38.76"/>
    <n v="6.0000000000000005E-2"/>
    <n v="22.729999999999997"/>
    <n v="3.9999999999999994E-2"/>
    <s v="India"/>
  </r>
  <r>
    <x v="0"/>
    <x v="0"/>
    <x v="81"/>
    <x v="1"/>
    <x v="10"/>
    <x v="3"/>
    <n v="0"/>
    <n v="0"/>
    <n v="0.11"/>
    <n v="0"/>
    <n v="0"/>
    <n v="19.5"/>
    <n v="0"/>
    <n v="0"/>
    <n v="0.11"/>
    <s v="India"/>
  </r>
  <r>
    <x v="13"/>
    <x v="1"/>
    <x v="33"/>
    <x v="3"/>
    <x v="14"/>
    <x v="3"/>
    <n v="0.13"/>
    <n v="0.08"/>
    <n v="0.11"/>
    <n v="8.7100000000000009"/>
    <n v="3.08"/>
    <n v="1.87"/>
    <n v="-0.05"/>
    <n v="-5.6300000000000008"/>
    <n v="0.03"/>
    <s v="India"/>
  </r>
  <r>
    <x v="2"/>
    <x v="1"/>
    <x v="112"/>
    <x v="2"/>
    <x v="0"/>
    <x v="0"/>
    <n v="0"/>
    <n v="0.5"/>
    <n v="0.11"/>
    <n v="0"/>
    <n v="613.5"/>
    <n v="100"/>
    <n v="0.5"/>
    <n v="613.5"/>
    <n v="-0.39"/>
    <s v="India"/>
  </r>
  <r>
    <x v="11"/>
    <x v="2"/>
    <x v="29"/>
    <x v="0"/>
    <x v="35"/>
    <x v="0"/>
    <n v="0.38"/>
    <n v="0.41"/>
    <n v="0.11"/>
    <n v="414.29"/>
    <n v="385.01"/>
    <n v="133.72999999999999"/>
    <n v="2.9999999999999971E-2"/>
    <n v="-29.28000000000003"/>
    <n v="-0.3"/>
    <s v="India"/>
  </r>
  <r>
    <x v="6"/>
    <x v="2"/>
    <x v="148"/>
    <x v="1"/>
    <x v="4"/>
    <x v="3"/>
    <n v="7.0000000000000007E-2"/>
    <n v="0.96"/>
    <n v="0.11"/>
    <n v="33.799999999999997"/>
    <n v="315.58"/>
    <n v="7.45"/>
    <n v="0.8899999999999999"/>
    <n v="281.77999999999997"/>
    <n v="-0.85"/>
    <s v="India"/>
  </r>
  <r>
    <x v="1"/>
    <x v="0"/>
    <x v="75"/>
    <x v="1"/>
    <x v="11"/>
    <x v="3"/>
    <n v="0"/>
    <n v="2.4500000000000002"/>
    <n v="0.11"/>
    <n v="0"/>
    <n v="2404.9699999999998"/>
    <n v="54.59"/>
    <n v="2.4500000000000002"/>
    <n v="2404.9699999999998"/>
    <n v="-2.3400000000000003"/>
    <s v="India"/>
  </r>
  <r>
    <x v="0"/>
    <x v="0"/>
    <x v="4"/>
    <x v="0"/>
    <x v="35"/>
    <x v="0"/>
    <n v="0.25"/>
    <n v="0.7"/>
    <n v="0.1"/>
    <n v="746.05"/>
    <n v="2073.6999999999998"/>
    <n v="311.69"/>
    <n v="0.44999999999999996"/>
    <n v="1327.6499999999999"/>
    <n v="-0.6"/>
    <s v="India"/>
  </r>
  <r>
    <x v="2"/>
    <x v="1"/>
    <x v="149"/>
    <x v="3"/>
    <x v="24"/>
    <x v="4"/>
    <n v="0.42"/>
    <n v="0.38"/>
    <n v="0.1"/>
    <n v="654.05999999999995"/>
    <n v="938.38"/>
    <n v="242.15"/>
    <n v="-3.999999999999998E-2"/>
    <n v="284.32000000000005"/>
    <n v="-0.28000000000000003"/>
    <s v="India"/>
  </r>
  <r>
    <x v="1"/>
    <x v="0"/>
    <x v="82"/>
    <x v="1"/>
    <x v="1"/>
    <x v="1"/>
    <n v="0"/>
    <n v="0.12"/>
    <n v="0.1"/>
    <n v="0"/>
    <n v="28.5"/>
    <n v="28.49"/>
    <n v="0.12"/>
    <n v="28.5"/>
    <n v="-1.999999999999999E-2"/>
    <s v="India"/>
  </r>
  <r>
    <x v="0"/>
    <x v="0"/>
    <x v="0"/>
    <x v="0"/>
    <x v="40"/>
    <x v="6"/>
    <n v="0.18"/>
    <n v="0.67"/>
    <n v="0.1"/>
    <n v="24.66"/>
    <n v="317.88"/>
    <n v="7.46"/>
    <n v="0.49000000000000005"/>
    <n v="293.21999999999997"/>
    <n v="-0.57000000000000006"/>
    <s v="India"/>
  </r>
  <r>
    <x v="0"/>
    <x v="0"/>
    <x v="4"/>
    <x v="0"/>
    <x v="24"/>
    <x v="4"/>
    <n v="2.71"/>
    <n v="3.34"/>
    <n v="0.1"/>
    <n v="8415.9"/>
    <n v="11833"/>
    <n v="493"/>
    <n v="0.62999999999999989"/>
    <n v="3417.1000000000004"/>
    <n v="-3.2399999999999998"/>
    <s v="India"/>
  </r>
  <r>
    <x v="2"/>
    <x v="1"/>
    <x v="14"/>
    <x v="1"/>
    <x v="11"/>
    <x v="3"/>
    <n v="0.77"/>
    <n v="0.76"/>
    <n v="0.1"/>
    <n v="251.07"/>
    <n v="186.84"/>
    <n v="23.98"/>
    <n v="-1.0000000000000009E-2"/>
    <n v="-64.22999999999999"/>
    <n v="-0.66"/>
    <s v="India"/>
  </r>
  <r>
    <x v="2"/>
    <x v="1"/>
    <x v="59"/>
    <x v="2"/>
    <x v="22"/>
    <x v="6"/>
    <n v="0"/>
    <n v="0.01"/>
    <n v="0.1"/>
    <n v="3.15"/>
    <n v="2.1800000000000002"/>
    <n v="177.5"/>
    <n v="0.01"/>
    <n v="-0.96999999999999975"/>
    <n v="9.0000000000000011E-2"/>
    <s v="India"/>
  </r>
  <r>
    <x v="1"/>
    <x v="0"/>
    <x v="56"/>
    <x v="4"/>
    <x v="13"/>
    <x v="3"/>
    <n v="0"/>
    <n v="0"/>
    <n v="0.1"/>
    <n v="0"/>
    <n v="0"/>
    <n v="46.89"/>
    <n v="0"/>
    <n v="0"/>
    <n v="0.1"/>
    <s v="India"/>
  </r>
  <r>
    <x v="9"/>
    <x v="1"/>
    <x v="50"/>
    <x v="1"/>
    <x v="18"/>
    <x v="7"/>
    <n v="0.22"/>
    <n v="0.13"/>
    <n v="0.1"/>
    <n v="30.7"/>
    <n v="16.760000000000002"/>
    <n v="16.46"/>
    <n v="-0.09"/>
    <n v="-13.939999999999998"/>
    <n v="-0.03"/>
    <s v="India"/>
  </r>
  <r>
    <x v="21"/>
    <x v="5"/>
    <x v="150"/>
    <x v="2"/>
    <x v="15"/>
    <x v="0"/>
    <n v="0.21"/>
    <n v="0.21"/>
    <n v="0.1"/>
    <n v="740.1"/>
    <n v="785.95"/>
    <n v="399.7"/>
    <n v="0"/>
    <n v="45.850000000000023"/>
    <n v="-0.10999999999999999"/>
    <s v="India"/>
  </r>
  <r>
    <x v="7"/>
    <x v="1"/>
    <x v="151"/>
    <x v="1"/>
    <x v="5"/>
    <x v="3"/>
    <n v="2.19"/>
    <n v="0.1"/>
    <n v="0.1"/>
    <n v="1036.49"/>
    <n v="46.15"/>
    <n v="54.9"/>
    <n v="-2.09"/>
    <n v="-990.34"/>
    <n v="0"/>
    <s v="India"/>
  </r>
  <r>
    <x v="1"/>
    <x v="0"/>
    <x v="75"/>
    <x v="1"/>
    <x v="4"/>
    <x v="3"/>
    <n v="0"/>
    <n v="1.95"/>
    <n v="0.1"/>
    <n v="0"/>
    <n v="569.13"/>
    <n v="34.86"/>
    <n v="1.95"/>
    <n v="569.13"/>
    <n v="-1.8499999999999999"/>
    <s v="India"/>
  </r>
  <r>
    <x v="4"/>
    <x v="3"/>
    <x v="71"/>
    <x v="2"/>
    <x v="19"/>
    <x v="4"/>
    <n v="0.31"/>
    <n v="0.31"/>
    <n v="0.1"/>
    <n v="773.28"/>
    <n v="588.07000000000005"/>
    <n v="232.21"/>
    <n v="0"/>
    <n v="-185.20999999999992"/>
    <n v="-0.21"/>
    <s v="India"/>
  </r>
  <r>
    <x v="2"/>
    <x v="1"/>
    <x v="70"/>
    <x v="1"/>
    <x v="2"/>
    <x v="0"/>
    <n v="0"/>
    <n v="0.61"/>
    <n v="0.1"/>
    <n v="0"/>
    <n v="1196"/>
    <n v="174.02"/>
    <n v="0.61"/>
    <n v="1196"/>
    <n v="-0.51"/>
    <s v="India"/>
  </r>
  <r>
    <x v="13"/>
    <x v="1"/>
    <x v="128"/>
    <x v="1"/>
    <x v="8"/>
    <x v="3"/>
    <n v="0.65"/>
    <n v="1.1599999999999999"/>
    <n v="0.1"/>
    <n v="112.55"/>
    <n v="322.45"/>
    <n v="38.24"/>
    <n v="0.5099999999999999"/>
    <n v="209.89999999999998"/>
    <n v="-1.0599999999999998"/>
    <s v="India"/>
  </r>
  <r>
    <x v="0"/>
    <x v="0"/>
    <x v="0"/>
    <x v="0"/>
    <x v="34"/>
    <x v="6"/>
    <n v="0"/>
    <n v="0"/>
    <n v="0.1"/>
    <n v="0"/>
    <n v="0"/>
    <n v="115.12"/>
    <n v="0"/>
    <n v="0"/>
    <n v="0.1"/>
    <s v="India"/>
  </r>
  <r>
    <x v="2"/>
    <x v="1"/>
    <x v="14"/>
    <x v="1"/>
    <x v="13"/>
    <x v="3"/>
    <n v="0.2"/>
    <n v="0.83"/>
    <n v="0.1"/>
    <n v="34.75"/>
    <n v="264.10000000000002"/>
    <n v="42.72"/>
    <n v="0.62999999999999989"/>
    <n v="229.35000000000002"/>
    <n v="-0.73"/>
    <s v="India"/>
  </r>
  <r>
    <x v="4"/>
    <x v="3"/>
    <x v="63"/>
    <x v="2"/>
    <x v="21"/>
    <x v="4"/>
    <n v="0.46"/>
    <n v="0.41"/>
    <n v="0.1"/>
    <n v="279.94"/>
    <n v="298.64"/>
    <n v="91.86"/>
    <n v="-5.0000000000000044E-2"/>
    <n v="18.699999999999989"/>
    <n v="-0.30999999999999994"/>
    <s v="India"/>
  </r>
  <r>
    <x v="6"/>
    <x v="2"/>
    <x v="126"/>
    <x v="1"/>
    <x v="11"/>
    <x v="3"/>
    <n v="0"/>
    <n v="1.5"/>
    <n v="0.1"/>
    <n v="0"/>
    <n v="1181.1099999999999"/>
    <n v="68.09"/>
    <n v="1.5"/>
    <n v="1181.1099999999999"/>
    <n v="-1.4"/>
    <s v="India"/>
  </r>
  <r>
    <x v="7"/>
    <x v="1"/>
    <x v="152"/>
    <x v="4"/>
    <x v="4"/>
    <x v="3"/>
    <n v="0.02"/>
    <n v="0.16"/>
    <n v="0.1"/>
    <n v="45"/>
    <n v="36.07"/>
    <n v="31.21"/>
    <n v="0.14000000000000001"/>
    <n v="-8.93"/>
    <n v="-0.06"/>
    <s v="India"/>
  </r>
  <r>
    <x v="4"/>
    <x v="3"/>
    <x v="96"/>
    <x v="2"/>
    <x v="8"/>
    <x v="3"/>
    <n v="0.06"/>
    <n v="0.23"/>
    <n v="0.09"/>
    <n v="201.15"/>
    <n v="341.74"/>
    <n v="120.7"/>
    <n v="0.17"/>
    <n v="140.59"/>
    <n v="-0.14000000000000001"/>
    <s v="India"/>
  </r>
  <r>
    <x v="1"/>
    <x v="0"/>
    <x v="56"/>
    <x v="4"/>
    <x v="6"/>
    <x v="4"/>
    <n v="0"/>
    <n v="0"/>
    <n v="0.09"/>
    <n v="0"/>
    <n v="0"/>
    <n v="73.84"/>
    <n v="0"/>
    <n v="0"/>
    <n v="0.09"/>
    <s v="India"/>
  </r>
  <r>
    <x v="1"/>
    <x v="0"/>
    <x v="31"/>
    <x v="1"/>
    <x v="15"/>
    <x v="0"/>
    <n v="0"/>
    <n v="0.35"/>
    <n v="0.09"/>
    <n v="22"/>
    <n v="1484.09"/>
    <n v="394.32"/>
    <n v="0.35"/>
    <n v="1462.09"/>
    <n v="-0.26"/>
    <s v="India"/>
  </r>
  <r>
    <x v="8"/>
    <x v="4"/>
    <x v="89"/>
    <x v="1"/>
    <x v="13"/>
    <x v="3"/>
    <n v="0.19"/>
    <n v="0.21"/>
    <n v="0.09"/>
    <n v="150.47"/>
    <n v="148.09"/>
    <n v="60.1"/>
    <n v="1.999999999999999E-2"/>
    <n v="-2.3799999999999955"/>
    <n v="-0.12"/>
    <s v="India"/>
  </r>
  <r>
    <x v="2"/>
    <x v="1"/>
    <x v="78"/>
    <x v="1"/>
    <x v="10"/>
    <x v="3"/>
    <n v="0.03"/>
    <n v="0"/>
    <n v="0.09"/>
    <n v="13.15"/>
    <n v="0"/>
    <n v="56.47"/>
    <n v="-0.03"/>
    <n v="-13.15"/>
    <n v="0.09"/>
    <s v="India"/>
  </r>
  <r>
    <x v="7"/>
    <x v="1"/>
    <x v="100"/>
    <x v="1"/>
    <x v="11"/>
    <x v="3"/>
    <n v="0.49"/>
    <n v="0.5"/>
    <n v="0.09"/>
    <n v="192.06"/>
    <n v="177.83"/>
    <n v="31.82"/>
    <n v="1.0000000000000009E-2"/>
    <n v="-14.22999999999999"/>
    <n v="-0.41000000000000003"/>
    <s v="India"/>
  </r>
  <r>
    <x v="17"/>
    <x v="5"/>
    <x v="138"/>
    <x v="2"/>
    <x v="8"/>
    <x v="3"/>
    <n v="0.02"/>
    <n v="0.1"/>
    <n v="0.09"/>
    <n v="9.6999999999999993"/>
    <n v="61.15"/>
    <n v="62.05"/>
    <n v="0.08"/>
    <n v="51.45"/>
    <n v="-1.0000000000000009E-2"/>
    <s v="India"/>
  </r>
  <r>
    <x v="9"/>
    <x v="1"/>
    <x v="61"/>
    <x v="1"/>
    <x v="5"/>
    <x v="3"/>
    <n v="0.37"/>
    <n v="0.49"/>
    <n v="0.09"/>
    <n v="223.01"/>
    <n v="313.06"/>
    <n v="59.14"/>
    <n v="0.12"/>
    <n v="90.050000000000011"/>
    <n v="-0.4"/>
    <s v="India"/>
  </r>
  <r>
    <x v="1"/>
    <x v="0"/>
    <x v="84"/>
    <x v="0"/>
    <x v="8"/>
    <x v="3"/>
    <n v="0.1"/>
    <n v="0.01"/>
    <n v="0.09"/>
    <n v="107.62"/>
    <n v="20"/>
    <n v="15.35"/>
    <n v="-9.0000000000000011E-2"/>
    <n v="-87.62"/>
    <n v="0.08"/>
    <s v="India"/>
  </r>
  <r>
    <x v="5"/>
    <x v="1"/>
    <x v="119"/>
    <x v="1"/>
    <x v="10"/>
    <x v="3"/>
    <n v="0"/>
    <n v="0"/>
    <n v="0.09"/>
    <n v="0"/>
    <n v="0.11"/>
    <n v="150"/>
    <n v="0"/>
    <n v="0.11"/>
    <n v="0.09"/>
    <s v="India"/>
  </r>
  <r>
    <x v="1"/>
    <x v="0"/>
    <x v="153"/>
    <x v="1"/>
    <x v="10"/>
    <x v="3"/>
    <n v="7.0000000000000007E-2"/>
    <n v="0.04"/>
    <n v="0.09"/>
    <n v="40"/>
    <n v="20.99"/>
    <n v="41.23"/>
    <n v="-3.0000000000000006E-2"/>
    <n v="-19.010000000000002"/>
    <n v="4.9999999999999996E-2"/>
    <s v="India"/>
  </r>
  <r>
    <x v="6"/>
    <x v="2"/>
    <x v="49"/>
    <x v="0"/>
    <x v="32"/>
    <x v="0"/>
    <n v="0.21"/>
    <n v="0.09"/>
    <n v="0.09"/>
    <n v="135.96"/>
    <n v="69.2"/>
    <n v="63.3"/>
    <n v="-0.12"/>
    <n v="-66.760000000000005"/>
    <n v="0"/>
    <s v="India"/>
  </r>
  <r>
    <x v="5"/>
    <x v="1"/>
    <x v="15"/>
    <x v="1"/>
    <x v="13"/>
    <x v="3"/>
    <n v="0.12"/>
    <n v="0.34"/>
    <n v="0.09"/>
    <n v="59.4"/>
    <n v="119.28"/>
    <n v="39.520000000000003"/>
    <n v="0.22000000000000003"/>
    <n v="59.88"/>
    <n v="-0.25"/>
    <s v="India"/>
  </r>
  <r>
    <x v="3"/>
    <x v="2"/>
    <x v="5"/>
    <x v="0"/>
    <x v="8"/>
    <x v="3"/>
    <n v="0.08"/>
    <n v="0.3"/>
    <n v="0.09"/>
    <n v="194.86"/>
    <n v="232.64"/>
    <n v="84.22"/>
    <n v="0.21999999999999997"/>
    <n v="37.779999999999973"/>
    <n v="-0.21"/>
    <s v="India"/>
  </r>
  <r>
    <x v="11"/>
    <x v="2"/>
    <x v="134"/>
    <x v="4"/>
    <x v="10"/>
    <x v="3"/>
    <n v="0"/>
    <n v="0.11"/>
    <n v="0.09"/>
    <n v="0"/>
    <n v="52.67"/>
    <n v="37.950000000000003"/>
    <n v="0.11"/>
    <n v="52.67"/>
    <n v="-2.0000000000000004E-2"/>
    <s v="India"/>
  </r>
  <r>
    <x v="5"/>
    <x v="1"/>
    <x v="92"/>
    <x v="1"/>
    <x v="3"/>
    <x v="2"/>
    <n v="0.04"/>
    <n v="0.21"/>
    <n v="0.09"/>
    <n v="24.88"/>
    <n v="153.01"/>
    <n v="61.45"/>
    <n v="0.16999999999999998"/>
    <n v="128.13"/>
    <n v="-0.12"/>
    <s v="India"/>
  </r>
  <r>
    <x v="0"/>
    <x v="0"/>
    <x v="67"/>
    <x v="3"/>
    <x v="18"/>
    <x v="7"/>
    <n v="0.13"/>
    <n v="0.61"/>
    <n v="0.09"/>
    <n v="23.06"/>
    <n v="41.91"/>
    <n v="7.27"/>
    <n v="0.48"/>
    <n v="18.849999999999998"/>
    <n v="-0.52"/>
    <s v="India"/>
  </r>
  <r>
    <x v="13"/>
    <x v="1"/>
    <x v="33"/>
    <x v="3"/>
    <x v="0"/>
    <x v="0"/>
    <n v="0.67"/>
    <n v="0.48"/>
    <n v="0.09"/>
    <n v="654.29"/>
    <n v="558.80999999999995"/>
    <n v="105.12"/>
    <n v="-0.19000000000000006"/>
    <n v="-95.480000000000018"/>
    <n v="-0.39"/>
    <s v="India"/>
  </r>
  <r>
    <x v="2"/>
    <x v="1"/>
    <x v="147"/>
    <x v="4"/>
    <x v="4"/>
    <x v="3"/>
    <n v="0.06"/>
    <n v="0.35"/>
    <n v="0.09"/>
    <n v="6.47"/>
    <n v="241.04"/>
    <n v="56.13"/>
    <n v="0.28999999999999998"/>
    <n v="234.57"/>
    <n v="-0.26"/>
    <s v="India"/>
  </r>
  <r>
    <x v="4"/>
    <x v="3"/>
    <x v="135"/>
    <x v="2"/>
    <x v="2"/>
    <x v="0"/>
    <n v="0.18"/>
    <n v="0.26"/>
    <n v="0.09"/>
    <n v="423.87"/>
    <n v="555.08000000000004"/>
    <n v="203.05"/>
    <n v="8.0000000000000016E-2"/>
    <n v="131.21000000000004"/>
    <n v="-0.17"/>
    <s v="India"/>
  </r>
  <r>
    <x v="7"/>
    <x v="1"/>
    <x v="151"/>
    <x v="1"/>
    <x v="4"/>
    <x v="3"/>
    <n v="0.09"/>
    <n v="0"/>
    <n v="0.09"/>
    <n v="31.02"/>
    <n v="1.1499999999999999"/>
    <n v="45.45"/>
    <n v="-0.09"/>
    <n v="-29.87"/>
    <n v="0.09"/>
    <s v="India"/>
  </r>
  <r>
    <x v="4"/>
    <x v="3"/>
    <x v="63"/>
    <x v="2"/>
    <x v="22"/>
    <x v="6"/>
    <n v="0.13"/>
    <n v="0.21"/>
    <n v="0.09"/>
    <n v="14.79"/>
    <n v="21.7"/>
    <n v="9.35"/>
    <n v="7.9999999999999988E-2"/>
    <n v="6.91"/>
    <n v="-0.12"/>
    <s v="India"/>
  </r>
  <r>
    <x v="11"/>
    <x v="2"/>
    <x v="136"/>
    <x v="3"/>
    <x v="30"/>
    <x v="5"/>
    <n v="0.74"/>
    <n v="0.12"/>
    <n v="0.09"/>
    <n v="494.66"/>
    <n v="60.47"/>
    <n v="31.55"/>
    <n v="-0.62"/>
    <n v="-434.19000000000005"/>
    <n v="-0.03"/>
    <s v="India"/>
  </r>
  <r>
    <x v="1"/>
    <x v="0"/>
    <x v="75"/>
    <x v="1"/>
    <x v="8"/>
    <x v="3"/>
    <n v="0"/>
    <n v="0.01"/>
    <n v="0.09"/>
    <n v="0"/>
    <n v="3.61"/>
    <n v="36.97"/>
    <n v="0.01"/>
    <n v="3.61"/>
    <n v="0.08"/>
    <s v="India"/>
  </r>
  <r>
    <x v="3"/>
    <x v="2"/>
    <x v="5"/>
    <x v="0"/>
    <x v="30"/>
    <x v="5"/>
    <n v="0.14000000000000001"/>
    <n v="0.1"/>
    <n v="0.08"/>
    <n v="53.36"/>
    <n v="237.15"/>
    <n v="194.01"/>
    <n v="-4.0000000000000008E-2"/>
    <n v="183.79000000000002"/>
    <n v="-2.0000000000000004E-2"/>
    <s v="India"/>
  </r>
  <r>
    <x v="5"/>
    <x v="1"/>
    <x v="10"/>
    <x v="1"/>
    <x v="13"/>
    <x v="3"/>
    <n v="0.04"/>
    <n v="0.14000000000000001"/>
    <n v="0.08"/>
    <n v="5.92"/>
    <n v="11.93"/>
    <n v="8.19"/>
    <n v="0.1"/>
    <n v="6.01"/>
    <n v="-6.0000000000000012E-2"/>
    <s v="India"/>
  </r>
  <r>
    <x v="7"/>
    <x v="1"/>
    <x v="58"/>
    <x v="1"/>
    <x v="11"/>
    <x v="3"/>
    <n v="0.17"/>
    <n v="0.18"/>
    <n v="0.08"/>
    <n v="35.51"/>
    <n v="32.869999999999997"/>
    <n v="13.44"/>
    <n v="9.9999999999999811E-3"/>
    <n v="-2.6400000000000006"/>
    <n v="-9.9999999999999992E-2"/>
    <s v="India"/>
  </r>
  <r>
    <x v="2"/>
    <x v="1"/>
    <x v="112"/>
    <x v="2"/>
    <x v="15"/>
    <x v="0"/>
    <n v="0"/>
    <n v="1.05"/>
    <n v="0.08"/>
    <n v="0"/>
    <n v="4314.07"/>
    <n v="361.5"/>
    <n v="1.05"/>
    <n v="4314.07"/>
    <n v="-0.97000000000000008"/>
    <s v="India"/>
  </r>
  <r>
    <x v="1"/>
    <x v="0"/>
    <x v="98"/>
    <x v="1"/>
    <x v="2"/>
    <x v="0"/>
    <n v="7.0000000000000007E-2"/>
    <n v="0.2"/>
    <n v="0.08"/>
    <n v="75.64"/>
    <n v="156.43"/>
    <n v="67.62"/>
    <n v="0.13"/>
    <n v="80.790000000000006"/>
    <n v="-0.12000000000000001"/>
    <s v="India"/>
  </r>
  <r>
    <x v="21"/>
    <x v="5"/>
    <x v="154"/>
    <x v="2"/>
    <x v="15"/>
    <x v="0"/>
    <n v="0.01"/>
    <n v="0.27"/>
    <n v="0.08"/>
    <n v="45.96"/>
    <n v="1074.1400000000001"/>
    <n v="372.57"/>
    <n v="0.26"/>
    <n v="1028.18"/>
    <n v="-0.19"/>
    <s v="India"/>
  </r>
  <r>
    <x v="13"/>
    <x v="1"/>
    <x v="128"/>
    <x v="1"/>
    <x v="18"/>
    <x v="7"/>
    <n v="0.1"/>
    <n v="0.24"/>
    <n v="0.08"/>
    <n v="9.83"/>
    <n v="69.08"/>
    <n v="36.21"/>
    <n v="0.13999999999999999"/>
    <n v="59.25"/>
    <n v="-0.15999999999999998"/>
    <s v="India"/>
  </r>
  <r>
    <x v="13"/>
    <x v="1"/>
    <x v="128"/>
    <x v="1"/>
    <x v="10"/>
    <x v="3"/>
    <n v="0.08"/>
    <n v="0.17"/>
    <n v="0.08"/>
    <n v="52.99"/>
    <n v="68.23"/>
    <n v="11.73"/>
    <n v="9.0000000000000011E-2"/>
    <n v="15.240000000000002"/>
    <n v="-9.0000000000000011E-2"/>
    <s v="India"/>
  </r>
  <r>
    <x v="10"/>
    <x v="2"/>
    <x v="69"/>
    <x v="3"/>
    <x v="30"/>
    <x v="5"/>
    <n v="0.19"/>
    <n v="0.19"/>
    <n v="0.08"/>
    <n v="54.18"/>
    <n v="58.35"/>
    <n v="18.97"/>
    <n v="0"/>
    <n v="4.1700000000000017"/>
    <n v="-0.11"/>
    <s v="India"/>
  </r>
  <r>
    <x v="0"/>
    <x v="0"/>
    <x v="4"/>
    <x v="0"/>
    <x v="14"/>
    <x v="3"/>
    <n v="0"/>
    <n v="0"/>
    <n v="0.08"/>
    <n v="0"/>
    <n v="0"/>
    <n v="99"/>
    <n v="0"/>
    <n v="0"/>
    <n v="0.08"/>
    <s v="India"/>
  </r>
  <r>
    <x v="16"/>
    <x v="3"/>
    <x v="77"/>
    <x v="2"/>
    <x v="28"/>
    <x v="5"/>
    <n v="0"/>
    <n v="0"/>
    <n v="0.08"/>
    <n v="0"/>
    <n v="0"/>
    <n v="556.98"/>
    <n v="0"/>
    <n v="0"/>
    <n v="0.08"/>
    <s v="India"/>
  </r>
  <r>
    <x v="0"/>
    <x v="0"/>
    <x v="72"/>
    <x v="4"/>
    <x v="14"/>
    <x v="3"/>
    <n v="0.05"/>
    <n v="0.06"/>
    <n v="0.08"/>
    <n v="7.16"/>
    <n v="3.78"/>
    <n v="4.33"/>
    <n v="9.999999999999995E-3"/>
    <n v="-3.3800000000000003"/>
    <n v="2.0000000000000004E-2"/>
    <s v="India"/>
  </r>
  <r>
    <x v="12"/>
    <x v="2"/>
    <x v="145"/>
    <x v="3"/>
    <x v="19"/>
    <x v="4"/>
    <n v="0.01"/>
    <n v="0.13"/>
    <n v="0.08"/>
    <n v="8.43"/>
    <n v="92.95"/>
    <n v="54.19"/>
    <n v="0.12000000000000001"/>
    <n v="84.52000000000001"/>
    <n v="-0.05"/>
    <s v="India"/>
  </r>
  <r>
    <x v="0"/>
    <x v="0"/>
    <x v="67"/>
    <x v="3"/>
    <x v="8"/>
    <x v="3"/>
    <n v="0.24"/>
    <n v="0.21"/>
    <n v="0.08"/>
    <n v="45.89"/>
    <n v="34.42"/>
    <n v="14.72"/>
    <n v="-0.03"/>
    <n v="-11.469999999999999"/>
    <n v="-0.13"/>
    <s v="India"/>
  </r>
  <r>
    <x v="12"/>
    <x v="2"/>
    <x v="30"/>
    <x v="1"/>
    <x v="6"/>
    <x v="4"/>
    <n v="0.37"/>
    <n v="0.28999999999999998"/>
    <n v="0.08"/>
    <n v="60.25"/>
    <n v="36.659999999999997"/>
    <n v="25.23"/>
    <n v="-8.0000000000000016E-2"/>
    <n v="-23.590000000000003"/>
    <n v="-0.20999999999999996"/>
    <s v="India"/>
  </r>
  <r>
    <x v="4"/>
    <x v="3"/>
    <x v="76"/>
    <x v="2"/>
    <x v="32"/>
    <x v="0"/>
    <n v="0.73"/>
    <n v="0.28999999999999998"/>
    <n v="0.08"/>
    <n v="2336.02"/>
    <n v="927.09"/>
    <n v="272.22000000000003"/>
    <n v="-0.44"/>
    <n v="-1408.9299999999998"/>
    <n v="-0.20999999999999996"/>
    <s v="India"/>
  </r>
  <r>
    <x v="2"/>
    <x v="1"/>
    <x v="68"/>
    <x v="1"/>
    <x v="0"/>
    <x v="0"/>
    <n v="0.05"/>
    <n v="0.04"/>
    <n v="0.08"/>
    <n v="37.380000000000003"/>
    <n v="16.75"/>
    <n v="77.67"/>
    <n v="-1.0000000000000002E-2"/>
    <n v="-20.630000000000003"/>
    <n v="0.04"/>
    <s v="India"/>
  </r>
  <r>
    <x v="11"/>
    <x v="2"/>
    <x v="79"/>
    <x v="4"/>
    <x v="24"/>
    <x v="4"/>
    <n v="0.18"/>
    <n v="0.2"/>
    <n v="0.08"/>
    <n v="203.22"/>
    <n v="233.94"/>
    <n v="94.05"/>
    <n v="2.0000000000000018E-2"/>
    <n v="30.72"/>
    <n v="-0.12000000000000001"/>
    <s v="India"/>
  </r>
  <r>
    <x v="2"/>
    <x v="1"/>
    <x v="14"/>
    <x v="1"/>
    <x v="42"/>
    <x v="1"/>
    <n v="0.24"/>
    <n v="7.0000000000000007E-2"/>
    <n v="0.08"/>
    <n v="55.28"/>
    <n v="13.45"/>
    <n v="18.84"/>
    <n v="-0.16999999999999998"/>
    <n v="-41.83"/>
    <n v="9.999999999999995E-3"/>
    <s v="India"/>
  </r>
  <r>
    <x v="1"/>
    <x v="0"/>
    <x v="82"/>
    <x v="1"/>
    <x v="4"/>
    <x v="3"/>
    <n v="0.3"/>
    <n v="0.86"/>
    <n v="0.08"/>
    <n v="92.4"/>
    <n v="226.9"/>
    <n v="21.6"/>
    <n v="0.56000000000000005"/>
    <n v="134.5"/>
    <n v="-0.78"/>
    <s v="India"/>
  </r>
  <r>
    <x v="2"/>
    <x v="1"/>
    <x v="104"/>
    <x v="3"/>
    <x v="19"/>
    <x v="4"/>
    <n v="7.0000000000000007E-2"/>
    <n v="0.19"/>
    <n v="0.08"/>
    <n v="50.71"/>
    <n v="136.22999999999999"/>
    <n v="49.02"/>
    <n v="0.12"/>
    <n v="85.519999999999982"/>
    <n v="-0.11"/>
    <s v="India"/>
  </r>
  <r>
    <x v="6"/>
    <x v="2"/>
    <x v="148"/>
    <x v="1"/>
    <x v="18"/>
    <x v="7"/>
    <n v="0"/>
    <n v="2.13"/>
    <n v="0.08"/>
    <n v="0"/>
    <n v="246.01"/>
    <n v="9.25"/>
    <n v="2.13"/>
    <n v="246.01"/>
    <n v="-2.0499999999999998"/>
    <s v="India"/>
  </r>
  <r>
    <x v="0"/>
    <x v="0"/>
    <x v="67"/>
    <x v="3"/>
    <x v="30"/>
    <x v="5"/>
    <n v="0.09"/>
    <n v="0.22"/>
    <n v="0.08"/>
    <n v="3.42"/>
    <n v="9.34"/>
    <n v="2.2200000000000002"/>
    <n v="0.13"/>
    <n v="5.92"/>
    <n v="-0.14000000000000001"/>
    <s v="India"/>
  </r>
  <r>
    <x v="6"/>
    <x v="2"/>
    <x v="49"/>
    <x v="0"/>
    <x v="34"/>
    <x v="6"/>
    <n v="1.02"/>
    <n v="1.04"/>
    <n v="0.08"/>
    <n v="1635.82"/>
    <n v="1281.77"/>
    <n v="93.02"/>
    <n v="2.0000000000000018E-2"/>
    <n v="-354.04999999999995"/>
    <n v="-0.96000000000000008"/>
    <s v="India"/>
  </r>
  <r>
    <x v="5"/>
    <x v="1"/>
    <x v="92"/>
    <x v="1"/>
    <x v="11"/>
    <x v="3"/>
    <n v="0"/>
    <n v="0.34"/>
    <n v="0.08"/>
    <n v="0.37"/>
    <n v="67.319999999999993"/>
    <n v="20.5"/>
    <n v="0.34"/>
    <n v="66.949999999999989"/>
    <n v="-0.26"/>
    <s v="India"/>
  </r>
  <r>
    <x v="2"/>
    <x v="1"/>
    <x v="59"/>
    <x v="2"/>
    <x v="3"/>
    <x v="2"/>
    <n v="0.83"/>
    <n v="0.83"/>
    <n v="0.08"/>
    <n v="1007.43"/>
    <n v="1049.1500000000001"/>
    <n v="76.52"/>
    <n v="0"/>
    <n v="41.720000000000141"/>
    <n v="-0.75"/>
    <s v="India"/>
  </r>
  <r>
    <x v="13"/>
    <x v="1"/>
    <x v="48"/>
    <x v="1"/>
    <x v="2"/>
    <x v="0"/>
    <n v="0.05"/>
    <n v="0.12"/>
    <n v="0.08"/>
    <n v="74.8"/>
    <n v="129.03"/>
    <n v="111.14"/>
    <n v="6.9999999999999993E-2"/>
    <n v="54.230000000000004"/>
    <n v="-3.9999999999999994E-2"/>
    <s v="India"/>
  </r>
  <r>
    <x v="1"/>
    <x v="0"/>
    <x v="18"/>
    <x v="1"/>
    <x v="15"/>
    <x v="0"/>
    <n v="0"/>
    <n v="0"/>
    <n v="0.08"/>
    <n v="0"/>
    <n v="0"/>
    <n v="200"/>
    <n v="0"/>
    <n v="0"/>
    <n v="0.08"/>
    <s v="India"/>
  </r>
  <r>
    <x v="5"/>
    <x v="1"/>
    <x v="9"/>
    <x v="1"/>
    <x v="5"/>
    <x v="3"/>
    <n v="0.35"/>
    <n v="0.22"/>
    <n v="7.0000000000000007E-2"/>
    <n v="211.97"/>
    <n v="115.1"/>
    <n v="53.44"/>
    <n v="-0.12999999999999998"/>
    <n v="-96.87"/>
    <n v="-0.15"/>
    <s v="India"/>
  </r>
  <r>
    <x v="0"/>
    <x v="0"/>
    <x v="35"/>
    <x v="1"/>
    <x v="24"/>
    <x v="4"/>
    <n v="1.03"/>
    <n v="0.62"/>
    <n v="7.0000000000000007E-2"/>
    <n v="462.19"/>
    <n v="328.54"/>
    <n v="45.79"/>
    <n v="-0.41000000000000003"/>
    <n v="-133.64999999999998"/>
    <n v="-0.55000000000000004"/>
    <s v="India"/>
  </r>
  <r>
    <x v="2"/>
    <x v="1"/>
    <x v="6"/>
    <x v="1"/>
    <x v="17"/>
    <x v="5"/>
    <n v="0"/>
    <n v="0"/>
    <n v="7.0000000000000007E-2"/>
    <n v="0"/>
    <n v="0"/>
    <n v="8.51"/>
    <n v="0"/>
    <n v="0"/>
    <n v="7.0000000000000007E-2"/>
    <s v="India"/>
  </r>
  <r>
    <x v="9"/>
    <x v="1"/>
    <x v="61"/>
    <x v="1"/>
    <x v="3"/>
    <x v="2"/>
    <n v="0.1"/>
    <n v="0.13"/>
    <n v="7.0000000000000007E-2"/>
    <n v="85.33"/>
    <n v="98.56"/>
    <n v="65.12"/>
    <n v="0.03"/>
    <n v="13.230000000000004"/>
    <n v="-0.06"/>
    <s v="India"/>
  </r>
  <r>
    <x v="0"/>
    <x v="0"/>
    <x v="51"/>
    <x v="4"/>
    <x v="6"/>
    <x v="4"/>
    <n v="0.24"/>
    <n v="0.1"/>
    <n v="7.0000000000000007E-2"/>
    <n v="266.39"/>
    <n v="13.95"/>
    <n v="24.61"/>
    <n v="-0.13999999999999999"/>
    <n v="-252.44"/>
    <n v="-0.03"/>
    <s v="India"/>
  </r>
  <r>
    <x v="19"/>
    <x v="1"/>
    <x v="146"/>
    <x v="2"/>
    <x v="2"/>
    <x v="0"/>
    <n v="0"/>
    <n v="0.04"/>
    <n v="7.0000000000000007E-2"/>
    <n v="0"/>
    <n v="97.08"/>
    <n v="186"/>
    <n v="0.04"/>
    <n v="97.08"/>
    <n v="3.0000000000000006E-2"/>
    <s v="India"/>
  </r>
  <r>
    <x v="7"/>
    <x v="1"/>
    <x v="155"/>
    <x v="3"/>
    <x v="24"/>
    <x v="4"/>
    <n v="0.36"/>
    <n v="0.86"/>
    <n v="7.0000000000000007E-2"/>
    <n v="676.09"/>
    <n v="891.34"/>
    <n v="101.59"/>
    <n v="0.5"/>
    <n v="215.25"/>
    <n v="-0.79"/>
    <s v="India"/>
  </r>
  <r>
    <x v="2"/>
    <x v="1"/>
    <x v="59"/>
    <x v="2"/>
    <x v="34"/>
    <x v="6"/>
    <n v="0.18"/>
    <n v="0.11"/>
    <n v="7.0000000000000007E-2"/>
    <n v="265.93"/>
    <n v="171.24"/>
    <n v="83.99"/>
    <n v="-6.9999999999999993E-2"/>
    <n v="-94.69"/>
    <n v="-3.9999999999999994E-2"/>
    <s v="India"/>
  </r>
  <r>
    <x v="2"/>
    <x v="1"/>
    <x v="112"/>
    <x v="2"/>
    <x v="28"/>
    <x v="5"/>
    <n v="0"/>
    <n v="0.03"/>
    <n v="7.0000000000000007E-2"/>
    <n v="0"/>
    <n v="223.82"/>
    <n v="352.54"/>
    <n v="0.03"/>
    <n v="223.82"/>
    <n v="4.0000000000000008E-2"/>
    <s v="India"/>
  </r>
  <r>
    <x v="0"/>
    <x v="0"/>
    <x v="54"/>
    <x v="1"/>
    <x v="2"/>
    <x v="0"/>
    <n v="0"/>
    <n v="0.18"/>
    <n v="7.0000000000000007E-2"/>
    <n v="0"/>
    <n v="219.39"/>
    <n v="92.9"/>
    <n v="0.18"/>
    <n v="219.39"/>
    <n v="-0.10999999999999999"/>
    <s v="India"/>
  </r>
  <r>
    <x v="10"/>
    <x v="2"/>
    <x v="69"/>
    <x v="3"/>
    <x v="8"/>
    <x v="3"/>
    <n v="0.03"/>
    <n v="0.04"/>
    <n v="7.0000000000000007E-2"/>
    <n v="4.4000000000000004"/>
    <n v="10.69"/>
    <n v="25.9"/>
    <n v="1.0000000000000002E-2"/>
    <n v="6.2899999999999991"/>
    <n v="3.0000000000000006E-2"/>
    <s v="India"/>
  </r>
  <r>
    <x v="5"/>
    <x v="1"/>
    <x v="92"/>
    <x v="1"/>
    <x v="18"/>
    <x v="7"/>
    <n v="0.46"/>
    <n v="0.36"/>
    <n v="7.0000000000000007E-2"/>
    <n v="65.75"/>
    <n v="68.59"/>
    <n v="20.52"/>
    <n v="-0.10000000000000003"/>
    <n v="2.8400000000000034"/>
    <n v="-0.28999999999999998"/>
    <s v="India"/>
  </r>
  <r>
    <x v="4"/>
    <x v="3"/>
    <x v="113"/>
    <x v="3"/>
    <x v="4"/>
    <x v="3"/>
    <n v="0.14000000000000001"/>
    <n v="0.24"/>
    <n v="7.0000000000000007E-2"/>
    <n v="11.73"/>
    <n v="50.47"/>
    <n v="12.73"/>
    <n v="9.9999999999999978E-2"/>
    <n v="38.739999999999995"/>
    <n v="-0.16999999999999998"/>
    <s v="India"/>
  </r>
  <r>
    <x v="1"/>
    <x v="0"/>
    <x v="31"/>
    <x v="1"/>
    <x v="4"/>
    <x v="3"/>
    <n v="0.46"/>
    <n v="0.43"/>
    <n v="7.0000000000000007E-2"/>
    <n v="234.51"/>
    <n v="239.16"/>
    <n v="36.880000000000003"/>
    <n v="-3.0000000000000027E-2"/>
    <n v="4.6500000000000057"/>
    <n v="-0.36"/>
    <s v="India"/>
  </r>
  <r>
    <x v="9"/>
    <x v="1"/>
    <x v="50"/>
    <x v="1"/>
    <x v="11"/>
    <x v="3"/>
    <n v="0.15"/>
    <n v="0.23"/>
    <n v="7.0000000000000007E-2"/>
    <n v="64.38"/>
    <n v="87.59"/>
    <n v="28.68"/>
    <n v="8.0000000000000016E-2"/>
    <n v="23.210000000000008"/>
    <n v="-0.16"/>
    <s v="India"/>
  </r>
  <r>
    <x v="5"/>
    <x v="1"/>
    <x v="9"/>
    <x v="1"/>
    <x v="11"/>
    <x v="3"/>
    <n v="0.15"/>
    <n v="0.16"/>
    <n v="7.0000000000000007E-2"/>
    <n v="131.62"/>
    <n v="52.31"/>
    <n v="29.66"/>
    <n v="1.0000000000000009E-2"/>
    <n v="-79.31"/>
    <n v="-0.09"/>
    <s v="India"/>
  </r>
  <r>
    <x v="8"/>
    <x v="4"/>
    <x v="99"/>
    <x v="1"/>
    <x v="16"/>
    <x v="0"/>
    <n v="0"/>
    <n v="0.01"/>
    <n v="7.0000000000000007E-2"/>
    <n v="0"/>
    <n v="17"/>
    <n v="134.49"/>
    <n v="0.01"/>
    <n v="17"/>
    <n v="6.0000000000000005E-2"/>
    <s v="India"/>
  </r>
  <r>
    <x v="6"/>
    <x v="2"/>
    <x v="12"/>
    <x v="0"/>
    <x v="29"/>
    <x v="7"/>
    <n v="0.15"/>
    <n v="0.15"/>
    <n v="7.0000000000000007E-2"/>
    <n v="31.53"/>
    <n v="35.17"/>
    <n v="19.75"/>
    <n v="0"/>
    <n v="3.6400000000000006"/>
    <n v="-7.9999999999999988E-2"/>
    <s v="India"/>
  </r>
  <r>
    <x v="0"/>
    <x v="0"/>
    <x v="51"/>
    <x v="4"/>
    <x v="18"/>
    <x v="7"/>
    <n v="0.25"/>
    <n v="0.55000000000000004"/>
    <n v="7.0000000000000007E-2"/>
    <n v="51.08"/>
    <n v="121.78"/>
    <n v="13.3"/>
    <n v="0.30000000000000004"/>
    <n v="70.7"/>
    <n v="-0.48000000000000004"/>
    <s v="India"/>
  </r>
  <r>
    <x v="13"/>
    <x v="1"/>
    <x v="33"/>
    <x v="3"/>
    <x v="31"/>
    <x v="1"/>
    <n v="0.13"/>
    <n v="0.18"/>
    <n v="7.0000000000000007E-2"/>
    <n v="35.159999999999997"/>
    <n v="27.1"/>
    <n v="10.42"/>
    <n v="4.9999999999999989E-2"/>
    <n v="-8.0599999999999952"/>
    <n v="-0.10999999999999999"/>
    <s v="India"/>
  </r>
  <r>
    <x v="8"/>
    <x v="4"/>
    <x v="144"/>
    <x v="4"/>
    <x v="32"/>
    <x v="0"/>
    <n v="0"/>
    <n v="0"/>
    <n v="7.0000000000000007E-2"/>
    <n v="0"/>
    <n v="0"/>
    <n v="42.69"/>
    <n v="0"/>
    <n v="0"/>
    <n v="7.0000000000000007E-2"/>
    <s v="India"/>
  </r>
  <r>
    <x v="2"/>
    <x v="1"/>
    <x v="68"/>
    <x v="1"/>
    <x v="8"/>
    <x v="3"/>
    <n v="0.08"/>
    <n v="0.31"/>
    <n v="7.0000000000000007E-2"/>
    <n v="35.36"/>
    <n v="124.4"/>
    <n v="34.770000000000003"/>
    <n v="0.22999999999999998"/>
    <n v="89.04"/>
    <n v="-0.24"/>
    <s v="India"/>
  </r>
  <r>
    <x v="11"/>
    <x v="2"/>
    <x v="64"/>
    <x v="3"/>
    <x v="18"/>
    <x v="7"/>
    <n v="0"/>
    <n v="0.17"/>
    <n v="7.0000000000000007E-2"/>
    <n v="0"/>
    <n v="60.82"/>
    <n v="28.07"/>
    <n v="0.17"/>
    <n v="60.82"/>
    <n v="-0.1"/>
    <s v="India"/>
  </r>
  <r>
    <x v="12"/>
    <x v="2"/>
    <x v="30"/>
    <x v="1"/>
    <x v="22"/>
    <x v="6"/>
    <n v="0.23"/>
    <n v="0.25"/>
    <n v="7.0000000000000007E-2"/>
    <n v="18.95"/>
    <n v="20.28"/>
    <n v="5.4"/>
    <n v="1.999999999999999E-2"/>
    <n v="1.3300000000000018"/>
    <n v="-0.18"/>
    <s v="India"/>
  </r>
  <r>
    <x v="2"/>
    <x v="1"/>
    <x v="68"/>
    <x v="1"/>
    <x v="3"/>
    <x v="2"/>
    <n v="0.09"/>
    <n v="0.16"/>
    <n v="7.0000000000000007E-2"/>
    <n v="37.35"/>
    <n v="70.2"/>
    <n v="38.200000000000003"/>
    <n v="7.0000000000000007E-2"/>
    <n v="32.85"/>
    <n v="-0.09"/>
    <s v="India"/>
  </r>
  <r>
    <x v="6"/>
    <x v="2"/>
    <x v="140"/>
    <x v="1"/>
    <x v="4"/>
    <x v="3"/>
    <n v="0.01"/>
    <n v="0.17"/>
    <n v="7.0000000000000007E-2"/>
    <n v="1.62"/>
    <n v="88.8"/>
    <n v="37.369999999999997"/>
    <n v="0.16"/>
    <n v="87.179999999999993"/>
    <n v="-0.1"/>
    <s v="India"/>
  </r>
  <r>
    <x v="1"/>
    <x v="0"/>
    <x v="141"/>
    <x v="3"/>
    <x v="19"/>
    <x v="4"/>
    <n v="0"/>
    <n v="0.09"/>
    <n v="7.0000000000000007E-2"/>
    <n v="0"/>
    <n v="21.4"/>
    <n v="16.43"/>
    <n v="0.09"/>
    <n v="21.4"/>
    <n v="-1.999999999999999E-2"/>
    <s v="India"/>
  </r>
  <r>
    <x v="4"/>
    <x v="3"/>
    <x v="73"/>
    <x v="2"/>
    <x v="30"/>
    <x v="5"/>
    <n v="0.5"/>
    <n v="0.28999999999999998"/>
    <n v="7.0000000000000007E-2"/>
    <n v="1241.68"/>
    <n v="842.03"/>
    <n v="220.09"/>
    <n v="-0.21000000000000002"/>
    <n v="-399.65000000000009"/>
    <n v="-0.21999999999999997"/>
    <s v="India"/>
  </r>
  <r>
    <x v="4"/>
    <x v="3"/>
    <x v="80"/>
    <x v="2"/>
    <x v="21"/>
    <x v="4"/>
    <n v="3.79"/>
    <n v="2.41"/>
    <n v="7.0000000000000007E-2"/>
    <n v="9995.4500000000007"/>
    <n v="5912.37"/>
    <n v="189.3"/>
    <n v="-1.38"/>
    <n v="-4083.0800000000008"/>
    <n v="-2.3400000000000003"/>
    <s v="India"/>
  </r>
  <r>
    <x v="13"/>
    <x v="1"/>
    <x v="128"/>
    <x v="1"/>
    <x v="0"/>
    <x v="0"/>
    <n v="0"/>
    <n v="0.26"/>
    <n v="7.0000000000000007E-2"/>
    <n v="0"/>
    <n v="212.9"/>
    <n v="45.15"/>
    <n v="0.26"/>
    <n v="212.9"/>
    <n v="-0.19"/>
    <s v="India"/>
  </r>
  <r>
    <x v="2"/>
    <x v="1"/>
    <x v="14"/>
    <x v="1"/>
    <x v="7"/>
    <x v="5"/>
    <n v="0.03"/>
    <n v="0.03"/>
    <n v="7.0000000000000007E-2"/>
    <n v="6.97"/>
    <n v="10.84"/>
    <n v="18.82"/>
    <n v="0"/>
    <n v="3.87"/>
    <n v="4.0000000000000008E-2"/>
    <s v="India"/>
  </r>
  <r>
    <x v="4"/>
    <x v="3"/>
    <x v="113"/>
    <x v="3"/>
    <x v="30"/>
    <x v="5"/>
    <n v="0.53"/>
    <n v="0.42"/>
    <n v="7.0000000000000007E-2"/>
    <n v="44.12"/>
    <n v="36.590000000000003"/>
    <n v="5.51"/>
    <n v="-0.11000000000000004"/>
    <n v="-7.529999999999994"/>
    <n v="-0.35"/>
    <s v="India"/>
  </r>
  <r>
    <x v="10"/>
    <x v="2"/>
    <x v="69"/>
    <x v="3"/>
    <x v="33"/>
    <x v="7"/>
    <n v="0.16"/>
    <n v="0.11"/>
    <n v="7.0000000000000007E-2"/>
    <n v="15.86"/>
    <n v="10.210000000000001"/>
    <n v="7.14"/>
    <n v="-0.05"/>
    <n v="-5.6499999999999986"/>
    <n v="-3.9999999999999994E-2"/>
    <s v="India"/>
  </r>
  <r>
    <x v="4"/>
    <x v="3"/>
    <x v="7"/>
    <x v="0"/>
    <x v="18"/>
    <x v="7"/>
    <n v="0.22"/>
    <n v="0.28000000000000003"/>
    <n v="0.06"/>
    <n v="90.28"/>
    <n v="90.85"/>
    <n v="23.65"/>
    <n v="6.0000000000000026E-2"/>
    <n v="0.56999999999999318"/>
    <n v="-0.22000000000000003"/>
    <s v="India"/>
  </r>
  <r>
    <x v="1"/>
    <x v="0"/>
    <x v="24"/>
    <x v="3"/>
    <x v="21"/>
    <x v="4"/>
    <n v="0.15"/>
    <n v="0.35"/>
    <n v="0.06"/>
    <n v="69.819999999999993"/>
    <n v="116.38"/>
    <n v="13.88"/>
    <n v="0.19999999999999998"/>
    <n v="46.56"/>
    <n v="-0.28999999999999998"/>
    <s v="India"/>
  </r>
  <r>
    <x v="14"/>
    <x v="3"/>
    <x v="156"/>
    <x v="2"/>
    <x v="4"/>
    <x v="3"/>
    <n v="0.08"/>
    <n v="0.27"/>
    <n v="0.06"/>
    <n v="31.4"/>
    <n v="77.260000000000005"/>
    <n v="1.1499999999999999"/>
    <n v="0.19"/>
    <n v="45.860000000000007"/>
    <n v="-0.21000000000000002"/>
    <s v="India"/>
  </r>
  <r>
    <x v="17"/>
    <x v="5"/>
    <x v="138"/>
    <x v="2"/>
    <x v="0"/>
    <x v="0"/>
    <n v="0"/>
    <n v="0.12"/>
    <n v="0.06"/>
    <n v="0"/>
    <n v="181.2"/>
    <n v="91"/>
    <n v="0.12"/>
    <n v="181.2"/>
    <n v="-0.06"/>
    <s v="India"/>
  </r>
  <r>
    <x v="1"/>
    <x v="0"/>
    <x v="98"/>
    <x v="1"/>
    <x v="11"/>
    <x v="3"/>
    <n v="0.1"/>
    <n v="0.12"/>
    <n v="0.06"/>
    <n v="33.69"/>
    <n v="39.25"/>
    <n v="15.91"/>
    <n v="1.999999999999999E-2"/>
    <n v="5.5600000000000023"/>
    <n v="-0.06"/>
    <s v="India"/>
  </r>
  <r>
    <x v="6"/>
    <x v="2"/>
    <x v="32"/>
    <x v="0"/>
    <x v="29"/>
    <x v="7"/>
    <n v="0.03"/>
    <n v="0.05"/>
    <n v="0.06"/>
    <n v="5.26"/>
    <n v="15.4"/>
    <n v="31.65"/>
    <n v="2.0000000000000004E-2"/>
    <n v="10.14"/>
    <n v="9.999999999999995E-3"/>
    <s v="India"/>
  </r>
  <r>
    <x v="6"/>
    <x v="2"/>
    <x v="140"/>
    <x v="1"/>
    <x v="11"/>
    <x v="3"/>
    <n v="0.02"/>
    <n v="0.12"/>
    <n v="0.06"/>
    <n v="10.199999999999999"/>
    <n v="57.53"/>
    <n v="28.9"/>
    <n v="9.9999999999999992E-2"/>
    <n v="47.33"/>
    <n v="-0.06"/>
    <s v="India"/>
  </r>
  <r>
    <x v="16"/>
    <x v="3"/>
    <x v="77"/>
    <x v="2"/>
    <x v="8"/>
    <x v="3"/>
    <n v="0.16"/>
    <n v="0.19"/>
    <n v="0.06"/>
    <n v="230.05"/>
    <n v="286.63"/>
    <n v="114.26"/>
    <n v="0.03"/>
    <n v="56.579999999999984"/>
    <n v="-0.13"/>
    <s v="India"/>
  </r>
  <r>
    <x v="19"/>
    <x v="1"/>
    <x v="114"/>
    <x v="1"/>
    <x v="13"/>
    <x v="3"/>
    <n v="0.1"/>
    <n v="0.49"/>
    <n v="0.06"/>
    <n v="53.79"/>
    <n v="218.45"/>
    <n v="31.45"/>
    <n v="0.39"/>
    <n v="164.66"/>
    <n v="-0.43"/>
    <s v="India"/>
  </r>
  <r>
    <x v="1"/>
    <x v="0"/>
    <x v="24"/>
    <x v="3"/>
    <x v="38"/>
    <x v="5"/>
    <n v="0.21"/>
    <n v="0.24"/>
    <n v="0.06"/>
    <n v="79.180000000000007"/>
    <n v="77.05"/>
    <n v="20.46"/>
    <n v="0.03"/>
    <n v="-2.1300000000000097"/>
    <n v="-0.18"/>
    <s v="India"/>
  </r>
  <r>
    <x v="1"/>
    <x v="0"/>
    <x v="18"/>
    <x v="1"/>
    <x v="14"/>
    <x v="3"/>
    <n v="0"/>
    <n v="0.09"/>
    <n v="0.06"/>
    <n v="0"/>
    <n v="49.41"/>
    <n v="40.799999999999997"/>
    <n v="0.09"/>
    <n v="49.41"/>
    <n v="-0.03"/>
    <s v="India"/>
  </r>
  <r>
    <x v="6"/>
    <x v="2"/>
    <x v="55"/>
    <x v="0"/>
    <x v="30"/>
    <x v="5"/>
    <n v="0.24"/>
    <n v="0.36"/>
    <n v="0.06"/>
    <n v="55.17"/>
    <n v="81.010000000000005"/>
    <n v="12.05"/>
    <n v="0.12"/>
    <n v="25.840000000000003"/>
    <n v="-0.3"/>
    <s v="India"/>
  </r>
  <r>
    <x v="6"/>
    <x v="2"/>
    <x v="91"/>
    <x v="3"/>
    <x v="18"/>
    <x v="7"/>
    <n v="0.2"/>
    <n v="0.24"/>
    <n v="0.06"/>
    <n v="30"/>
    <n v="55.38"/>
    <n v="13.36"/>
    <n v="3.999999999999998E-2"/>
    <n v="25.380000000000003"/>
    <n v="-0.18"/>
    <s v="India"/>
  </r>
  <r>
    <x v="10"/>
    <x v="2"/>
    <x v="28"/>
    <x v="1"/>
    <x v="32"/>
    <x v="0"/>
    <n v="0.22"/>
    <n v="0.02"/>
    <n v="0.06"/>
    <n v="100.43"/>
    <n v="10.68"/>
    <n v="29.66"/>
    <n v="-0.2"/>
    <n v="-89.75"/>
    <n v="3.9999999999999994E-2"/>
    <s v="India"/>
  </r>
  <r>
    <x v="14"/>
    <x v="3"/>
    <x v="53"/>
    <x v="2"/>
    <x v="9"/>
    <x v="6"/>
    <n v="0.62"/>
    <n v="0.5"/>
    <n v="0.06"/>
    <n v="691.17"/>
    <n v="560.72"/>
    <n v="62.02"/>
    <n v="-0.12"/>
    <n v="-130.44999999999993"/>
    <n v="-0.44"/>
    <s v="India"/>
  </r>
  <r>
    <x v="11"/>
    <x v="2"/>
    <x v="64"/>
    <x v="3"/>
    <x v="13"/>
    <x v="3"/>
    <n v="0.05"/>
    <n v="0.16"/>
    <n v="0.06"/>
    <n v="2.69"/>
    <n v="7.52"/>
    <n v="3.13"/>
    <n v="0.11"/>
    <n v="4.83"/>
    <n v="-0.1"/>
    <s v="India"/>
  </r>
  <r>
    <x v="21"/>
    <x v="5"/>
    <x v="150"/>
    <x v="2"/>
    <x v="11"/>
    <x v="3"/>
    <n v="0.15"/>
    <n v="0.13"/>
    <n v="0.06"/>
    <n v="323.92"/>
    <n v="300.04000000000002"/>
    <n v="175.51"/>
    <n v="-1.999999999999999E-2"/>
    <n v="-23.879999999999995"/>
    <n v="-7.0000000000000007E-2"/>
    <s v="India"/>
  </r>
  <r>
    <x v="0"/>
    <x v="0"/>
    <x v="67"/>
    <x v="3"/>
    <x v="5"/>
    <x v="3"/>
    <n v="0.14000000000000001"/>
    <n v="0.16"/>
    <n v="0.06"/>
    <n v="45.06"/>
    <n v="58.37"/>
    <n v="16.32"/>
    <n v="1.999999999999999E-2"/>
    <n v="13.309999999999995"/>
    <n v="-0.1"/>
    <s v="India"/>
  </r>
  <r>
    <x v="7"/>
    <x v="1"/>
    <x v="100"/>
    <x v="1"/>
    <x v="10"/>
    <x v="3"/>
    <n v="0.03"/>
    <n v="0.26"/>
    <n v="0.06"/>
    <n v="27.62"/>
    <n v="201.21"/>
    <n v="52.16"/>
    <n v="0.23"/>
    <n v="173.59"/>
    <n v="-0.2"/>
    <s v="India"/>
  </r>
  <r>
    <x v="0"/>
    <x v="0"/>
    <x v="54"/>
    <x v="1"/>
    <x v="16"/>
    <x v="0"/>
    <n v="0.02"/>
    <n v="0.24"/>
    <n v="0.06"/>
    <n v="23.93"/>
    <n v="321.74"/>
    <n v="114.29"/>
    <n v="0.22"/>
    <n v="297.81"/>
    <n v="-0.18"/>
    <s v="India"/>
  </r>
  <r>
    <x v="1"/>
    <x v="0"/>
    <x v="153"/>
    <x v="1"/>
    <x v="5"/>
    <x v="3"/>
    <n v="2.12"/>
    <n v="1.6"/>
    <n v="0.06"/>
    <n v="346.81"/>
    <n v="263.91000000000003"/>
    <n v="7.88"/>
    <n v="-0.52"/>
    <n v="-82.899999999999977"/>
    <n v="-1.54"/>
    <s v="India"/>
  </r>
  <r>
    <x v="13"/>
    <x v="1"/>
    <x v="48"/>
    <x v="1"/>
    <x v="16"/>
    <x v="0"/>
    <n v="0.05"/>
    <n v="7.0000000000000007E-2"/>
    <n v="0.06"/>
    <n v="43.1"/>
    <n v="80.459999999999994"/>
    <n v="72.099999999999994"/>
    <n v="2.0000000000000004E-2"/>
    <n v="37.359999999999992"/>
    <n v="-1.0000000000000009E-2"/>
    <s v="India"/>
  </r>
  <r>
    <x v="12"/>
    <x v="2"/>
    <x v="30"/>
    <x v="1"/>
    <x v="24"/>
    <x v="4"/>
    <n v="0.05"/>
    <n v="0.24"/>
    <n v="0.06"/>
    <n v="20.91"/>
    <n v="66.540000000000006"/>
    <n v="57.73"/>
    <n v="0.19"/>
    <n v="45.63000000000001"/>
    <n v="-0.18"/>
    <s v="India"/>
  </r>
  <r>
    <x v="4"/>
    <x v="3"/>
    <x v="63"/>
    <x v="2"/>
    <x v="30"/>
    <x v="5"/>
    <n v="0.16"/>
    <n v="0.19"/>
    <n v="0.06"/>
    <n v="12.28"/>
    <n v="35.85"/>
    <n v="6.23"/>
    <n v="0.03"/>
    <n v="23.57"/>
    <n v="-0.13"/>
    <s v="India"/>
  </r>
  <r>
    <x v="1"/>
    <x v="0"/>
    <x v="98"/>
    <x v="1"/>
    <x v="37"/>
    <x v="3"/>
    <n v="0.03"/>
    <n v="0.1"/>
    <n v="0.06"/>
    <n v="10.07"/>
    <n v="55.16"/>
    <n v="24.92"/>
    <n v="7.0000000000000007E-2"/>
    <n v="45.089999999999996"/>
    <n v="-4.0000000000000008E-2"/>
    <s v="India"/>
  </r>
  <r>
    <x v="3"/>
    <x v="2"/>
    <x v="127"/>
    <x v="1"/>
    <x v="14"/>
    <x v="3"/>
    <n v="0.19"/>
    <n v="0.01"/>
    <n v="0.06"/>
    <n v="9.3800000000000008"/>
    <n v="0.1"/>
    <n v="2.1800000000000002"/>
    <n v="-0.18"/>
    <n v="-9.2800000000000011"/>
    <n v="4.9999999999999996E-2"/>
    <s v="India"/>
  </r>
  <r>
    <x v="6"/>
    <x v="2"/>
    <x v="32"/>
    <x v="0"/>
    <x v="27"/>
    <x v="7"/>
    <n v="0"/>
    <n v="0"/>
    <n v="0.06"/>
    <n v="0.03"/>
    <n v="0"/>
    <n v="20"/>
    <n v="0"/>
    <n v="-0.03"/>
    <n v="0.06"/>
    <s v="India"/>
  </r>
  <r>
    <x v="6"/>
    <x v="2"/>
    <x v="22"/>
    <x v="1"/>
    <x v="12"/>
    <x v="4"/>
    <n v="0.54"/>
    <n v="0.06"/>
    <n v="0.06"/>
    <n v="1147.28"/>
    <n v="128.74"/>
    <n v="94.41"/>
    <n v="-0.48000000000000004"/>
    <n v="-1018.54"/>
    <n v="0"/>
    <s v="India"/>
  </r>
  <r>
    <x v="16"/>
    <x v="3"/>
    <x v="77"/>
    <x v="2"/>
    <x v="19"/>
    <x v="4"/>
    <n v="0"/>
    <n v="0.06"/>
    <n v="0.06"/>
    <n v="0"/>
    <n v="232.47"/>
    <n v="235.5"/>
    <n v="0.06"/>
    <n v="232.47"/>
    <n v="0"/>
    <s v="India"/>
  </r>
  <r>
    <x v="2"/>
    <x v="1"/>
    <x v="60"/>
    <x v="1"/>
    <x v="28"/>
    <x v="5"/>
    <n v="0"/>
    <n v="0.75"/>
    <n v="0.06"/>
    <n v="0"/>
    <n v="5156.83"/>
    <n v="305.08"/>
    <n v="0.75"/>
    <n v="5156.83"/>
    <n v="-0.69"/>
    <s v="India"/>
  </r>
  <r>
    <x v="8"/>
    <x v="4"/>
    <x v="88"/>
    <x v="1"/>
    <x v="11"/>
    <x v="3"/>
    <n v="0.05"/>
    <n v="0.15"/>
    <n v="0.06"/>
    <n v="12.72"/>
    <n v="95.98"/>
    <n v="29.16"/>
    <n v="9.9999999999999992E-2"/>
    <n v="83.26"/>
    <n v="-0.09"/>
    <s v="India"/>
  </r>
  <r>
    <x v="1"/>
    <x v="0"/>
    <x v="66"/>
    <x v="1"/>
    <x v="18"/>
    <x v="7"/>
    <n v="0"/>
    <n v="1.83"/>
    <n v="0.06"/>
    <n v="0"/>
    <n v="467.01"/>
    <n v="15.54"/>
    <n v="1.83"/>
    <n v="467.01"/>
    <n v="-1.77"/>
    <s v="India"/>
  </r>
  <r>
    <x v="4"/>
    <x v="3"/>
    <x v="63"/>
    <x v="2"/>
    <x v="17"/>
    <x v="5"/>
    <n v="0.15"/>
    <n v="0.12"/>
    <n v="0.06"/>
    <n v="8.8800000000000008"/>
    <n v="4.41"/>
    <n v="1.81"/>
    <n v="-0.03"/>
    <n v="-4.4700000000000006"/>
    <n v="-0.06"/>
    <s v="India"/>
  </r>
  <r>
    <x v="6"/>
    <x v="2"/>
    <x v="32"/>
    <x v="0"/>
    <x v="32"/>
    <x v="0"/>
    <n v="0.55000000000000004"/>
    <n v="0.2"/>
    <n v="0.06"/>
    <n v="386.36"/>
    <n v="194.79"/>
    <n v="64.459999999999994"/>
    <n v="-0.35000000000000003"/>
    <n v="-191.57000000000002"/>
    <n v="-0.14000000000000001"/>
    <s v="India"/>
  </r>
  <r>
    <x v="21"/>
    <x v="5"/>
    <x v="150"/>
    <x v="2"/>
    <x v="24"/>
    <x v="4"/>
    <n v="0.19"/>
    <n v="0.22"/>
    <n v="0.05"/>
    <n v="557.07000000000005"/>
    <n v="766.21"/>
    <n v="202.45"/>
    <n v="0.03"/>
    <n v="209.14"/>
    <n v="-0.16999999999999998"/>
    <s v="India"/>
  </r>
  <r>
    <x v="19"/>
    <x v="1"/>
    <x v="111"/>
    <x v="1"/>
    <x v="10"/>
    <x v="3"/>
    <n v="7.63"/>
    <n v="8.52"/>
    <n v="0.05"/>
    <n v="11007.15"/>
    <n v="11842.83"/>
    <n v="66.569999999999993"/>
    <n v="0.88999999999999968"/>
    <n v="835.68000000000029"/>
    <n v="-8.4699999999999989"/>
    <s v="India"/>
  </r>
  <r>
    <x v="2"/>
    <x v="1"/>
    <x v="8"/>
    <x v="1"/>
    <x v="6"/>
    <x v="4"/>
    <n v="0"/>
    <n v="0"/>
    <n v="0.05"/>
    <n v="0"/>
    <n v="0"/>
    <n v="23.93"/>
    <n v="0"/>
    <n v="0"/>
    <n v="0.05"/>
    <s v="India"/>
  </r>
  <r>
    <x v="11"/>
    <x v="2"/>
    <x v="64"/>
    <x v="3"/>
    <x v="2"/>
    <x v="0"/>
    <n v="0"/>
    <n v="0.01"/>
    <n v="0.05"/>
    <n v="0.03"/>
    <n v="20.11"/>
    <n v="44.03"/>
    <n v="0.01"/>
    <n v="20.079999999999998"/>
    <n v="0.04"/>
    <s v="India"/>
  </r>
  <r>
    <x v="9"/>
    <x v="1"/>
    <x v="50"/>
    <x v="1"/>
    <x v="3"/>
    <x v="2"/>
    <n v="0.06"/>
    <n v="0.05"/>
    <n v="0.05"/>
    <n v="52.82"/>
    <n v="34.700000000000003"/>
    <n v="48.76"/>
    <n v="-9.999999999999995E-3"/>
    <n v="-18.119999999999997"/>
    <n v="0"/>
    <s v="India"/>
  </r>
  <r>
    <x v="0"/>
    <x v="0"/>
    <x v="157"/>
    <x v="1"/>
    <x v="9"/>
    <x v="6"/>
    <n v="0.4"/>
    <n v="0.34"/>
    <n v="0.05"/>
    <n v="308.36"/>
    <n v="303"/>
    <n v="42.38"/>
    <n v="-0.06"/>
    <n v="-5.3600000000000136"/>
    <n v="-0.29000000000000004"/>
    <s v="India"/>
  </r>
  <r>
    <x v="6"/>
    <x v="2"/>
    <x v="91"/>
    <x v="3"/>
    <x v="10"/>
    <x v="3"/>
    <n v="0.2"/>
    <n v="0.19"/>
    <n v="0.05"/>
    <n v="53.13"/>
    <n v="35.15"/>
    <n v="11.25"/>
    <n v="-1.0000000000000009E-2"/>
    <n v="-17.980000000000004"/>
    <n v="-0.14000000000000001"/>
    <s v="India"/>
  </r>
  <r>
    <x v="6"/>
    <x v="2"/>
    <x v="105"/>
    <x v="1"/>
    <x v="8"/>
    <x v="3"/>
    <n v="0.21"/>
    <n v="0.22"/>
    <n v="0.05"/>
    <n v="103.01"/>
    <n v="101.79"/>
    <n v="18.350000000000001"/>
    <n v="1.0000000000000009E-2"/>
    <n v="-1.2199999999999989"/>
    <n v="-0.16999999999999998"/>
    <s v="India"/>
  </r>
  <r>
    <x v="0"/>
    <x v="0"/>
    <x v="35"/>
    <x v="1"/>
    <x v="37"/>
    <x v="3"/>
    <n v="0.34"/>
    <n v="0.22"/>
    <n v="0.05"/>
    <n v="119.51"/>
    <n v="65.03"/>
    <n v="15.28"/>
    <n v="-0.12000000000000002"/>
    <n v="-54.480000000000004"/>
    <n v="-0.16999999999999998"/>
    <s v="India"/>
  </r>
  <r>
    <x v="6"/>
    <x v="2"/>
    <x v="32"/>
    <x v="0"/>
    <x v="41"/>
    <x v="6"/>
    <n v="0"/>
    <n v="0"/>
    <n v="0.05"/>
    <n v="0.12"/>
    <n v="0.05"/>
    <n v="4.08"/>
    <n v="0"/>
    <n v="-6.9999999999999993E-2"/>
    <n v="0.05"/>
    <s v="India"/>
  </r>
  <r>
    <x v="4"/>
    <x v="3"/>
    <x v="73"/>
    <x v="2"/>
    <x v="7"/>
    <x v="5"/>
    <n v="0.03"/>
    <n v="0.14000000000000001"/>
    <n v="0.05"/>
    <n v="12.1"/>
    <n v="35.380000000000003"/>
    <n v="18.52"/>
    <n v="0.11000000000000001"/>
    <n v="23.28"/>
    <n v="-9.0000000000000011E-2"/>
    <s v="India"/>
  </r>
  <r>
    <x v="5"/>
    <x v="1"/>
    <x v="122"/>
    <x v="1"/>
    <x v="8"/>
    <x v="3"/>
    <n v="0"/>
    <n v="7.0000000000000007E-2"/>
    <n v="0.05"/>
    <n v="0.01"/>
    <n v="16"/>
    <n v="13.31"/>
    <n v="7.0000000000000007E-2"/>
    <n v="15.99"/>
    <n v="-2.0000000000000004E-2"/>
    <s v="India"/>
  </r>
  <r>
    <x v="4"/>
    <x v="3"/>
    <x v="80"/>
    <x v="2"/>
    <x v="26"/>
    <x v="0"/>
    <n v="0"/>
    <n v="0"/>
    <n v="0.05"/>
    <n v="0"/>
    <n v="0"/>
    <n v="200.75"/>
    <n v="0"/>
    <n v="0"/>
    <n v="0.05"/>
    <s v="India"/>
  </r>
  <r>
    <x v="2"/>
    <x v="1"/>
    <x v="6"/>
    <x v="1"/>
    <x v="10"/>
    <x v="3"/>
    <n v="0.35"/>
    <n v="0.32"/>
    <n v="0.05"/>
    <n v="104.39"/>
    <n v="173.22"/>
    <n v="30.43"/>
    <n v="-2.9999999999999971E-2"/>
    <n v="68.83"/>
    <n v="-0.27"/>
    <s v="India"/>
  </r>
  <r>
    <x v="0"/>
    <x v="0"/>
    <x v="4"/>
    <x v="0"/>
    <x v="8"/>
    <x v="3"/>
    <n v="0.11"/>
    <n v="0.12"/>
    <n v="0.05"/>
    <n v="113.91"/>
    <n v="138.28"/>
    <n v="73.78"/>
    <n v="9.999999999999995E-3"/>
    <n v="24.370000000000005"/>
    <n v="-6.9999999999999993E-2"/>
    <s v="India"/>
  </r>
  <r>
    <x v="13"/>
    <x v="1"/>
    <x v="33"/>
    <x v="3"/>
    <x v="38"/>
    <x v="5"/>
    <n v="0.04"/>
    <n v="0.11"/>
    <n v="0.05"/>
    <n v="11.05"/>
    <n v="12.88"/>
    <n v="6.04"/>
    <n v="7.0000000000000007E-2"/>
    <n v="1.83"/>
    <n v="-0.06"/>
    <s v="India"/>
  </r>
  <r>
    <x v="11"/>
    <x v="2"/>
    <x v="64"/>
    <x v="3"/>
    <x v="17"/>
    <x v="5"/>
    <n v="0.32"/>
    <n v="0.27"/>
    <n v="0.05"/>
    <n v="10.5"/>
    <n v="7.73"/>
    <n v="1.41"/>
    <n v="-4.9999999999999989E-2"/>
    <n v="-2.7699999999999996"/>
    <n v="-0.22000000000000003"/>
    <s v="India"/>
  </r>
  <r>
    <x v="2"/>
    <x v="1"/>
    <x v="112"/>
    <x v="2"/>
    <x v="10"/>
    <x v="3"/>
    <n v="0"/>
    <n v="0.31"/>
    <n v="0.05"/>
    <n v="15"/>
    <n v="1052.79"/>
    <n v="194.28"/>
    <n v="0.31"/>
    <n v="1037.79"/>
    <n v="-0.26"/>
    <s v="India"/>
  </r>
  <r>
    <x v="19"/>
    <x v="1"/>
    <x v="146"/>
    <x v="2"/>
    <x v="24"/>
    <x v="4"/>
    <n v="0.24"/>
    <n v="0.1"/>
    <n v="0.05"/>
    <n v="1244.72"/>
    <n v="595.83000000000004"/>
    <n v="307.79000000000002"/>
    <n v="-0.13999999999999999"/>
    <n v="-648.89"/>
    <n v="-0.05"/>
    <s v="India"/>
  </r>
  <r>
    <x v="8"/>
    <x v="4"/>
    <x v="88"/>
    <x v="1"/>
    <x v="6"/>
    <x v="4"/>
    <n v="0"/>
    <n v="0"/>
    <n v="0.05"/>
    <n v="0.52"/>
    <n v="0.36"/>
    <n v="51.64"/>
    <n v="0"/>
    <n v="-0.16000000000000003"/>
    <n v="0.05"/>
    <s v="India"/>
  </r>
  <r>
    <x v="2"/>
    <x v="1"/>
    <x v="59"/>
    <x v="2"/>
    <x v="9"/>
    <x v="6"/>
    <n v="1.17"/>
    <n v="0.8"/>
    <n v="0.05"/>
    <n v="1411.59"/>
    <n v="1014.19"/>
    <n v="58.04"/>
    <n v="-0.36999999999999988"/>
    <n v="-397.39999999999986"/>
    <n v="-0.75"/>
    <s v="India"/>
  </r>
  <r>
    <x v="4"/>
    <x v="3"/>
    <x v="135"/>
    <x v="2"/>
    <x v="24"/>
    <x v="4"/>
    <n v="0.2"/>
    <n v="0.13"/>
    <n v="0.05"/>
    <n v="495.8"/>
    <n v="364.68"/>
    <n v="150.57"/>
    <n v="-7.0000000000000007E-2"/>
    <n v="-131.12"/>
    <n v="-0.08"/>
    <s v="India"/>
  </r>
  <r>
    <x v="9"/>
    <x v="1"/>
    <x v="27"/>
    <x v="1"/>
    <x v="3"/>
    <x v="2"/>
    <n v="0.17"/>
    <n v="0.06"/>
    <n v="0.05"/>
    <n v="139.91"/>
    <n v="46.07"/>
    <n v="39.22"/>
    <n v="-0.11000000000000001"/>
    <n v="-93.84"/>
    <n v="-9.999999999999995E-3"/>
    <s v="India"/>
  </r>
  <r>
    <x v="6"/>
    <x v="2"/>
    <x v="12"/>
    <x v="0"/>
    <x v="19"/>
    <x v="4"/>
    <n v="0.01"/>
    <n v="0"/>
    <n v="0.05"/>
    <n v="6.9"/>
    <n v="6.97"/>
    <n v="34.159999999999997"/>
    <n v="-0.01"/>
    <n v="6.9999999999999396E-2"/>
    <n v="0.05"/>
    <s v="India"/>
  </r>
  <r>
    <x v="9"/>
    <x v="1"/>
    <x v="61"/>
    <x v="1"/>
    <x v="2"/>
    <x v="0"/>
    <n v="1.27"/>
    <n v="1.34"/>
    <n v="0.05"/>
    <n v="2188.69"/>
    <n v="2298.41"/>
    <n v="47.75"/>
    <n v="7.0000000000000062E-2"/>
    <n v="109.7199999999998"/>
    <n v="-1.29"/>
    <s v="India"/>
  </r>
  <r>
    <x v="0"/>
    <x v="0"/>
    <x v="67"/>
    <x v="3"/>
    <x v="11"/>
    <x v="3"/>
    <n v="0.09"/>
    <n v="0.18"/>
    <n v="0.05"/>
    <n v="15.32"/>
    <n v="44.51"/>
    <n v="5.82"/>
    <n v="0.09"/>
    <n v="29.189999999999998"/>
    <n v="-0.13"/>
    <s v="India"/>
  </r>
  <r>
    <x v="18"/>
    <x v="0"/>
    <x v="121"/>
    <x v="3"/>
    <x v="6"/>
    <x v="4"/>
    <n v="0"/>
    <n v="0.2"/>
    <n v="0.05"/>
    <n v="3.71"/>
    <n v="87.98"/>
    <n v="20.99"/>
    <n v="0.2"/>
    <n v="84.27000000000001"/>
    <n v="-0.15000000000000002"/>
    <s v="India"/>
  </r>
  <r>
    <x v="0"/>
    <x v="0"/>
    <x v="36"/>
    <x v="1"/>
    <x v="22"/>
    <x v="6"/>
    <n v="0.04"/>
    <n v="0.23"/>
    <n v="0.05"/>
    <n v="5.36"/>
    <n v="20.52"/>
    <n v="3.18"/>
    <n v="0.19"/>
    <n v="15.16"/>
    <n v="-0.18"/>
    <s v="India"/>
  </r>
  <r>
    <x v="0"/>
    <x v="0"/>
    <x v="54"/>
    <x v="1"/>
    <x v="11"/>
    <x v="3"/>
    <n v="0.01"/>
    <n v="0.14000000000000001"/>
    <n v="0.05"/>
    <n v="3.95"/>
    <n v="31.55"/>
    <n v="23.41"/>
    <n v="0.13"/>
    <n v="27.6"/>
    <n v="-9.0000000000000011E-2"/>
    <s v="India"/>
  </r>
  <r>
    <x v="2"/>
    <x v="1"/>
    <x v="14"/>
    <x v="1"/>
    <x v="15"/>
    <x v="0"/>
    <n v="0"/>
    <n v="0"/>
    <n v="0.05"/>
    <n v="0"/>
    <n v="0.78"/>
    <n v="65.89"/>
    <n v="0"/>
    <n v="0.78"/>
    <n v="0.05"/>
    <s v="India"/>
  </r>
  <r>
    <x v="2"/>
    <x v="1"/>
    <x v="8"/>
    <x v="1"/>
    <x v="9"/>
    <x v="6"/>
    <n v="0"/>
    <n v="0.39"/>
    <n v="0.05"/>
    <n v="0"/>
    <n v="400"/>
    <n v="40"/>
    <n v="0.39"/>
    <n v="400"/>
    <n v="-0.34"/>
    <s v="India"/>
  </r>
  <r>
    <x v="2"/>
    <x v="1"/>
    <x v="59"/>
    <x v="2"/>
    <x v="16"/>
    <x v="0"/>
    <n v="0.13"/>
    <n v="0.23"/>
    <n v="0.05"/>
    <n v="363.54"/>
    <n v="689.22"/>
    <n v="172.86"/>
    <n v="0.1"/>
    <n v="325.68"/>
    <n v="-0.18"/>
    <s v="India"/>
  </r>
  <r>
    <x v="2"/>
    <x v="1"/>
    <x v="13"/>
    <x v="2"/>
    <x v="4"/>
    <x v="3"/>
    <n v="0.02"/>
    <n v="0.12"/>
    <n v="0.05"/>
    <n v="57"/>
    <n v="250"/>
    <n v="130.04"/>
    <n v="9.9999999999999992E-2"/>
    <n v="193"/>
    <n v="-6.9999999999999993E-2"/>
    <s v="India"/>
  </r>
  <r>
    <x v="6"/>
    <x v="2"/>
    <x v="12"/>
    <x v="0"/>
    <x v="38"/>
    <x v="5"/>
    <n v="0.15"/>
    <n v="0.34"/>
    <n v="0.05"/>
    <n v="16.73"/>
    <n v="69.05"/>
    <n v="4.88"/>
    <n v="0.19000000000000003"/>
    <n v="52.319999999999993"/>
    <n v="-0.29000000000000004"/>
    <s v="India"/>
  </r>
  <r>
    <x v="9"/>
    <x v="1"/>
    <x v="27"/>
    <x v="1"/>
    <x v="16"/>
    <x v="0"/>
    <n v="0.03"/>
    <n v="0.21"/>
    <n v="0.05"/>
    <n v="40.22"/>
    <n v="276.60000000000002"/>
    <n v="57.19"/>
    <n v="0.18"/>
    <n v="236.38000000000002"/>
    <n v="-0.15999999999999998"/>
    <s v="India"/>
  </r>
  <r>
    <x v="9"/>
    <x v="1"/>
    <x v="61"/>
    <x v="1"/>
    <x v="18"/>
    <x v="7"/>
    <n v="0.56999999999999995"/>
    <n v="0.01"/>
    <n v="0.05"/>
    <n v="85.3"/>
    <n v="1.24"/>
    <n v="8.93"/>
    <n v="-0.55999999999999994"/>
    <n v="-84.06"/>
    <n v="0.04"/>
    <s v="India"/>
  </r>
  <r>
    <x v="11"/>
    <x v="2"/>
    <x v="29"/>
    <x v="0"/>
    <x v="38"/>
    <x v="5"/>
    <n v="7.0000000000000007E-2"/>
    <n v="0.13"/>
    <n v="0.05"/>
    <n v="23.04"/>
    <n v="34.11"/>
    <n v="8.1"/>
    <n v="0.06"/>
    <n v="11.07"/>
    <n v="-0.08"/>
    <s v="India"/>
  </r>
  <r>
    <x v="5"/>
    <x v="1"/>
    <x v="9"/>
    <x v="1"/>
    <x v="16"/>
    <x v="0"/>
    <n v="0.03"/>
    <n v="0.01"/>
    <n v="0.05"/>
    <n v="24.81"/>
    <n v="16.29"/>
    <n v="98.23"/>
    <n v="-1.9999999999999997E-2"/>
    <n v="-8.52"/>
    <n v="0.04"/>
    <s v="India"/>
  </r>
  <r>
    <x v="5"/>
    <x v="1"/>
    <x v="10"/>
    <x v="1"/>
    <x v="23"/>
    <x v="1"/>
    <n v="0.01"/>
    <n v="0.44"/>
    <n v="0.05"/>
    <n v="1.8"/>
    <n v="54.58"/>
    <n v="9"/>
    <n v="0.43"/>
    <n v="52.78"/>
    <n v="-0.39"/>
    <s v="India"/>
  </r>
  <r>
    <x v="0"/>
    <x v="0"/>
    <x v="36"/>
    <x v="1"/>
    <x v="17"/>
    <x v="5"/>
    <n v="0.24"/>
    <n v="0.3"/>
    <n v="0.05"/>
    <n v="72.55"/>
    <n v="29.42"/>
    <n v="10.66"/>
    <n v="0.06"/>
    <n v="-43.129999999999995"/>
    <n v="-0.25"/>
    <s v="India"/>
  </r>
  <r>
    <x v="14"/>
    <x v="3"/>
    <x v="53"/>
    <x v="2"/>
    <x v="21"/>
    <x v="4"/>
    <n v="0.24"/>
    <n v="0.22"/>
    <n v="0.05"/>
    <n v="440.04"/>
    <n v="387.02"/>
    <n v="87.48"/>
    <n v="-1.999999999999999E-2"/>
    <n v="-53.020000000000039"/>
    <n v="-0.16999999999999998"/>
    <s v="India"/>
  </r>
  <r>
    <x v="1"/>
    <x v="0"/>
    <x v="153"/>
    <x v="1"/>
    <x v="8"/>
    <x v="3"/>
    <n v="0.01"/>
    <n v="0.03"/>
    <n v="0.05"/>
    <n v="3.96"/>
    <n v="12.74"/>
    <n v="41.98"/>
    <n v="1.9999999999999997E-2"/>
    <n v="8.7800000000000011"/>
    <n v="2.0000000000000004E-2"/>
    <s v="India"/>
  </r>
  <r>
    <x v="2"/>
    <x v="1"/>
    <x v="14"/>
    <x v="1"/>
    <x v="33"/>
    <x v="7"/>
    <n v="0"/>
    <n v="0.14000000000000001"/>
    <n v="0.05"/>
    <n v="0"/>
    <n v="93.2"/>
    <n v="30.72"/>
    <n v="0.14000000000000001"/>
    <n v="93.2"/>
    <n v="-9.0000000000000011E-2"/>
    <s v="India"/>
  </r>
  <r>
    <x v="6"/>
    <x v="2"/>
    <x v="22"/>
    <x v="1"/>
    <x v="10"/>
    <x v="3"/>
    <n v="4.87"/>
    <n v="1.78"/>
    <n v="0.05"/>
    <n v="6704.97"/>
    <n v="2818.77"/>
    <n v="33.83"/>
    <n v="-3.09"/>
    <n v="-3886.2000000000003"/>
    <n v="-1.73"/>
    <s v="India"/>
  </r>
  <r>
    <x v="21"/>
    <x v="5"/>
    <x v="150"/>
    <x v="2"/>
    <x v="8"/>
    <x v="3"/>
    <n v="0.25"/>
    <n v="0.13"/>
    <n v="0.04"/>
    <n v="160.22999999999999"/>
    <n v="108.87"/>
    <n v="41.17"/>
    <n v="-0.12"/>
    <n v="-51.359999999999985"/>
    <n v="-0.09"/>
    <s v="India"/>
  </r>
  <r>
    <x v="4"/>
    <x v="3"/>
    <x v="76"/>
    <x v="2"/>
    <x v="24"/>
    <x v="4"/>
    <n v="8.09"/>
    <n v="2.2400000000000002"/>
    <n v="0.04"/>
    <n v="40630.47"/>
    <n v="6095.47"/>
    <n v="104.1"/>
    <n v="-5.85"/>
    <n v="-34535"/>
    <n v="-2.2000000000000002"/>
    <s v="India"/>
  </r>
  <r>
    <x v="21"/>
    <x v="5"/>
    <x v="154"/>
    <x v="2"/>
    <x v="18"/>
    <x v="7"/>
    <n v="0"/>
    <n v="0.15"/>
    <n v="0.04"/>
    <n v="0"/>
    <n v="191.34"/>
    <n v="55.87"/>
    <n v="0.15"/>
    <n v="191.34"/>
    <n v="-0.10999999999999999"/>
    <s v="India"/>
  </r>
  <r>
    <x v="6"/>
    <x v="2"/>
    <x v="55"/>
    <x v="0"/>
    <x v="22"/>
    <x v="6"/>
    <n v="7.0000000000000007E-2"/>
    <n v="0.04"/>
    <n v="0.04"/>
    <n v="9.61"/>
    <n v="3.4"/>
    <n v="3.52"/>
    <n v="-3.0000000000000006E-2"/>
    <n v="-6.2099999999999991"/>
    <n v="0"/>
    <s v="India"/>
  </r>
  <r>
    <x v="7"/>
    <x v="1"/>
    <x v="58"/>
    <x v="1"/>
    <x v="2"/>
    <x v="0"/>
    <n v="0.26"/>
    <n v="0.08"/>
    <n v="0.04"/>
    <n v="206.68"/>
    <n v="52.96"/>
    <n v="27.35"/>
    <n v="-0.18"/>
    <n v="-153.72"/>
    <n v="-0.04"/>
    <s v="India"/>
  </r>
  <r>
    <x v="9"/>
    <x v="1"/>
    <x v="129"/>
    <x v="1"/>
    <x v="8"/>
    <x v="3"/>
    <n v="0.54"/>
    <n v="0.14000000000000001"/>
    <n v="0.04"/>
    <n v="233.05"/>
    <n v="60.52"/>
    <n v="19.88"/>
    <n v="-0.4"/>
    <n v="-172.53"/>
    <n v="-0.1"/>
    <s v="India"/>
  </r>
  <r>
    <x v="17"/>
    <x v="5"/>
    <x v="108"/>
    <x v="2"/>
    <x v="16"/>
    <x v="0"/>
    <n v="0.01"/>
    <n v="7.0000000000000007E-2"/>
    <n v="0.04"/>
    <n v="30.06"/>
    <n v="144.35"/>
    <n v="101.77"/>
    <n v="6.0000000000000005E-2"/>
    <n v="114.28999999999999"/>
    <n v="-3.0000000000000006E-2"/>
    <s v="India"/>
  </r>
  <r>
    <x v="11"/>
    <x v="2"/>
    <x v="64"/>
    <x v="3"/>
    <x v="22"/>
    <x v="6"/>
    <n v="0.02"/>
    <n v="0.3"/>
    <n v="0.04"/>
    <n v="3.11"/>
    <n v="34.65"/>
    <n v="5.48"/>
    <n v="0.27999999999999997"/>
    <n v="31.54"/>
    <n v="-0.26"/>
    <s v="India"/>
  </r>
  <r>
    <x v="0"/>
    <x v="0"/>
    <x v="0"/>
    <x v="0"/>
    <x v="12"/>
    <x v="4"/>
    <n v="0.27"/>
    <n v="0.83"/>
    <n v="0.04"/>
    <n v="682.02"/>
    <n v="2370.9299999999998"/>
    <n v="114.56"/>
    <n v="0.55999999999999994"/>
    <n v="1688.9099999999999"/>
    <n v="-0.78999999999999992"/>
    <s v="India"/>
  </r>
  <r>
    <x v="0"/>
    <x v="0"/>
    <x v="51"/>
    <x v="4"/>
    <x v="22"/>
    <x v="6"/>
    <n v="0.02"/>
    <n v="0.04"/>
    <n v="0.04"/>
    <n v="1.66"/>
    <n v="4.1100000000000003"/>
    <n v="7.22"/>
    <n v="0.02"/>
    <n v="2.4500000000000002"/>
    <n v="0"/>
    <s v="India"/>
  </r>
  <r>
    <x v="1"/>
    <x v="0"/>
    <x v="84"/>
    <x v="0"/>
    <x v="4"/>
    <x v="3"/>
    <n v="0.03"/>
    <n v="0.06"/>
    <n v="0.04"/>
    <n v="12.47"/>
    <n v="22.59"/>
    <n v="28"/>
    <n v="0.03"/>
    <n v="10.119999999999999"/>
    <n v="-1.9999999999999997E-2"/>
    <s v="India"/>
  </r>
  <r>
    <x v="17"/>
    <x v="5"/>
    <x v="87"/>
    <x v="2"/>
    <x v="12"/>
    <x v="4"/>
    <n v="0"/>
    <n v="0.18"/>
    <n v="0.04"/>
    <n v="0"/>
    <n v="617.82000000000005"/>
    <n v="200.62"/>
    <n v="0.18"/>
    <n v="617.82000000000005"/>
    <n v="-0.13999999999999999"/>
    <s v="India"/>
  </r>
  <r>
    <x v="6"/>
    <x v="2"/>
    <x v="32"/>
    <x v="0"/>
    <x v="19"/>
    <x v="4"/>
    <n v="0.13"/>
    <n v="0.11"/>
    <n v="0.04"/>
    <n v="68.03"/>
    <n v="56.61"/>
    <n v="26.13"/>
    <n v="-2.0000000000000004E-2"/>
    <n v="-11.420000000000002"/>
    <n v="-7.0000000000000007E-2"/>
    <s v="India"/>
  </r>
  <r>
    <x v="17"/>
    <x v="5"/>
    <x v="87"/>
    <x v="2"/>
    <x v="28"/>
    <x v="5"/>
    <n v="0"/>
    <n v="0.05"/>
    <n v="0.04"/>
    <n v="0"/>
    <n v="253.86"/>
    <n v="221.18"/>
    <n v="0.05"/>
    <n v="253.86"/>
    <n v="-1.0000000000000002E-2"/>
    <s v="India"/>
  </r>
  <r>
    <x v="2"/>
    <x v="1"/>
    <x v="109"/>
    <x v="2"/>
    <x v="10"/>
    <x v="3"/>
    <n v="0.03"/>
    <n v="0.14000000000000001"/>
    <n v="0.04"/>
    <n v="103.74"/>
    <n v="484.14"/>
    <n v="161"/>
    <n v="0.11000000000000001"/>
    <n v="380.4"/>
    <n v="-0.1"/>
    <s v="India"/>
  </r>
  <r>
    <x v="9"/>
    <x v="1"/>
    <x v="61"/>
    <x v="1"/>
    <x v="33"/>
    <x v="7"/>
    <n v="0.37"/>
    <n v="0.1"/>
    <n v="0.04"/>
    <n v="52.8"/>
    <n v="15.9"/>
    <n v="6.3"/>
    <n v="-0.27"/>
    <n v="-36.9"/>
    <n v="-6.0000000000000005E-2"/>
    <s v="India"/>
  </r>
  <r>
    <x v="6"/>
    <x v="2"/>
    <x v="105"/>
    <x v="1"/>
    <x v="3"/>
    <x v="2"/>
    <n v="0.03"/>
    <n v="0.16"/>
    <n v="0.04"/>
    <n v="11.7"/>
    <n v="130.84"/>
    <n v="30.58"/>
    <n v="0.13"/>
    <n v="119.14"/>
    <n v="-0.12"/>
    <s v="India"/>
  </r>
  <r>
    <x v="17"/>
    <x v="5"/>
    <x v="87"/>
    <x v="2"/>
    <x v="10"/>
    <x v="3"/>
    <n v="0.02"/>
    <n v="0.13"/>
    <n v="0.04"/>
    <n v="6.46"/>
    <n v="50.57"/>
    <n v="17.02"/>
    <n v="0.11"/>
    <n v="44.11"/>
    <n v="-0.09"/>
    <s v="India"/>
  </r>
  <r>
    <x v="5"/>
    <x v="1"/>
    <x v="10"/>
    <x v="1"/>
    <x v="8"/>
    <x v="3"/>
    <n v="0.35"/>
    <n v="0.27"/>
    <n v="0.04"/>
    <n v="128.6"/>
    <n v="104.21"/>
    <n v="3.07"/>
    <n v="-7.999999999999996E-2"/>
    <n v="-24.39"/>
    <n v="-0.23"/>
    <s v="India"/>
  </r>
  <r>
    <x v="5"/>
    <x v="1"/>
    <x v="15"/>
    <x v="1"/>
    <x v="0"/>
    <x v="0"/>
    <n v="1.26"/>
    <n v="0.05"/>
    <n v="0.04"/>
    <n v="1180.54"/>
    <n v="51.42"/>
    <n v="24.5"/>
    <n v="-1.21"/>
    <n v="-1129.1199999999999"/>
    <n v="-1.0000000000000002E-2"/>
    <s v="India"/>
  </r>
  <r>
    <x v="2"/>
    <x v="1"/>
    <x v="14"/>
    <x v="1"/>
    <x v="31"/>
    <x v="1"/>
    <n v="3.81"/>
    <n v="0.59"/>
    <n v="0.04"/>
    <n v="1074.78"/>
    <n v="257.18"/>
    <n v="60"/>
    <n v="-3.22"/>
    <n v="-817.59999999999991"/>
    <n v="-0.54999999999999993"/>
    <s v="India"/>
  </r>
  <r>
    <x v="1"/>
    <x v="0"/>
    <x v="153"/>
    <x v="1"/>
    <x v="1"/>
    <x v="1"/>
    <n v="0.11"/>
    <n v="0.17"/>
    <n v="0.04"/>
    <n v="3.4"/>
    <n v="4.2"/>
    <n v="1"/>
    <n v="6.0000000000000012E-2"/>
    <n v="0.80000000000000027"/>
    <n v="-0.13"/>
    <s v="India"/>
  </r>
  <r>
    <x v="11"/>
    <x v="2"/>
    <x v="134"/>
    <x v="4"/>
    <x v="5"/>
    <x v="3"/>
    <n v="0"/>
    <n v="0.1"/>
    <n v="0.04"/>
    <n v="0"/>
    <n v="34.44"/>
    <n v="13.54"/>
    <n v="0.1"/>
    <n v="34.44"/>
    <n v="-6.0000000000000005E-2"/>
    <s v="India"/>
  </r>
  <r>
    <x v="9"/>
    <x v="1"/>
    <x v="50"/>
    <x v="1"/>
    <x v="16"/>
    <x v="0"/>
    <n v="0.01"/>
    <n v="0.04"/>
    <n v="0.04"/>
    <n v="3.15"/>
    <n v="42.37"/>
    <n v="46.83"/>
    <n v="0.03"/>
    <n v="39.22"/>
    <n v="0"/>
    <s v="India"/>
  </r>
  <r>
    <x v="0"/>
    <x v="0"/>
    <x v="74"/>
    <x v="0"/>
    <x v="15"/>
    <x v="0"/>
    <n v="0.56000000000000005"/>
    <n v="7.0000000000000007E-2"/>
    <n v="0.04"/>
    <n v="1559"/>
    <n v="260"/>
    <n v="160"/>
    <n v="-0.49000000000000005"/>
    <n v="-1299"/>
    <n v="-3.0000000000000006E-2"/>
    <s v="India"/>
  </r>
  <r>
    <x v="7"/>
    <x v="1"/>
    <x v="58"/>
    <x v="1"/>
    <x v="16"/>
    <x v="0"/>
    <n v="0.11"/>
    <n v="0.1"/>
    <n v="0.04"/>
    <n v="54.85"/>
    <n v="77.47"/>
    <n v="28.99"/>
    <n v="-9.999999999999995E-3"/>
    <n v="22.619999999999997"/>
    <n v="-6.0000000000000005E-2"/>
    <s v="India"/>
  </r>
  <r>
    <x v="2"/>
    <x v="1"/>
    <x v="6"/>
    <x v="1"/>
    <x v="2"/>
    <x v="0"/>
    <n v="1.35"/>
    <n v="0.98"/>
    <n v="0.04"/>
    <n v="1478.79"/>
    <n v="1033.25"/>
    <n v="42.76"/>
    <n v="-0.37000000000000011"/>
    <n v="-445.53999999999996"/>
    <n v="-0.94"/>
    <s v="India"/>
  </r>
  <r>
    <x v="7"/>
    <x v="1"/>
    <x v="100"/>
    <x v="1"/>
    <x v="13"/>
    <x v="3"/>
    <n v="0.01"/>
    <n v="0.01"/>
    <n v="0.04"/>
    <n v="0.93"/>
    <n v="0.81"/>
    <n v="4.68"/>
    <n v="0"/>
    <n v="-0.12"/>
    <n v="0.03"/>
    <s v="India"/>
  </r>
  <r>
    <x v="4"/>
    <x v="3"/>
    <x v="113"/>
    <x v="3"/>
    <x v="17"/>
    <x v="5"/>
    <n v="0.1"/>
    <n v="0.06"/>
    <n v="0.04"/>
    <n v="0.73"/>
    <n v="0.78"/>
    <n v="1.28"/>
    <n v="-4.0000000000000008E-2"/>
    <n v="5.0000000000000044E-2"/>
    <n v="-1.9999999999999997E-2"/>
    <s v="India"/>
  </r>
  <r>
    <x v="13"/>
    <x v="1"/>
    <x v="48"/>
    <x v="1"/>
    <x v="6"/>
    <x v="4"/>
    <n v="0.13"/>
    <n v="0.13"/>
    <n v="0.04"/>
    <n v="28.88"/>
    <n v="39.020000000000003"/>
    <n v="6.41"/>
    <n v="0"/>
    <n v="10.140000000000004"/>
    <n v="-0.09"/>
    <s v="India"/>
  </r>
  <r>
    <x v="2"/>
    <x v="1"/>
    <x v="60"/>
    <x v="1"/>
    <x v="5"/>
    <x v="3"/>
    <n v="0"/>
    <n v="0.17"/>
    <n v="0.04"/>
    <n v="0"/>
    <n v="285.74"/>
    <n v="79.33"/>
    <n v="0.17"/>
    <n v="285.74"/>
    <n v="-0.13"/>
    <s v="India"/>
  </r>
  <r>
    <x v="7"/>
    <x v="1"/>
    <x v="58"/>
    <x v="1"/>
    <x v="0"/>
    <x v="0"/>
    <n v="0.17"/>
    <n v="0.11"/>
    <n v="0.04"/>
    <n v="107.67"/>
    <n v="35.130000000000003"/>
    <n v="17.39"/>
    <n v="-6.0000000000000012E-2"/>
    <n v="-72.539999999999992"/>
    <n v="-7.0000000000000007E-2"/>
    <s v="India"/>
  </r>
  <r>
    <x v="2"/>
    <x v="1"/>
    <x v="14"/>
    <x v="1"/>
    <x v="24"/>
    <x v="4"/>
    <n v="0.01"/>
    <n v="0.15"/>
    <n v="0.04"/>
    <n v="27.44"/>
    <n v="336.56"/>
    <n v="56"/>
    <n v="0.13999999999999999"/>
    <n v="309.12"/>
    <n v="-0.10999999999999999"/>
    <s v="India"/>
  </r>
  <r>
    <x v="2"/>
    <x v="1"/>
    <x v="13"/>
    <x v="2"/>
    <x v="10"/>
    <x v="3"/>
    <n v="0"/>
    <n v="0.01"/>
    <n v="0.04"/>
    <n v="0"/>
    <n v="21.6"/>
    <n v="96"/>
    <n v="0.01"/>
    <n v="21.6"/>
    <n v="0.03"/>
    <s v="India"/>
  </r>
  <r>
    <x v="14"/>
    <x v="3"/>
    <x v="39"/>
    <x v="2"/>
    <x v="16"/>
    <x v="0"/>
    <n v="0.26"/>
    <n v="0.23"/>
    <n v="0.04"/>
    <n v="635.88"/>
    <n v="412.57"/>
    <n v="34.4"/>
    <n v="-0.03"/>
    <n v="-223.31"/>
    <n v="-0.19"/>
    <s v="India"/>
  </r>
  <r>
    <x v="16"/>
    <x v="3"/>
    <x v="77"/>
    <x v="2"/>
    <x v="15"/>
    <x v="0"/>
    <n v="0.88"/>
    <n v="0.36"/>
    <n v="0.04"/>
    <n v="3521.83"/>
    <n v="1399.14"/>
    <n v="170.84"/>
    <n v="-0.52"/>
    <n v="-2122.6899999999996"/>
    <n v="-0.32"/>
    <s v="India"/>
  </r>
  <r>
    <x v="0"/>
    <x v="0"/>
    <x v="67"/>
    <x v="3"/>
    <x v="10"/>
    <x v="3"/>
    <n v="0.14000000000000001"/>
    <n v="0.22"/>
    <n v="0.04"/>
    <n v="25.21"/>
    <n v="52"/>
    <n v="7.98"/>
    <n v="7.9999999999999988E-2"/>
    <n v="26.79"/>
    <n v="-0.18"/>
    <s v="India"/>
  </r>
  <r>
    <x v="4"/>
    <x v="3"/>
    <x v="45"/>
    <x v="2"/>
    <x v="24"/>
    <x v="4"/>
    <n v="8.1"/>
    <n v="2.35"/>
    <n v="0.04"/>
    <n v="45168.78"/>
    <n v="8456.58"/>
    <n v="181.8"/>
    <n v="-5.75"/>
    <n v="-36712.199999999997"/>
    <n v="-2.31"/>
    <s v="India"/>
  </r>
  <r>
    <x v="14"/>
    <x v="3"/>
    <x v="39"/>
    <x v="2"/>
    <x v="32"/>
    <x v="0"/>
    <n v="0.06"/>
    <n v="7.0000000000000007E-2"/>
    <n v="0.04"/>
    <n v="37.340000000000003"/>
    <n v="95.08"/>
    <n v="46.89"/>
    <n v="1.0000000000000009E-2"/>
    <n v="57.739999999999995"/>
    <n v="-3.0000000000000006E-2"/>
    <s v="India"/>
  </r>
  <r>
    <x v="2"/>
    <x v="1"/>
    <x v="8"/>
    <x v="1"/>
    <x v="23"/>
    <x v="1"/>
    <n v="0.2"/>
    <n v="0"/>
    <n v="0.04"/>
    <n v="40.380000000000003"/>
    <n v="0"/>
    <n v="5.4"/>
    <n v="-0.2"/>
    <n v="-40.380000000000003"/>
    <n v="0.04"/>
    <s v="India"/>
  </r>
  <r>
    <x v="0"/>
    <x v="0"/>
    <x v="74"/>
    <x v="0"/>
    <x v="11"/>
    <x v="3"/>
    <n v="0.03"/>
    <n v="0.01"/>
    <n v="0.04"/>
    <n v="40"/>
    <n v="15"/>
    <n v="71"/>
    <n v="-1.9999999999999997E-2"/>
    <n v="-25"/>
    <n v="0.03"/>
    <s v="India"/>
  </r>
  <r>
    <x v="17"/>
    <x v="5"/>
    <x v="108"/>
    <x v="2"/>
    <x v="10"/>
    <x v="3"/>
    <n v="0.17"/>
    <n v="0.11"/>
    <n v="0.04"/>
    <n v="67.569999999999993"/>
    <n v="44.77"/>
    <n v="16.36"/>
    <n v="-6.0000000000000012E-2"/>
    <n v="-22.79999999999999"/>
    <n v="-7.0000000000000007E-2"/>
    <s v="India"/>
  </r>
  <r>
    <x v="9"/>
    <x v="1"/>
    <x v="61"/>
    <x v="1"/>
    <x v="16"/>
    <x v="0"/>
    <n v="0.13"/>
    <n v="0.13"/>
    <n v="0.04"/>
    <n v="103.02"/>
    <n v="179.65"/>
    <n v="37.590000000000003"/>
    <n v="0"/>
    <n v="76.63000000000001"/>
    <n v="-0.09"/>
    <s v="India"/>
  </r>
  <r>
    <x v="19"/>
    <x v="1"/>
    <x v="146"/>
    <x v="2"/>
    <x v="10"/>
    <x v="3"/>
    <n v="0.5"/>
    <n v="0.2"/>
    <n v="0.04"/>
    <n v="2049.0100000000002"/>
    <n v="720.44"/>
    <n v="124.76"/>
    <n v="-0.3"/>
    <n v="-1328.5700000000002"/>
    <n v="-0.16"/>
    <s v="India"/>
  </r>
  <r>
    <x v="4"/>
    <x v="3"/>
    <x v="135"/>
    <x v="2"/>
    <x v="16"/>
    <x v="0"/>
    <n v="0"/>
    <n v="0.05"/>
    <n v="0.04"/>
    <n v="3.26"/>
    <n v="117.87"/>
    <n v="66.89"/>
    <n v="0.05"/>
    <n v="114.61"/>
    <n v="-1.0000000000000002E-2"/>
    <s v="India"/>
  </r>
  <r>
    <x v="17"/>
    <x v="5"/>
    <x v="87"/>
    <x v="2"/>
    <x v="33"/>
    <x v="7"/>
    <n v="0"/>
    <n v="0"/>
    <n v="0.04"/>
    <n v="0"/>
    <n v="0"/>
    <n v="20"/>
    <n v="0"/>
    <n v="0"/>
    <n v="0.04"/>
    <s v="India"/>
  </r>
  <r>
    <x v="2"/>
    <x v="1"/>
    <x v="14"/>
    <x v="1"/>
    <x v="14"/>
    <x v="3"/>
    <n v="10.51"/>
    <n v="0.39"/>
    <n v="0.04"/>
    <n v="6201.1"/>
    <n v="30.64"/>
    <n v="2.23"/>
    <n v="-10.119999999999999"/>
    <n v="-6170.46"/>
    <n v="-0.35000000000000003"/>
    <s v="India"/>
  </r>
  <r>
    <x v="14"/>
    <x v="3"/>
    <x v="110"/>
    <x v="2"/>
    <x v="4"/>
    <x v="3"/>
    <n v="0.1"/>
    <n v="0.09"/>
    <n v="0.04"/>
    <n v="39.450000000000003"/>
    <n v="13.74"/>
    <n v="5.69"/>
    <n v="-1.0000000000000009E-2"/>
    <n v="-25.71"/>
    <n v="-4.9999999999999996E-2"/>
    <s v="India"/>
  </r>
  <r>
    <x v="6"/>
    <x v="2"/>
    <x v="132"/>
    <x v="3"/>
    <x v="4"/>
    <x v="3"/>
    <n v="0.11"/>
    <n v="0.24"/>
    <n v="0.04"/>
    <n v="44.87"/>
    <n v="49.89"/>
    <n v="8.36"/>
    <n v="0.13"/>
    <n v="5.0200000000000031"/>
    <n v="-0.19999999999999998"/>
    <s v="India"/>
  </r>
  <r>
    <x v="2"/>
    <x v="1"/>
    <x v="59"/>
    <x v="2"/>
    <x v="32"/>
    <x v="0"/>
    <n v="0.09"/>
    <n v="0.23"/>
    <n v="0.04"/>
    <n v="257.94"/>
    <n v="753.72"/>
    <n v="141.04"/>
    <n v="0.14000000000000001"/>
    <n v="495.78000000000003"/>
    <n v="-0.19"/>
    <s v="India"/>
  </r>
  <r>
    <x v="1"/>
    <x v="0"/>
    <x v="66"/>
    <x v="1"/>
    <x v="8"/>
    <x v="3"/>
    <n v="0"/>
    <n v="0.12"/>
    <n v="0.04"/>
    <n v="0"/>
    <n v="79.430000000000007"/>
    <n v="28.75"/>
    <n v="0.12"/>
    <n v="79.430000000000007"/>
    <n v="-7.9999999999999988E-2"/>
    <s v="India"/>
  </r>
  <r>
    <x v="0"/>
    <x v="0"/>
    <x v="47"/>
    <x v="4"/>
    <x v="24"/>
    <x v="4"/>
    <n v="0.03"/>
    <n v="0"/>
    <n v="0.04"/>
    <n v="104.64"/>
    <n v="0"/>
    <n v="45.19"/>
    <n v="-0.03"/>
    <n v="-104.64"/>
    <n v="0.04"/>
    <s v="India"/>
  </r>
  <r>
    <x v="11"/>
    <x v="2"/>
    <x v="29"/>
    <x v="0"/>
    <x v="0"/>
    <x v="0"/>
    <n v="0.26"/>
    <n v="0.09"/>
    <n v="0.04"/>
    <n v="202.25"/>
    <n v="80.67"/>
    <n v="28.03"/>
    <n v="-0.17"/>
    <n v="-121.58"/>
    <n v="-4.9999999999999996E-2"/>
    <s v="India"/>
  </r>
  <r>
    <x v="6"/>
    <x v="2"/>
    <x v="22"/>
    <x v="1"/>
    <x v="16"/>
    <x v="0"/>
    <n v="0.01"/>
    <n v="0.11"/>
    <n v="0.04"/>
    <n v="5.81"/>
    <n v="92.42"/>
    <n v="37.1"/>
    <n v="0.1"/>
    <n v="86.61"/>
    <n v="-7.0000000000000007E-2"/>
    <s v="India"/>
  </r>
  <r>
    <x v="9"/>
    <x v="1"/>
    <x v="50"/>
    <x v="1"/>
    <x v="10"/>
    <x v="3"/>
    <n v="1.22"/>
    <n v="0.6"/>
    <n v="0.04"/>
    <n v="1099.98"/>
    <n v="510.25"/>
    <n v="57.67"/>
    <n v="-0.62"/>
    <n v="-589.73"/>
    <n v="-0.55999999999999994"/>
    <s v="India"/>
  </r>
  <r>
    <x v="13"/>
    <x v="1"/>
    <x v="128"/>
    <x v="1"/>
    <x v="2"/>
    <x v="0"/>
    <n v="0"/>
    <n v="0.01"/>
    <n v="0.04"/>
    <n v="0.1"/>
    <n v="5.63"/>
    <n v="30.22"/>
    <n v="0.01"/>
    <n v="5.53"/>
    <n v="0.03"/>
    <s v="India"/>
  </r>
  <r>
    <x v="19"/>
    <x v="1"/>
    <x v="111"/>
    <x v="1"/>
    <x v="13"/>
    <x v="3"/>
    <n v="0.51"/>
    <n v="0.13"/>
    <n v="0.04"/>
    <n v="294.83"/>
    <n v="77.61"/>
    <n v="20.94"/>
    <n v="-0.38"/>
    <n v="-217.21999999999997"/>
    <n v="-0.09"/>
    <s v="India"/>
  </r>
  <r>
    <x v="11"/>
    <x v="2"/>
    <x v="79"/>
    <x v="4"/>
    <x v="4"/>
    <x v="3"/>
    <n v="0.14000000000000001"/>
    <n v="0.11"/>
    <n v="0.04"/>
    <n v="44.47"/>
    <n v="38.729999999999997"/>
    <n v="11.14"/>
    <n v="-3.0000000000000013E-2"/>
    <n v="-5.740000000000002"/>
    <n v="-7.0000000000000007E-2"/>
    <s v="India"/>
  </r>
  <r>
    <x v="6"/>
    <x v="2"/>
    <x v="12"/>
    <x v="0"/>
    <x v="40"/>
    <x v="6"/>
    <n v="0.01"/>
    <n v="0.01"/>
    <n v="0.04"/>
    <n v="1.61"/>
    <n v="0.56999999999999995"/>
    <n v="3.74"/>
    <n v="0"/>
    <n v="-1.04"/>
    <n v="0.03"/>
    <s v="India"/>
  </r>
  <r>
    <x v="4"/>
    <x v="3"/>
    <x v="135"/>
    <x v="2"/>
    <x v="8"/>
    <x v="3"/>
    <n v="0.14000000000000001"/>
    <n v="0.09"/>
    <n v="0.04"/>
    <n v="65.89"/>
    <n v="31.45"/>
    <n v="11.84"/>
    <n v="-5.0000000000000017E-2"/>
    <n v="-34.44"/>
    <n v="-4.9999999999999996E-2"/>
    <s v="India"/>
  </r>
  <r>
    <x v="0"/>
    <x v="0"/>
    <x v="17"/>
    <x v="0"/>
    <x v="32"/>
    <x v="0"/>
    <n v="0.12"/>
    <n v="0.01"/>
    <n v="0.04"/>
    <n v="14.56"/>
    <n v="8"/>
    <n v="16"/>
    <n v="-0.11"/>
    <n v="-6.5600000000000005"/>
    <n v="0.03"/>
    <s v="India"/>
  </r>
  <r>
    <x v="12"/>
    <x v="2"/>
    <x v="30"/>
    <x v="1"/>
    <x v="32"/>
    <x v="0"/>
    <n v="1.19"/>
    <n v="0.24"/>
    <n v="0.04"/>
    <n v="1417.3"/>
    <n v="272.08"/>
    <n v="41.67"/>
    <n v="-0.95"/>
    <n v="-1145.22"/>
    <n v="-0.19999999999999998"/>
    <s v="India"/>
  </r>
  <r>
    <x v="4"/>
    <x v="3"/>
    <x v="63"/>
    <x v="2"/>
    <x v="9"/>
    <x v="6"/>
    <n v="0.05"/>
    <n v="0.08"/>
    <n v="0.04"/>
    <n v="34.409999999999997"/>
    <n v="68.84"/>
    <n v="25.54"/>
    <n v="0.03"/>
    <n v="34.430000000000007"/>
    <n v="-0.04"/>
    <s v="India"/>
  </r>
  <r>
    <x v="13"/>
    <x v="1"/>
    <x v="33"/>
    <x v="3"/>
    <x v="22"/>
    <x v="6"/>
    <n v="0"/>
    <n v="0"/>
    <n v="0.04"/>
    <n v="0.05"/>
    <n v="0.04"/>
    <n v="3.01"/>
    <n v="0"/>
    <n v="-1.0000000000000002E-2"/>
    <n v="0.04"/>
    <s v="India"/>
  </r>
  <r>
    <x v="16"/>
    <x v="3"/>
    <x v="77"/>
    <x v="2"/>
    <x v="32"/>
    <x v="0"/>
    <n v="0.09"/>
    <n v="0.06"/>
    <n v="0.03"/>
    <n v="339.09"/>
    <n v="210.38"/>
    <n v="123"/>
    <n v="-0.03"/>
    <n v="-128.70999999999998"/>
    <n v="-0.03"/>
    <s v="India"/>
  </r>
  <r>
    <x v="9"/>
    <x v="1"/>
    <x v="23"/>
    <x v="1"/>
    <x v="5"/>
    <x v="3"/>
    <n v="0"/>
    <n v="0.59"/>
    <n v="0.03"/>
    <n v="0"/>
    <n v="131.09"/>
    <n v="8"/>
    <n v="0.59"/>
    <n v="131.09"/>
    <n v="-0.55999999999999994"/>
    <s v="India"/>
  </r>
  <r>
    <x v="7"/>
    <x v="1"/>
    <x v="90"/>
    <x v="1"/>
    <x v="4"/>
    <x v="3"/>
    <n v="0"/>
    <n v="0"/>
    <n v="0.03"/>
    <n v="0"/>
    <n v="0"/>
    <n v="19.670000000000002"/>
    <n v="0"/>
    <n v="0"/>
    <n v="0.03"/>
    <s v="India"/>
  </r>
  <r>
    <x v="1"/>
    <x v="0"/>
    <x v="66"/>
    <x v="1"/>
    <x v="38"/>
    <x v="5"/>
    <n v="0"/>
    <n v="0.02"/>
    <n v="0.03"/>
    <n v="0"/>
    <n v="2.73"/>
    <n v="3.87"/>
    <n v="0.02"/>
    <n v="2.73"/>
    <n v="9.9999999999999985E-3"/>
    <s v="India"/>
  </r>
  <r>
    <x v="5"/>
    <x v="1"/>
    <x v="15"/>
    <x v="1"/>
    <x v="17"/>
    <x v="5"/>
    <n v="0.02"/>
    <n v="0"/>
    <n v="0.03"/>
    <n v="2.91"/>
    <n v="0.01"/>
    <n v="15.06"/>
    <n v="-0.02"/>
    <n v="-2.9000000000000004"/>
    <n v="0.03"/>
    <s v="India"/>
  </r>
  <r>
    <x v="12"/>
    <x v="2"/>
    <x v="145"/>
    <x v="3"/>
    <x v="6"/>
    <x v="4"/>
    <n v="0.48"/>
    <n v="0.5"/>
    <n v="0.03"/>
    <n v="476.61"/>
    <n v="442.63"/>
    <n v="21.77"/>
    <n v="2.0000000000000018E-2"/>
    <n v="-33.980000000000018"/>
    <n v="-0.47"/>
    <s v="India"/>
  </r>
  <r>
    <x v="0"/>
    <x v="0"/>
    <x v="158"/>
    <x v="4"/>
    <x v="5"/>
    <x v="3"/>
    <n v="0"/>
    <n v="0"/>
    <n v="0.03"/>
    <n v="0"/>
    <n v="0"/>
    <n v="5.33"/>
    <n v="0"/>
    <n v="0"/>
    <n v="0.03"/>
    <s v="India"/>
  </r>
  <r>
    <x v="10"/>
    <x v="2"/>
    <x v="42"/>
    <x v="1"/>
    <x v="5"/>
    <x v="3"/>
    <n v="0"/>
    <n v="0.79"/>
    <n v="0.03"/>
    <n v="0"/>
    <n v="519.76"/>
    <n v="17.82"/>
    <n v="0.79"/>
    <n v="519.76"/>
    <n v="-0.76"/>
    <s v="India"/>
  </r>
  <r>
    <x v="5"/>
    <x v="1"/>
    <x v="92"/>
    <x v="1"/>
    <x v="2"/>
    <x v="0"/>
    <n v="0"/>
    <n v="0.04"/>
    <n v="0.03"/>
    <n v="0.6"/>
    <n v="40.44"/>
    <n v="31.96"/>
    <n v="0.04"/>
    <n v="39.839999999999996"/>
    <n v="-1.0000000000000002E-2"/>
    <s v="India"/>
  </r>
  <r>
    <x v="1"/>
    <x v="0"/>
    <x v="24"/>
    <x v="3"/>
    <x v="22"/>
    <x v="6"/>
    <n v="0.03"/>
    <n v="0"/>
    <n v="0.03"/>
    <n v="2.65"/>
    <n v="0.05"/>
    <n v="3.7"/>
    <n v="-0.03"/>
    <n v="-2.6"/>
    <n v="0.03"/>
    <s v="India"/>
  </r>
  <r>
    <x v="10"/>
    <x v="2"/>
    <x v="42"/>
    <x v="1"/>
    <x v="0"/>
    <x v="0"/>
    <n v="0"/>
    <n v="0.25"/>
    <n v="0.03"/>
    <n v="0"/>
    <n v="106.65"/>
    <n v="14.99"/>
    <n v="0.25"/>
    <n v="106.65"/>
    <n v="-0.22"/>
    <s v="India"/>
  </r>
  <r>
    <x v="11"/>
    <x v="2"/>
    <x v="136"/>
    <x v="3"/>
    <x v="19"/>
    <x v="4"/>
    <n v="0.19"/>
    <n v="0.08"/>
    <n v="0.03"/>
    <n v="134.61000000000001"/>
    <n v="52.42"/>
    <n v="20.190000000000001"/>
    <n v="-0.11"/>
    <n v="-82.190000000000012"/>
    <n v="-0.05"/>
    <s v="India"/>
  </r>
  <r>
    <x v="2"/>
    <x v="1"/>
    <x v="57"/>
    <x v="1"/>
    <x v="16"/>
    <x v="0"/>
    <n v="0"/>
    <n v="0.01"/>
    <n v="0.03"/>
    <n v="4.3"/>
    <n v="15.32"/>
    <n v="45.72"/>
    <n v="0.01"/>
    <n v="11.02"/>
    <n v="1.9999999999999997E-2"/>
    <s v="India"/>
  </r>
  <r>
    <x v="7"/>
    <x v="1"/>
    <x v="58"/>
    <x v="1"/>
    <x v="5"/>
    <x v="3"/>
    <n v="0.06"/>
    <n v="0.09"/>
    <n v="0.03"/>
    <n v="19.32"/>
    <n v="17.489999999999998"/>
    <n v="6.71"/>
    <n v="0.03"/>
    <n v="-1.8300000000000018"/>
    <n v="-0.06"/>
    <s v="India"/>
  </r>
  <r>
    <x v="0"/>
    <x v="0"/>
    <x v="17"/>
    <x v="0"/>
    <x v="16"/>
    <x v="0"/>
    <n v="0.01"/>
    <n v="0"/>
    <n v="0.03"/>
    <n v="12.79"/>
    <n v="0.14000000000000001"/>
    <n v="47.51"/>
    <n v="-0.01"/>
    <n v="-12.649999999999999"/>
    <n v="0.03"/>
    <s v="India"/>
  </r>
  <r>
    <x v="17"/>
    <x v="5"/>
    <x v="108"/>
    <x v="2"/>
    <x v="24"/>
    <x v="4"/>
    <n v="0"/>
    <n v="0"/>
    <n v="0.03"/>
    <n v="0"/>
    <n v="0"/>
    <n v="108.67"/>
    <n v="0"/>
    <n v="0"/>
    <n v="0.03"/>
    <s v="India"/>
  </r>
  <r>
    <x v="6"/>
    <x v="2"/>
    <x v="49"/>
    <x v="0"/>
    <x v="13"/>
    <x v="3"/>
    <n v="0"/>
    <n v="0.02"/>
    <n v="0.03"/>
    <n v="0"/>
    <n v="1.28"/>
    <n v="13.92"/>
    <n v="0.02"/>
    <n v="1.28"/>
    <n v="9.9999999999999985E-3"/>
    <s v="India"/>
  </r>
  <r>
    <x v="13"/>
    <x v="1"/>
    <x v="33"/>
    <x v="3"/>
    <x v="29"/>
    <x v="7"/>
    <n v="0.09"/>
    <n v="7.0000000000000007E-2"/>
    <n v="0.03"/>
    <n v="7.63"/>
    <n v="14.34"/>
    <n v="3.53"/>
    <n v="-1.999999999999999E-2"/>
    <n v="6.71"/>
    <n v="-4.0000000000000008E-2"/>
    <s v="India"/>
  </r>
  <r>
    <x v="6"/>
    <x v="2"/>
    <x v="91"/>
    <x v="3"/>
    <x v="13"/>
    <x v="3"/>
    <n v="0.1"/>
    <n v="0.06"/>
    <n v="0.03"/>
    <n v="10.14"/>
    <n v="7.4"/>
    <n v="2.92"/>
    <n v="-4.0000000000000008E-2"/>
    <n v="-2.74"/>
    <n v="-0.03"/>
    <s v="India"/>
  </r>
  <r>
    <x v="19"/>
    <x v="1"/>
    <x v="146"/>
    <x v="2"/>
    <x v="12"/>
    <x v="4"/>
    <n v="7.0000000000000007E-2"/>
    <n v="0.08"/>
    <n v="0.03"/>
    <n v="243.8"/>
    <n v="292.77999999999997"/>
    <n v="118.66"/>
    <n v="9.999999999999995E-3"/>
    <n v="48.979999999999961"/>
    <n v="-0.05"/>
    <s v="India"/>
  </r>
  <r>
    <x v="4"/>
    <x v="3"/>
    <x v="45"/>
    <x v="2"/>
    <x v="6"/>
    <x v="4"/>
    <n v="0.01"/>
    <n v="0.01"/>
    <n v="0.03"/>
    <n v="37.4"/>
    <n v="25.33"/>
    <n v="4"/>
    <n v="0"/>
    <n v="-12.07"/>
    <n v="1.9999999999999997E-2"/>
    <s v="India"/>
  </r>
  <r>
    <x v="0"/>
    <x v="0"/>
    <x v="47"/>
    <x v="4"/>
    <x v="10"/>
    <x v="3"/>
    <n v="0"/>
    <n v="0.11"/>
    <n v="0.03"/>
    <n v="0"/>
    <n v="9.5500000000000007"/>
    <n v="2.84"/>
    <n v="0.11"/>
    <n v="9.5500000000000007"/>
    <n v="-0.08"/>
    <s v="India"/>
  </r>
  <r>
    <x v="6"/>
    <x v="2"/>
    <x v="159"/>
    <x v="3"/>
    <x v="4"/>
    <x v="3"/>
    <n v="0.14000000000000001"/>
    <n v="0.1"/>
    <n v="0.03"/>
    <n v="86.06"/>
    <n v="40.69"/>
    <n v="10.99"/>
    <n v="-4.0000000000000008E-2"/>
    <n v="-45.370000000000005"/>
    <n v="-7.0000000000000007E-2"/>
    <s v="India"/>
  </r>
  <r>
    <x v="4"/>
    <x v="3"/>
    <x v="7"/>
    <x v="0"/>
    <x v="13"/>
    <x v="3"/>
    <n v="0"/>
    <n v="0.06"/>
    <n v="0.03"/>
    <n v="0.06"/>
    <n v="7.13"/>
    <n v="15.03"/>
    <n v="0.06"/>
    <n v="7.07"/>
    <n v="-0.03"/>
    <s v="India"/>
  </r>
  <r>
    <x v="1"/>
    <x v="0"/>
    <x v="24"/>
    <x v="3"/>
    <x v="18"/>
    <x v="7"/>
    <n v="7.0000000000000007E-2"/>
    <n v="1.47"/>
    <n v="0.03"/>
    <n v="8.32"/>
    <n v="132.91999999999999"/>
    <n v="2.12"/>
    <n v="1.4"/>
    <n v="124.6"/>
    <n v="-1.44"/>
    <s v="India"/>
  </r>
  <r>
    <x v="6"/>
    <x v="2"/>
    <x v="22"/>
    <x v="1"/>
    <x v="24"/>
    <x v="4"/>
    <n v="0.06"/>
    <n v="0.1"/>
    <n v="0.03"/>
    <n v="101.52"/>
    <n v="88.77"/>
    <n v="18.46"/>
    <n v="4.0000000000000008E-2"/>
    <n v="-12.75"/>
    <n v="-7.0000000000000007E-2"/>
    <s v="India"/>
  </r>
  <r>
    <x v="0"/>
    <x v="0"/>
    <x v="157"/>
    <x v="1"/>
    <x v="5"/>
    <x v="3"/>
    <n v="0"/>
    <n v="0.01"/>
    <n v="0.03"/>
    <n v="0"/>
    <n v="7.04"/>
    <n v="14.3"/>
    <n v="0.01"/>
    <n v="7.04"/>
    <n v="1.9999999999999997E-2"/>
    <s v="India"/>
  </r>
  <r>
    <x v="7"/>
    <x v="1"/>
    <x v="25"/>
    <x v="1"/>
    <x v="10"/>
    <x v="3"/>
    <n v="0"/>
    <n v="0.04"/>
    <n v="0.03"/>
    <n v="0"/>
    <n v="26.25"/>
    <n v="24.84"/>
    <n v="0.04"/>
    <n v="26.25"/>
    <n v="-1.0000000000000002E-2"/>
    <s v="India"/>
  </r>
  <r>
    <x v="4"/>
    <x v="3"/>
    <x v="135"/>
    <x v="2"/>
    <x v="6"/>
    <x v="4"/>
    <n v="0.04"/>
    <n v="0.05"/>
    <n v="0.03"/>
    <n v="41.59"/>
    <n v="57.82"/>
    <n v="40.71"/>
    <n v="1.0000000000000002E-2"/>
    <n v="16.229999999999997"/>
    <n v="-2.0000000000000004E-2"/>
    <s v="India"/>
  </r>
  <r>
    <x v="14"/>
    <x v="3"/>
    <x v="39"/>
    <x v="2"/>
    <x v="30"/>
    <x v="5"/>
    <n v="0.67"/>
    <n v="0.05"/>
    <n v="0.03"/>
    <n v="672.78"/>
    <n v="69.959999999999994"/>
    <n v="54.91"/>
    <n v="-0.62"/>
    <n v="-602.81999999999994"/>
    <n v="-2.0000000000000004E-2"/>
    <s v="India"/>
  </r>
  <r>
    <x v="2"/>
    <x v="1"/>
    <x v="70"/>
    <x v="1"/>
    <x v="4"/>
    <x v="3"/>
    <n v="0"/>
    <n v="0.24"/>
    <n v="0.03"/>
    <n v="0"/>
    <n v="73.05"/>
    <n v="22.02"/>
    <n v="0.24"/>
    <n v="73.05"/>
    <n v="-0.21"/>
    <s v="India"/>
  </r>
  <r>
    <x v="0"/>
    <x v="0"/>
    <x v="97"/>
    <x v="0"/>
    <x v="7"/>
    <x v="5"/>
    <n v="0"/>
    <n v="0"/>
    <n v="0.03"/>
    <n v="0"/>
    <n v="0"/>
    <n v="22"/>
    <n v="0"/>
    <n v="0"/>
    <n v="0.03"/>
    <s v="India"/>
  </r>
  <r>
    <x v="12"/>
    <x v="2"/>
    <x v="30"/>
    <x v="1"/>
    <x v="35"/>
    <x v="0"/>
    <n v="0.06"/>
    <n v="0.27"/>
    <n v="0.03"/>
    <n v="70.23"/>
    <n v="206.08"/>
    <n v="25.53"/>
    <n v="0.21000000000000002"/>
    <n v="135.85000000000002"/>
    <n v="-0.24000000000000002"/>
    <s v="India"/>
  </r>
  <r>
    <x v="9"/>
    <x v="1"/>
    <x v="27"/>
    <x v="1"/>
    <x v="22"/>
    <x v="6"/>
    <n v="0.02"/>
    <n v="0.03"/>
    <n v="0.03"/>
    <n v="2.61"/>
    <n v="3"/>
    <n v="3.5"/>
    <n v="9.9999999999999985E-3"/>
    <n v="0.39000000000000012"/>
    <n v="0"/>
    <s v="India"/>
  </r>
  <r>
    <x v="12"/>
    <x v="2"/>
    <x v="123"/>
    <x v="4"/>
    <x v="39"/>
    <x v="7"/>
    <n v="0"/>
    <n v="0.11"/>
    <n v="0.03"/>
    <n v="0"/>
    <n v="17.5"/>
    <n v="5"/>
    <n v="0.11"/>
    <n v="17.5"/>
    <n v="-0.08"/>
    <s v="India"/>
  </r>
  <r>
    <x v="14"/>
    <x v="3"/>
    <x v="53"/>
    <x v="2"/>
    <x v="34"/>
    <x v="6"/>
    <n v="0"/>
    <n v="0.1"/>
    <n v="0.03"/>
    <n v="5"/>
    <n v="150.06"/>
    <n v="32.65"/>
    <n v="0.1"/>
    <n v="145.06"/>
    <n v="-7.0000000000000007E-2"/>
    <s v="India"/>
  </r>
  <r>
    <x v="0"/>
    <x v="0"/>
    <x v="74"/>
    <x v="0"/>
    <x v="6"/>
    <x v="4"/>
    <n v="0"/>
    <n v="0"/>
    <n v="0.03"/>
    <n v="0"/>
    <n v="0"/>
    <n v="30"/>
    <n v="0"/>
    <n v="0"/>
    <n v="0.03"/>
    <s v="India"/>
  </r>
  <r>
    <x v="1"/>
    <x v="0"/>
    <x v="52"/>
    <x v="1"/>
    <x v="5"/>
    <x v="3"/>
    <n v="0.09"/>
    <n v="0.3"/>
    <n v="0.03"/>
    <n v="28.17"/>
    <n v="127.02"/>
    <n v="18.54"/>
    <n v="0.21"/>
    <n v="98.85"/>
    <n v="-0.27"/>
    <s v="India"/>
  </r>
  <r>
    <x v="13"/>
    <x v="1"/>
    <x v="33"/>
    <x v="3"/>
    <x v="30"/>
    <x v="5"/>
    <n v="1.1100000000000001"/>
    <n v="0.93"/>
    <n v="0.03"/>
    <n v="124.7"/>
    <n v="92.15"/>
    <n v="2.4500000000000002"/>
    <n v="-0.18000000000000005"/>
    <n v="-32.549999999999997"/>
    <n v="-0.9"/>
    <s v="India"/>
  </r>
  <r>
    <x v="0"/>
    <x v="0"/>
    <x v="51"/>
    <x v="4"/>
    <x v="13"/>
    <x v="3"/>
    <n v="7.0000000000000007E-2"/>
    <n v="0.05"/>
    <n v="0.03"/>
    <n v="13.52"/>
    <n v="7.75"/>
    <n v="8.5399999999999991"/>
    <n v="-2.0000000000000004E-2"/>
    <n v="-5.77"/>
    <n v="-2.0000000000000004E-2"/>
    <s v="India"/>
  </r>
  <r>
    <x v="10"/>
    <x v="2"/>
    <x v="28"/>
    <x v="1"/>
    <x v="6"/>
    <x v="4"/>
    <n v="0.01"/>
    <n v="0.06"/>
    <n v="0.03"/>
    <n v="1.87"/>
    <n v="10.99"/>
    <n v="6.84"/>
    <n v="4.9999999999999996E-2"/>
    <n v="9.120000000000001"/>
    <n v="-0.03"/>
    <s v="India"/>
  </r>
  <r>
    <x v="6"/>
    <x v="2"/>
    <x v="12"/>
    <x v="0"/>
    <x v="7"/>
    <x v="5"/>
    <n v="0.04"/>
    <n v="0.02"/>
    <n v="0.03"/>
    <n v="36.22"/>
    <n v="16.46"/>
    <n v="23.07"/>
    <n v="-0.02"/>
    <n v="-19.759999999999998"/>
    <n v="9.9999999999999985E-3"/>
    <s v="India"/>
  </r>
  <r>
    <x v="4"/>
    <x v="3"/>
    <x v="135"/>
    <x v="2"/>
    <x v="4"/>
    <x v="3"/>
    <n v="0.09"/>
    <n v="0.04"/>
    <n v="0.03"/>
    <n v="37.22"/>
    <n v="22.59"/>
    <n v="18.5"/>
    <n v="-4.9999999999999996E-2"/>
    <n v="-14.629999999999999"/>
    <n v="-1.0000000000000002E-2"/>
    <s v="India"/>
  </r>
  <r>
    <x v="6"/>
    <x v="2"/>
    <x v="140"/>
    <x v="1"/>
    <x v="8"/>
    <x v="3"/>
    <n v="0.03"/>
    <n v="0.13"/>
    <n v="0.03"/>
    <n v="9.07"/>
    <n v="58.35"/>
    <n v="15.32"/>
    <n v="0.1"/>
    <n v="49.28"/>
    <n v="-0.1"/>
    <s v="India"/>
  </r>
  <r>
    <x v="4"/>
    <x v="3"/>
    <x v="71"/>
    <x v="2"/>
    <x v="29"/>
    <x v="7"/>
    <n v="0"/>
    <n v="0.06"/>
    <n v="0.03"/>
    <n v="0"/>
    <n v="40"/>
    <n v="20"/>
    <n v="0.06"/>
    <n v="40"/>
    <n v="-0.03"/>
    <s v="India"/>
  </r>
  <r>
    <x v="5"/>
    <x v="1"/>
    <x v="34"/>
    <x v="1"/>
    <x v="29"/>
    <x v="7"/>
    <n v="0.3"/>
    <n v="0.02"/>
    <n v="0.03"/>
    <n v="99.14"/>
    <n v="7.68"/>
    <n v="18.03"/>
    <n v="-0.27999999999999997"/>
    <n v="-91.460000000000008"/>
    <n v="9.9999999999999985E-3"/>
    <s v="India"/>
  </r>
  <r>
    <x v="2"/>
    <x v="1"/>
    <x v="112"/>
    <x v="2"/>
    <x v="19"/>
    <x v="4"/>
    <n v="0"/>
    <n v="0.23"/>
    <n v="0.03"/>
    <n v="0"/>
    <n v="495.14"/>
    <n v="58.78"/>
    <n v="0.23"/>
    <n v="495.14"/>
    <n v="-0.2"/>
    <s v="India"/>
  </r>
  <r>
    <x v="11"/>
    <x v="2"/>
    <x v="64"/>
    <x v="3"/>
    <x v="10"/>
    <x v="3"/>
    <n v="0.02"/>
    <n v="0.02"/>
    <n v="0.03"/>
    <n v="5.08"/>
    <n v="5.15"/>
    <n v="6.93"/>
    <n v="0"/>
    <n v="7.0000000000000284E-2"/>
    <n v="9.9999999999999985E-3"/>
    <s v="India"/>
  </r>
  <r>
    <x v="12"/>
    <x v="2"/>
    <x v="38"/>
    <x v="3"/>
    <x v="13"/>
    <x v="3"/>
    <n v="0.02"/>
    <n v="0.08"/>
    <n v="0.03"/>
    <n v="1.41"/>
    <n v="3.27"/>
    <n v="0.82"/>
    <n v="0.06"/>
    <n v="1.86"/>
    <n v="-0.05"/>
    <s v="India"/>
  </r>
  <r>
    <x v="11"/>
    <x v="2"/>
    <x v="64"/>
    <x v="3"/>
    <x v="36"/>
    <x v="6"/>
    <n v="0.13"/>
    <n v="0.01"/>
    <n v="0.03"/>
    <n v="19.86"/>
    <n v="2.0499999999999998"/>
    <n v="2.9"/>
    <n v="-0.12000000000000001"/>
    <n v="-17.809999999999999"/>
    <n v="1.9999999999999997E-2"/>
    <s v="India"/>
  </r>
  <r>
    <x v="2"/>
    <x v="1"/>
    <x v="2"/>
    <x v="1"/>
    <x v="29"/>
    <x v="7"/>
    <n v="0"/>
    <n v="0"/>
    <n v="0.03"/>
    <n v="0.12"/>
    <n v="0.36"/>
    <n v="13.06"/>
    <n v="0"/>
    <n v="0.24"/>
    <n v="0.03"/>
    <s v="India"/>
  </r>
  <r>
    <x v="0"/>
    <x v="0"/>
    <x v="54"/>
    <x v="1"/>
    <x v="10"/>
    <x v="3"/>
    <n v="0.01"/>
    <n v="7.0000000000000007E-2"/>
    <n v="0.03"/>
    <n v="12.78"/>
    <n v="72.88"/>
    <n v="31.1"/>
    <n v="6.0000000000000005E-2"/>
    <n v="60.099999999999994"/>
    <n v="-4.0000000000000008E-2"/>
    <s v="India"/>
  </r>
  <r>
    <x v="10"/>
    <x v="2"/>
    <x v="69"/>
    <x v="3"/>
    <x v="11"/>
    <x v="3"/>
    <n v="0.06"/>
    <n v="0.06"/>
    <n v="0.03"/>
    <n v="9.8699999999999992"/>
    <n v="1.43"/>
    <n v="3.82"/>
    <n v="0"/>
    <n v="-8.44"/>
    <n v="-0.03"/>
    <s v="India"/>
  </r>
  <r>
    <x v="0"/>
    <x v="0"/>
    <x v="67"/>
    <x v="3"/>
    <x v="13"/>
    <x v="3"/>
    <n v="0.16"/>
    <n v="0.1"/>
    <n v="0.03"/>
    <n v="11.17"/>
    <n v="9.61"/>
    <n v="2.4900000000000002"/>
    <n v="-0.06"/>
    <n v="-1.5600000000000005"/>
    <n v="-7.0000000000000007E-2"/>
    <s v="India"/>
  </r>
  <r>
    <x v="12"/>
    <x v="2"/>
    <x v="37"/>
    <x v="0"/>
    <x v="2"/>
    <x v="0"/>
    <n v="0.33"/>
    <n v="7.0000000000000007E-2"/>
    <n v="0.03"/>
    <n v="575.01"/>
    <n v="129.12"/>
    <n v="45.39"/>
    <n v="-0.26"/>
    <n v="-445.89"/>
    <n v="-4.0000000000000008E-2"/>
    <s v="India"/>
  </r>
  <r>
    <x v="3"/>
    <x v="2"/>
    <x v="5"/>
    <x v="0"/>
    <x v="3"/>
    <x v="2"/>
    <n v="0.03"/>
    <n v="0.09"/>
    <n v="0.03"/>
    <n v="22.67"/>
    <n v="76.3"/>
    <n v="30.77"/>
    <n v="0.06"/>
    <n v="53.629999999999995"/>
    <n v="-0.06"/>
    <s v="India"/>
  </r>
  <r>
    <x v="4"/>
    <x v="3"/>
    <x v="96"/>
    <x v="2"/>
    <x v="11"/>
    <x v="3"/>
    <n v="0.14000000000000001"/>
    <n v="0.17"/>
    <n v="0.03"/>
    <n v="417.26"/>
    <n v="447.29"/>
    <n v="70.41"/>
    <n v="0.03"/>
    <n v="30.03000000000003"/>
    <n v="-0.14000000000000001"/>
    <s v="India"/>
  </r>
  <r>
    <x v="4"/>
    <x v="3"/>
    <x v="45"/>
    <x v="2"/>
    <x v="4"/>
    <x v="3"/>
    <n v="7.0000000000000007E-2"/>
    <n v="0.09"/>
    <n v="0.03"/>
    <n v="78.05"/>
    <n v="88.31"/>
    <n v="27.3"/>
    <n v="1.999999999999999E-2"/>
    <n v="10.260000000000005"/>
    <n v="-0.06"/>
    <s v="India"/>
  </r>
  <r>
    <x v="2"/>
    <x v="1"/>
    <x v="59"/>
    <x v="2"/>
    <x v="30"/>
    <x v="5"/>
    <n v="0.13"/>
    <n v="0.03"/>
    <n v="0.03"/>
    <n v="561.29999999999995"/>
    <n v="37.369999999999997"/>
    <n v="14.37"/>
    <n v="-0.1"/>
    <n v="-523.92999999999995"/>
    <n v="0"/>
    <s v="India"/>
  </r>
  <r>
    <x v="4"/>
    <x v="3"/>
    <x v="113"/>
    <x v="3"/>
    <x v="33"/>
    <x v="7"/>
    <n v="0.06"/>
    <n v="0.01"/>
    <n v="0.03"/>
    <n v="0.63"/>
    <n v="0.09"/>
    <n v="0.23"/>
    <n v="-4.9999999999999996E-2"/>
    <n v="-0.54"/>
    <n v="1.9999999999999997E-2"/>
    <s v="India"/>
  </r>
  <r>
    <x v="6"/>
    <x v="2"/>
    <x v="22"/>
    <x v="1"/>
    <x v="6"/>
    <x v="4"/>
    <n v="0"/>
    <n v="0.03"/>
    <n v="0.03"/>
    <n v="2"/>
    <n v="19.8"/>
    <n v="23.73"/>
    <n v="0.03"/>
    <n v="17.8"/>
    <n v="0"/>
    <s v="India"/>
  </r>
  <r>
    <x v="6"/>
    <x v="2"/>
    <x v="22"/>
    <x v="1"/>
    <x v="35"/>
    <x v="0"/>
    <n v="0"/>
    <n v="0.01"/>
    <n v="0.03"/>
    <n v="0.91"/>
    <n v="8.6"/>
    <n v="50.46"/>
    <n v="0.01"/>
    <n v="7.6899999999999995"/>
    <n v="1.9999999999999997E-2"/>
    <s v="India"/>
  </r>
  <r>
    <x v="4"/>
    <x v="3"/>
    <x v="45"/>
    <x v="2"/>
    <x v="5"/>
    <x v="3"/>
    <n v="0.11"/>
    <n v="0.36"/>
    <n v="0.03"/>
    <n v="727.48"/>
    <n v="363.94"/>
    <n v="32.450000000000003"/>
    <n v="0.25"/>
    <n v="-363.54"/>
    <n v="-0.32999999999999996"/>
    <s v="India"/>
  </r>
  <r>
    <x v="2"/>
    <x v="1"/>
    <x v="60"/>
    <x v="1"/>
    <x v="15"/>
    <x v="0"/>
    <n v="0"/>
    <n v="0.79"/>
    <n v="0.03"/>
    <n v="0"/>
    <n v="3081.18"/>
    <n v="113.26"/>
    <n v="0.79"/>
    <n v="3081.18"/>
    <n v="-0.76"/>
    <s v="India"/>
  </r>
  <r>
    <x v="4"/>
    <x v="3"/>
    <x v="73"/>
    <x v="2"/>
    <x v="11"/>
    <x v="3"/>
    <n v="0.19"/>
    <n v="0.09"/>
    <n v="0.03"/>
    <n v="248.04"/>
    <n v="44.72"/>
    <n v="8.86"/>
    <n v="-0.1"/>
    <n v="-203.32"/>
    <n v="-0.06"/>
    <s v="India"/>
  </r>
  <r>
    <x v="14"/>
    <x v="3"/>
    <x v="39"/>
    <x v="2"/>
    <x v="14"/>
    <x v="3"/>
    <n v="0"/>
    <n v="0"/>
    <n v="0.03"/>
    <n v="0"/>
    <n v="0.5"/>
    <n v="11.1"/>
    <n v="0"/>
    <n v="0.5"/>
    <n v="0.03"/>
    <s v="India"/>
  </r>
  <r>
    <x v="2"/>
    <x v="1"/>
    <x v="14"/>
    <x v="1"/>
    <x v="40"/>
    <x v="6"/>
    <n v="0"/>
    <n v="7.0000000000000007E-2"/>
    <n v="0.03"/>
    <n v="0.01"/>
    <n v="4.1900000000000004"/>
    <n v="1.54"/>
    <n v="7.0000000000000007E-2"/>
    <n v="4.1800000000000006"/>
    <n v="-4.0000000000000008E-2"/>
    <s v="India"/>
  </r>
  <r>
    <x v="0"/>
    <x v="0"/>
    <x v="54"/>
    <x v="1"/>
    <x v="37"/>
    <x v="3"/>
    <n v="0"/>
    <n v="0.2"/>
    <n v="0.03"/>
    <n v="0"/>
    <n v="101.38"/>
    <n v="14.78"/>
    <n v="0.2"/>
    <n v="101.38"/>
    <n v="-0.17"/>
    <s v="India"/>
  </r>
  <r>
    <x v="11"/>
    <x v="2"/>
    <x v="64"/>
    <x v="3"/>
    <x v="8"/>
    <x v="3"/>
    <n v="0.25"/>
    <n v="0.19"/>
    <n v="0.03"/>
    <n v="50.39"/>
    <n v="36.270000000000003"/>
    <n v="9.6"/>
    <n v="-0.06"/>
    <n v="-14.119999999999997"/>
    <n v="-0.16"/>
    <s v="India"/>
  </r>
  <r>
    <x v="11"/>
    <x v="2"/>
    <x v="64"/>
    <x v="3"/>
    <x v="1"/>
    <x v="1"/>
    <n v="0.12"/>
    <n v="0.1"/>
    <n v="0.03"/>
    <n v="4.07"/>
    <n v="4"/>
    <n v="1"/>
    <n v="-1.999999999999999E-2"/>
    <n v="-7.0000000000000284E-2"/>
    <n v="-7.0000000000000007E-2"/>
    <s v="India"/>
  </r>
  <r>
    <x v="11"/>
    <x v="2"/>
    <x v="134"/>
    <x v="4"/>
    <x v="4"/>
    <x v="3"/>
    <n v="0"/>
    <n v="0.03"/>
    <n v="0.03"/>
    <n v="0"/>
    <n v="10.039999999999999"/>
    <n v="9.35"/>
    <n v="0.03"/>
    <n v="10.039999999999999"/>
    <n v="0"/>
    <s v="India"/>
  </r>
  <r>
    <x v="0"/>
    <x v="0"/>
    <x v="81"/>
    <x v="1"/>
    <x v="4"/>
    <x v="3"/>
    <n v="0"/>
    <n v="0"/>
    <n v="0.03"/>
    <n v="0"/>
    <n v="0"/>
    <n v="5.49"/>
    <n v="0"/>
    <n v="0"/>
    <n v="0.03"/>
    <s v="India"/>
  </r>
  <r>
    <x v="0"/>
    <x v="0"/>
    <x v="35"/>
    <x v="1"/>
    <x v="6"/>
    <x v="4"/>
    <n v="0.28000000000000003"/>
    <n v="0.17"/>
    <n v="0.03"/>
    <n v="166.63"/>
    <n v="53.77"/>
    <n v="9.64"/>
    <n v="-0.11000000000000001"/>
    <n v="-112.85999999999999"/>
    <n v="-0.14000000000000001"/>
    <s v="India"/>
  </r>
  <r>
    <x v="14"/>
    <x v="3"/>
    <x v="39"/>
    <x v="2"/>
    <x v="27"/>
    <x v="7"/>
    <n v="0.04"/>
    <n v="0.04"/>
    <n v="0.03"/>
    <n v="14.8"/>
    <n v="4.16"/>
    <n v="3.69"/>
    <n v="0"/>
    <n v="-10.64"/>
    <n v="-1.0000000000000002E-2"/>
    <s v="India"/>
  </r>
  <r>
    <x v="19"/>
    <x v="1"/>
    <x v="146"/>
    <x v="2"/>
    <x v="21"/>
    <x v="4"/>
    <n v="0.22"/>
    <n v="0.05"/>
    <n v="0.03"/>
    <n v="386.66"/>
    <n v="94.16"/>
    <n v="46.86"/>
    <n v="-0.16999999999999998"/>
    <n v="-292.5"/>
    <n v="-2.0000000000000004E-2"/>
    <s v="India"/>
  </r>
  <r>
    <x v="6"/>
    <x v="2"/>
    <x v="105"/>
    <x v="1"/>
    <x v="36"/>
    <x v="6"/>
    <n v="0"/>
    <n v="7.0000000000000007E-2"/>
    <n v="0.03"/>
    <n v="0.02"/>
    <n v="30.01"/>
    <n v="9.24"/>
    <n v="7.0000000000000007E-2"/>
    <n v="29.990000000000002"/>
    <n v="-4.0000000000000008E-2"/>
    <s v="India"/>
  </r>
  <r>
    <x v="2"/>
    <x v="1"/>
    <x v="68"/>
    <x v="1"/>
    <x v="2"/>
    <x v="0"/>
    <n v="7.0000000000000007E-2"/>
    <n v="0.04"/>
    <n v="0.03"/>
    <n v="57.26"/>
    <n v="23.66"/>
    <n v="16.46"/>
    <n v="-3.0000000000000006E-2"/>
    <n v="-33.599999999999994"/>
    <n v="-1.0000000000000002E-2"/>
    <s v="India"/>
  </r>
  <r>
    <x v="2"/>
    <x v="1"/>
    <x v="6"/>
    <x v="1"/>
    <x v="19"/>
    <x v="4"/>
    <n v="0"/>
    <n v="0"/>
    <n v="0.02"/>
    <n v="0"/>
    <n v="0"/>
    <n v="12.56"/>
    <n v="0"/>
    <n v="0"/>
    <n v="0.02"/>
    <s v="India"/>
  </r>
  <r>
    <x v="8"/>
    <x v="4"/>
    <x v="89"/>
    <x v="1"/>
    <x v="11"/>
    <x v="3"/>
    <n v="0.23"/>
    <n v="0.41"/>
    <n v="0.02"/>
    <n v="16.579999999999998"/>
    <n v="22.17"/>
    <n v="1.19"/>
    <n v="0.17999999999999997"/>
    <n v="5.5900000000000034"/>
    <n v="-0.38999999999999996"/>
    <s v="India"/>
  </r>
  <r>
    <x v="6"/>
    <x v="2"/>
    <x v="49"/>
    <x v="0"/>
    <x v="35"/>
    <x v="0"/>
    <n v="0.04"/>
    <n v="0.23"/>
    <n v="0.02"/>
    <n v="46.46"/>
    <n v="149.29"/>
    <n v="20.399999999999999"/>
    <n v="0.19"/>
    <n v="102.82999999999998"/>
    <n v="-0.21000000000000002"/>
    <s v="India"/>
  </r>
  <r>
    <x v="4"/>
    <x v="3"/>
    <x v="63"/>
    <x v="2"/>
    <x v="20"/>
    <x v="3"/>
    <n v="7.0000000000000007E-2"/>
    <n v="7.0000000000000007E-2"/>
    <n v="0.02"/>
    <n v="210.62"/>
    <n v="257.7"/>
    <n v="127.12"/>
    <n v="0"/>
    <n v="47.079999999999984"/>
    <n v="-0.05"/>
    <s v="India"/>
  </r>
  <r>
    <x v="6"/>
    <x v="2"/>
    <x v="22"/>
    <x v="1"/>
    <x v="0"/>
    <x v="0"/>
    <n v="0.04"/>
    <n v="0.11"/>
    <n v="0.02"/>
    <n v="24.45"/>
    <n v="100.96"/>
    <n v="23.39"/>
    <n v="7.0000000000000007E-2"/>
    <n v="76.509999999999991"/>
    <n v="-0.09"/>
    <s v="India"/>
  </r>
  <r>
    <x v="13"/>
    <x v="1"/>
    <x v="48"/>
    <x v="1"/>
    <x v="42"/>
    <x v="1"/>
    <n v="0"/>
    <n v="0.12"/>
    <n v="0.02"/>
    <n v="0"/>
    <n v="5"/>
    <n v="1"/>
    <n v="0.12"/>
    <n v="5"/>
    <n v="-9.9999999999999992E-2"/>
    <s v="India"/>
  </r>
  <r>
    <x v="9"/>
    <x v="1"/>
    <x v="129"/>
    <x v="1"/>
    <x v="16"/>
    <x v="0"/>
    <n v="0.13"/>
    <n v="0.05"/>
    <n v="0.02"/>
    <n v="146.19999999999999"/>
    <n v="59.95"/>
    <n v="26.8"/>
    <n v="-0.08"/>
    <n v="-86.249999999999986"/>
    <n v="-3.0000000000000002E-2"/>
    <s v="India"/>
  </r>
  <r>
    <x v="1"/>
    <x v="0"/>
    <x v="153"/>
    <x v="1"/>
    <x v="17"/>
    <x v="5"/>
    <n v="0.02"/>
    <n v="0.05"/>
    <n v="0.02"/>
    <n v="2.38"/>
    <n v="1.89"/>
    <n v="1"/>
    <n v="3.0000000000000002E-2"/>
    <n v="-0.49"/>
    <n v="-3.0000000000000002E-2"/>
    <s v="India"/>
  </r>
  <r>
    <x v="9"/>
    <x v="1"/>
    <x v="61"/>
    <x v="1"/>
    <x v="39"/>
    <x v="7"/>
    <n v="0"/>
    <n v="0.03"/>
    <n v="0.02"/>
    <n v="0"/>
    <n v="5.7"/>
    <n v="3.77"/>
    <n v="0.03"/>
    <n v="5.7"/>
    <n v="-9.9999999999999985E-3"/>
    <s v="India"/>
  </r>
  <r>
    <x v="4"/>
    <x v="3"/>
    <x v="135"/>
    <x v="2"/>
    <x v="3"/>
    <x v="2"/>
    <n v="0.16"/>
    <n v="0.06"/>
    <n v="0.02"/>
    <n v="152.01"/>
    <n v="60.87"/>
    <n v="24.94"/>
    <n v="-0.1"/>
    <n v="-91.139999999999986"/>
    <n v="-3.9999999999999994E-2"/>
    <s v="India"/>
  </r>
  <r>
    <x v="4"/>
    <x v="3"/>
    <x v="160"/>
    <x v="2"/>
    <x v="15"/>
    <x v="0"/>
    <n v="1.18"/>
    <n v="1.1399999999999999"/>
    <n v="0.02"/>
    <n v="4689.68"/>
    <n v="4494.3900000000003"/>
    <n v="105"/>
    <n v="-4.0000000000000036E-2"/>
    <n v="-195.28999999999996"/>
    <n v="-1.1199999999999999"/>
    <s v="India"/>
  </r>
  <r>
    <x v="2"/>
    <x v="1"/>
    <x v="59"/>
    <x v="2"/>
    <x v="18"/>
    <x v="7"/>
    <n v="3.31"/>
    <n v="0.06"/>
    <n v="0.02"/>
    <n v="820.09"/>
    <n v="8.36"/>
    <n v="3.7"/>
    <n v="-3.25"/>
    <n v="-811.73"/>
    <n v="-3.9999999999999994E-2"/>
    <s v="India"/>
  </r>
  <r>
    <x v="4"/>
    <x v="3"/>
    <x v="71"/>
    <x v="2"/>
    <x v="11"/>
    <x v="3"/>
    <n v="0.39"/>
    <n v="7.0000000000000007E-2"/>
    <n v="0.02"/>
    <n v="457.29"/>
    <n v="36.26"/>
    <n v="18.61"/>
    <n v="-0.32"/>
    <n v="-421.03000000000003"/>
    <n v="-0.05"/>
    <s v="India"/>
  </r>
  <r>
    <x v="17"/>
    <x v="5"/>
    <x v="108"/>
    <x v="2"/>
    <x v="6"/>
    <x v="4"/>
    <n v="0"/>
    <n v="0"/>
    <n v="0.02"/>
    <n v="0.12"/>
    <n v="0.02"/>
    <n v="65.900000000000006"/>
    <n v="0"/>
    <n v="-9.9999999999999992E-2"/>
    <n v="0.02"/>
    <s v="India"/>
  </r>
  <r>
    <x v="2"/>
    <x v="1"/>
    <x v="6"/>
    <x v="1"/>
    <x v="29"/>
    <x v="7"/>
    <n v="7.0000000000000007E-2"/>
    <n v="0.21"/>
    <n v="0.02"/>
    <n v="23.42"/>
    <n v="93.14"/>
    <n v="4.22"/>
    <n v="0.13999999999999999"/>
    <n v="69.72"/>
    <n v="-0.19"/>
    <s v="India"/>
  </r>
  <r>
    <x v="7"/>
    <x v="1"/>
    <x v="100"/>
    <x v="1"/>
    <x v="0"/>
    <x v="0"/>
    <n v="0.19"/>
    <n v="0.24"/>
    <n v="0.02"/>
    <n v="134.6"/>
    <n v="206.75"/>
    <n v="21.6"/>
    <n v="4.9999999999999989E-2"/>
    <n v="72.150000000000006"/>
    <n v="-0.22"/>
    <s v="India"/>
  </r>
  <r>
    <x v="22"/>
    <x v="5"/>
    <x v="161"/>
    <x v="2"/>
    <x v="15"/>
    <x v="0"/>
    <n v="0.14000000000000001"/>
    <n v="0.1"/>
    <n v="0.02"/>
    <n v="599.48"/>
    <n v="449.48"/>
    <n v="99.94"/>
    <n v="-4.0000000000000008E-2"/>
    <n v="-150"/>
    <n v="-0.08"/>
    <s v="India"/>
  </r>
  <r>
    <x v="19"/>
    <x v="1"/>
    <x v="146"/>
    <x v="2"/>
    <x v="5"/>
    <x v="3"/>
    <n v="0.1"/>
    <n v="0.19"/>
    <n v="0.02"/>
    <n v="563.83000000000004"/>
    <n v="1095.98"/>
    <n v="142.16999999999999"/>
    <n v="0.09"/>
    <n v="532.15"/>
    <n v="-0.17"/>
    <s v="India"/>
  </r>
  <r>
    <x v="6"/>
    <x v="2"/>
    <x v="12"/>
    <x v="0"/>
    <x v="36"/>
    <x v="6"/>
    <n v="0.06"/>
    <n v="0.06"/>
    <n v="0.02"/>
    <n v="9.9600000000000009"/>
    <n v="11.25"/>
    <n v="3.92"/>
    <n v="0"/>
    <n v="1.2899999999999991"/>
    <n v="-3.9999999999999994E-2"/>
    <s v="India"/>
  </r>
  <r>
    <x v="0"/>
    <x v="0"/>
    <x v="17"/>
    <x v="0"/>
    <x v="10"/>
    <x v="3"/>
    <n v="0.03"/>
    <n v="0.25"/>
    <n v="0.02"/>
    <n v="15.07"/>
    <n v="452.37"/>
    <n v="13.02"/>
    <n v="0.22"/>
    <n v="437.3"/>
    <n v="-0.23"/>
    <s v="India"/>
  </r>
  <r>
    <x v="0"/>
    <x v="0"/>
    <x v="81"/>
    <x v="1"/>
    <x v="11"/>
    <x v="3"/>
    <n v="0"/>
    <n v="0"/>
    <n v="0.02"/>
    <n v="0"/>
    <n v="0"/>
    <n v="3.8"/>
    <n v="0"/>
    <n v="0"/>
    <n v="0.02"/>
    <s v="India"/>
  </r>
  <r>
    <x v="7"/>
    <x v="1"/>
    <x v="155"/>
    <x v="3"/>
    <x v="6"/>
    <x v="4"/>
    <n v="0.01"/>
    <n v="0.09"/>
    <n v="0.02"/>
    <n v="22.49"/>
    <n v="79.67"/>
    <n v="34.18"/>
    <n v="0.08"/>
    <n v="57.180000000000007"/>
    <n v="-6.9999999999999993E-2"/>
    <s v="India"/>
  </r>
  <r>
    <x v="6"/>
    <x v="2"/>
    <x v="22"/>
    <x v="1"/>
    <x v="13"/>
    <x v="3"/>
    <n v="0.51"/>
    <n v="1.02"/>
    <n v="0.02"/>
    <n v="41.55"/>
    <n v="122.34"/>
    <n v="6.3"/>
    <n v="0.51"/>
    <n v="80.790000000000006"/>
    <n v="-1"/>
    <s v="India"/>
  </r>
  <r>
    <x v="5"/>
    <x v="1"/>
    <x v="15"/>
    <x v="1"/>
    <x v="30"/>
    <x v="5"/>
    <n v="0"/>
    <n v="0"/>
    <n v="0.02"/>
    <n v="0.01"/>
    <n v="0.05"/>
    <n v="3.2"/>
    <n v="0"/>
    <n v="0.04"/>
    <n v="0.02"/>
    <s v="India"/>
  </r>
  <r>
    <x v="18"/>
    <x v="0"/>
    <x v="121"/>
    <x v="3"/>
    <x v="12"/>
    <x v="4"/>
    <n v="0"/>
    <n v="0"/>
    <n v="0.02"/>
    <n v="0"/>
    <n v="0.51"/>
    <n v="8.91"/>
    <n v="0"/>
    <n v="0.51"/>
    <n v="0.02"/>
    <s v="India"/>
  </r>
  <r>
    <x v="2"/>
    <x v="1"/>
    <x v="8"/>
    <x v="1"/>
    <x v="29"/>
    <x v="7"/>
    <n v="0.21"/>
    <n v="0.39"/>
    <n v="0.02"/>
    <n v="135.57"/>
    <n v="231.42"/>
    <n v="15.54"/>
    <n v="0.18000000000000002"/>
    <n v="95.85"/>
    <n v="-0.37"/>
    <s v="India"/>
  </r>
  <r>
    <x v="9"/>
    <x v="1"/>
    <x v="26"/>
    <x v="1"/>
    <x v="32"/>
    <x v="0"/>
    <n v="0.02"/>
    <n v="0.03"/>
    <n v="0.02"/>
    <n v="6.05"/>
    <n v="12.25"/>
    <n v="13"/>
    <n v="9.9999999999999985E-3"/>
    <n v="6.2"/>
    <n v="-9.9999999999999985E-3"/>
    <s v="India"/>
  </r>
  <r>
    <x v="7"/>
    <x v="1"/>
    <x v="16"/>
    <x v="1"/>
    <x v="4"/>
    <x v="3"/>
    <n v="0"/>
    <n v="0"/>
    <n v="0.02"/>
    <n v="0"/>
    <n v="0"/>
    <n v="13.5"/>
    <n v="0"/>
    <n v="0"/>
    <n v="0.02"/>
    <s v="India"/>
  </r>
  <r>
    <x v="0"/>
    <x v="0"/>
    <x v="0"/>
    <x v="0"/>
    <x v="28"/>
    <x v="5"/>
    <n v="0.06"/>
    <n v="0.24"/>
    <n v="0.02"/>
    <n v="282"/>
    <n v="1669"/>
    <n v="168"/>
    <n v="0.18"/>
    <n v="1387"/>
    <n v="-0.22"/>
    <s v="India"/>
  </r>
  <r>
    <x v="6"/>
    <x v="2"/>
    <x v="91"/>
    <x v="3"/>
    <x v="17"/>
    <x v="5"/>
    <n v="7.0000000000000007E-2"/>
    <n v="0.12"/>
    <n v="0.02"/>
    <n v="1.35"/>
    <n v="11.38"/>
    <n v="8.5399999999999991"/>
    <n v="4.9999999999999989E-2"/>
    <n v="10.030000000000001"/>
    <n v="-9.9999999999999992E-2"/>
    <s v="India"/>
  </r>
  <r>
    <x v="4"/>
    <x v="3"/>
    <x v="73"/>
    <x v="2"/>
    <x v="15"/>
    <x v="0"/>
    <n v="9.41"/>
    <n v="10.93"/>
    <n v="0.02"/>
    <n v="4516.5"/>
    <n v="4529.1099999999997"/>
    <n v="56"/>
    <n v="1.5199999999999996"/>
    <n v="12.609999999999673"/>
    <n v="-10.91"/>
    <s v="India"/>
  </r>
  <r>
    <x v="11"/>
    <x v="2"/>
    <x v="94"/>
    <x v="3"/>
    <x v="12"/>
    <x v="4"/>
    <n v="0"/>
    <n v="0.05"/>
    <n v="0.02"/>
    <n v="3.59"/>
    <n v="31.84"/>
    <n v="28.71"/>
    <n v="0.05"/>
    <n v="28.25"/>
    <n v="-3.0000000000000002E-2"/>
    <s v="India"/>
  </r>
  <r>
    <x v="21"/>
    <x v="5"/>
    <x v="150"/>
    <x v="2"/>
    <x v="3"/>
    <x v="2"/>
    <n v="0.04"/>
    <n v="0.01"/>
    <n v="0.02"/>
    <n v="36.17"/>
    <n v="14.55"/>
    <n v="16.399999999999999"/>
    <n v="-0.03"/>
    <n v="-21.62"/>
    <n v="0.01"/>
    <s v="India"/>
  </r>
  <r>
    <x v="0"/>
    <x v="0"/>
    <x v="51"/>
    <x v="4"/>
    <x v="24"/>
    <x v="4"/>
    <n v="0.27"/>
    <n v="0.04"/>
    <n v="0.02"/>
    <n v="200.89"/>
    <n v="23.73"/>
    <n v="7.42"/>
    <n v="-0.23"/>
    <n v="-177.16"/>
    <n v="-0.02"/>
    <s v="India"/>
  </r>
  <r>
    <x v="9"/>
    <x v="1"/>
    <x v="129"/>
    <x v="1"/>
    <x v="10"/>
    <x v="3"/>
    <n v="0.56000000000000005"/>
    <n v="0.4"/>
    <n v="0.02"/>
    <n v="447.38"/>
    <n v="333.95"/>
    <n v="11.74"/>
    <n v="-0.16000000000000003"/>
    <n v="-113.43"/>
    <n v="-0.38"/>
    <s v="India"/>
  </r>
  <r>
    <x v="0"/>
    <x v="0"/>
    <x v="72"/>
    <x v="4"/>
    <x v="37"/>
    <x v="3"/>
    <n v="0"/>
    <n v="0.02"/>
    <n v="0.02"/>
    <n v="0"/>
    <n v="3.1"/>
    <n v="9.15"/>
    <n v="0.02"/>
    <n v="3.1"/>
    <n v="0"/>
    <s v="India"/>
  </r>
  <r>
    <x v="4"/>
    <x v="3"/>
    <x v="63"/>
    <x v="2"/>
    <x v="29"/>
    <x v="7"/>
    <n v="0.24"/>
    <n v="0.12"/>
    <n v="0.02"/>
    <n v="50.89"/>
    <n v="32.799999999999997"/>
    <n v="9.4600000000000009"/>
    <n v="-0.12"/>
    <n v="-18.090000000000003"/>
    <n v="-9.9999999999999992E-2"/>
    <s v="India"/>
  </r>
  <r>
    <x v="17"/>
    <x v="5"/>
    <x v="87"/>
    <x v="2"/>
    <x v="11"/>
    <x v="3"/>
    <n v="0.01"/>
    <n v="7.0000000000000007E-2"/>
    <n v="0.02"/>
    <n v="3.65"/>
    <n v="57.63"/>
    <n v="24.99"/>
    <n v="6.0000000000000005E-2"/>
    <n v="53.980000000000004"/>
    <n v="-0.05"/>
    <s v="India"/>
  </r>
  <r>
    <x v="0"/>
    <x v="0"/>
    <x v="0"/>
    <x v="0"/>
    <x v="19"/>
    <x v="4"/>
    <n v="0"/>
    <n v="0.02"/>
    <n v="0.02"/>
    <n v="2.52"/>
    <n v="19.559999999999999"/>
    <n v="19.940000000000001"/>
    <n v="0.02"/>
    <n v="17.04"/>
    <n v="0"/>
    <s v="India"/>
  </r>
  <r>
    <x v="6"/>
    <x v="2"/>
    <x v="55"/>
    <x v="0"/>
    <x v="29"/>
    <x v="7"/>
    <n v="0.05"/>
    <n v="0.08"/>
    <n v="0.02"/>
    <n v="20.41"/>
    <n v="33.770000000000003"/>
    <n v="7.45"/>
    <n v="0.03"/>
    <n v="13.360000000000003"/>
    <n v="-0.06"/>
    <s v="India"/>
  </r>
  <r>
    <x v="0"/>
    <x v="0"/>
    <x v="36"/>
    <x v="1"/>
    <x v="26"/>
    <x v="0"/>
    <n v="0"/>
    <n v="0"/>
    <n v="0.02"/>
    <n v="0"/>
    <n v="2.4"/>
    <n v="43.09"/>
    <n v="0"/>
    <n v="2.4"/>
    <n v="0.02"/>
    <s v="India"/>
  </r>
  <r>
    <x v="11"/>
    <x v="2"/>
    <x v="29"/>
    <x v="0"/>
    <x v="20"/>
    <x v="3"/>
    <n v="1.31"/>
    <n v="0.24"/>
    <n v="0.02"/>
    <n v="1230.08"/>
    <n v="293.95999999999998"/>
    <n v="12.91"/>
    <n v="-1.07"/>
    <n v="-936.11999999999989"/>
    <n v="-0.22"/>
    <s v="India"/>
  </r>
  <r>
    <x v="17"/>
    <x v="5"/>
    <x v="138"/>
    <x v="2"/>
    <x v="16"/>
    <x v="0"/>
    <n v="0"/>
    <n v="0.04"/>
    <n v="0.02"/>
    <n v="0"/>
    <n v="78.84"/>
    <n v="49.35"/>
    <n v="0.04"/>
    <n v="78.84"/>
    <n v="-0.02"/>
    <s v="India"/>
  </r>
  <r>
    <x v="2"/>
    <x v="1"/>
    <x v="8"/>
    <x v="1"/>
    <x v="16"/>
    <x v="0"/>
    <n v="0.01"/>
    <n v="0"/>
    <n v="0.02"/>
    <n v="11"/>
    <n v="0"/>
    <n v="46"/>
    <n v="-0.01"/>
    <n v="-11"/>
    <n v="0.02"/>
    <s v="India"/>
  </r>
  <r>
    <x v="6"/>
    <x v="2"/>
    <x v="55"/>
    <x v="0"/>
    <x v="0"/>
    <x v="0"/>
    <n v="0.05"/>
    <n v="0.02"/>
    <n v="0.02"/>
    <n v="35.75"/>
    <n v="21.81"/>
    <n v="19.420000000000002"/>
    <n v="-3.0000000000000002E-2"/>
    <n v="-13.940000000000001"/>
    <n v="0"/>
    <s v="India"/>
  </r>
  <r>
    <x v="0"/>
    <x v="0"/>
    <x v="67"/>
    <x v="3"/>
    <x v="6"/>
    <x v="4"/>
    <n v="0.11"/>
    <n v="0.1"/>
    <n v="0.02"/>
    <n v="45.24"/>
    <n v="36.880000000000003"/>
    <n v="5.62"/>
    <n v="-9.999999999999995E-3"/>
    <n v="-8.36"/>
    <n v="-0.08"/>
    <s v="India"/>
  </r>
  <r>
    <x v="21"/>
    <x v="5"/>
    <x v="154"/>
    <x v="2"/>
    <x v="24"/>
    <x v="4"/>
    <n v="0.01"/>
    <n v="0.08"/>
    <n v="0.02"/>
    <n v="21.45"/>
    <n v="238.43"/>
    <n v="71.44"/>
    <n v="7.0000000000000007E-2"/>
    <n v="216.98000000000002"/>
    <n v="-0.06"/>
    <s v="India"/>
  </r>
  <r>
    <x v="7"/>
    <x v="1"/>
    <x v="58"/>
    <x v="1"/>
    <x v="35"/>
    <x v="0"/>
    <n v="0.04"/>
    <n v="0.03"/>
    <n v="0.02"/>
    <n v="21.84"/>
    <n v="15.46"/>
    <n v="9.81"/>
    <n v="-1.0000000000000002E-2"/>
    <n v="-6.379999999999999"/>
    <n v="-9.9999999999999985E-3"/>
    <s v="India"/>
  </r>
  <r>
    <x v="21"/>
    <x v="5"/>
    <x v="150"/>
    <x v="2"/>
    <x v="6"/>
    <x v="4"/>
    <n v="0.06"/>
    <n v="7.0000000000000007E-2"/>
    <n v="0.02"/>
    <n v="151.07"/>
    <n v="184.41"/>
    <n v="36.450000000000003"/>
    <n v="1.0000000000000009E-2"/>
    <n v="33.340000000000003"/>
    <n v="-0.05"/>
    <s v="India"/>
  </r>
  <r>
    <x v="10"/>
    <x v="2"/>
    <x v="69"/>
    <x v="3"/>
    <x v="5"/>
    <x v="3"/>
    <n v="0.12"/>
    <n v="0.03"/>
    <n v="0.02"/>
    <n v="7.13"/>
    <n v="2.13"/>
    <n v="1.34"/>
    <n v="-0.09"/>
    <n v="-5"/>
    <n v="-9.9999999999999985E-3"/>
    <s v="India"/>
  </r>
  <r>
    <x v="14"/>
    <x v="3"/>
    <x v="53"/>
    <x v="2"/>
    <x v="38"/>
    <x v="5"/>
    <n v="0.08"/>
    <n v="0.06"/>
    <n v="0.02"/>
    <n v="45.9"/>
    <n v="36.700000000000003"/>
    <n v="11.7"/>
    <n v="-2.0000000000000004E-2"/>
    <n v="-9.1999999999999957"/>
    <n v="-3.9999999999999994E-2"/>
    <s v="India"/>
  </r>
  <r>
    <x v="11"/>
    <x v="2"/>
    <x v="85"/>
    <x v="3"/>
    <x v="4"/>
    <x v="3"/>
    <n v="0.01"/>
    <n v="0.06"/>
    <n v="0.02"/>
    <n v="3.17"/>
    <n v="8.66"/>
    <n v="3.65"/>
    <n v="4.9999999999999996E-2"/>
    <n v="5.49"/>
    <n v="-3.9999999999999994E-2"/>
    <s v="India"/>
  </r>
  <r>
    <x v="1"/>
    <x v="0"/>
    <x v="24"/>
    <x v="3"/>
    <x v="16"/>
    <x v="0"/>
    <n v="0.01"/>
    <n v="0.04"/>
    <n v="0.02"/>
    <n v="5.0199999999999996"/>
    <n v="6.42"/>
    <n v="8.16"/>
    <n v="0.03"/>
    <n v="1.4000000000000004"/>
    <n v="-0.02"/>
    <s v="India"/>
  </r>
  <r>
    <x v="1"/>
    <x v="0"/>
    <x v="98"/>
    <x v="1"/>
    <x v="3"/>
    <x v="2"/>
    <n v="0.16"/>
    <n v="0.15"/>
    <n v="0.02"/>
    <n v="99.7"/>
    <n v="106.38"/>
    <n v="15.71"/>
    <n v="-1.0000000000000009E-2"/>
    <n v="6.6799999999999926"/>
    <n v="-0.13"/>
    <s v="India"/>
  </r>
  <r>
    <x v="9"/>
    <x v="1"/>
    <x v="27"/>
    <x v="1"/>
    <x v="39"/>
    <x v="7"/>
    <n v="0.02"/>
    <n v="0.08"/>
    <n v="0.02"/>
    <n v="5.1100000000000003"/>
    <n v="17"/>
    <n v="7"/>
    <n v="0.06"/>
    <n v="11.89"/>
    <n v="-0.06"/>
    <s v="India"/>
  </r>
  <r>
    <x v="0"/>
    <x v="0"/>
    <x v="17"/>
    <x v="0"/>
    <x v="22"/>
    <x v="6"/>
    <n v="0"/>
    <n v="0.02"/>
    <n v="0.02"/>
    <n v="0"/>
    <n v="2.5"/>
    <n v="2"/>
    <n v="0.02"/>
    <n v="2.5"/>
    <n v="0"/>
    <s v="India"/>
  </r>
  <r>
    <x v="21"/>
    <x v="5"/>
    <x v="150"/>
    <x v="2"/>
    <x v="10"/>
    <x v="3"/>
    <n v="0.05"/>
    <n v="0.03"/>
    <n v="0.02"/>
    <n v="39.42"/>
    <n v="34.32"/>
    <n v="31.36"/>
    <n v="-2.0000000000000004E-2"/>
    <n v="-5.1000000000000014"/>
    <n v="-9.9999999999999985E-3"/>
    <s v="India"/>
  </r>
  <r>
    <x v="1"/>
    <x v="0"/>
    <x v="162"/>
    <x v="3"/>
    <x v="4"/>
    <x v="3"/>
    <n v="0.05"/>
    <n v="0.03"/>
    <n v="0.02"/>
    <n v="4.3899999999999997"/>
    <n v="1.75"/>
    <n v="0.2"/>
    <n v="-2.0000000000000004E-2"/>
    <n v="-2.6399999999999997"/>
    <n v="-9.9999999999999985E-3"/>
    <s v="India"/>
  </r>
  <r>
    <x v="5"/>
    <x v="1"/>
    <x v="92"/>
    <x v="1"/>
    <x v="6"/>
    <x v="4"/>
    <n v="0.01"/>
    <n v="0.03"/>
    <n v="0.02"/>
    <n v="3.85"/>
    <n v="9.27"/>
    <n v="5.24"/>
    <n v="1.9999999999999997E-2"/>
    <n v="5.42"/>
    <n v="-9.9999999999999985E-3"/>
    <s v="India"/>
  </r>
  <r>
    <x v="14"/>
    <x v="3"/>
    <x v="156"/>
    <x v="2"/>
    <x v="8"/>
    <x v="3"/>
    <n v="0.01"/>
    <n v="0.03"/>
    <n v="0.02"/>
    <n v="6.13"/>
    <n v="17.97"/>
    <n v="0"/>
    <n v="1.9999999999999997E-2"/>
    <n v="11.84"/>
    <n v="-9.9999999999999985E-3"/>
    <s v="India"/>
  </r>
  <r>
    <x v="5"/>
    <x v="1"/>
    <x v="122"/>
    <x v="1"/>
    <x v="36"/>
    <x v="6"/>
    <n v="0.01"/>
    <n v="0.02"/>
    <n v="0.02"/>
    <n v="0.54"/>
    <n v="1.21"/>
    <n v="1.02"/>
    <n v="0.01"/>
    <n v="0.66999999999999993"/>
    <n v="0"/>
    <s v="India"/>
  </r>
  <r>
    <x v="0"/>
    <x v="0"/>
    <x v="36"/>
    <x v="1"/>
    <x v="24"/>
    <x v="4"/>
    <n v="0.02"/>
    <n v="0.03"/>
    <n v="0.02"/>
    <n v="21.2"/>
    <n v="16.29"/>
    <n v="8.5399999999999991"/>
    <n v="9.9999999999999985E-3"/>
    <n v="-4.91"/>
    <n v="-9.9999999999999985E-3"/>
    <s v="India"/>
  </r>
  <r>
    <x v="17"/>
    <x v="5"/>
    <x v="163"/>
    <x v="2"/>
    <x v="6"/>
    <x v="4"/>
    <n v="0"/>
    <n v="0.14000000000000001"/>
    <n v="0.02"/>
    <n v="0"/>
    <n v="497.02"/>
    <n v="61.2"/>
    <n v="0.14000000000000001"/>
    <n v="497.02"/>
    <n v="-0.12000000000000001"/>
    <s v="India"/>
  </r>
  <r>
    <x v="5"/>
    <x v="1"/>
    <x v="122"/>
    <x v="1"/>
    <x v="16"/>
    <x v="0"/>
    <n v="0"/>
    <n v="0"/>
    <n v="0.02"/>
    <n v="0"/>
    <n v="0"/>
    <n v="43"/>
    <n v="0"/>
    <n v="0"/>
    <n v="0.02"/>
    <s v="India"/>
  </r>
  <r>
    <x v="14"/>
    <x v="3"/>
    <x v="164"/>
    <x v="2"/>
    <x v="11"/>
    <x v="3"/>
    <n v="0"/>
    <n v="0.02"/>
    <n v="0.02"/>
    <n v="0.24"/>
    <n v="47.58"/>
    <n v="29.49"/>
    <n v="0.02"/>
    <n v="47.339999999999996"/>
    <n v="0"/>
    <s v="India"/>
  </r>
  <r>
    <x v="4"/>
    <x v="3"/>
    <x v="7"/>
    <x v="0"/>
    <x v="35"/>
    <x v="0"/>
    <n v="0.01"/>
    <n v="0"/>
    <n v="0.02"/>
    <n v="31.65"/>
    <n v="0"/>
    <n v="19.059999999999999"/>
    <n v="-0.01"/>
    <n v="-31.65"/>
    <n v="0.02"/>
    <s v="India"/>
  </r>
  <r>
    <x v="8"/>
    <x v="4"/>
    <x v="99"/>
    <x v="1"/>
    <x v="3"/>
    <x v="2"/>
    <n v="0"/>
    <n v="0"/>
    <n v="0.02"/>
    <n v="0"/>
    <n v="0"/>
    <n v="15.12"/>
    <n v="0"/>
    <n v="0"/>
    <n v="0.02"/>
    <s v="India"/>
  </r>
  <r>
    <x v="17"/>
    <x v="5"/>
    <x v="87"/>
    <x v="2"/>
    <x v="5"/>
    <x v="3"/>
    <n v="0.01"/>
    <n v="7.0000000000000007E-2"/>
    <n v="0.02"/>
    <n v="7.83"/>
    <n v="42.51"/>
    <n v="10.69"/>
    <n v="6.0000000000000005E-2"/>
    <n v="34.68"/>
    <n v="-0.05"/>
    <s v="India"/>
  </r>
  <r>
    <x v="4"/>
    <x v="3"/>
    <x v="7"/>
    <x v="0"/>
    <x v="6"/>
    <x v="4"/>
    <n v="0.08"/>
    <n v="0.32"/>
    <n v="0.02"/>
    <n v="172.06"/>
    <n v="400.52"/>
    <n v="1.02"/>
    <n v="0.24"/>
    <n v="228.45999999999998"/>
    <n v="-0.3"/>
    <s v="India"/>
  </r>
  <r>
    <x v="6"/>
    <x v="2"/>
    <x v="22"/>
    <x v="1"/>
    <x v="22"/>
    <x v="6"/>
    <n v="0"/>
    <n v="0"/>
    <n v="0.02"/>
    <n v="0.25"/>
    <n v="0.17"/>
    <n v="2.11"/>
    <n v="0"/>
    <n v="-7.9999999999999988E-2"/>
    <n v="0.02"/>
    <s v="India"/>
  </r>
  <r>
    <x v="11"/>
    <x v="2"/>
    <x v="94"/>
    <x v="3"/>
    <x v="8"/>
    <x v="3"/>
    <n v="0.04"/>
    <n v="0.03"/>
    <n v="0.02"/>
    <n v="9.5299999999999994"/>
    <n v="6.74"/>
    <n v="5.22"/>
    <n v="-1.0000000000000002E-2"/>
    <n v="-2.7899999999999991"/>
    <n v="-9.9999999999999985E-3"/>
    <s v="India"/>
  </r>
  <r>
    <x v="9"/>
    <x v="1"/>
    <x v="129"/>
    <x v="1"/>
    <x v="11"/>
    <x v="3"/>
    <n v="0.11"/>
    <n v="0.1"/>
    <n v="0.02"/>
    <n v="29.87"/>
    <n v="27.19"/>
    <n v="5.63"/>
    <n v="-9.999999999999995E-3"/>
    <n v="-2.6799999999999997"/>
    <n v="-0.08"/>
    <s v="India"/>
  </r>
  <r>
    <x v="1"/>
    <x v="0"/>
    <x v="66"/>
    <x v="1"/>
    <x v="3"/>
    <x v="2"/>
    <n v="0"/>
    <n v="0.01"/>
    <n v="0.02"/>
    <n v="0"/>
    <n v="10.3"/>
    <n v="12.37"/>
    <n v="0.01"/>
    <n v="10.3"/>
    <n v="0.01"/>
    <s v="India"/>
  </r>
  <r>
    <x v="21"/>
    <x v="5"/>
    <x v="150"/>
    <x v="2"/>
    <x v="37"/>
    <x v="3"/>
    <n v="0.01"/>
    <n v="0.01"/>
    <n v="0.02"/>
    <n v="4.95"/>
    <n v="25.81"/>
    <n v="24.99"/>
    <n v="0"/>
    <n v="20.86"/>
    <n v="0.01"/>
    <s v="India"/>
  </r>
  <r>
    <x v="14"/>
    <x v="3"/>
    <x v="53"/>
    <x v="2"/>
    <x v="40"/>
    <x v="6"/>
    <n v="0.16"/>
    <n v="0"/>
    <n v="0.02"/>
    <n v="158.54"/>
    <n v="1"/>
    <n v="2.92"/>
    <n v="-0.16"/>
    <n v="-157.54"/>
    <n v="0.02"/>
    <s v="India"/>
  </r>
  <r>
    <x v="9"/>
    <x v="1"/>
    <x v="129"/>
    <x v="1"/>
    <x v="3"/>
    <x v="2"/>
    <n v="0.04"/>
    <n v="0.04"/>
    <n v="0.02"/>
    <n v="28.45"/>
    <n v="20.6"/>
    <n v="7.25"/>
    <n v="0"/>
    <n v="-7.8499999999999979"/>
    <n v="-0.02"/>
    <s v="India"/>
  </r>
  <r>
    <x v="14"/>
    <x v="3"/>
    <x v="39"/>
    <x v="2"/>
    <x v="7"/>
    <x v="5"/>
    <n v="0.01"/>
    <n v="7.0000000000000007E-2"/>
    <n v="0.02"/>
    <n v="7.21"/>
    <n v="33.01"/>
    <n v="7.17"/>
    <n v="6.0000000000000005E-2"/>
    <n v="25.799999999999997"/>
    <n v="-0.05"/>
    <s v="India"/>
  </r>
  <r>
    <x v="0"/>
    <x v="0"/>
    <x v="0"/>
    <x v="0"/>
    <x v="27"/>
    <x v="7"/>
    <n v="0"/>
    <n v="0"/>
    <n v="0.02"/>
    <n v="0.01"/>
    <n v="0"/>
    <n v="1"/>
    <n v="0"/>
    <n v="-0.01"/>
    <n v="0.02"/>
    <s v="India"/>
  </r>
  <r>
    <x v="17"/>
    <x v="5"/>
    <x v="108"/>
    <x v="2"/>
    <x v="5"/>
    <x v="3"/>
    <n v="7.0000000000000007E-2"/>
    <n v="0.04"/>
    <n v="0.02"/>
    <n v="30.27"/>
    <n v="14.22"/>
    <n v="5.94"/>
    <n v="-3.0000000000000006E-2"/>
    <n v="-16.049999999999997"/>
    <n v="-0.02"/>
    <s v="India"/>
  </r>
  <r>
    <x v="8"/>
    <x v="4"/>
    <x v="41"/>
    <x v="1"/>
    <x v="8"/>
    <x v="3"/>
    <n v="0.02"/>
    <n v="0"/>
    <n v="0.02"/>
    <n v="12.07"/>
    <n v="0.78"/>
    <n v="5.09"/>
    <n v="-0.02"/>
    <n v="-11.290000000000001"/>
    <n v="0.02"/>
    <s v="India"/>
  </r>
  <r>
    <x v="2"/>
    <x v="1"/>
    <x v="107"/>
    <x v="2"/>
    <x v="26"/>
    <x v="0"/>
    <n v="0"/>
    <n v="0"/>
    <n v="0.02"/>
    <n v="0"/>
    <n v="0"/>
    <n v="58.73"/>
    <n v="0"/>
    <n v="0"/>
    <n v="0.02"/>
    <s v="India"/>
  </r>
  <r>
    <x v="0"/>
    <x v="0"/>
    <x v="0"/>
    <x v="0"/>
    <x v="36"/>
    <x v="6"/>
    <n v="0.12"/>
    <n v="0.06"/>
    <n v="0.02"/>
    <n v="14.25"/>
    <n v="10.050000000000001"/>
    <n v="1.67"/>
    <n v="-0.06"/>
    <n v="-4.1999999999999993"/>
    <n v="-3.9999999999999994E-2"/>
    <s v="India"/>
  </r>
  <r>
    <x v="2"/>
    <x v="1"/>
    <x v="70"/>
    <x v="1"/>
    <x v="8"/>
    <x v="3"/>
    <n v="0.08"/>
    <n v="0.17"/>
    <n v="0.02"/>
    <n v="17.82"/>
    <n v="46.52"/>
    <n v="6.54"/>
    <n v="9.0000000000000011E-2"/>
    <n v="28.700000000000003"/>
    <n v="-0.15000000000000002"/>
    <s v="India"/>
  </r>
  <r>
    <x v="1"/>
    <x v="0"/>
    <x v="18"/>
    <x v="1"/>
    <x v="24"/>
    <x v="4"/>
    <n v="0"/>
    <n v="0"/>
    <n v="0.02"/>
    <n v="0"/>
    <n v="0.27"/>
    <n v="7.58"/>
    <n v="0"/>
    <n v="0.27"/>
    <n v="0.02"/>
    <s v="India"/>
  </r>
  <r>
    <x v="6"/>
    <x v="2"/>
    <x v="49"/>
    <x v="0"/>
    <x v="38"/>
    <x v="5"/>
    <n v="0.05"/>
    <n v="0.04"/>
    <n v="0.02"/>
    <n v="5.92"/>
    <n v="4.3899999999999997"/>
    <n v="1.69"/>
    <n v="-1.0000000000000002E-2"/>
    <n v="-1.5300000000000002"/>
    <n v="-0.02"/>
    <s v="India"/>
  </r>
  <r>
    <x v="0"/>
    <x v="0"/>
    <x v="0"/>
    <x v="0"/>
    <x v="31"/>
    <x v="1"/>
    <n v="0"/>
    <n v="0"/>
    <n v="0.01"/>
    <n v="0"/>
    <n v="0"/>
    <n v="4.0199999999999996"/>
    <n v="0"/>
    <n v="0"/>
    <n v="0.01"/>
    <s v="India"/>
  </r>
  <r>
    <x v="17"/>
    <x v="5"/>
    <x v="87"/>
    <x v="2"/>
    <x v="21"/>
    <x v="4"/>
    <n v="0.01"/>
    <n v="0.04"/>
    <n v="0.01"/>
    <n v="3.26"/>
    <n v="35.01"/>
    <n v="12.87"/>
    <n v="0.03"/>
    <n v="31.75"/>
    <n v="-0.03"/>
    <s v="India"/>
  </r>
  <r>
    <x v="1"/>
    <x v="0"/>
    <x v="66"/>
    <x v="1"/>
    <x v="20"/>
    <x v="3"/>
    <n v="0"/>
    <n v="0"/>
    <n v="0.01"/>
    <n v="0"/>
    <n v="0"/>
    <n v="28.8"/>
    <n v="0"/>
    <n v="0"/>
    <n v="0.01"/>
    <s v="India"/>
  </r>
  <r>
    <x v="1"/>
    <x v="0"/>
    <x v="31"/>
    <x v="1"/>
    <x v="10"/>
    <x v="3"/>
    <n v="0.02"/>
    <n v="0.02"/>
    <n v="0.01"/>
    <n v="11.61"/>
    <n v="9.35"/>
    <n v="7.02"/>
    <n v="0"/>
    <n v="-2.2599999999999998"/>
    <n v="-0.01"/>
    <s v="India"/>
  </r>
  <r>
    <x v="21"/>
    <x v="5"/>
    <x v="154"/>
    <x v="2"/>
    <x v="8"/>
    <x v="3"/>
    <n v="0.06"/>
    <n v="0.1"/>
    <n v="0.01"/>
    <n v="11.13"/>
    <n v="31.27"/>
    <n v="4.7"/>
    <n v="4.0000000000000008E-2"/>
    <n v="20.14"/>
    <n v="-9.0000000000000011E-2"/>
    <s v="India"/>
  </r>
  <r>
    <x v="6"/>
    <x v="2"/>
    <x v="55"/>
    <x v="0"/>
    <x v="14"/>
    <x v="3"/>
    <n v="0.3"/>
    <n v="0.04"/>
    <n v="0.01"/>
    <n v="407.12"/>
    <n v="42.35"/>
    <n v="18.559999999999999"/>
    <n v="-0.26"/>
    <n v="-364.77"/>
    <n v="-0.03"/>
    <s v="India"/>
  </r>
  <r>
    <x v="11"/>
    <x v="2"/>
    <x v="29"/>
    <x v="0"/>
    <x v="42"/>
    <x v="1"/>
    <n v="0.08"/>
    <n v="0"/>
    <n v="0.01"/>
    <n v="2.75"/>
    <n v="0"/>
    <n v="4.08"/>
    <n v="-0.08"/>
    <n v="-2.75"/>
    <n v="0.01"/>
    <s v="India"/>
  </r>
  <r>
    <x v="6"/>
    <x v="2"/>
    <x v="49"/>
    <x v="0"/>
    <x v="14"/>
    <x v="3"/>
    <n v="0"/>
    <n v="0.01"/>
    <n v="0.01"/>
    <n v="0"/>
    <n v="17.399999999999999"/>
    <n v="23.4"/>
    <n v="0.01"/>
    <n v="17.399999999999999"/>
    <n v="0"/>
    <s v="India"/>
  </r>
  <r>
    <x v="7"/>
    <x v="1"/>
    <x v="151"/>
    <x v="1"/>
    <x v="6"/>
    <x v="4"/>
    <n v="0"/>
    <n v="0"/>
    <n v="0.01"/>
    <n v="0"/>
    <n v="0"/>
    <n v="8.16"/>
    <n v="0"/>
    <n v="0"/>
    <n v="0.01"/>
    <s v="India"/>
  </r>
  <r>
    <x v="9"/>
    <x v="1"/>
    <x v="44"/>
    <x v="1"/>
    <x v="5"/>
    <x v="3"/>
    <n v="0"/>
    <n v="0"/>
    <n v="0.01"/>
    <n v="0"/>
    <n v="0.2"/>
    <n v="8.3000000000000007"/>
    <n v="0"/>
    <n v="0.2"/>
    <n v="0.01"/>
    <s v="India"/>
  </r>
  <r>
    <x v="17"/>
    <x v="5"/>
    <x v="87"/>
    <x v="2"/>
    <x v="19"/>
    <x v="4"/>
    <n v="0"/>
    <n v="0.03"/>
    <n v="0.01"/>
    <n v="1.76"/>
    <n v="39.44"/>
    <n v="23.42"/>
    <n v="0.03"/>
    <n v="37.68"/>
    <n v="-1.9999999999999997E-2"/>
    <s v="India"/>
  </r>
  <r>
    <x v="4"/>
    <x v="3"/>
    <x v="7"/>
    <x v="0"/>
    <x v="22"/>
    <x v="6"/>
    <n v="0"/>
    <n v="0.01"/>
    <n v="0.01"/>
    <n v="0.3"/>
    <n v="0.65"/>
    <n v="1.29"/>
    <n v="0.01"/>
    <n v="0.35000000000000003"/>
    <n v="0"/>
    <s v="India"/>
  </r>
  <r>
    <x v="2"/>
    <x v="1"/>
    <x v="14"/>
    <x v="1"/>
    <x v="6"/>
    <x v="4"/>
    <n v="0.05"/>
    <n v="0.05"/>
    <n v="0.01"/>
    <n v="9.26"/>
    <n v="10.220000000000001"/>
    <n v="4.46"/>
    <n v="0"/>
    <n v="0.96000000000000085"/>
    <n v="-0.04"/>
    <s v="India"/>
  </r>
  <r>
    <x v="4"/>
    <x v="3"/>
    <x v="63"/>
    <x v="2"/>
    <x v="36"/>
    <x v="6"/>
    <n v="0"/>
    <n v="0.02"/>
    <n v="0.01"/>
    <n v="0.63"/>
    <n v="8.6999999999999993"/>
    <n v="3.57"/>
    <n v="0.02"/>
    <n v="8.0699999999999985"/>
    <n v="-0.01"/>
    <s v="India"/>
  </r>
  <r>
    <x v="13"/>
    <x v="1"/>
    <x v="128"/>
    <x v="1"/>
    <x v="11"/>
    <x v="3"/>
    <n v="0.04"/>
    <n v="0.08"/>
    <n v="0.01"/>
    <n v="12.45"/>
    <n v="21.68"/>
    <n v="3.57"/>
    <n v="0.04"/>
    <n v="9.23"/>
    <n v="-7.0000000000000007E-2"/>
    <s v="India"/>
  </r>
  <r>
    <x v="7"/>
    <x v="1"/>
    <x v="58"/>
    <x v="1"/>
    <x v="32"/>
    <x v="0"/>
    <n v="0.01"/>
    <n v="0.02"/>
    <n v="0.01"/>
    <n v="6.55"/>
    <n v="10.3"/>
    <n v="5.99"/>
    <n v="0.01"/>
    <n v="3.7500000000000009"/>
    <n v="-0.01"/>
    <s v="India"/>
  </r>
  <r>
    <x v="6"/>
    <x v="2"/>
    <x v="140"/>
    <x v="1"/>
    <x v="3"/>
    <x v="2"/>
    <n v="0.01"/>
    <n v="0.08"/>
    <n v="0.01"/>
    <n v="6.73"/>
    <n v="52.73"/>
    <n v="8.41"/>
    <n v="7.0000000000000007E-2"/>
    <n v="46"/>
    <n v="-7.0000000000000007E-2"/>
    <s v="India"/>
  </r>
  <r>
    <x v="2"/>
    <x v="1"/>
    <x v="14"/>
    <x v="1"/>
    <x v="35"/>
    <x v="0"/>
    <n v="0.02"/>
    <n v="0.04"/>
    <n v="0.01"/>
    <n v="12.9"/>
    <n v="21.08"/>
    <n v="10.8"/>
    <n v="0.02"/>
    <n v="8.1799999999999979"/>
    <n v="-0.03"/>
    <s v="India"/>
  </r>
  <r>
    <x v="0"/>
    <x v="0"/>
    <x v="0"/>
    <x v="0"/>
    <x v="14"/>
    <x v="3"/>
    <n v="0.45"/>
    <n v="0.27"/>
    <n v="0.01"/>
    <n v="214.17"/>
    <n v="154.22999999999999"/>
    <n v="9.9"/>
    <n v="-0.18"/>
    <n v="-59.94"/>
    <n v="-0.26"/>
    <s v="India"/>
  </r>
  <r>
    <x v="13"/>
    <x v="1"/>
    <x v="48"/>
    <x v="1"/>
    <x v="35"/>
    <x v="0"/>
    <n v="0.04"/>
    <n v="0.08"/>
    <n v="0.01"/>
    <n v="52.24"/>
    <n v="118.11"/>
    <n v="20.11"/>
    <n v="0.04"/>
    <n v="65.87"/>
    <n v="-7.0000000000000007E-2"/>
    <s v="India"/>
  </r>
  <r>
    <x v="6"/>
    <x v="2"/>
    <x v="140"/>
    <x v="1"/>
    <x v="13"/>
    <x v="3"/>
    <n v="0"/>
    <n v="0.02"/>
    <n v="0.01"/>
    <n v="0"/>
    <n v="4.8600000000000003"/>
    <n v="4.09"/>
    <n v="0.02"/>
    <n v="4.8600000000000003"/>
    <n v="-0.01"/>
    <s v="India"/>
  </r>
  <r>
    <x v="12"/>
    <x v="2"/>
    <x v="37"/>
    <x v="0"/>
    <x v="35"/>
    <x v="0"/>
    <n v="0.08"/>
    <n v="0.08"/>
    <n v="0.01"/>
    <n v="157.38"/>
    <n v="138.38"/>
    <n v="26.28"/>
    <n v="0"/>
    <n v="-19"/>
    <n v="-7.0000000000000007E-2"/>
    <s v="India"/>
  </r>
  <r>
    <x v="13"/>
    <x v="1"/>
    <x v="33"/>
    <x v="3"/>
    <x v="2"/>
    <x v="0"/>
    <n v="0.02"/>
    <n v="0.03"/>
    <n v="0.01"/>
    <n v="23.99"/>
    <n v="42.27"/>
    <n v="13.02"/>
    <n v="9.9999999999999985E-3"/>
    <n v="18.280000000000005"/>
    <n v="-1.9999999999999997E-2"/>
    <s v="India"/>
  </r>
  <r>
    <x v="14"/>
    <x v="3"/>
    <x v="106"/>
    <x v="2"/>
    <x v="6"/>
    <x v="4"/>
    <n v="0.21"/>
    <n v="7.0000000000000007E-2"/>
    <n v="0.01"/>
    <n v="464.09"/>
    <n v="170.29"/>
    <n v="65.930000000000007"/>
    <n v="-0.13999999999999999"/>
    <n v="-293.79999999999995"/>
    <n v="-6.0000000000000005E-2"/>
    <s v="India"/>
  </r>
  <r>
    <x v="12"/>
    <x v="2"/>
    <x v="30"/>
    <x v="1"/>
    <x v="13"/>
    <x v="3"/>
    <n v="0.14000000000000001"/>
    <n v="0.09"/>
    <n v="0.01"/>
    <n v="42.59"/>
    <n v="7.54"/>
    <n v="1.39"/>
    <n v="-5.0000000000000017E-2"/>
    <n v="-35.050000000000004"/>
    <n v="-0.08"/>
    <s v="India"/>
  </r>
  <r>
    <x v="11"/>
    <x v="2"/>
    <x v="64"/>
    <x v="3"/>
    <x v="12"/>
    <x v="4"/>
    <n v="0.04"/>
    <n v="0"/>
    <n v="0.01"/>
    <n v="26.68"/>
    <n v="2.2000000000000002"/>
    <n v="18.41"/>
    <n v="-0.04"/>
    <n v="-24.48"/>
    <n v="0.01"/>
    <s v="India"/>
  </r>
  <r>
    <x v="14"/>
    <x v="3"/>
    <x v="110"/>
    <x v="2"/>
    <x v="8"/>
    <x v="3"/>
    <n v="0.11"/>
    <n v="0.04"/>
    <n v="0.01"/>
    <n v="112.28"/>
    <n v="47.97"/>
    <n v="15.46"/>
    <n v="-7.0000000000000007E-2"/>
    <n v="-64.31"/>
    <n v="-0.03"/>
    <s v="India"/>
  </r>
  <r>
    <x v="0"/>
    <x v="0"/>
    <x v="17"/>
    <x v="0"/>
    <x v="18"/>
    <x v="7"/>
    <n v="0.01"/>
    <n v="0.08"/>
    <n v="0.01"/>
    <n v="1.21"/>
    <n v="19.399999999999999"/>
    <n v="2.4"/>
    <n v="7.0000000000000007E-2"/>
    <n v="18.189999999999998"/>
    <n v="-7.0000000000000007E-2"/>
    <s v="India"/>
  </r>
  <r>
    <x v="2"/>
    <x v="1"/>
    <x v="68"/>
    <x v="1"/>
    <x v="16"/>
    <x v="0"/>
    <n v="0.03"/>
    <n v="0.06"/>
    <n v="0.01"/>
    <n v="19.39"/>
    <n v="36.590000000000003"/>
    <n v="9.81"/>
    <n v="0.03"/>
    <n v="17.200000000000003"/>
    <n v="-4.9999999999999996E-2"/>
    <s v="India"/>
  </r>
  <r>
    <x v="2"/>
    <x v="1"/>
    <x v="14"/>
    <x v="1"/>
    <x v="37"/>
    <x v="3"/>
    <n v="0.01"/>
    <n v="0"/>
    <n v="0.01"/>
    <n v="4.33"/>
    <n v="1.71"/>
    <n v="6.38"/>
    <n v="-0.01"/>
    <n v="-2.62"/>
    <n v="0.01"/>
    <s v="India"/>
  </r>
  <r>
    <x v="5"/>
    <x v="1"/>
    <x v="9"/>
    <x v="1"/>
    <x v="3"/>
    <x v="2"/>
    <n v="0.74"/>
    <n v="0.2"/>
    <n v="0.01"/>
    <n v="632.45000000000005"/>
    <n v="148.32"/>
    <n v="12.04"/>
    <n v="-0.54"/>
    <n v="-484.13000000000005"/>
    <n v="-0.19"/>
    <s v="India"/>
  </r>
  <r>
    <x v="8"/>
    <x v="4"/>
    <x v="144"/>
    <x v="4"/>
    <x v="10"/>
    <x v="3"/>
    <n v="0.09"/>
    <n v="0.03"/>
    <n v="0.01"/>
    <n v="1.35"/>
    <n v="1.66"/>
    <n v="2.35"/>
    <n v="-0.06"/>
    <n v="0.30999999999999983"/>
    <n v="-1.9999999999999997E-2"/>
    <s v="India"/>
  </r>
  <r>
    <x v="18"/>
    <x v="0"/>
    <x v="165"/>
    <x v="3"/>
    <x v="6"/>
    <x v="4"/>
    <n v="0.11"/>
    <n v="0.23"/>
    <n v="0.01"/>
    <n v="58.52"/>
    <n v="112.16"/>
    <n v="6.89"/>
    <n v="0.12000000000000001"/>
    <n v="53.639999999999993"/>
    <n v="-0.22"/>
    <s v="India"/>
  </r>
  <r>
    <x v="14"/>
    <x v="3"/>
    <x v="39"/>
    <x v="2"/>
    <x v="38"/>
    <x v="5"/>
    <n v="0.02"/>
    <n v="0.05"/>
    <n v="0.01"/>
    <n v="36.69"/>
    <n v="94.42"/>
    <n v="31.76"/>
    <n v="3.0000000000000002E-2"/>
    <n v="57.730000000000004"/>
    <n v="-0.04"/>
    <s v="India"/>
  </r>
  <r>
    <x v="6"/>
    <x v="2"/>
    <x v="159"/>
    <x v="3"/>
    <x v="11"/>
    <x v="3"/>
    <n v="0.01"/>
    <n v="0.05"/>
    <n v="0.01"/>
    <n v="4.1500000000000004"/>
    <n v="43.45"/>
    <n v="17.77"/>
    <n v="0.04"/>
    <n v="39.300000000000004"/>
    <n v="-0.04"/>
    <s v="India"/>
  </r>
  <r>
    <x v="4"/>
    <x v="3"/>
    <x v="63"/>
    <x v="2"/>
    <x v="32"/>
    <x v="0"/>
    <n v="0.01"/>
    <n v="0.03"/>
    <n v="0.01"/>
    <n v="21.42"/>
    <n v="35.119999999999997"/>
    <n v="16.77"/>
    <n v="1.9999999999999997E-2"/>
    <n v="13.699999999999996"/>
    <n v="-1.9999999999999997E-2"/>
    <s v="India"/>
  </r>
  <r>
    <x v="0"/>
    <x v="0"/>
    <x v="51"/>
    <x v="4"/>
    <x v="38"/>
    <x v="5"/>
    <n v="0.01"/>
    <n v="0.05"/>
    <n v="0.01"/>
    <n v="1.04"/>
    <n v="8.34"/>
    <n v="1.8"/>
    <n v="0.04"/>
    <n v="7.3"/>
    <n v="-0.04"/>
    <s v="India"/>
  </r>
  <r>
    <x v="11"/>
    <x v="2"/>
    <x v="94"/>
    <x v="3"/>
    <x v="4"/>
    <x v="3"/>
    <n v="0.01"/>
    <n v="0.02"/>
    <n v="0.01"/>
    <n v="2.5299999999999998"/>
    <n v="6.31"/>
    <n v="2.98"/>
    <n v="0.01"/>
    <n v="3.78"/>
    <n v="-0.01"/>
    <s v="India"/>
  </r>
  <r>
    <x v="2"/>
    <x v="1"/>
    <x v="6"/>
    <x v="1"/>
    <x v="9"/>
    <x v="6"/>
    <n v="0.03"/>
    <n v="0.02"/>
    <n v="0.01"/>
    <n v="12.5"/>
    <n v="6.61"/>
    <n v="4.72"/>
    <n v="-9.9999999999999985E-3"/>
    <n v="-5.89"/>
    <n v="-0.01"/>
    <s v="India"/>
  </r>
  <r>
    <x v="0"/>
    <x v="0"/>
    <x v="17"/>
    <x v="0"/>
    <x v="12"/>
    <x v="4"/>
    <n v="0.44"/>
    <n v="0.2"/>
    <n v="0.01"/>
    <n v="1408.58"/>
    <n v="581.95000000000005"/>
    <n v="58.5"/>
    <n v="-0.24"/>
    <n v="-826.62999999999988"/>
    <n v="-0.19"/>
    <s v="India"/>
  </r>
  <r>
    <x v="12"/>
    <x v="2"/>
    <x v="30"/>
    <x v="1"/>
    <x v="36"/>
    <x v="6"/>
    <n v="0"/>
    <n v="0.01"/>
    <n v="0.01"/>
    <n v="0"/>
    <n v="1.94"/>
    <n v="1.53"/>
    <n v="0.01"/>
    <n v="1.94"/>
    <n v="0"/>
    <s v="India"/>
  </r>
  <r>
    <x v="0"/>
    <x v="0"/>
    <x v="54"/>
    <x v="1"/>
    <x v="41"/>
    <x v="6"/>
    <n v="0"/>
    <n v="0.01"/>
    <n v="0.01"/>
    <n v="0"/>
    <n v="0.56000000000000005"/>
    <n v="1.02"/>
    <n v="0.01"/>
    <n v="0.56000000000000005"/>
    <n v="0"/>
    <s v="India"/>
  </r>
  <r>
    <x v="1"/>
    <x v="0"/>
    <x v="24"/>
    <x v="3"/>
    <x v="36"/>
    <x v="6"/>
    <n v="0.21"/>
    <n v="0.1"/>
    <n v="0.01"/>
    <n v="8.39"/>
    <n v="5.79"/>
    <n v="0.61"/>
    <n v="-0.10999999999999999"/>
    <n v="-2.6000000000000005"/>
    <n v="-9.0000000000000011E-2"/>
    <s v="India"/>
  </r>
  <r>
    <x v="1"/>
    <x v="0"/>
    <x v="75"/>
    <x v="1"/>
    <x v="0"/>
    <x v="0"/>
    <n v="0"/>
    <n v="0"/>
    <n v="0.01"/>
    <n v="0"/>
    <n v="0"/>
    <n v="9.25"/>
    <n v="0"/>
    <n v="0"/>
    <n v="0.01"/>
    <s v="India"/>
  </r>
  <r>
    <x v="1"/>
    <x v="0"/>
    <x v="24"/>
    <x v="3"/>
    <x v="39"/>
    <x v="7"/>
    <n v="0.08"/>
    <n v="0.06"/>
    <n v="0.01"/>
    <n v="1.83"/>
    <n v="3"/>
    <n v="0.71"/>
    <n v="-2.0000000000000004E-2"/>
    <n v="1.17"/>
    <n v="-4.9999999999999996E-2"/>
    <s v="India"/>
  </r>
  <r>
    <x v="5"/>
    <x v="1"/>
    <x v="92"/>
    <x v="1"/>
    <x v="35"/>
    <x v="0"/>
    <n v="0.01"/>
    <n v="0.01"/>
    <n v="0.01"/>
    <n v="20.64"/>
    <n v="5.57"/>
    <n v="13.52"/>
    <n v="0"/>
    <n v="-15.07"/>
    <n v="0"/>
    <s v="India"/>
  </r>
  <r>
    <x v="14"/>
    <x v="3"/>
    <x v="39"/>
    <x v="2"/>
    <x v="36"/>
    <x v="6"/>
    <n v="0.04"/>
    <n v="0.02"/>
    <n v="0.01"/>
    <n v="18.350000000000001"/>
    <n v="3.26"/>
    <n v="2.92"/>
    <n v="-0.02"/>
    <n v="-15.090000000000002"/>
    <n v="-0.01"/>
    <s v="India"/>
  </r>
  <r>
    <x v="1"/>
    <x v="0"/>
    <x v="24"/>
    <x v="3"/>
    <x v="33"/>
    <x v="7"/>
    <n v="0"/>
    <n v="0"/>
    <n v="0.01"/>
    <n v="0.04"/>
    <n v="0"/>
    <n v="1"/>
    <n v="0"/>
    <n v="-0.04"/>
    <n v="0.01"/>
    <s v="India"/>
  </r>
  <r>
    <x v="0"/>
    <x v="0"/>
    <x v="36"/>
    <x v="1"/>
    <x v="40"/>
    <x v="6"/>
    <n v="0.04"/>
    <n v="0.01"/>
    <n v="0.01"/>
    <n v="3.72"/>
    <n v="1.1299999999999999"/>
    <n v="0.99"/>
    <n v="-0.03"/>
    <n v="-2.5900000000000003"/>
    <n v="0"/>
    <s v="India"/>
  </r>
  <r>
    <x v="4"/>
    <x v="3"/>
    <x v="73"/>
    <x v="2"/>
    <x v="16"/>
    <x v="0"/>
    <n v="0"/>
    <n v="0"/>
    <n v="0.01"/>
    <n v="0.32"/>
    <n v="0"/>
    <n v="30"/>
    <n v="0"/>
    <n v="-0.32"/>
    <n v="0.01"/>
    <s v="India"/>
  </r>
  <r>
    <x v="9"/>
    <x v="1"/>
    <x v="26"/>
    <x v="1"/>
    <x v="11"/>
    <x v="3"/>
    <n v="0.05"/>
    <n v="0.01"/>
    <n v="0.01"/>
    <n v="31.92"/>
    <n v="5.46"/>
    <n v="2.23"/>
    <n v="-0.04"/>
    <n v="-26.46"/>
    <n v="0"/>
    <s v="India"/>
  </r>
  <r>
    <x v="19"/>
    <x v="1"/>
    <x v="146"/>
    <x v="2"/>
    <x v="6"/>
    <x v="4"/>
    <n v="0.23"/>
    <n v="0.32"/>
    <n v="0.01"/>
    <n v="496.26"/>
    <n v="643.26"/>
    <n v="46.84"/>
    <n v="0.09"/>
    <n v="147"/>
    <n v="-0.31"/>
    <s v="India"/>
  </r>
  <r>
    <x v="5"/>
    <x v="1"/>
    <x v="15"/>
    <x v="1"/>
    <x v="16"/>
    <x v="0"/>
    <n v="0.01"/>
    <n v="0"/>
    <n v="0.01"/>
    <n v="14.31"/>
    <n v="0.06"/>
    <n v="23.65"/>
    <n v="-0.01"/>
    <n v="-14.25"/>
    <n v="0.01"/>
    <s v="India"/>
  </r>
  <r>
    <x v="12"/>
    <x v="2"/>
    <x v="30"/>
    <x v="1"/>
    <x v="0"/>
    <x v="0"/>
    <n v="0.18"/>
    <n v="0.27"/>
    <n v="0.01"/>
    <n v="148.07"/>
    <n v="225.1"/>
    <n v="8.9700000000000006"/>
    <n v="9.0000000000000024E-2"/>
    <n v="77.03"/>
    <n v="-0.26"/>
    <s v="India"/>
  </r>
  <r>
    <x v="19"/>
    <x v="1"/>
    <x v="114"/>
    <x v="1"/>
    <x v="5"/>
    <x v="3"/>
    <n v="0.05"/>
    <n v="0.04"/>
    <n v="0.01"/>
    <n v="29.01"/>
    <n v="39.979999999999997"/>
    <n v="14.97"/>
    <n v="-1.0000000000000002E-2"/>
    <n v="10.969999999999995"/>
    <n v="-0.03"/>
    <s v="India"/>
  </r>
  <r>
    <x v="4"/>
    <x v="3"/>
    <x v="135"/>
    <x v="2"/>
    <x v="12"/>
    <x v="4"/>
    <n v="0.02"/>
    <n v="0.03"/>
    <n v="0.01"/>
    <n v="54.57"/>
    <n v="109.06"/>
    <n v="44.19"/>
    <n v="9.9999999999999985E-3"/>
    <n v="54.49"/>
    <n v="-1.9999999999999997E-2"/>
    <s v="India"/>
  </r>
  <r>
    <x v="21"/>
    <x v="5"/>
    <x v="150"/>
    <x v="2"/>
    <x v="4"/>
    <x v="3"/>
    <n v="0.44"/>
    <n v="0.06"/>
    <n v="0.01"/>
    <n v="132.97999999999999"/>
    <n v="75.67"/>
    <n v="14.71"/>
    <n v="-0.38"/>
    <n v="-57.309999999999988"/>
    <n v="-4.9999999999999996E-2"/>
    <s v="India"/>
  </r>
  <r>
    <x v="12"/>
    <x v="2"/>
    <x v="37"/>
    <x v="0"/>
    <x v="10"/>
    <x v="3"/>
    <n v="0.92"/>
    <n v="0.11"/>
    <n v="0.01"/>
    <n v="1598.13"/>
    <n v="174.19"/>
    <n v="4.1399999999999997"/>
    <n v="-0.81"/>
    <n v="-1423.94"/>
    <n v="-0.1"/>
    <s v="India"/>
  </r>
  <r>
    <x v="16"/>
    <x v="3"/>
    <x v="77"/>
    <x v="2"/>
    <x v="38"/>
    <x v="5"/>
    <n v="0.06"/>
    <n v="0.04"/>
    <n v="0.01"/>
    <n v="14.88"/>
    <n v="14.92"/>
    <n v="3.4"/>
    <n v="-1.9999999999999997E-2"/>
    <n v="3.9999999999999147E-2"/>
    <n v="-0.03"/>
    <s v="India"/>
  </r>
  <r>
    <x v="2"/>
    <x v="1"/>
    <x v="13"/>
    <x v="2"/>
    <x v="13"/>
    <x v="3"/>
    <n v="0"/>
    <n v="0.1"/>
    <n v="0.01"/>
    <n v="0"/>
    <n v="49.95"/>
    <n v="12.79"/>
    <n v="0.1"/>
    <n v="49.95"/>
    <n v="-9.0000000000000011E-2"/>
    <s v="India"/>
  </r>
  <r>
    <x v="1"/>
    <x v="0"/>
    <x v="66"/>
    <x v="1"/>
    <x v="10"/>
    <x v="3"/>
    <n v="0"/>
    <n v="0.02"/>
    <n v="0.01"/>
    <n v="0"/>
    <n v="16.87"/>
    <n v="8.48"/>
    <n v="0.02"/>
    <n v="16.87"/>
    <n v="-0.01"/>
    <s v="India"/>
  </r>
  <r>
    <x v="4"/>
    <x v="3"/>
    <x v="166"/>
    <x v="2"/>
    <x v="15"/>
    <x v="0"/>
    <n v="0.02"/>
    <n v="0.03"/>
    <n v="0.01"/>
    <n v="37.31"/>
    <n v="52.87"/>
    <n v="21.56"/>
    <n v="9.9999999999999985E-3"/>
    <n v="15.559999999999995"/>
    <n v="-1.9999999999999997E-2"/>
    <s v="India"/>
  </r>
  <r>
    <x v="0"/>
    <x v="0"/>
    <x v="36"/>
    <x v="1"/>
    <x v="30"/>
    <x v="5"/>
    <n v="0.26"/>
    <n v="0.01"/>
    <n v="0.01"/>
    <n v="88.53"/>
    <n v="0.97"/>
    <n v="1.04"/>
    <n v="-0.25"/>
    <n v="-87.56"/>
    <n v="0"/>
    <s v="India"/>
  </r>
  <r>
    <x v="14"/>
    <x v="3"/>
    <x v="53"/>
    <x v="2"/>
    <x v="32"/>
    <x v="0"/>
    <n v="0.04"/>
    <n v="0.05"/>
    <n v="0.01"/>
    <n v="152.46"/>
    <n v="171.29"/>
    <n v="29.4"/>
    <n v="1.0000000000000002E-2"/>
    <n v="18.829999999999984"/>
    <n v="-0.04"/>
    <s v="India"/>
  </r>
  <r>
    <x v="4"/>
    <x v="3"/>
    <x v="7"/>
    <x v="0"/>
    <x v="24"/>
    <x v="4"/>
    <n v="0.02"/>
    <n v="0.01"/>
    <n v="0.01"/>
    <n v="66.180000000000007"/>
    <n v="12.56"/>
    <n v="59"/>
    <n v="-0.01"/>
    <n v="-53.620000000000005"/>
    <n v="0"/>
    <s v="India"/>
  </r>
  <r>
    <x v="9"/>
    <x v="1"/>
    <x v="129"/>
    <x v="1"/>
    <x v="6"/>
    <x v="4"/>
    <n v="0.06"/>
    <n v="0"/>
    <n v="0.01"/>
    <n v="7.14"/>
    <n v="7.0000000000000007E-2"/>
    <n v="0.56000000000000005"/>
    <n v="-0.06"/>
    <n v="-7.0699999999999994"/>
    <n v="0.01"/>
    <s v="India"/>
  </r>
  <r>
    <x v="1"/>
    <x v="0"/>
    <x v="75"/>
    <x v="1"/>
    <x v="12"/>
    <x v="4"/>
    <n v="0"/>
    <n v="0.8"/>
    <n v="0.01"/>
    <n v="0"/>
    <n v="2999.73"/>
    <n v="29.5"/>
    <n v="0.8"/>
    <n v="2999.73"/>
    <n v="-0.79"/>
    <s v="India"/>
  </r>
  <r>
    <x v="9"/>
    <x v="1"/>
    <x v="44"/>
    <x v="1"/>
    <x v="11"/>
    <x v="3"/>
    <n v="0"/>
    <n v="0"/>
    <n v="0.01"/>
    <n v="0"/>
    <n v="0.13"/>
    <n v="3.84"/>
    <n v="0"/>
    <n v="0.13"/>
    <n v="0.01"/>
    <s v="India"/>
  </r>
  <r>
    <x v="11"/>
    <x v="2"/>
    <x v="167"/>
    <x v="4"/>
    <x v="38"/>
    <x v="5"/>
    <n v="0"/>
    <n v="0"/>
    <n v="0.01"/>
    <n v="0"/>
    <n v="0"/>
    <n v="5"/>
    <n v="0"/>
    <n v="0"/>
    <n v="0.01"/>
    <s v="India"/>
  </r>
  <r>
    <x v="23"/>
    <x v="2"/>
    <x v="168"/>
    <x v="1"/>
    <x v="8"/>
    <x v="3"/>
    <n v="0.01"/>
    <n v="0.06"/>
    <n v="0.01"/>
    <n v="8.0299999999999994"/>
    <n v="23.55"/>
    <n v="4.63"/>
    <n v="4.9999999999999996E-2"/>
    <n v="15.520000000000001"/>
    <n v="-4.9999999999999996E-2"/>
    <s v="India"/>
  </r>
  <r>
    <x v="1"/>
    <x v="0"/>
    <x v="52"/>
    <x v="1"/>
    <x v="18"/>
    <x v="7"/>
    <n v="0.03"/>
    <n v="0"/>
    <n v="0.01"/>
    <n v="4.47"/>
    <n v="0"/>
    <n v="1.2"/>
    <n v="-0.03"/>
    <n v="-4.47"/>
    <n v="0.01"/>
    <s v="India"/>
  </r>
  <r>
    <x v="6"/>
    <x v="2"/>
    <x v="132"/>
    <x v="3"/>
    <x v="6"/>
    <x v="4"/>
    <n v="0.01"/>
    <n v="0.02"/>
    <n v="0.01"/>
    <n v="4.66"/>
    <n v="12.05"/>
    <n v="9.1300000000000008"/>
    <n v="0.01"/>
    <n v="7.3900000000000006"/>
    <n v="-0.01"/>
    <s v="India"/>
  </r>
  <r>
    <x v="9"/>
    <x v="1"/>
    <x v="61"/>
    <x v="1"/>
    <x v="35"/>
    <x v="0"/>
    <n v="0.04"/>
    <n v="0"/>
    <n v="0.01"/>
    <n v="14.35"/>
    <n v="0.7"/>
    <n v="12.51"/>
    <n v="-0.04"/>
    <n v="-13.65"/>
    <n v="0.01"/>
    <s v="India"/>
  </r>
  <r>
    <x v="0"/>
    <x v="0"/>
    <x v="0"/>
    <x v="0"/>
    <x v="41"/>
    <x v="6"/>
    <n v="0.03"/>
    <n v="0.17"/>
    <n v="0.01"/>
    <n v="24.62"/>
    <n v="44.55"/>
    <n v="0.99"/>
    <n v="0.14000000000000001"/>
    <n v="19.929999999999996"/>
    <n v="-0.16"/>
    <s v="India"/>
  </r>
  <r>
    <x v="6"/>
    <x v="2"/>
    <x v="22"/>
    <x v="1"/>
    <x v="39"/>
    <x v="7"/>
    <n v="0"/>
    <n v="0"/>
    <n v="0.01"/>
    <n v="0"/>
    <n v="0"/>
    <n v="1.7"/>
    <n v="0"/>
    <n v="0"/>
    <n v="0.01"/>
    <s v="India"/>
  </r>
  <r>
    <x v="17"/>
    <x v="5"/>
    <x v="87"/>
    <x v="2"/>
    <x v="7"/>
    <x v="5"/>
    <n v="0"/>
    <n v="0"/>
    <n v="0.01"/>
    <n v="0"/>
    <n v="0"/>
    <n v="5"/>
    <n v="0"/>
    <n v="0"/>
    <n v="0.01"/>
    <s v="India"/>
  </r>
  <r>
    <x v="0"/>
    <x v="0"/>
    <x v="54"/>
    <x v="1"/>
    <x v="32"/>
    <x v="0"/>
    <n v="0"/>
    <n v="0.01"/>
    <n v="0.01"/>
    <n v="0"/>
    <n v="3.51"/>
    <n v="9.2799999999999994"/>
    <n v="0.01"/>
    <n v="3.51"/>
    <n v="0"/>
    <s v="India"/>
  </r>
  <r>
    <x v="3"/>
    <x v="2"/>
    <x v="5"/>
    <x v="0"/>
    <x v="16"/>
    <x v="0"/>
    <n v="0.02"/>
    <n v="0.03"/>
    <n v="0.01"/>
    <n v="52.05"/>
    <n v="44.64"/>
    <n v="12.7"/>
    <n v="9.9999999999999985E-3"/>
    <n v="-7.4099999999999966"/>
    <n v="-1.9999999999999997E-2"/>
    <s v="India"/>
  </r>
  <r>
    <x v="19"/>
    <x v="1"/>
    <x v="114"/>
    <x v="1"/>
    <x v="6"/>
    <x v="4"/>
    <n v="0"/>
    <n v="0"/>
    <n v="0.01"/>
    <n v="0"/>
    <n v="0"/>
    <n v="2.27"/>
    <n v="0"/>
    <n v="0"/>
    <n v="0.01"/>
    <s v="India"/>
  </r>
  <r>
    <x v="17"/>
    <x v="5"/>
    <x v="169"/>
    <x v="2"/>
    <x v="6"/>
    <x v="4"/>
    <n v="0.03"/>
    <n v="4.4800000000000004"/>
    <n v="0.01"/>
    <n v="134.94"/>
    <n v="17431.68"/>
    <n v="40.5"/>
    <n v="4.45"/>
    <n v="17296.740000000002"/>
    <n v="-4.4700000000000006"/>
    <s v="India"/>
  </r>
  <r>
    <x v="6"/>
    <x v="2"/>
    <x v="105"/>
    <x v="1"/>
    <x v="5"/>
    <x v="3"/>
    <n v="7.0000000000000007E-2"/>
    <n v="0.01"/>
    <n v="0.01"/>
    <n v="11.12"/>
    <n v="5.22"/>
    <n v="1.1499999999999999"/>
    <n v="-6.0000000000000005E-2"/>
    <n v="-5.8999999999999995"/>
    <n v="0"/>
    <s v="India"/>
  </r>
  <r>
    <x v="4"/>
    <x v="3"/>
    <x v="7"/>
    <x v="0"/>
    <x v="19"/>
    <x v="4"/>
    <n v="0"/>
    <n v="0.01"/>
    <n v="0.01"/>
    <n v="1.02"/>
    <n v="4.16"/>
    <n v="3.19"/>
    <n v="0.01"/>
    <n v="3.14"/>
    <n v="0"/>
    <s v="India"/>
  </r>
  <r>
    <x v="0"/>
    <x v="0"/>
    <x v="51"/>
    <x v="4"/>
    <x v="36"/>
    <x v="6"/>
    <n v="0.01"/>
    <n v="0.09"/>
    <n v="0.01"/>
    <n v="0.86"/>
    <n v="11.39"/>
    <n v="0.84"/>
    <n v="0.08"/>
    <n v="10.530000000000001"/>
    <n v="-0.08"/>
    <s v="India"/>
  </r>
  <r>
    <x v="4"/>
    <x v="3"/>
    <x v="45"/>
    <x v="2"/>
    <x v="32"/>
    <x v="0"/>
    <n v="0.1"/>
    <n v="0.22"/>
    <n v="0.01"/>
    <n v="316"/>
    <n v="602.39"/>
    <n v="20"/>
    <n v="0.12"/>
    <n v="286.39"/>
    <n v="-0.21"/>
    <s v="India"/>
  </r>
  <r>
    <x v="9"/>
    <x v="1"/>
    <x v="129"/>
    <x v="1"/>
    <x v="13"/>
    <x v="3"/>
    <n v="0.01"/>
    <n v="0"/>
    <n v="0.01"/>
    <n v="0.93"/>
    <n v="0.05"/>
    <n v="2.2799999999999998"/>
    <n v="-0.01"/>
    <n v="-0.88"/>
    <n v="0.01"/>
    <s v="India"/>
  </r>
  <r>
    <x v="11"/>
    <x v="2"/>
    <x v="79"/>
    <x v="4"/>
    <x v="5"/>
    <x v="3"/>
    <n v="0.03"/>
    <n v="0.1"/>
    <n v="0.01"/>
    <n v="39.36"/>
    <n v="38.840000000000003"/>
    <n v="3.83"/>
    <n v="7.0000000000000007E-2"/>
    <n v="-0.51999999999999602"/>
    <n v="-9.0000000000000011E-2"/>
    <s v="India"/>
  </r>
  <r>
    <x v="9"/>
    <x v="1"/>
    <x v="139"/>
    <x v="3"/>
    <x v="4"/>
    <x v="3"/>
    <n v="0.02"/>
    <n v="0.12"/>
    <n v="0.01"/>
    <n v="1.95"/>
    <n v="9.42"/>
    <n v="0.31"/>
    <n v="9.9999999999999992E-2"/>
    <n v="7.47"/>
    <n v="-0.11"/>
    <s v="India"/>
  </r>
  <r>
    <x v="7"/>
    <x v="1"/>
    <x v="100"/>
    <x v="1"/>
    <x v="5"/>
    <x v="3"/>
    <n v="0.11"/>
    <n v="0.04"/>
    <n v="0.01"/>
    <n v="81.56"/>
    <n v="18.25"/>
    <n v="4.01"/>
    <n v="-7.0000000000000007E-2"/>
    <n v="-63.31"/>
    <n v="-0.03"/>
    <s v="India"/>
  </r>
  <r>
    <x v="10"/>
    <x v="2"/>
    <x v="42"/>
    <x v="1"/>
    <x v="11"/>
    <x v="3"/>
    <n v="0"/>
    <n v="0.01"/>
    <n v="0.01"/>
    <n v="0"/>
    <n v="2.44"/>
    <n v="2.2000000000000002"/>
    <n v="0.01"/>
    <n v="2.44"/>
    <n v="0"/>
    <s v="India"/>
  </r>
  <r>
    <x v="4"/>
    <x v="3"/>
    <x v="63"/>
    <x v="2"/>
    <x v="41"/>
    <x v="6"/>
    <n v="0.01"/>
    <n v="0.02"/>
    <n v="0.01"/>
    <n v="1.19"/>
    <n v="1.43"/>
    <n v="0.88"/>
    <n v="0.01"/>
    <n v="0.24"/>
    <n v="-0.01"/>
    <s v="India"/>
  </r>
  <r>
    <x v="6"/>
    <x v="2"/>
    <x v="132"/>
    <x v="3"/>
    <x v="18"/>
    <x v="7"/>
    <n v="0"/>
    <n v="0.02"/>
    <n v="0.01"/>
    <n v="0.12"/>
    <n v="3.55"/>
    <n v="2.15"/>
    <n v="0.02"/>
    <n v="3.4299999999999997"/>
    <n v="-0.01"/>
    <s v="India"/>
  </r>
  <r>
    <x v="0"/>
    <x v="0"/>
    <x v="4"/>
    <x v="0"/>
    <x v="16"/>
    <x v="0"/>
    <n v="0.52"/>
    <n v="0.17"/>
    <n v="0.01"/>
    <n v="1550"/>
    <n v="418.76"/>
    <n v="17"/>
    <n v="-0.35"/>
    <n v="-1131.24"/>
    <n v="-0.16"/>
    <s v="India"/>
  </r>
  <r>
    <x v="5"/>
    <x v="1"/>
    <x v="11"/>
    <x v="1"/>
    <x v="38"/>
    <x v="5"/>
    <n v="0.12"/>
    <n v="0.05"/>
    <n v="0.01"/>
    <n v="27.42"/>
    <n v="5.36"/>
    <n v="1.29"/>
    <n v="-6.9999999999999993E-2"/>
    <n v="-22.060000000000002"/>
    <n v="-0.04"/>
    <s v="India"/>
  </r>
  <r>
    <x v="12"/>
    <x v="2"/>
    <x v="38"/>
    <x v="3"/>
    <x v="10"/>
    <x v="3"/>
    <n v="0.04"/>
    <n v="0.02"/>
    <n v="0.01"/>
    <n v="7.48"/>
    <n v="7"/>
    <n v="1.29"/>
    <n v="-0.02"/>
    <n v="-0.48000000000000043"/>
    <n v="-0.01"/>
    <s v="India"/>
  </r>
  <r>
    <x v="6"/>
    <x v="2"/>
    <x v="140"/>
    <x v="1"/>
    <x v="6"/>
    <x v="4"/>
    <n v="0"/>
    <n v="0"/>
    <n v="0.01"/>
    <n v="0.03"/>
    <n v="0.16"/>
    <n v="0.94"/>
    <n v="0"/>
    <n v="0.13"/>
    <n v="0.01"/>
    <s v="India"/>
  </r>
  <r>
    <x v="13"/>
    <x v="1"/>
    <x v="128"/>
    <x v="1"/>
    <x v="3"/>
    <x v="2"/>
    <n v="0"/>
    <n v="0.04"/>
    <n v="0.01"/>
    <n v="1.91"/>
    <n v="32.01"/>
    <n v="5.52"/>
    <n v="0.04"/>
    <n v="30.099999999999998"/>
    <n v="-0.03"/>
    <s v="India"/>
  </r>
  <r>
    <x v="4"/>
    <x v="3"/>
    <x v="137"/>
    <x v="4"/>
    <x v="7"/>
    <x v="5"/>
    <n v="0"/>
    <n v="0"/>
    <n v="0.01"/>
    <n v="0"/>
    <n v="0"/>
    <n v="5.5"/>
    <n v="0"/>
    <n v="0"/>
    <n v="0.01"/>
    <s v="India"/>
  </r>
  <r>
    <x v="17"/>
    <x v="5"/>
    <x v="108"/>
    <x v="2"/>
    <x v="12"/>
    <x v="4"/>
    <n v="0"/>
    <n v="0"/>
    <n v="0.01"/>
    <n v="0"/>
    <n v="0"/>
    <n v="45.88"/>
    <n v="0"/>
    <n v="0"/>
    <n v="0.01"/>
    <s v="India"/>
  </r>
  <r>
    <x v="6"/>
    <x v="2"/>
    <x v="55"/>
    <x v="0"/>
    <x v="38"/>
    <x v="5"/>
    <n v="0.01"/>
    <n v="0.01"/>
    <n v="0.01"/>
    <n v="1.25"/>
    <n v="0.76"/>
    <n v="1.24"/>
    <n v="0"/>
    <n v="-0.49"/>
    <n v="0"/>
    <s v="India"/>
  </r>
  <r>
    <x v="6"/>
    <x v="2"/>
    <x v="115"/>
    <x v="3"/>
    <x v="19"/>
    <x v="4"/>
    <n v="0"/>
    <n v="0.03"/>
    <n v="0.01"/>
    <n v="2.21"/>
    <n v="38.44"/>
    <n v="4.6900000000000004"/>
    <n v="0.03"/>
    <n v="36.229999999999997"/>
    <n v="-1.9999999999999997E-2"/>
    <s v="India"/>
  </r>
  <r>
    <x v="2"/>
    <x v="1"/>
    <x v="14"/>
    <x v="1"/>
    <x v="32"/>
    <x v="0"/>
    <n v="0.13"/>
    <n v="0.12"/>
    <n v="0.01"/>
    <n v="27.76"/>
    <n v="22.73"/>
    <n v="5.0199999999999996"/>
    <n v="-1.0000000000000009E-2"/>
    <n v="-5.0300000000000011"/>
    <n v="-0.11"/>
    <s v="India"/>
  </r>
  <r>
    <x v="11"/>
    <x v="2"/>
    <x v="29"/>
    <x v="0"/>
    <x v="19"/>
    <x v="4"/>
    <n v="0.21"/>
    <n v="0.35"/>
    <n v="0.01"/>
    <n v="180.94"/>
    <n v="385.53"/>
    <n v="3.37"/>
    <n v="0.13999999999999999"/>
    <n v="204.58999999999997"/>
    <n v="-0.33999999999999997"/>
    <s v="India"/>
  </r>
  <r>
    <x v="13"/>
    <x v="1"/>
    <x v="128"/>
    <x v="1"/>
    <x v="5"/>
    <x v="3"/>
    <n v="0.01"/>
    <n v="0.05"/>
    <n v="0.01"/>
    <n v="3.23"/>
    <n v="26.08"/>
    <n v="5.34"/>
    <n v="0.04"/>
    <n v="22.849999999999998"/>
    <n v="-0.04"/>
    <s v="India"/>
  </r>
  <r>
    <x v="3"/>
    <x v="2"/>
    <x v="170"/>
    <x v="1"/>
    <x v="5"/>
    <x v="3"/>
    <n v="0"/>
    <n v="0.01"/>
    <n v="0.01"/>
    <n v="0"/>
    <n v="10.199999999999999"/>
    <n v="9.24"/>
    <n v="0.01"/>
    <n v="10.199999999999999"/>
    <n v="0"/>
    <s v="India"/>
  </r>
  <r>
    <x v="5"/>
    <x v="1"/>
    <x v="9"/>
    <x v="1"/>
    <x v="6"/>
    <x v="4"/>
    <n v="0.01"/>
    <n v="0"/>
    <n v="0.01"/>
    <n v="2.27"/>
    <n v="0.22"/>
    <n v="0.92"/>
    <n v="-0.01"/>
    <n v="-2.0499999999999998"/>
    <n v="0.01"/>
    <s v="India"/>
  </r>
  <r>
    <x v="10"/>
    <x v="2"/>
    <x v="69"/>
    <x v="3"/>
    <x v="34"/>
    <x v="6"/>
    <n v="0"/>
    <n v="0"/>
    <n v="0.01"/>
    <n v="0"/>
    <n v="0"/>
    <n v="0.01"/>
    <n v="0"/>
    <n v="0"/>
    <n v="0.01"/>
    <s v="India"/>
  </r>
  <r>
    <x v="2"/>
    <x v="1"/>
    <x v="149"/>
    <x v="3"/>
    <x v="19"/>
    <x v="4"/>
    <n v="0.02"/>
    <n v="0.01"/>
    <n v="0.01"/>
    <n v="12.55"/>
    <n v="5.82"/>
    <n v="9.74"/>
    <n v="-0.01"/>
    <n v="-6.73"/>
    <n v="0"/>
    <s v="India"/>
  </r>
  <r>
    <x v="17"/>
    <x v="5"/>
    <x v="87"/>
    <x v="2"/>
    <x v="20"/>
    <x v="3"/>
    <n v="0"/>
    <n v="0.03"/>
    <n v="0.01"/>
    <n v="2.64"/>
    <n v="100.2"/>
    <n v="44.53"/>
    <n v="0.03"/>
    <n v="97.56"/>
    <n v="-1.9999999999999997E-2"/>
    <s v="India"/>
  </r>
  <r>
    <x v="14"/>
    <x v="3"/>
    <x v="164"/>
    <x v="2"/>
    <x v="4"/>
    <x v="3"/>
    <n v="0.01"/>
    <n v="0.02"/>
    <n v="0.01"/>
    <n v="6.01"/>
    <n v="10.199999999999999"/>
    <n v="2.9"/>
    <n v="0.01"/>
    <n v="4.1899999999999995"/>
    <n v="-0.01"/>
    <s v="India"/>
  </r>
  <r>
    <x v="2"/>
    <x v="1"/>
    <x v="59"/>
    <x v="2"/>
    <x v="39"/>
    <x v="7"/>
    <n v="0.11"/>
    <n v="0"/>
    <n v="0.01"/>
    <n v="8.51"/>
    <n v="0"/>
    <n v="0.4"/>
    <n v="-0.11"/>
    <n v="-8.51"/>
    <n v="0.01"/>
    <s v="India"/>
  </r>
  <r>
    <x v="0"/>
    <x v="0"/>
    <x v="51"/>
    <x v="4"/>
    <x v="41"/>
    <x v="6"/>
    <n v="0.01"/>
    <n v="0"/>
    <n v="0.01"/>
    <n v="0.6"/>
    <n v="0.1"/>
    <n v="0.49"/>
    <n v="-0.01"/>
    <n v="-0.5"/>
    <n v="0.01"/>
    <s v="India"/>
  </r>
  <r>
    <x v="6"/>
    <x v="2"/>
    <x v="140"/>
    <x v="1"/>
    <x v="38"/>
    <x v="5"/>
    <n v="0"/>
    <n v="0.01"/>
    <n v="0.01"/>
    <n v="0"/>
    <n v="2.17"/>
    <n v="1.06"/>
    <n v="0.01"/>
    <n v="2.17"/>
    <n v="0"/>
    <s v="India"/>
  </r>
  <r>
    <x v="5"/>
    <x v="1"/>
    <x v="34"/>
    <x v="1"/>
    <x v="16"/>
    <x v="0"/>
    <n v="0.01"/>
    <n v="0.04"/>
    <n v="0.01"/>
    <n v="7.44"/>
    <n v="26.95"/>
    <n v="5.16"/>
    <n v="0.03"/>
    <n v="19.509999999999998"/>
    <n v="-0.03"/>
    <s v="India"/>
  </r>
  <r>
    <x v="1"/>
    <x v="0"/>
    <x v="24"/>
    <x v="3"/>
    <x v="15"/>
    <x v="0"/>
    <n v="0.02"/>
    <n v="0.04"/>
    <n v="0.01"/>
    <n v="7.24"/>
    <n v="5.08"/>
    <n v="1.35"/>
    <n v="0.02"/>
    <n v="-2.16"/>
    <n v="-0.03"/>
    <s v="India"/>
  </r>
  <r>
    <x v="6"/>
    <x v="2"/>
    <x v="91"/>
    <x v="3"/>
    <x v="16"/>
    <x v="0"/>
    <n v="0"/>
    <n v="0"/>
    <n v="0.01"/>
    <n v="2.4500000000000002"/>
    <n v="0.68"/>
    <n v="15.96"/>
    <n v="0"/>
    <n v="-1.77"/>
    <n v="0.01"/>
    <s v="India"/>
  </r>
  <r>
    <x v="2"/>
    <x v="1"/>
    <x v="6"/>
    <x v="1"/>
    <x v="23"/>
    <x v="1"/>
    <n v="0.18"/>
    <n v="0"/>
    <n v="0.01"/>
    <n v="35.479999999999997"/>
    <n v="0"/>
    <n v="1.21"/>
    <n v="-0.18"/>
    <n v="-35.479999999999997"/>
    <n v="0.01"/>
    <s v="India"/>
  </r>
  <r>
    <x v="0"/>
    <x v="0"/>
    <x v="4"/>
    <x v="0"/>
    <x v="13"/>
    <x v="3"/>
    <n v="0"/>
    <n v="0.01"/>
    <n v="0.01"/>
    <n v="0.94"/>
    <n v="7.28"/>
    <n v="4.7300000000000004"/>
    <n v="0.01"/>
    <n v="6.34"/>
    <n v="0"/>
    <s v="India"/>
  </r>
  <r>
    <x v="11"/>
    <x v="2"/>
    <x v="85"/>
    <x v="3"/>
    <x v="5"/>
    <x v="3"/>
    <n v="1.42"/>
    <n v="0.09"/>
    <n v="0.01"/>
    <n v="1390.29"/>
    <n v="95.51"/>
    <n v="3.23"/>
    <n v="-1.3299999999999998"/>
    <n v="-1294.78"/>
    <n v="-0.08"/>
    <s v="India"/>
  </r>
  <r>
    <x v="4"/>
    <x v="3"/>
    <x v="76"/>
    <x v="2"/>
    <x v="35"/>
    <x v="0"/>
    <n v="0"/>
    <n v="0.01"/>
    <n v="0.01"/>
    <n v="0"/>
    <n v="25.99"/>
    <n v="35"/>
    <n v="0.01"/>
    <n v="25.99"/>
    <n v="0"/>
    <s v="India"/>
  </r>
  <r>
    <x v="6"/>
    <x v="2"/>
    <x v="49"/>
    <x v="0"/>
    <x v="24"/>
    <x v="4"/>
    <n v="0"/>
    <n v="0"/>
    <n v="0.01"/>
    <n v="4.09"/>
    <n v="2.56"/>
    <n v="6.15"/>
    <n v="0"/>
    <n v="-1.5299999999999998"/>
    <n v="0.01"/>
    <s v="India"/>
  </r>
  <r>
    <x v="0"/>
    <x v="0"/>
    <x v="17"/>
    <x v="0"/>
    <x v="35"/>
    <x v="0"/>
    <n v="0.03"/>
    <n v="0"/>
    <n v="0.01"/>
    <n v="46"/>
    <n v="0"/>
    <n v="22.98"/>
    <n v="-0.03"/>
    <n v="-46"/>
    <n v="0.01"/>
    <s v="India"/>
  </r>
  <r>
    <x v="9"/>
    <x v="1"/>
    <x v="27"/>
    <x v="1"/>
    <x v="6"/>
    <x v="4"/>
    <n v="0.01"/>
    <n v="0.03"/>
    <n v="0.01"/>
    <n v="2.5"/>
    <n v="4.4000000000000004"/>
    <n v="1.81"/>
    <n v="1.9999999999999997E-2"/>
    <n v="1.9000000000000004"/>
    <n v="-1.9999999999999997E-2"/>
    <s v="India"/>
  </r>
  <r>
    <x v="9"/>
    <x v="1"/>
    <x v="139"/>
    <x v="3"/>
    <x v="6"/>
    <x v="4"/>
    <n v="0"/>
    <n v="0.01"/>
    <n v="0.01"/>
    <n v="0.15"/>
    <n v="7.84"/>
    <n v="8.84"/>
    <n v="0.01"/>
    <n v="7.6899999999999995"/>
    <n v="0"/>
    <s v="India"/>
  </r>
  <r>
    <x v="10"/>
    <x v="2"/>
    <x v="42"/>
    <x v="1"/>
    <x v="32"/>
    <x v="0"/>
    <n v="0"/>
    <n v="0.02"/>
    <n v="0.01"/>
    <n v="0"/>
    <n v="9.84"/>
    <n v="2.94"/>
    <n v="0.02"/>
    <n v="9.84"/>
    <n v="-0.01"/>
    <s v="India"/>
  </r>
  <r>
    <x v="14"/>
    <x v="3"/>
    <x v="164"/>
    <x v="2"/>
    <x v="32"/>
    <x v="0"/>
    <n v="0"/>
    <n v="0"/>
    <n v="0.01"/>
    <n v="0"/>
    <n v="0"/>
    <n v="31.06"/>
    <n v="0"/>
    <n v="0"/>
    <n v="0.01"/>
    <s v="India"/>
  </r>
  <r>
    <x v="13"/>
    <x v="1"/>
    <x v="33"/>
    <x v="3"/>
    <x v="25"/>
    <x v="7"/>
    <n v="0.31"/>
    <n v="0.77"/>
    <n v="0.01"/>
    <n v="102.67"/>
    <n v="824.83"/>
    <n v="38.74"/>
    <n v="0.46"/>
    <n v="722.16000000000008"/>
    <n v="-0.76"/>
    <s v="India"/>
  </r>
  <r>
    <x v="1"/>
    <x v="0"/>
    <x v="18"/>
    <x v="1"/>
    <x v="36"/>
    <x v="6"/>
    <n v="0.02"/>
    <n v="0.02"/>
    <n v="0.01"/>
    <n v="1.34"/>
    <n v="1.44"/>
    <n v="0.5"/>
    <n v="0"/>
    <n v="9.9999999999999867E-2"/>
    <n v="-0.01"/>
    <s v="India"/>
  </r>
  <r>
    <x v="1"/>
    <x v="0"/>
    <x v="24"/>
    <x v="3"/>
    <x v="14"/>
    <x v="3"/>
    <n v="0.06"/>
    <n v="0.05"/>
    <n v="0.01"/>
    <n v="10.34"/>
    <n v="19.170000000000002"/>
    <n v="1.43"/>
    <n v="-9.999999999999995E-3"/>
    <n v="8.8300000000000018"/>
    <n v="-0.04"/>
    <s v="India"/>
  </r>
  <r>
    <x v="13"/>
    <x v="1"/>
    <x v="33"/>
    <x v="3"/>
    <x v="42"/>
    <x v="1"/>
    <n v="0.19"/>
    <n v="0.1"/>
    <n v="0.01"/>
    <n v="6.3"/>
    <n v="5.0999999999999996"/>
    <n v="2.48"/>
    <n v="-0.09"/>
    <n v="-1.2000000000000002"/>
    <n v="-9.0000000000000011E-2"/>
    <s v="India"/>
  </r>
  <r>
    <x v="13"/>
    <x v="1"/>
    <x v="48"/>
    <x v="1"/>
    <x v="32"/>
    <x v="0"/>
    <n v="0.02"/>
    <n v="0.01"/>
    <n v="0.01"/>
    <n v="6.19"/>
    <n v="2.87"/>
    <n v="3.94"/>
    <n v="-0.01"/>
    <n v="-3.3200000000000003"/>
    <n v="0"/>
    <s v="India"/>
  </r>
  <r>
    <x v="18"/>
    <x v="0"/>
    <x v="165"/>
    <x v="3"/>
    <x v="19"/>
    <x v="4"/>
    <n v="0.13"/>
    <n v="0.11"/>
    <n v="0.01"/>
    <n v="52.74"/>
    <n v="24.67"/>
    <n v="3"/>
    <n v="-2.0000000000000004E-2"/>
    <n v="-28.07"/>
    <n v="-0.1"/>
    <s v="India"/>
  </r>
  <r>
    <x v="2"/>
    <x v="1"/>
    <x v="2"/>
    <x v="1"/>
    <x v="10"/>
    <x v="3"/>
    <n v="0.13"/>
    <n v="0.17"/>
    <n v="0.01"/>
    <n v="29.83"/>
    <n v="43.43"/>
    <n v="1.7"/>
    <n v="4.0000000000000008E-2"/>
    <n v="13.600000000000001"/>
    <n v="-0.16"/>
    <s v="India"/>
  </r>
  <r>
    <x v="12"/>
    <x v="2"/>
    <x v="38"/>
    <x v="3"/>
    <x v="12"/>
    <x v="4"/>
    <n v="1.08"/>
    <n v="0.02"/>
    <n v="0.01"/>
    <n v="954.76"/>
    <n v="9.89"/>
    <n v="2.4900000000000002"/>
    <n v="-1.06"/>
    <n v="-944.87"/>
    <n v="-0.01"/>
    <s v="India"/>
  </r>
  <r>
    <x v="11"/>
    <x v="2"/>
    <x v="64"/>
    <x v="3"/>
    <x v="16"/>
    <x v="0"/>
    <n v="0"/>
    <n v="0.01"/>
    <n v="0.01"/>
    <n v="0.42"/>
    <n v="11.97"/>
    <n v="13.09"/>
    <n v="0.01"/>
    <n v="11.55"/>
    <n v="0"/>
    <s v="India"/>
  </r>
  <r>
    <x v="14"/>
    <x v="3"/>
    <x v="164"/>
    <x v="2"/>
    <x v="5"/>
    <x v="3"/>
    <n v="0.03"/>
    <n v="7.0000000000000007E-2"/>
    <n v="0.01"/>
    <n v="363.81"/>
    <n v="1294.3"/>
    <n v="145"/>
    <n v="4.0000000000000008E-2"/>
    <n v="930.49"/>
    <n v="-6.0000000000000005E-2"/>
    <s v="India"/>
  </r>
  <r>
    <x v="7"/>
    <x v="1"/>
    <x v="58"/>
    <x v="1"/>
    <x v="8"/>
    <x v="3"/>
    <n v="0.03"/>
    <n v="0.1"/>
    <n v="0.01"/>
    <n v="10.85"/>
    <n v="22.73"/>
    <n v="1.1100000000000001"/>
    <n v="7.0000000000000007E-2"/>
    <n v="11.88"/>
    <n v="-9.0000000000000011E-2"/>
    <s v="India"/>
  </r>
  <r>
    <x v="10"/>
    <x v="2"/>
    <x v="28"/>
    <x v="1"/>
    <x v="9"/>
    <x v="6"/>
    <n v="0.1"/>
    <n v="0"/>
    <n v="0.01"/>
    <n v="43.73"/>
    <n v="0.1"/>
    <n v="2.8"/>
    <n v="-0.1"/>
    <n v="-43.629999999999995"/>
    <n v="0.01"/>
    <s v="India"/>
  </r>
  <r>
    <x v="5"/>
    <x v="1"/>
    <x v="11"/>
    <x v="1"/>
    <x v="37"/>
    <x v="3"/>
    <n v="7.0000000000000007E-2"/>
    <n v="0.05"/>
    <n v="0.01"/>
    <n v="35.06"/>
    <n v="30.23"/>
    <n v="4.62"/>
    <n v="-2.0000000000000004E-2"/>
    <n v="-4.8300000000000018"/>
    <n v="-0.04"/>
    <s v="India"/>
  </r>
  <r>
    <x v="5"/>
    <x v="1"/>
    <x v="92"/>
    <x v="1"/>
    <x v="38"/>
    <x v="5"/>
    <n v="0"/>
    <n v="0.02"/>
    <n v="0.01"/>
    <n v="0"/>
    <n v="1.65"/>
    <n v="0.46"/>
    <n v="0.02"/>
    <n v="1.65"/>
    <n v="-0.01"/>
    <s v="India"/>
  </r>
  <r>
    <x v="6"/>
    <x v="2"/>
    <x v="105"/>
    <x v="1"/>
    <x v="10"/>
    <x v="3"/>
    <n v="7.0000000000000007E-2"/>
    <n v="7.0000000000000007E-2"/>
    <n v="0.01"/>
    <n v="22.47"/>
    <n v="27.66"/>
    <n v="2.33"/>
    <n v="0"/>
    <n v="5.1900000000000013"/>
    <n v="-6.0000000000000005E-2"/>
    <s v="India"/>
  </r>
  <r>
    <x v="3"/>
    <x v="2"/>
    <x v="5"/>
    <x v="0"/>
    <x v="24"/>
    <x v="4"/>
    <n v="0"/>
    <n v="0"/>
    <n v="0.01"/>
    <n v="0.19"/>
    <n v="0.48"/>
    <n v="27.77"/>
    <n v="0"/>
    <n v="0.28999999999999998"/>
    <n v="0.01"/>
    <s v="India"/>
  </r>
  <r>
    <x v="0"/>
    <x v="0"/>
    <x v="67"/>
    <x v="3"/>
    <x v="29"/>
    <x v="7"/>
    <n v="0.01"/>
    <n v="0"/>
    <n v="0.01"/>
    <n v="1.84"/>
    <n v="0.53"/>
    <n v="1.1599999999999999"/>
    <n v="-0.01"/>
    <n v="-1.31"/>
    <n v="0.01"/>
    <s v="India"/>
  </r>
  <r>
    <x v="6"/>
    <x v="2"/>
    <x v="55"/>
    <x v="0"/>
    <x v="28"/>
    <x v="5"/>
    <n v="0"/>
    <n v="0"/>
    <n v="0.01"/>
    <n v="0"/>
    <n v="0"/>
    <n v="18"/>
    <n v="0"/>
    <n v="0"/>
    <n v="0.01"/>
    <s v="India"/>
  </r>
  <r>
    <x v="18"/>
    <x v="0"/>
    <x v="165"/>
    <x v="3"/>
    <x v="24"/>
    <x v="4"/>
    <n v="2.0299999999999998"/>
    <n v="0.37"/>
    <n v="0.01"/>
    <n v="712.56"/>
    <n v="207.06"/>
    <n v="5.01"/>
    <n v="-1.6599999999999997"/>
    <n v="-505.49999999999994"/>
    <n v="-0.36"/>
    <s v="India"/>
  </r>
  <r>
    <x v="0"/>
    <x v="0"/>
    <x v="35"/>
    <x v="1"/>
    <x v="32"/>
    <x v="0"/>
    <n v="0.22"/>
    <n v="0.02"/>
    <n v="0.01"/>
    <n v="146.28"/>
    <n v="10.71"/>
    <n v="4.3600000000000003"/>
    <n v="-0.2"/>
    <n v="-135.57"/>
    <n v="-0.01"/>
    <s v="India"/>
  </r>
  <r>
    <x v="4"/>
    <x v="3"/>
    <x v="73"/>
    <x v="2"/>
    <x v="27"/>
    <x v="7"/>
    <n v="0.04"/>
    <n v="0"/>
    <n v="0.01"/>
    <n v="18.79"/>
    <n v="1.68"/>
    <n v="1.1000000000000001"/>
    <n v="-0.04"/>
    <n v="-17.11"/>
    <n v="0.01"/>
    <s v="India"/>
  </r>
  <r>
    <x v="11"/>
    <x v="2"/>
    <x v="79"/>
    <x v="4"/>
    <x v="10"/>
    <x v="3"/>
    <n v="0.01"/>
    <n v="0.04"/>
    <n v="0.01"/>
    <n v="0.49"/>
    <n v="1.52"/>
    <n v="0.2"/>
    <n v="0.03"/>
    <n v="1.03"/>
    <n v="-0.03"/>
    <s v="India"/>
  </r>
  <r>
    <x v="1"/>
    <x v="0"/>
    <x v="153"/>
    <x v="1"/>
    <x v="4"/>
    <x v="3"/>
    <n v="0.1"/>
    <n v="0.42"/>
    <n v="0.01"/>
    <n v="71.2"/>
    <n v="43.29"/>
    <n v="1.45"/>
    <n v="0.31999999999999995"/>
    <n v="-27.910000000000004"/>
    <n v="-0.41"/>
    <s v="India"/>
  </r>
  <r>
    <x v="23"/>
    <x v="2"/>
    <x v="168"/>
    <x v="1"/>
    <x v="9"/>
    <x v="6"/>
    <n v="0.05"/>
    <n v="7.0000000000000007E-2"/>
    <n v="0.01"/>
    <n v="21.25"/>
    <n v="27.27"/>
    <n v="2.94"/>
    <n v="2.0000000000000004E-2"/>
    <n v="6.02"/>
    <n v="-6.0000000000000005E-2"/>
    <s v="India"/>
  </r>
  <r>
    <x v="4"/>
    <x v="3"/>
    <x v="73"/>
    <x v="2"/>
    <x v="13"/>
    <x v="3"/>
    <n v="0.06"/>
    <n v="0.15"/>
    <n v="0.01"/>
    <n v="14.29"/>
    <n v="37.42"/>
    <n v="0.83"/>
    <n v="0.09"/>
    <n v="23.130000000000003"/>
    <n v="-0.13999999999999999"/>
    <s v="India"/>
  </r>
  <r>
    <x v="13"/>
    <x v="1"/>
    <x v="33"/>
    <x v="3"/>
    <x v="3"/>
    <x v="2"/>
    <n v="7.0000000000000007E-2"/>
    <n v="0.01"/>
    <n v="0.01"/>
    <n v="33.35"/>
    <n v="3.34"/>
    <n v="0.82"/>
    <n v="-6.0000000000000005E-2"/>
    <n v="-30.01"/>
    <n v="0"/>
    <s v="India"/>
  </r>
  <r>
    <x v="14"/>
    <x v="3"/>
    <x v="53"/>
    <x v="2"/>
    <x v="18"/>
    <x v="7"/>
    <n v="0.16"/>
    <n v="0.02"/>
    <n v="0.01"/>
    <n v="95.05"/>
    <n v="11.25"/>
    <n v="3.5"/>
    <n v="-0.14000000000000001"/>
    <n v="-83.8"/>
    <n v="-0.01"/>
    <s v="India"/>
  </r>
  <r>
    <x v="13"/>
    <x v="1"/>
    <x v="48"/>
    <x v="1"/>
    <x v="24"/>
    <x v="4"/>
    <n v="0.01"/>
    <n v="0.04"/>
    <n v="0.01"/>
    <n v="4.6100000000000003"/>
    <n v="6.23"/>
    <n v="3.54"/>
    <n v="0.03"/>
    <n v="1.62"/>
    <n v="-0.03"/>
    <s v="India"/>
  </r>
  <r>
    <x v="11"/>
    <x v="2"/>
    <x v="29"/>
    <x v="0"/>
    <x v="32"/>
    <x v="0"/>
    <n v="0.05"/>
    <n v="0.02"/>
    <n v="0.01"/>
    <n v="30.82"/>
    <n v="8.5399999999999991"/>
    <n v="3.54"/>
    <n v="-3.0000000000000002E-2"/>
    <n v="-22.28"/>
    <n v="-0.01"/>
    <s v="India"/>
  </r>
  <r>
    <x v="4"/>
    <x v="3"/>
    <x v="71"/>
    <x v="2"/>
    <x v="35"/>
    <x v="0"/>
    <n v="0"/>
    <n v="0"/>
    <n v="0.01"/>
    <n v="5.0999999999999996"/>
    <n v="3.6"/>
    <n v="15.03"/>
    <n v="0"/>
    <n v="-1.4999999999999996"/>
    <n v="0.01"/>
    <s v="India"/>
  </r>
  <r>
    <x v="2"/>
    <x v="1"/>
    <x v="14"/>
    <x v="1"/>
    <x v="38"/>
    <x v="5"/>
    <n v="0.92"/>
    <n v="0.02"/>
    <n v="0.01"/>
    <n v="131.19999999999999"/>
    <n v="1.47"/>
    <n v="0.84"/>
    <n v="-0.9"/>
    <n v="-129.72999999999999"/>
    <n v="-0.01"/>
    <s v="India"/>
  </r>
  <r>
    <x v="21"/>
    <x v="5"/>
    <x v="150"/>
    <x v="2"/>
    <x v="12"/>
    <x v="4"/>
    <n v="0.02"/>
    <n v="0.02"/>
    <n v="0.01"/>
    <n v="66.87"/>
    <n v="69.39"/>
    <n v="30.56"/>
    <n v="0"/>
    <n v="2.519999999999996"/>
    <n v="-0.01"/>
    <s v="India"/>
  </r>
  <r>
    <x v="7"/>
    <x v="1"/>
    <x v="155"/>
    <x v="3"/>
    <x v="19"/>
    <x v="4"/>
    <n v="0"/>
    <n v="0"/>
    <n v="0.01"/>
    <n v="0.44"/>
    <n v="1.67"/>
    <n v="4.41"/>
    <n v="0"/>
    <n v="1.23"/>
    <n v="0.01"/>
    <s v="India"/>
  </r>
  <r>
    <x v="1"/>
    <x v="0"/>
    <x v="75"/>
    <x v="1"/>
    <x v="18"/>
    <x v="7"/>
    <n v="0"/>
    <n v="0"/>
    <n v="0.01"/>
    <n v="0"/>
    <n v="0"/>
    <n v="1.5"/>
    <n v="0"/>
    <n v="0"/>
    <n v="0.01"/>
    <s v="India"/>
  </r>
  <r>
    <x v="4"/>
    <x v="3"/>
    <x v="135"/>
    <x v="2"/>
    <x v="10"/>
    <x v="3"/>
    <n v="0.02"/>
    <n v="0.02"/>
    <n v="0.01"/>
    <n v="10.15"/>
    <n v="13.84"/>
    <n v="5.35"/>
    <n v="0"/>
    <n v="3.6899999999999995"/>
    <n v="-0.01"/>
    <s v="India"/>
  </r>
  <r>
    <x v="4"/>
    <x v="3"/>
    <x v="113"/>
    <x v="3"/>
    <x v="11"/>
    <x v="3"/>
    <n v="0.03"/>
    <n v="0"/>
    <n v="0.01"/>
    <n v="16.36"/>
    <n v="3.24"/>
    <n v="1.18"/>
    <n v="-0.03"/>
    <n v="-13.12"/>
    <n v="0.01"/>
    <s v="India"/>
  </r>
  <r>
    <x v="6"/>
    <x v="2"/>
    <x v="159"/>
    <x v="3"/>
    <x v="24"/>
    <x v="4"/>
    <n v="0.49"/>
    <n v="0.11"/>
    <n v="0.01"/>
    <n v="726.14"/>
    <n v="183.15"/>
    <n v="6.6"/>
    <n v="-0.38"/>
    <n v="-542.99"/>
    <n v="-0.1"/>
    <s v="India"/>
  </r>
  <r>
    <x v="4"/>
    <x v="3"/>
    <x v="76"/>
    <x v="2"/>
    <x v="40"/>
    <x v="6"/>
    <n v="0"/>
    <n v="0"/>
    <n v="0.01"/>
    <n v="0"/>
    <n v="0"/>
    <n v="5"/>
    <n v="0"/>
    <n v="0"/>
    <n v="0.01"/>
    <s v="India"/>
  </r>
  <r>
    <x v="6"/>
    <x v="2"/>
    <x v="140"/>
    <x v="1"/>
    <x v="2"/>
    <x v="0"/>
    <n v="0"/>
    <n v="0.01"/>
    <n v="0.01"/>
    <n v="1"/>
    <n v="13.27"/>
    <n v="8.32"/>
    <n v="0.01"/>
    <n v="12.27"/>
    <n v="0"/>
    <s v="India"/>
  </r>
  <r>
    <x v="6"/>
    <x v="2"/>
    <x v="140"/>
    <x v="1"/>
    <x v="16"/>
    <x v="0"/>
    <n v="0"/>
    <n v="0.04"/>
    <n v="0.01"/>
    <n v="1.49"/>
    <n v="34.08"/>
    <n v="5.21"/>
    <n v="0.04"/>
    <n v="32.589999999999996"/>
    <n v="-0.03"/>
    <s v="India"/>
  </r>
  <r>
    <x v="12"/>
    <x v="2"/>
    <x v="38"/>
    <x v="3"/>
    <x v="18"/>
    <x v="7"/>
    <n v="0.01"/>
    <n v="0.03"/>
    <n v="0.01"/>
    <n v="1"/>
    <n v="3.71"/>
    <n v="0.37"/>
    <n v="1.9999999999999997E-2"/>
    <n v="2.71"/>
    <n v="-1.9999999999999997E-2"/>
    <s v="India"/>
  </r>
  <r>
    <x v="0"/>
    <x v="0"/>
    <x v="36"/>
    <x v="1"/>
    <x v="29"/>
    <x v="7"/>
    <n v="0.03"/>
    <n v="0.05"/>
    <n v="0.01"/>
    <n v="13.98"/>
    <n v="21.62"/>
    <n v="1.8"/>
    <n v="2.0000000000000004E-2"/>
    <n v="7.6400000000000006"/>
    <n v="-0.04"/>
    <s v="India"/>
  </r>
  <r>
    <x v="3"/>
    <x v="2"/>
    <x v="3"/>
    <x v="0"/>
    <x v="0"/>
    <x v="0"/>
    <n v="0"/>
    <n v="0"/>
    <n v="0.01"/>
    <n v="0"/>
    <n v="0"/>
    <n v="22.36"/>
    <n v="0"/>
    <n v="0"/>
    <n v="0.01"/>
    <s v="India"/>
  </r>
  <r>
    <x v="4"/>
    <x v="3"/>
    <x v="71"/>
    <x v="2"/>
    <x v="9"/>
    <x v="6"/>
    <n v="1.41"/>
    <n v="1.43"/>
    <n v="0.01"/>
    <n v="1629.41"/>
    <n v="2071.08"/>
    <n v="7"/>
    <n v="2.0000000000000018E-2"/>
    <n v="441.66999999999985"/>
    <n v="-1.42"/>
    <s v="India"/>
  </r>
  <r>
    <x v="6"/>
    <x v="2"/>
    <x v="115"/>
    <x v="3"/>
    <x v="8"/>
    <x v="3"/>
    <n v="0.12"/>
    <n v="0.05"/>
    <n v="0.01"/>
    <n v="32.15"/>
    <n v="22.67"/>
    <n v="3.99"/>
    <n v="-6.9999999999999993E-2"/>
    <n v="-9.4799999999999969"/>
    <n v="-0.04"/>
    <s v="India"/>
  </r>
  <r>
    <x v="2"/>
    <x v="1"/>
    <x v="70"/>
    <x v="1"/>
    <x v="11"/>
    <x v="3"/>
    <n v="0"/>
    <n v="0.02"/>
    <n v="0.01"/>
    <n v="0"/>
    <n v="5.32"/>
    <n v="2.5"/>
    <n v="0.02"/>
    <n v="5.32"/>
    <n v="-0.01"/>
    <s v="India"/>
  </r>
  <r>
    <x v="11"/>
    <x v="2"/>
    <x v="94"/>
    <x v="3"/>
    <x v="11"/>
    <x v="3"/>
    <n v="0.02"/>
    <n v="0.01"/>
    <n v="0.01"/>
    <n v="5.16"/>
    <n v="3.1"/>
    <n v="1.19"/>
    <n v="-0.01"/>
    <n v="-2.06"/>
    <n v="0"/>
    <s v="India"/>
  </r>
  <r>
    <x v="6"/>
    <x v="2"/>
    <x v="115"/>
    <x v="3"/>
    <x v="5"/>
    <x v="3"/>
    <n v="0.09"/>
    <n v="0.01"/>
    <n v="0.01"/>
    <n v="65.08"/>
    <n v="9.36"/>
    <n v="3.38"/>
    <n v="-0.08"/>
    <n v="-55.72"/>
    <n v="0"/>
    <s v="India"/>
  </r>
  <r>
    <x v="0"/>
    <x v="0"/>
    <x v="36"/>
    <x v="1"/>
    <x v="36"/>
    <x v="6"/>
    <n v="0.01"/>
    <n v="0.02"/>
    <n v="0.01"/>
    <n v="1.67"/>
    <n v="4.41"/>
    <n v="2.14"/>
    <n v="0.01"/>
    <n v="2.74"/>
    <n v="-0.01"/>
    <s v="India"/>
  </r>
  <r>
    <x v="7"/>
    <x v="1"/>
    <x v="151"/>
    <x v="1"/>
    <x v="11"/>
    <x v="3"/>
    <n v="0.04"/>
    <n v="0.02"/>
    <n v="0.01"/>
    <n v="25.78"/>
    <n v="13.23"/>
    <n v="2.92"/>
    <n v="-0.02"/>
    <n v="-12.55"/>
    <n v="-0.01"/>
    <s v="India"/>
  </r>
  <r>
    <x v="4"/>
    <x v="3"/>
    <x v="96"/>
    <x v="2"/>
    <x v="22"/>
    <x v="6"/>
    <n v="0"/>
    <n v="0"/>
    <n v="0.01"/>
    <n v="0"/>
    <n v="0"/>
    <n v="1"/>
    <n v="0"/>
    <n v="0"/>
    <n v="0.01"/>
    <s v="India"/>
  </r>
  <r>
    <x v="8"/>
    <x v="4"/>
    <x v="88"/>
    <x v="1"/>
    <x v="20"/>
    <x v="3"/>
    <n v="0"/>
    <n v="0"/>
    <n v="0.01"/>
    <n v="0"/>
    <n v="0"/>
    <n v="4.41"/>
    <n v="0"/>
    <n v="0"/>
    <n v="0.01"/>
    <s v="India"/>
  </r>
  <r>
    <x v="19"/>
    <x v="1"/>
    <x v="114"/>
    <x v="1"/>
    <x v="11"/>
    <x v="3"/>
    <n v="0"/>
    <n v="0.01"/>
    <n v="0.01"/>
    <n v="0"/>
    <n v="6"/>
    <n v="2.37"/>
    <n v="0.01"/>
    <n v="6"/>
    <n v="0"/>
    <s v="India"/>
  </r>
  <r>
    <x v="2"/>
    <x v="1"/>
    <x v="6"/>
    <x v="1"/>
    <x v="13"/>
    <x v="3"/>
    <n v="0"/>
    <n v="0.02"/>
    <n v="0.01"/>
    <n v="0.13"/>
    <n v="1.19"/>
    <n v="0.4"/>
    <n v="0.02"/>
    <n v="1.06"/>
    <n v="-0.01"/>
    <s v="India"/>
  </r>
  <r>
    <x v="12"/>
    <x v="2"/>
    <x v="171"/>
    <x v="4"/>
    <x v="4"/>
    <x v="3"/>
    <n v="0"/>
    <n v="0.01"/>
    <n v="0.01"/>
    <n v="0"/>
    <n v="2.8"/>
    <n v="5.1100000000000003"/>
    <n v="0.01"/>
    <n v="2.8"/>
    <n v="0"/>
    <s v="India"/>
  </r>
  <r>
    <x v="19"/>
    <x v="1"/>
    <x v="146"/>
    <x v="2"/>
    <x v="0"/>
    <x v="0"/>
    <n v="0"/>
    <n v="0.02"/>
    <n v="0.01"/>
    <n v="0"/>
    <n v="29.32"/>
    <n v="11.5"/>
    <n v="0.02"/>
    <n v="29.32"/>
    <n v="-0.01"/>
    <s v="India"/>
  </r>
  <r>
    <x v="9"/>
    <x v="1"/>
    <x v="61"/>
    <x v="1"/>
    <x v="32"/>
    <x v="0"/>
    <n v="0"/>
    <n v="0"/>
    <n v="0.01"/>
    <n v="1.1000000000000001"/>
    <n v="0.81"/>
    <n v="1.92"/>
    <n v="0"/>
    <n v="-0.29000000000000004"/>
    <n v="0.01"/>
    <s v="India"/>
  </r>
  <r>
    <x v="1"/>
    <x v="0"/>
    <x v="66"/>
    <x v="1"/>
    <x v="30"/>
    <x v="5"/>
    <n v="0"/>
    <n v="0.02"/>
    <n v="0.01"/>
    <n v="0"/>
    <n v="2.09"/>
    <n v="1.02"/>
    <n v="0.02"/>
    <n v="2.09"/>
    <n v="-0.01"/>
    <s v="India"/>
  </r>
  <r>
    <x v="10"/>
    <x v="2"/>
    <x v="69"/>
    <x v="3"/>
    <x v="37"/>
    <x v="3"/>
    <n v="0"/>
    <n v="0"/>
    <n v="0.01"/>
    <n v="0"/>
    <n v="0"/>
    <n v="0.4"/>
    <n v="0"/>
    <n v="0"/>
    <n v="0.01"/>
    <s v="India"/>
  </r>
  <r>
    <x v="11"/>
    <x v="2"/>
    <x v="29"/>
    <x v="0"/>
    <x v="30"/>
    <x v="5"/>
    <n v="0.17"/>
    <n v="1.08"/>
    <n v="0.01"/>
    <n v="148.02000000000001"/>
    <n v="1092.48"/>
    <n v="3.49"/>
    <n v="0.91"/>
    <n v="944.46"/>
    <n v="-1.07"/>
    <s v="India"/>
  </r>
  <r>
    <x v="0"/>
    <x v="0"/>
    <x v="35"/>
    <x v="1"/>
    <x v="29"/>
    <x v="7"/>
    <n v="7.0000000000000007E-2"/>
    <n v="0.01"/>
    <n v="0.01"/>
    <n v="25.75"/>
    <n v="2.1800000000000002"/>
    <n v="2.91"/>
    <n v="-6.0000000000000005E-2"/>
    <n v="-23.57"/>
    <n v="0"/>
    <s v="India"/>
  </r>
  <r>
    <x v="6"/>
    <x v="2"/>
    <x v="140"/>
    <x v="1"/>
    <x v="10"/>
    <x v="3"/>
    <n v="0.01"/>
    <n v="0.19"/>
    <n v="0.01"/>
    <n v="4.25"/>
    <n v="135.66999999999999"/>
    <n v="4.58"/>
    <n v="0.18"/>
    <n v="131.41999999999999"/>
    <n v="-0.18"/>
    <s v="India"/>
  </r>
  <r>
    <x v="1"/>
    <x v="0"/>
    <x v="141"/>
    <x v="3"/>
    <x v="12"/>
    <x v="4"/>
    <n v="0"/>
    <n v="0.01"/>
    <n v="0.01"/>
    <n v="0"/>
    <n v="13.78"/>
    <n v="1.72"/>
    <n v="0.01"/>
    <n v="13.78"/>
    <n v="0"/>
    <s v="India"/>
  </r>
  <r>
    <x v="5"/>
    <x v="1"/>
    <x v="92"/>
    <x v="1"/>
    <x v="32"/>
    <x v="0"/>
    <n v="0"/>
    <n v="0.02"/>
    <n v="0.01"/>
    <n v="0"/>
    <n v="15.45"/>
    <n v="4.16"/>
    <n v="0.02"/>
    <n v="15.45"/>
    <n v="-0.01"/>
    <s v="India"/>
  </r>
  <r>
    <x v="6"/>
    <x v="2"/>
    <x v="159"/>
    <x v="3"/>
    <x v="30"/>
    <x v="5"/>
    <n v="0.04"/>
    <n v="0.06"/>
    <n v="0.01"/>
    <n v="19.600000000000001"/>
    <n v="26.13"/>
    <n v="0.69"/>
    <n v="1.9999999999999997E-2"/>
    <n v="6.5299999999999976"/>
    <n v="-4.9999999999999996E-2"/>
    <s v="India"/>
  </r>
  <r>
    <x v="9"/>
    <x v="1"/>
    <x v="26"/>
    <x v="1"/>
    <x v="16"/>
    <x v="0"/>
    <n v="0.01"/>
    <n v="0.03"/>
    <n v="0.01"/>
    <n v="17.64"/>
    <n v="31.66"/>
    <n v="8.65"/>
    <n v="1.9999999999999997E-2"/>
    <n v="14.02"/>
    <n v="-1.9999999999999997E-2"/>
    <s v="India"/>
  </r>
  <r>
    <x v="0"/>
    <x v="0"/>
    <x v="67"/>
    <x v="3"/>
    <x v="24"/>
    <x v="4"/>
    <n v="0.54"/>
    <n v="0.23"/>
    <n v="0.01"/>
    <n v="193.6"/>
    <n v="111.23"/>
    <n v="4.05"/>
    <n v="-0.31000000000000005"/>
    <n v="-82.36999999999999"/>
    <n v="-0.22"/>
    <s v="India"/>
  </r>
  <r>
    <x v="11"/>
    <x v="2"/>
    <x v="85"/>
    <x v="3"/>
    <x v="10"/>
    <x v="3"/>
    <n v="0.01"/>
    <n v="0"/>
    <n v="0.01"/>
    <n v="1.74"/>
    <n v="0.32"/>
    <n v="2.81"/>
    <n v="-0.01"/>
    <n v="-1.42"/>
    <n v="0.01"/>
    <s v="India"/>
  </r>
  <r>
    <x v="21"/>
    <x v="5"/>
    <x v="154"/>
    <x v="2"/>
    <x v="6"/>
    <x v="4"/>
    <n v="0"/>
    <n v="0.02"/>
    <n v="0.01"/>
    <n v="0.44"/>
    <n v="31.84"/>
    <n v="11.49"/>
    <n v="0.02"/>
    <n v="31.4"/>
    <n v="-0.01"/>
    <s v="India"/>
  </r>
  <r>
    <x v="4"/>
    <x v="3"/>
    <x v="95"/>
    <x v="2"/>
    <x v="35"/>
    <x v="0"/>
    <n v="0.01"/>
    <n v="0.01"/>
    <n v="0.01"/>
    <n v="65"/>
    <n v="25"/>
    <n v="30"/>
    <n v="0"/>
    <n v="-40"/>
    <n v="0"/>
    <s v="India"/>
  </r>
  <r>
    <x v="6"/>
    <x v="2"/>
    <x v="32"/>
    <x v="0"/>
    <x v="7"/>
    <x v="5"/>
    <n v="0.05"/>
    <n v="0.02"/>
    <n v="0.01"/>
    <n v="44.2"/>
    <n v="16.350000000000001"/>
    <n v="4.63"/>
    <n v="-3.0000000000000002E-2"/>
    <n v="-27.85"/>
    <n v="-0.01"/>
    <s v="India"/>
  </r>
  <r>
    <x v="5"/>
    <x v="1"/>
    <x v="9"/>
    <x v="1"/>
    <x v="32"/>
    <x v="0"/>
    <n v="0"/>
    <n v="0.01"/>
    <n v="0.01"/>
    <n v="1.42"/>
    <n v="5"/>
    <n v="2.4900000000000002"/>
    <n v="0.01"/>
    <n v="3.58"/>
    <n v="0"/>
    <s v="India"/>
  </r>
  <r>
    <x v="10"/>
    <x v="2"/>
    <x v="69"/>
    <x v="3"/>
    <x v="35"/>
    <x v="0"/>
    <n v="0.02"/>
    <n v="0.13"/>
    <n v="0.01"/>
    <n v="5.64"/>
    <n v="281.51"/>
    <n v="2.4900000000000002"/>
    <n v="0.11"/>
    <n v="275.87"/>
    <n v="-0.12000000000000001"/>
    <s v="India"/>
  </r>
  <r>
    <x v="8"/>
    <x v="4"/>
    <x v="88"/>
    <x v="1"/>
    <x v="0"/>
    <x v="0"/>
    <n v="0.12"/>
    <n v="0.06"/>
    <n v="0.01"/>
    <n v="103.21"/>
    <n v="38.75"/>
    <n v="5.14"/>
    <n v="-0.06"/>
    <n v="-64.459999999999994"/>
    <n v="-4.9999999999999996E-2"/>
    <s v="India"/>
  </r>
  <r>
    <x v="1"/>
    <x v="0"/>
    <x v="153"/>
    <x v="1"/>
    <x v="7"/>
    <x v="5"/>
    <n v="0"/>
    <n v="0.02"/>
    <n v="0.01"/>
    <n v="2"/>
    <n v="11.2"/>
    <n v="2.7"/>
    <n v="0.02"/>
    <n v="9.1999999999999993"/>
    <n v="-0.01"/>
    <s v="India"/>
  </r>
  <r>
    <x v="0"/>
    <x v="0"/>
    <x v="67"/>
    <x v="3"/>
    <x v="38"/>
    <x v="5"/>
    <n v="0.05"/>
    <n v="0.09"/>
    <n v="0.01"/>
    <n v="5.86"/>
    <n v="10.37"/>
    <n v="0.83"/>
    <n v="3.9999999999999994E-2"/>
    <n v="4.5099999999999989"/>
    <n v="-0.08"/>
    <s v="India"/>
  </r>
  <r>
    <x v="11"/>
    <x v="2"/>
    <x v="29"/>
    <x v="0"/>
    <x v="37"/>
    <x v="3"/>
    <n v="7.0000000000000007E-2"/>
    <n v="0.03"/>
    <n v="0.01"/>
    <n v="73.5"/>
    <n v="13.86"/>
    <n v="2.14"/>
    <n v="-4.0000000000000008E-2"/>
    <n v="-59.64"/>
    <n v="-1.9999999999999997E-2"/>
    <s v="India"/>
  </r>
  <r>
    <x v="7"/>
    <x v="1"/>
    <x v="25"/>
    <x v="1"/>
    <x v="4"/>
    <x v="3"/>
    <n v="0.06"/>
    <n v="0.03"/>
    <n v="0.01"/>
    <n v="6.68"/>
    <n v="3.79"/>
    <n v="2.8"/>
    <n v="-0.03"/>
    <n v="-2.8899999999999997"/>
    <n v="-1.9999999999999997E-2"/>
    <s v="India"/>
  </r>
  <r>
    <x v="10"/>
    <x v="2"/>
    <x v="28"/>
    <x v="1"/>
    <x v="0"/>
    <x v="0"/>
    <n v="0.42"/>
    <n v="0.1"/>
    <n v="0.01"/>
    <n v="170.94"/>
    <n v="81.53"/>
    <n v="3.79"/>
    <n v="-0.31999999999999995"/>
    <n v="-89.41"/>
    <n v="-9.0000000000000011E-2"/>
    <s v="India"/>
  </r>
  <r>
    <x v="3"/>
    <x v="2"/>
    <x v="170"/>
    <x v="1"/>
    <x v="3"/>
    <x v="2"/>
    <n v="0.02"/>
    <n v="0.01"/>
    <n v="0.01"/>
    <n v="17.88"/>
    <n v="10.88"/>
    <n v="6"/>
    <n v="-0.01"/>
    <n v="-6.9999999999999982"/>
    <n v="0"/>
    <s v="India"/>
  </r>
  <r>
    <x v="9"/>
    <x v="1"/>
    <x v="61"/>
    <x v="1"/>
    <x v="6"/>
    <x v="4"/>
    <n v="0"/>
    <n v="0.01"/>
    <n v="0.01"/>
    <n v="1.19"/>
    <n v="3.84"/>
    <n v="0.76"/>
    <n v="0.01"/>
    <n v="2.65"/>
    <n v="0"/>
    <s v="India"/>
  </r>
  <r>
    <x v="6"/>
    <x v="2"/>
    <x v="91"/>
    <x v="3"/>
    <x v="12"/>
    <x v="4"/>
    <n v="0.01"/>
    <n v="0.04"/>
    <n v="0.01"/>
    <n v="9.9499999999999993"/>
    <n v="34.409999999999997"/>
    <n v="3.56"/>
    <n v="0.03"/>
    <n v="24.459999999999997"/>
    <n v="-0.03"/>
    <s v="India"/>
  </r>
  <r>
    <x v="5"/>
    <x v="1"/>
    <x v="122"/>
    <x v="1"/>
    <x v="20"/>
    <x v="3"/>
    <n v="0"/>
    <n v="0.01"/>
    <n v="0.01"/>
    <n v="0"/>
    <n v="3.29"/>
    <n v="1.79"/>
    <n v="0.01"/>
    <n v="3.29"/>
    <n v="0"/>
    <s v="India"/>
  </r>
  <r>
    <x v="13"/>
    <x v="1"/>
    <x v="48"/>
    <x v="1"/>
    <x v="37"/>
    <x v="3"/>
    <n v="0.03"/>
    <n v="0.02"/>
    <n v="0.01"/>
    <n v="10.9"/>
    <n v="8.43"/>
    <n v="3.31"/>
    <n v="-9.9999999999999985E-3"/>
    <n v="-2.4700000000000006"/>
    <n v="-0.01"/>
    <s v="India"/>
  </r>
  <r>
    <x v="9"/>
    <x v="1"/>
    <x v="44"/>
    <x v="1"/>
    <x v="16"/>
    <x v="0"/>
    <n v="0"/>
    <n v="0"/>
    <n v="0.01"/>
    <n v="0"/>
    <n v="0"/>
    <n v="6"/>
    <n v="0"/>
    <n v="0"/>
    <n v="0.01"/>
    <s v="India"/>
  </r>
  <r>
    <x v="11"/>
    <x v="2"/>
    <x v="136"/>
    <x v="3"/>
    <x v="5"/>
    <x v="3"/>
    <n v="0"/>
    <n v="0"/>
    <n v="0.01"/>
    <n v="1.3"/>
    <n v="0.17"/>
    <n v="1.68"/>
    <n v="0"/>
    <n v="-1.1300000000000001"/>
    <n v="0.01"/>
    <s v="India"/>
  </r>
  <r>
    <x v="7"/>
    <x v="1"/>
    <x v="100"/>
    <x v="1"/>
    <x v="37"/>
    <x v="3"/>
    <n v="0"/>
    <n v="0"/>
    <n v="0.01"/>
    <n v="0"/>
    <n v="0.51"/>
    <n v="3.26"/>
    <n v="0"/>
    <n v="0.51"/>
    <n v="0.01"/>
    <s v="India"/>
  </r>
  <r>
    <x v="13"/>
    <x v="1"/>
    <x v="128"/>
    <x v="1"/>
    <x v="13"/>
    <x v="3"/>
    <n v="0.06"/>
    <n v="0.04"/>
    <n v="0.01"/>
    <n v="3.65"/>
    <n v="5.22"/>
    <n v="1.03"/>
    <n v="-1.9999999999999997E-2"/>
    <n v="1.5699999999999998"/>
    <n v="-0.03"/>
    <s v="India"/>
  </r>
  <r>
    <x v="9"/>
    <x v="1"/>
    <x v="129"/>
    <x v="1"/>
    <x v="5"/>
    <x v="3"/>
    <n v="0.11"/>
    <n v="0.1"/>
    <n v="0.01"/>
    <n v="82.13"/>
    <n v="74.94"/>
    <n v="2.02"/>
    <n v="-9.999999999999995E-3"/>
    <n v="-7.1899999999999977"/>
    <n v="-9.0000000000000011E-2"/>
    <s v="India"/>
  </r>
  <r>
    <x v="9"/>
    <x v="1"/>
    <x v="27"/>
    <x v="1"/>
    <x v="13"/>
    <x v="3"/>
    <n v="0.01"/>
    <n v="0.02"/>
    <n v="0.01"/>
    <n v="0.85"/>
    <n v="3.94"/>
    <n v="0.22"/>
    <n v="0.01"/>
    <n v="3.09"/>
    <n v="-0.01"/>
    <s v="India"/>
  </r>
  <r>
    <x v="6"/>
    <x v="2"/>
    <x v="115"/>
    <x v="3"/>
    <x v="38"/>
    <x v="5"/>
    <n v="0"/>
    <n v="0.01"/>
    <n v="0.01"/>
    <n v="0.27"/>
    <n v="3.85"/>
    <n v="2.1800000000000002"/>
    <n v="0.01"/>
    <n v="3.58"/>
    <n v="0"/>
    <s v="India"/>
  </r>
  <r>
    <x v="5"/>
    <x v="1"/>
    <x v="9"/>
    <x v="1"/>
    <x v="41"/>
    <x v="6"/>
    <n v="0"/>
    <n v="0"/>
    <n v="0.01"/>
    <n v="0"/>
    <n v="0.02"/>
    <n v="0.2"/>
    <n v="0"/>
    <n v="0.02"/>
    <n v="0.01"/>
    <s v="India"/>
  </r>
  <r>
    <x v="11"/>
    <x v="2"/>
    <x v="94"/>
    <x v="3"/>
    <x v="19"/>
    <x v="4"/>
    <n v="0.03"/>
    <n v="0.09"/>
    <n v="0.01"/>
    <n v="16.350000000000001"/>
    <n v="67.34"/>
    <n v="3.61"/>
    <n v="0.06"/>
    <n v="50.99"/>
    <n v="-0.08"/>
    <s v="India"/>
  </r>
  <r>
    <x v="6"/>
    <x v="2"/>
    <x v="105"/>
    <x v="1"/>
    <x v="16"/>
    <x v="0"/>
    <n v="0.01"/>
    <n v="0.03"/>
    <n v="0.01"/>
    <n v="5.86"/>
    <n v="25.73"/>
    <n v="4.67"/>
    <n v="1.9999999999999997E-2"/>
    <n v="19.87"/>
    <n v="-1.9999999999999997E-2"/>
    <s v="India"/>
  </r>
  <r>
    <x v="2"/>
    <x v="1"/>
    <x v="59"/>
    <x v="2"/>
    <x v="7"/>
    <x v="5"/>
    <n v="0.01"/>
    <n v="0.02"/>
    <n v="0.01"/>
    <n v="1.88"/>
    <n v="13.38"/>
    <n v="4.55"/>
    <n v="0.01"/>
    <n v="11.5"/>
    <n v="-0.01"/>
    <s v="India"/>
  </r>
  <r>
    <x v="2"/>
    <x v="1"/>
    <x v="6"/>
    <x v="1"/>
    <x v="6"/>
    <x v="4"/>
    <n v="0.01"/>
    <n v="0.01"/>
    <n v="0.01"/>
    <n v="0.79"/>
    <n v="0.86"/>
    <n v="0.15"/>
    <n v="0"/>
    <n v="6.9999999999999951E-2"/>
    <n v="0"/>
    <s v="India"/>
  </r>
  <r>
    <x v="14"/>
    <x v="3"/>
    <x v="53"/>
    <x v="2"/>
    <x v="30"/>
    <x v="5"/>
    <n v="0.04"/>
    <n v="0"/>
    <n v="0.01"/>
    <n v="178.87"/>
    <n v="0"/>
    <n v="4.8"/>
    <n v="-0.04"/>
    <n v="-178.87"/>
    <n v="0.01"/>
    <s v="India"/>
  </r>
  <r>
    <x v="0"/>
    <x v="0"/>
    <x v="51"/>
    <x v="4"/>
    <x v="28"/>
    <x v="5"/>
    <n v="0.06"/>
    <n v="0.03"/>
    <n v="0.01"/>
    <n v="152"/>
    <n v="95"/>
    <n v="19"/>
    <n v="-0.03"/>
    <n v="-57"/>
    <n v="-1.9999999999999997E-2"/>
    <s v="India"/>
  </r>
  <r>
    <x v="19"/>
    <x v="1"/>
    <x v="146"/>
    <x v="2"/>
    <x v="8"/>
    <x v="3"/>
    <n v="0.01"/>
    <n v="0.01"/>
    <n v="0.01"/>
    <n v="2.94"/>
    <n v="4.21"/>
    <n v="1.62"/>
    <n v="0"/>
    <n v="1.27"/>
    <n v="0"/>
    <s v="India"/>
  </r>
  <r>
    <x v="0"/>
    <x v="0"/>
    <x v="36"/>
    <x v="1"/>
    <x v="34"/>
    <x v="6"/>
    <n v="0"/>
    <n v="0"/>
    <n v="0.01"/>
    <n v="1.7"/>
    <n v="0"/>
    <n v="3.66"/>
    <n v="0"/>
    <n v="-1.7"/>
    <n v="0.01"/>
    <s v="India"/>
  </r>
  <r>
    <x v="17"/>
    <x v="5"/>
    <x v="108"/>
    <x v="2"/>
    <x v="19"/>
    <x v="4"/>
    <n v="0"/>
    <n v="0"/>
    <n v="0"/>
    <n v="0"/>
    <n v="0"/>
    <n v="8.98"/>
    <n v="0"/>
    <n v="0"/>
    <n v="0"/>
    <s v="India"/>
  </r>
  <r>
    <x v="7"/>
    <x v="1"/>
    <x v="151"/>
    <x v="1"/>
    <x v="3"/>
    <x v="2"/>
    <n v="0.01"/>
    <n v="0"/>
    <n v="0"/>
    <n v="4.24"/>
    <n v="0"/>
    <n v="3.19"/>
    <n v="-0.01"/>
    <n v="-4.24"/>
    <n v="0"/>
    <s v="India"/>
  </r>
  <r>
    <x v="6"/>
    <x v="2"/>
    <x v="12"/>
    <x v="0"/>
    <x v="41"/>
    <x v="6"/>
    <n v="0.01"/>
    <n v="0.01"/>
    <n v="0"/>
    <n v="0.48"/>
    <n v="0.64"/>
    <n v="0.22"/>
    <n v="0"/>
    <n v="0.16000000000000003"/>
    <n v="-0.01"/>
    <s v="India"/>
  </r>
  <r>
    <x v="5"/>
    <x v="1"/>
    <x v="92"/>
    <x v="1"/>
    <x v="17"/>
    <x v="5"/>
    <n v="0"/>
    <n v="0.03"/>
    <n v="0"/>
    <n v="0"/>
    <n v="22.12"/>
    <n v="0.85"/>
    <n v="0.03"/>
    <n v="22.12"/>
    <n v="-0.03"/>
    <s v="India"/>
  </r>
  <r>
    <x v="10"/>
    <x v="2"/>
    <x v="69"/>
    <x v="3"/>
    <x v="10"/>
    <x v="3"/>
    <n v="0.04"/>
    <n v="0.03"/>
    <n v="0"/>
    <n v="6.39"/>
    <n v="8.9499999999999993"/>
    <n v="1.42"/>
    <n v="-1.0000000000000002E-2"/>
    <n v="2.5599999999999996"/>
    <n v="-0.03"/>
    <s v="India"/>
  </r>
  <r>
    <x v="7"/>
    <x v="1"/>
    <x v="100"/>
    <x v="1"/>
    <x v="6"/>
    <x v="4"/>
    <n v="0.02"/>
    <n v="0.01"/>
    <n v="0"/>
    <n v="1.81"/>
    <n v="1.0900000000000001"/>
    <n v="0.28000000000000003"/>
    <n v="-0.01"/>
    <n v="-0.72"/>
    <n v="-0.01"/>
    <s v="India"/>
  </r>
  <r>
    <x v="2"/>
    <x v="1"/>
    <x v="147"/>
    <x v="4"/>
    <x v="18"/>
    <x v="7"/>
    <n v="0"/>
    <n v="0.01"/>
    <n v="0"/>
    <n v="0.1"/>
    <n v="0.21"/>
    <n v="0.1"/>
    <n v="0.01"/>
    <n v="0.10999999999999999"/>
    <n v="-0.01"/>
    <s v="India"/>
  </r>
  <r>
    <x v="6"/>
    <x v="2"/>
    <x v="49"/>
    <x v="0"/>
    <x v="22"/>
    <x v="6"/>
    <n v="0"/>
    <n v="0.01"/>
    <n v="0"/>
    <n v="0.41"/>
    <n v="0.57999999999999996"/>
    <n v="0.5"/>
    <n v="0.01"/>
    <n v="0.16999999999999998"/>
    <n v="-0.01"/>
    <s v="India"/>
  </r>
  <r>
    <x v="2"/>
    <x v="1"/>
    <x v="60"/>
    <x v="1"/>
    <x v="11"/>
    <x v="3"/>
    <n v="0"/>
    <n v="0"/>
    <n v="0"/>
    <n v="0"/>
    <n v="4.62"/>
    <n v="6.13"/>
    <n v="0"/>
    <n v="4.62"/>
    <n v="0"/>
    <s v="India"/>
  </r>
  <r>
    <x v="8"/>
    <x v="4"/>
    <x v="88"/>
    <x v="1"/>
    <x v="35"/>
    <x v="0"/>
    <n v="0"/>
    <n v="0"/>
    <n v="0"/>
    <n v="0.11"/>
    <n v="4.5199999999999996"/>
    <n v="2.52"/>
    <n v="0"/>
    <n v="4.4099999999999993"/>
    <n v="0"/>
    <s v="India"/>
  </r>
  <r>
    <x v="6"/>
    <x v="2"/>
    <x v="115"/>
    <x v="3"/>
    <x v="16"/>
    <x v="0"/>
    <n v="0.03"/>
    <n v="0"/>
    <n v="0"/>
    <n v="8.98"/>
    <n v="0.45"/>
    <n v="0.67"/>
    <n v="-0.03"/>
    <n v="-8.5300000000000011"/>
    <n v="0"/>
    <s v="India"/>
  </r>
  <r>
    <x v="2"/>
    <x v="1"/>
    <x v="107"/>
    <x v="2"/>
    <x v="6"/>
    <x v="4"/>
    <n v="0"/>
    <n v="0"/>
    <n v="0"/>
    <n v="6.07"/>
    <n v="0"/>
    <n v="28.68"/>
    <n v="0"/>
    <n v="-6.07"/>
    <n v="0"/>
    <s v="India"/>
  </r>
  <r>
    <x v="10"/>
    <x v="2"/>
    <x v="28"/>
    <x v="1"/>
    <x v="7"/>
    <x v="5"/>
    <n v="0.02"/>
    <n v="0.01"/>
    <n v="0"/>
    <n v="2"/>
    <n v="1.5"/>
    <n v="0.5"/>
    <n v="-0.01"/>
    <n v="-0.5"/>
    <n v="-0.01"/>
    <s v="India"/>
  </r>
  <r>
    <x v="5"/>
    <x v="1"/>
    <x v="15"/>
    <x v="1"/>
    <x v="3"/>
    <x v="2"/>
    <n v="0.11"/>
    <n v="0.01"/>
    <n v="0"/>
    <n v="78.95"/>
    <n v="4.7699999999999996"/>
    <n v="3.74"/>
    <n v="-0.1"/>
    <n v="-74.180000000000007"/>
    <n v="-0.01"/>
    <s v="India"/>
  </r>
  <r>
    <x v="0"/>
    <x v="0"/>
    <x v="36"/>
    <x v="1"/>
    <x v="9"/>
    <x v="6"/>
    <n v="0.05"/>
    <n v="0.01"/>
    <n v="0"/>
    <n v="29.63"/>
    <n v="7.62"/>
    <n v="2.37"/>
    <n v="-0.04"/>
    <n v="-22.009999999999998"/>
    <n v="-0.01"/>
    <s v="India"/>
  </r>
  <r>
    <x v="4"/>
    <x v="3"/>
    <x v="96"/>
    <x v="2"/>
    <x v="35"/>
    <x v="0"/>
    <n v="0"/>
    <n v="0.02"/>
    <n v="0"/>
    <n v="0"/>
    <n v="25.02"/>
    <n v="2.5"/>
    <n v="0.02"/>
    <n v="25.02"/>
    <n v="-0.02"/>
    <s v="India"/>
  </r>
  <r>
    <x v="17"/>
    <x v="5"/>
    <x v="108"/>
    <x v="2"/>
    <x v="13"/>
    <x v="3"/>
    <n v="0.02"/>
    <n v="0.01"/>
    <n v="0"/>
    <n v="6.63"/>
    <n v="4.62"/>
    <n v="1.46"/>
    <n v="-0.01"/>
    <n v="-2.0099999999999998"/>
    <n v="-0.01"/>
    <s v="India"/>
  </r>
  <r>
    <x v="7"/>
    <x v="1"/>
    <x v="25"/>
    <x v="1"/>
    <x v="30"/>
    <x v="5"/>
    <n v="0"/>
    <n v="0"/>
    <n v="0"/>
    <n v="0"/>
    <n v="0"/>
    <n v="0.17"/>
    <n v="0"/>
    <n v="0"/>
    <n v="0"/>
    <s v="India"/>
  </r>
  <r>
    <x v="7"/>
    <x v="1"/>
    <x v="25"/>
    <x v="1"/>
    <x v="2"/>
    <x v="0"/>
    <n v="0"/>
    <n v="0"/>
    <n v="0"/>
    <n v="0"/>
    <n v="0"/>
    <n v="1.91"/>
    <n v="0"/>
    <n v="0"/>
    <n v="0"/>
    <s v="India"/>
  </r>
  <r>
    <x v="3"/>
    <x v="2"/>
    <x v="172"/>
    <x v="4"/>
    <x v="10"/>
    <x v="3"/>
    <n v="0"/>
    <n v="0.06"/>
    <n v="0"/>
    <n v="0.25"/>
    <n v="20.2"/>
    <n v="0.65"/>
    <n v="0.06"/>
    <n v="19.95"/>
    <n v="-0.06"/>
    <s v="India"/>
  </r>
  <r>
    <x v="1"/>
    <x v="0"/>
    <x v="66"/>
    <x v="1"/>
    <x v="32"/>
    <x v="0"/>
    <n v="0"/>
    <n v="0"/>
    <n v="0"/>
    <n v="0"/>
    <n v="0.04"/>
    <n v="0.73"/>
    <n v="0"/>
    <n v="0.04"/>
    <n v="0"/>
    <s v="India"/>
  </r>
  <r>
    <x v="1"/>
    <x v="0"/>
    <x v="141"/>
    <x v="3"/>
    <x v="37"/>
    <x v="3"/>
    <n v="0"/>
    <n v="0"/>
    <n v="0"/>
    <n v="0"/>
    <n v="0"/>
    <n v="0.83"/>
    <n v="0"/>
    <n v="0"/>
    <n v="0"/>
    <s v="India"/>
  </r>
  <r>
    <x v="1"/>
    <x v="0"/>
    <x v="141"/>
    <x v="3"/>
    <x v="5"/>
    <x v="3"/>
    <n v="0"/>
    <n v="0"/>
    <n v="0"/>
    <n v="0"/>
    <n v="0.48"/>
    <n v="1.87"/>
    <n v="0"/>
    <n v="0.48"/>
    <n v="0"/>
    <s v="India"/>
  </r>
  <r>
    <x v="2"/>
    <x v="1"/>
    <x v="70"/>
    <x v="1"/>
    <x v="29"/>
    <x v="7"/>
    <n v="0.53"/>
    <n v="0.93"/>
    <n v="0"/>
    <n v="384"/>
    <n v="582.38"/>
    <n v="0.6"/>
    <n v="0.4"/>
    <n v="198.38"/>
    <n v="-0.93"/>
    <s v="India"/>
  </r>
  <r>
    <x v="4"/>
    <x v="3"/>
    <x v="135"/>
    <x v="2"/>
    <x v="5"/>
    <x v="3"/>
    <n v="0.02"/>
    <n v="0.01"/>
    <n v="0"/>
    <n v="10.25"/>
    <n v="7.35"/>
    <n v="2.2999999999999998"/>
    <n v="-0.01"/>
    <n v="-2.9000000000000004"/>
    <n v="-0.01"/>
    <s v="India"/>
  </r>
  <r>
    <x v="2"/>
    <x v="1"/>
    <x v="59"/>
    <x v="2"/>
    <x v="27"/>
    <x v="7"/>
    <n v="0.01"/>
    <n v="0.04"/>
    <n v="0"/>
    <n v="1.1000000000000001"/>
    <n v="3.85"/>
    <n v="0.5"/>
    <n v="0.03"/>
    <n v="2.75"/>
    <n v="-0.04"/>
    <s v="India"/>
  </r>
  <r>
    <x v="4"/>
    <x v="3"/>
    <x v="73"/>
    <x v="2"/>
    <x v="18"/>
    <x v="7"/>
    <n v="0.01"/>
    <n v="0.04"/>
    <n v="0"/>
    <n v="0.5"/>
    <n v="10.36"/>
    <n v="1.2"/>
    <n v="0.03"/>
    <n v="9.86"/>
    <n v="-0.04"/>
    <s v="India"/>
  </r>
  <r>
    <x v="10"/>
    <x v="2"/>
    <x v="28"/>
    <x v="1"/>
    <x v="40"/>
    <x v="6"/>
    <n v="0"/>
    <n v="0"/>
    <n v="0"/>
    <n v="0"/>
    <n v="0"/>
    <n v="0.41"/>
    <n v="0"/>
    <n v="0"/>
    <n v="0"/>
    <s v="India"/>
  </r>
  <r>
    <x v="21"/>
    <x v="5"/>
    <x v="154"/>
    <x v="2"/>
    <x v="12"/>
    <x v="4"/>
    <n v="0"/>
    <n v="0.01"/>
    <n v="0"/>
    <n v="0"/>
    <n v="43.26"/>
    <n v="17.25"/>
    <n v="0.01"/>
    <n v="43.26"/>
    <n v="-0.01"/>
    <s v="India"/>
  </r>
  <r>
    <x v="2"/>
    <x v="1"/>
    <x v="147"/>
    <x v="4"/>
    <x v="3"/>
    <x v="2"/>
    <n v="0"/>
    <n v="0"/>
    <n v="0"/>
    <n v="0.06"/>
    <n v="0"/>
    <n v="0.75"/>
    <n v="0"/>
    <n v="-0.06"/>
    <n v="0"/>
    <s v="India"/>
  </r>
  <r>
    <x v="1"/>
    <x v="0"/>
    <x v="98"/>
    <x v="1"/>
    <x v="6"/>
    <x v="4"/>
    <n v="7.0000000000000007E-2"/>
    <n v="0.02"/>
    <n v="0"/>
    <n v="43.12"/>
    <n v="22.02"/>
    <n v="0.65"/>
    <n v="-0.05"/>
    <n v="-21.099999999999998"/>
    <n v="-0.02"/>
    <s v="India"/>
  </r>
  <r>
    <x v="9"/>
    <x v="1"/>
    <x v="26"/>
    <x v="1"/>
    <x v="3"/>
    <x v="2"/>
    <n v="0.01"/>
    <n v="0.06"/>
    <n v="0"/>
    <n v="9.1199999999999992"/>
    <n v="45.41"/>
    <n v="3.6"/>
    <n v="4.9999999999999996E-2"/>
    <n v="36.29"/>
    <n v="-0.06"/>
    <s v="India"/>
  </r>
  <r>
    <x v="14"/>
    <x v="3"/>
    <x v="173"/>
    <x v="2"/>
    <x v="4"/>
    <x v="3"/>
    <n v="0.02"/>
    <n v="0"/>
    <n v="0"/>
    <n v="2.36"/>
    <n v="0.09"/>
    <n v="0"/>
    <n v="-0.02"/>
    <n v="-2.27"/>
    <n v="0"/>
    <s v="India"/>
  </r>
  <r>
    <x v="6"/>
    <x v="2"/>
    <x v="148"/>
    <x v="1"/>
    <x v="10"/>
    <x v="3"/>
    <n v="0.01"/>
    <n v="0.01"/>
    <n v="0"/>
    <n v="5.17"/>
    <n v="4.74"/>
    <n v="3.04"/>
    <n v="0"/>
    <n v="-0.42999999999999972"/>
    <n v="-0.01"/>
    <s v="India"/>
  </r>
  <r>
    <x v="4"/>
    <x v="3"/>
    <x v="113"/>
    <x v="3"/>
    <x v="5"/>
    <x v="3"/>
    <n v="0.01"/>
    <n v="0.01"/>
    <n v="0"/>
    <n v="8.11"/>
    <n v="13.43"/>
    <n v="1.8"/>
    <n v="0"/>
    <n v="5.32"/>
    <n v="-0.01"/>
    <s v="India"/>
  </r>
  <r>
    <x v="2"/>
    <x v="1"/>
    <x v="70"/>
    <x v="1"/>
    <x v="5"/>
    <x v="3"/>
    <n v="0"/>
    <n v="0"/>
    <n v="0"/>
    <n v="0"/>
    <n v="2.5499999999999998"/>
    <n v="1.1299999999999999"/>
    <n v="0"/>
    <n v="2.5499999999999998"/>
    <n v="0"/>
    <s v="India"/>
  </r>
  <r>
    <x v="9"/>
    <x v="1"/>
    <x v="44"/>
    <x v="1"/>
    <x v="32"/>
    <x v="0"/>
    <n v="0"/>
    <n v="0.01"/>
    <n v="0"/>
    <n v="0"/>
    <n v="5.08"/>
    <n v="4"/>
    <n v="0.01"/>
    <n v="5.08"/>
    <n v="-0.01"/>
    <s v="India"/>
  </r>
  <r>
    <x v="1"/>
    <x v="0"/>
    <x v="24"/>
    <x v="3"/>
    <x v="35"/>
    <x v="0"/>
    <n v="0"/>
    <n v="0"/>
    <n v="0"/>
    <n v="4.3099999999999996"/>
    <n v="0.15"/>
    <n v="1"/>
    <n v="0"/>
    <n v="-4.1599999999999993"/>
    <n v="0"/>
    <s v="India"/>
  </r>
  <r>
    <x v="10"/>
    <x v="2"/>
    <x v="69"/>
    <x v="3"/>
    <x v="15"/>
    <x v="0"/>
    <n v="0.11"/>
    <n v="0.14000000000000001"/>
    <n v="0"/>
    <n v="15.02"/>
    <n v="18.57"/>
    <n v="2.76"/>
    <n v="3.0000000000000013E-2"/>
    <n v="3.5500000000000007"/>
    <n v="-0.14000000000000001"/>
    <s v="India"/>
  </r>
  <r>
    <x v="0"/>
    <x v="0"/>
    <x v="51"/>
    <x v="4"/>
    <x v="32"/>
    <x v="0"/>
    <n v="0.01"/>
    <n v="0.05"/>
    <n v="0"/>
    <n v="2.08"/>
    <n v="147.57"/>
    <n v="3.05"/>
    <n v="0.04"/>
    <n v="145.48999999999998"/>
    <n v="-0.05"/>
    <s v="India"/>
  </r>
  <r>
    <x v="17"/>
    <x v="5"/>
    <x v="87"/>
    <x v="2"/>
    <x v="13"/>
    <x v="3"/>
    <n v="0"/>
    <n v="0.05"/>
    <n v="0"/>
    <n v="0.54"/>
    <n v="4.8099999999999996"/>
    <n v="1.08"/>
    <n v="0.05"/>
    <n v="4.2699999999999996"/>
    <n v="-0.05"/>
    <s v="India"/>
  </r>
  <r>
    <x v="6"/>
    <x v="2"/>
    <x v="115"/>
    <x v="3"/>
    <x v="10"/>
    <x v="3"/>
    <n v="0.01"/>
    <n v="0.01"/>
    <n v="0"/>
    <n v="3.27"/>
    <n v="9.7899999999999991"/>
    <n v="2.39"/>
    <n v="0"/>
    <n v="6.52"/>
    <n v="-0.01"/>
    <s v="India"/>
  </r>
  <r>
    <x v="5"/>
    <x v="1"/>
    <x v="92"/>
    <x v="1"/>
    <x v="40"/>
    <x v="6"/>
    <n v="0"/>
    <n v="0.01"/>
    <n v="0"/>
    <n v="0"/>
    <n v="0.69"/>
    <n v="0.27"/>
    <n v="0.01"/>
    <n v="0.69"/>
    <n v="-0.01"/>
    <s v="India"/>
  </r>
  <r>
    <x v="24"/>
    <x v="5"/>
    <x v="174"/>
    <x v="2"/>
    <x v="11"/>
    <x v="3"/>
    <n v="0"/>
    <n v="0.02"/>
    <n v="0"/>
    <n v="0"/>
    <n v="116"/>
    <n v="20"/>
    <n v="0.02"/>
    <n v="116"/>
    <n v="-0.02"/>
    <s v="India"/>
  </r>
  <r>
    <x v="17"/>
    <x v="5"/>
    <x v="108"/>
    <x v="2"/>
    <x v="38"/>
    <x v="5"/>
    <n v="0"/>
    <n v="0"/>
    <n v="0"/>
    <n v="0.7"/>
    <n v="0"/>
    <n v="1.64"/>
    <n v="0"/>
    <n v="-0.7"/>
    <n v="0"/>
    <s v="India"/>
  </r>
  <r>
    <x v="17"/>
    <x v="5"/>
    <x v="87"/>
    <x v="2"/>
    <x v="29"/>
    <x v="7"/>
    <n v="0"/>
    <n v="0"/>
    <n v="0"/>
    <n v="0"/>
    <n v="0"/>
    <n v="1.1299999999999999"/>
    <n v="0"/>
    <n v="0"/>
    <n v="0"/>
    <s v="India"/>
  </r>
  <r>
    <x v="17"/>
    <x v="5"/>
    <x v="87"/>
    <x v="2"/>
    <x v="26"/>
    <x v="0"/>
    <n v="0"/>
    <n v="0.03"/>
    <n v="0"/>
    <n v="0"/>
    <n v="88.3"/>
    <n v="12.55"/>
    <n v="0.03"/>
    <n v="88.3"/>
    <n v="-0.03"/>
    <s v="India"/>
  </r>
  <r>
    <x v="4"/>
    <x v="3"/>
    <x v="71"/>
    <x v="2"/>
    <x v="13"/>
    <x v="3"/>
    <n v="0"/>
    <n v="0"/>
    <n v="0"/>
    <n v="0.51"/>
    <n v="0.05"/>
    <n v="2"/>
    <n v="0"/>
    <n v="-0.46"/>
    <n v="0"/>
    <s v="India"/>
  </r>
  <r>
    <x v="2"/>
    <x v="1"/>
    <x v="59"/>
    <x v="2"/>
    <x v="35"/>
    <x v="0"/>
    <n v="0.1"/>
    <n v="0.06"/>
    <n v="0"/>
    <n v="214.38"/>
    <n v="197.69"/>
    <n v="10"/>
    <n v="-4.0000000000000008E-2"/>
    <n v="-16.689999999999998"/>
    <n v="-0.06"/>
    <s v="India"/>
  </r>
  <r>
    <x v="12"/>
    <x v="2"/>
    <x v="38"/>
    <x v="3"/>
    <x v="16"/>
    <x v="0"/>
    <n v="0"/>
    <n v="0.01"/>
    <n v="0"/>
    <n v="0.66"/>
    <n v="5.83"/>
    <n v="1.1599999999999999"/>
    <n v="0.01"/>
    <n v="5.17"/>
    <n v="-0.01"/>
    <s v="India"/>
  </r>
  <r>
    <x v="10"/>
    <x v="2"/>
    <x v="69"/>
    <x v="3"/>
    <x v="16"/>
    <x v="0"/>
    <n v="0.01"/>
    <n v="0"/>
    <n v="0"/>
    <n v="1.5"/>
    <n v="0.05"/>
    <n v="0.15"/>
    <n v="-0.01"/>
    <n v="-1.45"/>
    <n v="0"/>
    <s v="India"/>
  </r>
  <r>
    <x v="14"/>
    <x v="3"/>
    <x v="53"/>
    <x v="2"/>
    <x v="22"/>
    <x v="6"/>
    <n v="0"/>
    <n v="0.02"/>
    <n v="0"/>
    <n v="0"/>
    <n v="3.45"/>
    <n v="0.3"/>
    <n v="0.02"/>
    <n v="3.45"/>
    <n v="-0.02"/>
    <s v="India"/>
  </r>
  <r>
    <x v="6"/>
    <x v="2"/>
    <x v="49"/>
    <x v="0"/>
    <x v="0"/>
    <x v="0"/>
    <n v="0.01"/>
    <n v="0.02"/>
    <n v="0"/>
    <n v="6.54"/>
    <n v="8.17"/>
    <n v="2.81"/>
    <n v="0.01"/>
    <n v="1.63"/>
    <n v="-0.02"/>
    <s v="India"/>
  </r>
  <r>
    <x v="5"/>
    <x v="1"/>
    <x v="9"/>
    <x v="1"/>
    <x v="40"/>
    <x v="6"/>
    <n v="0"/>
    <n v="0"/>
    <n v="0"/>
    <n v="0.14000000000000001"/>
    <n v="0.02"/>
    <n v="0.2"/>
    <n v="0"/>
    <n v="-0.12000000000000001"/>
    <n v="0"/>
    <s v="India"/>
  </r>
  <r>
    <x v="4"/>
    <x v="3"/>
    <x v="96"/>
    <x v="2"/>
    <x v="1"/>
    <x v="1"/>
    <n v="0"/>
    <n v="0"/>
    <n v="0"/>
    <n v="0"/>
    <n v="0"/>
    <n v="3.65"/>
    <n v="0"/>
    <n v="0"/>
    <n v="0"/>
    <s v="India"/>
  </r>
  <r>
    <x v="5"/>
    <x v="1"/>
    <x v="11"/>
    <x v="1"/>
    <x v="6"/>
    <x v="4"/>
    <n v="0.01"/>
    <n v="0.01"/>
    <n v="0"/>
    <n v="2.37"/>
    <n v="3.34"/>
    <n v="0.38"/>
    <n v="0"/>
    <n v="0.96999999999999975"/>
    <n v="-0.01"/>
    <s v="India"/>
  </r>
  <r>
    <x v="0"/>
    <x v="0"/>
    <x v="67"/>
    <x v="3"/>
    <x v="16"/>
    <x v="0"/>
    <n v="0"/>
    <n v="0.01"/>
    <n v="0"/>
    <n v="0"/>
    <n v="5.75"/>
    <n v="0.5"/>
    <n v="0.01"/>
    <n v="5.75"/>
    <n v="-0.01"/>
    <s v="India"/>
  </r>
  <r>
    <x v="21"/>
    <x v="5"/>
    <x v="150"/>
    <x v="2"/>
    <x v="16"/>
    <x v="0"/>
    <n v="0"/>
    <n v="0.02"/>
    <n v="0"/>
    <n v="1.35"/>
    <n v="39.31"/>
    <n v="6.17"/>
    <n v="0.02"/>
    <n v="37.96"/>
    <n v="-0.02"/>
    <s v="India"/>
  </r>
  <r>
    <x v="23"/>
    <x v="2"/>
    <x v="168"/>
    <x v="1"/>
    <x v="11"/>
    <x v="3"/>
    <n v="0.04"/>
    <n v="0.08"/>
    <n v="0"/>
    <n v="15.92"/>
    <n v="23.13"/>
    <n v="1.37"/>
    <n v="0.04"/>
    <n v="7.2099999999999991"/>
    <n v="-0.08"/>
    <s v="India"/>
  </r>
  <r>
    <x v="8"/>
    <x v="4"/>
    <x v="88"/>
    <x v="1"/>
    <x v="36"/>
    <x v="6"/>
    <n v="0"/>
    <n v="0.02"/>
    <n v="0"/>
    <n v="0"/>
    <n v="0.34"/>
    <n v="0.24"/>
    <n v="0.02"/>
    <n v="0.34"/>
    <n v="-0.02"/>
    <s v="India"/>
  </r>
  <r>
    <x v="14"/>
    <x v="3"/>
    <x v="110"/>
    <x v="2"/>
    <x v="5"/>
    <x v="3"/>
    <n v="0.03"/>
    <n v="0"/>
    <n v="0"/>
    <n v="75.59"/>
    <n v="4.6100000000000003"/>
    <n v="5.36"/>
    <n v="-0.03"/>
    <n v="-70.98"/>
    <n v="0"/>
    <s v="India"/>
  </r>
  <r>
    <x v="6"/>
    <x v="2"/>
    <x v="159"/>
    <x v="3"/>
    <x v="10"/>
    <x v="3"/>
    <n v="0.01"/>
    <n v="0.03"/>
    <n v="0"/>
    <n v="7.81"/>
    <n v="23.14"/>
    <n v="7.07"/>
    <n v="1.9999999999999997E-2"/>
    <n v="15.330000000000002"/>
    <n v="-0.03"/>
    <s v="India"/>
  </r>
  <r>
    <x v="1"/>
    <x v="0"/>
    <x v="141"/>
    <x v="3"/>
    <x v="4"/>
    <x v="3"/>
    <n v="0"/>
    <n v="0.02"/>
    <n v="0"/>
    <n v="0"/>
    <n v="2.4300000000000002"/>
    <n v="0.47"/>
    <n v="0.02"/>
    <n v="2.4300000000000002"/>
    <n v="-0.02"/>
    <s v="India"/>
  </r>
  <r>
    <x v="7"/>
    <x v="1"/>
    <x v="25"/>
    <x v="1"/>
    <x v="16"/>
    <x v="0"/>
    <n v="0"/>
    <n v="0"/>
    <n v="0"/>
    <n v="0"/>
    <n v="1.85"/>
    <n v="1.93"/>
    <n v="0"/>
    <n v="1.85"/>
    <n v="0"/>
    <s v="India"/>
  </r>
  <r>
    <x v="11"/>
    <x v="2"/>
    <x v="79"/>
    <x v="4"/>
    <x v="6"/>
    <x v="4"/>
    <n v="0"/>
    <n v="0.03"/>
    <n v="0"/>
    <n v="0.15"/>
    <n v="6.5"/>
    <n v="0.8"/>
    <n v="0.03"/>
    <n v="6.35"/>
    <n v="-0.03"/>
    <s v="India"/>
  </r>
  <r>
    <x v="13"/>
    <x v="1"/>
    <x v="128"/>
    <x v="1"/>
    <x v="29"/>
    <x v="7"/>
    <n v="0.01"/>
    <n v="0"/>
    <n v="0"/>
    <n v="0.64"/>
    <n v="1.03"/>
    <n v="1.58"/>
    <n v="-0.01"/>
    <n v="0.39"/>
    <n v="0"/>
    <s v="India"/>
  </r>
  <r>
    <x v="7"/>
    <x v="1"/>
    <x v="58"/>
    <x v="1"/>
    <x v="6"/>
    <x v="4"/>
    <n v="0.01"/>
    <n v="0"/>
    <n v="0"/>
    <n v="3.97"/>
    <n v="0.45"/>
    <n v="0.9"/>
    <n v="-0.01"/>
    <n v="-3.52"/>
    <n v="0"/>
    <s v="India"/>
  </r>
  <r>
    <x v="7"/>
    <x v="1"/>
    <x v="100"/>
    <x v="1"/>
    <x v="18"/>
    <x v="7"/>
    <n v="0.19"/>
    <n v="0.1"/>
    <n v="0"/>
    <n v="32.36"/>
    <n v="22.3"/>
    <n v="0.4"/>
    <n v="-0.09"/>
    <n v="-10.059999999999999"/>
    <n v="-0.1"/>
    <s v="India"/>
  </r>
  <r>
    <x v="0"/>
    <x v="0"/>
    <x v="67"/>
    <x v="3"/>
    <x v="27"/>
    <x v="7"/>
    <n v="0"/>
    <n v="0.01"/>
    <n v="0"/>
    <n v="0.5"/>
    <n v="0.93"/>
    <n v="0.7"/>
    <n v="0.01"/>
    <n v="0.43000000000000005"/>
    <n v="-0.01"/>
    <s v="India"/>
  </r>
  <r>
    <x v="7"/>
    <x v="1"/>
    <x v="100"/>
    <x v="1"/>
    <x v="22"/>
    <x v="6"/>
    <n v="0.02"/>
    <n v="0.01"/>
    <n v="0"/>
    <n v="1.79"/>
    <n v="0.63"/>
    <n v="0.32"/>
    <n v="-0.01"/>
    <n v="-1.1600000000000001"/>
    <n v="-0.01"/>
    <s v="India"/>
  </r>
  <r>
    <x v="18"/>
    <x v="0"/>
    <x v="121"/>
    <x v="3"/>
    <x v="5"/>
    <x v="3"/>
    <n v="0"/>
    <n v="0"/>
    <n v="0"/>
    <n v="0.01"/>
    <n v="2.83"/>
    <n v="2.38"/>
    <n v="0"/>
    <n v="2.8200000000000003"/>
    <n v="0"/>
    <s v="India"/>
  </r>
  <r>
    <x v="4"/>
    <x v="3"/>
    <x v="135"/>
    <x v="2"/>
    <x v="11"/>
    <x v="3"/>
    <n v="0.01"/>
    <n v="0"/>
    <n v="0"/>
    <n v="14.77"/>
    <n v="4.09"/>
    <n v="5.22"/>
    <n v="-0.01"/>
    <n v="-10.68"/>
    <n v="0"/>
    <s v="India"/>
  </r>
  <r>
    <x v="6"/>
    <x v="2"/>
    <x v="22"/>
    <x v="1"/>
    <x v="32"/>
    <x v="0"/>
    <n v="0.01"/>
    <n v="0.01"/>
    <n v="0"/>
    <n v="6.63"/>
    <n v="6.38"/>
    <n v="3.73"/>
    <n v="0"/>
    <n v="-0.25"/>
    <n v="-0.01"/>
    <s v="India"/>
  </r>
  <r>
    <x v="7"/>
    <x v="1"/>
    <x v="25"/>
    <x v="1"/>
    <x v="35"/>
    <x v="0"/>
    <n v="0"/>
    <n v="0"/>
    <n v="0"/>
    <n v="1.1399999999999999"/>
    <n v="0"/>
    <n v="5"/>
    <n v="0"/>
    <n v="-1.1399999999999999"/>
    <n v="0"/>
    <s v="India"/>
  </r>
  <r>
    <x v="4"/>
    <x v="3"/>
    <x v="135"/>
    <x v="2"/>
    <x v="21"/>
    <x v="4"/>
    <n v="0"/>
    <n v="0.01"/>
    <n v="0"/>
    <n v="1.7"/>
    <n v="3.71"/>
    <n v="1.97"/>
    <n v="0.01"/>
    <n v="2.0099999999999998"/>
    <n v="-0.01"/>
    <s v="India"/>
  </r>
  <r>
    <x v="13"/>
    <x v="1"/>
    <x v="48"/>
    <x v="1"/>
    <x v="39"/>
    <x v="7"/>
    <n v="0.01"/>
    <n v="0.02"/>
    <n v="0"/>
    <n v="0.48"/>
    <n v="0.83"/>
    <n v="0.1"/>
    <n v="0.01"/>
    <n v="0.35"/>
    <n v="-0.02"/>
    <s v="India"/>
  </r>
  <r>
    <x v="13"/>
    <x v="1"/>
    <x v="128"/>
    <x v="1"/>
    <x v="16"/>
    <x v="0"/>
    <n v="0"/>
    <n v="0.01"/>
    <n v="0"/>
    <n v="1.44"/>
    <n v="15.2"/>
    <n v="4.66"/>
    <n v="0.01"/>
    <n v="13.76"/>
    <n v="-0.01"/>
    <s v="India"/>
  </r>
  <r>
    <x v="0"/>
    <x v="0"/>
    <x v="0"/>
    <x v="0"/>
    <x v="33"/>
    <x v="7"/>
    <n v="0.11"/>
    <n v="0"/>
    <n v="0"/>
    <n v="36.200000000000003"/>
    <n v="0.25"/>
    <n v="0.4"/>
    <n v="-0.11"/>
    <n v="-35.950000000000003"/>
    <n v="0"/>
    <s v="India"/>
  </r>
  <r>
    <x v="14"/>
    <x v="3"/>
    <x v="39"/>
    <x v="2"/>
    <x v="39"/>
    <x v="7"/>
    <n v="0"/>
    <n v="0"/>
    <n v="0"/>
    <n v="0.03"/>
    <n v="0.19"/>
    <n v="0.2"/>
    <n v="0"/>
    <n v="0.16"/>
    <n v="0"/>
    <s v="India"/>
  </r>
  <r>
    <x v="13"/>
    <x v="1"/>
    <x v="33"/>
    <x v="3"/>
    <x v="20"/>
    <x v="3"/>
    <n v="0"/>
    <n v="0"/>
    <n v="0"/>
    <n v="0.03"/>
    <n v="0.12"/>
    <n v="0.26"/>
    <n v="0"/>
    <n v="0.09"/>
    <n v="0"/>
    <s v="India"/>
  </r>
  <r>
    <x v="8"/>
    <x v="4"/>
    <x v="118"/>
    <x v="3"/>
    <x v="24"/>
    <x v="4"/>
    <n v="0"/>
    <n v="0.01"/>
    <n v="0"/>
    <n v="0"/>
    <n v="21.08"/>
    <n v="7.04"/>
    <n v="0.01"/>
    <n v="21.08"/>
    <n v="-0.01"/>
    <s v="India"/>
  </r>
  <r>
    <x v="1"/>
    <x v="0"/>
    <x v="66"/>
    <x v="1"/>
    <x v="22"/>
    <x v="6"/>
    <n v="0"/>
    <n v="0"/>
    <n v="0"/>
    <n v="0"/>
    <n v="0.24"/>
    <n v="0.25"/>
    <n v="0"/>
    <n v="0.24"/>
    <n v="0"/>
    <s v="India"/>
  </r>
  <r>
    <x v="11"/>
    <x v="2"/>
    <x v="85"/>
    <x v="3"/>
    <x v="8"/>
    <x v="3"/>
    <n v="0.01"/>
    <n v="0.04"/>
    <n v="0"/>
    <n v="6.96"/>
    <n v="7.9"/>
    <n v="2.11"/>
    <n v="0.03"/>
    <n v="0.94000000000000039"/>
    <n v="-0.04"/>
    <s v="India"/>
  </r>
  <r>
    <x v="5"/>
    <x v="1"/>
    <x v="9"/>
    <x v="1"/>
    <x v="7"/>
    <x v="5"/>
    <n v="0"/>
    <n v="0"/>
    <n v="0"/>
    <n v="3.75"/>
    <n v="1.51"/>
    <n v="2.98"/>
    <n v="0"/>
    <n v="-2.2400000000000002"/>
    <n v="0"/>
    <s v="India"/>
  </r>
  <r>
    <x v="0"/>
    <x v="0"/>
    <x v="54"/>
    <x v="1"/>
    <x v="35"/>
    <x v="0"/>
    <n v="0"/>
    <n v="0"/>
    <n v="0"/>
    <n v="2.6"/>
    <n v="11.06"/>
    <n v="10.38"/>
    <n v="0"/>
    <n v="8.4600000000000009"/>
    <n v="0"/>
    <s v="India"/>
  </r>
  <r>
    <x v="12"/>
    <x v="2"/>
    <x v="30"/>
    <x v="1"/>
    <x v="34"/>
    <x v="6"/>
    <n v="0"/>
    <n v="0.01"/>
    <n v="0"/>
    <n v="1.95"/>
    <n v="2.21"/>
    <n v="1.9"/>
    <n v="0.01"/>
    <n v="0.26"/>
    <n v="-0.01"/>
    <s v="India"/>
  </r>
  <r>
    <x v="6"/>
    <x v="2"/>
    <x v="105"/>
    <x v="1"/>
    <x v="11"/>
    <x v="3"/>
    <n v="0.05"/>
    <n v="2.52"/>
    <n v="0"/>
    <n v="27.03"/>
    <n v="1568.22"/>
    <n v="1.08"/>
    <n v="2.4700000000000002"/>
    <n v="1541.19"/>
    <n v="-2.52"/>
    <s v="India"/>
  </r>
  <r>
    <x v="1"/>
    <x v="0"/>
    <x v="162"/>
    <x v="3"/>
    <x v="24"/>
    <x v="4"/>
    <n v="0.03"/>
    <n v="0.02"/>
    <n v="0"/>
    <n v="23.19"/>
    <n v="14.5"/>
    <n v="4.3600000000000003"/>
    <n v="-9.9999999999999985E-3"/>
    <n v="-8.6900000000000013"/>
    <n v="-0.02"/>
    <s v="India"/>
  </r>
  <r>
    <x v="1"/>
    <x v="0"/>
    <x v="24"/>
    <x v="3"/>
    <x v="37"/>
    <x v="3"/>
    <n v="0.02"/>
    <n v="0.01"/>
    <n v="0"/>
    <n v="6.12"/>
    <n v="2.4300000000000002"/>
    <n v="0.56000000000000005"/>
    <n v="-0.01"/>
    <n v="-3.69"/>
    <n v="-0.01"/>
    <s v="India"/>
  </r>
  <r>
    <x v="0"/>
    <x v="0"/>
    <x v="72"/>
    <x v="4"/>
    <x v="8"/>
    <x v="3"/>
    <n v="0.24"/>
    <n v="0.01"/>
    <n v="0"/>
    <n v="84.2"/>
    <n v="1.85"/>
    <n v="0.53"/>
    <n v="-0.22999999999999998"/>
    <n v="-82.350000000000009"/>
    <n v="-0.01"/>
    <s v="India"/>
  </r>
  <r>
    <x v="21"/>
    <x v="5"/>
    <x v="150"/>
    <x v="2"/>
    <x v="38"/>
    <x v="5"/>
    <n v="0.01"/>
    <n v="0.01"/>
    <n v="0"/>
    <n v="1.84"/>
    <n v="3.47"/>
    <n v="1.93"/>
    <n v="0"/>
    <n v="1.6300000000000001"/>
    <n v="-0.01"/>
    <s v="India"/>
  </r>
  <r>
    <x v="21"/>
    <x v="5"/>
    <x v="154"/>
    <x v="2"/>
    <x v="16"/>
    <x v="0"/>
    <n v="0"/>
    <n v="0.01"/>
    <n v="0"/>
    <n v="0"/>
    <n v="13.62"/>
    <n v="7.1"/>
    <n v="0.01"/>
    <n v="13.62"/>
    <n v="-0.01"/>
    <s v="India"/>
  </r>
  <r>
    <x v="6"/>
    <x v="2"/>
    <x v="91"/>
    <x v="3"/>
    <x v="22"/>
    <x v="6"/>
    <n v="0"/>
    <n v="0.33"/>
    <n v="0"/>
    <n v="0.15"/>
    <n v="34.630000000000003"/>
    <n v="0.21"/>
    <n v="0.33"/>
    <n v="34.480000000000004"/>
    <n v="-0.33"/>
    <s v="India"/>
  </r>
  <r>
    <x v="6"/>
    <x v="2"/>
    <x v="159"/>
    <x v="3"/>
    <x v="22"/>
    <x v="6"/>
    <n v="0"/>
    <n v="0.01"/>
    <n v="0"/>
    <n v="0"/>
    <n v="2.44"/>
    <n v="1.24"/>
    <n v="0.01"/>
    <n v="2.44"/>
    <n v="-0.01"/>
    <s v="India"/>
  </r>
  <r>
    <x v="10"/>
    <x v="2"/>
    <x v="69"/>
    <x v="3"/>
    <x v="7"/>
    <x v="5"/>
    <n v="0.01"/>
    <n v="0.01"/>
    <n v="0"/>
    <n v="0.25"/>
    <n v="0.2"/>
    <n v="0.13"/>
    <n v="0"/>
    <n v="-4.9999999999999989E-2"/>
    <n v="-0.01"/>
    <s v="India"/>
  </r>
  <r>
    <x v="23"/>
    <x v="2"/>
    <x v="168"/>
    <x v="1"/>
    <x v="6"/>
    <x v="4"/>
    <n v="0.01"/>
    <n v="0"/>
    <n v="0"/>
    <n v="1.25"/>
    <n v="0.13"/>
    <n v="0.27"/>
    <n v="-0.01"/>
    <n v="-1.1200000000000001"/>
    <n v="0"/>
    <s v="India"/>
  </r>
  <r>
    <x v="14"/>
    <x v="3"/>
    <x v="124"/>
    <x v="3"/>
    <x v="4"/>
    <x v="3"/>
    <n v="0.01"/>
    <n v="0"/>
    <n v="0"/>
    <n v="0.03"/>
    <n v="0"/>
    <n v="0.61"/>
    <n v="-0.01"/>
    <n v="-0.03"/>
    <n v="0"/>
    <s v="India"/>
  </r>
  <r>
    <x v="23"/>
    <x v="2"/>
    <x v="168"/>
    <x v="1"/>
    <x v="22"/>
    <x v="6"/>
    <n v="0.03"/>
    <n v="0.08"/>
    <n v="0"/>
    <n v="2.21"/>
    <n v="5.82"/>
    <n v="0.3"/>
    <n v="0.05"/>
    <n v="3.6100000000000003"/>
    <n v="-0.08"/>
    <s v="India"/>
  </r>
  <r>
    <x v="7"/>
    <x v="1"/>
    <x v="100"/>
    <x v="1"/>
    <x v="35"/>
    <x v="0"/>
    <n v="0.03"/>
    <n v="0.03"/>
    <n v="0"/>
    <n v="76.14"/>
    <n v="30.35"/>
    <n v="2.1800000000000002"/>
    <n v="0"/>
    <n v="-45.79"/>
    <n v="-0.03"/>
    <s v="India"/>
  </r>
  <r>
    <x v="17"/>
    <x v="5"/>
    <x v="138"/>
    <x v="2"/>
    <x v="4"/>
    <x v="3"/>
    <n v="0.09"/>
    <n v="0.08"/>
    <n v="0"/>
    <n v="13.63"/>
    <n v="16.04"/>
    <n v="0.99"/>
    <n v="-9.999999999999995E-3"/>
    <n v="2.4099999999999984"/>
    <n v="-0.08"/>
    <s v="India"/>
  </r>
  <r>
    <x v="0"/>
    <x v="0"/>
    <x v="4"/>
    <x v="0"/>
    <x v="15"/>
    <x v="0"/>
    <n v="0.04"/>
    <n v="12.19"/>
    <n v="0"/>
    <n v="125.68"/>
    <n v="53629"/>
    <n v="9.9499999999999993"/>
    <n v="12.15"/>
    <n v="53503.32"/>
    <n v="-12.19"/>
    <s v="India"/>
  </r>
  <r>
    <x v="2"/>
    <x v="1"/>
    <x v="107"/>
    <x v="2"/>
    <x v="24"/>
    <x v="4"/>
    <n v="2.7"/>
    <n v="0.49"/>
    <n v="0"/>
    <n v="19861.599999999999"/>
    <n v="2882.07"/>
    <n v="26.03"/>
    <n v="-2.21"/>
    <n v="-16979.53"/>
    <n v="-0.49"/>
    <s v="India"/>
  </r>
  <r>
    <x v="14"/>
    <x v="3"/>
    <x v="106"/>
    <x v="2"/>
    <x v="19"/>
    <x v="4"/>
    <n v="0"/>
    <n v="0.01"/>
    <n v="0"/>
    <n v="8.4600000000000009"/>
    <n v="16.989999999999998"/>
    <n v="6.49"/>
    <n v="0.01"/>
    <n v="8.5299999999999976"/>
    <n v="-0.01"/>
    <s v="India"/>
  </r>
  <r>
    <x v="4"/>
    <x v="3"/>
    <x v="76"/>
    <x v="2"/>
    <x v="13"/>
    <x v="3"/>
    <n v="0"/>
    <n v="0"/>
    <n v="0"/>
    <n v="0"/>
    <n v="0"/>
    <n v="2.57"/>
    <n v="0"/>
    <n v="0"/>
    <n v="0"/>
    <s v="India"/>
  </r>
  <r>
    <x v="21"/>
    <x v="5"/>
    <x v="154"/>
    <x v="2"/>
    <x v="4"/>
    <x v="3"/>
    <n v="0.03"/>
    <n v="0.03"/>
    <n v="0"/>
    <n v="1.46"/>
    <n v="7.97"/>
    <n v="0.71"/>
    <n v="0"/>
    <n v="6.51"/>
    <n v="-0.03"/>
    <s v="India"/>
  </r>
  <r>
    <x v="6"/>
    <x v="2"/>
    <x v="105"/>
    <x v="1"/>
    <x v="32"/>
    <x v="0"/>
    <n v="0.01"/>
    <n v="0.01"/>
    <n v="0"/>
    <n v="3.35"/>
    <n v="5.09"/>
    <n v="1.54"/>
    <n v="0"/>
    <n v="1.7399999999999998"/>
    <n v="-0.01"/>
    <s v="India"/>
  </r>
  <r>
    <x v="11"/>
    <x v="2"/>
    <x v="64"/>
    <x v="3"/>
    <x v="3"/>
    <x v="2"/>
    <n v="0"/>
    <n v="0.01"/>
    <n v="0"/>
    <n v="1.61"/>
    <n v="7.94"/>
    <n v="1.73"/>
    <n v="0.01"/>
    <n v="6.33"/>
    <n v="-0.01"/>
    <s v="India"/>
  </r>
  <r>
    <x v="1"/>
    <x v="0"/>
    <x v="98"/>
    <x v="1"/>
    <x v="13"/>
    <x v="3"/>
    <n v="0.02"/>
    <n v="0.02"/>
    <n v="0"/>
    <n v="8.4"/>
    <n v="3.51"/>
    <n v="0.39"/>
    <n v="0"/>
    <n v="-4.8900000000000006"/>
    <n v="-0.02"/>
    <s v="India"/>
  </r>
  <r>
    <x v="9"/>
    <x v="1"/>
    <x v="26"/>
    <x v="1"/>
    <x v="5"/>
    <x v="3"/>
    <n v="0.02"/>
    <n v="0.04"/>
    <n v="0"/>
    <n v="12.87"/>
    <n v="17.510000000000002"/>
    <n v="1.82"/>
    <n v="0.02"/>
    <n v="4.6400000000000023"/>
    <n v="-0.04"/>
    <s v="India"/>
  </r>
  <r>
    <x v="10"/>
    <x v="2"/>
    <x v="42"/>
    <x v="1"/>
    <x v="29"/>
    <x v="7"/>
    <n v="0"/>
    <n v="0"/>
    <n v="0"/>
    <n v="0"/>
    <n v="1"/>
    <n v="1"/>
    <n v="0"/>
    <n v="1"/>
    <n v="0"/>
    <s v="India"/>
  </r>
  <r>
    <x v="6"/>
    <x v="2"/>
    <x v="91"/>
    <x v="3"/>
    <x v="29"/>
    <x v="7"/>
    <n v="0.01"/>
    <n v="0.01"/>
    <n v="0"/>
    <n v="0.81"/>
    <n v="0.78"/>
    <n v="0.35"/>
    <n v="0"/>
    <n v="-3.0000000000000027E-2"/>
    <n v="-0.01"/>
    <s v="India"/>
  </r>
  <r>
    <x v="2"/>
    <x v="1"/>
    <x v="14"/>
    <x v="1"/>
    <x v="26"/>
    <x v="0"/>
    <n v="0"/>
    <n v="0"/>
    <n v="0"/>
    <n v="0"/>
    <n v="0"/>
    <n v="4.72"/>
    <n v="0"/>
    <n v="0"/>
    <n v="0"/>
    <s v="India"/>
  </r>
  <r>
    <x v="13"/>
    <x v="1"/>
    <x v="33"/>
    <x v="3"/>
    <x v="36"/>
    <x v="6"/>
    <n v="0"/>
    <n v="0.03"/>
    <n v="0"/>
    <n v="0.35"/>
    <n v="2.2000000000000002"/>
    <n v="0.16"/>
    <n v="0.03"/>
    <n v="1.85"/>
    <n v="-0.03"/>
    <s v="India"/>
  </r>
  <r>
    <x v="8"/>
    <x v="4"/>
    <x v="88"/>
    <x v="1"/>
    <x v="18"/>
    <x v="7"/>
    <n v="1.19"/>
    <n v="0.05"/>
    <n v="0"/>
    <n v="320.27999999999997"/>
    <n v="42.79"/>
    <n v="0.57999999999999996"/>
    <n v="-1.1399999999999999"/>
    <n v="-277.48999999999995"/>
    <n v="-0.05"/>
    <s v="India"/>
  </r>
  <r>
    <x v="7"/>
    <x v="1"/>
    <x v="25"/>
    <x v="1"/>
    <x v="0"/>
    <x v="0"/>
    <n v="0.02"/>
    <n v="0"/>
    <n v="0"/>
    <n v="20"/>
    <n v="0"/>
    <n v="0.95"/>
    <n v="-0.02"/>
    <n v="-20"/>
    <n v="0"/>
    <s v="India"/>
  </r>
  <r>
    <x v="6"/>
    <x v="2"/>
    <x v="22"/>
    <x v="1"/>
    <x v="33"/>
    <x v="7"/>
    <n v="0"/>
    <n v="0"/>
    <n v="0"/>
    <n v="0"/>
    <n v="0"/>
    <n v="0.3"/>
    <n v="0"/>
    <n v="0"/>
    <n v="0"/>
    <s v="India"/>
  </r>
  <r>
    <x v="17"/>
    <x v="5"/>
    <x v="108"/>
    <x v="2"/>
    <x v="15"/>
    <x v="0"/>
    <n v="0.15"/>
    <n v="0"/>
    <n v="0"/>
    <n v="325.56"/>
    <n v="7.97"/>
    <n v="10.01"/>
    <n v="-0.15"/>
    <n v="-317.58999999999997"/>
    <n v="0"/>
    <s v="India"/>
  </r>
  <r>
    <x v="5"/>
    <x v="1"/>
    <x v="92"/>
    <x v="1"/>
    <x v="37"/>
    <x v="3"/>
    <n v="0.01"/>
    <n v="0.03"/>
    <n v="0"/>
    <n v="4.08"/>
    <n v="13.68"/>
    <n v="1.1000000000000001"/>
    <n v="1.9999999999999997E-2"/>
    <n v="9.6"/>
    <n v="-0.03"/>
    <s v="India"/>
  </r>
  <r>
    <x v="12"/>
    <x v="2"/>
    <x v="145"/>
    <x v="3"/>
    <x v="5"/>
    <x v="3"/>
    <n v="0"/>
    <n v="0.01"/>
    <n v="0"/>
    <n v="0.18"/>
    <n v="6.23"/>
    <n v="0.65"/>
    <n v="0.01"/>
    <n v="6.0500000000000007"/>
    <n v="-0.01"/>
    <s v="India"/>
  </r>
  <r>
    <x v="6"/>
    <x v="2"/>
    <x v="132"/>
    <x v="3"/>
    <x v="0"/>
    <x v="0"/>
    <n v="0"/>
    <n v="0"/>
    <n v="0"/>
    <n v="0"/>
    <n v="0"/>
    <n v="0.67"/>
    <n v="0"/>
    <n v="0"/>
    <n v="0"/>
    <s v="India"/>
  </r>
  <r>
    <x v="1"/>
    <x v="0"/>
    <x v="24"/>
    <x v="3"/>
    <x v="3"/>
    <x v="2"/>
    <n v="7.0000000000000007E-2"/>
    <n v="0.02"/>
    <n v="0"/>
    <n v="45.56"/>
    <n v="10.91"/>
    <n v="0.4"/>
    <n v="-0.05"/>
    <n v="-34.650000000000006"/>
    <n v="-0.02"/>
    <s v="India"/>
  </r>
  <r>
    <x v="2"/>
    <x v="1"/>
    <x v="68"/>
    <x v="1"/>
    <x v="35"/>
    <x v="0"/>
    <n v="0"/>
    <n v="0.02"/>
    <n v="0"/>
    <n v="3.12"/>
    <n v="28.48"/>
    <n v="1.39"/>
    <n v="0.02"/>
    <n v="25.36"/>
    <n v="-0.02"/>
    <s v="India"/>
  </r>
  <r>
    <x v="7"/>
    <x v="1"/>
    <x v="151"/>
    <x v="1"/>
    <x v="8"/>
    <x v="3"/>
    <n v="0"/>
    <n v="0"/>
    <n v="0"/>
    <n v="0"/>
    <n v="0"/>
    <n v="0.2"/>
    <n v="0"/>
    <n v="0"/>
    <n v="0"/>
    <s v="India"/>
  </r>
  <r>
    <x v="21"/>
    <x v="5"/>
    <x v="150"/>
    <x v="2"/>
    <x v="5"/>
    <x v="3"/>
    <n v="0.15"/>
    <n v="0.09"/>
    <n v="0"/>
    <n v="158.74"/>
    <n v="132.52000000000001"/>
    <n v="3.5"/>
    <n v="-0.06"/>
    <n v="-26.22"/>
    <n v="-0.09"/>
    <s v="India"/>
  </r>
  <r>
    <x v="6"/>
    <x v="2"/>
    <x v="22"/>
    <x v="1"/>
    <x v="18"/>
    <x v="7"/>
    <n v="0.09"/>
    <n v="0.41"/>
    <n v="0"/>
    <n v="12.22"/>
    <n v="56.36"/>
    <n v="0.28000000000000003"/>
    <n v="0.31999999999999995"/>
    <n v="44.14"/>
    <n v="-0.41"/>
    <s v="India"/>
  </r>
  <r>
    <x v="11"/>
    <x v="2"/>
    <x v="29"/>
    <x v="0"/>
    <x v="7"/>
    <x v="5"/>
    <n v="0.01"/>
    <n v="0.01"/>
    <n v="0"/>
    <n v="2.21"/>
    <n v="3.24"/>
    <n v="1.35"/>
    <n v="0"/>
    <n v="1.0300000000000002"/>
    <n v="-0.01"/>
    <s v="India"/>
  </r>
  <r>
    <x v="1"/>
    <x v="0"/>
    <x v="98"/>
    <x v="1"/>
    <x v="15"/>
    <x v="0"/>
    <n v="0"/>
    <n v="0"/>
    <n v="0"/>
    <n v="0"/>
    <n v="0"/>
    <n v="6.6"/>
    <n v="0"/>
    <n v="0"/>
    <n v="0"/>
    <s v="India"/>
  </r>
  <r>
    <x v="9"/>
    <x v="1"/>
    <x v="26"/>
    <x v="1"/>
    <x v="10"/>
    <x v="3"/>
    <n v="0.32"/>
    <n v="0.37"/>
    <n v="0"/>
    <n v="228.13"/>
    <n v="268.70999999999998"/>
    <n v="0.66"/>
    <n v="4.9999999999999989E-2"/>
    <n v="40.579999999999984"/>
    <n v="-0.37"/>
    <s v="India"/>
  </r>
  <r>
    <x v="9"/>
    <x v="1"/>
    <x v="27"/>
    <x v="1"/>
    <x v="40"/>
    <x v="6"/>
    <n v="0"/>
    <n v="0.03"/>
    <n v="0"/>
    <n v="0.42"/>
    <n v="1.95"/>
    <n v="0.19"/>
    <n v="0.03"/>
    <n v="1.53"/>
    <n v="-0.03"/>
    <s v="India"/>
  </r>
  <r>
    <x v="4"/>
    <x v="3"/>
    <x v="63"/>
    <x v="2"/>
    <x v="35"/>
    <x v="0"/>
    <n v="0"/>
    <n v="0.01"/>
    <n v="0"/>
    <n v="6.7"/>
    <n v="11.62"/>
    <n v="4.17"/>
    <n v="0.01"/>
    <n v="4.919999999999999"/>
    <n v="-0.01"/>
    <s v="India"/>
  </r>
  <r>
    <x v="17"/>
    <x v="5"/>
    <x v="87"/>
    <x v="2"/>
    <x v="40"/>
    <x v="6"/>
    <n v="0"/>
    <n v="0"/>
    <n v="0"/>
    <n v="0"/>
    <n v="0.49"/>
    <n v="0.15"/>
    <n v="0"/>
    <n v="0.49"/>
    <n v="0"/>
    <s v="India"/>
  </r>
  <r>
    <x v="2"/>
    <x v="1"/>
    <x v="112"/>
    <x v="2"/>
    <x v="20"/>
    <x v="3"/>
    <n v="0"/>
    <n v="0.01"/>
    <n v="0"/>
    <n v="0"/>
    <n v="62.97"/>
    <n v="13.76"/>
    <n v="0.01"/>
    <n v="62.97"/>
    <n v="-0.01"/>
    <s v="India"/>
  </r>
  <r>
    <x v="21"/>
    <x v="5"/>
    <x v="150"/>
    <x v="2"/>
    <x v="21"/>
    <x v="4"/>
    <n v="0.01"/>
    <n v="0"/>
    <n v="0"/>
    <n v="5.72"/>
    <n v="3.32"/>
    <n v="2.0099999999999998"/>
    <n v="-0.01"/>
    <n v="-2.4"/>
    <n v="0"/>
    <s v="India"/>
  </r>
  <r>
    <x v="2"/>
    <x v="1"/>
    <x v="112"/>
    <x v="2"/>
    <x v="5"/>
    <x v="3"/>
    <n v="0"/>
    <n v="0"/>
    <n v="0"/>
    <n v="0"/>
    <n v="17.32"/>
    <n v="13.85"/>
    <n v="0"/>
    <n v="17.32"/>
    <n v="0"/>
    <s v="India"/>
  </r>
  <r>
    <x v="6"/>
    <x v="2"/>
    <x v="105"/>
    <x v="1"/>
    <x v="35"/>
    <x v="0"/>
    <n v="0.01"/>
    <n v="0.02"/>
    <n v="0"/>
    <n v="2.1"/>
    <n v="10.130000000000001"/>
    <n v="1.1499999999999999"/>
    <n v="0.01"/>
    <n v="8.0300000000000011"/>
    <n v="-0.02"/>
    <s v="India"/>
  </r>
  <r>
    <x v="10"/>
    <x v="2"/>
    <x v="42"/>
    <x v="1"/>
    <x v="18"/>
    <x v="7"/>
    <n v="0"/>
    <n v="0"/>
    <n v="0"/>
    <n v="0"/>
    <n v="0"/>
    <n v="0.26"/>
    <n v="0"/>
    <n v="0"/>
    <n v="0"/>
    <s v="India"/>
  </r>
  <r>
    <x v="6"/>
    <x v="2"/>
    <x v="140"/>
    <x v="1"/>
    <x v="5"/>
    <x v="3"/>
    <n v="0"/>
    <n v="0.01"/>
    <n v="0"/>
    <n v="0.18"/>
    <n v="2.65"/>
    <n v="0.55000000000000004"/>
    <n v="0.01"/>
    <n v="2.4699999999999998"/>
    <n v="-0.01"/>
    <s v="India"/>
  </r>
  <r>
    <x v="12"/>
    <x v="2"/>
    <x v="38"/>
    <x v="3"/>
    <x v="39"/>
    <x v="7"/>
    <n v="0"/>
    <n v="0.05"/>
    <n v="0"/>
    <n v="7.0000000000000007E-2"/>
    <n v="1.39"/>
    <n v="0.17"/>
    <n v="0.05"/>
    <n v="1.3199999999999998"/>
    <n v="-0.05"/>
    <s v="India"/>
  </r>
  <r>
    <x v="2"/>
    <x v="1"/>
    <x v="68"/>
    <x v="1"/>
    <x v="18"/>
    <x v="7"/>
    <n v="0"/>
    <n v="0.01"/>
    <n v="0"/>
    <n v="0"/>
    <n v="0.38"/>
    <n v="0.11"/>
    <n v="0.01"/>
    <n v="0.38"/>
    <n v="-0.01"/>
    <s v="India"/>
  </r>
  <r>
    <x v="13"/>
    <x v="1"/>
    <x v="33"/>
    <x v="3"/>
    <x v="28"/>
    <x v="5"/>
    <n v="0"/>
    <n v="0"/>
    <n v="0"/>
    <n v="0.03"/>
    <n v="0"/>
    <n v="0.06"/>
    <n v="0"/>
    <n v="-0.03"/>
    <n v="0"/>
    <s v="India"/>
  </r>
  <r>
    <x v="12"/>
    <x v="2"/>
    <x v="38"/>
    <x v="3"/>
    <x v="38"/>
    <x v="5"/>
    <n v="0.04"/>
    <n v="0.25"/>
    <n v="0"/>
    <n v="3.66"/>
    <n v="21.52"/>
    <n v="0.17"/>
    <n v="0.21"/>
    <n v="17.86"/>
    <n v="-0.25"/>
    <s v="India"/>
  </r>
  <r>
    <x v="21"/>
    <x v="5"/>
    <x v="154"/>
    <x v="2"/>
    <x v="11"/>
    <x v="3"/>
    <n v="0"/>
    <n v="0"/>
    <n v="0"/>
    <n v="0"/>
    <n v="3.38"/>
    <n v="4.6500000000000004"/>
    <n v="0"/>
    <n v="3.38"/>
    <n v="0"/>
    <s v="India"/>
  </r>
  <r>
    <x v="23"/>
    <x v="2"/>
    <x v="168"/>
    <x v="1"/>
    <x v="4"/>
    <x v="3"/>
    <n v="0"/>
    <n v="0.03"/>
    <n v="0"/>
    <n v="2.23"/>
    <n v="17.739999999999998"/>
    <n v="0.71"/>
    <n v="0.03"/>
    <n v="15.509999999999998"/>
    <n v="-0.03"/>
    <s v="India"/>
  </r>
  <r>
    <x v="17"/>
    <x v="5"/>
    <x v="87"/>
    <x v="2"/>
    <x v="35"/>
    <x v="0"/>
    <n v="0"/>
    <n v="0.01"/>
    <n v="0"/>
    <n v="8"/>
    <n v="17.8"/>
    <n v="2.64"/>
    <n v="0.01"/>
    <n v="9.8000000000000007"/>
    <n v="-0.01"/>
    <s v="India"/>
  </r>
  <r>
    <x v="21"/>
    <x v="5"/>
    <x v="150"/>
    <x v="2"/>
    <x v="0"/>
    <x v="0"/>
    <n v="0"/>
    <n v="0"/>
    <n v="0"/>
    <n v="0"/>
    <n v="2.1800000000000002"/>
    <n v="4.5199999999999996"/>
    <n v="0"/>
    <n v="2.1800000000000002"/>
    <n v="0"/>
    <s v="India"/>
  </r>
  <r>
    <x v="12"/>
    <x v="2"/>
    <x v="38"/>
    <x v="3"/>
    <x v="20"/>
    <x v="3"/>
    <n v="0.03"/>
    <n v="0.04"/>
    <n v="0"/>
    <n v="18.649999999999999"/>
    <n v="27.1"/>
    <n v="2.23"/>
    <n v="1.0000000000000002E-2"/>
    <n v="8.4500000000000028"/>
    <n v="-0.04"/>
    <s v="India"/>
  </r>
  <r>
    <x v="1"/>
    <x v="0"/>
    <x v="24"/>
    <x v="3"/>
    <x v="0"/>
    <x v="0"/>
    <n v="0"/>
    <n v="0.01"/>
    <n v="0"/>
    <n v="0"/>
    <n v="5.0599999999999996"/>
    <n v="0.79"/>
    <n v="0.01"/>
    <n v="5.0599999999999996"/>
    <n v="-0.01"/>
    <s v="India"/>
  </r>
  <r>
    <x v="2"/>
    <x v="1"/>
    <x v="57"/>
    <x v="1"/>
    <x v="2"/>
    <x v="0"/>
    <n v="0.22"/>
    <n v="1.71"/>
    <n v="0"/>
    <n v="259.5"/>
    <n v="1683.53"/>
    <n v="2.09"/>
    <n v="1.49"/>
    <n v="1424.03"/>
    <n v="-1.71"/>
    <s v="India"/>
  </r>
  <r>
    <x v="2"/>
    <x v="1"/>
    <x v="6"/>
    <x v="1"/>
    <x v="36"/>
    <x v="6"/>
    <n v="0"/>
    <n v="0.03"/>
    <n v="0"/>
    <n v="0"/>
    <n v="2.56"/>
    <n v="0.14000000000000001"/>
    <n v="0.03"/>
    <n v="2.56"/>
    <n v="-0.03"/>
    <s v="India"/>
  </r>
  <r>
    <x v="4"/>
    <x v="3"/>
    <x v="135"/>
    <x v="2"/>
    <x v="26"/>
    <x v="0"/>
    <n v="0"/>
    <n v="0"/>
    <n v="0"/>
    <n v="0"/>
    <n v="5.7"/>
    <n v="5.2"/>
    <n v="0"/>
    <n v="5.7"/>
    <n v="0"/>
    <s v="India"/>
  </r>
  <r>
    <x v="6"/>
    <x v="2"/>
    <x v="159"/>
    <x v="3"/>
    <x v="6"/>
    <x v="4"/>
    <n v="0.01"/>
    <n v="0"/>
    <n v="0"/>
    <n v="6.91"/>
    <n v="5.25"/>
    <n v="1.48"/>
    <n v="-0.01"/>
    <n v="-1.6600000000000001"/>
    <n v="0"/>
    <s v="India"/>
  </r>
  <r>
    <x v="11"/>
    <x v="2"/>
    <x v="79"/>
    <x v="4"/>
    <x v="19"/>
    <x v="4"/>
    <n v="0"/>
    <n v="0"/>
    <n v="0"/>
    <n v="0.85"/>
    <n v="1.33"/>
    <n v="0.68"/>
    <n v="0"/>
    <n v="0.48000000000000009"/>
    <n v="0"/>
    <s v="India"/>
  </r>
  <r>
    <x v="6"/>
    <x v="2"/>
    <x v="159"/>
    <x v="3"/>
    <x v="2"/>
    <x v="0"/>
    <n v="0"/>
    <n v="0"/>
    <n v="0"/>
    <n v="0"/>
    <n v="0"/>
    <n v="0.28000000000000003"/>
    <n v="0"/>
    <n v="0"/>
    <n v="0"/>
    <s v="India"/>
  </r>
  <r>
    <x v="5"/>
    <x v="1"/>
    <x v="15"/>
    <x v="1"/>
    <x v="37"/>
    <x v="3"/>
    <n v="0.02"/>
    <n v="0"/>
    <n v="0"/>
    <n v="9"/>
    <n v="0"/>
    <n v="1.02"/>
    <n v="-0.02"/>
    <n v="-9"/>
    <n v="0"/>
    <s v="India"/>
  </r>
  <r>
    <x v="13"/>
    <x v="1"/>
    <x v="33"/>
    <x v="3"/>
    <x v="35"/>
    <x v="0"/>
    <n v="0.02"/>
    <n v="0"/>
    <n v="0"/>
    <n v="1.3"/>
    <n v="0.08"/>
    <n v="0.34"/>
    <n v="-0.02"/>
    <n v="-1.22"/>
    <n v="0"/>
    <s v="India"/>
  </r>
  <r>
    <x v="1"/>
    <x v="0"/>
    <x v="175"/>
    <x v="3"/>
    <x v="6"/>
    <x v="4"/>
    <n v="0"/>
    <n v="0"/>
    <n v="0"/>
    <n v="0"/>
    <n v="0"/>
    <n v="1.6"/>
    <n v="0"/>
    <n v="0"/>
    <n v="0"/>
    <s v="India"/>
  </r>
  <r>
    <x v="8"/>
    <x v="4"/>
    <x v="88"/>
    <x v="1"/>
    <x v="7"/>
    <x v="5"/>
    <n v="0"/>
    <n v="0"/>
    <n v="0"/>
    <n v="1.02"/>
    <n v="0.05"/>
    <n v="1"/>
    <n v="0"/>
    <n v="-0.97"/>
    <n v="0"/>
    <s v="India"/>
  </r>
  <r>
    <x v="9"/>
    <x v="1"/>
    <x v="129"/>
    <x v="1"/>
    <x v="40"/>
    <x v="6"/>
    <n v="0"/>
    <n v="0.01"/>
    <n v="0"/>
    <n v="0.36"/>
    <n v="0.48"/>
    <n v="0.14000000000000001"/>
    <n v="0.01"/>
    <n v="0.12"/>
    <n v="-0.01"/>
    <s v="India"/>
  </r>
  <r>
    <x v="13"/>
    <x v="1"/>
    <x v="128"/>
    <x v="1"/>
    <x v="35"/>
    <x v="0"/>
    <n v="0"/>
    <n v="0"/>
    <n v="0"/>
    <n v="0.18"/>
    <n v="1.4"/>
    <n v="1.41"/>
    <n v="0"/>
    <n v="1.22"/>
    <n v="0"/>
    <s v="India"/>
  </r>
  <r>
    <x v="4"/>
    <x v="3"/>
    <x v="113"/>
    <x v="3"/>
    <x v="12"/>
    <x v="4"/>
    <n v="0"/>
    <n v="0"/>
    <n v="0"/>
    <n v="0.26"/>
    <n v="3.65"/>
    <n v="1.72"/>
    <n v="0"/>
    <n v="3.3899999999999997"/>
    <n v="0"/>
    <s v="India"/>
  </r>
  <r>
    <x v="13"/>
    <x v="1"/>
    <x v="48"/>
    <x v="1"/>
    <x v="36"/>
    <x v="6"/>
    <n v="0.01"/>
    <n v="0.01"/>
    <n v="0"/>
    <n v="0.73"/>
    <n v="0.63"/>
    <n v="0.6"/>
    <n v="0"/>
    <n v="-9.9999999999999978E-2"/>
    <n v="-0.01"/>
    <s v="India"/>
  </r>
  <r>
    <x v="13"/>
    <x v="1"/>
    <x v="33"/>
    <x v="3"/>
    <x v="39"/>
    <x v="7"/>
    <n v="0.01"/>
    <n v="0.03"/>
    <n v="0"/>
    <n v="0.3"/>
    <n v="2.86"/>
    <n v="0.15"/>
    <n v="1.9999999999999997E-2"/>
    <n v="2.56"/>
    <n v="-0.03"/>
    <s v="India"/>
  </r>
  <r>
    <x v="6"/>
    <x v="2"/>
    <x v="159"/>
    <x v="3"/>
    <x v="8"/>
    <x v="3"/>
    <n v="0.06"/>
    <n v="0.01"/>
    <n v="0"/>
    <n v="39.54"/>
    <n v="10.37"/>
    <n v="2.75"/>
    <n v="-4.9999999999999996E-2"/>
    <n v="-29.17"/>
    <n v="-0.01"/>
    <s v="India"/>
  </r>
  <r>
    <x v="6"/>
    <x v="2"/>
    <x v="32"/>
    <x v="0"/>
    <x v="14"/>
    <x v="3"/>
    <n v="0"/>
    <n v="0.01"/>
    <n v="0"/>
    <n v="0.28000000000000003"/>
    <n v="3.48"/>
    <n v="1"/>
    <n v="0.01"/>
    <n v="3.2"/>
    <n v="-0.01"/>
    <s v="India"/>
  </r>
  <r>
    <x v="2"/>
    <x v="1"/>
    <x v="2"/>
    <x v="1"/>
    <x v="3"/>
    <x v="2"/>
    <n v="0"/>
    <n v="0"/>
    <n v="0"/>
    <n v="1.5"/>
    <n v="1.8"/>
    <n v="1"/>
    <n v="0"/>
    <n v="0.30000000000000004"/>
    <n v="0"/>
    <s v="India"/>
  </r>
  <r>
    <x v="1"/>
    <x v="0"/>
    <x v="52"/>
    <x v="1"/>
    <x v="11"/>
    <x v="3"/>
    <n v="0.08"/>
    <n v="7.0000000000000007E-2"/>
    <n v="0"/>
    <n v="37.74"/>
    <n v="60.56"/>
    <n v="0.5"/>
    <n v="-9.999999999999995E-3"/>
    <n v="22.82"/>
    <n v="-7.0000000000000007E-2"/>
    <s v="India"/>
  </r>
  <r>
    <x v="2"/>
    <x v="1"/>
    <x v="57"/>
    <x v="1"/>
    <x v="18"/>
    <x v="7"/>
    <n v="0.01"/>
    <n v="0"/>
    <n v="0"/>
    <n v="0.72"/>
    <n v="0.04"/>
    <n v="0.18"/>
    <n v="-0.01"/>
    <n v="-0.67999999999999994"/>
    <n v="0"/>
    <s v="India"/>
  </r>
  <r>
    <x v="5"/>
    <x v="1"/>
    <x v="15"/>
    <x v="1"/>
    <x v="29"/>
    <x v="7"/>
    <n v="0"/>
    <n v="0"/>
    <n v="0"/>
    <n v="0.34"/>
    <n v="1.1000000000000001"/>
    <n v="0.4"/>
    <n v="0"/>
    <n v="0.76"/>
    <n v="0"/>
    <s v="India"/>
  </r>
  <r>
    <x v="17"/>
    <x v="5"/>
    <x v="108"/>
    <x v="2"/>
    <x v="28"/>
    <x v="5"/>
    <n v="0"/>
    <n v="0"/>
    <n v="0"/>
    <n v="0"/>
    <n v="0"/>
    <n v="9.32"/>
    <n v="0"/>
    <n v="0"/>
    <n v="0"/>
    <s v="India"/>
  </r>
  <r>
    <x v="7"/>
    <x v="1"/>
    <x v="25"/>
    <x v="1"/>
    <x v="8"/>
    <x v="3"/>
    <n v="0.03"/>
    <n v="0.01"/>
    <n v="0"/>
    <n v="5.64"/>
    <n v="0.88"/>
    <n v="0.11"/>
    <n v="-1.9999999999999997E-2"/>
    <n v="-4.76"/>
    <n v="-0.01"/>
    <s v="India"/>
  </r>
  <r>
    <x v="11"/>
    <x v="2"/>
    <x v="136"/>
    <x v="3"/>
    <x v="11"/>
    <x v="3"/>
    <n v="0"/>
    <n v="0.06"/>
    <n v="0"/>
    <n v="0"/>
    <n v="34.06"/>
    <n v="1"/>
    <n v="0.06"/>
    <n v="34.06"/>
    <n v="-0.06"/>
    <s v="India"/>
  </r>
  <r>
    <x v="21"/>
    <x v="5"/>
    <x v="150"/>
    <x v="2"/>
    <x v="13"/>
    <x v="3"/>
    <n v="0"/>
    <n v="0"/>
    <n v="0"/>
    <n v="1.91"/>
    <n v="3.72"/>
    <n v="0.33"/>
    <n v="0"/>
    <n v="1.8100000000000003"/>
    <n v="0"/>
    <s v="India"/>
  </r>
  <r>
    <x v="6"/>
    <x v="2"/>
    <x v="91"/>
    <x v="3"/>
    <x v="20"/>
    <x v="3"/>
    <n v="0"/>
    <n v="0"/>
    <n v="0"/>
    <n v="1.74"/>
    <n v="0.8"/>
    <n v="1.94"/>
    <n v="0"/>
    <n v="-0.94"/>
    <n v="0"/>
    <s v="India"/>
  </r>
  <r>
    <x v="3"/>
    <x v="2"/>
    <x v="172"/>
    <x v="4"/>
    <x v="4"/>
    <x v="3"/>
    <n v="0.16"/>
    <n v="0.33"/>
    <n v="0"/>
    <n v="45.33"/>
    <n v="14.48"/>
    <n v="0.2"/>
    <n v="0.17"/>
    <n v="-30.849999999999998"/>
    <n v="-0.33"/>
    <s v="India"/>
  </r>
  <r>
    <x v="9"/>
    <x v="1"/>
    <x v="61"/>
    <x v="1"/>
    <x v="40"/>
    <x v="6"/>
    <n v="0"/>
    <n v="0"/>
    <n v="0"/>
    <n v="0.05"/>
    <n v="0.06"/>
    <n v="0.2"/>
    <n v="0"/>
    <n v="9.999999999999995E-3"/>
    <n v="0"/>
    <s v="India"/>
  </r>
  <r>
    <x v="3"/>
    <x v="2"/>
    <x v="170"/>
    <x v="1"/>
    <x v="8"/>
    <x v="3"/>
    <n v="0"/>
    <n v="0"/>
    <n v="0"/>
    <n v="2"/>
    <n v="0.96"/>
    <n v="1.93"/>
    <n v="0"/>
    <n v="-1.04"/>
    <n v="0"/>
    <s v="India"/>
  </r>
  <r>
    <x v="4"/>
    <x v="3"/>
    <x v="63"/>
    <x v="2"/>
    <x v="40"/>
    <x v="6"/>
    <n v="0.01"/>
    <n v="0"/>
    <n v="0"/>
    <n v="1"/>
    <n v="0.21"/>
    <n v="0.15"/>
    <n v="-0.01"/>
    <n v="-0.79"/>
    <n v="0"/>
    <s v="India"/>
  </r>
  <r>
    <x v="6"/>
    <x v="2"/>
    <x v="12"/>
    <x v="0"/>
    <x v="27"/>
    <x v="7"/>
    <n v="0.11"/>
    <n v="0.06"/>
    <n v="0"/>
    <n v="9.07"/>
    <n v="6.46"/>
    <n v="0.6"/>
    <n v="-0.05"/>
    <n v="-2.6100000000000003"/>
    <n v="-0.06"/>
    <s v="India"/>
  </r>
  <r>
    <x v="2"/>
    <x v="1"/>
    <x v="104"/>
    <x v="3"/>
    <x v="38"/>
    <x v="5"/>
    <n v="0.01"/>
    <n v="0.02"/>
    <n v="0"/>
    <n v="1.76"/>
    <n v="41.46"/>
    <n v="5.03"/>
    <n v="0.01"/>
    <n v="39.700000000000003"/>
    <n v="-0.02"/>
    <s v="India"/>
  </r>
  <r>
    <x v="21"/>
    <x v="5"/>
    <x v="154"/>
    <x v="2"/>
    <x v="21"/>
    <x v="4"/>
    <n v="0"/>
    <n v="0"/>
    <n v="0"/>
    <n v="0.03"/>
    <n v="1.07"/>
    <n v="1.38"/>
    <n v="0"/>
    <n v="1.04"/>
    <n v="0"/>
    <s v="India"/>
  </r>
  <r>
    <x v="4"/>
    <x v="3"/>
    <x v="63"/>
    <x v="2"/>
    <x v="43"/>
    <x v="1"/>
    <n v="0.81"/>
    <n v="0"/>
    <n v="0"/>
    <n v="221.2"/>
    <n v="0"/>
    <n v="0.12"/>
    <n v="-0.81"/>
    <n v="-221.2"/>
    <n v="0"/>
    <s v="India"/>
  </r>
  <r>
    <x v="0"/>
    <x v="0"/>
    <x v="36"/>
    <x v="1"/>
    <x v="41"/>
    <x v="6"/>
    <n v="0.01"/>
    <n v="0.01"/>
    <n v="0"/>
    <n v="0.4"/>
    <n v="0.48"/>
    <n v="0.14000000000000001"/>
    <n v="0"/>
    <n v="7.999999999999996E-2"/>
    <n v="-0.01"/>
    <s v="India"/>
  </r>
  <r>
    <x v="21"/>
    <x v="5"/>
    <x v="150"/>
    <x v="2"/>
    <x v="18"/>
    <x v="7"/>
    <n v="0.24"/>
    <n v="0.01"/>
    <n v="0"/>
    <n v="269.06"/>
    <n v="1.47"/>
    <n v="0.31"/>
    <n v="-0.22999999999999998"/>
    <n v="-267.58999999999997"/>
    <n v="-0.01"/>
    <s v="India"/>
  </r>
  <r>
    <x v="13"/>
    <x v="1"/>
    <x v="33"/>
    <x v="3"/>
    <x v="15"/>
    <x v="0"/>
    <n v="0.01"/>
    <n v="0"/>
    <n v="0"/>
    <n v="0.14000000000000001"/>
    <n v="0.04"/>
    <n v="0.3"/>
    <n v="-0.01"/>
    <n v="-0.1"/>
    <n v="0"/>
    <s v="India"/>
  </r>
  <r>
    <x v="14"/>
    <x v="3"/>
    <x v="39"/>
    <x v="2"/>
    <x v="37"/>
    <x v="3"/>
    <n v="0.02"/>
    <n v="0.03"/>
    <n v="0"/>
    <n v="40.479999999999997"/>
    <n v="22.8"/>
    <n v="2.5"/>
    <n v="9.9999999999999985E-3"/>
    <n v="-17.679999999999996"/>
    <n v="-0.03"/>
    <s v="India"/>
  </r>
  <r>
    <x v="6"/>
    <x v="2"/>
    <x v="115"/>
    <x v="3"/>
    <x v="20"/>
    <x v="3"/>
    <n v="0"/>
    <n v="0.01"/>
    <n v="0"/>
    <n v="0"/>
    <n v="10.27"/>
    <n v="1.64"/>
    <n v="0.01"/>
    <n v="10.27"/>
    <n v="-0.01"/>
    <s v="India"/>
  </r>
  <r>
    <x v="6"/>
    <x v="2"/>
    <x v="140"/>
    <x v="1"/>
    <x v="35"/>
    <x v="0"/>
    <n v="0"/>
    <n v="0"/>
    <n v="0"/>
    <n v="1.57"/>
    <n v="2.27"/>
    <n v="1.1000000000000001"/>
    <n v="0"/>
    <n v="0.7"/>
    <n v="0"/>
    <s v="India"/>
  </r>
  <r>
    <x v="2"/>
    <x v="1"/>
    <x v="8"/>
    <x v="1"/>
    <x v="18"/>
    <x v="7"/>
    <n v="0.22"/>
    <n v="0.39"/>
    <n v="0"/>
    <n v="51.79"/>
    <n v="73.05"/>
    <n v="0.22"/>
    <n v="0.17"/>
    <n v="21.259999999999998"/>
    <n v="-0.39"/>
    <s v="India"/>
  </r>
  <r>
    <x v="17"/>
    <x v="5"/>
    <x v="176"/>
    <x v="3"/>
    <x v="6"/>
    <x v="4"/>
    <n v="0"/>
    <n v="0.01"/>
    <n v="0"/>
    <n v="0"/>
    <n v="3.8"/>
    <n v="0.98"/>
    <n v="0.01"/>
    <n v="3.8"/>
    <n v="-0.01"/>
    <s v="India"/>
  </r>
  <r>
    <x v="23"/>
    <x v="2"/>
    <x v="168"/>
    <x v="1"/>
    <x v="10"/>
    <x v="3"/>
    <n v="0.09"/>
    <n v="0.03"/>
    <n v="0"/>
    <n v="22.05"/>
    <n v="30.71"/>
    <n v="1.27"/>
    <n v="-0.06"/>
    <n v="8.66"/>
    <n v="-0.03"/>
    <s v="India"/>
  </r>
  <r>
    <x v="0"/>
    <x v="0"/>
    <x v="36"/>
    <x v="1"/>
    <x v="15"/>
    <x v="0"/>
    <n v="0.01"/>
    <n v="0.04"/>
    <n v="0"/>
    <n v="23.1"/>
    <n v="96.47"/>
    <n v="1.58"/>
    <n v="0.03"/>
    <n v="73.37"/>
    <n v="-0.04"/>
    <s v="India"/>
  </r>
  <r>
    <x v="12"/>
    <x v="2"/>
    <x v="38"/>
    <x v="3"/>
    <x v="14"/>
    <x v="3"/>
    <n v="0.09"/>
    <n v="0.03"/>
    <n v="0"/>
    <n v="5.73"/>
    <n v="2.08"/>
    <n v="0.38"/>
    <n v="-0.06"/>
    <n v="-3.6500000000000004"/>
    <n v="-0.03"/>
    <s v="India"/>
  </r>
  <r>
    <x v="7"/>
    <x v="1"/>
    <x v="100"/>
    <x v="1"/>
    <x v="17"/>
    <x v="5"/>
    <n v="0"/>
    <n v="0"/>
    <n v="0"/>
    <n v="0"/>
    <n v="0.18"/>
    <n v="0.2"/>
    <n v="0"/>
    <n v="0.18"/>
    <n v="0"/>
    <s v="India"/>
  </r>
  <r>
    <x v="11"/>
    <x v="2"/>
    <x v="29"/>
    <x v="0"/>
    <x v="41"/>
    <x v="6"/>
    <n v="0.04"/>
    <n v="0.01"/>
    <n v="0"/>
    <n v="3.33"/>
    <n v="0.56000000000000005"/>
    <n v="0.11"/>
    <n v="-0.03"/>
    <n v="-2.77"/>
    <n v="-0.01"/>
    <s v="India"/>
  </r>
  <r>
    <x v="6"/>
    <x v="2"/>
    <x v="159"/>
    <x v="3"/>
    <x v="18"/>
    <x v="7"/>
    <n v="0.05"/>
    <n v="0"/>
    <n v="0"/>
    <n v="9.07"/>
    <n v="0.63"/>
    <n v="0.47"/>
    <n v="-0.05"/>
    <n v="-8.44"/>
    <n v="0"/>
    <s v="India"/>
  </r>
  <r>
    <x v="0"/>
    <x v="0"/>
    <x v="36"/>
    <x v="1"/>
    <x v="20"/>
    <x v="3"/>
    <n v="0"/>
    <n v="0"/>
    <n v="0"/>
    <n v="0.15"/>
    <n v="0.56999999999999995"/>
    <n v="0.94"/>
    <n v="0"/>
    <n v="0.41999999999999993"/>
    <n v="0"/>
    <s v="India"/>
  </r>
  <r>
    <x v="0"/>
    <x v="0"/>
    <x v="72"/>
    <x v="4"/>
    <x v="13"/>
    <x v="3"/>
    <n v="0"/>
    <n v="0.01"/>
    <n v="0"/>
    <n v="1"/>
    <n v="1.54"/>
    <n v="0.61"/>
    <n v="0.01"/>
    <n v="0.54"/>
    <n v="-0.01"/>
    <s v="India"/>
  </r>
  <r>
    <x v="2"/>
    <x v="1"/>
    <x v="2"/>
    <x v="1"/>
    <x v="37"/>
    <x v="3"/>
    <n v="0"/>
    <n v="0"/>
    <n v="0"/>
    <n v="0"/>
    <n v="0"/>
    <n v="0.45"/>
    <n v="0"/>
    <n v="0"/>
    <n v="0"/>
    <s v="India"/>
  </r>
  <r>
    <x v="5"/>
    <x v="1"/>
    <x v="11"/>
    <x v="1"/>
    <x v="39"/>
    <x v="7"/>
    <n v="0"/>
    <n v="0"/>
    <n v="0"/>
    <n v="0"/>
    <n v="0"/>
    <n v="0.03"/>
    <n v="0"/>
    <n v="0"/>
    <n v="0"/>
    <s v="India"/>
  </r>
  <r>
    <x v="10"/>
    <x v="2"/>
    <x v="69"/>
    <x v="3"/>
    <x v="13"/>
    <x v="3"/>
    <n v="0"/>
    <n v="0"/>
    <n v="0"/>
    <n v="0.35"/>
    <n v="0.32"/>
    <n v="0.02"/>
    <n v="0"/>
    <n v="-2.9999999999999971E-2"/>
    <n v="0"/>
    <s v="India"/>
  </r>
  <r>
    <x v="1"/>
    <x v="0"/>
    <x v="141"/>
    <x v="3"/>
    <x v="18"/>
    <x v="7"/>
    <n v="0"/>
    <n v="0.01"/>
    <n v="0"/>
    <n v="0"/>
    <n v="1.17"/>
    <n v="0.21"/>
    <n v="0.01"/>
    <n v="1.17"/>
    <n v="-0.01"/>
    <s v="India"/>
  </r>
  <r>
    <x v="5"/>
    <x v="1"/>
    <x v="15"/>
    <x v="1"/>
    <x v="5"/>
    <x v="3"/>
    <n v="0.04"/>
    <n v="0.01"/>
    <n v="0"/>
    <n v="16.54"/>
    <n v="3.57"/>
    <n v="1"/>
    <n v="-0.03"/>
    <n v="-12.969999999999999"/>
    <n v="-0.01"/>
    <s v="India"/>
  </r>
  <r>
    <x v="7"/>
    <x v="1"/>
    <x v="25"/>
    <x v="1"/>
    <x v="5"/>
    <x v="3"/>
    <n v="0.02"/>
    <n v="0"/>
    <n v="0"/>
    <n v="3.08"/>
    <n v="0"/>
    <n v="0.09"/>
    <n v="-0.02"/>
    <n v="-3.08"/>
    <n v="0"/>
    <s v="India"/>
  </r>
  <r>
    <x v="9"/>
    <x v="1"/>
    <x v="50"/>
    <x v="1"/>
    <x v="13"/>
    <x v="3"/>
    <n v="0"/>
    <n v="0.01"/>
    <n v="0"/>
    <n v="7.0000000000000007E-2"/>
    <n v="0.34"/>
    <n v="0.48"/>
    <n v="0.01"/>
    <n v="0.27"/>
    <n v="-0.01"/>
    <s v="India"/>
  </r>
  <r>
    <x v="9"/>
    <x v="1"/>
    <x v="61"/>
    <x v="1"/>
    <x v="38"/>
    <x v="5"/>
    <n v="0"/>
    <n v="0"/>
    <n v="0"/>
    <n v="0"/>
    <n v="0"/>
    <n v="0.1"/>
    <n v="0"/>
    <n v="0"/>
    <n v="0"/>
    <s v="India"/>
  </r>
  <r>
    <x v="2"/>
    <x v="1"/>
    <x v="147"/>
    <x v="4"/>
    <x v="8"/>
    <x v="3"/>
    <n v="0"/>
    <n v="0"/>
    <n v="0"/>
    <n v="0"/>
    <n v="0.03"/>
    <n v="0.14000000000000001"/>
    <n v="0"/>
    <n v="0.03"/>
    <n v="0"/>
    <s v="India"/>
  </r>
  <r>
    <x v="2"/>
    <x v="1"/>
    <x v="57"/>
    <x v="1"/>
    <x v="17"/>
    <x v="5"/>
    <n v="0"/>
    <n v="0"/>
    <n v="0"/>
    <n v="0"/>
    <n v="0.01"/>
    <n v="0.01"/>
    <n v="0"/>
    <n v="0.01"/>
    <n v="0"/>
    <s v="India"/>
  </r>
  <r>
    <x v="6"/>
    <x v="2"/>
    <x v="132"/>
    <x v="3"/>
    <x v="19"/>
    <x v="4"/>
    <n v="0"/>
    <n v="0.01"/>
    <n v="0"/>
    <n v="0"/>
    <n v="12.7"/>
    <n v="0.8"/>
    <n v="0.01"/>
    <n v="12.7"/>
    <n v="-0.01"/>
    <s v="India"/>
  </r>
  <r>
    <x v="17"/>
    <x v="5"/>
    <x v="108"/>
    <x v="2"/>
    <x v="21"/>
    <x v="4"/>
    <n v="0"/>
    <n v="0"/>
    <n v="0"/>
    <n v="0"/>
    <n v="0"/>
    <n v="1.26"/>
    <n v="0"/>
    <n v="0"/>
    <n v="0"/>
    <s v="India"/>
  </r>
  <r>
    <x v="9"/>
    <x v="1"/>
    <x v="27"/>
    <x v="1"/>
    <x v="9"/>
    <x v="6"/>
    <n v="0"/>
    <n v="0"/>
    <n v="0"/>
    <n v="0.01"/>
    <n v="0.49"/>
    <n v="0.4"/>
    <n v="0"/>
    <n v="0.48"/>
    <n v="0"/>
    <s v="India"/>
  </r>
  <r>
    <x v="10"/>
    <x v="2"/>
    <x v="69"/>
    <x v="3"/>
    <x v="12"/>
    <x v="4"/>
    <n v="0"/>
    <n v="0"/>
    <n v="0"/>
    <n v="0"/>
    <n v="3.62"/>
    <n v="2.62"/>
    <n v="0"/>
    <n v="3.62"/>
    <n v="0"/>
    <s v="India"/>
  </r>
  <r>
    <x v="11"/>
    <x v="2"/>
    <x v="94"/>
    <x v="3"/>
    <x v="36"/>
    <x v="6"/>
    <n v="0.01"/>
    <n v="0"/>
    <n v="0"/>
    <n v="0.45"/>
    <n v="7.0000000000000007E-2"/>
    <n v="0.11"/>
    <n v="-0.01"/>
    <n v="-0.38"/>
    <n v="0"/>
    <s v="India"/>
  </r>
  <r>
    <x v="1"/>
    <x v="0"/>
    <x v="175"/>
    <x v="3"/>
    <x v="24"/>
    <x v="4"/>
    <n v="0"/>
    <n v="0"/>
    <n v="0"/>
    <n v="0"/>
    <n v="0"/>
    <n v="2.04"/>
    <n v="0"/>
    <n v="0"/>
    <n v="0"/>
    <s v="India"/>
  </r>
  <r>
    <x v="2"/>
    <x v="1"/>
    <x v="112"/>
    <x v="2"/>
    <x v="16"/>
    <x v="0"/>
    <n v="0"/>
    <n v="0"/>
    <n v="0"/>
    <n v="0"/>
    <n v="0"/>
    <n v="2.5"/>
    <n v="0"/>
    <n v="0"/>
    <n v="0"/>
    <s v="India"/>
  </r>
  <r>
    <x v="4"/>
    <x v="3"/>
    <x v="73"/>
    <x v="2"/>
    <x v="9"/>
    <x v="6"/>
    <n v="0"/>
    <n v="0"/>
    <n v="0"/>
    <n v="0"/>
    <n v="0"/>
    <n v="1.4"/>
    <n v="0"/>
    <n v="0"/>
    <n v="0"/>
    <s v="India"/>
  </r>
  <r>
    <x v="1"/>
    <x v="0"/>
    <x v="162"/>
    <x v="3"/>
    <x v="11"/>
    <x v="3"/>
    <n v="0"/>
    <n v="0.02"/>
    <n v="0"/>
    <n v="0.05"/>
    <n v="15"/>
    <n v="1.31"/>
    <n v="0.02"/>
    <n v="14.95"/>
    <n v="-0.02"/>
    <s v="India"/>
  </r>
  <r>
    <x v="3"/>
    <x v="2"/>
    <x v="177"/>
    <x v="4"/>
    <x v="4"/>
    <x v="3"/>
    <n v="0"/>
    <n v="0"/>
    <n v="0"/>
    <n v="0"/>
    <n v="0"/>
    <n v="2.1"/>
    <n v="0"/>
    <n v="0"/>
    <n v="0"/>
    <s v="India"/>
  </r>
  <r>
    <x v="4"/>
    <x v="3"/>
    <x v="63"/>
    <x v="2"/>
    <x v="37"/>
    <x v="3"/>
    <n v="0"/>
    <n v="0.02"/>
    <n v="0"/>
    <n v="1.82"/>
    <n v="23.54"/>
    <n v="0.55000000000000004"/>
    <n v="0.02"/>
    <n v="21.72"/>
    <n v="-0.02"/>
    <s v="India"/>
  </r>
  <r>
    <x v="2"/>
    <x v="1"/>
    <x v="2"/>
    <x v="1"/>
    <x v="24"/>
    <x v="4"/>
    <n v="0"/>
    <n v="0"/>
    <n v="0"/>
    <n v="0"/>
    <n v="0"/>
    <n v="0.45"/>
    <n v="0"/>
    <n v="0"/>
    <n v="0"/>
    <s v="India"/>
  </r>
  <r>
    <x v="12"/>
    <x v="2"/>
    <x v="38"/>
    <x v="3"/>
    <x v="22"/>
    <x v="6"/>
    <n v="0.02"/>
    <n v="0.03"/>
    <n v="0"/>
    <n v="1.1399999999999999"/>
    <n v="2.0099999999999998"/>
    <n v="0.33"/>
    <n v="9.9999999999999985E-3"/>
    <n v="0.86999999999999988"/>
    <n v="-0.03"/>
    <s v="India"/>
  </r>
  <r>
    <x v="22"/>
    <x v="5"/>
    <x v="161"/>
    <x v="2"/>
    <x v="11"/>
    <x v="3"/>
    <n v="0.02"/>
    <n v="0"/>
    <n v="0"/>
    <n v="211"/>
    <n v="0"/>
    <n v="15.98"/>
    <n v="-0.02"/>
    <n v="-211"/>
    <n v="0"/>
    <s v="India"/>
  </r>
  <r>
    <x v="11"/>
    <x v="2"/>
    <x v="64"/>
    <x v="3"/>
    <x v="38"/>
    <x v="5"/>
    <n v="0.01"/>
    <n v="0"/>
    <n v="0"/>
    <n v="2.1"/>
    <n v="0.89"/>
    <n v="0.6"/>
    <n v="-0.01"/>
    <n v="-1.21"/>
    <n v="0"/>
    <s v="India"/>
  </r>
  <r>
    <x v="0"/>
    <x v="0"/>
    <x v="81"/>
    <x v="1"/>
    <x v="36"/>
    <x v="6"/>
    <n v="0"/>
    <n v="0"/>
    <n v="0"/>
    <n v="0"/>
    <n v="0"/>
    <n v="7.0000000000000007E-2"/>
    <n v="0"/>
    <n v="0"/>
    <n v="0"/>
    <s v="India"/>
  </r>
  <r>
    <x v="6"/>
    <x v="2"/>
    <x v="115"/>
    <x v="3"/>
    <x v="37"/>
    <x v="3"/>
    <n v="0"/>
    <n v="0"/>
    <n v="0"/>
    <n v="0"/>
    <n v="0.6"/>
    <n v="0.6"/>
    <n v="0"/>
    <n v="0.6"/>
    <n v="0"/>
    <s v="India"/>
  </r>
  <r>
    <x v="2"/>
    <x v="1"/>
    <x v="68"/>
    <x v="1"/>
    <x v="38"/>
    <x v="5"/>
    <n v="0"/>
    <n v="0.01"/>
    <n v="0"/>
    <n v="0.21"/>
    <n v="1.51"/>
    <n v="0.12"/>
    <n v="0.01"/>
    <n v="1.3"/>
    <n v="-0.01"/>
    <s v="India"/>
  </r>
  <r>
    <x v="2"/>
    <x v="1"/>
    <x v="149"/>
    <x v="3"/>
    <x v="6"/>
    <x v="4"/>
    <n v="0.02"/>
    <n v="0.01"/>
    <n v="0"/>
    <n v="12.55"/>
    <n v="5.07"/>
    <n v="1.02"/>
    <n v="-0.01"/>
    <n v="-7.48"/>
    <n v="-0.01"/>
    <s v="India"/>
  </r>
  <r>
    <x v="1"/>
    <x v="0"/>
    <x v="52"/>
    <x v="1"/>
    <x v="8"/>
    <x v="3"/>
    <n v="0.79"/>
    <n v="0.09"/>
    <n v="0"/>
    <n v="478.74"/>
    <n v="75.180000000000007"/>
    <n v="0.47"/>
    <n v="-0.70000000000000007"/>
    <n v="-403.56"/>
    <n v="-0.09"/>
    <s v="India"/>
  </r>
  <r>
    <x v="11"/>
    <x v="2"/>
    <x v="85"/>
    <x v="3"/>
    <x v="12"/>
    <x v="4"/>
    <n v="0.04"/>
    <n v="0"/>
    <n v="0"/>
    <n v="45.37"/>
    <n v="2.41"/>
    <n v="0.64"/>
    <n v="-0.04"/>
    <n v="-42.959999999999994"/>
    <n v="0"/>
    <s v="India"/>
  </r>
  <r>
    <x v="23"/>
    <x v="2"/>
    <x v="168"/>
    <x v="1"/>
    <x v="32"/>
    <x v="0"/>
    <n v="0"/>
    <n v="0"/>
    <n v="0"/>
    <n v="0.2"/>
    <n v="0.6"/>
    <n v="0.66"/>
    <n v="0"/>
    <n v="0.39999999999999997"/>
    <n v="0"/>
    <s v="India"/>
  </r>
  <r>
    <x v="9"/>
    <x v="1"/>
    <x v="129"/>
    <x v="1"/>
    <x v="18"/>
    <x v="7"/>
    <n v="0.1"/>
    <n v="0"/>
    <n v="0"/>
    <n v="13.57"/>
    <n v="0"/>
    <n v="1.19"/>
    <n v="-0.1"/>
    <n v="-13.57"/>
    <n v="0"/>
    <s v="India"/>
  </r>
  <r>
    <x v="5"/>
    <x v="1"/>
    <x v="11"/>
    <x v="1"/>
    <x v="9"/>
    <x v="6"/>
    <n v="0"/>
    <n v="0.01"/>
    <n v="0"/>
    <n v="0.25"/>
    <n v="3.79"/>
    <n v="0.46"/>
    <n v="0.01"/>
    <n v="3.54"/>
    <n v="-0.01"/>
    <s v="India"/>
  </r>
  <r>
    <x v="1"/>
    <x v="0"/>
    <x v="75"/>
    <x v="1"/>
    <x v="15"/>
    <x v="0"/>
    <n v="0"/>
    <n v="0"/>
    <n v="0"/>
    <n v="0"/>
    <n v="0"/>
    <n v="0.35"/>
    <n v="0"/>
    <n v="0"/>
    <n v="0"/>
    <s v="India"/>
  </r>
  <r>
    <x v="23"/>
    <x v="2"/>
    <x v="168"/>
    <x v="1"/>
    <x v="35"/>
    <x v="0"/>
    <n v="0.01"/>
    <n v="0.01"/>
    <n v="0"/>
    <n v="6.95"/>
    <n v="4.74"/>
    <n v="0.79"/>
    <n v="0"/>
    <n v="-2.21"/>
    <n v="-0.01"/>
    <s v="India"/>
  </r>
  <r>
    <x v="2"/>
    <x v="1"/>
    <x v="104"/>
    <x v="3"/>
    <x v="6"/>
    <x v="4"/>
    <n v="0.02"/>
    <n v="0.03"/>
    <n v="0"/>
    <n v="10.23"/>
    <n v="19.52"/>
    <n v="0.45"/>
    <n v="9.9999999999999985E-3"/>
    <n v="9.2899999999999991"/>
    <n v="-0.03"/>
    <s v="India"/>
  </r>
  <r>
    <x v="6"/>
    <x v="2"/>
    <x v="132"/>
    <x v="3"/>
    <x v="11"/>
    <x v="3"/>
    <n v="0"/>
    <n v="0"/>
    <n v="0"/>
    <n v="0.2"/>
    <n v="0.12"/>
    <n v="7.0000000000000007E-2"/>
    <n v="0"/>
    <n v="-8.0000000000000016E-2"/>
    <n v="0"/>
    <s v="India"/>
  </r>
  <r>
    <x v="2"/>
    <x v="1"/>
    <x v="59"/>
    <x v="2"/>
    <x v="37"/>
    <x v="3"/>
    <n v="0"/>
    <n v="0.04"/>
    <n v="0"/>
    <n v="0"/>
    <n v="91.52"/>
    <n v="1.5"/>
    <n v="0.04"/>
    <n v="91.52"/>
    <n v="-0.04"/>
    <s v="India"/>
  </r>
  <r>
    <x v="2"/>
    <x v="1"/>
    <x v="8"/>
    <x v="1"/>
    <x v="5"/>
    <x v="3"/>
    <n v="0"/>
    <n v="0"/>
    <n v="0"/>
    <n v="1.75"/>
    <n v="0"/>
    <n v="0.18"/>
    <n v="0"/>
    <n v="-1.75"/>
    <n v="0"/>
    <s v="India"/>
  </r>
  <r>
    <x v="11"/>
    <x v="2"/>
    <x v="94"/>
    <x v="3"/>
    <x v="13"/>
    <x v="3"/>
    <n v="0"/>
    <n v="0"/>
    <n v="0"/>
    <n v="0.23"/>
    <n v="0.22"/>
    <n v="0.13"/>
    <n v="0"/>
    <n v="-1.0000000000000009E-2"/>
    <n v="0"/>
    <s v="India"/>
  </r>
  <r>
    <x v="4"/>
    <x v="3"/>
    <x v="7"/>
    <x v="0"/>
    <x v="7"/>
    <x v="5"/>
    <n v="0"/>
    <n v="0"/>
    <n v="0"/>
    <n v="0"/>
    <n v="0.6"/>
    <n v="0.2"/>
    <n v="0"/>
    <n v="0.6"/>
    <n v="0"/>
    <s v="India"/>
  </r>
  <r>
    <x v="21"/>
    <x v="5"/>
    <x v="154"/>
    <x v="2"/>
    <x v="3"/>
    <x v="2"/>
    <n v="0"/>
    <n v="0.02"/>
    <n v="0"/>
    <n v="1.34"/>
    <n v="18.93"/>
    <n v="1.07"/>
    <n v="0.02"/>
    <n v="17.59"/>
    <n v="-0.02"/>
    <s v="India"/>
  </r>
  <r>
    <x v="8"/>
    <x v="4"/>
    <x v="99"/>
    <x v="1"/>
    <x v="11"/>
    <x v="3"/>
    <n v="0"/>
    <n v="0.01"/>
    <n v="0"/>
    <n v="0"/>
    <n v="0.52"/>
    <n v="0.06"/>
    <n v="0.01"/>
    <n v="0.52"/>
    <n v="-0.01"/>
    <s v="India"/>
  </r>
  <r>
    <x v="9"/>
    <x v="1"/>
    <x v="50"/>
    <x v="1"/>
    <x v="9"/>
    <x v="6"/>
    <n v="0"/>
    <n v="0"/>
    <n v="0"/>
    <n v="0"/>
    <n v="0"/>
    <n v="0.45"/>
    <n v="0"/>
    <n v="0"/>
    <n v="0"/>
    <s v="India"/>
  </r>
  <r>
    <x v="11"/>
    <x v="2"/>
    <x v="94"/>
    <x v="3"/>
    <x v="41"/>
    <x v="6"/>
    <n v="0"/>
    <n v="0"/>
    <n v="0"/>
    <n v="0"/>
    <n v="0.01"/>
    <n v="0.06"/>
    <n v="0"/>
    <n v="0.01"/>
    <n v="0"/>
    <s v="India"/>
  </r>
  <r>
    <x v="9"/>
    <x v="1"/>
    <x v="44"/>
    <x v="1"/>
    <x v="6"/>
    <x v="4"/>
    <n v="0"/>
    <n v="0"/>
    <n v="0"/>
    <n v="0"/>
    <n v="0"/>
    <n v="0.2"/>
    <n v="0"/>
    <n v="0"/>
    <n v="0"/>
    <s v="India"/>
  </r>
  <r>
    <x v="4"/>
    <x v="3"/>
    <x v="45"/>
    <x v="2"/>
    <x v="36"/>
    <x v="6"/>
    <n v="0"/>
    <n v="0"/>
    <n v="0"/>
    <n v="0"/>
    <n v="0.4"/>
    <n v="0.15"/>
    <n v="0"/>
    <n v="0.4"/>
    <n v="0"/>
    <s v="India"/>
  </r>
  <r>
    <x v="9"/>
    <x v="1"/>
    <x v="50"/>
    <x v="1"/>
    <x v="35"/>
    <x v="0"/>
    <n v="0"/>
    <n v="0.02"/>
    <n v="0"/>
    <n v="0.2"/>
    <n v="20.86"/>
    <n v="1.05"/>
    <n v="0.02"/>
    <n v="20.66"/>
    <n v="-0.02"/>
    <s v="India"/>
  </r>
  <r>
    <x v="10"/>
    <x v="2"/>
    <x v="69"/>
    <x v="3"/>
    <x v="39"/>
    <x v="7"/>
    <n v="7.0000000000000007E-2"/>
    <n v="0.09"/>
    <n v="0"/>
    <n v="2.56"/>
    <n v="16.89"/>
    <n v="0.1"/>
    <n v="1.999999999999999E-2"/>
    <n v="14.33"/>
    <n v="-0.09"/>
    <s v="India"/>
  </r>
  <r>
    <x v="11"/>
    <x v="2"/>
    <x v="29"/>
    <x v="0"/>
    <x v="9"/>
    <x v="6"/>
    <n v="0"/>
    <n v="0.03"/>
    <n v="0"/>
    <n v="1.91"/>
    <n v="22.05"/>
    <n v="0.71"/>
    <n v="0.03"/>
    <n v="20.14"/>
    <n v="-0.03"/>
    <s v="India"/>
  </r>
  <r>
    <x v="4"/>
    <x v="3"/>
    <x v="135"/>
    <x v="2"/>
    <x v="13"/>
    <x v="3"/>
    <n v="0"/>
    <n v="0"/>
    <n v="0"/>
    <n v="1.43"/>
    <n v="0.91"/>
    <n v="0.38"/>
    <n v="0"/>
    <n v="-0.51999999999999991"/>
    <n v="0"/>
    <s v="India"/>
  </r>
  <r>
    <x v="14"/>
    <x v="3"/>
    <x v="53"/>
    <x v="2"/>
    <x v="27"/>
    <x v="7"/>
    <n v="0"/>
    <n v="0"/>
    <n v="0"/>
    <n v="0"/>
    <n v="0.18"/>
    <n v="0.72"/>
    <n v="0"/>
    <n v="0.18"/>
    <n v="0"/>
    <s v="India"/>
  </r>
  <r>
    <x v="3"/>
    <x v="2"/>
    <x v="5"/>
    <x v="0"/>
    <x v="12"/>
    <x v="4"/>
    <n v="0"/>
    <n v="0"/>
    <n v="0"/>
    <n v="0"/>
    <n v="0.35"/>
    <n v="0.6"/>
    <n v="0"/>
    <n v="0.35"/>
    <n v="0"/>
    <s v="India"/>
  </r>
  <r>
    <x v="2"/>
    <x v="1"/>
    <x v="147"/>
    <x v="4"/>
    <x v="6"/>
    <x v="4"/>
    <n v="0"/>
    <n v="0"/>
    <n v="0"/>
    <n v="0.3"/>
    <n v="0.05"/>
    <n v="0.05"/>
    <n v="0"/>
    <n v="-0.25"/>
    <n v="0"/>
    <s v="India"/>
  </r>
  <r>
    <x v="2"/>
    <x v="1"/>
    <x v="14"/>
    <x v="1"/>
    <x v="30"/>
    <x v="5"/>
    <n v="0.11"/>
    <n v="0.01"/>
    <n v="0"/>
    <n v="10.94"/>
    <n v="1.64"/>
    <n v="0.02"/>
    <n v="-0.1"/>
    <n v="-9.2999999999999989"/>
    <n v="-0.01"/>
    <s v="India"/>
  </r>
  <r>
    <x v="6"/>
    <x v="2"/>
    <x v="49"/>
    <x v="0"/>
    <x v="9"/>
    <x v="6"/>
    <n v="0.45"/>
    <n v="0"/>
    <n v="0"/>
    <n v="328.47"/>
    <n v="1.71"/>
    <n v="0.34"/>
    <n v="-0.45"/>
    <n v="-326.76000000000005"/>
    <n v="0"/>
    <s v="India"/>
  </r>
  <r>
    <x v="2"/>
    <x v="1"/>
    <x v="147"/>
    <x v="4"/>
    <x v="10"/>
    <x v="3"/>
    <n v="0"/>
    <n v="0"/>
    <n v="0"/>
    <n v="0"/>
    <n v="0"/>
    <n v="0.25"/>
    <n v="0"/>
    <n v="0"/>
    <n v="0"/>
    <s v="India"/>
  </r>
  <r>
    <x v="2"/>
    <x v="1"/>
    <x v="57"/>
    <x v="1"/>
    <x v="8"/>
    <x v="3"/>
    <n v="0.05"/>
    <n v="0.15"/>
    <n v="0"/>
    <n v="23.11"/>
    <n v="165.73"/>
    <n v="0.36"/>
    <n v="9.9999999999999992E-2"/>
    <n v="142.62"/>
    <n v="-0.15"/>
    <s v="India"/>
  </r>
  <r>
    <x v="5"/>
    <x v="1"/>
    <x v="9"/>
    <x v="1"/>
    <x v="9"/>
    <x v="6"/>
    <n v="0"/>
    <n v="0"/>
    <n v="0"/>
    <n v="1.08"/>
    <n v="0.11"/>
    <n v="0.2"/>
    <n v="0"/>
    <n v="-0.97000000000000008"/>
    <n v="0"/>
    <s v="India"/>
  </r>
  <r>
    <x v="11"/>
    <x v="2"/>
    <x v="136"/>
    <x v="3"/>
    <x v="10"/>
    <x v="3"/>
    <n v="0"/>
    <n v="0"/>
    <n v="0"/>
    <n v="0"/>
    <n v="0"/>
    <n v="0.1"/>
    <n v="0"/>
    <n v="0"/>
    <n v="0"/>
    <s v="India"/>
  </r>
  <r>
    <x v="8"/>
    <x v="4"/>
    <x v="88"/>
    <x v="1"/>
    <x v="2"/>
    <x v="0"/>
    <n v="0"/>
    <n v="0"/>
    <n v="0"/>
    <n v="1.95"/>
    <n v="2.41"/>
    <n v="1.34"/>
    <n v="0"/>
    <n v="0.46000000000000019"/>
    <n v="0"/>
    <s v="India"/>
  </r>
  <r>
    <x v="8"/>
    <x v="4"/>
    <x v="88"/>
    <x v="1"/>
    <x v="32"/>
    <x v="0"/>
    <n v="0"/>
    <n v="0"/>
    <n v="0"/>
    <n v="0"/>
    <n v="0"/>
    <n v="0.42"/>
    <n v="0"/>
    <n v="0"/>
    <n v="0"/>
    <s v="India"/>
  </r>
  <r>
    <x v="2"/>
    <x v="1"/>
    <x v="68"/>
    <x v="1"/>
    <x v="32"/>
    <x v="0"/>
    <n v="0.01"/>
    <n v="0"/>
    <n v="0"/>
    <n v="5.61"/>
    <n v="0.94"/>
    <n v="0.27"/>
    <n v="-0.01"/>
    <n v="-4.67"/>
    <n v="0"/>
    <s v="India"/>
  </r>
  <r>
    <x v="0"/>
    <x v="0"/>
    <x v="51"/>
    <x v="4"/>
    <x v="30"/>
    <x v="5"/>
    <n v="0"/>
    <n v="0"/>
    <n v="0"/>
    <n v="0.1"/>
    <n v="0.12"/>
    <n v="7.0000000000000007E-2"/>
    <n v="0"/>
    <n v="1.999999999999999E-2"/>
    <n v="0"/>
    <s v="India"/>
  </r>
  <r>
    <x v="8"/>
    <x v="4"/>
    <x v="89"/>
    <x v="1"/>
    <x v="5"/>
    <x v="3"/>
    <n v="0.09"/>
    <n v="0.05"/>
    <n v="0"/>
    <n v="38.29"/>
    <n v="14.6"/>
    <n v="0.22"/>
    <n v="-3.9999999999999994E-2"/>
    <n v="-23.689999999999998"/>
    <n v="-0.05"/>
    <s v="India"/>
  </r>
  <r>
    <x v="6"/>
    <x v="2"/>
    <x v="115"/>
    <x v="3"/>
    <x v="11"/>
    <x v="3"/>
    <n v="0"/>
    <n v="0"/>
    <n v="0"/>
    <n v="2.4500000000000002"/>
    <n v="3.37"/>
    <n v="1"/>
    <n v="0"/>
    <n v="0.91999999999999993"/>
    <n v="0"/>
    <s v="India"/>
  </r>
  <r>
    <x v="11"/>
    <x v="2"/>
    <x v="94"/>
    <x v="3"/>
    <x v="5"/>
    <x v="3"/>
    <n v="0.02"/>
    <n v="0"/>
    <n v="0"/>
    <n v="12.15"/>
    <n v="1.54"/>
    <n v="0.14000000000000001"/>
    <n v="-0.02"/>
    <n v="-10.61"/>
    <n v="0"/>
    <s v="India"/>
  </r>
  <r>
    <x v="1"/>
    <x v="0"/>
    <x v="98"/>
    <x v="1"/>
    <x v="17"/>
    <x v="5"/>
    <n v="0"/>
    <n v="0"/>
    <n v="0"/>
    <n v="0.16"/>
    <n v="0.18"/>
    <n v="0.2"/>
    <n v="0"/>
    <n v="1.999999999999999E-2"/>
    <n v="0"/>
    <s v="India"/>
  </r>
  <r>
    <x v="7"/>
    <x v="1"/>
    <x v="100"/>
    <x v="1"/>
    <x v="38"/>
    <x v="5"/>
    <n v="0.01"/>
    <n v="0"/>
    <n v="0"/>
    <n v="0.66"/>
    <n v="0.23"/>
    <n v="0.1"/>
    <n v="-0.01"/>
    <n v="-0.43000000000000005"/>
    <n v="0"/>
    <s v="India"/>
  </r>
  <r>
    <x v="6"/>
    <x v="2"/>
    <x v="105"/>
    <x v="1"/>
    <x v="20"/>
    <x v="3"/>
    <n v="0"/>
    <n v="0"/>
    <n v="0"/>
    <n v="3.34"/>
    <n v="6.68"/>
    <n v="0.76"/>
    <n v="0"/>
    <n v="3.34"/>
    <n v="0"/>
    <s v="India"/>
  </r>
  <r>
    <x v="11"/>
    <x v="2"/>
    <x v="94"/>
    <x v="3"/>
    <x v="29"/>
    <x v="7"/>
    <n v="0.01"/>
    <n v="0.02"/>
    <n v="0"/>
    <n v="1.48"/>
    <n v="1.46"/>
    <n v="0.17"/>
    <n v="0.01"/>
    <n v="-2.0000000000000018E-2"/>
    <n v="-0.02"/>
    <s v="India"/>
  </r>
  <r>
    <x v="23"/>
    <x v="2"/>
    <x v="168"/>
    <x v="1"/>
    <x v="3"/>
    <x v="2"/>
    <n v="0"/>
    <n v="0.01"/>
    <n v="0"/>
    <n v="0"/>
    <n v="2.8"/>
    <n v="0.5"/>
    <n v="0.01"/>
    <n v="2.8"/>
    <n v="-0.01"/>
    <s v="India"/>
  </r>
  <r>
    <x v="1"/>
    <x v="0"/>
    <x v="98"/>
    <x v="1"/>
    <x v="35"/>
    <x v="0"/>
    <n v="0"/>
    <n v="0"/>
    <n v="0"/>
    <n v="1.2"/>
    <n v="2.63"/>
    <n v="0.56999999999999995"/>
    <n v="0"/>
    <n v="1.43"/>
    <n v="0"/>
    <s v="India"/>
  </r>
  <r>
    <x v="0"/>
    <x v="0"/>
    <x v="54"/>
    <x v="1"/>
    <x v="6"/>
    <x v="4"/>
    <n v="0"/>
    <n v="0"/>
    <n v="0"/>
    <n v="0"/>
    <n v="0"/>
    <n v="0.1"/>
    <n v="0"/>
    <n v="0"/>
    <n v="0"/>
    <s v="India"/>
  </r>
  <r>
    <x v="1"/>
    <x v="0"/>
    <x v="75"/>
    <x v="1"/>
    <x v="22"/>
    <x v="6"/>
    <n v="0"/>
    <n v="0"/>
    <n v="0"/>
    <n v="0"/>
    <n v="0.01"/>
    <n v="0.06"/>
    <n v="0"/>
    <n v="0.01"/>
    <n v="0"/>
    <s v="India"/>
  </r>
  <r>
    <x v="1"/>
    <x v="0"/>
    <x v="66"/>
    <x v="1"/>
    <x v="16"/>
    <x v="0"/>
    <n v="0"/>
    <n v="0"/>
    <n v="0"/>
    <n v="0"/>
    <n v="0.17"/>
    <n v="0.2"/>
    <n v="0"/>
    <n v="0.17"/>
    <n v="0"/>
    <s v="India"/>
  </r>
  <r>
    <x v="23"/>
    <x v="2"/>
    <x v="168"/>
    <x v="1"/>
    <x v="36"/>
    <x v="6"/>
    <n v="0"/>
    <n v="0.01"/>
    <n v="0"/>
    <n v="0"/>
    <n v="0.43"/>
    <n v="0.04"/>
    <n v="0.01"/>
    <n v="0.43"/>
    <n v="-0.01"/>
    <s v="India"/>
  </r>
  <r>
    <x v="2"/>
    <x v="1"/>
    <x v="68"/>
    <x v="1"/>
    <x v="5"/>
    <x v="3"/>
    <n v="0.01"/>
    <n v="0.01"/>
    <n v="0"/>
    <n v="4.5199999999999996"/>
    <n v="5.82"/>
    <n v="0.12"/>
    <n v="0"/>
    <n v="1.3000000000000007"/>
    <n v="-0.01"/>
    <s v="India"/>
  </r>
  <r>
    <x v="9"/>
    <x v="1"/>
    <x v="44"/>
    <x v="1"/>
    <x v="10"/>
    <x v="3"/>
    <n v="0"/>
    <n v="0.01"/>
    <n v="0"/>
    <n v="0"/>
    <n v="7.87"/>
    <n v="0.08"/>
    <n v="0.01"/>
    <n v="7.87"/>
    <n v="-0.01"/>
    <s v="India"/>
  </r>
  <r>
    <x v="6"/>
    <x v="2"/>
    <x v="105"/>
    <x v="1"/>
    <x v="24"/>
    <x v="4"/>
    <n v="0.01"/>
    <n v="0.03"/>
    <n v="0"/>
    <n v="12.5"/>
    <n v="123"/>
    <n v="0.48"/>
    <n v="1.9999999999999997E-2"/>
    <n v="110.5"/>
    <n v="-0.03"/>
    <s v="India"/>
  </r>
  <r>
    <x v="14"/>
    <x v="3"/>
    <x v="39"/>
    <x v="2"/>
    <x v="20"/>
    <x v="3"/>
    <n v="0.01"/>
    <n v="0.01"/>
    <n v="0"/>
    <n v="4.22"/>
    <n v="20.51"/>
    <n v="0.1"/>
    <n v="0"/>
    <n v="16.290000000000003"/>
    <n v="-0.01"/>
    <s v="India"/>
  </r>
  <r>
    <x v="7"/>
    <x v="1"/>
    <x v="25"/>
    <x v="1"/>
    <x v="24"/>
    <x v="4"/>
    <n v="0"/>
    <n v="0"/>
    <n v="0"/>
    <n v="0"/>
    <n v="0"/>
    <n v="0.25"/>
    <n v="0"/>
    <n v="0"/>
    <n v="0"/>
    <s v="India"/>
  </r>
  <r>
    <x v="17"/>
    <x v="5"/>
    <x v="108"/>
    <x v="2"/>
    <x v="20"/>
    <x v="3"/>
    <n v="0"/>
    <n v="0"/>
    <n v="0"/>
    <n v="0"/>
    <n v="0"/>
    <n v="3.87"/>
    <n v="0"/>
    <n v="0"/>
    <n v="0"/>
    <s v="India"/>
  </r>
  <r>
    <x v="1"/>
    <x v="0"/>
    <x v="18"/>
    <x v="1"/>
    <x v="7"/>
    <x v="5"/>
    <n v="0"/>
    <n v="0"/>
    <n v="0"/>
    <n v="0"/>
    <n v="0"/>
    <n v="0.25"/>
    <n v="0"/>
    <n v="0"/>
    <n v="0"/>
    <s v="India"/>
  </r>
  <r>
    <x v="17"/>
    <x v="5"/>
    <x v="108"/>
    <x v="2"/>
    <x v="11"/>
    <x v="3"/>
    <n v="0.01"/>
    <n v="0"/>
    <n v="0"/>
    <n v="5.35"/>
    <n v="0.02"/>
    <n v="0.1"/>
    <n v="-0.01"/>
    <n v="-5.33"/>
    <n v="0"/>
    <s v="India"/>
  </r>
  <r>
    <x v="3"/>
    <x v="2"/>
    <x v="5"/>
    <x v="0"/>
    <x v="6"/>
    <x v="4"/>
    <n v="0"/>
    <n v="0.56000000000000005"/>
    <n v="0"/>
    <n v="0.06"/>
    <n v="660.56"/>
    <n v="0.25"/>
    <n v="0.56000000000000005"/>
    <n v="660.5"/>
    <n v="-0.56000000000000005"/>
    <s v="India"/>
  </r>
  <r>
    <x v="11"/>
    <x v="2"/>
    <x v="94"/>
    <x v="3"/>
    <x v="22"/>
    <x v="6"/>
    <n v="0"/>
    <n v="0"/>
    <n v="0"/>
    <n v="0.13"/>
    <n v="0.03"/>
    <n v="0.06"/>
    <n v="0"/>
    <n v="-0.1"/>
    <n v="0"/>
    <s v="India"/>
  </r>
  <r>
    <x v="19"/>
    <x v="1"/>
    <x v="114"/>
    <x v="1"/>
    <x v="3"/>
    <x v="2"/>
    <n v="0.06"/>
    <n v="0.11"/>
    <n v="0"/>
    <n v="26.26"/>
    <n v="56.89"/>
    <n v="0.91"/>
    <n v="0.05"/>
    <n v="30.63"/>
    <n v="-0.11"/>
    <s v="India"/>
  </r>
  <r>
    <x v="0"/>
    <x v="0"/>
    <x v="51"/>
    <x v="4"/>
    <x v="29"/>
    <x v="7"/>
    <n v="0.01"/>
    <n v="0.01"/>
    <n v="0"/>
    <n v="0.94"/>
    <n v="1.58"/>
    <n v="0.24"/>
    <n v="0"/>
    <n v="0.64000000000000012"/>
    <n v="-0.01"/>
    <s v="India"/>
  </r>
  <r>
    <x v="7"/>
    <x v="1"/>
    <x v="155"/>
    <x v="3"/>
    <x v="8"/>
    <x v="3"/>
    <n v="0"/>
    <n v="0"/>
    <n v="0"/>
    <n v="0.04"/>
    <n v="0.05"/>
    <n v="0.66"/>
    <n v="0"/>
    <n v="1.0000000000000002E-2"/>
    <n v="0"/>
    <s v="India"/>
  </r>
  <r>
    <x v="1"/>
    <x v="0"/>
    <x v="162"/>
    <x v="3"/>
    <x v="6"/>
    <x v="4"/>
    <n v="0"/>
    <n v="0"/>
    <n v="0"/>
    <n v="0.21"/>
    <n v="1.02"/>
    <n v="0.47"/>
    <n v="0"/>
    <n v="0.81"/>
    <n v="0"/>
    <s v="India"/>
  </r>
  <r>
    <x v="1"/>
    <x v="0"/>
    <x v="98"/>
    <x v="1"/>
    <x v="22"/>
    <x v="6"/>
    <n v="0"/>
    <n v="0"/>
    <n v="0"/>
    <n v="0"/>
    <n v="0.28999999999999998"/>
    <n v="0.2"/>
    <n v="0"/>
    <n v="0.28999999999999998"/>
    <n v="0"/>
    <s v="India"/>
  </r>
  <r>
    <x v="9"/>
    <x v="1"/>
    <x v="50"/>
    <x v="1"/>
    <x v="7"/>
    <x v="5"/>
    <n v="0"/>
    <n v="0"/>
    <n v="0"/>
    <n v="0"/>
    <n v="0"/>
    <n v="0.54"/>
    <n v="0"/>
    <n v="0"/>
    <n v="0"/>
    <s v="India"/>
  </r>
  <r>
    <x v="0"/>
    <x v="0"/>
    <x v="67"/>
    <x v="3"/>
    <x v="37"/>
    <x v="3"/>
    <n v="0"/>
    <n v="0"/>
    <n v="0"/>
    <n v="0"/>
    <n v="0.48"/>
    <n v="0.13"/>
    <n v="0"/>
    <n v="0.48"/>
    <n v="0"/>
    <s v="India"/>
  </r>
  <r>
    <x v="8"/>
    <x v="4"/>
    <x v="88"/>
    <x v="1"/>
    <x v="22"/>
    <x v="6"/>
    <n v="0"/>
    <n v="0"/>
    <n v="0"/>
    <n v="0.38"/>
    <n v="0"/>
    <n v="0.04"/>
    <n v="0"/>
    <n v="-0.38"/>
    <n v="0"/>
    <s v="India"/>
  </r>
  <r>
    <x v="2"/>
    <x v="1"/>
    <x v="59"/>
    <x v="2"/>
    <x v="17"/>
    <x v="5"/>
    <n v="0.08"/>
    <n v="7.0000000000000007E-2"/>
    <n v="0"/>
    <n v="48.17"/>
    <n v="46.47"/>
    <n v="0.6"/>
    <n v="-9.999999999999995E-3"/>
    <n v="-1.7000000000000028"/>
    <n v="-7.0000000000000007E-2"/>
    <s v="India"/>
  </r>
  <r>
    <x v="13"/>
    <x v="1"/>
    <x v="128"/>
    <x v="1"/>
    <x v="40"/>
    <x v="6"/>
    <n v="0"/>
    <n v="0"/>
    <n v="0"/>
    <n v="0.06"/>
    <n v="0.32"/>
    <n v="7.0000000000000007E-2"/>
    <n v="0"/>
    <n v="0.26"/>
    <n v="0"/>
    <s v="India"/>
  </r>
  <r>
    <x v="5"/>
    <x v="1"/>
    <x v="11"/>
    <x v="1"/>
    <x v="22"/>
    <x v="6"/>
    <n v="0.01"/>
    <n v="0.03"/>
    <n v="0"/>
    <n v="0.92"/>
    <n v="3.8"/>
    <n v="0.52"/>
    <n v="1.9999999999999997E-2"/>
    <n v="2.88"/>
    <n v="-0.03"/>
    <s v="India"/>
  </r>
  <r>
    <x v="13"/>
    <x v="1"/>
    <x v="48"/>
    <x v="1"/>
    <x v="22"/>
    <x v="6"/>
    <n v="0.01"/>
    <n v="0"/>
    <n v="0"/>
    <n v="0.91"/>
    <n v="0.32"/>
    <n v="0.05"/>
    <n v="-0.01"/>
    <n v="-0.59000000000000008"/>
    <n v="0"/>
    <s v="India"/>
  </r>
  <r>
    <x v="0"/>
    <x v="0"/>
    <x v="54"/>
    <x v="1"/>
    <x v="13"/>
    <x v="3"/>
    <n v="0"/>
    <n v="0"/>
    <n v="0"/>
    <n v="0"/>
    <n v="0.33"/>
    <n v="0.15"/>
    <n v="0"/>
    <n v="0.33"/>
    <n v="0"/>
    <s v="India"/>
  </r>
  <r>
    <x v="7"/>
    <x v="1"/>
    <x v="155"/>
    <x v="3"/>
    <x v="18"/>
    <x v="7"/>
    <n v="0"/>
    <n v="0"/>
    <n v="0"/>
    <n v="0"/>
    <n v="0"/>
    <n v="0.2"/>
    <n v="0"/>
    <n v="0"/>
    <n v="0"/>
    <s v="India"/>
  </r>
  <r>
    <x v="6"/>
    <x v="2"/>
    <x v="105"/>
    <x v="1"/>
    <x v="15"/>
    <x v="0"/>
    <n v="0"/>
    <n v="0"/>
    <n v="0"/>
    <n v="0"/>
    <n v="0"/>
    <n v="0.37"/>
    <n v="0"/>
    <n v="0"/>
    <n v="0"/>
    <s v="India"/>
  </r>
  <r>
    <x v="6"/>
    <x v="2"/>
    <x v="91"/>
    <x v="3"/>
    <x v="0"/>
    <x v="0"/>
    <n v="0"/>
    <n v="0"/>
    <n v="0"/>
    <n v="0"/>
    <n v="0.35"/>
    <n v="0.4"/>
    <n v="0"/>
    <n v="0.35"/>
    <n v="0"/>
    <s v="India"/>
  </r>
  <r>
    <x v="13"/>
    <x v="1"/>
    <x v="33"/>
    <x v="3"/>
    <x v="41"/>
    <x v="6"/>
    <n v="0"/>
    <n v="0"/>
    <n v="0"/>
    <n v="0.11"/>
    <n v="0.04"/>
    <n v="0.01"/>
    <n v="0"/>
    <n v="-7.0000000000000007E-2"/>
    <n v="0"/>
    <s v="India"/>
  </r>
  <r>
    <x v="14"/>
    <x v="3"/>
    <x v="39"/>
    <x v="2"/>
    <x v="41"/>
    <x v="6"/>
    <n v="0"/>
    <n v="0"/>
    <n v="0"/>
    <n v="0.1"/>
    <n v="1.4"/>
    <n v="0.02"/>
    <n v="0"/>
    <n v="1.2999999999999998"/>
    <n v="0"/>
    <s v="India"/>
  </r>
  <r>
    <x v="13"/>
    <x v="1"/>
    <x v="48"/>
    <x v="1"/>
    <x v="15"/>
    <x v="0"/>
    <n v="0.01"/>
    <n v="0"/>
    <n v="0"/>
    <n v="4"/>
    <n v="0"/>
    <n v="0.02"/>
    <n v="-0.01"/>
    <n v="-4"/>
    <n v="0"/>
    <s v="India"/>
  </r>
  <r>
    <x v="13"/>
    <x v="1"/>
    <x v="128"/>
    <x v="1"/>
    <x v="14"/>
    <x v="3"/>
    <n v="0"/>
    <n v="0"/>
    <n v="0"/>
    <n v="0"/>
    <n v="0.24"/>
    <n v="0.25"/>
    <n v="0"/>
    <n v="0.24"/>
    <n v="0"/>
    <s v="India"/>
  </r>
  <r>
    <x v="6"/>
    <x v="2"/>
    <x v="55"/>
    <x v="0"/>
    <x v="7"/>
    <x v="5"/>
    <n v="0.01"/>
    <n v="0"/>
    <n v="0"/>
    <n v="11.23"/>
    <n v="0"/>
    <n v="0.3"/>
    <n v="-0.01"/>
    <n v="-11.23"/>
    <n v="0"/>
    <s v="India"/>
  </r>
  <r>
    <x v="14"/>
    <x v="3"/>
    <x v="53"/>
    <x v="2"/>
    <x v="41"/>
    <x v="6"/>
    <n v="0"/>
    <n v="0"/>
    <n v="0"/>
    <n v="0"/>
    <n v="0"/>
    <n v="0.06"/>
    <n v="0"/>
    <n v="0"/>
    <n v="0"/>
    <s v="India"/>
  </r>
  <r>
    <x v="7"/>
    <x v="1"/>
    <x v="100"/>
    <x v="1"/>
    <x v="2"/>
    <x v="0"/>
    <n v="0.02"/>
    <n v="0.1"/>
    <n v="0"/>
    <n v="17.43"/>
    <n v="78.010000000000005"/>
    <n v="0.4"/>
    <n v="0.08"/>
    <n v="60.580000000000005"/>
    <n v="-0.1"/>
    <s v="India"/>
  </r>
  <r>
    <x v="4"/>
    <x v="3"/>
    <x v="113"/>
    <x v="3"/>
    <x v="13"/>
    <x v="3"/>
    <n v="0"/>
    <n v="0"/>
    <n v="0"/>
    <n v="0.01"/>
    <n v="0"/>
    <n v="0.2"/>
    <n v="0"/>
    <n v="-0.01"/>
    <n v="0"/>
    <s v="India"/>
  </r>
  <r>
    <x v="12"/>
    <x v="2"/>
    <x v="145"/>
    <x v="3"/>
    <x v="8"/>
    <x v="3"/>
    <n v="0.01"/>
    <n v="0"/>
    <n v="0"/>
    <n v="3.85"/>
    <n v="0.37"/>
    <n v="0.21"/>
    <n v="-0.01"/>
    <n v="-3.48"/>
    <n v="0"/>
    <s v="India"/>
  </r>
  <r>
    <x v="12"/>
    <x v="2"/>
    <x v="178"/>
    <x v="4"/>
    <x v="10"/>
    <x v="3"/>
    <n v="0.01"/>
    <n v="0"/>
    <n v="0"/>
    <n v="0.46"/>
    <n v="0.17"/>
    <n v="0.03"/>
    <n v="-0.01"/>
    <n v="-0.29000000000000004"/>
    <n v="0"/>
    <s v="India"/>
  </r>
  <r>
    <x v="8"/>
    <x v="4"/>
    <x v="118"/>
    <x v="3"/>
    <x v="5"/>
    <x v="3"/>
    <n v="0"/>
    <n v="0"/>
    <n v="0"/>
    <n v="0"/>
    <n v="0"/>
    <n v="1.02"/>
    <n v="0"/>
    <n v="0"/>
    <n v="0"/>
    <s v="India"/>
  </r>
  <r>
    <x v="12"/>
    <x v="2"/>
    <x v="38"/>
    <x v="3"/>
    <x v="3"/>
    <x v="2"/>
    <n v="0"/>
    <n v="0"/>
    <n v="0"/>
    <n v="0.28999999999999998"/>
    <n v="1.53"/>
    <n v="0.05"/>
    <n v="0"/>
    <n v="1.24"/>
    <n v="0"/>
    <s v="India"/>
  </r>
  <r>
    <x v="9"/>
    <x v="1"/>
    <x v="61"/>
    <x v="1"/>
    <x v="13"/>
    <x v="3"/>
    <n v="0.08"/>
    <n v="0"/>
    <n v="0"/>
    <n v="39.1"/>
    <n v="0.05"/>
    <n v="0.12"/>
    <n v="-0.08"/>
    <n v="-39.050000000000004"/>
    <n v="0"/>
    <s v="India"/>
  </r>
  <r>
    <x v="1"/>
    <x v="0"/>
    <x v="98"/>
    <x v="1"/>
    <x v="32"/>
    <x v="0"/>
    <n v="0.01"/>
    <n v="0"/>
    <n v="0"/>
    <n v="2.1800000000000002"/>
    <n v="0.24"/>
    <n v="0.18"/>
    <n v="-0.01"/>
    <n v="-1.9400000000000002"/>
    <n v="0"/>
    <s v="India"/>
  </r>
  <r>
    <x v="12"/>
    <x v="2"/>
    <x v="38"/>
    <x v="3"/>
    <x v="15"/>
    <x v="0"/>
    <n v="0"/>
    <n v="0.01"/>
    <n v="0"/>
    <n v="0.92"/>
    <n v="0.9"/>
    <n v="0.3"/>
    <n v="0.01"/>
    <n v="-2.0000000000000018E-2"/>
    <n v="-0.01"/>
    <s v="India"/>
  </r>
  <r>
    <x v="17"/>
    <x v="5"/>
    <x v="87"/>
    <x v="2"/>
    <x v="9"/>
    <x v="6"/>
    <n v="0"/>
    <n v="0"/>
    <n v="0"/>
    <n v="0"/>
    <n v="0.53"/>
    <n v="0.21"/>
    <n v="0"/>
    <n v="0.53"/>
    <n v="0"/>
    <s v="India"/>
  </r>
  <r>
    <x v="10"/>
    <x v="2"/>
    <x v="28"/>
    <x v="1"/>
    <x v="22"/>
    <x v="6"/>
    <n v="0.01"/>
    <n v="0"/>
    <n v="0"/>
    <n v="0.28999999999999998"/>
    <n v="0.4"/>
    <n v="0.05"/>
    <n v="-0.01"/>
    <n v="0.11000000000000004"/>
    <n v="0"/>
    <s v="India"/>
  </r>
  <r>
    <x v="6"/>
    <x v="2"/>
    <x v="115"/>
    <x v="3"/>
    <x v="3"/>
    <x v="2"/>
    <n v="0"/>
    <n v="0"/>
    <n v="0"/>
    <n v="0.19"/>
    <n v="1.57"/>
    <n v="0.17"/>
    <n v="0"/>
    <n v="1.3800000000000001"/>
    <n v="0"/>
    <s v="India"/>
  </r>
  <r>
    <x v="4"/>
    <x v="3"/>
    <x v="73"/>
    <x v="2"/>
    <x v="39"/>
    <x v="7"/>
    <n v="0"/>
    <n v="0"/>
    <n v="0"/>
    <n v="0.1"/>
    <n v="0.1"/>
    <n v="0.05"/>
    <n v="0"/>
    <n v="0"/>
    <n v="0"/>
    <s v="India"/>
  </r>
  <r>
    <x v="2"/>
    <x v="1"/>
    <x v="60"/>
    <x v="1"/>
    <x v="38"/>
    <x v="5"/>
    <n v="0"/>
    <n v="0"/>
    <n v="0"/>
    <n v="0"/>
    <n v="0"/>
    <n v="2.7"/>
    <n v="0"/>
    <n v="0"/>
    <n v="0"/>
    <s v="India"/>
  </r>
  <r>
    <x v="5"/>
    <x v="1"/>
    <x v="11"/>
    <x v="1"/>
    <x v="36"/>
    <x v="6"/>
    <n v="0"/>
    <n v="0.01"/>
    <n v="0"/>
    <n v="0.01"/>
    <n v="0.5"/>
    <n v="0.05"/>
    <n v="0.01"/>
    <n v="0.49"/>
    <n v="-0.01"/>
    <s v="India"/>
  </r>
  <r>
    <x v="1"/>
    <x v="0"/>
    <x v="24"/>
    <x v="3"/>
    <x v="29"/>
    <x v="7"/>
    <n v="0"/>
    <n v="0"/>
    <n v="0"/>
    <n v="0.23"/>
    <n v="0.16"/>
    <n v="0.17"/>
    <n v="0"/>
    <n v="-7.0000000000000007E-2"/>
    <n v="0"/>
    <s v="India"/>
  </r>
  <r>
    <x v="6"/>
    <x v="2"/>
    <x v="55"/>
    <x v="0"/>
    <x v="41"/>
    <x v="6"/>
    <n v="0.02"/>
    <n v="0"/>
    <n v="0"/>
    <n v="1.41"/>
    <n v="0.01"/>
    <n v="0.2"/>
    <n v="-0.02"/>
    <n v="-1.4"/>
    <n v="0"/>
    <s v="India"/>
  </r>
  <r>
    <x v="4"/>
    <x v="3"/>
    <x v="135"/>
    <x v="2"/>
    <x v="9"/>
    <x v="6"/>
    <n v="0"/>
    <n v="0"/>
    <n v="0"/>
    <n v="0.28999999999999998"/>
    <n v="0.13"/>
    <n v="0.18"/>
    <n v="0"/>
    <n v="-0.15999999999999998"/>
    <n v="0"/>
    <s v="India"/>
  </r>
  <r>
    <x v="11"/>
    <x v="2"/>
    <x v="134"/>
    <x v="4"/>
    <x v="16"/>
    <x v="0"/>
    <n v="0"/>
    <n v="0"/>
    <n v="0"/>
    <n v="0"/>
    <n v="0"/>
    <n v="0.22"/>
    <n v="0"/>
    <n v="0"/>
    <n v="0"/>
    <s v="India"/>
  </r>
  <r>
    <x v="4"/>
    <x v="3"/>
    <x v="45"/>
    <x v="2"/>
    <x v="30"/>
    <x v="5"/>
    <n v="0"/>
    <n v="0"/>
    <n v="0"/>
    <n v="0"/>
    <n v="1.18"/>
    <n v="0.2"/>
    <n v="0"/>
    <n v="1.18"/>
    <n v="0"/>
    <s v="India"/>
  </r>
  <r>
    <x v="8"/>
    <x v="4"/>
    <x v="88"/>
    <x v="1"/>
    <x v="41"/>
    <x v="6"/>
    <n v="0"/>
    <n v="0"/>
    <n v="0"/>
    <n v="0.03"/>
    <n v="0.05"/>
    <n v="0.05"/>
    <n v="0"/>
    <n v="2.0000000000000004E-2"/>
    <n v="0"/>
    <s v="India"/>
  </r>
  <r>
    <x v="11"/>
    <x v="2"/>
    <x v="64"/>
    <x v="3"/>
    <x v="28"/>
    <x v="5"/>
    <n v="0.09"/>
    <n v="0.05"/>
    <n v="0"/>
    <n v="1.33"/>
    <n v="1.4"/>
    <n v="0.01"/>
    <n v="-3.9999999999999994E-2"/>
    <n v="6.999999999999984E-2"/>
    <n v="-0.05"/>
    <s v="India"/>
  </r>
  <r>
    <x v="0"/>
    <x v="0"/>
    <x v="72"/>
    <x v="4"/>
    <x v="11"/>
    <x v="3"/>
    <n v="0.08"/>
    <n v="0.28999999999999998"/>
    <n v="0"/>
    <n v="6.69"/>
    <n v="61.71"/>
    <n v="0.08"/>
    <n v="0.20999999999999996"/>
    <n v="55.02"/>
    <n v="-0.28999999999999998"/>
    <s v="India"/>
  </r>
  <r>
    <x v="1"/>
    <x v="0"/>
    <x v="66"/>
    <x v="1"/>
    <x v="2"/>
    <x v="0"/>
    <n v="0"/>
    <n v="0"/>
    <n v="0"/>
    <n v="0"/>
    <n v="0"/>
    <n v="0.38"/>
    <n v="0"/>
    <n v="0"/>
    <n v="0"/>
    <s v="India"/>
  </r>
  <r>
    <x v="6"/>
    <x v="2"/>
    <x v="12"/>
    <x v="0"/>
    <x v="26"/>
    <x v="0"/>
    <n v="0"/>
    <n v="0"/>
    <n v="0"/>
    <n v="0"/>
    <n v="0.02"/>
    <n v="0.2"/>
    <n v="0"/>
    <n v="0.02"/>
    <n v="0"/>
    <s v="India"/>
  </r>
  <r>
    <x v="4"/>
    <x v="3"/>
    <x v="73"/>
    <x v="2"/>
    <x v="32"/>
    <x v="0"/>
    <n v="0.04"/>
    <n v="0.03"/>
    <n v="0"/>
    <n v="152.55000000000001"/>
    <n v="82.88"/>
    <n v="0.3"/>
    <n v="-1.0000000000000002E-2"/>
    <n v="-69.670000000000016"/>
    <n v="-0.03"/>
    <s v="India"/>
  </r>
  <r>
    <x v="4"/>
    <x v="3"/>
    <x v="135"/>
    <x v="2"/>
    <x v="38"/>
    <x v="5"/>
    <n v="0.01"/>
    <n v="0"/>
    <n v="0"/>
    <n v="13.54"/>
    <n v="1.47"/>
    <n v="0.18"/>
    <n v="-0.01"/>
    <n v="-12.069999999999999"/>
    <n v="0"/>
    <s v="India"/>
  </r>
  <r>
    <x v="0"/>
    <x v="0"/>
    <x v="51"/>
    <x v="4"/>
    <x v="40"/>
    <x v="6"/>
    <n v="0.01"/>
    <n v="0.01"/>
    <n v="0"/>
    <n v="0.85"/>
    <n v="0.53"/>
    <n v="0.02"/>
    <n v="0"/>
    <n v="-0.31999999999999995"/>
    <n v="-0.01"/>
    <s v="India"/>
  </r>
  <r>
    <x v="7"/>
    <x v="1"/>
    <x v="155"/>
    <x v="3"/>
    <x v="5"/>
    <x v="3"/>
    <n v="0.05"/>
    <n v="0"/>
    <n v="0"/>
    <n v="116.31"/>
    <n v="4.75"/>
    <n v="0.5"/>
    <n v="-0.05"/>
    <n v="-111.56"/>
    <n v="0"/>
    <s v="India"/>
  </r>
  <r>
    <x v="9"/>
    <x v="1"/>
    <x v="129"/>
    <x v="1"/>
    <x v="22"/>
    <x v="6"/>
    <n v="0"/>
    <n v="0"/>
    <n v="0"/>
    <n v="0.21"/>
    <n v="0"/>
    <n v="0.1"/>
    <n v="0"/>
    <n v="-0.21"/>
    <n v="0"/>
    <s v="India"/>
  </r>
  <r>
    <x v="1"/>
    <x v="0"/>
    <x v="179"/>
    <x v="0"/>
    <x v="24"/>
    <x v="4"/>
    <n v="0"/>
    <n v="0"/>
    <n v="0"/>
    <n v="0"/>
    <n v="1.89"/>
    <n v="0.15"/>
    <n v="0"/>
    <n v="1.89"/>
    <n v="0"/>
    <s v="India"/>
  </r>
  <r>
    <x v="21"/>
    <x v="5"/>
    <x v="150"/>
    <x v="2"/>
    <x v="32"/>
    <x v="0"/>
    <n v="0"/>
    <n v="0"/>
    <n v="0"/>
    <n v="0.02"/>
    <n v="0.03"/>
    <n v="0.5"/>
    <n v="0"/>
    <n v="9.9999999999999985E-3"/>
    <n v="0"/>
    <s v="India"/>
  </r>
  <r>
    <x v="0"/>
    <x v="0"/>
    <x v="0"/>
    <x v="0"/>
    <x v="20"/>
    <x v="3"/>
    <n v="0"/>
    <n v="0"/>
    <n v="0"/>
    <n v="1.54"/>
    <n v="0.85"/>
    <n v="0.18"/>
    <n v="0"/>
    <n v="-0.69000000000000006"/>
    <n v="0"/>
    <s v="India"/>
  </r>
  <r>
    <x v="2"/>
    <x v="1"/>
    <x v="57"/>
    <x v="1"/>
    <x v="35"/>
    <x v="0"/>
    <n v="0"/>
    <n v="0"/>
    <n v="0"/>
    <n v="0"/>
    <n v="0"/>
    <n v="0.1"/>
    <n v="0"/>
    <n v="0"/>
    <n v="0"/>
    <s v="India"/>
  </r>
  <r>
    <x v="12"/>
    <x v="2"/>
    <x v="38"/>
    <x v="3"/>
    <x v="32"/>
    <x v="0"/>
    <n v="0"/>
    <n v="0"/>
    <n v="0"/>
    <n v="1.89"/>
    <n v="0.45"/>
    <n v="0.06"/>
    <n v="0"/>
    <n v="-1.44"/>
    <n v="0"/>
    <s v="India"/>
  </r>
  <r>
    <x v="2"/>
    <x v="1"/>
    <x v="14"/>
    <x v="1"/>
    <x v="22"/>
    <x v="6"/>
    <n v="0.03"/>
    <n v="0"/>
    <n v="0"/>
    <n v="4.3899999999999997"/>
    <n v="0.06"/>
    <n v="0.02"/>
    <n v="-0.03"/>
    <n v="-4.33"/>
    <n v="0"/>
    <s v="India"/>
  </r>
  <r>
    <x v="11"/>
    <x v="2"/>
    <x v="94"/>
    <x v="3"/>
    <x v="18"/>
    <x v="7"/>
    <n v="0.01"/>
    <n v="0.02"/>
    <n v="0"/>
    <n v="2.3199999999999998"/>
    <n v="1.0900000000000001"/>
    <n v="0.1"/>
    <n v="0.01"/>
    <n v="-1.2299999999999998"/>
    <n v="-0.02"/>
    <s v="India"/>
  </r>
  <r>
    <x v="10"/>
    <x v="2"/>
    <x v="69"/>
    <x v="3"/>
    <x v="32"/>
    <x v="0"/>
    <n v="0"/>
    <n v="0"/>
    <n v="0"/>
    <n v="0.79"/>
    <n v="0.17"/>
    <n v="0.15"/>
    <n v="0"/>
    <n v="-0.62"/>
    <n v="0"/>
    <s v="India"/>
  </r>
  <r>
    <x v="12"/>
    <x v="2"/>
    <x v="30"/>
    <x v="1"/>
    <x v="30"/>
    <x v="5"/>
    <n v="0.03"/>
    <n v="0.01"/>
    <n v="0"/>
    <n v="6.2"/>
    <n v="0.32"/>
    <n v="0.03"/>
    <n v="-1.9999999999999997E-2"/>
    <n v="-5.88"/>
    <n v="-0.01"/>
    <s v="India"/>
  </r>
  <r>
    <x v="0"/>
    <x v="0"/>
    <x v="67"/>
    <x v="3"/>
    <x v="15"/>
    <x v="0"/>
    <n v="0"/>
    <n v="0"/>
    <n v="0"/>
    <n v="0"/>
    <n v="0"/>
    <n v="0.13"/>
    <n v="0"/>
    <n v="0"/>
    <n v="0"/>
    <s v="India"/>
  </r>
  <r>
    <x v="7"/>
    <x v="1"/>
    <x v="100"/>
    <x v="1"/>
    <x v="9"/>
    <x v="6"/>
    <n v="0"/>
    <n v="0.01"/>
    <n v="0"/>
    <n v="2.84"/>
    <n v="5.49"/>
    <n v="0.1"/>
    <n v="0.01"/>
    <n v="2.6500000000000004"/>
    <n v="-0.01"/>
    <s v="India"/>
  </r>
  <r>
    <x v="6"/>
    <x v="2"/>
    <x v="115"/>
    <x v="3"/>
    <x v="13"/>
    <x v="3"/>
    <n v="0"/>
    <n v="0"/>
    <n v="0"/>
    <n v="0.36"/>
    <n v="0.13"/>
    <n v="0.04"/>
    <n v="0"/>
    <n v="-0.22999999999999998"/>
    <n v="0"/>
    <s v="India"/>
  </r>
  <r>
    <x v="8"/>
    <x v="4"/>
    <x v="118"/>
    <x v="3"/>
    <x v="10"/>
    <x v="3"/>
    <n v="0"/>
    <n v="0.01"/>
    <n v="0"/>
    <n v="0.06"/>
    <n v="0.71"/>
    <n v="0.2"/>
    <n v="0.01"/>
    <n v="0.64999999999999991"/>
    <n v="-0.01"/>
    <s v="India"/>
  </r>
  <r>
    <x v="2"/>
    <x v="1"/>
    <x v="59"/>
    <x v="2"/>
    <x v="38"/>
    <x v="5"/>
    <n v="2.76"/>
    <n v="0"/>
    <n v="0"/>
    <n v="539.03"/>
    <n v="0"/>
    <n v="0.01"/>
    <n v="-2.76"/>
    <n v="-539.03"/>
    <n v="0"/>
    <s v="India"/>
  </r>
  <r>
    <x v="21"/>
    <x v="5"/>
    <x v="150"/>
    <x v="2"/>
    <x v="22"/>
    <x v="6"/>
    <n v="0"/>
    <n v="0"/>
    <n v="0"/>
    <n v="7.0000000000000007E-2"/>
    <n v="0.09"/>
    <n v="0.05"/>
    <n v="0"/>
    <n v="1.999999999999999E-2"/>
    <n v="0"/>
    <s v="India"/>
  </r>
  <r>
    <x v="14"/>
    <x v="3"/>
    <x v="110"/>
    <x v="2"/>
    <x v="28"/>
    <x v="5"/>
    <n v="0"/>
    <n v="0"/>
    <n v="0"/>
    <n v="0"/>
    <n v="0"/>
    <n v="0.2"/>
    <n v="0"/>
    <n v="0"/>
    <n v="0"/>
    <s v="India"/>
  </r>
  <r>
    <x v="4"/>
    <x v="3"/>
    <x v="63"/>
    <x v="2"/>
    <x v="7"/>
    <x v="5"/>
    <n v="0.02"/>
    <n v="0"/>
    <n v="0"/>
    <n v="2.17"/>
    <n v="0.26"/>
    <n v="0.16"/>
    <n v="-0.02"/>
    <n v="-1.91"/>
    <n v="0"/>
    <s v="India"/>
  </r>
  <r>
    <x v="16"/>
    <x v="3"/>
    <x v="77"/>
    <x v="2"/>
    <x v="40"/>
    <x v="6"/>
    <n v="0.06"/>
    <n v="0"/>
    <n v="0"/>
    <n v="12.52"/>
    <n v="0"/>
    <n v="0.1"/>
    <n v="-0.06"/>
    <n v="-12.52"/>
    <n v="0"/>
    <s v="India"/>
  </r>
  <r>
    <x v="13"/>
    <x v="1"/>
    <x v="128"/>
    <x v="1"/>
    <x v="17"/>
    <x v="5"/>
    <n v="0"/>
    <n v="0"/>
    <n v="0"/>
    <n v="0"/>
    <n v="0"/>
    <n v="0.06"/>
    <n v="0"/>
    <n v="0"/>
    <n v="0"/>
    <s v="India"/>
  </r>
  <r>
    <x v="12"/>
    <x v="2"/>
    <x v="30"/>
    <x v="1"/>
    <x v="29"/>
    <x v="7"/>
    <n v="0.01"/>
    <n v="0"/>
    <n v="0"/>
    <n v="1.67"/>
    <n v="0.24"/>
    <n v="7.0000000000000007E-2"/>
    <n v="-0.01"/>
    <n v="-1.43"/>
    <n v="0"/>
    <s v="India"/>
  </r>
  <r>
    <x v="13"/>
    <x v="1"/>
    <x v="33"/>
    <x v="3"/>
    <x v="16"/>
    <x v="0"/>
    <n v="0.01"/>
    <n v="0"/>
    <n v="0"/>
    <n v="2.94"/>
    <n v="1.71"/>
    <n v="0.57999999999999996"/>
    <n v="-0.01"/>
    <n v="-1.23"/>
    <n v="0"/>
    <s v="India"/>
  </r>
  <r>
    <x v="14"/>
    <x v="3"/>
    <x v="53"/>
    <x v="2"/>
    <x v="19"/>
    <x v="4"/>
    <n v="0.01"/>
    <n v="0.03"/>
    <n v="0"/>
    <n v="38.69"/>
    <n v="63.96"/>
    <n v="0.61"/>
    <n v="1.9999999999999997E-2"/>
    <n v="25.270000000000003"/>
    <n v="-0.03"/>
    <s v="India"/>
  </r>
  <r>
    <x v="11"/>
    <x v="2"/>
    <x v="29"/>
    <x v="0"/>
    <x v="15"/>
    <x v="0"/>
    <n v="0"/>
    <n v="0.05"/>
    <n v="0"/>
    <n v="2.77"/>
    <n v="153.47"/>
    <n v="0.28999999999999998"/>
    <n v="0.05"/>
    <n v="150.69999999999999"/>
    <n v="-0.05"/>
    <s v="India"/>
  </r>
  <r>
    <x v="11"/>
    <x v="2"/>
    <x v="29"/>
    <x v="0"/>
    <x v="29"/>
    <x v="7"/>
    <n v="0.04"/>
    <n v="0.06"/>
    <n v="0"/>
    <n v="11.55"/>
    <n v="8.7799999999999994"/>
    <n v="0.01"/>
    <n v="1.9999999999999997E-2"/>
    <n v="-2.7700000000000014"/>
    <n v="-0.06"/>
    <s v="India"/>
  </r>
  <r>
    <x v="6"/>
    <x v="2"/>
    <x v="115"/>
    <x v="3"/>
    <x v="12"/>
    <x v="4"/>
    <n v="0"/>
    <n v="0"/>
    <n v="0"/>
    <n v="3.42"/>
    <n v="3.88"/>
    <n v="0.1"/>
    <n v="0"/>
    <n v="0.45999999999999996"/>
    <n v="0"/>
    <s v="India"/>
  </r>
  <r>
    <x v="1"/>
    <x v="0"/>
    <x v="24"/>
    <x v="3"/>
    <x v="28"/>
    <x v="5"/>
    <n v="0"/>
    <n v="0"/>
    <n v="0"/>
    <n v="0"/>
    <n v="0.1"/>
    <n v="0"/>
    <n v="0"/>
    <n v="0.1"/>
    <n v="0"/>
    <s v="India"/>
  </r>
  <r>
    <x v="12"/>
    <x v="2"/>
    <x v="38"/>
    <x v="3"/>
    <x v="35"/>
    <x v="0"/>
    <n v="0"/>
    <n v="0"/>
    <n v="0"/>
    <n v="0.65"/>
    <n v="0.14000000000000001"/>
    <n v="0.21"/>
    <n v="0"/>
    <n v="-0.51"/>
    <n v="0"/>
    <s v="India"/>
  </r>
  <r>
    <x v="2"/>
    <x v="1"/>
    <x v="57"/>
    <x v="1"/>
    <x v="38"/>
    <x v="5"/>
    <n v="0"/>
    <n v="0"/>
    <n v="0"/>
    <n v="0"/>
    <n v="0.01"/>
    <n v="0.02"/>
    <n v="0"/>
    <n v="0.01"/>
    <n v="0"/>
    <s v="India"/>
  </r>
  <r>
    <x v="12"/>
    <x v="2"/>
    <x v="38"/>
    <x v="3"/>
    <x v="36"/>
    <x v="6"/>
    <n v="0"/>
    <n v="0.01"/>
    <n v="0"/>
    <n v="0.04"/>
    <n v="0.61"/>
    <n v="0.01"/>
    <n v="0.01"/>
    <n v="0.56999999999999995"/>
    <n v="-0.01"/>
    <s v="India"/>
  </r>
  <r>
    <x v="6"/>
    <x v="2"/>
    <x v="115"/>
    <x v="3"/>
    <x v="22"/>
    <x v="6"/>
    <n v="0"/>
    <n v="0"/>
    <n v="0"/>
    <n v="0"/>
    <n v="0.19"/>
    <n v="7.0000000000000007E-2"/>
    <n v="0"/>
    <n v="0.19"/>
    <n v="0"/>
    <s v="India"/>
  </r>
  <r>
    <x v="6"/>
    <x v="2"/>
    <x v="140"/>
    <x v="1"/>
    <x v="32"/>
    <x v="0"/>
    <n v="0"/>
    <n v="0"/>
    <n v="0"/>
    <n v="0.03"/>
    <n v="0.06"/>
    <n v="0.11"/>
    <n v="0"/>
    <n v="0.03"/>
    <n v="0"/>
    <s v="India"/>
  </r>
  <r>
    <x v="9"/>
    <x v="1"/>
    <x v="61"/>
    <x v="1"/>
    <x v="22"/>
    <x v="6"/>
    <n v="0.1"/>
    <n v="0"/>
    <n v="0"/>
    <n v="12.6"/>
    <n v="0.02"/>
    <n v="0.01"/>
    <n v="-0.1"/>
    <n v="-12.58"/>
    <n v="0"/>
    <s v="India"/>
  </r>
  <r>
    <x v="2"/>
    <x v="1"/>
    <x v="149"/>
    <x v="3"/>
    <x v="5"/>
    <x v="3"/>
    <n v="0"/>
    <n v="0"/>
    <n v="0"/>
    <n v="0.82"/>
    <n v="0"/>
    <n v="0.45"/>
    <n v="0"/>
    <n v="-0.82"/>
    <n v="0"/>
    <s v="India"/>
  </r>
  <r>
    <x v="5"/>
    <x v="1"/>
    <x v="92"/>
    <x v="1"/>
    <x v="41"/>
    <x v="6"/>
    <n v="0"/>
    <n v="0"/>
    <n v="0"/>
    <n v="0"/>
    <n v="7.0000000000000007E-2"/>
    <n v="0.01"/>
    <n v="0"/>
    <n v="7.0000000000000007E-2"/>
    <n v="0"/>
    <s v="India"/>
  </r>
  <r>
    <x v="2"/>
    <x v="1"/>
    <x v="14"/>
    <x v="1"/>
    <x v="12"/>
    <x v="4"/>
    <n v="0"/>
    <n v="0"/>
    <n v="0"/>
    <n v="0"/>
    <n v="0"/>
    <n v="0.45"/>
    <n v="0"/>
    <n v="0"/>
    <n v="0"/>
    <s v="India"/>
  </r>
  <r>
    <x v="21"/>
    <x v="5"/>
    <x v="150"/>
    <x v="2"/>
    <x v="29"/>
    <x v="7"/>
    <n v="0"/>
    <n v="0"/>
    <n v="0"/>
    <n v="0.28999999999999998"/>
    <n v="0.11"/>
    <n v="0.16"/>
    <n v="0"/>
    <n v="-0.18"/>
    <n v="0"/>
    <s v="India"/>
  </r>
  <r>
    <x v="6"/>
    <x v="2"/>
    <x v="91"/>
    <x v="3"/>
    <x v="2"/>
    <x v="0"/>
    <n v="0"/>
    <n v="0.01"/>
    <n v="0"/>
    <n v="0.28999999999999998"/>
    <n v="3.85"/>
    <n v="0.01"/>
    <n v="0.01"/>
    <n v="3.56"/>
    <n v="-0.01"/>
    <s v="India"/>
  </r>
  <r>
    <x v="1"/>
    <x v="0"/>
    <x v="24"/>
    <x v="3"/>
    <x v="1"/>
    <x v="1"/>
    <n v="0.16"/>
    <n v="0.04"/>
    <n v="0"/>
    <n v="20.49"/>
    <n v="6.97"/>
    <n v="0.09"/>
    <n v="-0.12"/>
    <n v="-13.52"/>
    <n v="-0.04"/>
    <s v="India"/>
  </r>
  <r>
    <x v="1"/>
    <x v="0"/>
    <x v="179"/>
    <x v="0"/>
    <x v="6"/>
    <x v="4"/>
    <n v="0"/>
    <n v="0"/>
    <n v="0"/>
    <n v="0"/>
    <n v="0.91"/>
    <n v="0.06"/>
    <n v="0"/>
    <n v="0.91"/>
    <n v="0"/>
    <s v="India"/>
  </r>
  <r>
    <x v="12"/>
    <x v="2"/>
    <x v="145"/>
    <x v="3"/>
    <x v="30"/>
    <x v="5"/>
    <n v="0"/>
    <n v="0.02"/>
    <n v="0"/>
    <n v="1.82"/>
    <n v="22.06"/>
    <n v="0.17"/>
    <n v="0.02"/>
    <n v="20.239999999999998"/>
    <n v="-0.02"/>
    <s v="India"/>
  </r>
  <r>
    <x v="13"/>
    <x v="1"/>
    <x v="128"/>
    <x v="1"/>
    <x v="32"/>
    <x v="0"/>
    <n v="0.01"/>
    <n v="0"/>
    <n v="0"/>
    <n v="2.42"/>
    <n v="1.0900000000000001"/>
    <n v="0.16"/>
    <n v="-0.01"/>
    <n v="-1.3299999999999998"/>
    <n v="0"/>
    <s v="India"/>
  </r>
  <r>
    <x v="21"/>
    <x v="5"/>
    <x v="154"/>
    <x v="2"/>
    <x v="5"/>
    <x v="3"/>
    <n v="0"/>
    <n v="0"/>
    <n v="0"/>
    <n v="0"/>
    <n v="1.48"/>
    <n v="0.06"/>
    <n v="0"/>
    <n v="1.48"/>
    <n v="0"/>
    <s v="India"/>
  </r>
  <r>
    <x v="11"/>
    <x v="2"/>
    <x v="134"/>
    <x v="4"/>
    <x v="6"/>
    <x v="4"/>
    <n v="0"/>
    <n v="0"/>
    <n v="0"/>
    <n v="0"/>
    <n v="0"/>
    <n v="0.06"/>
    <n v="0"/>
    <n v="0"/>
    <n v="0"/>
    <s v="India"/>
  </r>
  <r>
    <x v="11"/>
    <x v="2"/>
    <x v="134"/>
    <x v="4"/>
    <x v="2"/>
    <x v="0"/>
    <n v="0"/>
    <n v="0"/>
    <n v="0"/>
    <n v="0"/>
    <n v="0"/>
    <n v="0.14000000000000001"/>
    <n v="0"/>
    <n v="0"/>
    <n v="0"/>
    <s v="India"/>
  </r>
  <r>
    <x v="2"/>
    <x v="1"/>
    <x v="2"/>
    <x v="1"/>
    <x v="9"/>
    <x v="6"/>
    <n v="0"/>
    <n v="0"/>
    <n v="0"/>
    <n v="0"/>
    <n v="0.1"/>
    <n v="0.1"/>
    <n v="0"/>
    <n v="0.1"/>
    <n v="0"/>
    <s v="India"/>
  </r>
  <r>
    <x v="14"/>
    <x v="3"/>
    <x v="53"/>
    <x v="2"/>
    <x v="7"/>
    <x v="5"/>
    <n v="0"/>
    <n v="0.01"/>
    <n v="0"/>
    <n v="1.55"/>
    <n v="11.8"/>
    <n v="0.3"/>
    <n v="0.01"/>
    <n v="10.25"/>
    <n v="-0.01"/>
    <s v="India"/>
  </r>
  <r>
    <x v="1"/>
    <x v="0"/>
    <x v="24"/>
    <x v="3"/>
    <x v="34"/>
    <x v="6"/>
    <n v="0.01"/>
    <n v="0"/>
    <n v="0"/>
    <n v="11.48"/>
    <n v="0"/>
    <n v="0.01"/>
    <n v="-0.01"/>
    <n v="-11.48"/>
    <n v="0"/>
    <s v="India"/>
  </r>
  <r>
    <x v="9"/>
    <x v="1"/>
    <x v="50"/>
    <x v="1"/>
    <x v="15"/>
    <x v="0"/>
    <n v="0"/>
    <n v="0"/>
    <n v="0"/>
    <n v="0"/>
    <n v="0"/>
    <n v="0.15"/>
    <n v="0"/>
    <n v="0"/>
    <n v="0"/>
    <s v="India"/>
  </r>
  <r>
    <x v="13"/>
    <x v="1"/>
    <x v="48"/>
    <x v="1"/>
    <x v="9"/>
    <x v="6"/>
    <n v="0"/>
    <n v="0"/>
    <n v="0"/>
    <n v="0.45"/>
    <n v="0"/>
    <n v="0.09"/>
    <n v="0"/>
    <n v="-0.45"/>
    <n v="0"/>
    <s v="India"/>
  </r>
  <r>
    <x v="9"/>
    <x v="1"/>
    <x v="50"/>
    <x v="1"/>
    <x v="37"/>
    <x v="3"/>
    <n v="0"/>
    <n v="0"/>
    <n v="0"/>
    <n v="0"/>
    <n v="0"/>
    <n v="0.1"/>
    <n v="0"/>
    <n v="0"/>
    <n v="0"/>
    <s v="India"/>
  </r>
  <r>
    <x v="14"/>
    <x v="3"/>
    <x v="39"/>
    <x v="2"/>
    <x v="40"/>
    <x v="6"/>
    <n v="0"/>
    <n v="0.01"/>
    <n v="0"/>
    <n v="0.36"/>
    <n v="1.1000000000000001"/>
    <n v="7.0000000000000007E-2"/>
    <n v="0.01"/>
    <n v="0.7400000000000001"/>
    <n v="-0.01"/>
    <s v="India"/>
  </r>
  <r>
    <x v="2"/>
    <x v="1"/>
    <x v="112"/>
    <x v="2"/>
    <x v="38"/>
    <x v="5"/>
    <n v="0"/>
    <n v="0"/>
    <n v="0"/>
    <n v="0"/>
    <n v="0"/>
    <n v="0.06"/>
    <n v="0"/>
    <n v="0"/>
    <n v="0"/>
    <s v="India"/>
  </r>
  <r>
    <x v="21"/>
    <x v="5"/>
    <x v="154"/>
    <x v="2"/>
    <x v="19"/>
    <x v="4"/>
    <n v="0"/>
    <n v="0"/>
    <n v="0"/>
    <n v="0"/>
    <n v="1.62"/>
    <n v="0.38"/>
    <n v="0"/>
    <n v="1.62"/>
    <n v="0"/>
    <s v="India"/>
  </r>
  <r>
    <x v="21"/>
    <x v="5"/>
    <x v="150"/>
    <x v="2"/>
    <x v="19"/>
    <x v="4"/>
    <n v="0"/>
    <n v="0.01"/>
    <n v="0"/>
    <n v="0"/>
    <n v="26.72"/>
    <n v="0.3"/>
    <n v="0.01"/>
    <n v="26.72"/>
    <n v="-0.01"/>
    <s v="India"/>
  </r>
  <r>
    <x v="4"/>
    <x v="3"/>
    <x v="63"/>
    <x v="2"/>
    <x v="39"/>
    <x v="7"/>
    <n v="0"/>
    <n v="0"/>
    <n v="0"/>
    <n v="0.01"/>
    <n v="0"/>
    <n v="0"/>
    <n v="0"/>
    <n v="-0.01"/>
    <n v="0"/>
    <s v="India"/>
  </r>
  <r>
    <x v="6"/>
    <x v="2"/>
    <x v="49"/>
    <x v="0"/>
    <x v="36"/>
    <x v="6"/>
    <n v="0"/>
    <n v="0"/>
    <n v="0"/>
    <n v="0.03"/>
    <n v="0.24"/>
    <n v="0.01"/>
    <n v="0"/>
    <n v="0.21"/>
    <n v="0"/>
    <s v="India"/>
  </r>
  <r>
    <x v="4"/>
    <x v="3"/>
    <x v="76"/>
    <x v="2"/>
    <x v="16"/>
    <x v="0"/>
    <n v="0"/>
    <n v="0"/>
    <n v="0"/>
    <n v="0"/>
    <n v="0"/>
    <n v="0.22"/>
    <n v="0"/>
    <n v="0"/>
    <n v="0"/>
    <s v="India"/>
  </r>
  <r>
    <x v="6"/>
    <x v="2"/>
    <x v="105"/>
    <x v="1"/>
    <x v="6"/>
    <x v="4"/>
    <n v="0"/>
    <n v="0"/>
    <n v="0"/>
    <n v="1.27"/>
    <n v="0.28000000000000003"/>
    <n v="0.03"/>
    <n v="0"/>
    <n v="-0.99"/>
    <n v="0"/>
    <s v="India"/>
  </r>
  <r>
    <x v="21"/>
    <x v="5"/>
    <x v="150"/>
    <x v="2"/>
    <x v="9"/>
    <x v="6"/>
    <n v="0"/>
    <n v="0"/>
    <n v="0"/>
    <n v="0.21"/>
    <n v="0.36"/>
    <n v="0.06"/>
    <n v="0"/>
    <n v="0.15"/>
    <n v="0"/>
    <s v="India"/>
  </r>
  <r>
    <x v="21"/>
    <x v="5"/>
    <x v="154"/>
    <x v="2"/>
    <x v="20"/>
    <x v="3"/>
    <n v="0"/>
    <n v="0"/>
    <n v="0"/>
    <n v="0"/>
    <n v="2.2000000000000002"/>
    <n v="0.47"/>
    <n v="0"/>
    <n v="2.2000000000000002"/>
    <n v="0"/>
    <s v="India"/>
  </r>
  <r>
    <x v="0"/>
    <x v="0"/>
    <x v="67"/>
    <x v="3"/>
    <x v="39"/>
    <x v="7"/>
    <n v="0.01"/>
    <n v="0.02"/>
    <n v="0"/>
    <n v="0.1"/>
    <n v="1"/>
    <n v="0.01"/>
    <n v="0.01"/>
    <n v="0.9"/>
    <n v="-0.02"/>
    <s v="India"/>
  </r>
  <r>
    <x v="1"/>
    <x v="0"/>
    <x v="52"/>
    <x v="1"/>
    <x v="10"/>
    <x v="3"/>
    <n v="0"/>
    <n v="0.03"/>
    <n v="0"/>
    <n v="0"/>
    <n v="58.23"/>
    <n v="0.04"/>
    <n v="0.03"/>
    <n v="58.23"/>
    <n v="-0.03"/>
    <s v="India"/>
  </r>
  <r>
    <x v="0"/>
    <x v="0"/>
    <x v="51"/>
    <x v="4"/>
    <x v="17"/>
    <x v="5"/>
    <n v="0"/>
    <n v="0"/>
    <n v="0"/>
    <n v="0.2"/>
    <n v="1.08"/>
    <n v="0.02"/>
    <n v="0"/>
    <n v="0.88000000000000012"/>
    <n v="0"/>
    <s v="India"/>
  </r>
  <r>
    <x v="21"/>
    <x v="5"/>
    <x v="154"/>
    <x v="2"/>
    <x v="38"/>
    <x v="5"/>
    <n v="0"/>
    <n v="0"/>
    <n v="0"/>
    <n v="0"/>
    <n v="0.27"/>
    <n v="7.0000000000000007E-2"/>
    <n v="0"/>
    <n v="0.27"/>
    <n v="0"/>
    <s v="India"/>
  </r>
  <r>
    <x v="1"/>
    <x v="0"/>
    <x v="75"/>
    <x v="1"/>
    <x v="16"/>
    <x v="0"/>
    <n v="0"/>
    <n v="0.16"/>
    <n v="0"/>
    <n v="0"/>
    <n v="42.1"/>
    <n v="0.06"/>
    <n v="0.16"/>
    <n v="42.1"/>
    <n v="-0.16"/>
    <s v="India"/>
  </r>
  <r>
    <x v="5"/>
    <x v="1"/>
    <x v="92"/>
    <x v="1"/>
    <x v="15"/>
    <x v="0"/>
    <n v="0"/>
    <n v="0"/>
    <n v="0"/>
    <n v="0"/>
    <n v="0"/>
    <n v="0.12"/>
    <n v="0"/>
    <n v="0"/>
    <n v="0"/>
    <s v="India"/>
  </r>
  <r>
    <x v="11"/>
    <x v="2"/>
    <x v="94"/>
    <x v="3"/>
    <x v="10"/>
    <x v="3"/>
    <n v="0"/>
    <n v="0"/>
    <n v="0"/>
    <n v="0.41"/>
    <n v="0.36"/>
    <n v="0"/>
    <n v="0"/>
    <n v="-4.9999999999999989E-2"/>
    <n v="0"/>
    <s v="India"/>
  </r>
  <r>
    <x v="6"/>
    <x v="2"/>
    <x v="91"/>
    <x v="3"/>
    <x v="32"/>
    <x v="0"/>
    <n v="0.03"/>
    <n v="0"/>
    <n v="0"/>
    <n v="8.3699999999999992"/>
    <n v="0.2"/>
    <n v="0.02"/>
    <n v="-0.03"/>
    <n v="-8.17"/>
    <n v="0"/>
    <s v="India"/>
  </r>
  <r>
    <x v="4"/>
    <x v="3"/>
    <x v="45"/>
    <x v="2"/>
    <x v="13"/>
    <x v="3"/>
    <n v="0"/>
    <n v="0.01"/>
    <n v="0"/>
    <n v="0"/>
    <n v="7.07"/>
    <n v="0.08"/>
    <n v="0.01"/>
    <n v="7.07"/>
    <n v="-0.01"/>
    <s v="India"/>
  </r>
  <r>
    <x v="0"/>
    <x v="0"/>
    <x v="67"/>
    <x v="3"/>
    <x v="35"/>
    <x v="0"/>
    <n v="0"/>
    <n v="0"/>
    <n v="0"/>
    <n v="0"/>
    <n v="0.15"/>
    <n v="0.06"/>
    <n v="0"/>
    <n v="0.15"/>
    <n v="0"/>
    <s v="India"/>
  </r>
  <r>
    <x v="18"/>
    <x v="0"/>
    <x v="165"/>
    <x v="3"/>
    <x v="37"/>
    <x v="3"/>
    <n v="0"/>
    <n v="0.02"/>
    <n v="0"/>
    <n v="0"/>
    <n v="6.01"/>
    <n v="0.01"/>
    <n v="0.02"/>
    <n v="6.01"/>
    <n v="-0.02"/>
    <s v="India"/>
  </r>
  <r>
    <x v="1"/>
    <x v="0"/>
    <x v="24"/>
    <x v="3"/>
    <x v="2"/>
    <x v="0"/>
    <n v="0.01"/>
    <n v="0"/>
    <n v="0"/>
    <n v="2.39"/>
    <n v="0.5"/>
    <n v="0.2"/>
    <n v="-0.01"/>
    <n v="-1.8900000000000001"/>
    <n v="0"/>
    <s v="India"/>
  </r>
  <r>
    <x v="2"/>
    <x v="1"/>
    <x v="68"/>
    <x v="1"/>
    <x v="11"/>
    <x v="3"/>
    <n v="0"/>
    <n v="0.01"/>
    <n v="0"/>
    <n v="0.92"/>
    <n v="3.03"/>
    <n v="0.06"/>
    <n v="0.01"/>
    <n v="2.11"/>
    <n v="-0.01"/>
    <s v="India"/>
  </r>
  <r>
    <x v="6"/>
    <x v="2"/>
    <x v="49"/>
    <x v="0"/>
    <x v="17"/>
    <x v="5"/>
    <n v="0"/>
    <n v="0"/>
    <n v="0"/>
    <n v="0"/>
    <n v="0"/>
    <n v="0.01"/>
    <n v="0"/>
    <n v="0"/>
    <n v="0"/>
    <s v="India"/>
  </r>
  <r>
    <x v="1"/>
    <x v="0"/>
    <x v="179"/>
    <x v="0"/>
    <x v="4"/>
    <x v="3"/>
    <n v="0"/>
    <n v="0"/>
    <n v="0"/>
    <n v="0"/>
    <n v="0.67"/>
    <n v="0.1"/>
    <n v="0"/>
    <n v="0.67"/>
    <n v="0"/>
    <s v="India"/>
  </r>
  <r>
    <x v="6"/>
    <x v="2"/>
    <x v="91"/>
    <x v="3"/>
    <x v="36"/>
    <x v="6"/>
    <n v="0"/>
    <n v="0"/>
    <n v="0"/>
    <n v="0.17"/>
    <n v="0.42"/>
    <n v="0.04"/>
    <n v="0"/>
    <n v="0.24999999999999997"/>
    <n v="0"/>
    <s v="India"/>
  </r>
  <r>
    <x v="14"/>
    <x v="3"/>
    <x v="110"/>
    <x v="2"/>
    <x v="13"/>
    <x v="3"/>
    <n v="0"/>
    <n v="0.05"/>
    <n v="0"/>
    <n v="0.38"/>
    <n v="10.63"/>
    <n v="0.04"/>
    <n v="0.05"/>
    <n v="10.25"/>
    <n v="-0.05"/>
    <s v="India"/>
  </r>
  <r>
    <x v="1"/>
    <x v="0"/>
    <x v="179"/>
    <x v="0"/>
    <x v="8"/>
    <x v="3"/>
    <n v="0"/>
    <n v="0"/>
    <n v="0"/>
    <n v="0"/>
    <n v="0.78"/>
    <n v="0.25"/>
    <n v="0"/>
    <n v="0.78"/>
    <n v="0"/>
    <s v="India"/>
  </r>
  <r>
    <x v="2"/>
    <x v="1"/>
    <x v="14"/>
    <x v="1"/>
    <x v="9"/>
    <x v="6"/>
    <n v="0"/>
    <n v="0"/>
    <n v="0"/>
    <n v="0.95"/>
    <n v="0.16"/>
    <n v="0.02"/>
    <n v="0"/>
    <n v="-0.78999999999999992"/>
    <n v="0"/>
    <s v="India"/>
  </r>
  <r>
    <x v="21"/>
    <x v="5"/>
    <x v="154"/>
    <x v="2"/>
    <x v="10"/>
    <x v="3"/>
    <n v="0"/>
    <n v="0"/>
    <n v="0"/>
    <n v="0.1"/>
    <n v="0.54"/>
    <n v="0.11"/>
    <n v="0"/>
    <n v="0.44000000000000006"/>
    <n v="0"/>
    <s v="India"/>
  </r>
  <r>
    <x v="5"/>
    <x v="1"/>
    <x v="92"/>
    <x v="1"/>
    <x v="42"/>
    <x v="1"/>
    <n v="0"/>
    <n v="0"/>
    <n v="0"/>
    <n v="0"/>
    <n v="0"/>
    <n v="0.11"/>
    <n v="0"/>
    <n v="0"/>
    <n v="0"/>
    <s v="India"/>
  </r>
  <r>
    <x v="2"/>
    <x v="1"/>
    <x v="107"/>
    <x v="2"/>
    <x v="10"/>
    <x v="3"/>
    <n v="0.26"/>
    <n v="0"/>
    <n v="0"/>
    <n v="1092.32"/>
    <n v="0"/>
    <n v="0.14000000000000001"/>
    <n v="-0.26"/>
    <n v="-1092.32"/>
    <n v="0"/>
    <s v="India"/>
  </r>
  <r>
    <x v="0"/>
    <x v="0"/>
    <x v="67"/>
    <x v="3"/>
    <x v="20"/>
    <x v="3"/>
    <n v="0"/>
    <n v="0"/>
    <n v="0"/>
    <n v="0"/>
    <n v="0"/>
    <n v="7.0000000000000007E-2"/>
    <n v="0"/>
    <n v="0"/>
    <n v="0"/>
    <s v="India"/>
  </r>
  <r>
    <x v="6"/>
    <x v="2"/>
    <x v="115"/>
    <x v="3"/>
    <x v="35"/>
    <x v="0"/>
    <n v="0"/>
    <n v="0.02"/>
    <n v="0"/>
    <n v="0.09"/>
    <n v="8.25"/>
    <n v="7.0000000000000007E-2"/>
    <n v="0.02"/>
    <n v="8.16"/>
    <n v="-0.02"/>
    <s v="India"/>
  </r>
  <r>
    <x v="9"/>
    <x v="1"/>
    <x v="50"/>
    <x v="1"/>
    <x v="22"/>
    <x v="6"/>
    <n v="0"/>
    <n v="0"/>
    <n v="0"/>
    <n v="0"/>
    <n v="0.01"/>
    <n v="0.01"/>
    <n v="0"/>
    <n v="0.01"/>
    <n v="0"/>
    <s v="India"/>
  </r>
  <r>
    <x v="12"/>
    <x v="2"/>
    <x v="38"/>
    <x v="3"/>
    <x v="27"/>
    <x v="7"/>
    <n v="0"/>
    <n v="0"/>
    <n v="0"/>
    <n v="0"/>
    <n v="0"/>
    <n v="0"/>
    <n v="0"/>
    <n v="0"/>
    <n v="0"/>
    <s v="India"/>
  </r>
  <r>
    <x v="11"/>
    <x v="2"/>
    <x v="94"/>
    <x v="3"/>
    <x v="20"/>
    <x v="3"/>
    <n v="0"/>
    <n v="0"/>
    <n v="0"/>
    <n v="0"/>
    <n v="0.03"/>
    <n v="0.18"/>
    <n v="0"/>
    <n v="0.03"/>
    <n v="0"/>
    <s v="India"/>
  </r>
  <r>
    <x v="4"/>
    <x v="3"/>
    <x v="113"/>
    <x v="3"/>
    <x v="3"/>
    <x v="2"/>
    <n v="0"/>
    <n v="0"/>
    <n v="0"/>
    <n v="0.25"/>
    <n v="2.58"/>
    <n v="0.08"/>
    <n v="0"/>
    <n v="2.33"/>
    <n v="0"/>
    <s v="India"/>
  </r>
  <r>
    <x v="4"/>
    <x v="3"/>
    <x v="135"/>
    <x v="2"/>
    <x v="41"/>
    <x v="6"/>
    <n v="0"/>
    <n v="0"/>
    <n v="0"/>
    <n v="7.0000000000000007E-2"/>
    <n v="0.02"/>
    <n v="0"/>
    <n v="0"/>
    <n v="-0.05"/>
    <n v="0"/>
    <s v="India"/>
  </r>
  <r>
    <x v="17"/>
    <x v="5"/>
    <x v="108"/>
    <x v="2"/>
    <x v="32"/>
    <x v="0"/>
    <n v="0"/>
    <n v="0"/>
    <n v="0"/>
    <n v="0.01"/>
    <n v="0"/>
    <n v="0.01"/>
    <n v="0"/>
    <n v="-0.01"/>
    <n v="0"/>
    <s v="India"/>
  </r>
  <r>
    <x v="6"/>
    <x v="2"/>
    <x v="105"/>
    <x v="1"/>
    <x v="13"/>
    <x v="3"/>
    <n v="0"/>
    <n v="0.02"/>
    <n v="0"/>
    <n v="1.1599999999999999"/>
    <n v="2"/>
    <n v="0.05"/>
    <n v="0.02"/>
    <n v="0.84000000000000008"/>
    <n v="-0.02"/>
    <s v="India"/>
  </r>
  <r>
    <x v="7"/>
    <x v="1"/>
    <x v="155"/>
    <x v="3"/>
    <x v="11"/>
    <x v="3"/>
    <n v="0"/>
    <n v="0"/>
    <n v="0"/>
    <n v="0.9"/>
    <n v="0.57999999999999996"/>
    <n v="0.14000000000000001"/>
    <n v="0"/>
    <n v="-0.32000000000000006"/>
    <n v="0"/>
    <s v="India"/>
  </r>
  <r>
    <x v="21"/>
    <x v="5"/>
    <x v="150"/>
    <x v="2"/>
    <x v="20"/>
    <x v="3"/>
    <n v="0"/>
    <n v="0"/>
    <n v="0"/>
    <n v="0.1"/>
    <n v="0.08"/>
    <n v="0.3"/>
    <n v="0"/>
    <n v="-2.0000000000000004E-2"/>
    <n v="0"/>
    <s v="India"/>
  </r>
  <r>
    <x v="5"/>
    <x v="1"/>
    <x v="92"/>
    <x v="1"/>
    <x v="30"/>
    <x v="5"/>
    <n v="0"/>
    <n v="0"/>
    <n v="0"/>
    <n v="0"/>
    <n v="0"/>
    <n v="0.03"/>
    <n v="0"/>
    <n v="0"/>
    <n v="0"/>
    <s v="India"/>
  </r>
  <r>
    <x v="12"/>
    <x v="2"/>
    <x v="178"/>
    <x v="4"/>
    <x v="4"/>
    <x v="3"/>
    <n v="0"/>
    <n v="0"/>
    <n v="0"/>
    <n v="0"/>
    <n v="0"/>
    <n v="0.41"/>
    <n v="0"/>
    <n v="0"/>
    <n v="0"/>
    <s v="India"/>
  </r>
  <r>
    <x v="1"/>
    <x v="0"/>
    <x v="162"/>
    <x v="3"/>
    <x v="5"/>
    <x v="3"/>
    <n v="0"/>
    <n v="0"/>
    <n v="0"/>
    <n v="0"/>
    <n v="1.91"/>
    <n v="0.19"/>
    <n v="0"/>
    <n v="1.91"/>
    <n v="0"/>
    <s v="India"/>
  </r>
  <r>
    <x v="4"/>
    <x v="3"/>
    <x v="71"/>
    <x v="2"/>
    <x v="7"/>
    <x v="5"/>
    <n v="0"/>
    <n v="0"/>
    <n v="0"/>
    <n v="0.05"/>
    <n v="0.33"/>
    <n v="0.05"/>
    <n v="0"/>
    <n v="0.28000000000000003"/>
    <n v="0"/>
    <s v="India"/>
  </r>
  <r>
    <x v="7"/>
    <x v="1"/>
    <x v="152"/>
    <x v="4"/>
    <x v="10"/>
    <x v="3"/>
    <n v="0"/>
    <n v="0"/>
    <n v="0"/>
    <n v="0"/>
    <n v="0"/>
    <n v="0.2"/>
    <n v="0"/>
    <n v="0"/>
    <n v="0"/>
    <s v="India"/>
  </r>
  <r>
    <x v="11"/>
    <x v="2"/>
    <x v="94"/>
    <x v="3"/>
    <x v="3"/>
    <x v="2"/>
    <n v="0"/>
    <n v="0"/>
    <n v="0"/>
    <n v="0"/>
    <n v="4.55"/>
    <n v="0.34"/>
    <n v="0"/>
    <n v="4.55"/>
    <n v="0"/>
    <s v="India"/>
  </r>
  <r>
    <x v="1"/>
    <x v="0"/>
    <x v="179"/>
    <x v="0"/>
    <x v="18"/>
    <x v="7"/>
    <n v="0"/>
    <n v="0"/>
    <n v="0"/>
    <n v="0"/>
    <n v="0.63"/>
    <n v="0.02"/>
    <n v="0"/>
    <n v="0.63"/>
    <n v="0"/>
    <s v="India"/>
  </r>
  <r>
    <x v="7"/>
    <x v="1"/>
    <x v="100"/>
    <x v="1"/>
    <x v="32"/>
    <x v="0"/>
    <n v="0.01"/>
    <n v="0"/>
    <n v="0"/>
    <n v="5.42"/>
    <n v="0.73"/>
    <n v="0.06"/>
    <n v="-0.01"/>
    <n v="-4.6899999999999995"/>
    <n v="0"/>
    <s v="India"/>
  </r>
  <r>
    <x v="1"/>
    <x v="0"/>
    <x v="75"/>
    <x v="1"/>
    <x v="35"/>
    <x v="0"/>
    <n v="0"/>
    <n v="0.01"/>
    <n v="0"/>
    <n v="0"/>
    <n v="5.94"/>
    <n v="0.06"/>
    <n v="0.01"/>
    <n v="5.94"/>
    <n v="-0.01"/>
    <s v="India"/>
  </r>
  <r>
    <x v="11"/>
    <x v="2"/>
    <x v="94"/>
    <x v="3"/>
    <x v="16"/>
    <x v="0"/>
    <n v="0"/>
    <n v="0"/>
    <n v="0"/>
    <n v="0.61"/>
    <n v="0.46"/>
    <n v="0.02"/>
    <n v="0"/>
    <n v="-0.14999999999999997"/>
    <n v="0"/>
    <s v="India"/>
  </r>
  <r>
    <x v="21"/>
    <x v="5"/>
    <x v="154"/>
    <x v="2"/>
    <x v="13"/>
    <x v="3"/>
    <n v="0"/>
    <n v="0"/>
    <n v="0"/>
    <n v="0"/>
    <n v="0.02"/>
    <n v="0.03"/>
    <n v="0"/>
    <n v="0.02"/>
    <n v="0"/>
    <s v="India"/>
  </r>
  <r>
    <x v="6"/>
    <x v="2"/>
    <x v="105"/>
    <x v="1"/>
    <x v="0"/>
    <x v="0"/>
    <n v="0"/>
    <n v="0.01"/>
    <n v="0"/>
    <n v="2.23"/>
    <n v="6.42"/>
    <n v="0.1"/>
    <n v="0.01"/>
    <n v="4.1899999999999995"/>
    <n v="-0.01"/>
    <s v="India"/>
  </r>
  <r>
    <x v="6"/>
    <x v="2"/>
    <x v="148"/>
    <x v="1"/>
    <x v="24"/>
    <x v="4"/>
    <n v="0.01"/>
    <n v="0.01"/>
    <n v="0"/>
    <n v="7.35"/>
    <n v="15.63"/>
    <n v="0"/>
    <n v="0"/>
    <n v="8.2800000000000011"/>
    <n v="-0.01"/>
    <s v="India"/>
  </r>
  <r>
    <x v="6"/>
    <x v="2"/>
    <x v="140"/>
    <x v="1"/>
    <x v="0"/>
    <x v="0"/>
    <n v="0"/>
    <n v="0"/>
    <n v="0"/>
    <n v="1.02"/>
    <n v="0"/>
    <n v="0"/>
    <n v="0"/>
    <n v="-1.02"/>
    <n v="0"/>
    <s v="India"/>
  </r>
  <r>
    <x v="6"/>
    <x v="2"/>
    <x v="140"/>
    <x v="1"/>
    <x v="22"/>
    <x v="6"/>
    <n v="0"/>
    <n v="0.01"/>
    <n v="0"/>
    <n v="0.11"/>
    <n v="1.45"/>
    <n v="0"/>
    <n v="0.01"/>
    <n v="1.3399999999999999"/>
    <n v="-0.01"/>
    <s v="India"/>
  </r>
  <r>
    <x v="11"/>
    <x v="2"/>
    <x v="94"/>
    <x v="3"/>
    <x v="21"/>
    <x v="4"/>
    <n v="0"/>
    <n v="0"/>
    <n v="0"/>
    <n v="0"/>
    <n v="0.14000000000000001"/>
    <n v="0"/>
    <n v="0"/>
    <n v="0.14000000000000001"/>
    <n v="0"/>
    <s v="India"/>
  </r>
  <r>
    <x v="6"/>
    <x v="2"/>
    <x v="140"/>
    <x v="1"/>
    <x v="17"/>
    <x v="5"/>
    <n v="0"/>
    <n v="0"/>
    <n v="0"/>
    <n v="0"/>
    <n v="0.13"/>
    <n v="0"/>
    <n v="0"/>
    <n v="0.13"/>
    <n v="0"/>
    <s v="India"/>
  </r>
  <r>
    <x v="11"/>
    <x v="2"/>
    <x v="94"/>
    <x v="3"/>
    <x v="40"/>
    <x v="6"/>
    <n v="0"/>
    <n v="0"/>
    <n v="0"/>
    <n v="0.01"/>
    <n v="0"/>
    <n v="0"/>
    <n v="0"/>
    <n v="-0.01"/>
    <n v="0"/>
    <s v="India"/>
  </r>
  <r>
    <x v="6"/>
    <x v="2"/>
    <x v="140"/>
    <x v="1"/>
    <x v="29"/>
    <x v="7"/>
    <n v="0"/>
    <n v="0"/>
    <n v="0"/>
    <n v="0"/>
    <n v="0"/>
    <n v="0"/>
    <n v="0"/>
    <n v="0"/>
    <n v="0"/>
    <s v="India"/>
  </r>
  <r>
    <x v="11"/>
    <x v="2"/>
    <x v="79"/>
    <x v="4"/>
    <x v="41"/>
    <x v="6"/>
    <n v="0"/>
    <n v="0"/>
    <n v="0"/>
    <n v="0"/>
    <n v="0.02"/>
    <n v="0"/>
    <n v="0"/>
    <n v="0.02"/>
    <n v="0"/>
    <s v="India"/>
  </r>
  <r>
    <x v="6"/>
    <x v="2"/>
    <x v="140"/>
    <x v="1"/>
    <x v="28"/>
    <x v="5"/>
    <n v="0"/>
    <n v="0"/>
    <n v="0"/>
    <n v="0.25"/>
    <n v="0"/>
    <n v="0"/>
    <n v="0"/>
    <n v="-0.25"/>
    <n v="0"/>
    <s v="India"/>
  </r>
  <r>
    <x v="11"/>
    <x v="2"/>
    <x v="79"/>
    <x v="4"/>
    <x v="3"/>
    <x v="2"/>
    <n v="0"/>
    <n v="0"/>
    <n v="0"/>
    <n v="1"/>
    <n v="0"/>
    <n v="0"/>
    <n v="0"/>
    <n v="-1"/>
    <n v="0"/>
    <s v="India"/>
  </r>
  <r>
    <x v="11"/>
    <x v="2"/>
    <x v="79"/>
    <x v="4"/>
    <x v="38"/>
    <x v="5"/>
    <n v="0"/>
    <n v="0"/>
    <n v="0"/>
    <n v="0.01"/>
    <n v="0"/>
    <n v="0"/>
    <n v="0"/>
    <n v="-0.01"/>
    <n v="0"/>
    <s v="India"/>
  </r>
  <r>
    <x v="6"/>
    <x v="2"/>
    <x v="140"/>
    <x v="1"/>
    <x v="41"/>
    <x v="6"/>
    <n v="0"/>
    <n v="0"/>
    <n v="0"/>
    <n v="0.01"/>
    <n v="0"/>
    <n v="0"/>
    <n v="0"/>
    <n v="-0.01"/>
    <n v="0"/>
    <s v="India"/>
  </r>
  <r>
    <x v="11"/>
    <x v="2"/>
    <x v="79"/>
    <x v="4"/>
    <x v="35"/>
    <x v="0"/>
    <n v="0"/>
    <n v="0"/>
    <n v="0"/>
    <n v="0.12"/>
    <n v="0"/>
    <n v="0"/>
    <n v="0"/>
    <n v="-0.12"/>
    <n v="0"/>
    <s v="India"/>
  </r>
  <r>
    <x v="6"/>
    <x v="2"/>
    <x v="22"/>
    <x v="1"/>
    <x v="14"/>
    <x v="3"/>
    <n v="0"/>
    <n v="0.04"/>
    <n v="0"/>
    <n v="0"/>
    <n v="31.1"/>
    <n v="0"/>
    <n v="0.04"/>
    <n v="31.1"/>
    <n v="-0.04"/>
    <s v="India"/>
  </r>
  <r>
    <x v="11"/>
    <x v="2"/>
    <x v="79"/>
    <x v="4"/>
    <x v="16"/>
    <x v="0"/>
    <n v="0"/>
    <n v="0.01"/>
    <n v="0"/>
    <n v="0"/>
    <n v="3.66"/>
    <n v="0"/>
    <n v="0.01"/>
    <n v="3.66"/>
    <n v="-0.01"/>
    <s v="India"/>
  </r>
  <r>
    <x v="11"/>
    <x v="2"/>
    <x v="79"/>
    <x v="4"/>
    <x v="12"/>
    <x v="4"/>
    <n v="0"/>
    <n v="0"/>
    <n v="0"/>
    <n v="5.2"/>
    <n v="0"/>
    <n v="0"/>
    <n v="0"/>
    <n v="-5.2"/>
    <n v="0"/>
    <s v="India"/>
  </r>
  <r>
    <x v="6"/>
    <x v="2"/>
    <x v="22"/>
    <x v="1"/>
    <x v="40"/>
    <x v="6"/>
    <n v="0"/>
    <n v="0"/>
    <n v="0"/>
    <n v="0.69"/>
    <n v="0"/>
    <n v="0"/>
    <n v="0"/>
    <n v="-0.69"/>
    <n v="0"/>
    <s v="India"/>
  </r>
  <r>
    <x v="6"/>
    <x v="2"/>
    <x v="22"/>
    <x v="1"/>
    <x v="36"/>
    <x v="6"/>
    <n v="0"/>
    <n v="0"/>
    <n v="0"/>
    <n v="0"/>
    <n v="0.21"/>
    <n v="0"/>
    <n v="0"/>
    <n v="0.21"/>
    <n v="0"/>
    <s v="India"/>
  </r>
  <r>
    <x v="6"/>
    <x v="2"/>
    <x v="22"/>
    <x v="1"/>
    <x v="34"/>
    <x v="6"/>
    <n v="0"/>
    <n v="0.02"/>
    <n v="0"/>
    <n v="0.23"/>
    <n v="27.46"/>
    <n v="0"/>
    <n v="0.02"/>
    <n v="27.23"/>
    <n v="-0.02"/>
    <s v="India"/>
  </r>
  <r>
    <x v="6"/>
    <x v="2"/>
    <x v="22"/>
    <x v="1"/>
    <x v="30"/>
    <x v="5"/>
    <n v="0"/>
    <n v="0.18"/>
    <n v="0"/>
    <n v="0"/>
    <n v="161.5"/>
    <n v="0"/>
    <n v="0.18"/>
    <n v="161.5"/>
    <n v="-0.18"/>
    <s v="India"/>
  </r>
  <r>
    <x v="6"/>
    <x v="2"/>
    <x v="22"/>
    <x v="1"/>
    <x v="17"/>
    <x v="5"/>
    <n v="0.3"/>
    <n v="0.28999999999999998"/>
    <n v="0"/>
    <n v="168.51"/>
    <n v="367.95"/>
    <n v="0"/>
    <n v="-1.0000000000000009E-2"/>
    <n v="199.44"/>
    <n v="-0.28999999999999998"/>
    <s v="India"/>
  </r>
  <r>
    <x v="6"/>
    <x v="2"/>
    <x v="22"/>
    <x v="1"/>
    <x v="7"/>
    <x v="5"/>
    <n v="0"/>
    <n v="0"/>
    <n v="0"/>
    <n v="0"/>
    <n v="3"/>
    <n v="0"/>
    <n v="0"/>
    <n v="3"/>
    <n v="0"/>
    <s v="India"/>
  </r>
  <r>
    <x v="11"/>
    <x v="2"/>
    <x v="136"/>
    <x v="3"/>
    <x v="12"/>
    <x v="4"/>
    <n v="0"/>
    <n v="0"/>
    <n v="0"/>
    <n v="2.97"/>
    <n v="0"/>
    <n v="0"/>
    <n v="0"/>
    <n v="-2.97"/>
    <n v="0"/>
    <s v="India"/>
  </r>
  <r>
    <x v="11"/>
    <x v="2"/>
    <x v="136"/>
    <x v="3"/>
    <x v="40"/>
    <x v="6"/>
    <n v="0"/>
    <n v="0"/>
    <n v="0"/>
    <n v="0"/>
    <n v="0"/>
    <n v="0"/>
    <n v="0"/>
    <n v="0"/>
    <n v="0"/>
    <s v="India"/>
  </r>
  <r>
    <x v="11"/>
    <x v="2"/>
    <x v="180"/>
    <x v="1"/>
    <x v="8"/>
    <x v="3"/>
    <n v="0"/>
    <n v="0"/>
    <n v="0"/>
    <n v="0"/>
    <n v="0.17"/>
    <n v="0"/>
    <n v="0"/>
    <n v="0.17"/>
    <n v="0"/>
    <s v="India"/>
  </r>
  <r>
    <x v="6"/>
    <x v="2"/>
    <x v="22"/>
    <x v="1"/>
    <x v="29"/>
    <x v="7"/>
    <n v="0"/>
    <n v="0"/>
    <n v="0"/>
    <n v="0.01"/>
    <n v="0"/>
    <n v="0"/>
    <n v="0"/>
    <n v="-0.01"/>
    <n v="0"/>
    <s v="India"/>
  </r>
  <r>
    <x v="6"/>
    <x v="2"/>
    <x v="22"/>
    <x v="1"/>
    <x v="38"/>
    <x v="5"/>
    <n v="0"/>
    <n v="0"/>
    <n v="0"/>
    <n v="0"/>
    <n v="0.27"/>
    <n v="0"/>
    <n v="0"/>
    <n v="0.27"/>
    <n v="0"/>
    <s v="India"/>
  </r>
  <r>
    <x v="11"/>
    <x v="2"/>
    <x v="29"/>
    <x v="0"/>
    <x v="21"/>
    <x v="4"/>
    <n v="0"/>
    <n v="0"/>
    <n v="0"/>
    <n v="0"/>
    <n v="0.25"/>
    <n v="0"/>
    <n v="0"/>
    <n v="0.25"/>
    <n v="0"/>
    <s v="India"/>
  </r>
  <r>
    <x v="11"/>
    <x v="2"/>
    <x v="29"/>
    <x v="0"/>
    <x v="40"/>
    <x v="6"/>
    <n v="0.05"/>
    <n v="0.44"/>
    <n v="0"/>
    <n v="4.42"/>
    <n v="309.42"/>
    <n v="0"/>
    <n v="0.39"/>
    <n v="305"/>
    <n v="-0.44"/>
    <s v="India"/>
  </r>
  <r>
    <x v="11"/>
    <x v="2"/>
    <x v="29"/>
    <x v="0"/>
    <x v="1"/>
    <x v="1"/>
    <n v="0"/>
    <n v="0.01"/>
    <n v="0"/>
    <n v="0"/>
    <n v="0.5"/>
    <n v="0"/>
    <n v="0.01"/>
    <n v="0.5"/>
    <n v="-0.01"/>
    <s v="India"/>
  </r>
  <r>
    <x v="6"/>
    <x v="2"/>
    <x v="22"/>
    <x v="1"/>
    <x v="41"/>
    <x v="6"/>
    <n v="0"/>
    <n v="0"/>
    <n v="0"/>
    <n v="0"/>
    <n v="0.39"/>
    <n v="0"/>
    <n v="0"/>
    <n v="0.39"/>
    <n v="0"/>
    <s v="India"/>
  </r>
  <r>
    <x v="6"/>
    <x v="2"/>
    <x v="181"/>
    <x v="1"/>
    <x v="22"/>
    <x v="6"/>
    <n v="0"/>
    <n v="0"/>
    <n v="0"/>
    <n v="0.2"/>
    <n v="0.4"/>
    <n v="0"/>
    <n v="0"/>
    <n v="0.2"/>
    <n v="0"/>
    <s v="India"/>
  </r>
  <r>
    <x v="6"/>
    <x v="2"/>
    <x v="181"/>
    <x v="1"/>
    <x v="36"/>
    <x v="6"/>
    <n v="0"/>
    <n v="0"/>
    <n v="0"/>
    <n v="0.1"/>
    <n v="0"/>
    <n v="0"/>
    <n v="0"/>
    <n v="-0.1"/>
    <n v="0"/>
    <s v="India"/>
  </r>
  <r>
    <x v="6"/>
    <x v="2"/>
    <x v="181"/>
    <x v="1"/>
    <x v="8"/>
    <x v="3"/>
    <n v="0.13"/>
    <n v="0.02"/>
    <n v="0"/>
    <n v="63.52"/>
    <n v="7.34"/>
    <n v="0"/>
    <n v="-0.11"/>
    <n v="-56.180000000000007"/>
    <n v="-0.02"/>
    <s v="India"/>
  </r>
  <r>
    <x v="6"/>
    <x v="2"/>
    <x v="181"/>
    <x v="1"/>
    <x v="13"/>
    <x v="3"/>
    <n v="0.01"/>
    <n v="0"/>
    <n v="0"/>
    <n v="2.44"/>
    <n v="0"/>
    <n v="0"/>
    <n v="-0.01"/>
    <n v="-2.44"/>
    <n v="0"/>
    <s v="India"/>
  </r>
  <r>
    <x v="6"/>
    <x v="2"/>
    <x v="181"/>
    <x v="1"/>
    <x v="18"/>
    <x v="7"/>
    <n v="0.32"/>
    <n v="0.03"/>
    <n v="0"/>
    <n v="42.2"/>
    <n v="3.17"/>
    <n v="0"/>
    <n v="-0.29000000000000004"/>
    <n v="-39.03"/>
    <n v="-0.03"/>
    <s v="India"/>
  </r>
  <r>
    <x v="6"/>
    <x v="2"/>
    <x v="181"/>
    <x v="1"/>
    <x v="10"/>
    <x v="3"/>
    <n v="0.18"/>
    <n v="0.01"/>
    <n v="0"/>
    <n v="141.72999999999999"/>
    <n v="3.5"/>
    <n v="0"/>
    <n v="-0.16999999999999998"/>
    <n v="-138.22999999999999"/>
    <n v="-0.01"/>
    <s v="India"/>
  </r>
  <r>
    <x v="6"/>
    <x v="2"/>
    <x v="181"/>
    <x v="1"/>
    <x v="16"/>
    <x v="0"/>
    <n v="0.03"/>
    <n v="0"/>
    <n v="0"/>
    <n v="31.38"/>
    <n v="1"/>
    <n v="0"/>
    <n v="-0.03"/>
    <n v="-30.38"/>
    <n v="0"/>
    <s v="India"/>
  </r>
  <r>
    <x v="6"/>
    <x v="2"/>
    <x v="181"/>
    <x v="1"/>
    <x v="35"/>
    <x v="0"/>
    <n v="0"/>
    <n v="0"/>
    <n v="0"/>
    <n v="1.93"/>
    <n v="0"/>
    <n v="0"/>
    <n v="0"/>
    <n v="-1.93"/>
    <n v="0"/>
    <s v="India"/>
  </r>
  <r>
    <x v="6"/>
    <x v="2"/>
    <x v="181"/>
    <x v="1"/>
    <x v="4"/>
    <x v="3"/>
    <n v="0.15"/>
    <n v="0"/>
    <n v="0"/>
    <n v="64.62"/>
    <n v="0.61"/>
    <n v="0"/>
    <n v="-0.15"/>
    <n v="-64.010000000000005"/>
    <n v="0"/>
    <s v="India"/>
  </r>
  <r>
    <x v="6"/>
    <x v="2"/>
    <x v="181"/>
    <x v="1"/>
    <x v="6"/>
    <x v="4"/>
    <n v="0"/>
    <n v="0"/>
    <n v="0"/>
    <n v="0.2"/>
    <n v="0"/>
    <n v="0"/>
    <n v="0"/>
    <n v="-0.2"/>
    <n v="0"/>
    <s v="India"/>
  </r>
  <r>
    <x v="6"/>
    <x v="2"/>
    <x v="181"/>
    <x v="1"/>
    <x v="38"/>
    <x v="5"/>
    <n v="0.02"/>
    <n v="0"/>
    <n v="0"/>
    <n v="1.94"/>
    <n v="0"/>
    <n v="0"/>
    <n v="-0.02"/>
    <n v="-1.94"/>
    <n v="0"/>
    <s v="India"/>
  </r>
  <r>
    <x v="6"/>
    <x v="2"/>
    <x v="181"/>
    <x v="1"/>
    <x v="11"/>
    <x v="3"/>
    <n v="0.1"/>
    <n v="0"/>
    <n v="0"/>
    <n v="54.65"/>
    <n v="0.2"/>
    <n v="0"/>
    <n v="-0.1"/>
    <n v="-54.449999999999996"/>
    <n v="0"/>
    <s v="India"/>
  </r>
  <r>
    <x v="6"/>
    <x v="2"/>
    <x v="181"/>
    <x v="1"/>
    <x v="5"/>
    <x v="3"/>
    <n v="0"/>
    <n v="0"/>
    <n v="0"/>
    <n v="1.73"/>
    <n v="0"/>
    <n v="0"/>
    <n v="0"/>
    <n v="-1.73"/>
    <n v="0"/>
    <s v="India"/>
  </r>
  <r>
    <x v="6"/>
    <x v="2"/>
    <x v="181"/>
    <x v="1"/>
    <x v="3"/>
    <x v="2"/>
    <n v="0.01"/>
    <n v="0"/>
    <n v="0"/>
    <n v="5.63"/>
    <n v="0"/>
    <n v="0"/>
    <n v="-0.01"/>
    <n v="-5.63"/>
    <n v="0"/>
    <s v="India"/>
  </r>
  <r>
    <x v="11"/>
    <x v="2"/>
    <x v="29"/>
    <x v="0"/>
    <x v="39"/>
    <x v="7"/>
    <n v="0.09"/>
    <n v="0"/>
    <n v="0"/>
    <n v="7.38"/>
    <n v="0"/>
    <n v="0"/>
    <n v="-0.09"/>
    <n v="-7.38"/>
    <n v="0"/>
    <s v="India"/>
  </r>
  <r>
    <x v="6"/>
    <x v="2"/>
    <x v="105"/>
    <x v="1"/>
    <x v="1"/>
    <x v="1"/>
    <n v="0"/>
    <n v="0.7"/>
    <n v="0"/>
    <n v="0"/>
    <n v="205.28"/>
    <n v="0"/>
    <n v="0.7"/>
    <n v="205.28"/>
    <n v="-0.7"/>
    <s v="India"/>
  </r>
  <r>
    <x v="11"/>
    <x v="2"/>
    <x v="64"/>
    <x v="3"/>
    <x v="23"/>
    <x v="1"/>
    <n v="0"/>
    <n v="0"/>
    <n v="0"/>
    <n v="0.14000000000000001"/>
    <n v="0"/>
    <n v="0"/>
    <n v="0"/>
    <n v="-0.14000000000000001"/>
    <n v="0"/>
    <s v="India"/>
  </r>
  <r>
    <x v="6"/>
    <x v="2"/>
    <x v="105"/>
    <x v="1"/>
    <x v="40"/>
    <x v="6"/>
    <n v="0"/>
    <n v="0.43"/>
    <n v="0"/>
    <n v="0"/>
    <n v="376.88"/>
    <n v="0"/>
    <n v="0.43"/>
    <n v="376.88"/>
    <n v="-0.43"/>
    <s v="India"/>
  </r>
  <r>
    <x v="11"/>
    <x v="2"/>
    <x v="64"/>
    <x v="3"/>
    <x v="42"/>
    <x v="1"/>
    <n v="0.01"/>
    <n v="0"/>
    <n v="0"/>
    <n v="0.5"/>
    <n v="0"/>
    <n v="0"/>
    <n v="-0.01"/>
    <n v="-0.5"/>
    <n v="0"/>
    <s v="India"/>
  </r>
  <r>
    <x v="11"/>
    <x v="2"/>
    <x v="64"/>
    <x v="3"/>
    <x v="33"/>
    <x v="7"/>
    <n v="7.0000000000000007E-2"/>
    <n v="0"/>
    <n v="0"/>
    <n v="3.16"/>
    <n v="0"/>
    <n v="0"/>
    <n v="-7.0000000000000007E-2"/>
    <n v="-3.16"/>
    <n v="0"/>
    <s v="India"/>
  </r>
  <r>
    <x v="6"/>
    <x v="2"/>
    <x v="105"/>
    <x v="1"/>
    <x v="17"/>
    <x v="5"/>
    <n v="0"/>
    <n v="0"/>
    <n v="0"/>
    <n v="0.09"/>
    <n v="0.09"/>
    <n v="0"/>
    <n v="0"/>
    <n v="0"/>
    <n v="0"/>
    <s v="India"/>
  </r>
  <r>
    <x v="6"/>
    <x v="2"/>
    <x v="105"/>
    <x v="1"/>
    <x v="9"/>
    <x v="6"/>
    <n v="0"/>
    <n v="0"/>
    <n v="0"/>
    <n v="0.03"/>
    <n v="0.04"/>
    <n v="0"/>
    <n v="0"/>
    <n v="1.0000000000000002E-2"/>
    <n v="0"/>
    <s v="India"/>
  </r>
  <r>
    <x v="6"/>
    <x v="2"/>
    <x v="105"/>
    <x v="1"/>
    <x v="37"/>
    <x v="3"/>
    <n v="0"/>
    <n v="0"/>
    <n v="0"/>
    <n v="0"/>
    <n v="1.72"/>
    <n v="0"/>
    <n v="0"/>
    <n v="1.72"/>
    <n v="0"/>
    <s v="India"/>
  </r>
  <r>
    <x v="11"/>
    <x v="2"/>
    <x v="64"/>
    <x v="3"/>
    <x v="32"/>
    <x v="0"/>
    <n v="0"/>
    <n v="0"/>
    <n v="0"/>
    <n v="0.05"/>
    <n v="0.92"/>
    <n v="0"/>
    <n v="0"/>
    <n v="0.87"/>
    <n v="0"/>
    <s v="India"/>
  </r>
  <r>
    <x v="11"/>
    <x v="2"/>
    <x v="64"/>
    <x v="3"/>
    <x v="35"/>
    <x v="0"/>
    <n v="0"/>
    <n v="0"/>
    <n v="0"/>
    <n v="0"/>
    <n v="0.42"/>
    <n v="0"/>
    <n v="0"/>
    <n v="0.42"/>
    <n v="0"/>
    <s v="India"/>
  </r>
  <r>
    <x v="6"/>
    <x v="2"/>
    <x v="105"/>
    <x v="1"/>
    <x v="29"/>
    <x v="7"/>
    <n v="0"/>
    <n v="0"/>
    <n v="0"/>
    <n v="0.17"/>
    <n v="7.0000000000000007E-2"/>
    <n v="0"/>
    <n v="0"/>
    <n v="-0.1"/>
    <n v="0"/>
    <s v="India"/>
  </r>
  <r>
    <x v="11"/>
    <x v="2"/>
    <x v="64"/>
    <x v="3"/>
    <x v="37"/>
    <x v="3"/>
    <n v="0"/>
    <n v="0"/>
    <n v="0"/>
    <n v="7.0000000000000007E-2"/>
    <n v="0"/>
    <n v="0"/>
    <n v="0"/>
    <n v="-7.0000000000000007E-2"/>
    <n v="0"/>
    <s v="India"/>
  </r>
  <r>
    <x v="6"/>
    <x v="2"/>
    <x v="105"/>
    <x v="1"/>
    <x v="38"/>
    <x v="5"/>
    <n v="0.08"/>
    <n v="0.02"/>
    <n v="0"/>
    <n v="18.32"/>
    <n v="1.41"/>
    <n v="0"/>
    <n v="-0.06"/>
    <n v="-16.91"/>
    <n v="-0.02"/>
    <s v="India"/>
  </r>
  <r>
    <x v="11"/>
    <x v="2"/>
    <x v="64"/>
    <x v="3"/>
    <x v="15"/>
    <x v="0"/>
    <n v="0"/>
    <n v="0"/>
    <n v="0"/>
    <n v="0"/>
    <n v="0.15"/>
    <n v="0"/>
    <n v="0"/>
    <n v="0.15"/>
    <n v="0"/>
    <s v="India"/>
  </r>
  <r>
    <x v="11"/>
    <x v="2"/>
    <x v="64"/>
    <x v="3"/>
    <x v="7"/>
    <x v="5"/>
    <n v="0"/>
    <n v="0"/>
    <n v="0"/>
    <n v="0.03"/>
    <n v="0"/>
    <n v="0"/>
    <n v="0"/>
    <n v="-0.03"/>
    <n v="0"/>
    <s v="India"/>
  </r>
  <r>
    <x v="11"/>
    <x v="2"/>
    <x v="64"/>
    <x v="3"/>
    <x v="9"/>
    <x v="6"/>
    <n v="0"/>
    <n v="0"/>
    <n v="0"/>
    <n v="0.42"/>
    <n v="0"/>
    <n v="0"/>
    <n v="0"/>
    <n v="-0.42"/>
    <n v="0"/>
    <s v="India"/>
  </r>
  <r>
    <x v="6"/>
    <x v="2"/>
    <x v="105"/>
    <x v="1"/>
    <x v="23"/>
    <x v="1"/>
    <n v="0"/>
    <n v="0.78"/>
    <n v="0"/>
    <n v="0"/>
    <n v="238.77"/>
    <n v="0"/>
    <n v="0.78"/>
    <n v="238.77"/>
    <n v="-0.78"/>
    <s v="India"/>
  </r>
  <r>
    <x v="6"/>
    <x v="2"/>
    <x v="182"/>
    <x v="4"/>
    <x v="10"/>
    <x v="3"/>
    <n v="0.41"/>
    <n v="0"/>
    <n v="0"/>
    <n v="157.32"/>
    <n v="0"/>
    <n v="0"/>
    <n v="-0.41"/>
    <n v="-157.32"/>
    <n v="0"/>
    <s v="India"/>
  </r>
  <r>
    <x v="6"/>
    <x v="2"/>
    <x v="183"/>
    <x v="1"/>
    <x v="14"/>
    <x v="3"/>
    <n v="0"/>
    <n v="0.57999999999999996"/>
    <n v="0"/>
    <n v="0"/>
    <n v="14.11"/>
    <n v="0"/>
    <n v="0.57999999999999996"/>
    <n v="14.11"/>
    <n v="-0.57999999999999996"/>
    <s v="India"/>
  </r>
  <r>
    <x v="6"/>
    <x v="2"/>
    <x v="183"/>
    <x v="1"/>
    <x v="22"/>
    <x v="6"/>
    <n v="0"/>
    <n v="0"/>
    <n v="0"/>
    <n v="0.01"/>
    <n v="0"/>
    <n v="0"/>
    <n v="0"/>
    <n v="-0.01"/>
    <n v="0"/>
    <s v="India"/>
  </r>
  <r>
    <x v="6"/>
    <x v="2"/>
    <x v="183"/>
    <x v="1"/>
    <x v="8"/>
    <x v="3"/>
    <n v="0.05"/>
    <n v="0"/>
    <n v="0"/>
    <n v="17.32"/>
    <n v="0"/>
    <n v="0"/>
    <n v="-0.05"/>
    <n v="-17.32"/>
    <n v="0"/>
    <s v="India"/>
  </r>
  <r>
    <x v="6"/>
    <x v="2"/>
    <x v="183"/>
    <x v="1"/>
    <x v="13"/>
    <x v="3"/>
    <n v="0.09"/>
    <n v="0.01"/>
    <n v="0"/>
    <n v="1.99"/>
    <n v="1.1000000000000001"/>
    <n v="0"/>
    <n v="-0.08"/>
    <n v="-0.8899999999999999"/>
    <n v="-0.01"/>
    <s v="India"/>
  </r>
  <r>
    <x v="6"/>
    <x v="2"/>
    <x v="183"/>
    <x v="1"/>
    <x v="18"/>
    <x v="7"/>
    <n v="0"/>
    <n v="0"/>
    <n v="0"/>
    <n v="0.05"/>
    <n v="0"/>
    <n v="0"/>
    <n v="0"/>
    <n v="-0.05"/>
    <n v="0"/>
    <s v="India"/>
  </r>
  <r>
    <x v="6"/>
    <x v="2"/>
    <x v="183"/>
    <x v="1"/>
    <x v="10"/>
    <x v="3"/>
    <n v="0.01"/>
    <n v="0"/>
    <n v="0"/>
    <n v="5.74"/>
    <n v="1"/>
    <n v="0"/>
    <n v="-0.01"/>
    <n v="-4.74"/>
    <n v="0"/>
    <s v="India"/>
  </r>
  <r>
    <x v="6"/>
    <x v="2"/>
    <x v="183"/>
    <x v="1"/>
    <x v="16"/>
    <x v="0"/>
    <n v="0"/>
    <n v="0"/>
    <n v="0"/>
    <n v="0.51"/>
    <n v="0"/>
    <n v="0"/>
    <n v="0"/>
    <n v="-0.51"/>
    <n v="0"/>
    <s v="India"/>
  </r>
  <r>
    <x v="6"/>
    <x v="2"/>
    <x v="183"/>
    <x v="1"/>
    <x v="35"/>
    <x v="0"/>
    <n v="0"/>
    <n v="0"/>
    <n v="0"/>
    <n v="0.1"/>
    <n v="0"/>
    <n v="0"/>
    <n v="0"/>
    <n v="-0.1"/>
    <n v="0"/>
    <s v="India"/>
  </r>
  <r>
    <x v="6"/>
    <x v="2"/>
    <x v="183"/>
    <x v="1"/>
    <x v="4"/>
    <x v="3"/>
    <n v="0.01"/>
    <n v="0"/>
    <n v="0"/>
    <n v="0.63"/>
    <n v="0"/>
    <n v="0"/>
    <n v="-0.01"/>
    <n v="-0.63"/>
    <n v="0"/>
    <s v="India"/>
  </r>
  <r>
    <x v="6"/>
    <x v="2"/>
    <x v="183"/>
    <x v="1"/>
    <x v="2"/>
    <x v="0"/>
    <n v="0.03"/>
    <n v="0"/>
    <n v="0"/>
    <n v="31.52"/>
    <n v="0"/>
    <n v="0"/>
    <n v="-0.03"/>
    <n v="-31.52"/>
    <n v="0"/>
    <s v="India"/>
  </r>
  <r>
    <x v="6"/>
    <x v="2"/>
    <x v="183"/>
    <x v="1"/>
    <x v="32"/>
    <x v="0"/>
    <n v="0"/>
    <n v="0"/>
    <n v="0"/>
    <n v="1"/>
    <n v="0"/>
    <n v="0"/>
    <n v="0"/>
    <n v="-1"/>
    <n v="0"/>
    <s v="India"/>
  </r>
  <r>
    <x v="6"/>
    <x v="2"/>
    <x v="183"/>
    <x v="1"/>
    <x v="38"/>
    <x v="5"/>
    <n v="2.1800000000000002"/>
    <n v="0"/>
    <n v="0"/>
    <n v="430.45"/>
    <n v="0"/>
    <n v="0"/>
    <n v="-2.1800000000000002"/>
    <n v="-430.45"/>
    <n v="0"/>
    <s v="India"/>
  </r>
  <r>
    <x v="6"/>
    <x v="2"/>
    <x v="183"/>
    <x v="1"/>
    <x v="11"/>
    <x v="3"/>
    <n v="0"/>
    <n v="0"/>
    <n v="0"/>
    <n v="0.04"/>
    <n v="0"/>
    <n v="0"/>
    <n v="0"/>
    <n v="-0.04"/>
    <n v="0"/>
    <s v="India"/>
  </r>
  <r>
    <x v="6"/>
    <x v="2"/>
    <x v="183"/>
    <x v="1"/>
    <x v="5"/>
    <x v="3"/>
    <n v="0.01"/>
    <n v="0"/>
    <n v="0"/>
    <n v="1.21"/>
    <n v="0"/>
    <n v="0"/>
    <n v="-0.01"/>
    <n v="-1.21"/>
    <n v="0"/>
    <s v="India"/>
  </r>
  <r>
    <x v="6"/>
    <x v="2"/>
    <x v="183"/>
    <x v="1"/>
    <x v="3"/>
    <x v="2"/>
    <n v="0"/>
    <n v="0"/>
    <n v="0"/>
    <n v="0.03"/>
    <n v="0"/>
    <n v="0"/>
    <n v="0"/>
    <n v="-0.03"/>
    <n v="0"/>
    <s v="India"/>
  </r>
  <r>
    <x v="11"/>
    <x v="2"/>
    <x v="64"/>
    <x v="3"/>
    <x v="21"/>
    <x v="4"/>
    <n v="0"/>
    <n v="0"/>
    <n v="0"/>
    <n v="0"/>
    <n v="0"/>
    <n v="0.01"/>
    <n v="0"/>
    <n v="0"/>
    <n v="0"/>
    <s v="India"/>
  </r>
  <r>
    <x v="11"/>
    <x v="2"/>
    <x v="64"/>
    <x v="3"/>
    <x v="20"/>
    <x v="3"/>
    <n v="0"/>
    <n v="0"/>
    <n v="0"/>
    <n v="0.6"/>
    <n v="0.05"/>
    <n v="0"/>
    <n v="0"/>
    <n v="-0.54999999999999993"/>
    <n v="0"/>
    <s v="India"/>
  </r>
  <r>
    <x v="11"/>
    <x v="2"/>
    <x v="64"/>
    <x v="3"/>
    <x v="34"/>
    <x v="6"/>
    <n v="0"/>
    <n v="0"/>
    <n v="0"/>
    <n v="0.03"/>
    <n v="0"/>
    <n v="0"/>
    <n v="0"/>
    <n v="-0.03"/>
    <n v="0"/>
    <s v="India"/>
  </r>
  <r>
    <x v="6"/>
    <x v="2"/>
    <x v="55"/>
    <x v="0"/>
    <x v="1"/>
    <x v="1"/>
    <n v="4.1100000000000003"/>
    <n v="0"/>
    <n v="0"/>
    <n v="1683.69"/>
    <n v="0"/>
    <n v="0"/>
    <n v="-4.1100000000000003"/>
    <n v="-1683.69"/>
    <n v="0"/>
    <s v="India"/>
  </r>
  <r>
    <x v="6"/>
    <x v="2"/>
    <x v="55"/>
    <x v="0"/>
    <x v="27"/>
    <x v="7"/>
    <n v="0.01"/>
    <n v="0"/>
    <n v="0"/>
    <n v="6.48"/>
    <n v="0"/>
    <n v="0"/>
    <n v="-0.01"/>
    <n v="-6.48"/>
    <n v="0"/>
    <s v="India"/>
  </r>
  <r>
    <x v="11"/>
    <x v="2"/>
    <x v="64"/>
    <x v="3"/>
    <x v="0"/>
    <x v="0"/>
    <n v="0"/>
    <n v="0"/>
    <n v="0"/>
    <n v="0"/>
    <n v="0.01"/>
    <n v="0"/>
    <n v="0"/>
    <n v="0.01"/>
    <n v="0"/>
    <s v="India"/>
  </r>
  <r>
    <x v="6"/>
    <x v="2"/>
    <x v="55"/>
    <x v="0"/>
    <x v="40"/>
    <x v="6"/>
    <n v="0.01"/>
    <n v="0"/>
    <n v="0"/>
    <n v="0.49"/>
    <n v="0"/>
    <n v="0"/>
    <n v="-0.01"/>
    <n v="-0.49"/>
    <n v="0"/>
    <s v="India"/>
  </r>
  <r>
    <x v="6"/>
    <x v="2"/>
    <x v="55"/>
    <x v="0"/>
    <x v="36"/>
    <x v="6"/>
    <n v="0"/>
    <n v="0"/>
    <n v="0"/>
    <n v="0"/>
    <n v="7.0000000000000007E-2"/>
    <n v="0"/>
    <n v="0"/>
    <n v="7.0000000000000007E-2"/>
    <n v="0"/>
    <s v="India"/>
  </r>
  <r>
    <x v="11"/>
    <x v="2"/>
    <x v="64"/>
    <x v="3"/>
    <x v="14"/>
    <x v="3"/>
    <n v="0"/>
    <n v="0"/>
    <n v="0"/>
    <n v="0.06"/>
    <n v="0"/>
    <n v="0"/>
    <n v="0"/>
    <n v="-0.06"/>
    <n v="0"/>
    <s v="India"/>
  </r>
  <r>
    <x v="11"/>
    <x v="2"/>
    <x v="64"/>
    <x v="3"/>
    <x v="39"/>
    <x v="7"/>
    <n v="0"/>
    <n v="0"/>
    <n v="0"/>
    <n v="0"/>
    <n v="0"/>
    <n v="0"/>
    <n v="0"/>
    <n v="0"/>
    <n v="0"/>
    <s v="India"/>
  </r>
  <r>
    <x v="6"/>
    <x v="2"/>
    <x v="55"/>
    <x v="0"/>
    <x v="13"/>
    <x v="3"/>
    <n v="0"/>
    <n v="0.03"/>
    <n v="0"/>
    <n v="0.16"/>
    <n v="13.93"/>
    <n v="0"/>
    <n v="0.03"/>
    <n v="13.77"/>
    <n v="-0.03"/>
    <s v="India"/>
  </r>
  <r>
    <x v="11"/>
    <x v="2"/>
    <x v="85"/>
    <x v="3"/>
    <x v="38"/>
    <x v="5"/>
    <n v="0"/>
    <n v="0"/>
    <n v="0"/>
    <n v="3.37"/>
    <n v="0"/>
    <n v="0"/>
    <n v="0"/>
    <n v="-3.37"/>
    <n v="0"/>
    <s v="India"/>
  </r>
  <r>
    <x v="11"/>
    <x v="2"/>
    <x v="85"/>
    <x v="3"/>
    <x v="2"/>
    <x v="0"/>
    <n v="0"/>
    <n v="0"/>
    <n v="0"/>
    <n v="0"/>
    <n v="0"/>
    <n v="0"/>
    <n v="0"/>
    <n v="0"/>
    <n v="0"/>
    <s v="India"/>
  </r>
  <r>
    <x v="6"/>
    <x v="2"/>
    <x v="55"/>
    <x v="0"/>
    <x v="25"/>
    <x v="7"/>
    <n v="1.1599999999999999"/>
    <n v="0"/>
    <n v="0"/>
    <n v="16058.88"/>
    <n v="0"/>
    <n v="0"/>
    <n v="-1.1599999999999999"/>
    <n v="-16058.88"/>
    <n v="0"/>
    <s v="India"/>
  </r>
  <r>
    <x v="11"/>
    <x v="2"/>
    <x v="85"/>
    <x v="3"/>
    <x v="29"/>
    <x v="7"/>
    <n v="0"/>
    <n v="0"/>
    <n v="0"/>
    <n v="0"/>
    <n v="0.2"/>
    <n v="0"/>
    <n v="0"/>
    <n v="0.2"/>
    <n v="0"/>
    <s v="India"/>
  </r>
  <r>
    <x v="11"/>
    <x v="2"/>
    <x v="85"/>
    <x v="3"/>
    <x v="16"/>
    <x v="0"/>
    <n v="0"/>
    <n v="0"/>
    <n v="0"/>
    <n v="0"/>
    <n v="0.43"/>
    <n v="0"/>
    <n v="0"/>
    <n v="0.43"/>
    <n v="0"/>
    <s v="India"/>
  </r>
  <r>
    <x v="11"/>
    <x v="2"/>
    <x v="85"/>
    <x v="3"/>
    <x v="37"/>
    <x v="3"/>
    <n v="0"/>
    <n v="0"/>
    <n v="0"/>
    <n v="0.15"/>
    <n v="0.84"/>
    <n v="0"/>
    <n v="0"/>
    <n v="0.69"/>
    <n v="0"/>
    <s v="India"/>
  </r>
  <r>
    <x v="11"/>
    <x v="2"/>
    <x v="85"/>
    <x v="3"/>
    <x v="17"/>
    <x v="5"/>
    <n v="0"/>
    <n v="0"/>
    <n v="0"/>
    <n v="0.21"/>
    <n v="0.52"/>
    <n v="0"/>
    <n v="0"/>
    <n v="0.31000000000000005"/>
    <n v="0"/>
    <s v="India"/>
  </r>
  <r>
    <x v="11"/>
    <x v="2"/>
    <x v="85"/>
    <x v="3"/>
    <x v="18"/>
    <x v="7"/>
    <n v="0"/>
    <n v="0"/>
    <n v="0"/>
    <n v="0.03"/>
    <n v="0"/>
    <n v="0"/>
    <n v="0"/>
    <n v="-0.03"/>
    <n v="0"/>
    <s v="India"/>
  </r>
  <r>
    <x v="11"/>
    <x v="2"/>
    <x v="85"/>
    <x v="3"/>
    <x v="20"/>
    <x v="3"/>
    <n v="0.02"/>
    <n v="0"/>
    <n v="0"/>
    <n v="16.64"/>
    <n v="0"/>
    <n v="0"/>
    <n v="-0.02"/>
    <n v="-16.64"/>
    <n v="0"/>
    <s v="India"/>
  </r>
  <r>
    <x v="12"/>
    <x v="2"/>
    <x v="184"/>
    <x v="4"/>
    <x v="4"/>
    <x v="3"/>
    <n v="0"/>
    <n v="0"/>
    <n v="0"/>
    <n v="0"/>
    <n v="0"/>
    <n v="0"/>
    <n v="0"/>
    <n v="0"/>
    <n v="0"/>
    <s v="India"/>
  </r>
  <r>
    <x v="12"/>
    <x v="2"/>
    <x v="184"/>
    <x v="4"/>
    <x v="34"/>
    <x v="6"/>
    <n v="0"/>
    <n v="0"/>
    <n v="0"/>
    <n v="0"/>
    <n v="0.01"/>
    <n v="0"/>
    <n v="0"/>
    <n v="0.01"/>
    <n v="0"/>
    <s v="India"/>
  </r>
  <r>
    <x v="12"/>
    <x v="2"/>
    <x v="37"/>
    <x v="0"/>
    <x v="3"/>
    <x v="2"/>
    <n v="0.04"/>
    <n v="0.05"/>
    <n v="0"/>
    <n v="34.29"/>
    <n v="47.41"/>
    <n v="0"/>
    <n v="1.0000000000000002E-2"/>
    <n v="13.119999999999997"/>
    <n v="-0.05"/>
    <s v="India"/>
  </r>
  <r>
    <x v="12"/>
    <x v="2"/>
    <x v="37"/>
    <x v="0"/>
    <x v="42"/>
    <x v="1"/>
    <n v="0"/>
    <n v="0"/>
    <n v="0"/>
    <n v="0.11"/>
    <n v="0"/>
    <n v="0"/>
    <n v="0"/>
    <n v="-0.11"/>
    <n v="0"/>
    <s v="India"/>
  </r>
  <r>
    <x v="12"/>
    <x v="2"/>
    <x v="37"/>
    <x v="0"/>
    <x v="24"/>
    <x v="4"/>
    <n v="0.03"/>
    <n v="0.01"/>
    <n v="0"/>
    <n v="34.090000000000003"/>
    <n v="5.66"/>
    <n v="0"/>
    <n v="-1.9999999999999997E-2"/>
    <n v="-28.430000000000003"/>
    <n v="-0.01"/>
    <s v="India"/>
  </r>
  <r>
    <x v="12"/>
    <x v="2"/>
    <x v="37"/>
    <x v="0"/>
    <x v="6"/>
    <x v="4"/>
    <n v="0"/>
    <n v="0.08"/>
    <n v="0"/>
    <n v="1.55"/>
    <n v="40.42"/>
    <n v="0"/>
    <n v="0.08"/>
    <n v="38.870000000000005"/>
    <n v="-0.08"/>
    <s v="India"/>
  </r>
  <r>
    <x v="12"/>
    <x v="2"/>
    <x v="37"/>
    <x v="0"/>
    <x v="29"/>
    <x v="7"/>
    <n v="0"/>
    <n v="0"/>
    <n v="0"/>
    <n v="0.2"/>
    <n v="0"/>
    <n v="0"/>
    <n v="0"/>
    <n v="-0.2"/>
    <n v="0"/>
    <s v="India"/>
  </r>
  <r>
    <x v="12"/>
    <x v="2"/>
    <x v="37"/>
    <x v="0"/>
    <x v="16"/>
    <x v="0"/>
    <n v="0"/>
    <n v="0"/>
    <n v="0"/>
    <n v="2.25"/>
    <n v="5.0999999999999996"/>
    <n v="0"/>
    <n v="0"/>
    <n v="2.8499999999999996"/>
    <n v="0"/>
    <s v="India"/>
  </r>
  <r>
    <x v="12"/>
    <x v="2"/>
    <x v="37"/>
    <x v="0"/>
    <x v="30"/>
    <x v="5"/>
    <n v="0"/>
    <n v="0"/>
    <n v="0"/>
    <n v="1.3"/>
    <n v="0"/>
    <n v="0"/>
    <n v="0"/>
    <n v="-1.3"/>
    <n v="0"/>
    <s v="India"/>
  </r>
  <r>
    <x v="12"/>
    <x v="2"/>
    <x v="37"/>
    <x v="0"/>
    <x v="18"/>
    <x v="7"/>
    <n v="0.01"/>
    <n v="0"/>
    <n v="0"/>
    <n v="1.58"/>
    <n v="0"/>
    <n v="0"/>
    <n v="-0.01"/>
    <n v="-1.58"/>
    <n v="0"/>
    <s v="India"/>
  </r>
  <r>
    <x v="12"/>
    <x v="2"/>
    <x v="37"/>
    <x v="0"/>
    <x v="36"/>
    <x v="6"/>
    <n v="0.26"/>
    <n v="0.02"/>
    <n v="0"/>
    <n v="92.3"/>
    <n v="1.5"/>
    <n v="0"/>
    <n v="-0.24000000000000002"/>
    <n v="-90.8"/>
    <n v="-0.02"/>
    <s v="India"/>
  </r>
  <r>
    <x v="12"/>
    <x v="2"/>
    <x v="37"/>
    <x v="0"/>
    <x v="40"/>
    <x v="6"/>
    <n v="2.11"/>
    <n v="12.11"/>
    <n v="0"/>
    <n v="1760.16"/>
    <n v="8345.2000000000007"/>
    <n v="0"/>
    <n v="10"/>
    <n v="6585.0400000000009"/>
    <n v="-12.11"/>
    <s v="India"/>
  </r>
  <r>
    <x v="6"/>
    <x v="2"/>
    <x v="159"/>
    <x v="3"/>
    <x v="40"/>
    <x v="6"/>
    <n v="0"/>
    <n v="0"/>
    <n v="0"/>
    <n v="0"/>
    <n v="0"/>
    <n v="0"/>
    <n v="0"/>
    <n v="0"/>
    <n v="0"/>
    <s v="India"/>
  </r>
  <r>
    <x v="6"/>
    <x v="2"/>
    <x v="159"/>
    <x v="3"/>
    <x v="36"/>
    <x v="6"/>
    <n v="0"/>
    <n v="0"/>
    <n v="0"/>
    <n v="0.04"/>
    <n v="0"/>
    <n v="0"/>
    <n v="0"/>
    <n v="-0.04"/>
    <n v="0"/>
    <s v="India"/>
  </r>
  <r>
    <x v="6"/>
    <x v="2"/>
    <x v="159"/>
    <x v="3"/>
    <x v="13"/>
    <x v="3"/>
    <n v="0"/>
    <n v="0"/>
    <n v="0"/>
    <n v="0"/>
    <n v="0"/>
    <n v="0"/>
    <n v="0"/>
    <n v="0"/>
    <n v="0"/>
    <s v="India"/>
  </r>
  <r>
    <x v="12"/>
    <x v="2"/>
    <x v="145"/>
    <x v="3"/>
    <x v="3"/>
    <x v="2"/>
    <n v="0"/>
    <n v="0"/>
    <n v="0"/>
    <n v="0"/>
    <n v="0.02"/>
    <n v="0"/>
    <n v="0"/>
    <n v="0.02"/>
    <n v="0"/>
    <s v="India"/>
  </r>
  <r>
    <x v="6"/>
    <x v="2"/>
    <x v="159"/>
    <x v="3"/>
    <x v="19"/>
    <x v="4"/>
    <n v="0"/>
    <n v="0"/>
    <n v="0"/>
    <n v="0.4"/>
    <n v="1.68"/>
    <n v="0"/>
    <n v="0"/>
    <n v="1.2799999999999998"/>
    <n v="0"/>
    <s v="India"/>
  </r>
  <r>
    <x v="6"/>
    <x v="2"/>
    <x v="159"/>
    <x v="3"/>
    <x v="12"/>
    <x v="4"/>
    <n v="0"/>
    <n v="0"/>
    <n v="0"/>
    <n v="0.41"/>
    <n v="3.1"/>
    <n v="0"/>
    <n v="0"/>
    <n v="2.69"/>
    <n v="0"/>
    <s v="India"/>
  </r>
  <r>
    <x v="6"/>
    <x v="2"/>
    <x v="159"/>
    <x v="3"/>
    <x v="9"/>
    <x v="6"/>
    <n v="0"/>
    <n v="0"/>
    <n v="0"/>
    <n v="0.19"/>
    <n v="0"/>
    <n v="0"/>
    <n v="0"/>
    <n v="-0.19"/>
    <n v="0"/>
    <s v="India"/>
  </r>
  <r>
    <x v="6"/>
    <x v="2"/>
    <x v="159"/>
    <x v="3"/>
    <x v="16"/>
    <x v="0"/>
    <n v="0"/>
    <n v="0"/>
    <n v="0"/>
    <n v="1.55"/>
    <n v="0"/>
    <n v="0.01"/>
    <n v="0"/>
    <n v="-1.55"/>
    <n v="0"/>
    <s v="India"/>
  </r>
  <r>
    <x v="6"/>
    <x v="2"/>
    <x v="159"/>
    <x v="3"/>
    <x v="35"/>
    <x v="0"/>
    <n v="0"/>
    <n v="0"/>
    <n v="0"/>
    <n v="0.05"/>
    <n v="0.01"/>
    <n v="0"/>
    <n v="0"/>
    <n v="-0.04"/>
    <n v="0"/>
    <s v="India"/>
  </r>
  <r>
    <x v="6"/>
    <x v="2"/>
    <x v="159"/>
    <x v="3"/>
    <x v="32"/>
    <x v="0"/>
    <n v="0"/>
    <n v="0"/>
    <n v="0"/>
    <n v="0.03"/>
    <n v="0"/>
    <n v="0"/>
    <n v="0"/>
    <n v="-0.03"/>
    <n v="0"/>
    <s v="India"/>
  </r>
  <r>
    <x v="12"/>
    <x v="2"/>
    <x v="145"/>
    <x v="3"/>
    <x v="11"/>
    <x v="3"/>
    <n v="0.22"/>
    <n v="0"/>
    <n v="0"/>
    <n v="144.69999999999999"/>
    <n v="0"/>
    <n v="0"/>
    <n v="-0.22"/>
    <n v="-144.69999999999999"/>
    <n v="0"/>
    <s v="India"/>
  </r>
  <r>
    <x v="6"/>
    <x v="2"/>
    <x v="159"/>
    <x v="3"/>
    <x v="38"/>
    <x v="5"/>
    <n v="0"/>
    <n v="0"/>
    <n v="0"/>
    <n v="0.01"/>
    <n v="0.42"/>
    <n v="0"/>
    <n v="0"/>
    <n v="0.41"/>
    <n v="0"/>
    <s v="India"/>
  </r>
  <r>
    <x v="12"/>
    <x v="2"/>
    <x v="145"/>
    <x v="3"/>
    <x v="4"/>
    <x v="3"/>
    <n v="0"/>
    <n v="0"/>
    <n v="0"/>
    <n v="0.65"/>
    <n v="0.2"/>
    <n v="0"/>
    <n v="0"/>
    <n v="-0.45"/>
    <n v="0"/>
    <s v="India"/>
  </r>
  <r>
    <x v="6"/>
    <x v="2"/>
    <x v="159"/>
    <x v="3"/>
    <x v="5"/>
    <x v="3"/>
    <n v="0"/>
    <n v="0"/>
    <n v="0"/>
    <n v="3.53"/>
    <n v="0"/>
    <n v="0"/>
    <n v="0"/>
    <n v="-3.53"/>
    <n v="0"/>
    <s v="India"/>
  </r>
  <r>
    <x v="6"/>
    <x v="2"/>
    <x v="159"/>
    <x v="3"/>
    <x v="3"/>
    <x v="2"/>
    <n v="0"/>
    <n v="0"/>
    <n v="0"/>
    <n v="0.03"/>
    <n v="0.4"/>
    <n v="0"/>
    <n v="0"/>
    <n v="0.37"/>
    <n v="0"/>
    <s v="India"/>
  </r>
  <r>
    <x v="6"/>
    <x v="2"/>
    <x v="185"/>
    <x v="4"/>
    <x v="14"/>
    <x v="3"/>
    <n v="0.16"/>
    <n v="0"/>
    <n v="0"/>
    <n v="1.23"/>
    <n v="0"/>
    <n v="0"/>
    <n v="-0.16"/>
    <n v="-1.23"/>
    <n v="0"/>
    <s v="India"/>
  </r>
  <r>
    <x v="6"/>
    <x v="2"/>
    <x v="117"/>
    <x v="4"/>
    <x v="8"/>
    <x v="3"/>
    <n v="0.1"/>
    <n v="0"/>
    <n v="0"/>
    <n v="37.82"/>
    <n v="0"/>
    <n v="0"/>
    <n v="-0.1"/>
    <n v="-37.82"/>
    <n v="0"/>
    <s v="India"/>
  </r>
  <r>
    <x v="12"/>
    <x v="2"/>
    <x v="145"/>
    <x v="3"/>
    <x v="35"/>
    <x v="0"/>
    <n v="0"/>
    <n v="0"/>
    <n v="0"/>
    <n v="0.01"/>
    <n v="0"/>
    <n v="0"/>
    <n v="0"/>
    <n v="-0.01"/>
    <n v="0"/>
    <s v="India"/>
  </r>
  <r>
    <x v="6"/>
    <x v="2"/>
    <x v="186"/>
    <x v="1"/>
    <x v="20"/>
    <x v="3"/>
    <n v="0.6"/>
    <n v="0"/>
    <n v="0"/>
    <n v="611.55999999999995"/>
    <n v="0"/>
    <n v="0"/>
    <n v="-0.6"/>
    <n v="-611.55999999999995"/>
    <n v="0"/>
    <s v="India"/>
  </r>
  <r>
    <x v="6"/>
    <x v="2"/>
    <x v="186"/>
    <x v="1"/>
    <x v="35"/>
    <x v="0"/>
    <n v="0.42"/>
    <n v="0"/>
    <n v="0"/>
    <n v="632.16999999999996"/>
    <n v="0"/>
    <n v="0"/>
    <n v="-0.42"/>
    <n v="-632.16999999999996"/>
    <n v="0"/>
    <s v="India"/>
  </r>
  <r>
    <x v="6"/>
    <x v="2"/>
    <x v="186"/>
    <x v="1"/>
    <x v="32"/>
    <x v="0"/>
    <n v="7.0000000000000007E-2"/>
    <n v="0"/>
    <n v="0"/>
    <n v="40"/>
    <n v="0"/>
    <n v="0"/>
    <n v="-7.0000000000000007E-2"/>
    <n v="-40"/>
    <n v="0"/>
    <s v="India"/>
  </r>
  <r>
    <x v="6"/>
    <x v="2"/>
    <x v="186"/>
    <x v="1"/>
    <x v="6"/>
    <x v="4"/>
    <n v="7.0000000000000007E-2"/>
    <n v="0"/>
    <n v="0"/>
    <n v="48"/>
    <n v="0"/>
    <n v="0"/>
    <n v="-7.0000000000000007E-2"/>
    <n v="-48"/>
    <n v="0"/>
    <s v="India"/>
  </r>
  <r>
    <x v="6"/>
    <x v="2"/>
    <x v="186"/>
    <x v="1"/>
    <x v="11"/>
    <x v="3"/>
    <n v="3.84"/>
    <n v="0"/>
    <n v="0"/>
    <n v="3186.77"/>
    <n v="0"/>
    <n v="0"/>
    <n v="-3.84"/>
    <n v="-3186.77"/>
    <n v="0"/>
    <s v="India"/>
  </r>
  <r>
    <x v="6"/>
    <x v="2"/>
    <x v="186"/>
    <x v="1"/>
    <x v="5"/>
    <x v="3"/>
    <n v="0.05"/>
    <n v="0"/>
    <n v="0"/>
    <n v="25.74"/>
    <n v="0"/>
    <n v="0"/>
    <n v="-0.05"/>
    <n v="-25.74"/>
    <n v="0"/>
    <s v="India"/>
  </r>
  <r>
    <x v="12"/>
    <x v="2"/>
    <x v="145"/>
    <x v="3"/>
    <x v="10"/>
    <x v="3"/>
    <n v="0"/>
    <n v="0"/>
    <n v="0"/>
    <n v="0.02"/>
    <n v="0"/>
    <n v="0"/>
    <n v="0"/>
    <n v="-0.02"/>
    <n v="0"/>
    <s v="India"/>
  </r>
  <r>
    <x v="6"/>
    <x v="2"/>
    <x v="102"/>
    <x v="1"/>
    <x v="8"/>
    <x v="3"/>
    <n v="0"/>
    <n v="0.01"/>
    <n v="0"/>
    <n v="0"/>
    <n v="2"/>
    <n v="0"/>
    <n v="0.01"/>
    <n v="2"/>
    <n v="-0.01"/>
    <s v="India"/>
  </r>
  <r>
    <x v="12"/>
    <x v="2"/>
    <x v="145"/>
    <x v="3"/>
    <x v="9"/>
    <x v="6"/>
    <n v="0"/>
    <n v="0"/>
    <n v="0"/>
    <n v="0"/>
    <n v="0.28999999999999998"/>
    <n v="0"/>
    <n v="0"/>
    <n v="0.28999999999999998"/>
    <n v="0"/>
    <s v="India"/>
  </r>
  <r>
    <x v="6"/>
    <x v="2"/>
    <x v="102"/>
    <x v="1"/>
    <x v="11"/>
    <x v="3"/>
    <n v="0"/>
    <n v="0"/>
    <n v="0"/>
    <n v="0"/>
    <n v="0.5"/>
    <n v="0"/>
    <n v="0"/>
    <n v="0.5"/>
    <n v="0"/>
    <s v="India"/>
  </r>
  <r>
    <x v="12"/>
    <x v="2"/>
    <x v="145"/>
    <x v="3"/>
    <x v="12"/>
    <x v="4"/>
    <n v="0"/>
    <n v="0"/>
    <n v="0"/>
    <n v="0.81"/>
    <n v="0.02"/>
    <n v="0"/>
    <n v="0"/>
    <n v="-0.79"/>
    <n v="0"/>
    <s v="India"/>
  </r>
  <r>
    <x v="6"/>
    <x v="2"/>
    <x v="32"/>
    <x v="0"/>
    <x v="1"/>
    <x v="1"/>
    <n v="0.22"/>
    <n v="0.05"/>
    <n v="0"/>
    <n v="46.24"/>
    <n v="12.99"/>
    <n v="0"/>
    <n v="-0.16999999999999998"/>
    <n v="-33.25"/>
    <n v="-0.05"/>
    <s v="India"/>
  </r>
  <r>
    <x v="12"/>
    <x v="2"/>
    <x v="131"/>
    <x v="1"/>
    <x v="5"/>
    <x v="3"/>
    <n v="0"/>
    <n v="0.05"/>
    <n v="0"/>
    <n v="0"/>
    <n v="40.56"/>
    <n v="0"/>
    <n v="0.05"/>
    <n v="40.56"/>
    <n v="-0.05"/>
    <s v="India"/>
  </r>
  <r>
    <x v="12"/>
    <x v="2"/>
    <x v="131"/>
    <x v="1"/>
    <x v="35"/>
    <x v="0"/>
    <n v="0"/>
    <n v="0.03"/>
    <n v="0"/>
    <n v="0"/>
    <n v="48.92"/>
    <n v="0"/>
    <n v="0.03"/>
    <n v="48.92"/>
    <n v="-0.03"/>
    <s v="India"/>
  </r>
  <r>
    <x v="12"/>
    <x v="2"/>
    <x v="131"/>
    <x v="1"/>
    <x v="20"/>
    <x v="3"/>
    <n v="0"/>
    <n v="0.5"/>
    <n v="0"/>
    <n v="0"/>
    <n v="594.4"/>
    <n v="0"/>
    <n v="0.5"/>
    <n v="594.4"/>
    <n v="-0.5"/>
    <s v="India"/>
  </r>
  <r>
    <x v="12"/>
    <x v="2"/>
    <x v="30"/>
    <x v="1"/>
    <x v="26"/>
    <x v="0"/>
    <n v="0.01"/>
    <n v="0"/>
    <n v="0"/>
    <n v="3.5"/>
    <n v="0"/>
    <n v="0"/>
    <n v="-0.01"/>
    <n v="-3.5"/>
    <n v="0"/>
    <s v="India"/>
  </r>
  <r>
    <x v="12"/>
    <x v="2"/>
    <x v="30"/>
    <x v="1"/>
    <x v="41"/>
    <x v="6"/>
    <n v="0"/>
    <n v="0"/>
    <n v="0"/>
    <n v="0.12"/>
    <n v="0.1"/>
    <n v="0"/>
    <n v="0"/>
    <n v="-1.999999999999999E-2"/>
    <n v="0"/>
    <s v="India"/>
  </r>
  <r>
    <x v="12"/>
    <x v="2"/>
    <x v="30"/>
    <x v="1"/>
    <x v="38"/>
    <x v="5"/>
    <n v="0.76"/>
    <n v="2.4700000000000002"/>
    <n v="0"/>
    <n v="42.56"/>
    <n v="156.75"/>
    <n v="0"/>
    <n v="1.7100000000000002"/>
    <n v="114.19"/>
    <n v="-2.4700000000000002"/>
    <s v="India"/>
  </r>
  <r>
    <x v="12"/>
    <x v="2"/>
    <x v="30"/>
    <x v="1"/>
    <x v="28"/>
    <x v="5"/>
    <n v="0"/>
    <n v="0"/>
    <n v="0"/>
    <n v="0"/>
    <n v="1.4"/>
    <n v="0"/>
    <n v="0"/>
    <n v="1.4"/>
    <n v="0"/>
    <s v="India"/>
  </r>
  <r>
    <x v="12"/>
    <x v="2"/>
    <x v="30"/>
    <x v="1"/>
    <x v="37"/>
    <x v="3"/>
    <n v="0.12"/>
    <n v="0.24"/>
    <n v="0"/>
    <n v="67.03"/>
    <n v="166.44"/>
    <n v="0"/>
    <n v="0.12"/>
    <n v="99.41"/>
    <n v="-0.24"/>
    <s v="India"/>
  </r>
  <r>
    <x v="6"/>
    <x v="2"/>
    <x v="32"/>
    <x v="0"/>
    <x v="21"/>
    <x v="4"/>
    <n v="0"/>
    <n v="0"/>
    <n v="0"/>
    <n v="0.99"/>
    <n v="0"/>
    <n v="0"/>
    <n v="0"/>
    <n v="-0.99"/>
    <n v="0"/>
    <s v="India"/>
  </r>
  <r>
    <x v="12"/>
    <x v="2"/>
    <x v="30"/>
    <x v="1"/>
    <x v="15"/>
    <x v="0"/>
    <n v="0.09"/>
    <n v="0"/>
    <n v="0"/>
    <n v="235.12"/>
    <n v="0.92"/>
    <n v="0"/>
    <n v="-0.09"/>
    <n v="-234.20000000000002"/>
    <n v="0"/>
    <s v="India"/>
  </r>
  <r>
    <x v="12"/>
    <x v="2"/>
    <x v="30"/>
    <x v="1"/>
    <x v="7"/>
    <x v="5"/>
    <n v="0"/>
    <n v="0"/>
    <n v="0"/>
    <n v="0"/>
    <n v="0.5"/>
    <n v="0"/>
    <n v="0"/>
    <n v="0.5"/>
    <n v="0"/>
    <s v="India"/>
  </r>
  <r>
    <x v="12"/>
    <x v="2"/>
    <x v="30"/>
    <x v="1"/>
    <x v="9"/>
    <x v="6"/>
    <n v="0"/>
    <n v="0"/>
    <n v="0"/>
    <n v="1.05"/>
    <n v="0.13"/>
    <n v="0.03"/>
    <n v="0"/>
    <n v="-0.92"/>
    <n v="0"/>
    <s v="India"/>
  </r>
  <r>
    <x v="12"/>
    <x v="2"/>
    <x v="30"/>
    <x v="1"/>
    <x v="21"/>
    <x v="4"/>
    <n v="0"/>
    <n v="0"/>
    <n v="0"/>
    <n v="0"/>
    <n v="0"/>
    <n v="0"/>
    <n v="0"/>
    <n v="0"/>
    <n v="0"/>
    <s v="India"/>
  </r>
  <r>
    <x v="12"/>
    <x v="2"/>
    <x v="30"/>
    <x v="1"/>
    <x v="40"/>
    <x v="6"/>
    <n v="0.01"/>
    <n v="0"/>
    <n v="0"/>
    <n v="0.97"/>
    <n v="0.03"/>
    <n v="0"/>
    <n v="-0.01"/>
    <n v="-0.94"/>
    <n v="0"/>
    <s v="India"/>
  </r>
  <r>
    <x v="12"/>
    <x v="2"/>
    <x v="30"/>
    <x v="1"/>
    <x v="27"/>
    <x v="7"/>
    <n v="0"/>
    <n v="0"/>
    <n v="0"/>
    <n v="0.05"/>
    <n v="0"/>
    <n v="0"/>
    <n v="0"/>
    <n v="-0.05"/>
    <n v="0"/>
    <s v="India"/>
  </r>
  <r>
    <x v="12"/>
    <x v="2"/>
    <x v="178"/>
    <x v="4"/>
    <x v="39"/>
    <x v="7"/>
    <n v="7.0000000000000007E-2"/>
    <n v="0"/>
    <n v="0"/>
    <n v="0"/>
    <n v="0"/>
    <n v="0"/>
    <n v="-7.0000000000000007E-2"/>
    <n v="0"/>
    <n v="0"/>
    <s v="India"/>
  </r>
  <r>
    <x v="12"/>
    <x v="2"/>
    <x v="38"/>
    <x v="3"/>
    <x v="41"/>
    <x v="6"/>
    <n v="0"/>
    <n v="0"/>
    <n v="0"/>
    <n v="0"/>
    <n v="0"/>
    <n v="0"/>
    <n v="0"/>
    <n v="0"/>
    <n v="0"/>
    <s v="India"/>
  </r>
  <r>
    <x v="12"/>
    <x v="2"/>
    <x v="38"/>
    <x v="3"/>
    <x v="33"/>
    <x v="7"/>
    <n v="0"/>
    <n v="0.03"/>
    <n v="0"/>
    <n v="0.12"/>
    <n v="3.42"/>
    <n v="0"/>
    <n v="0.03"/>
    <n v="3.3"/>
    <n v="-0.03"/>
    <s v="India"/>
  </r>
  <r>
    <x v="12"/>
    <x v="2"/>
    <x v="38"/>
    <x v="3"/>
    <x v="28"/>
    <x v="5"/>
    <n v="0"/>
    <n v="0"/>
    <n v="0"/>
    <n v="0.05"/>
    <n v="0"/>
    <n v="0"/>
    <n v="0"/>
    <n v="-0.05"/>
    <n v="0"/>
    <s v="India"/>
  </r>
  <r>
    <x v="6"/>
    <x v="2"/>
    <x v="32"/>
    <x v="0"/>
    <x v="28"/>
    <x v="5"/>
    <n v="0.03"/>
    <n v="0"/>
    <n v="0"/>
    <n v="41.88"/>
    <n v="0"/>
    <n v="0"/>
    <n v="-0.03"/>
    <n v="-41.88"/>
    <n v="0"/>
    <s v="India"/>
  </r>
  <r>
    <x v="12"/>
    <x v="2"/>
    <x v="38"/>
    <x v="3"/>
    <x v="2"/>
    <x v="0"/>
    <n v="0"/>
    <n v="0"/>
    <n v="0"/>
    <n v="0.02"/>
    <n v="0.04"/>
    <n v="0.01"/>
    <n v="0"/>
    <n v="0.02"/>
    <n v="0"/>
    <s v="India"/>
  </r>
  <r>
    <x v="12"/>
    <x v="2"/>
    <x v="38"/>
    <x v="3"/>
    <x v="29"/>
    <x v="7"/>
    <n v="0"/>
    <n v="0"/>
    <n v="0"/>
    <n v="0.2"/>
    <n v="0.04"/>
    <n v="0"/>
    <n v="0"/>
    <n v="-0.16"/>
    <n v="0"/>
    <s v="India"/>
  </r>
  <r>
    <x v="6"/>
    <x v="2"/>
    <x v="32"/>
    <x v="0"/>
    <x v="23"/>
    <x v="1"/>
    <n v="0.55000000000000004"/>
    <n v="7.0000000000000007E-2"/>
    <n v="0"/>
    <n v="140.80000000000001"/>
    <n v="17.57"/>
    <n v="0"/>
    <n v="-0.48000000000000004"/>
    <n v="-123.23000000000002"/>
    <n v="-7.0000000000000007E-2"/>
    <s v="India"/>
  </r>
  <r>
    <x v="12"/>
    <x v="2"/>
    <x v="38"/>
    <x v="3"/>
    <x v="37"/>
    <x v="3"/>
    <n v="0"/>
    <n v="0"/>
    <n v="0"/>
    <n v="0.7"/>
    <n v="0.04"/>
    <n v="0"/>
    <n v="0"/>
    <n v="-0.65999999999999992"/>
    <n v="0"/>
    <s v="India"/>
  </r>
  <r>
    <x v="10"/>
    <x v="2"/>
    <x v="69"/>
    <x v="3"/>
    <x v="1"/>
    <x v="1"/>
    <n v="0"/>
    <n v="0.24"/>
    <n v="0"/>
    <n v="0"/>
    <n v="42.68"/>
    <n v="0"/>
    <n v="0.24"/>
    <n v="42.68"/>
    <n v="-0.24"/>
    <s v="India"/>
  </r>
  <r>
    <x v="10"/>
    <x v="2"/>
    <x v="69"/>
    <x v="3"/>
    <x v="27"/>
    <x v="7"/>
    <n v="0"/>
    <n v="0"/>
    <n v="0"/>
    <n v="0"/>
    <n v="0"/>
    <n v="0"/>
    <n v="0"/>
    <n v="0"/>
    <n v="0"/>
    <s v="India"/>
  </r>
  <r>
    <x v="10"/>
    <x v="2"/>
    <x v="69"/>
    <x v="3"/>
    <x v="22"/>
    <x v="6"/>
    <n v="0.02"/>
    <n v="0.02"/>
    <n v="0"/>
    <n v="3"/>
    <n v="2.27"/>
    <n v="0"/>
    <n v="0"/>
    <n v="-0.73"/>
    <n v="-0.02"/>
    <s v="India"/>
  </r>
  <r>
    <x v="12"/>
    <x v="2"/>
    <x v="38"/>
    <x v="3"/>
    <x v="7"/>
    <x v="5"/>
    <n v="0"/>
    <n v="0"/>
    <n v="0"/>
    <n v="0"/>
    <n v="0.02"/>
    <n v="0"/>
    <n v="0"/>
    <n v="0.02"/>
    <n v="0"/>
    <s v="India"/>
  </r>
  <r>
    <x v="10"/>
    <x v="2"/>
    <x v="69"/>
    <x v="3"/>
    <x v="20"/>
    <x v="3"/>
    <n v="0"/>
    <n v="0"/>
    <n v="0"/>
    <n v="0.01"/>
    <n v="0"/>
    <n v="0"/>
    <n v="0"/>
    <n v="-0.01"/>
    <n v="0"/>
    <s v="India"/>
  </r>
  <r>
    <x v="10"/>
    <x v="2"/>
    <x v="69"/>
    <x v="3"/>
    <x v="18"/>
    <x v="7"/>
    <n v="0.01"/>
    <n v="0.01"/>
    <n v="0"/>
    <n v="3.23"/>
    <n v="4.28"/>
    <n v="0"/>
    <n v="0"/>
    <n v="1.0500000000000003"/>
    <n v="-0.01"/>
    <s v="India"/>
  </r>
  <r>
    <x v="12"/>
    <x v="2"/>
    <x v="38"/>
    <x v="3"/>
    <x v="9"/>
    <x v="6"/>
    <n v="0"/>
    <n v="0.01"/>
    <n v="0"/>
    <n v="0"/>
    <n v="7.03"/>
    <n v="0"/>
    <n v="0.01"/>
    <n v="7.03"/>
    <n v="-0.01"/>
    <s v="India"/>
  </r>
  <r>
    <x v="12"/>
    <x v="2"/>
    <x v="38"/>
    <x v="3"/>
    <x v="21"/>
    <x v="4"/>
    <n v="0"/>
    <n v="0"/>
    <n v="0"/>
    <n v="0"/>
    <n v="0"/>
    <n v="0"/>
    <n v="0"/>
    <n v="0"/>
    <n v="0"/>
    <s v="India"/>
  </r>
  <r>
    <x v="12"/>
    <x v="2"/>
    <x v="38"/>
    <x v="3"/>
    <x v="34"/>
    <x v="6"/>
    <n v="0"/>
    <n v="0.06"/>
    <n v="0"/>
    <n v="0.03"/>
    <n v="1.1000000000000001"/>
    <n v="0"/>
    <n v="0.06"/>
    <n v="1.07"/>
    <n v="-0.06"/>
    <s v="India"/>
  </r>
  <r>
    <x v="10"/>
    <x v="2"/>
    <x v="69"/>
    <x v="3"/>
    <x v="9"/>
    <x v="6"/>
    <n v="0"/>
    <n v="0"/>
    <n v="0"/>
    <n v="0"/>
    <n v="0.39"/>
    <n v="0"/>
    <n v="0"/>
    <n v="0.39"/>
    <n v="0"/>
    <s v="India"/>
  </r>
  <r>
    <x v="12"/>
    <x v="2"/>
    <x v="38"/>
    <x v="3"/>
    <x v="0"/>
    <x v="0"/>
    <n v="0"/>
    <n v="0"/>
    <n v="0"/>
    <n v="0.03"/>
    <n v="0.1"/>
    <n v="0"/>
    <n v="0"/>
    <n v="7.0000000000000007E-2"/>
    <n v="0"/>
    <s v="India"/>
  </r>
  <r>
    <x v="10"/>
    <x v="2"/>
    <x v="69"/>
    <x v="3"/>
    <x v="29"/>
    <x v="7"/>
    <n v="0"/>
    <n v="0"/>
    <n v="0"/>
    <n v="0"/>
    <n v="0.01"/>
    <n v="0"/>
    <n v="0"/>
    <n v="0.01"/>
    <n v="0"/>
    <s v="India"/>
  </r>
  <r>
    <x v="20"/>
    <x v="1"/>
    <x v="133"/>
    <x v="1"/>
    <x v="8"/>
    <x v="3"/>
    <n v="0.01"/>
    <n v="0"/>
    <n v="0"/>
    <n v="6.66"/>
    <n v="0"/>
    <n v="0"/>
    <n v="-0.01"/>
    <n v="-6.66"/>
    <n v="0"/>
    <s v="India"/>
  </r>
  <r>
    <x v="10"/>
    <x v="2"/>
    <x v="69"/>
    <x v="3"/>
    <x v="38"/>
    <x v="5"/>
    <n v="0.53"/>
    <n v="0.01"/>
    <n v="0"/>
    <n v="194.41"/>
    <n v="4.72"/>
    <n v="0"/>
    <n v="-0.52"/>
    <n v="-189.69"/>
    <n v="-0.01"/>
    <s v="India"/>
  </r>
  <r>
    <x v="10"/>
    <x v="2"/>
    <x v="69"/>
    <x v="3"/>
    <x v="42"/>
    <x v="1"/>
    <n v="0"/>
    <n v="0"/>
    <n v="0"/>
    <n v="0.02"/>
    <n v="0"/>
    <n v="0"/>
    <n v="0"/>
    <n v="-0.02"/>
    <n v="0"/>
    <s v="India"/>
  </r>
  <r>
    <x v="5"/>
    <x v="1"/>
    <x v="92"/>
    <x v="1"/>
    <x v="24"/>
    <x v="4"/>
    <n v="0"/>
    <n v="0"/>
    <n v="0"/>
    <n v="0"/>
    <n v="0.02"/>
    <n v="0"/>
    <n v="0"/>
    <n v="0.02"/>
    <n v="0"/>
    <s v="India"/>
  </r>
  <r>
    <x v="10"/>
    <x v="2"/>
    <x v="69"/>
    <x v="3"/>
    <x v="3"/>
    <x v="2"/>
    <n v="0.01"/>
    <n v="0"/>
    <n v="0"/>
    <n v="4.46"/>
    <n v="0"/>
    <n v="0"/>
    <n v="-0.01"/>
    <n v="-4.46"/>
    <n v="0"/>
    <s v="India"/>
  </r>
  <r>
    <x v="10"/>
    <x v="2"/>
    <x v="69"/>
    <x v="3"/>
    <x v="23"/>
    <x v="1"/>
    <n v="0"/>
    <n v="0.08"/>
    <n v="0"/>
    <n v="0"/>
    <n v="10.61"/>
    <n v="0"/>
    <n v="0.08"/>
    <n v="10.61"/>
    <n v="-0.08"/>
    <s v="India"/>
  </r>
  <r>
    <x v="5"/>
    <x v="1"/>
    <x v="92"/>
    <x v="1"/>
    <x v="9"/>
    <x v="6"/>
    <n v="0"/>
    <n v="0"/>
    <n v="0"/>
    <n v="0"/>
    <n v="0.1"/>
    <n v="0"/>
    <n v="0"/>
    <n v="0.1"/>
    <n v="0"/>
    <s v="India"/>
  </r>
  <r>
    <x v="10"/>
    <x v="2"/>
    <x v="28"/>
    <x v="1"/>
    <x v="27"/>
    <x v="7"/>
    <n v="0"/>
    <n v="0"/>
    <n v="0"/>
    <n v="0"/>
    <n v="1"/>
    <n v="0"/>
    <n v="0"/>
    <n v="1"/>
    <n v="0"/>
    <s v="India"/>
  </r>
  <r>
    <x v="10"/>
    <x v="2"/>
    <x v="28"/>
    <x v="1"/>
    <x v="34"/>
    <x v="6"/>
    <n v="0"/>
    <n v="0"/>
    <n v="0"/>
    <n v="0.8"/>
    <n v="0.4"/>
    <n v="0"/>
    <n v="0"/>
    <n v="-0.4"/>
    <n v="0"/>
    <s v="India"/>
  </r>
  <r>
    <x v="5"/>
    <x v="1"/>
    <x v="92"/>
    <x v="1"/>
    <x v="14"/>
    <x v="3"/>
    <n v="0"/>
    <n v="0"/>
    <n v="0"/>
    <n v="0"/>
    <n v="0.34"/>
    <n v="0"/>
    <n v="0"/>
    <n v="0.34"/>
    <n v="0"/>
    <s v="India"/>
  </r>
  <r>
    <x v="5"/>
    <x v="1"/>
    <x v="11"/>
    <x v="1"/>
    <x v="41"/>
    <x v="6"/>
    <n v="0"/>
    <n v="0"/>
    <n v="0"/>
    <n v="0.04"/>
    <n v="0.01"/>
    <n v="0"/>
    <n v="0"/>
    <n v="-0.03"/>
    <n v="0"/>
    <s v="India"/>
  </r>
  <r>
    <x v="10"/>
    <x v="2"/>
    <x v="28"/>
    <x v="1"/>
    <x v="30"/>
    <x v="5"/>
    <n v="0.88"/>
    <n v="1.42"/>
    <n v="0"/>
    <n v="1180.4100000000001"/>
    <n v="3091.14"/>
    <n v="0"/>
    <n v="0.53999999999999992"/>
    <n v="1910.7299999999998"/>
    <n v="-1.42"/>
    <s v="India"/>
  </r>
  <r>
    <x v="5"/>
    <x v="1"/>
    <x v="11"/>
    <x v="1"/>
    <x v="23"/>
    <x v="1"/>
    <n v="0"/>
    <n v="0.08"/>
    <n v="0"/>
    <n v="0"/>
    <n v="28.49"/>
    <n v="0"/>
    <n v="0.08"/>
    <n v="28.49"/>
    <n v="-0.08"/>
    <s v="India"/>
  </r>
  <r>
    <x v="5"/>
    <x v="1"/>
    <x v="11"/>
    <x v="1"/>
    <x v="42"/>
    <x v="1"/>
    <n v="0"/>
    <n v="0.21"/>
    <n v="0"/>
    <n v="0"/>
    <n v="44.18"/>
    <n v="0"/>
    <n v="0.21"/>
    <n v="44.18"/>
    <n v="-0.21"/>
    <s v="India"/>
  </r>
  <r>
    <x v="5"/>
    <x v="1"/>
    <x v="11"/>
    <x v="1"/>
    <x v="24"/>
    <x v="4"/>
    <n v="0"/>
    <n v="0.01"/>
    <n v="0"/>
    <n v="4.25"/>
    <n v="4.4800000000000004"/>
    <n v="0"/>
    <n v="0.01"/>
    <n v="0.23000000000000043"/>
    <n v="-0.01"/>
    <s v="India"/>
  </r>
  <r>
    <x v="5"/>
    <x v="1"/>
    <x v="11"/>
    <x v="1"/>
    <x v="15"/>
    <x v="0"/>
    <n v="0"/>
    <n v="0"/>
    <n v="0"/>
    <n v="0.05"/>
    <n v="0"/>
    <n v="0"/>
    <n v="0"/>
    <n v="-0.05"/>
    <n v="0"/>
    <s v="India"/>
  </r>
  <r>
    <x v="10"/>
    <x v="2"/>
    <x v="28"/>
    <x v="1"/>
    <x v="37"/>
    <x v="3"/>
    <n v="0"/>
    <n v="0.03"/>
    <n v="0"/>
    <n v="0"/>
    <n v="13.16"/>
    <n v="0"/>
    <n v="0.03"/>
    <n v="13.16"/>
    <n v="-0.03"/>
    <s v="India"/>
  </r>
  <r>
    <x v="5"/>
    <x v="1"/>
    <x v="11"/>
    <x v="1"/>
    <x v="7"/>
    <x v="5"/>
    <n v="0.02"/>
    <n v="0"/>
    <n v="0"/>
    <n v="11.54"/>
    <n v="3.2"/>
    <n v="0"/>
    <n v="-0.02"/>
    <n v="-8.34"/>
    <n v="0"/>
    <s v="India"/>
  </r>
  <r>
    <x v="5"/>
    <x v="1"/>
    <x v="11"/>
    <x v="1"/>
    <x v="30"/>
    <x v="5"/>
    <n v="0"/>
    <n v="0.02"/>
    <n v="0"/>
    <n v="0.01"/>
    <n v="13.25"/>
    <n v="0"/>
    <n v="0.02"/>
    <n v="13.24"/>
    <n v="-0.02"/>
    <s v="India"/>
  </r>
  <r>
    <x v="10"/>
    <x v="2"/>
    <x v="28"/>
    <x v="1"/>
    <x v="29"/>
    <x v="7"/>
    <n v="0.01"/>
    <n v="0"/>
    <n v="0"/>
    <n v="2.92"/>
    <n v="0.16"/>
    <n v="0"/>
    <n v="-0.01"/>
    <n v="-2.76"/>
    <n v="0"/>
    <s v="India"/>
  </r>
  <r>
    <x v="5"/>
    <x v="1"/>
    <x v="11"/>
    <x v="1"/>
    <x v="20"/>
    <x v="3"/>
    <n v="0"/>
    <n v="0.01"/>
    <n v="0"/>
    <n v="0"/>
    <n v="2.0699999999999998"/>
    <n v="0"/>
    <n v="0.01"/>
    <n v="2.0699999999999998"/>
    <n v="-0.01"/>
    <s v="India"/>
  </r>
  <r>
    <x v="5"/>
    <x v="1"/>
    <x v="11"/>
    <x v="1"/>
    <x v="40"/>
    <x v="6"/>
    <n v="0.02"/>
    <n v="0.01"/>
    <n v="0"/>
    <n v="1.64"/>
    <n v="0.38"/>
    <n v="0"/>
    <n v="-0.01"/>
    <n v="-1.2599999999999998"/>
    <n v="-0.01"/>
    <s v="India"/>
  </r>
  <r>
    <x v="10"/>
    <x v="2"/>
    <x v="28"/>
    <x v="1"/>
    <x v="38"/>
    <x v="5"/>
    <n v="0"/>
    <n v="0"/>
    <n v="0"/>
    <n v="0.01"/>
    <n v="0"/>
    <n v="0"/>
    <n v="0"/>
    <n v="-0.01"/>
    <n v="0"/>
    <s v="India"/>
  </r>
  <r>
    <x v="5"/>
    <x v="1"/>
    <x v="9"/>
    <x v="1"/>
    <x v="38"/>
    <x v="5"/>
    <n v="0"/>
    <n v="0"/>
    <n v="0"/>
    <n v="0"/>
    <n v="0.42"/>
    <n v="0"/>
    <n v="0"/>
    <n v="0.42"/>
    <n v="0"/>
    <s v="India"/>
  </r>
  <r>
    <x v="5"/>
    <x v="1"/>
    <x v="9"/>
    <x v="1"/>
    <x v="28"/>
    <x v="5"/>
    <n v="0.01"/>
    <n v="0"/>
    <n v="0"/>
    <n v="3"/>
    <n v="0"/>
    <n v="0"/>
    <n v="-0.01"/>
    <n v="-3"/>
    <n v="0"/>
    <s v="India"/>
  </r>
  <r>
    <x v="10"/>
    <x v="2"/>
    <x v="42"/>
    <x v="1"/>
    <x v="39"/>
    <x v="7"/>
    <n v="0"/>
    <n v="0"/>
    <n v="0"/>
    <n v="0"/>
    <n v="3.5"/>
    <n v="0"/>
    <n v="0"/>
    <n v="3.5"/>
    <n v="0"/>
    <s v="India"/>
  </r>
  <r>
    <x v="5"/>
    <x v="1"/>
    <x v="9"/>
    <x v="1"/>
    <x v="35"/>
    <x v="0"/>
    <n v="0.01"/>
    <n v="0"/>
    <n v="0"/>
    <n v="24.74"/>
    <n v="0.23"/>
    <n v="0"/>
    <n v="-0.01"/>
    <n v="-24.509999999999998"/>
    <n v="0"/>
    <s v="India"/>
  </r>
  <r>
    <x v="5"/>
    <x v="1"/>
    <x v="9"/>
    <x v="1"/>
    <x v="37"/>
    <x v="3"/>
    <n v="0.03"/>
    <n v="0.03"/>
    <n v="0"/>
    <n v="13.73"/>
    <n v="11.32"/>
    <n v="0"/>
    <n v="0"/>
    <n v="-2.41"/>
    <n v="-0.03"/>
    <s v="India"/>
  </r>
  <r>
    <x v="5"/>
    <x v="1"/>
    <x v="9"/>
    <x v="1"/>
    <x v="17"/>
    <x v="5"/>
    <n v="0"/>
    <n v="0.05"/>
    <n v="0"/>
    <n v="0"/>
    <n v="6.2"/>
    <n v="0"/>
    <n v="0.05"/>
    <n v="6.2"/>
    <n v="-0.05"/>
    <s v="India"/>
  </r>
  <r>
    <x v="10"/>
    <x v="2"/>
    <x v="42"/>
    <x v="1"/>
    <x v="30"/>
    <x v="5"/>
    <n v="0"/>
    <n v="0.05"/>
    <n v="0"/>
    <n v="0"/>
    <n v="76.59"/>
    <n v="0"/>
    <n v="0.05"/>
    <n v="76.59"/>
    <n v="-0.05"/>
    <s v="India"/>
  </r>
  <r>
    <x v="10"/>
    <x v="2"/>
    <x v="42"/>
    <x v="1"/>
    <x v="9"/>
    <x v="6"/>
    <n v="0"/>
    <n v="0.03"/>
    <n v="0"/>
    <n v="0"/>
    <n v="9.9600000000000009"/>
    <n v="0"/>
    <n v="0.03"/>
    <n v="9.9600000000000009"/>
    <n v="-0.03"/>
    <s v="India"/>
  </r>
  <r>
    <x v="5"/>
    <x v="1"/>
    <x v="9"/>
    <x v="1"/>
    <x v="30"/>
    <x v="5"/>
    <n v="0"/>
    <n v="0"/>
    <n v="0"/>
    <n v="0"/>
    <n v="0.02"/>
    <n v="0"/>
    <n v="0"/>
    <n v="0.02"/>
    <n v="0"/>
    <s v="India"/>
  </r>
  <r>
    <x v="5"/>
    <x v="1"/>
    <x v="9"/>
    <x v="1"/>
    <x v="20"/>
    <x v="3"/>
    <n v="0"/>
    <n v="0"/>
    <n v="0"/>
    <n v="0"/>
    <n v="0.73"/>
    <n v="0"/>
    <n v="0"/>
    <n v="0.73"/>
    <n v="0"/>
    <s v="India"/>
  </r>
  <r>
    <x v="10"/>
    <x v="2"/>
    <x v="42"/>
    <x v="1"/>
    <x v="37"/>
    <x v="3"/>
    <n v="0"/>
    <n v="0.05"/>
    <n v="0"/>
    <n v="0"/>
    <n v="17.39"/>
    <n v="0"/>
    <n v="0.05"/>
    <n v="17.39"/>
    <n v="-0.05"/>
    <s v="India"/>
  </r>
  <r>
    <x v="5"/>
    <x v="1"/>
    <x v="9"/>
    <x v="1"/>
    <x v="13"/>
    <x v="3"/>
    <n v="0"/>
    <n v="0"/>
    <n v="0"/>
    <n v="0.61"/>
    <n v="0.83"/>
    <n v="0"/>
    <n v="0"/>
    <n v="0.21999999999999997"/>
    <n v="0"/>
    <s v="India"/>
  </r>
  <r>
    <x v="10"/>
    <x v="2"/>
    <x v="42"/>
    <x v="1"/>
    <x v="35"/>
    <x v="0"/>
    <n v="0"/>
    <n v="0.06"/>
    <n v="0"/>
    <n v="0"/>
    <n v="24.13"/>
    <n v="0"/>
    <n v="0.06"/>
    <n v="24.13"/>
    <n v="-0.06"/>
    <s v="India"/>
  </r>
  <r>
    <x v="5"/>
    <x v="1"/>
    <x v="119"/>
    <x v="1"/>
    <x v="3"/>
    <x v="2"/>
    <n v="0"/>
    <n v="0"/>
    <n v="0"/>
    <n v="0"/>
    <n v="1.93"/>
    <n v="0"/>
    <n v="0"/>
    <n v="1.93"/>
    <n v="0"/>
    <s v="India"/>
  </r>
  <r>
    <x v="5"/>
    <x v="1"/>
    <x v="119"/>
    <x v="1"/>
    <x v="5"/>
    <x v="3"/>
    <n v="0"/>
    <n v="0"/>
    <n v="0"/>
    <n v="0"/>
    <n v="0.64"/>
    <n v="0"/>
    <n v="0"/>
    <n v="0.64"/>
    <n v="0"/>
    <s v="India"/>
  </r>
  <r>
    <x v="10"/>
    <x v="2"/>
    <x v="42"/>
    <x v="1"/>
    <x v="33"/>
    <x v="7"/>
    <n v="0"/>
    <n v="0.31"/>
    <n v="0"/>
    <n v="0"/>
    <n v="106.07"/>
    <n v="0"/>
    <n v="0.31"/>
    <n v="106.07"/>
    <n v="-0.31"/>
    <s v="India"/>
  </r>
  <r>
    <x v="5"/>
    <x v="1"/>
    <x v="119"/>
    <x v="1"/>
    <x v="11"/>
    <x v="3"/>
    <n v="0"/>
    <n v="0.01"/>
    <n v="0"/>
    <n v="0"/>
    <n v="1.98"/>
    <n v="0"/>
    <n v="0.01"/>
    <n v="1.98"/>
    <n v="-0.01"/>
    <s v="India"/>
  </r>
  <r>
    <x v="5"/>
    <x v="1"/>
    <x v="119"/>
    <x v="1"/>
    <x v="6"/>
    <x v="4"/>
    <n v="0"/>
    <n v="0"/>
    <n v="0"/>
    <n v="0"/>
    <n v="0.04"/>
    <n v="0"/>
    <n v="0"/>
    <n v="0.04"/>
    <n v="0"/>
    <s v="India"/>
  </r>
  <r>
    <x v="5"/>
    <x v="1"/>
    <x v="119"/>
    <x v="1"/>
    <x v="32"/>
    <x v="0"/>
    <n v="0"/>
    <n v="0"/>
    <n v="0"/>
    <n v="0"/>
    <n v="2.25"/>
    <n v="0"/>
    <n v="0"/>
    <n v="2.25"/>
    <n v="0"/>
    <s v="India"/>
  </r>
  <r>
    <x v="10"/>
    <x v="2"/>
    <x v="42"/>
    <x v="1"/>
    <x v="26"/>
    <x v="0"/>
    <n v="0"/>
    <n v="0.12"/>
    <n v="0"/>
    <n v="0"/>
    <n v="210"/>
    <n v="0"/>
    <n v="0.12"/>
    <n v="210"/>
    <n v="-0.12"/>
    <s v="India"/>
  </r>
  <r>
    <x v="22"/>
    <x v="5"/>
    <x v="187"/>
    <x v="2"/>
    <x v="22"/>
    <x v="6"/>
    <n v="0"/>
    <n v="0.04"/>
    <n v="0"/>
    <n v="0"/>
    <n v="10"/>
    <n v="0"/>
    <n v="0.04"/>
    <n v="10"/>
    <n v="-0.04"/>
    <s v="India"/>
  </r>
  <r>
    <x v="22"/>
    <x v="5"/>
    <x v="187"/>
    <x v="2"/>
    <x v="12"/>
    <x v="4"/>
    <n v="0"/>
    <n v="0"/>
    <n v="0"/>
    <n v="21.3"/>
    <n v="0"/>
    <n v="0"/>
    <n v="0"/>
    <n v="-21.3"/>
    <n v="0"/>
    <s v="India"/>
  </r>
  <r>
    <x v="22"/>
    <x v="5"/>
    <x v="187"/>
    <x v="2"/>
    <x v="2"/>
    <x v="0"/>
    <n v="0"/>
    <n v="7.0000000000000007E-2"/>
    <n v="0"/>
    <n v="0"/>
    <n v="150"/>
    <n v="0"/>
    <n v="7.0000000000000007E-2"/>
    <n v="150"/>
    <n v="-7.0000000000000007E-2"/>
    <s v="India"/>
  </r>
  <r>
    <x v="22"/>
    <x v="5"/>
    <x v="188"/>
    <x v="2"/>
    <x v="6"/>
    <x v="4"/>
    <n v="0"/>
    <n v="0.01"/>
    <n v="0"/>
    <n v="0"/>
    <n v="27"/>
    <n v="0"/>
    <n v="0.01"/>
    <n v="27"/>
    <n v="-0.01"/>
    <s v="India"/>
  </r>
  <r>
    <x v="22"/>
    <x v="5"/>
    <x v="189"/>
    <x v="2"/>
    <x v="6"/>
    <x v="4"/>
    <n v="0"/>
    <n v="0"/>
    <n v="0"/>
    <n v="5"/>
    <n v="0"/>
    <n v="0"/>
    <n v="0"/>
    <n v="-5"/>
    <n v="0"/>
    <s v="India"/>
  </r>
  <r>
    <x v="22"/>
    <x v="5"/>
    <x v="189"/>
    <x v="2"/>
    <x v="11"/>
    <x v="3"/>
    <n v="0"/>
    <n v="0"/>
    <n v="0"/>
    <n v="17"/>
    <n v="0"/>
    <n v="0"/>
    <n v="0"/>
    <n v="-17"/>
    <n v="0"/>
    <s v="India"/>
  </r>
  <r>
    <x v="22"/>
    <x v="5"/>
    <x v="190"/>
    <x v="2"/>
    <x v="21"/>
    <x v="4"/>
    <n v="0.02"/>
    <n v="0"/>
    <n v="0"/>
    <n v="50"/>
    <n v="0"/>
    <n v="0"/>
    <n v="-0.02"/>
    <n v="-50"/>
    <n v="0"/>
    <s v="India"/>
  </r>
  <r>
    <x v="22"/>
    <x v="5"/>
    <x v="190"/>
    <x v="2"/>
    <x v="6"/>
    <x v="4"/>
    <n v="7.0000000000000007E-2"/>
    <n v="0"/>
    <n v="0"/>
    <n v="264"/>
    <n v="0"/>
    <n v="0"/>
    <n v="-7.0000000000000007E-2"/>
    <n v="-264"/>
    <n v="0"/>
    <s v="India"/>
  </r>
  <r>
    <x v="22"/>
    <x v="5"/>
    <x v="161"/>
    <x v="2"/>
    <x v="0"/>
    <x v="0"/>
    <n v="0"/>
    <n v="0.01"/>
    <n v="0"/>
    <n v="0"/>
    <n v="9"/>
    <n v="0"/>
    <n v="0.01"/>
    <n v="9"/>
    <n v="-0.01"/>
    <s v="India"/>
  </r>
  <r>
    <x v="22"/>
    <x v="5"/>
    <x v="161"/>
    <x v="2"/>
    <x v="22"/>
    <x v="6"/>
    <n v="0"/>
    <n v="0.1"/>
    <n v="0"/>
    <n v="0"/>
    <n v="21.56"/>
    <n v="0"/>
    <n v="0.1"/>
    <n v="21.56"/>
    <n v="-0.1"/>
    <s v="India"/>
  </r>
  <r>
    <x v="22"/>
    <x v="5"/>
    <x v="161"/>
    <x v="2"/>
    <x v="21"/>
    <x v="4"/>
    <n v="0"/>
    <n v="0"/>
    <n v="0"/>
    <n v="6.99"/>
    <n v="0"/>
    <n v="0"/>
    <n v="0"/>
    <n v="-6.99"/>
    <n v="0"/>
    <s v="India"/>
  </r>
  <r>
    <x v="22"/>
    <x v="5"/>
    <x v="161"/>
    <x v="2"/>
    <x v="12"/>
    <x v="4"/>
    <n v="0.02"/>
    <n v="0.08"/>
    <n v="0"/>
    <n v="124.71"/>
    <n v="269.91000000000003"/>
    <n v="0"/>
    <n v="0.06"/>
    <n v="145.20000000000005"/>
    <n v="-0.08"/>
    <s v="India"/>
  </r>
  <r>
    <x v="22"/>
    <x v="5"/>
    <x v="161"/>
    <x v="2"/>
    <x v="17"/>
    <x v="5"/>
    <n v="0.08"/>
    <n v="0"/>
    <n v="0"/>
    <n v="2.34"/>
    <n v="0"/>
    <n v="0"/>
    <n v="-0.08"/>
    <n v="-2.34"/>
    <n v="0"/>
    <s v="India"/>
  </r>
  <r>
    <x v="5"/>
    <x v="1"/>
    <x v="119"/>
    <x v="1"/>
    <x v="4"/>
    <x v="3"/>
    <n v="0"/>
    <n v="0.06"/>
    <n v="0"/>
    <n v="0.06"/>
    <n v="24.61"/>
    <n v="0"/>
    <n v="0.06"/>
    <n v="24.55"/>
    <n v="-0.06"/>
    <s v="India"/>
  </r>
  <r>
    <x v="22"/>
    <x v="5"/>
    <x v="161"/>
    <x v="2"/>
    <x v="2"/>
    <x v="0"/>
    <n v="0"/>
    <n v="0.19"/>
    <n v="0"/>
    <n v="0"/>
    <n v="400"/>
    <n v="0"/>
    <n v="0.19"/>
    <n v="400"/>
    <n v="-0.19"/>
    <s v="India"/>
  </r>
  <r>
    <x v="22"/>
    <x v="5"/>
    <x v="161"/>
    <x v="2"/>
    <x v="6"/>
    <x v="4"/>
    <n v="0.08"/>
    <n v="0"/>
    <n v="0"/>
    <n v="744.2"/>
    <n v="29.86"/>
    <n v="0"/>
    <n v="-0.08"/>
    <n v="-714.34"/>
    <n v="0"/>
    <s v="India"/>
  </r>
  <r>
    <x v="22"/>
    <x v="5"/>
    <x v="161"/>
    <x v="2"/>
    <x v="3"/>
    <x v="2"/>
    <n v="0.16"/>
    <n v="0.24"/>
    <n v="0"/>
    <n v="176.1"/>
    <n v="242.8"/>
    <n v="0"/>
    <n v="7.9999999999999988E-2"/>
    <n v="66.700000000000017"/>
    <n v="-0.24"/>
    <s v="India"/>
  </r>
  <r>
    <x v="5"/>
    <x v="1"/>
    <x v="119"/>
    <x v="1"/>
    <x v="16"/>
    <x v="0"/>
    <n v="0"/>
    <n v="0"/>
    <n v="0"/>
    <n v="0"/>
    <n v="3.69"/>
    <n v="0"/>
    <n v="0"/>
    <n v="3.69"/>
    <n v="0"/>
    <s v="India"/>
  </r>
  <r>
    <x v="19"/>
    <x v="1"/>
    <x v="114"/>
    <x v="1"/>
    <x v="0"/>
    <x v="0"/>
    <n v="0.04"/>
    <n v="0.02"/>
    <n v="0"/>
    <n v="27.35"/>
    <n v="8.4499999999999993"/>
    <n v="0"/>
    <n v="-0.02"/>
    <n v="-18.900000000000002"/>
    <n v="-0.02"/>
    <s v="India"/>
  </r>
  <r>
    <x v="5"/>
    <x v="1"/>
    <x v="119"/>
    <x v="1"/>
    <x v="15"/>
    <x v="0"/>
    <n v="0"/>
    <n v="0"/>
    <n v="0"/>
    <n v="0"/>
    <n v="0.16"/>
    <n v="0"/>
    <n v="0"/>
    <n v="0.16"/>
    <n v="0"/>
    <s v="India"/>
  </r>
  <r>
    <x v="5"/>
    <x v="1"/>
    <x v="119"/>
    <x v="1"/>
    <x v="13"/>
    <x v="3"/>
    <n v="0"/>
    <n v="0.02"/>
    <n v="0"/>
    <n v="0"/>
    <n v="5"/>
    <n v="0"/>
    <n v="0.02"/>
    <n v="5"/>
    <n v="-0.02"/>
    <s v="India"/>
  </r>
  <r>
    <x v="5"/>
    <x v="1"/>
    <x v="119"/>
    <x v="1"/>
    <x v="27"/>
    <x v="7"/>
    <n v="3.01"/>
    <n v="0"/>
    <n v="0"/>
    <n v="329.5"/>
    <n v="0"/>
    <n v="0"/>
    <n v="-3.01"/>
    <n v="-329.5"/>
    <n v="0"/>
    <s v="India"/>
  </r>
  <r>
    <x v="5"/>
    <x v="1"/>
    <x v="119"/>
    <x v="1"/>
    <x v="0"/>
    <x v="0"/>
    <n v="0"/>
    <n v="0.01"/>
    <n v="0"/>
    <n v="0"/>
    <n v="8.1"/>
    <n v="0"/>
    <n v="0.01"/>
    <n v="8.1"/>
    <n v="-0.01"/>
    <s v="India"/>
  </r>
  <r>
    <x v="5"/>
    <x v="1"/>
    <x v="119"/>
    <x v="1"/>
    <x v="14"/>
    <x v="3"/>
    <n v="0"/>
    <n v="0"/>
    <n v="0"/>
    <n v="0"/>
    <n v="0.72"/>
    <n v="0"/>
    <n v="0"/>
    <n v="0.72"/>
    <n v="0"/>
    <s v="India"/>
  </r>
  <r>
    <x v="19"/>
    <x v="1"/>
    <x v="114"/>
    <x v="1"/>
    <x v="16"/>
    <x v="0"/>
    <n v="0.01"/>
    <n v="0.02"/>
    <n v="0"/>
    <n v="6.87"/>
    <n v="14"/>
    <n v="0"/>
    <n v="0.01"/>
    <n v="7.13"/>
    <n v="-0.02"/>
    <s v="India"/>
  </r>
  <r>
    <x v="19"/>
    <x v="1"/>
    <x v="114"/>
    <x v="1"/>
    <x v="35"/>
    <x v="0"/>
    <n v="0"/>
    <n v="0.01"/>
    <n v="0"/>
    <n v="1.31"/>
    <n v="3.64"/>
    <n v="0"/>
    <n v="0.01"/>
    <n v="2.33"/>
    <n v="-0.01"/>
    <s v="India"/>
  </r>
  <r>
    <x v="5"/>
    <x v="1"/>
    <x v="34"/>
    <x v="1"/>
    <x v="3"/>
    <x v="2"/>
    <n v="0.15"/>
    <n v="0.01"/>
    <n v="0"/>
    <n v="97.25"/>
    <n v="13.26"/>
    <n v="0"/>
    <n v="-0.13999999999999999"/>
    <n v="-83.99"/>
    <n v="-0.01"/>
    <s v="India"/>
  </r>
  <r>
    <x v="19"/>
    <x v="1"/>
    <x v="114"/>
    <x v="1"/>
    <x v="29"/>
    <x v="7"/>
    <n v="0"/>
    <n v="0"/>
    <n v="0"/>
    <n v="0.01"/>
    <n v="0"/>
    <n v="0"/>
    <n v="0"/>
    <n v="-0.01"/>
    <n v="0"/>
    <s v="India"/>
  </r>
  <r>
    <x v="19"/>
    <x v="1"/>
    <x v="114"/>
    <x v="1"/>
    <x v="2"/>
    <x v="0"/>
    <n v="0.28999999999999998"/>
    <n v="0.06"/>
    <n v="0"/>
    <n v="323.22000000000003"/>
    <n v="47.58"/>
    <n v="0"/>
    <n v="-0.22999999999999998"/>
    <n v="-275.64000000000004"/>
    <n v="-0.06"/>
    <s v="India"/>
  </r>
  <r>
    <x v="19"/>
    <x v="1"/>
    <x v="114"/>
    <x v="1"/>
    <x v="32"/>
    <x v="0"/>
    <n v="0.01"/>
    <n v="0"/>
    <n v="0"/>
    <n v="1.9"/>
    <n v="0.12"/>
    <n v="0"/>
    <n v="-0.01"/>
    <n v="-1.7799999999999998"/>
    <n v="0"/>
    <s v="India"/>
  </r>
  <r>
    <x v="5"/>
    <x v="1"/>
    <x v="34"/>
    <x v="1"/>
    <x v="5"/>
    <x v="3"/>
    <n v="0.02"/>
    <n v="0"/>
    <n v="0"/>
    <n v="8.9600000000000009"/>
    <n v="0"/>
    <n v="0"/>
    <n v="-0.02"/>
    <n v="-8.9600000000000009"/>
    <n v="0"/>
    <s v="India"/>
  </r>
  <r>
    <x v="5"/>
    <x v="1"/>
    <x v="34"/>
    <x v="1"/>
    <x v="42"/>
    <x v="1"/>
    <n v="7.0000000000000007E-2"/>
    <n v="0"/>
    <n v="0"/>
    <n v="28.5"/>
    <n v="0"/>
    <n v="0"/>
    <n v="-7.0000000000000007E-2"/>
    <n v="-28.5"/>
    <n v="0"/>
    <s v="India"/>
  </r>
  <r>
    <x v="5"/>
    <x v="1"/>
    <x v="34"/>
    <x v="1"/>
    <x v="38"/>
    <x v="5"/>
    <n v="0.01"/>
    <n v="0"/>
    <n v="0"/>
    <n v="6.01"/>
    <n v="0.03"/>
    <n v="0"/>
    <n v="-0.01"/>
    <n v="-5.9799999999999995"/>
    <n v="0"/>
    <s v="India"/>
  </r>
  <r>
    <x v="19"/>
    <x v="1"/>
    <x v="111"/>
    <x v="1"/>
    <x v="8"/>
    <x v="3"/>
    <n v="0.47"/>
    <n v="0.16"/>
    <n v="0"/>
    <n v="419.74"/>
    <n v="73.84"/>
    <n v="0"/>
    <n v="-0.30999999999999994"/>
    <n v="-345.9"/>
    <n v="-0.16"/>
    <s v="India"/>
  </r>
  <r>
    <x v="5"/>
    <x v="1"/>
    <x v="34"/>
    <x v="1"/>
    <x v="24"/>
    <x v="4"/>
    <n v="0"/>
    <n v="0.01"/>
    <n v="0"/>
    <n v="0"/>
    <n v="1.92"/>
    <n v="0"/>
    <n v="0.01"/>
    <n v="1.92"/>
    <n v="-0.01"/>
    <s v="India"/>
  </r>
  <r>
    <x v="5"/>
    <x v="1"/>
    <x v="34"/>
    <x v="1"/>
    <x v="6"/>
    <x v="4"/>
    <n v="0"/>
    <n v="0"/>
    <n v="0"/>
    <n v="1.57"/>
    <n v="0"/>
    <n v="0"/>
    <n v="0"/>
    <n v="-1.57"/>
    <n v="0"/>
    <s v="India"/>
  </r>
  <r>
    <x v="5"/>
    <x v="1"/>
    <x v="34"/>
    <x v="1"/>
    <x v="32"/>
    <x v="0"/>
    <n v="0"/>
    <n v="0"/>
    <n v="0"/>
    <n v="3"/>
    <n v="0"/>
    <n v="0"/>
    <n v="0"/>
    <n v="-3"/>
    <n v="0"/>
    <s v="India"/>
  </r>
  <r>
    <x v="19"/>
    <x v="1"/>
    <x v="111"/>
    <x v="1"/>
    <x v="2"/>
    <x v="0"/>
    <n v="0"/>
    <n v="0.08"/>
    <n v="0"/>
    <n v="0"/>
    <n v="162.72"/>
    <n v="0"/>
    <n v="0.08"/>
    <n v="162.72"/>
    <n v="-0.08"/>
    <s v="India"/>
  </r>
  <r>
    <x v="5"/>
    <x v="1"/>
    <x v="34"/>
    <x v="1"/>
    <x v="37"/>
    <x v="3"/>
    <n v="0.04"/>
    <n v="0"/>
    <n v="0"/>
    <n v="18"/>
    <n v="0"/>
    <n v="0"/>
    <n v="-0.04"/>
    <n v="-18"/>
    <n v="0"/>
    <s v="India"/>
  </r>
  <r>
    <x v="19"/>
    <x v="1"/>
    <x v="146"/>
    <x v="2"/>
    <x v="40"/>
    <x v="6"/>
    <n v="0"/>
    <n v="0"/>
    <n v="0"/>
    <n v="0.1"/>
    <n v="0"/>
    <n v="0"/>
    <n v="0"/>
    <n v="-0.1"/>
    <n v="0"/>
    <s v="India"/>
  </r>
  <r>
    <x v="5"/>
    <x v="1"/>
    <x v="34"/>
    <x v="1"/>
    <x v="10"/>
    <x v="3"/>
    <n v="0.21"/>
    <n v="0"/>
    <n v="0"/>
    <n v="264.72000000000003"/>
    <n v="1"/>
    <n v="0"/>
    <n v="-0.21"/>
    <n v="-263.72000000000003"/>
    <n v="0"/>
    <s v="India"/>
  </r>
  <r>
    <x v="5"/>
    <x v="1"/>
    <x v="34"/>
    <x v="1"/>
    <x v="17"/>
    <x v="5"/>
    <n v="0.01"/>
    <n v="0.01"/>
    <n v="0"/>
    <n v="9"/>
    <n v="0.48"/>
    <n v="0"/>
    <n v="0"/>
    <n v="-8.52"/>
    <n v="-0.01"/>
    <s v="India"/>
  </r>
  <r>
    <x v="19"/>
    <x v="1"/>
    <x v="146"/>
    <x v="2"/>
    <x v="19"/>
    <x v="4"/>
    <n v="0.11"/>
    <n v="0.02"/>
    <n v="0"/>
    <n v="309.49"/>
    <n v="34.119999999999997"/>
    <n v="0"/>
    <n v="-0.09"/>
    <n v="-275.37"/>
    <n v="-0.02"/>
    <s v="India"/>
  </r>
  <r>
    <x v="5"/>
    <x v="1"/>
    <x v="34"/>
    <x v="1"/>
    <x v="19"/>
    <x v="4"/>
    <n v="0"/>
    <n v="0"/>
    <n v="0"/>
    <n v="0"/>
    <n v="0"/>
    <n v="0"/>
    <n v="0"/>
    <n v="0"/>
    <n v="0"/>
    <s v="India"/>
  </r>
  <r>
    <x v="5"/>
    <x v="1"/>
    <x v="34"/>
    <x v="1"/>
    <x v="13"/>
    <x v="3"/>
    <n v="0.01"/>
    <n v="0"/>
    <n v="0"/>
    <n v="1.26"/>
    <n v="0.02"/>
    <n v="0"/>
    <n v="-0.01"/>
    <n v="-1.24"/>
    <n v="0"/>
    <s v="India"/>
  </r>
  <r>
    <x v="19"/>
    <x v="1"/>
    <x v="146"/>
    <x v="2"/>
    <x v="35"/>
    <x v="0"/>
    <n v="0"/>
    <n v="0"/>
    <n v="0"/>
    <n v="0.5"/>
    <n v="0"/>
    <n v="0"/>
    <n v="0"/>
    <n v="-0.5"/>
    <n v="0"/>
    <s v="India"/>
  </r>
  <r>
    <x v="5"/>
    <x v="1"/>
    <x v="34"/>
    <x v="1"/>
    <x v="40"/>
    <x v="6"/>
    <n v="0"/>
    <n v="0"/>
    <n v="0"/>
    <n v="0.06"/>
    <n v="0"/>
    <n v="0"/>
    <n v="0"/>
    <n v="-0.06"/>
    <n v="0"/>
    <s v="India"/>
  </r>
  <r>
    <x v="5"/>
    <x v="1"/>
    <x v="34"/>
    <x v="1"/>
    <x v="14"/>
    <x v="3"/>
    <n v="0"/>
    <n v="0.11"/>
    <n v="0"/>
    <n v="0"/>
    <n v="13.11"/>
    <n v="0"/>
    <n v="0.11"/>
    <n v="13.11"/>
    <n v="-0.11"/>
    <s v="India"/>
  </r>
  <r>
    <x v="5"/>
    <x v="1"/>
    <x v="10"/>
    <x v="1"/>
    <x v="3"/>
    <x v="2"/>
    <n v="0.06"/>
    <n v="0.03"/>
    <n v="0"/>
    <n v="45.19"/>
    <n v="26.14"/>
    <n v="0"/>
    <n v="-0.03"/>
    <n v="-19.049999999999997"/>
    <n v="-0.03"/>
    <s v="India"/>
  </r>
  <r>
    <x v="5"/>
    <x v="1"/>
    <x v="10"/>
    <x v="1"/>
    <x v="11"/>
    <x v="3"/>
    <n v="0.08"/>
    <n v="0.14000000000000001"/>
    <n v="0"/>
    <n v="20.67"/>
    <n v="13.77"/>
    <n v="0"/>
    <n v="6.0000000000000012E-2"/>
    <n v="-6.9000000000000021"/>
    <n v="-0.14000000000000001"/>
    <s v="India"/>
  </r>
  <r>
    <x v="19"/>
    <x v="1"/>
    <x v="146"/>
    <x v="2"/>
    <x v="11"/>
    <x v="3"/>
    <n v="0"/>
    <n v="0"/>
    <n v="0"/>
    <n v="0.14000000000000001"/>
    <n v="0"/>
    <n v="0"/>
    <n v="0"/>
    <n v="-0.14000000000000001"/>
    <n v="0"/>
    <s v="India"/>
  </r>
  <r>
    <x v="5"/>
    <x v="1"/>
    <x v="10"/>
    <x v="1"/>
    <x v="38"/>
    <x v="5"/>
    <n v="0"/>
    <n v="0.02"/>
    <n v="0"/>
    <n v="0"/>
    <n v="1"/>
    <n v="0"/>
    <n v="0.02"/>
    <n v="1"/>
    <n v="-0.02"/>
    <s v="India"/>
  </r>
  <r>
    <x v="5"/>
    <x v="1"/>
    <x v="10"/>
    <x v="1"/>
    <x v="24"/>
    <x v="4"/>
    <n v="0"/>
    <n v="0.03"/>
    <n v="0"/>
    <n v="1.99"/>
    <n v="47.73"/>
    <n v="0"/>
    <n v="0.03"/>
    <n v="45.739999999999995"/>
    <n v="-0.03"/>
    <s v="India"/>
  </r>
  <r>
    <x v="5"/>
    <x v="1"/>
    <x v="10"/>
    <x v="1"/>
    <x v="6"/>
    <x v="4"/>
    <n v="0.01"/>
    <n v="0"/>
    <n v="0"/>
    <n v="3.46"/>
    <n v="0"/>
    <n v="0"/>
    <n v="-0.01"/>
    <n v="-3.46"/>
    <n v="0"/>
    <s v="India"/>
  </r>
  <r>
    <x v="2"/>
    <x v="1"/>
    <x v="101"/>
    <x v="4"/>
    <x v="38"/>
    <x v="5"/>
    <n v="25.41"/>
    <n v="0"/>
    <n v="0"/>
    <n v="5614.75"/>
    <n v="0"/>
    <n v="0"/>
    <n v="-25.41"/>
    <n v="-5614.75"/>
    <n v="0"/>
    <s v="India"/>
  </r>
  <r>
    <x v="2"/>
    <x v="1"/>
    <x v="149"/>
    <x v="3"/>
    <x v="30"/>
    <x v="5"/>
    <n v="0"/>
    <n v="0"/>
    <n v="0"/>
    <n v="0.26"/>
    <n v="0.26"/>
    <n v="0"/>
    <n v="0"/>
    <n v="0"/>
    <n v="0"/>
    <s v="India"/>
  </r>
  <r>
    <x v="5"/>
    <x v="1"/>
    <x v="10"/>
    <x v="1"/>
    <x v="32"/>
    <x v="0"/>
    <n v="0.03"/>
    <n v="0.01"/>
    <n v="0"/>
    <n v="17.54"/>
    <n v="9.51"/>
    <n v="0"/>
    <n v="-1.9999999999999997E-2"/>
    <n v="-8.0299999999999994"/>
    <n v="-0.01"/>
    <s v="India"/>
  </r>
  <r>
    <x v="5"/>
    <x v="1"/>
    <x v="10"/>
    <x v="1"/>
    <x v="2"/>
    <x v="0"/>
    <n v="0"/>
    <n v="0"/>
    <n v="0"/>
    <n v="0.01"/>
    <n v="3"/>
    <n v="0"/>
    <n v="0"/>
    <n v="2.99"/>
    <n v="0"/>
    <s v="India"/>
  </r>
  <r>
    <x v="2"/>
    <x v="1"/>
    <x v="149"/>
    <x v="3"/>
    <x v="11"/>
    <x v="3"/>
    <n v="0"/>
    <n v="0"/>
    <n v="0"/>
    <n v="2.57"/>
    <n v="0"/>
    <n v="0"/>
    <n v="0"/>
    <n v="-2.57"/>
    <n v="0"/>
    <s v="India"/>
  </r>
  <r>
    <x v="2"/>
    <x v="1"/>
    <x v="149"/>
    <x v="3"/>
    <x v="3"/>
    <x v="2"/>
    <n v="0"/>
    <n v="0"/>
    <n v="0"/>
    <n v="2.95"/>
    <n v="0.89"/>
    <n v="0"/>
    <n v="0"/>
    <n v="-2.06"/>
    <n v="0"/>
    <s v="India"/>
  </r>
  <r>
    <x v="5"/>
    <x v="1"/>
    <x v="10"/>
    <x v="1"/>
    <x v="16"/>
    <x v="0"/>
    <n v="0.05"/>
    <n v="0"/>
    <n v="0"/>
    <n v="40.82"/>
    <n v="0"/>
    <n v="0"/>
    <n v="-0.05"/>
    <n v="-40.82"/>
    <n v="0"/>
    <s v="India"/>
  </r>
  <r>
    <x v="2"/>
    <x v="1"/>
    <x v="2"/>
    <x v="1"/>
    <x v="31"/>
    <x v="1"/>
    <n v="3.49"/>
    <n v="0.94"/>
    <n v="0"/>
    <n v="436.38"/>
    <n v="377.5"/>
    <n v="0"/>
    <n v="-2.5500000000000003"/>
    <n v="-58.879999999999995"/>
    <n v="-0.94"/>
    <s v="India"/>
  </r>
  <r>
    <x v="2"/>
    <x v="1"/>
    <x v="2"/>
    <x v="1"/>
    <x v="0"/>
    <x v="0"/>
    <n v="0"/>
    <n v="0"/>
    <n v="0"/>
    <n v="3"/>
    <n v="0"/>
    <n v="0"/>
    <n v="0"/>
    <n v="-3"/>
    <n v="0"/>
    <s v="India"/>
  </r>
  <r>
    <x v="5"/>
    <x v="1"/>
    <x v="10"/>
    <x v="1"/>
    <x v="37"/>
    <x v="3"/>
    <n v="0.02"/>
    <n v="0"/>
    <n v="0"/>
    <n v="7.2"/>
    <n v="0"/>
    <n v="0"/>
    <n v="-0.02"/>
    <n v="-7.2"/>
    <n v="0"/>
    <s v="India"/>
  </r>
  <r>
    <x v="2"/>
    <x v="1"/>
    <x v="2"/>
    <x v="1"/>
    <x v="36"/>
    <x v="6"/>
    <n v="0"/>
    <n v="0"/>
    <n v="0"/>
    <n v="0.03"/>
    <n v="0"/>
    <n v="0"/>
    <n v="0"/>
    <n v="-0.03"/>
    <n v="0"/>
    <s v="India"/>
  </r>
  <r>
    <x v="5"/>
    <x v="1"/>
    <x v="10"/>
    <x v="1"/>
    <x v="10"/>
    <x v="3"/>
    <n v="0.13"/>
    <n v="0.03"/>
    <n v="0"/>
    <n v="43.95"/>
    <n v="23.88"/>
    <n v="0"/>
    <n v="-0.1"/>
    <n v="-20.070000000000004"/>
    <n v="-0.03"/>
    <s v="India"/>
  </r>
  <r>
    <x v="2"/>
    <x v="1"/>
    <x v="2"/>
    <x v="1"/>
    <x v="13"/>
    <x v="3"/>
    <n v="0"/>
    <n v="0.01"/>
    <n v="0"/>
    <n v="0"/>
    <n v="0.23"/>
    <n v="0"/>
    <n v="0.01"/>
    <n v="0.23"/>
    <n v="-0.01"/>
    <s v="India"/>
  </r>
  <r>
    <x v="5"/>
    <x v="1"/>
    <x v="10"/>
    <x v="1"/>
    <x v="7"/>
    <x v="5"/>
    <n v="0.03"/>
    <n v="1.1000000000000001"/>
    <n v="0"/>
    <n v="25.96"/>
    <n v="706.82"/>
    <n v="0"/>
    <n v="1.07"/>
    <n v="680.86"/>
    <n v="-1.1000000000000001"/>
    <s v="India"/>
  </r>
  <r>
    <x v="5"/>
    <x v="1"/>
    <x v="10"/>
    <x v="1"/>
    <x v="22"/>
    <x v="6"/>
    <n v="0.01"/>
    <n v="0"/>
    <n v="0"/>
    <n v="2"/>
    <n v="0"/>
    <n v="0"/>
    <n v="-0.01"/>
    <n v="-2"/>
    <n v="0"/>
    <s v="India"/>
  </r>
  <r>
    <x v="2"/>
    <x v="1"/>
    <x v="2"/>
    <x v="1"/>
    <x v="16"/>
    <x v="0"/>
    <n v="0"/>
    <n v="0"/>
    <n v="0"/>
    <n v="2.0499999999999998"/>
    <n v="0"/>
    <n v="0"/>
    <n v="0"/>
    <n v="-2.0499999999999998"/>
    <n v="0"/>
    <s v="India"/>
  </r>
  <r>
    <x v="2"/>
    <x v="1"/>
    <x v="2"/>
    <x v="1"/>
    <x v="35"/>
    <x v="0"/>
    <n v="0"/>
    <n v="0"/>
    <n v="0"/>
    <n v="0.06"/>
    <n v="0"/>
    <n v="0"/>
    <n v="0"/>
    <n v="-0.06"/>
    <n v="0"/>
    <s v="India"/>
  </r>
  <r>
    <x v="5"/>
    <x v="1"/>
    <x v="10"/>
    <x v="1"/>
    <x v="27"/>
    <x v="7"/>
    <n v="1.38"/>
    <n v="0"/>
    <n v="0"/>
    <n v="161"/>
    <n v="0"/>
    <n v="0"/>
    <n v="-1.38"/>
    <n v="-161"/>
    <n v="0"/>
    <s v="India"/>
  </r>
  <r>
    <x v="5"/>
    <x v="1"/>
    <x v="10"/>
    <x v="1"/>
    <x v="0"/>
    <x v="0"/>
    <n v="7.69"/>
    <n v="0"/>
    <n v="0"/>
    <n v="6397.56"/>
    <n v="1.95"/>
    <n v="0"/>
    <n v="-7.69"/>
    <n v="-6395.6100000000006"/>
    <n v="0"/>
    <s v="India"/>
  </r>
  <r>
    <x v="2"/>
    <x v="1"/>
    <x v="2"/>
    <x v="1"/>
    <x v="32"/>
    <x v="0"/>
    <n v="0"/>
    <n v="0"/>
    <n v="0"/>
    <n v="0.01"/>
    <n v="0.01"/>
    <n v="0"/>
    <n v="0"/>
    <n v="0"/>
    <n v="0"/>
    <s v="India"/>
  </r>
  <r>
    <x v="2"/>
    <x v="1"/>
    <x v="2"/>
    <x v="1"/>
    <x v="6"/>
    <x v="4"/>
    <n v="0.05"/>
    <n v="0.06"/>
    <n v="0"/>
    <n v="2.5099999999999998"/>
    <n v="3.35"/>
    <n v="0"/>
    <n v="9.999999999999995E-3"/>
    <n v="0.8400000000000003"/>
    <n v="-0.06"/>
    <s v="India"/>
  </r>
  <r>
    <x v="2"/>
    <x v="1"/>
    <x v="2"/>
    <x v="1"/>
    <x v="38"/>
    <x v="5"/>
    <n v="2.11"/>
    <n v="0"/>
    <n v="0"/>
    <n v="459.12"/>
    <n v="0"/>
    <n v="0"/>
    <n v="-2.11"/>
    <n v="-459.12"/>
    <n v="0"/>
    <s v="India"/>
  </r>
  <r>
    <x v="5"/>
    <x v="1"/>
    <x v="15"/>
    <x v="1"/>
    <x v="23"/>
    <x v="1"/>
    <n v="0"/>
    <n v="0.03"/>
    <n v="0"/>
    <n v="0"/>
    <n v="5"/>
    <n v="0"/>
    <n v="0.03"/>
    <n v="5"/>
    <n v="-0.03"/>
    <s v="India"/>
  </r>
  <r>
    <x v="5"/>
    <x v="1"/>
    <x v="15"/>
    <x v="1"/>
    <x v="42"/>
    <x v="1"/>
    <n v="0.57999999999999996"/>
    <n v="0"/>
    <n v="0"/>
    <n v="256.5"/>
    <n v="0"/>
    <n v="0"/>
    <n v="-0.57999999999999996"/>
    <n v="-256.5"/>
    <n v="0"/>
    <s v="India"/>
  </r>
  <r>
    <x v="2"/>
    <x v="1"/>
    <x v="191"/>
    <x v="2"/>
    <x v="21"/>
    <x v="4"/>
    <n v="0"/>
    <n v="0"/>
    <n v="0"/>
    <n v="1.1599999999999999"/>
    <n v="0"/>
    <n v="0"/>
    <n v="0"/>
    <n v="-1.1599999999999999"/>
    <n v="0"/>
    <s v="India"/>
  </r>
  <r>
    <x v="2"/>
    <x v="1"/>
    <x v="191"/>
    <x v="2"/>
    <x v="19"/>
    <x v="4"/>
    <n v="0"/>
    <n v="0"/>
    <n v="0"/>
    <n v="7.01"/>
    <n v="0"/>
    <n v="0"/>
    <n v="0"/>
    <n v="-7.01"/>
    <n v="0"/>
    <s v="India"/>
  </r>
  <r>
    <x v="2"/>
    <x v="1"/>
    <x v="191"/>
    <x v="2"/>
    <x v="6"/>
    <x v="4"/>
    <n v="0"/>
    <n v="0"/>
    <n v="0"/>
    <n v="13.57"/>
    <n v="0"/>
    <n v="0"/>
    <n v="0"/>
    <n v="-13.57"/>
    <n v="0"/>
    <s v="India"/>
  </r>
  <r>
    <x v="2"/>
    <x v="1"/>
    <x v="191"/>
    <x v="2"/>
    <x v="24"/>
    <x v="4"/>
    <n v="0"/>
    <n v="0"/>
    <n v="0"/>
    <n v="27.62"/>
    <n v="0"/>
    <n v="0"/>
    <n v="0"/>
    <n v="-27.62"/>
    <n v="0"/>
    <s v="India"/>
  </r>
  <r>
    <x v="2"/>
    <x v="1"/>
    <x v="191"/>
    <x v="2"/>
    <x v="11"/>
    <x v="3"/>
    <n v="0"/>
    <n v="0"/>
    <n v="0"/>
    <n v="0.6"/>
    <n v="0"/>
    <n v="0"/>
    <n v="0"/>
    <n v="-0.6"/>
    <n v="0"/>
    <s v="India"/>
  </r>
  <r>
    <x v="2"/>
    <x v="1"/>
    <x v="191"/>
    <x v="2"/>
    <x v="5"/>
    <x v="3"/>
    <n v="0"/>
    <n v="0"/>
    <n v="0"/>
    <n v="5.84"/>
    <n v="0"/>
    <n v="0"/>
    <n v="0"/>
    <n v="-5.84"/>
    <n v="0"/>
    <s v="India"/>
  </r>
  <r>
    <x v="2"/>
    <x v="1"/>
    <x v="191"/>
    <x v="2"/>
    <x v="3"/>
    <x v="2"/>
    <n v="0"/>
    <n v="0"/>
    <n v="0"/>
    <n v="0.1"/>
    <n v="0"/>
    <n v="0"/>
    <n v="0"/>
    <n v="-0.1"/>
    <n v="0"/>
    <s v="India"/>
  </r>
  <r>
    <x v="2"/>
    <x v="1"/>
    <x v="112"/>
    <x v="2"/>
    <x v="14"/>
    <x v="3"/>
    <n v="0"/>
    <n v="7.0000000000000007E-2"/>
    <n v="0"/>
    <n v="0"/>
    <n v="3.4"/>
    <n v="0"/>
    <n v="7.0000000000000007E-2"/>
    <n v="3.4"/>
    <n v="-7.0000000000000007E-2"/>
    <s v="India"/>
  </r>
  <r>
    <x v="5"/>
    <x v="1"/>
    <x v="15"/>
    <x v="1"/>
    <x v="38"/>
    <x v="5"/>
    <n v="7.0000000000000007E-2"/>
    <n v="0"/>
    <n v="0"/>
    <n v="18.64"/>
    <n v="0"/>
    <n v="0"/>
    <n v="-7.0000000000000007E-2"/>
    <n v="-18.64"/>
    <n v="0"/>
    <s v="India"/>
  </r>
  <r>
    <x v="2"/>
    <x v="1"/>
    <x v="112"/>
    <x v="2"/>
    <x v="34"/>
    <x v="6"/>
    <n v="0.02"/>
    <n v="0"/>
    <n v="0"/>
    <n v="0.97"/>
    <n v="0"/>
    <n v="0"/>
    <n v="-0.02"/>
    <n v="-0.97"/>
    <n v="0"/>
    <s v="India"/>
  </r>
  <r>
    <x v="5"/>
    <x v="1"/>
    <x v="15"/>
    <x v="1"/>
    <x v="6"/>
    <x v="4"/>
    <n v="0.01"/>
    <n v="0.02"/>
    <n v="0"/>
    <n v="0.85"/>
    <n v="1.1100000000000001"/>
    <n v="0"/>
    <n v="0.01"/>
    <n v="0.26000000000000012"/>
    <n v="-0.02"/>
    <s v="India"/>
  </r>
  <r>
    <x v="2"/>
    <x v="1"/>
    <x v="112"/>
    <x v="2"/>
    <x v="13"/>
    <x v="3"/>
    <n v="0"/>
    <n v="0.02"/>
    <n v="0"/>
    <n v="0"/>
    <n v="9.4700000000000006"/>
    <n v="0"/>
    <n v="0.02"/>
    <n v="9.4700000000000006"/>
    <n v="-0.02"/>
    <s v="India"/>
  </r>
  <r>
    <x v="2"/>
    <x v="1"/>
    <x v="112"/>
    <x v="2"/>
    <x v="18"/>
    <x v="7"/>
    <n v="0"/>
    <n v="0"/>
    <n v="0"/>
    <n v="0"/>
    <n v="0.1"/>
    <n v="0"/>
    <n v="0"/>
    <n v="0.1"/>
    <n v="0"/>
    <s v="India"/>
  </r>
  <r>
    <x v="5"/>
    <x v="1"/>
    <x v="15"/>
    <x v="1"/>
    <x v="32"/>
    <x v="0"/>
    <n v="0"/>
    <n v="0"/>
    <n v="0"/>
    <n v="0.39"/>
    <n v="0"/>
    <n v="0"/>
    <n v="0"/>
    <n v="-0.39"/>
    <n v="0"/>
    <s v="India"/>
  </r>
  <r>
    <x v="5"/>
    <x v="1"/>
    <x v="15"/>
    <x v="1"/>
    <x v="2"/>
    <x v="0"/>
    <n v="0"/>
    <n v="0.01"/>
    <n v="0"/>
    <n v="0"/>
    <n v="7.96"/>
    <n v="0"/>
    <n v="0.01"/>
    <n v="7.96"/>
    <n v="-0.01"/>
    <s v="India"/>
  </r>
  <r>
    <x v="2"/>
    <x v="1"/>
    <x v="112"/>
    <x v="2"/>
    <x v="9"/>
    <x v="6"/>
    <n v="0"/>
    <n v="0.01"/>
    <n v="0"/>
    <n v="0"/>
    <n v="9"/>
    <n v="0"/>
    <n v="0.01"/>
    <n v="9"/>
    <n v="-0.01"/>
    <s v="India"/>
  </r>
  <r>
    <x v="5"/>
    <x v="1"/>
    <x v="15"/>
    <x v="1"/>
    <x v="35"/>
    <x v="0"/>
    <n v="0"/>
    <n v="0"/>
    <n v="0"/>
    <n v="3.92"/>
    <n v="0"/>
    <n v="0"/>
    <n v="0"/>
    <n v="-3.92"/>
    <n v="0"/>
    <s v="India"/>
  </r>
  <r>
    <x v="5"/>
    <x v="1"/>
    <x v="15"/>
    <x v="1"/>
    <x v="15"/>
    <x v="0"/>
    <n v="0"/>
    <n v="0"/>
    <n v="0"/>
    <n v="1.71"/>
    <n v="0"/>
    <n v="0"/>
    <n v="0"/>
    <n v="-1.71"/>
    <n v="0"/>
    <s v="India"/>
  </r>
  <r>
    <x v="5"/>
    <x v="1"/>
    <x v="15"/>
    <x v="1"/>
    <x v="18"/>
    <x v="7"/>
    <n v="0.66"/>
    <n v="0"/>
    <n v="0"/>
    <n v="136.47"/>
    <n v="0.45"/>
    <n v="0"/>
    <n v="-0.66"/>
    <n v="-136.02000000000001"/>
    <n v="0"/>
    <s v="India"/>
  </r>
  <r>
    <x v="5"/>
    <x v="1"/>
    <x v="15"/>
    <x v="1"/>
    <x v="36"/>
    <x v="6"/>
    <n v="0"/>
    <n v="0.01"/>
    <n v="0"/>
    <n v="0"/>
    <n v="0.71"/>
    <n v="0"/>
    <n v="0.01"/>
    <n v="0.71"/>
    <n v="-0.01"/>
    <s v="India"/>
  </r>
  <r>
    <x v="5"/>
    <x v="1"/>
    <x v="15"/>
    <x v="1"/>
    <x v="40"/>
    <x v="6"/>
    <n v="0"/>
    <n v="0"/>
    <n v="0"/>
    <n v="0.45"/>
    <n v="0"/>
    <n v="0"/>
    <n v="0"/>
    <n v="-0.45"/>
    <n v="0"/>
    <s v="India"/>
  </r>
  <r>
    <x v="5"/>
    <x v="1"/>
    <x v="15"/>
    <x v="1"/>
    <x v="22"/>
    <x v="6"/>
    <n v="0"/>
    <n v="0.03"/>
    <n v="0"/>
    <n v="0"/>
    <n v="2.7"/>
    <n v="0"/>
    <n v="0.03"/>
    <n v="2.7"/>
    <n v="-0.03"/>
    <s v="India"/>
  </r>
  <r>
    <x v="5"/>
    <x v="1"/>
    <x v="15"/>
    <x v="1"/>
    <x v="27"/>
    <x v="7"/>
    <n v="0"/>
    <n v="0"/>
    <n v="0"/>
    <n v="0.1"/>
    <n v="0"/>
    <n v="0"/>
    <n v="0"/>
    <n v="-0.1"/>
    <n v="0"/>
    <s v="India"/>
  </r>
  <r>
    <x v="5"/>
    <x v="1"/>
    <x v="15"/>
    <x v="1"/>
    <x v="14"/>
    <x v="3"/>
    <n v="4.01"/>
    <n v="0.51"/>
    <n v="0"/>
    <n v="844.05"/>
    <n v="161.88999999999999"/>
    <n v="0"/>
    <n v="-3.5"/>
    <n v="-682.16"/>
    <n v="-0.51"/>
    <s v="India"/>
  </r>
  <r>
    <x v="5"/>
    <x v="1"/>
    <x v="122"/>
    <x v="1"/>
    <x v="5"/>
    <x v="3"/>
    <n v="0"/>
    <n v="0.01"/>
    <n v="0"/>
    <n v="0"/>
    <n v="3.11"/>
    <n v="0"/>
    <n v="0.01"/>
    <n v="3.11"/>
    <n v="-0.01"/>
    <s v="India"/>
  </r>
  <r>
    <x v="2"/>
    <x v="1"/>
    <x v="192"/>
    <x v="1"/>
    <x v="29"/>
    <x v="7"/>
    <n v="1.05"/>
    <n v="0"/>
    <n v="0"/>
    <n v="688.2"/>
    <n v="0"/>
    <n v="0"/>
    <n v="-1.05"/>
    <n v="-688.2"/>
    <n v="0"/>
    <s v="India"/>
  </r>
  <r>
    <x v="5"/>
    <x v="1"/>
    <x v="122"/>
    <x v="1"/>
    <x v="38"/>
    <x v="5"/>
    <n v="0.08"/>
    <n v="0"/>
    <n v="0"/>
    <n v="18"/>
    <n v="0"/>
    <n v="0"/>
    <n v="-0.08"/>
    <n v="-18"/>
    <n v="0"/>
    <s v="India"/>
  </r>
  <r>
    <x v="2"/>
    <x v="1"/>
    <x v="78"/>
    <x v="1"/>
    <x v="31"/>
    <x v="1"/>
    <n v="0"/>
    <n v="0.04"/>
    <n v="0"/>
    <n v="0"/>
    <n v="28"/>
    <n v="0"/>
    <n v="0.04"/>
    <n v="28"/>
    <n v="-0.04"/>
    <s v="India"/>
  </r>
  <r>
    <x v="2"/>
    <x v="1"/>
    <x v="78"/>
    <x v="1"/>
    <x v="0"/>
    <x v="0"/>
    <n v="0.16"/>
    <n v="0"/>
    <n v="0"/>
    <n v="81.069999999999993"/>
    <n v="0"/>
    <n v="0"/>
    <n v="-0.16"/>
    <n v="-81.069999999999993"/>
    <n v="0"/>
    <s v="India"/>
  </r>
  <r>
    <x v="5"/>
    <x v="1"/>
    <x v="122"/>
    <x v="1"/>
    <x v="29"/>
    <x v="7"/>
    <n v="0.08"/>
    <n v="0.04"/>
    <n v="0"/>
    <n v="21.25"/>
    <n v="8.5"/>
    <n v="0"/>
    <n v="-0.04"/>
    <n v="-12.75"/>
    <n v="-0.04"/>
    <s v="India"/>
  </r>
  <r>
    <x v="2"/>
    <x v="1"/>
    <x v="78"/>
    <x v="1"/>
    <x v="8"/>
    <x v="3"/>
    <n v="0.08"/>
    <n v="0.06"/>
    <n v="0"/>
    <n v="74.34"/>
    <n v="61.88"/>
    <n v="0"/>
    <n v="-2.0000000000000004E-2"/>
    <n v="-12.46"/>
    <n v="-0.06"/>
    <s v="India"/>
  </r>
  <r>
    <x v="2"/>
    <x v="1"/>
    <x v="78"/>
    <x v="1"/>
    <x v="13"/>
    <x v="3"/>
    <n v="0"/>
    <n v="0"/>
    <n v="0"/>
    <n v="0"/>
    <n v="0.2"/>
    <n v="0"/>
    <n v="0"/>
    <n v="0.2"/>
    <n v="0"/>
    <s v="India"/>
  </r>
  <r>
    <x v="5"/>
    <x v="1"/>
    <x v="122"/>
    <x v="1"/>
    <x v="10"/>
    <x v="3"/>
    <n v="0.06"/>
    <n v="0.02"/>
    <n v="0"/>
    <n v="51.6"/>
    <n v="13.15"/>
    <n v="0"/>
    <n v="-3.9999999999999994E-2"/>
    <n v="-38.450000000000003"/>
    <n v="-0.02"/>
    <s v="India"/>
  </r>
  <r>
    <x v="2"/>
    <x v="1"/>
    <x v="78"/>
    <x v="1"/>
    <x v="16"/>
    <x v="0"/>
    <n v="0"/>
    <n v="0"/>
    <n v="0"/>
    <n v="1.82"/>
    <n v="0"/>
    <n v="0"/>
    <n v="0"/>
    <n v="-1.82"/>
    <n v="0"/>
    <s v="India"/>
  </r>
  <r>
    <x v="2"/>
    <x v="1"/>
    <x v="78"/>
    <x v="1"/>
    <x v="4"/>
    <x v="3"/>
    <n v="0.01"/>
    <n v="0"/>
    <n v="0"/>
    <n v="1.25"/>
    <n v="0"/>
    <n v="0"/>
    <n v="-0.01"/>
    <n v="-1.25"/>
    <n v="0"/>
    <s v="India"/>
  </r>
  <r>
    <x v="5"/>
    <x v="1"/>
    <x v="122"/>
    <x v="1"/>
    <x v="14"/>
    <x v="3"/>
    <n v="0.04"/>
    <n v="0"/>
    <n v="0"/>
    <n v="14.36"/>
    <n v="0"/>
    <n v="0"/>
    <n v="-0.04"/>
    <n v="-14.36"/>
    <n v="0"/>
    <s v="India"/>
  </r>
  <r>
    <x v="2"/>
    <x v="1"/>
    <x v="78"/>
    <x v="1"/>
    <x v="2"/>
    <x v="0"/>
    <n v="0.27"/>
    <n v="0"/>
    <n v="0"/>
    <n v="276.24"/>
    <n v="0"/>
    <n v="0"/>
    <n v="-0.27"/>
    <n v="-276.24"/>
    <n v="0"/>
    <s v="India"/>
  </r>
  <r>
    <x v="2"/>
    <x v="1"/>
    <x v="78"/>
    <x v="1"/>
    <x v="32"/>
    <x v="0"/>
    <n v="0"/>
    <n v="0"/>
    <n v="0"/>
    <n v="0.01"/>
    <n v="0"/>
    <n v="0"/>
    <n v="0"/>
    <n v="-0.01"/>
    <n v="0"/>
    <s v="India"/>
  </r>
  <r>
    <x v="2"/>
    <x v="1"/>
    <x v="78"/>
    <x v="1"/>
    <x v="6"/>
    <x v="4"/>
    <n v="0.02"/>
    <n v="0"/>
    <n v="0"/>
    <n v="7.18"/>
    <n v="1.1000000000000001"/>
    <n v="0"/>
    <n v="-0.02"/>
    <n v="-6.08"/>
    <n v="0"/>
    <s v="India"/>
  </r>
  <r>
    <x v="2"/>
    <x v="1"/>
    <x v="78"/>
    <x v="1"/>
    <x v="11"/>
    <x v="3"/>
    <n v="0.02"/>
    <n v="0.03"/>
    <n v="0"/>
    <n v="21"/>
    <n v="24.19"/>
    <n v="0"/>
    <n v="9.9999999999999985E-3"/>
    <n v="3.1900000000000013"/>
    <n v="-0.03"/>
    <s v="India"/>
  </r>
  <r>
    <x v="5"/>
    <x v="1"/>
    <x v="193"/>
    <x v="1"/>
    <x v="0"/>
    <x v="0"/>
    <n v="0"/>
    <n v="0.06"/>
    <n v="0"/>
    <n v="0"/>
    <n v="42"/>
    <n v="0"/>
    <n v="0.06"/>
    <n v="42"/>
    <n v="-0.06"/>
    <s v="India"/>
  </r>
  <r>
    <x v="5"/>
    <x v="1"/>
    <x v="40"/>
    <x v="1"/>
    <x v="3"/>
    <x v="2"/>
    <n v="0"/>
    <n v="0"/>
    <n v="0"/>
    <n v="0"/>
    <n v="0.21"/>
    <n v="0"/>
    <n v="0"/>
    <n v="0.21"/>
    <n v="0"/>
    <s v="India"/>
  </r>
  <r>
    <x v="2"/>
    <x v="1"/>
    <x v="78"/>
    <x v="1"/>
    <x v="23"/>
    <x v="1"/>
    <n v="0"/>
    <n v="0.03"/>
    <n v="0"/>
    <n v="0"/>
    <n v="5"/>
    <n v="0"/>
    <n v="0.03"/>
    <n v="5"/>
    <n v="-0.03"/>
    <s v="India"/>
  </r>
  <r>
    <x v="5"/>
    <x v="1"/>
    <x v="40"/>
    <x v="1"/>
    <x v="5"/>
    <x v="3"/>
    <n v="0"/>
    <n v="0"/>
    <n v="0"/>
    <n v="0.5"/>
    <n v="2.23"/>
    <n v="0"/>
    <n v="0"/>
    <n v="1.73"/>
    <n v="0"/>
    <s v="India"/>
  </r>
  <r>
    <x v="2"/>
    <x v="1"/>
    <x v="6"/>
    <x v="1"/>
    <x v="31"/>
    <x v="1"/>
    <n v="0.78"/>
    <n v="0"/>
    <n v="0"/>
    <n v="409.32"/>
    <n v="0"/>
    <n v="0"/>
    <n v="-0.78"/>
    <n v="-409.32"/>
    <n v="0"/>
    <s v="India"/>
  </r>
  <r>
    <x v="5"/>
    <x v="1"/>
    <x v="40"/>
    <x v="1"/>
    <x v="11"/>
    <x v="3"/>
    <n v="0"/>
    <n v="0"/>
    <n v="0"/>
    <n v="0"/>
    <n v="0.49"/>
    <n v="0"/>
    <n v="0"/>
    <n v="0.49"/>
    <n v="0"/>
    <s v="India"/>
  </r>
  <r>
    <x v="5"/>
    <x v="1"/>
    <x v="40"/>
    <x v="1"/>
    <x v="6"/>
    <x v="4"/>
    <n v="0"/>
    <n v="0"/>
    <n v="0"/>
    <n v="0.25"/>
    <n v="0"/>
    <n v="0"/>
    <n v="0"/>
    <n v="-0.25"/>
    <n v="0"/>
    <s v="India"/>
  </r>
  <r>
    <x v="5"/>
    <x v="1"/>
    <x v="40"/>
    <x v="1"/>
    <x v="4"/>
    <x v="3"/>
    <n v="0"/>
    <n v="0.1"/>
    <n v="0"/>
    <n v="0"/>
    <n v="29.64"/>
    <n v="0"/>
    <n v="0.1"/>
    <n v="29.64"/>
    <n v="-0.1"/>
    <s v="India"/>
  </r>
  <r>
    <x v="5"/>
    <x v="1"/>
    <x v="40"/>
    <x v="1"/>
    <x v="10"/>
    <x v="3"/>
    <n v="0"/>
    <n v="0"/>
    <n v="0"/>
    <n v="0"/>
    <n v="0.05"/>
    <n v="0"/>
    <n v="0"/>
    <n v="0.05"/>
    <n v="0"/>
    <s v="India"/>
  </r>
  <r>
    <x v="2"/>
    <x v="1"/>
    <x v="6"/>
    <x v="1"/>
    <x v="40"/>
    <x v="6"/>
    <n v="0"/>
    <n v="0"/>
    <n v="0"/>
    <n v="0.01"/>
    <n v="0"/>
    <n v="0"/>
    <n v="0"/>
    <n v="-0.01"/>
    <n v="0"/>
    <s v="India"/>
  </r>
  <r>
    <x v="5"/>
    <x v="1"/>
    <x v="40"/>
    <x v="1"/>
    <x v="18"/>
    <x v="7"/>
    <n v="0"/>
    <n v="0"/>
    <n v="0"/>
    <n v="0"/>
    <n v="0.06"/>
    <n v="0"/>
    <n v="0"/>
    <n v="0.06"/>
    <n v="0"/>
    <s v="India"/>
  </r>
  <r>
    <x v="5"/>
    <x v="1"/>
    <x v="40"/>
    <x v="1"/>
    <x v="8"/>
    <x v="3"/>
    <n v="0"/>
    <n v="0.03"/>
    <n v="0"/>
    <n v="0"/>
    <n v="14.21"/>
    <n v="0"/>
    <n v="0.03"/>
    <n v="14.21"/>
    <n v="-0.03"/>
    <s v="India"/>
  </r>
  <r>
    <x v="0"/>
    <x v="0"/>
    <x v="47"/>
    <x v="4"/>
    <x v="41"/>
    <x v="6"/>
    <n v="0"/>
    <n v="0.13"/>
    <n v="0"/>
    <n v="0"/>
    <n v="54"/>
    <n v="0"/>
    <n v="0.13"/>
    <n v="54"/>
    <n v="-0.13"/>
    <s v="India"/>
  </r>
  <r>
    <x v="2"/>
    <x v="1"/>
    <x v="6"/>
    <x v="1"/>
    <x v="30"/>
    <x v="5"/>
    <n v="0"/>
    <n v="0"/>
    <n v="0"/>
    <n v="0.72"/>
    <n v="0.52"/>
    <n v="0"/>
    <n v="0"/>
    <n v="-0.19999999999999996"/>
    <n v="0"/>
    <s v="India"/>
  </r>
  <r>
    <x v="0"/>
    <x v="0"/>
    <x v="47"/>
    <x v="4"/>
    <x v="5"/>
    <x v="3"/>
    <n v="0"/>
    <n v="0"/>
    <n v="0"/>
    <n v="0.2"/>
    <n v="0"/>
    <n v="0"/>
    <n v="0"/>
    <n v="-0.2"/>
    <n v="0"/>
    <s v="India"/>
  </r>
  <r>
    <x v="0"/>
    <x v="0"/>
    <x v="47"/>
    <x v="4"/>
    <x v="11"/>
    <x v="3"/>
    <n v="0.03"/>
    <n v="0"/>
    <n v="0"/>
    <n v="1.52"/>
    <n v="0"/>
    <n v="0"/>
    <n v="-0.03"/>
    <n v="-1.52"/>
    <n v="0"/>
    <s v="India"/>
  </r>
  <r>
    <x v="0"/>
    <x v="0"/>
    <x v="47"/>
    <x v="4"/>
    <x v="16"/>
    <x v="0"/>
    <n v="0"/>
    <n v="0"/>
    <n v="0"/>
    <n v="0.06"/>
    <n v="0"/>
    <n v="0"/>
    <n v="0"/>
    <n v="-0.06"/>
    <n v="0"/>
    <s v="India"/>
  </r>
  <r>
    <x v="2"/>
    <x v="1"/>
    <x v="6"/>
    <x v="1"/>
    <x v="7"/>
    <x v="5"/>
    <n v="0.09"/>
    <n v="0.05"/>
    <n v="0"/>
    <n v="28.8"/>
    <n v="20.45"/>
    <n v="0"/>
    <n v="-3.9999999999999994E-2"/>
    <n v="-8.3500000000000014"/>
    <n v="-0.05"/>
    <s v="India"/>
  </r>
  <r>
    <x v="0"/>
    <x v="0"/>
    <x v="47"/>
    <x v="4"/>
    <x v="14"/>
    <x v="3"/>
    <n v="0"/>
    <n v="0.34"/>
    <n v="0"/>
    <n v="0"/>
    <n v="13.79"/>
    <n v="0"/>
    <n v="0.34"/>
    <n v="13.79"/>
    <n v="-0.34"/>
    <s v="India"/>
  </r>
  <r>
    <x v="0"/>
    <x v="0"/>
    <x v="72"/>
    <x v="4"/>
    <x v="41"/>
    <x v="6"/>
    <n v="0.13"/>
    <n v="0"/>
    <n v="0"/>
    <n v="180"/>
    <n v="0"/>
    <n v="0"/>
    <n v="-0.13"/>
    <n v="-180"/>
    <n v="0"/>
    <s v="India"/>
  </r>
  <r>
    <x v="0"/>
    <x v="0"/>
    <x v="72"/>
    <x v="4"/>
    <x v="38"/>
    <x v="5"/>
    <n v="3.46"/>
    <n v="0"/>
    <n v="0"/>
    <n v="899"/>
    <n v="0"/>
    <n v="0"/>
    <n v="-3.46"/>
    <n v="-899"/>
    <n v="0"/>
    <s v="India"/>
  </r>
  <r>
    <x v="0"/>
    <x v="0"/>
    <x v="72"/>
    <x v="4"/>
    <x v="6"/>
    <x v="4"/>
    <n v="1.06"/>
    <n v="0.01"/>
    <n v="0"/>
    <n v="2448.5100000000002"/>
    <n v="24.42"/>
    <n v="0"/>
    <n v="-1.05"/>
    <n v="-2424.09"/>
    <n v="-0.01"/>
    <s v="India"/>
  </r>
  <r>
    <x v="2"/>
    <x v="1"/>
    <x v="6"/>
    <x v="1"/>
    <x v="32"/>
    <x v="0"/>
    <n v="0.01"/>
    <n v="0"/>
    <n v="0"/>
    <n v="2.63"/>
    <n v="0"/>
    <n v="0"/>
    <n v="-0.01"/>
    <n v="-2.63"/>
    <n v="0"/>
    <s v="India"/>
  </r>
  <r>
    <x v="0"/>
    <x v="0"/>
    <x v="72"/>
    <x v="4"/>
    <x v="35"/>
    <x v="0"/>
    <n v="0"/>
    <n v="0"/>
    <n v="0"/>
    <n v="0.03"/>
    <n v="0"/>
    <n v="0"/>
    <n v="0"/>
    <n v="-0.03"/>
    <n v="0"/>
    <s v="India"/>
  </r>
  <r>
    <x v="2"/>
    <x v="1"/>
    <x v="6"/>
    <x v="1"/>
    <x v="24"/>
    <x v="4"/>
    <n v="0.03"/>
    <n v="0"/>
    <n v="0"/>
    <n v="71.8"/>
    <n v="0"/>
    <n v="0"/>
    <n v="-0.03"/>
    <n v="-71.8"/>
    <n v="0"/>
    <s v="India"/>
  </r>
  <r>
    <x v="2"/>
    <x v="1"/>
    <x v="6"/>
    <x v="1"/>
    <x v="38"/>
    <x v="5"/>
    <n v="0"/>
    <n v="0"/>
    <n v="0"/>
    <n v="0.09"/>
    <n v="0.01"/>
    <n v="0"/>
    <n v="0"/>
    <n v="-0.08"/>
    <n v="0"/>
    <s v="India"/>
  </r>
  <r>
    <x v="2"/>
    <x v="1"/>
    <x v="6"/>
    <x v="1"/>
    <x v="33"/>
    <x v="7"/>
    <n v="0"/>
    <n v="0"/>
    <n v="0"/>
    <n v="0.2"/>
    <n v="0"/>
    <n v="0"/>
    <n v="0"/>
    <n v="-0.2"/>
    <n v="0"/>
    <s v="India"/>
  </r>
  <r>
    <x v="0"/>
    <x v="0"/>
    <x v="72"/>
    <x v="4"/>
    <x v="10"/>
    <x v="3"/>
    <n v="0.09"/>
    <n v="0"/>
    <n v="0"/>
    <n v="66.3"/>
    <n v="0.45"/>
    <n v="0"/>
    <n v="-0.09"/>
    <n v="-65.849999999999994"/>
    <n v="0"/>
    <s v="India"/>
  </r>
  <r>
    <x v="0"/>
    <x v="0"/>
    <x v="194"/>
    <x v="4"/>
    <x v="4"/>
    <x v="3"/>
    <n v="0"/>
    <n v="0"/>
    <n v="0"/>
    <n v="0.01"/>
    <n v="0"/>
    <n v="0"/>
    <n v="0"/>
    <n v="-0.01"/>
    <n v="0"/>
    <s v="India"/>
  </r>
  <r>
    <x v="2"/>
    <x v="1"/>
    <x v="6"/>
    <x v="1"/>
    <x v="41"/>
    <x v="6"/>
    <n v="0"/>
    <n v="0"/>
    <n v="0"/>
    <n v="0.24"/>
    <n v="0"/>
    <n v="0"/>
    <n v="0"/>
    <n v="-0.24"/>
    <n v="0"/>
    <s v="India"/>
  </r>
  <r>
    <x v="0"/>
    <x v="0"/>
    <x v="194"/>
    <x v="4"/>
    <x v="14"/>
    <x v="3"/>
    <n v="0"/>
    <n v="0"/>
    <n v="0"/>
    <n v="0.54"/>
    <n v="0"/>
    <n v="0"/>
    <n v="0"/>
    <n v="-0.54"/>
    <n v="0"/>
    <s v="India"/>
  </r>
  <r>
    <x v="0"/>
    <x v="0"/>
    <x v="97"/>
    <x v="0"/>
    <x v="12"/>
    <x v="4"/>
    <n v="0.14000000000000001"/>
    <n v="0"/>
    <n v="0"/>
    <n v="610"/>
    <n v="0"/>
    <n v="0"/>
    <n v="-0.14000000000000001"/>
    <n v="-610"/>
    <n v="0"/>
    <s v="India"/>
  </r>
  <r>
    <x v="0"/>
    <x v="0"/>
    <x v="97"/>
    <x v="0"/>
    <x v="30"/>
    <x v="5"/>
    <n v="0"/>
    <n v="0"/>
    <n v="0"/>
    <n v="0"/>
    <n v="3"/>
    <n v="0"/>
    <n v="0"/>
    <n v="3"/>
    <n v="0"/>
    <s v="India"/>
  </r>
  <r>
    <x v="0"/>
    <x v="0"/>
    <x v="17"/>
    <x v="0"/>
    <x v="6"/>
    <x v="4"/>
    <n v="0"/>
    <n v="0"/>
    <n v="0"/>
    <n v="2"/>
    <n v="0"/>
    <n v="0"/>
    <n v="0"/>
    <n v="-2"/>
    <n v="0"/>
    <s v="India"/>
  </r>
  <r>
    <x v="2"/>
    <x v="1"/>
    <x v="13"/>
    <x v="2"/>
    <x v="18"/>
    <x v="7"/>
    <n v="0"/>
    <n v="0.06"/>
    <n v="0"/>
    <n v="0"/>
    <n v="14.8"/>
    <n v="0"/>
    <n v="0.06"/>
    <n v="14.8"/>
    <n v="-0.06"/>
    <s v="India"/>
  </r>
  <r>
    <x v="2"/>
    <x v="1"/>
    <x v="13"/>
    <x v="2"/>
    <x v="9"/>
    <x v="6"/>
    <n v="0"/>
    <n v="0.22"/>
    <n v="0"/>
    <n v="0"/>
    <n v="240"/>
    <n v="0"/>
    <n v="0.22"/>
    <n v="240"/>
    <n v="-0.22"/>
    <s v="India"/>
  </r>
  <r>
    <x v="0"/>
    <x v="0"/>
    <x v="17"/>
    <x v="0"/>
    <x v="2"/>
    <x v="0"/>
    <n v="0.06"/>
    <n v="3.73"/>
    <n v="0"/>
    <n v="130.05000000000001"/>
    <n v="9820"/>
    <n v="0"/>
    <n v="3.67"/>
    <n v="9689.9500000000007"/>
    <n v="-3.73"/>
    <s v="India"/>
  </r>
  <r>
    <x v="0"/>
    <x v="0"/>
    <x v="17"/>
    <x v="0"/>
    <x v="29"/>
    <x v="7"/>
    <n v="0"/>
    <n v="0"/>
    <n v="0"/>
    <n v="1"/>
    <n v="0"/>
    <n v="0"/>
    <n v="0"/>
    <n v="-1"/>
    <n v="0"/>
    <s v="India"/>
  </r>
  <r>
    <x v="2"/>
    <x v="1"/>
    <x v="13"/>
    <x v="2"/>
    <x v="29"/>
    <x v="7"/>
    <n v="0.04"/>
    <n v="0"/>
    <n v="0"/>
    <n v="18.66"/>
    <n v="0"/>
    <n v="0"/>
    <n v="-0.04"/>
    <n v="-18.66"/>
    <n v="0"/>
    <s v="India"/>
  </r>
  <r>
    <x v="2"/>
    <x v="1"/>
    <x v="13"/>
    <x v="2"/>
    <x v="2"/>
    <x v="0"/>
    <n v="0"/>
    <n v="0.06"/>
    <n v="0"/>
    <n v="0"/>
    <n v="130.03"/>
    <n v="0"/>
    <n v="0.06"/>
    <n v="130.03"/>
    <n v="-0.06"/>
    <s v="India"/>
  </r>
  <r>
    <x v="2"/>
    <x v="1"/>
    <x v="13"/>
    <x v="2"/>
    <x v="24"/>
    <x v="4"/>
    <n v="0.01"/>
    <n v="0"/>
    <n v="0"/>
    <n v="41"/>
    <n v="0"/>
    <n v="0"/>
    <n v="-0.01"/>
    <n v="-41"/>
    <n v="0"/>
    <s v="India"/>
  </r>
  <r>
    <x v="2"/>
    <x v="1"/>
    <x v="13"/>
    <x v="2"/>
    <x v="5"/>
    <x v="3"/>
    <n v="0"/>
    <n v="0"/>
    <n v="0"/>
    <n v="0"/>
    <n v="0.6"/>
    <n v="0"/>
    <n v="0"/>
    <n v="0.6"/>
    <n v="0"/>
    <s v="India"/>
  </r>
  <r>
    <x v="2"/>
    <x v="1"/>
    <x v="13"/>
    <x v="2"/>
    <x v="23"/>
    <x v="1"/>
    <n v="0.21"/>
    <n v="0.3"/>
    <n v="0"/>
    <n v="44.93"/>
    <n v="55.66"/>
    <n v="0"/>
    <n v="0.09"/>
    <n v="10.729999999999997"/>
    <n v="-0.3"/>
    <s v="India"/>
  </r>
  <r>
    <x v="0"/>
    <x v="0"/>
    <x v="17"/>
    <x v="0"/>
    <x v="15"/>
    <x v="0"/>
    <n v="0"/>
    <n v="0.01"/>
    <n v="0"/>
    <n v="0"/>
    <n v="48"/>
    <n v="0"/>
    <n v="0.01"/>
    <n v="48"/>
    <n v="-0.01"/>
    <s v="India"/>
  </r>
  <r>
    <x v="0"/>
    <x v="0"/>
    <x v="17"/>
    <x v="0"/>
    <x v="17"/>
    <x v="5"/>
    <n v="0"/>
    <n v="0"/>
    <n v="0"/>
    <n v="2"/>
    <n v="0"/>
    <n v="0"/>
    <n v="0"/>
    <n v="-2"/>
    <n v="0"/>
    <s v="India"/>
  </r>
  <r>
    <x v="0"/>
    <x v="0"/>
    <x v="17"/>
    <x v="0"/>
    <x v="30"/>
    <x v="5"/>
    <n v="0"/>
    <n v="0"/>
    <n v="0"/>
    <n v="0.05"/>
    <n v="0.12"/>
    <n v="0"/>
    <n v="0"/>
    <n v="6.9999999999999993E-2"/>
    <n v="0"/>
    <s v="India"/>
  </r>
  <r>
    <x v="0"/>
    <x v="0"/>
    <x v="17"/>
    <x v="0"/>
    <x v="13"/>
    <x v="3"/>
    <n v="0"/>
    <n v="0.13"/>
    <n v="0"/>
    <n v="0.44"/>
    <n v="70.09"/>
    <n v="0"/>
    <n v="0.13"/>
    <n v="69.650000000000006"/>
    <n v="-0.13"/>
    <s v="India"/>
  </r>
  <r>
    <x v="2"/>
    <x v="1"/>
    <x v="70"/>
    <x v="1"/>
    <x v="13"/>
    <x v="3"/>
    <n v="0"/>
    <n v="0"/>
    <n v="0"/>
    <n v="0"/>
    <n v="0.04"/>
    <n v="0"/>
    <n v="0"/>
    <n v="0.04"/>
    <n v="0"/>
    <s v="India"/>
  </r>
  <r>
    <x v="2"/>
    <x v="1"/>
    <x v="70"/>
    <x v="1"/>
    <x v="18"/>
    <x v="7"/>
    <n v="0"/>
    <n v="0.01"/>
    <n v="0"/>
    <n v="0"/>
    <n v="0.98"/>
    <n v="0"/>
    <n v="0.01"/>
    <n v="0.98"/>
    <n v="-0.01"/>
    <s v="India"/>
  </r>
  <r>
    <x v="2"/>
    <x v="1"/>
    <x v="70"/>
    <x v="1"/>
    <x v="10"/>
    <x v="3"/>
    <n v="0"/>
    <n v="0"/>
    <n v="0"/>
    <n v="0"/>
    <n v="0.34"/>
    <n v="0"/>
    <n v="0"/>
    <n v="0.34"/>
    <n v="0"/>
    <s v="India"/>
  </r>
  <r>
    <x v="0"/>
    <x v="0"/>
    <x v="17"/>
    <x v="0"/>
    <x v="34"/>
    <x v="6"/>
    <n v="0"/>
    <n v="0.01"/>
    <n v="0"/>
    <n v="0"/>
    <n v="20.27"/>
    <n v="0"/>
    <n v="0.01"/>
    <n v="20.27"/>
    <n v="-0.01"/>
    <s v="India"/>
  </r>
  <r>
    <x v="0"/>
    <x v="0"/>
    <x v="17"/>
    <x v="0"/>
    <x v="36"/>
    <x v="6"/>
    <n v="0.01"/>
    <n v="0"/>
    <n v="0"/>
    <n v="1"/>
    <n v="0"/>
    <n v="0"/>
    <n v="-0.01"/>
    <n v="-1"/>
    <n v="0"/>
    <s v="India"/>
  </r>
  <r>
    <x v="2"/>
    <x v="1"/>
    <x v="70"/>
    <x v="1"/>
    <x v="38"/>
    <x v="5"/>
    <n v="0"/>
    <n v="0"/>
    <n v="0"/>
    <n v="0"/>
    <n v="0.17"/>
    <n v="0"/>
    <n v="0"/>
    <n v="0.17"/>
    <n v="0"/>
    <s v="India"/>
  </r>
  <r>
    <x v="0"/>
    <x v="0"/>
    <x v="17"/>
    <x v="0"/>
    <x v="0"/>
    <x v="0"/>
    <n v="0.01"/>
    <n v="0"/>
    <n v="0"/>
    <n v="10"/>
    <n v="0"/>
    <n v="0"/>
    <n v="-0.01"/>
    <n v="-10"/>
    <n v="0"/>
    <s v="India"/>
  </r>
  <r>
    <x v="0"/>
    <x v="0"/>
    <x v="195"/>
    <x v="0"/>
    <x v="4"/>
    <x v="3"/>
    <n v="0"/>
    <n v="0"/>
    <n v="0"/>
    <n v="0.02"/>
    <n v="0"/>
    <n v="0"/>
    <n v="0"/>
    <n v="-0.02"/>
    <n v="0"/>
    <s v="India"/>
  </r>
  <r>
    <x v="2"/>
    <x v="1"/>
    <x v="57"/>
    <x v="1"/>
    <x v="13"/>
    <x v="3"/>
    <n v="0"/>
    <n v="0"/>
    <n v="0"/>
    <n v="0.1"/>
    <n v="0.04"/>
    <n v="0"/>
    <n v="0"/>
    <n v="-6.0000000000000005E-2"/>
    <n v="0"/>
    <s v="India"/>
  </r>
  <r>
    <x v="2"/>
    <x v="1"/>
    <x v="57"/>
    <x v="1"/>
    <x v="30"/>
    <x v="5"/>
    <n v="0"/>
    <n v="0.01"/>
    <n v="0"/>
    <n v="0"/>
    <n v="14.96"/>
    <n v="0"/>
    <n v="0.01"/>
    <n v="14.96"/>
    <n v="-0.01"/>
    <s v="India"/>
  </r>
  <r>
    <x v="0"/>
    <x v="0"/>
    <x v="195"/>
    <x v="0"/>
    <x v="10"/>
    <x v="3"/>
    <n v="0"/>
    <n v="0"/>
    <n v="0"/>
    <n v="0"/>
    <n v="0"/>
    <n v="0"/>
    <n v="0"/>
    <n v="0"/>
    <n v="0"/>
    <s v="India"/>
  </r>
  <r>
    <x v="0"/>
    <x v="0"/>
    <x v="74"/>
    <x v="0"/>
    <x v="3"/>
    <x v="2"/>
    <n v="0"/>
    <n v="0.08"/>
    <n v="0"/>
    <n v="0"/>
    <n v="104.08"/>
    <n v="0"/>
    <n v="0.08"/>
    <n v="104.08"/>
    <n v="-0.08"/>
    <s v="India"/>
  </r>
  <r>
    <x v="0"/>
    <x v="0"/>
    <x v="74"/>
    <x v="0"/>
    <x v="5"/>
    <x v="3"/>
    <n v="0"/>
    <n v="0"/>
    <n v="0"/>
    <n v="0"/>
    <n v="1.1499999999999999"/>
    <n v="0"/>
    <n v="0"/>
    <n v="1.1499999999999999"/>
    <n v="0"/>
    <s v="India"/>
  </r>
  <r>
    <x v="0"/>
    <x v="0"/>
    <x v="74"/>
    <x v="0"/>
    <x v="32"/>
    <x v="0"/>
    <n v="7.0000000000000007E-2"/>
    <n v="0"/>
    <n v="0"/>
    <n v="200"/>
    <n v="0"/>
    <n v="0"/>
    <n v="-7.0000000000000007E-2"/>
    <n v="-200"/>
    <n v="0"/>
    <s v="India"/>
  </r>
  <r>
    <x v="2"/>
    <x v="1"/>
    <x v="57"/>
    <x v="1"/>
    <x v="32"/>
    <x v="0"/>
    <n v="0"/>
    <n v="0.01"/>
    <n v="0"/>
    <n v="0"/>
    <n v="3.59"/>
    <n v="0"/>
    <n v="0.01"/>
    <n v="3.59"/>
    <n v="-0.01"/>
    <s v="India"/>
  </r>
  <r>
    <x v="2"/>
    <x v="1"/>
    <x v="57"/>
    <x v="1"/>
    <x v="24"/>
    <x v="4"/>
    <n v="0"/>
    <n v="0"/>
    <n v="0"/>
    <n v="0"/>
    <n v="0.1"/>
    <n v="0"/>
    <n v="0"/>
    <n v="0.1"/>
    <n v="0"/>
    <s v="India"/>
  </r>
  <r>
    <x v="2"/>
    <x v="1"/>
    <x v="57"/>
    <x v="1"/>
    <x v="11"/>
    <x v="3"/>
    <n v="0.01"/>
    <n v="0"/>
    <n v="0"/>
    <n v="3.29"/>
    <n v="0"/>
    <n v="0"/>
    <n v="-0.01"/>
    <n v="-3.29"/>
    <n v="0"/>
    <s v="India"/>
  </r>
  <r>
    <x v="2"/>
    <x v="1"/>
    <x v="57"/>
    <x v="1"/>
    <x v="5"/>
    <x v="3"/>
    <n v="0.01"/>
    <n v="0"/>
    <n v="0"/>
    <n v="4.25"/>
    <n v="0"/>
    <n v="0"/>
    <n v="-0.01"/>
    <n v="-4.25"/>
    <n v="0"/>
    <s v="India"/>
  </r>
  <r>
    <x v="2"/>
    <x v="1"/>
    <x v="57"/>
    <x v="1"/>
    <x v="3"/>
    <x v="2"/>
    <n v="0.05"/>
    <n v="0"/>
    <n v="0"/>
    <n v="41.26"/>
    <n v="0.21"/>
    <n v="0"/>
    <n v="-0.05"/>
    <n v="-41.05"/>
    <n v="0"/>
    <s v="India"/>
  </r>
  <r>
    <x v="2"/>
    <x v="1"/>
    <x v="14"/>
    <x v="1"/>
    <x v="39"/>
    <x v="7"/>
    <n v="0"/>
    <n v="0.02"/>
    <n v="0"/>
    <n v="0"/>
    <n v="9.36"/>
    <n v="0"/>
    <n v="0.02"/>
    <n v="9.36"/>
    <n v="-0.02"/>
    <s v="India"/>
  </r>
  <r>
    <x v="0"/>
    <x v="0"/>
    <x v="74"/>
    <x v="0"/>
    <x v="4"/>
    <x v="3"/>
    <n v="0.01"/>
    <n v="0.15"/>
    <n v="0"/>
    <n v="48"/>
    <n v="400"/>
    <n v="0"/>
    <n v="0.13999999999999999"/>
    <n v="352"/>
    <n v="-0.15"/>
    <s v="India"/>
  </r>
  <r>
    <x v="0"/>
    <x v="0"/>
    <x v="74"/>
    <x v="0"/>
    <x v="16"/>
    <x v="0"/>
    <n v="1.28"/>
    <n v="0"/>
    <n v="0"/>
    <n v="3200"/>
    <n v="0"/>
    <n v="0"/>
    <n v="-1.28"/>
    <n v="-3200"/>
    <n v="0"/>
    <s v="India"/>
  </r>
  <r>
    <x v="0"/>
    <x v="0"/>
    <x v="74"/>
    <x v="0"/>
    <x v="10"/>
    <x v="3"/>
    <n v="0"/>
    <n v="0"/>
    <n v="0"/>
    <n v="0"/>
    <n v="1.63"/>
    <n v="0"/>
    <n v="0"/>
    <n v="1.63"/>
    <n v="0"/>
    <s v="India"/>
  </r>
  <r>
    <x v="0"/>
    <x v="0"/>
    <x v="74"/>
    <x v="0"/>
    <x v="8"/>
    <x v="3"/>
    <n v="0"/>
    <n v="0.02"/>
    <n v="0"/>
    <n v="0"/>
    <n v="21.25"/>
    <n v="0"/>
    <n v="0.02"/>
    <n v="21.25"/>
    <n v="-0.02"/>
    <s v="India"/>
  </r>
  <r>
    <x v="0"/>
    <x v="0"/>
    <x v="157"/>
    <x v="1"/>
    <x v="3"/>
    <x v="2"/>
    <n v="1.32"/>
    <n v="0.03"/>
    <n v="0"/>
    <n v="725"/>
    <n v="20.5"/>
    <n v="0"/>
    <n v="-1.29"/>
    <n v="-704.5"/>
    <n v="-0.03"/>
    <s v="India"/>
  </r>
  <r>
    <x v="0"/>
    <x v="0"/>
    <x v="157"/>
    <x v="1"/>
    <x v="11"/>
    <x v="3"/>
    <n v="0.06"/>
    <n v="0.41"/>
    <n v="0"/>
    <n v="26"/>
    <n v="311.42"/>
    <n v="0"/>
    <n v="0.35"/>
    <n v="285.42"/>
    <n v="-0.41"/>
    <s v="India"/>
  </r>
  <r>
    <x v="0"/>
    <x v="0"/>
    <x v="157"/>
    <x v="1"/>
    <x v="2"/>
    <x v="0"/>
    <n v="0.7"/>
    <n v="0"/>
    <n v="0"/>
    <n v="1399.65"/>
    <n v="0"/>
    <n v="0"/>
    <n v="-0.7"/>
    <n v="-1399.65"/>
    <n v="0"/>
    <s v="India"/>
  </r>
  <r>
    <x v="0"/>
    <x v="0"/>
    <x v="157"/>
    <x v="1"/>
    <x v="4"/>
    <x v="3"/>
    <n v="0"/>
    <n v="0.22"/>
    <n v="0"/>
    <n v="0"/>
    <n v="59.3"/>
    <n v="0"/>
    <n v="0.22"/>
    <n v="59.3"/>
    <n v="-0.22"/>
    <s v="India"/>
  </r>
  <r>
    <x v="2"/>
    <x v="1"/>
    <x v="14"/>
    <x v="1"/>
    <x v="20"/>
    <x v="3"/>
    <n v="0"/>
    <n v="0"/>
    <n v="0"/>
    <n v="0.6"/>
    <n v="0"/>
    <n v="0"/>
    <n v="0"/>
    <n v="-0.6"/>
    <n v="0"/>
    <s v="India"/>
  </r>
  <r>
    <x v="0"/>
    <x v="0"/>
    <x v="157"/>
    <x v="1"/>
    <x v="35"/>
    <x v="0"/>
    <n v="0.75"/>
    <n v="0"/>
    <n v="0"/>
    <n v="1444.15"/>
    <n v="0"/>
    <n v="0"/>
    <n v="-0.75"/>
    <n v="-1444.15"/>
    <n v="0"/>
    <s v="India"/>
  </r>
  <r>
    <x v="2"/>
    <x v="1"/>
    <x v="14"/>
    <x v="1"/>
    <x v="19"/>
    <x v="4"/>
    <n v="0.02"/>
    <n v="0"/>
    <n v="0"/>
    <n v="19.55"/>
    <n v="0"/>
    <n v="0"/>
    <n v="-0.02"/>
    <n v="-19.55"/>
    <n v="0"/>
    <s v="India"/>
  </r>
  <r>
    <x v="2"/>
    <x v="1"/>
    <x v="14"/>
    <x v="1"/>
    <x v="17"/>
    <x v="5"/>
    <n v="0"/>
    <n v="0"/>
    <n v="0"/>
    <n v="0.18"/>
    <n v="0.18"/>
    <n v="0"/>
    <n v="0"/>
    <n v="0"/>
    <n v="0"/>
    <s v="India"/>
  </r>
  <r>
    <x v="0"/>
    <x v="0"/>
    <x v="157"/>
    <x v="1"/>
    <x v="16"/>
    <x v="0"/>
    <n v="0"/>
    <n v="0"/>
    <n v="0"/>
    <n v="0"/>
    <n v="2"/>
    <n v="0"/>
    <n v="0"/>
    <n v="2"/>
    <n v="0"/>
    <s v="India"/>
  </r>
  <r>
    <x v="0"/>
    <x v="0"/>
    <x v="157"/>
    <x v="1"/>
    <x v="10"/>
    <x v="3"/>
    <n v="0.03"/>
    <n v="0"/>
    <n v="0"/>
    <n v="31.36"/>
    <n v="0"/>
    <n v="0"/>
    <n v="-0.03"/>
    <n v="-31.36"/>
    <n v="0"/>
    <s v="India"/>
  </r>
  <r>
    <x v="0"/>
    <x v="0"/>
    <x v="157"/>
    <x v="1"/>
    <x v="17"/>
    <x v="5"/>
    <n v="0.38"/>
    <n v="0"/>
    <n v="0"/>
    <n v="246.98"/>
    <n v="0"/>
    <n v="0"/>
    <n v="-0.38"/>
    <n v="-246.98"/>
    <n v="0"/>
    <s v="India"/>
  </r>
  <r>
    <x v="0"/>
    <x v="0"/>
    <x v="157"/>
    <x v="1"/>
    <x v="8"/>
    <x v="3"/>
    <n v="0.01"/>
    <n v="0"/>
    <n v="0"/>
    <n v="4.75"/>
    <n v="0"/>
    <n v="0"/>
    <n v="-0.01"/>
    <n v="-4.75"/>
    <n v="0"/>
    <s v="India"/>
  </r>
  <r>
    <x v="0"/>
    <x v="0"/>
    <x v="157"/>
    <x v="1"/>
    <x v="22"/>
    <x v="6"/>
    <n v="0"/>
    <n v="0.03"/>
    <n v="0"/>
    <n v="0"/>
    <n v="3"/>
    <n v="0"/>
    <n v="0.03"/>
    <n v="3"/>
    <n v="-0.03"/>
    <s v="India"/>
  </r>
  <r>
    <x v="0"/>
    <x v="0"/>
    <x v="157"/>
    <x v="1"/>
    <x v="0"/>
    <x v="0"/>
    <n v="4.2300000000000004"/>
    <n v="0"/>
    <n v="0"/>
    <n v="4427.1099999999997"/>
    <n v="0"/>
    <n v="0"/>
    <n v="-4.2300000000000004"/>
    <n v="-4427.1099999999997"/>
    <n v="0"/>
    <s v="India"/>
  </r>
  <r>
    <x v="0"/>
    <x v="0"/>
    <x v="0"/>
    <x v="0"/>
    <x v="42"/>
    <x v="1"/>
    <n v="0.01"/>
    <n v="0"/>
    <n v="0"/>
    <n v="2"/>
    <n v="0"/>
    <n v="0"/>
    <n v="-0.01"/>
    <n v="-2"/>
    <n v="0"/>
    <s v="India"/>
  </r>
  <r>
    <x v="0"/>
    <x v="0"/>
    <x v="0"/>
    <x v="0"/>
    <x v="43"/>
    <x v="1"/>
    <n v="0"/>
    <n v="0"/>
    <n v="0"/>
    <n v="0.95"/>
    <n v="0"/>
    <n v="0"/>
    <n v="0"/>
    <n v="-0.95"/>
    <n v="0"/>
    <s v="India"/>
  </r>
  <r>
    <x v="0"/>
    <x v="0"/>
    <x v="0"/>
    <x v="0"/>
    <x v="1"/>
    <x v="1"/>
    <n v="0"/>
    <n v="0.39"/>
    <n v="0"/>
    <n v="0.06"/>
    <n v="81"/>
    <n v="0"/>
    <n v="0.39"/>
    <n v="80.94"/>
    <n v="-0.39"/>
    <s v="India"/>
  </r>
  <r>
    <x v="0"/>
    <x v="0"/>
    <x v="0"/>
    <x v="0"/>
    <x v="39"/>
    <x v="7"/>
    <n v="0.04"/>
    <n v="0"/>
    <n v="0"/>
    <n v="4.5"/>
    <n v="0"/>
    <n v="0"/>
    <n v="-0.04"/>
    <n v="-4.5"/>
    <n v="0"/>
    <s v="India"/>
  </r>
  <r>
    <x v="0"/>
    <x v="0"/>
    <x v="4"/>
    <x v="0"/>
    <x v="38"/>
    <x v="5"/>
    <n v="0.65"/>
    <n v="0"/>
    <n v="0"/>
    <n v="84.46"/>
    <n v="0"/>
    <n v="0"/>
    <n v="-0.65"/>
    <n v="-84.46"/>
    <n v="0"/>
    <s v="India"/>
  </r>
  <r>
    <x v="0"/>
    <x v="0"/>
    <x v="4"/>
    <x v="0"/>
    <x v="32"/>
    <x v="0"/>
    <n v="7.0000000000000007E-2"/>
    <n v="0.03"/>
    <n v="0"/>
    <n v="45"/>
    <n v="34"/>
    <n v="0"/>
    <n v="-4.0000000000000008E-2"/>
    <n v="-11"/>
    <n v="-0.03"/>
    <s v="India"/>
  </r>
  <r>
    <x v="0"/>
    <x v="0"/>
    <x v="4"/>
    <x v="0"/>
    <x v="37"/>
    <x v="3"/>
    <n v="0"/>
    <n v="0"/>
    <n v="0"/>
    <n v="0"/>
    <n v="0.12"/>
    <n v="0"/>
    <n v="0"/>
    <n v="0.12"/>
    <n v="0"/>
    <s v="India"/>
  </r>
  <r>
    <x v="0"/>
    <x v="0"/>
    <x v="4"/>
    <x v="0"/>
    <x v="30"/>
    <x v="5"/>
    <n v="0"/>
    <n v="0"/>
    <n v="0"/>
    <n v="0"/>
    <n v="0"/>
    <n v="0"/>
    <n v="0"/>
    <n v="0"/>
    <n v="0"/>
    <s v="India"/>
  </r>
  <r>
    <x v="0"/>
    <x v="0"/>
    <x v="4"/>
    <x v="0"/>
    <x v="22"/>
    <x v="6"/>
    <n v="0"/>
    <n v="0"/>
    <n v="0"/>
    <n v="0"/>
    <n v="0.02"/>
    <n v="0"/>
    <n v="0"/>
    <n v="0.02"/>
    <n v="0"/>
    <s v="India"/>
  </r>
  <r>
    <x v="2"/>
    <x v="1"/>
    <x v="14"/>
    <x v="1"/>
    <x v="23"/>
    <x v="1"/>
    <n v="0.32"/>
    <n v="1.85"/>
    <n v="0"/>
    <n v="90.52"/>
    <n v="249.02"/>
    <n v="0"/>
    <n v="1.53"/>
    <n v="158.5"/>
    <n v="-1.85"/>
    <s v="India"/>
  </r>
  <r>
    <x v="2"/>
    <x v="1"/>
    <x v="14"/>
    <x v="1"/>
    <x v="41"/>
    <x v="6"/>
    <n v="0"/>
    <n v="0"/>
    <n v="0"/>
    <n v="0.03"/>
    <n v="0.01"/>
    <n v="0"/>
    <n v="0"/>
    <n v="-1.9999999999999997E-2"/>
    <n v="0"/>
    <s v="India"/>
  </r>
  <r>
    <x v="0"/>
    <x v="0"/>
    <x v="196"/>
    <x v="1"/>
    <x v="3"/>
    <x v="2"/>
    <n v="0.46"/>
    <n v="0"/>
    <n v="0"/>
    <n v="312.76"/>
    <n v="0"/>
    <n v="0"/>
    <n v="-0.46"/>
    <n v="-312.76"/>
    <n v="0"/>
    <s v="India"/>
  </r>
  <r>
    <x v="0"/>
    <x v="0"/>
    <x v="196"/>
    <x v="1"/>
    <x v="5"/>
    <x v="3"/>
    <n v="0.48"/>
    <n v="0"/>
    <n v="0"/>
    <n v="95.99"/>
    <n v="0"/>
    <n v="0"/>
    <n v="-0.48"/>
    <n v="-95.99"/>
    <n v="0"/>
    <s v="India"/>
  </r>
  <r>
    <x v="2"/>
    <x v="1"/>
    <x v="68"/>
    <x v="1"/>
    <x v="22"/>
    <x v="6"/>
    <n v="0"/>
    <n v="0"/>
    <n v="0"/>
    <n v="7.0000000000000007E-2"/>
    <n v="0"/>
    <n v="0"/>
    <n v="0"/>
    <n v="-7.0000000000000007E-2"/>
    <n v="0"/>
    <s v="India"/>
  </r>
  <r>
    <x v="0"/>
    <x v="0"/>
    <x v="196"/>
    <x v="1"/>
    <x v="11"/>
    <x v="3"/>
    <n v="0"/>
    <n v="0"/>
    <n v="0"/>
    <n v="2.2799999999999998"/>
    <n v="0"/>
    <n v="0"/>
    <n v="0"/>
    <n v="-2.2799999999999998"/>
    <n v="0"/>
    <s v="India"/>
  </r>
  <r>
    <x v="2"/>
    <x v="1"/>
    <x v="68"/>
    <x v="1"/>
    <x v="13"/>
    <x v="3"/>
    <n v="0"/>
    <n v="0"/>
    <n v="0"/>
    <n v="0.03"/>
    <n v="0.15"/>
    <n v="0"/>
    <n v="0"/>
    <n v="0.12"/>
    <n v="0"/>
    <s v="India"/>
  </r>
  <r>
    <x v="2"/>
    <x v="1"/>
    <x v="68"/>
    <x v="1"/>
    <x v="30"/>
    <x v="5"/>
    <n v="0"/>
    <n v="0"/>
    <n v="0"/>
    <n v="7.0000000000000007E-2"/>
    <n v="0"/>
    <n v="0"/>
    <n v="0"/>
    <n v="-7.0000000000000007E-2"/>
    <n v="0"/>
    <s v="India"/>
  </r>
  <r>
    <x v="2"/>
    <x v="1"/>
    <x v="68"/>
    <x v="1"/>
    <x v="9"/>
    <x v="6"/>
    <n v="0"/>
    <n v="0"/>
    <n v="0"/>
    <n v="0.65"/>
    <n v="1"/>
    <n v="0"/>
    <n v="0"/>
    <n v="0.35"/>
    <n v="0"/>
    <s v="India"/>
  </r>
  <r>
    <x v="0"/>
    <x v="0"/>
    <x v="196"/>
    <x v="1"/>
    <x v="28"/>
    <x v="5"/>
    <n v="0.01"/>
    <n v="0"/>
    <n v="0"/>
    <n v="25"/>
    <n v="0"/>
    <n v="0"/>
    <n v="-0.01"/>
    <n v="-25"/>
    <n v="0"/>
    <s v="India"/>
  </r>
  <r>
    <x v="0"/>
    <x v="0"/>
    <x v="196"/>
    <x v="1"/>
    <x v="6"/>
    <x v="4"/>
    <n v="0.02"/>
    <n v="0"/>
    <n v="0"/>
    <n v="3.04"/>
    <n v="0"/>
    <n v="0"/>
    <n v="-0.02"/>
    <n v="-3.04"/>
    <n v="0"/>
    <s v="India"/>
  </r>
  <r>
    <x v="0"/>
    <x v="0"/>
    <x v="196"/>
    <x v="1"/>
    <x v="4"/>
    <x v="3"/>
    <n v="0.16"/>
    <n v="0"/>
    <n v="0"/>
    <n v="32.020000000000003"/>
    <n v="0"/>
    <n v="0"/>
    <n v="-0.16"/>
    <n v="-32.020000000000003"/>
    <n v="0"/>
    <s v="India"/>
  </r>
  <r>
    <x v="0"/>
    <x v="0"/>
    <x v="196"/>
    <x v="1"/>
    <x v="17"/>
    <x v="5"/>
    <n v="0.02"/>
    <n v="0"/>
    <n v="0"/>
    <n v="5.42"/>
    <n v="0"/>
    <n v="0"/>
    <n v="-0.02"/>
    <n v="-5.42"/>
    <n v="0"/>
    <s v="India"/>
  </r>
  <r>
    <x v="0"/>
    <x v="0"/>
    <x v="196"/>
    <x v="1"/>
    <x v="13"/>
    <x v="3"/>
    <n v="0"/>
    <n v="0"/>
    <n v="0"/>
    <n v="0.03"/>
    <n v="0"/>
    <n v="0"/>
    <n v="0"/>
    <n v="-0.03"/>
    <n v="0"/>
    <s v="India"/>
  </r>
  <r>
    <x v="0"/>
    <x v="0"/>
    <x v="196"/>
    <x v="1"/>
    <x v="8"/>
    <x v="3"/>
    <n v="0.05"/>
    <n v="0"/>
    <n v="0"/>
    <n v="16.920000000000002"/>
    <n v="0"/>
    <n v="0"/>
    <n v="-0.05"/>
    <n v="-16.920000000000002"/>
    <n v="0"/>
    <s v="India"/>
  </r>
  <r>
    <x v="0"/>
    <x v="0"/>
    <x v="196"/>
    <x v="1"/>
    <x v="1"/>
    <x v="1"/>
    <n v="0.05"/>
    <n v="0"/>
    <n v="0"/>
    <n v="1.4"/>
    <n v="0"/>
    <n v="0"/>
    <n v="-0.05"/>
    <n v="-1.4"/>
    <n v="0"/>
    <s v="India"/>
  </r>
  <r>
    <x v="2"/>
    <x v="1"/>
    <x v="8"/>
    <x v="1"/>
    <x v="0"/>
    <x v="0"/>
    <n v="0"/>
    <n v="0.11"/>
    <n v="0"/>
    <n v="0"/>
    <n v="152.01"/>
    <n v="0"/>
    <n v="0.11"/>
    <n v="152.01"/>
    <n v="-0.11"/>
    <s v="India"/>
  </r>
  <r>
    <x v="0"/>
    <x v="0"/>
    <x v="83"/>
    <x v="1"/>
    <x v="5"/>
    <x v="3"/>
    <n v="0.01"/>
    <n v="0"/>
    <n v="0"/>
    <n v="4.0999999999999996"/>
    <n v="0"/>
    <n v="0"/>
    <n v="-0.01"/>
    <n v="-4.0999999999999996"/>
    <n v="0"/>
    <s v="India"/>
  </r>
  <r>
    <x v="2"/>
    <x v="1"/>
    <x v="8"/>
    <x v="1"/>
    <x v="27"/>
    <x v="7"/>
    <n v="0"/>
    <n v="0"/>
    <n v="0"/>
    <n v="0.12"/>
    <n v="0.05"/>
    <n v="0"/>
    <n v="0"/>
    <n v="-6.9999999999999993E-2"/>
    <n v="0"/>
    <s v="India"/>
  </r>
  <r>
    <x v="0"/>
    <x v="0"/>
    <x v="83"/>
    <x v="1"/>
    <x v="16"/>
    <x v="0"/>
    <n v="0"/>
    <n v="0"/>
    <n v="0"/>
    <n v="3.52"/>
    <n v="0"/>
    <n v="0"/>
    <n v="0"/>
    <n v="-3.52"/>
    <n v="0"/>
    <s v="India"/>
  </r>
  <r>
    <x v="0"/>
    <x v="0"/>
    <x v="83"/>
    <x v="1"/>
    <x v="8"/>
    <x v="3"/>
    <n v="0.6"/>
    <n v="0"/>
    <n v="0"/>
    <n v="261.14999999999998"/>
    <n v="2.42"/>
    <n v="0"/>
    <n v="-0.6"/>
    <n v="-258.72999999999996"/>
    <n v="0"/>
    <s v="India"/>
  </r>
  <r>
    <x v="2"/>
    <x v="1"/>
    <x v="8"/>
    <x v="1"/>
    <x v="30"/>
    <x v="5"/>
    <n v="0.01"/>
    <n v="0"/>
    <n v="0"/>
    <n v="15.27"/>
    <n v="0"/>
    <n v="0"/>
    <n v="-0.01"/>
    <n v="-15.27"/>
    <n v="0"/>
    <s v="India"/>
  </r>
  <r>
    <x v="0"/>
    <x v="0"/>
    <x v="35"/>
    <x v="1"/>
    <x v="38"/>
    <x v="5"/>
    <n v="0"/>
    <n v="0.01"/>
    <n v="0"/>
    <n v="3"/>
    <n v="0.7"/>
    <n v="0"/>
    <n v="0.01"/>
    <n v="-2.2999999999999998"/>
    <n v="-0.01"/>
    <s v="India"/>
  </r>
  <r>
    <x v="0"/>
    <x v="0"/>
    <x v="35"/>
    <x v="1"/>
    <x v="9"/>
    <x v="6"/>
    <n v="0"/>
    <n v="0"/>
    <n v="0"/>
    <n v="0.11"/>
    <n v="0"/>
    <n v="0"/>
    <n v="0"/>
    <n v="-0.11"/>
    <n v="0"/>
    <s v="India"/>
  </r>
  <r>
    <x v="0"/>
    <x v="0"/>
    <x v="35"/>
    <x v="1"/>
    <x v="17"/>
    <x v="5"/>
    <n v="0.04"/>
    <n v="0.02"/>
    <n v="0"/>
    <n v="4.37"/>
    <n v="1.52"/>
    <n v="0"/>
    <n v="-0.02"/>
    <n v="-2.85"/>
    <n v="-0.02"/>
    <s v="India"/>
  </r>
  <r>
    <x v="0"/>
    <x v="0"/>
    <x v="35"/>
    <x v="1"/>
    <x v="12"/>
    <x v="4"/>
    <n v="0"/>
    <n v="0"/>
    <n v="0"/>
    <n v="0.37"/>
    <n v="0"/>
    <n v="0"/>
    <n v="0"/>
    <n v="-0.37"/>
    <n v="0"/>
    <s v="India"/>
  </r>
  <r>
    <x v="0"/>
    <x v="0"/>
    <x v="35"/>
    <x v="1"/>
    <x v="30"/>
    <x v="5"/>
    <n v="0"/>
    <n v="0"/>
    <n v="0"/>
    <n v="0.54"/>
    <n v="0"/>
    <n v="0"/>
    <n v="0"/>
    <n v="-0.54"/>
    <n v="0"/>
    <s v="India"/>
  </r>
  <r>
    <x v="0"/>
    <x v="0"/>
    <x v="35"/>
    <x v="1"/>
    <x v="13"/>
    <x v="3"/>
    <n v="0.09"/>
    <n v="0"/>
    <n v="0"/>
    <n v="29.5"/>
    <n v="0.06"/>
    <n v="0"/>
    <n v="-0.09"/>
    <n v="-29.44"/>
    <n v="0"/>
    <s v="India"/>
  </r>
  <r>
    <x v="2"/>
    <x v="1"/>
    <x v="8"/>
    <x v="1"/>
    <x v="32"/>
    <x v="0"/>
    <n v="0"/>
    <n v="0"/>
    <n v="0"/>
    <n v="0"/>
    <n v="0.08"/>
    <n v="0"/>
    <n v="0"/>
    <n v="0.08"/>
    <n v="0"/>
    <s v="India"/>
  </r>
  <r>
    <x v="0"/>
    <x v="0"/>
    <x v="35"/>
    <x v="1"/>
    <x v="36"/>
    <x v="6"/>
    <n v="0"/>
    <n v="0"/>
    <n v="0"/>
    <n v="0.22"/>
    <n v="0"/>
    <n v="0"/>
    <n v="0"/>
    <n v="-0.22"/>
    <n v="0"/>
    <s v="India"/>
  </r>
  <r>
    <x v="2"/>
    <x v="1"/>
    <x v="8"/>
    <x v="1"/>
    <x v="24"/>
    <x v="4"/>
    <n v="0"/>
    <n v="0"/>
    <n v="0"/>
    <n v="0"/>
    <n v="26.15"/>
    <n v="0"/>
    <n v="0"/>
    <n v="26.15"/>
    <n v="0"/>
    <s v="India"/>
  </r>
  <r>
    <x v="2"/>
    <x v="1"/>
    <x v="8"/>
    <x v="1"/>
    <x v="38"/>
    <x v="5"/>
    <n v="0"/>
    <n v="7.0000000000000007E-2"/>
    <n v="0"/>
    <n v="1"/>
    <n v="11.42"/>
    <n v="0"/>
    <n v="7.0000000000000007E-2"/>
    <n v="10.42"/>
    <n v="-7.0000000000000007E-2"/>
    <s v="India"/>
  </r>
  <r>
    <x v="0"/>
    <x v="0"/>
    <x v="35"/>
    <x v="1"/>
    <x v="40"/>
    <x v="6"/>
    <n v="0.3"/>
    <n v="0"/>
    <n v="0"/>
    <n v="24.48"/>
    <n v="0.05"/>
    <n v="0"/>
    <n v="-0.3"/>
    <n v="-24.43"/>
    <n v="0"/>
    <s v="India"/>
  </r>
  <r>
    <x v="2"/>
    <x v="1"/>
    <x v="8"/>
    <x v="1"/>
    <x v="42"/>
    <x v="1"/>
    <n v="0.14000000000000001"/>
    <n v="0"/>
    <n v="0"/>
    <n v="57"/>
    <n v="0"/>
    <n v="0"/>
    <n v="-0.14000000000000001"/>
    <n v="-57"/>
    <n v="0"/>
    <s v="India"/>
  </r>
  <r>
    <x v="2"/>
    <x v="1"/>
    <x v="8"/>
    <x v="1"/>
    <x v="3"/>
    <x v="2"/>
    <n v="0.02"/>
    <n v="0.09"/>
    <n v="0"/>
    <n v="14.27"/>
    <n v="67.510000000000005"/>
    <n v="0"/>
    <n v="6.9999999999999993E-2"/>
    <n v="53.240000000000009"/>
    <n v="-0.09"/>
    <s v="India"/>
  </r>
  <r>
    <x v="0"/>
    <x v="0"/>
    <x v="54"/>
    <x v="1"/>
    <x v="38"/>
    <x v="5"/>
    <n v="0"/>
    <n v="0"/>
    <n v="0"/>
    <n v="0.33"/>
    <n v="0"/>
    <n v="0"/>
    <n v="0"/>
    <n v="-0.33"/>
    <n v="0"/>
    <s v="India"/>
  </r>
  <r>
    <x v="2"/>
    <x v="1"/>
    <x v="109"/>
    <x v="2"/>
    <x v="8"/>
    <x v="3"/>
    <n v="0.05"/>
    <n v="0"/>
    <n v="0"/>
    <n v="39.43"/>
    <n v="0"/>
    <n v="0"/>
    <n v="-0.05"/>
    <n v="-39.43"/>
    <n v="0"/>
    <s v="India"/>
  </r>
  <r>
    <x v="2"/>
    <x v="1"/>
    <x v="109"/>
    <x v="2"/>
    <x v="30"/>
    <x v="5"/>
    <n v="0"/>
    <n v="0"/>
    <n v="0"/>
    <n v="0.95"/>
    <n v="0"/>
    <n v="0"/>
    <n v="0"/>
    <n v="-0.95"/>
    <n v="0"/>
    <s v="India"/>
  </r>
  <r>
    <x v="2"/>
    <x v="1"/>
    <x v="109"/>
    <x v="2"/>
    <x v="17"/>
    <x v="5"/>
    <n v="0"/>
    <n v="0.12"/>
    <n v="0"/>
    <n v="0"/>
    <n v="160"/>
    <n v="0"/>
    <n v="0.12"/>
    <n v="160"/>
    <n v="-0.12"/>
    <s v="India"/>
  </r>
  <r>
    <x v="2"/>
    <x v="1"/>
    <x v="109"/>
    <x v="2"/>
    <x v="15"/>
    <x v="0"/>
    <n v="0.27"/>
    <n v="0"/>
    <n v="0"/>
    <n v="1005.93"/>
    <n v="0"/>
    <n v="0"/>
    <n v="-0.27"/>
    <n v="-1005.93"/>
    <n v="0"/>
    <s v="India"/>
  </r>
  <r>
    <x v="2"/>
    <x v="1"/>
    <x v="109"/>
    <x v="2"/>
    <x v="11"/>
    <x v="3"/>
    <n v="0.01"/>
    <n v="0"/>
    <n v="0"/>
    <n v="4.46"/>
    <n v="0"/>
    <n v="0"/>
    <n v="-0.01"/>
    <n v="-4.46"/>
    <n v="0"/>
    <s v="India"/>
  </r>
  <r>
    <x v="2"/>
    <x v="1"/>
    <x v="109"/>
    <x v="2"/>
    <x v="26"/>
    <x v="0"/>
    <n v="0.02"/>
    <n v="0"/>
    <n v="0"/>
    <n v="69.06"/>
    <n v="0"/>
    <n v="0"/>
    <n v="-0.02"/>
    <n v="-69.06"/>
    <n v="0"/>
    <s v="India"/>
  </r>
  <r>
    <x v="0"/>
    <x v="0"/>
    <x v="54"/>
    <x v="1"/>
    <x v="36"/>
    <x v="6"/>
    <n v="0"/>
    <n v="0"/>
    <n v="0"/>
    <n v="0"/>
    <n v="0.34"/>
    <n v="0"/>
    <n v="0"/>
    <n v="0.34"/>
    <n v="0"/>
    <s v="India"/>
  </r>
  <r>
    <x v="0"/>
    <x v="0"/>
    <x v="54"/>
    <x v="1"/>
    <x v="40"/>
    <x v="6"/>
    <n v="0"/>
    <n v="0.01"/>
    <n v="0"/>
    <n v="0"/>
    <n v="0.56000000000000005"/>
    <n v="0"/>
    <n v="0.01"/>
    <n v="0.56000000000000005"/>
    <n v="-0.01"/>
    <s v="India"/>
  </r>
  <r>
    <x v="0"/>
    <x v="0"/>
    <x v="54"/>
    <x v="1"/>
    <x v="0"/>
    <x v="0"/>
    <n v="0.06"/>
    <n v="0"/>
    <n v="0"/>
    <n v="72.2"/>
    <n v="0"/>
    <n v="0"/>
    <n v="-0.06"/>
    <n v="-72.2"/>
    <n v="0"/>
    <s v="India"/>
  </r>
  <r>
    <x v="2"/>
    <x v="1"/>
    <x v="60"/>
    <x v="1"/>
    <x v="9"/>
    <x v="6"/>
    <n v="0"/>
    <n v="0.21"/>
    <n v="0"/>
    <n v="0"/>
    <n v="211.2"/>
    <n v="0"/>
    <n v="0.21"/>
    <n v="211.2"/>
    <n v="-0.21"/>
    <s v="India"/>
  </r>
  <r>
    <x v="0"/>
    <x v="0"/>
    <x v="36"/>
    <x v="1"/>
    <x v="28"/>
    <x v="5"/>
    <n v="0.02"/>
    <n v="0"/>
    <n v="0"/>
    <n v="21"/>
    <n v="0"/>
    <n v="0"/>
    <n v="-0.02"/>
    <n v="-21"/>
    <n v="0"/>
    <s v="India"/>
  </r>
  <r>
    <x v="2"/>
    <x v="1"/>
    <x v="60"/>
    <x v="1"/>
    <x v="37"/>
    <x v="3"/>
    <n v="0"/>
    <n v="0"/>
    <n v="0"/>
    <n v="0"/>
    <n v="0.08"/>
    <n v="0"/>
    <n v="0"/>
    <n v="0.08"/>
    <n v="0"/>
    <s v="India"/>
  </r>
  <r>
    <x v="2"/>
    <x v="1"/>
    <x v="60"/>
    <x v="1"/>
    <x v="35"/>
    <x v="0"/>
    <n v="0"/>
    <n v="0"/>
    <n v="0"/>
    <n v="0"/>
    <n v="25.5"/>
    <n v="0"/>
    <n v="0"/>
    <n v="25.5"/>
    <n v="0"/>
    <s v="India"/>
  </r>
  <r>
    <x v="2"/>
    <x v="1"/>
    <x v="60"/>
    <x v="1"/>
    <x v="4"/>
    <x v="3"/>
    <n v="0"/>
    <n v="0"/>
    <n v="0"/>
    <n v="0"/>
    <n v="0"/>
    <n v="0.01"/>
    <n v="0"/>
    <n v="0"/>
    <n v="0"/>
    <s v="India"/>
  </r>
  <r>
    <x v="0"/>
    <x v="0"/>
    <x v="36"/>
    <x v="1"/>
    <x v="27"/>
    <x v="7"/>
    <n v="0.11"/>
    <n v="0.06"/>
    <n v="0"/>
    <n v="13.25"/>
    <n v="22"/>
    <n v="0"/>
    <n v="-0.05"/>
    <n v="8.75"/>
    <n v="-0.06"/>
    <s v="India"/>
  </r>
  <r>
    <x v="0"/>
    <x v="0"/>
    <x v="51"/>
    <x v="4"/>
    <x v="19"/>
    <x v="4"/>
    <n v="0"/>
    <n v="0"/>
    <n v="0"/>
    <n v="0.1"/>
    <n v="0"/>
    <n v="0"/>
    <n v="0"/>
    <n v="-0.1"/>
    <n v="0"/>
    <s v="India"/>
  </r>
  <r>
    <x v="2"/>
    <x v="1"/>
    <x v="104"/>
    <x v="3"/>
    <x v="0"/>
    <x v="0"/>
    <n v="0"/>
    <n v="0"/>
    <n v="0"/>
    <n v="0"/>
    <n v="0.4"/>
    <n v="0"/>
    <n v="0"/>
    <n v="0.4"/>
    <n v="0"/>
    <s v="India"/>
  </r>
  <r>
    <x v="2"/>
    <x v="1"/>
    <x v="104"/>
    <x v="3"/>
    <x v="40"/>
    <x v="6"/>
    <n v="0"/>
    <n v="0"/>
    <n v="0"/>
    <n v="0"/>
    <n v="0.02"/>
    <n v="0"/>
    <n v="0"/>
    <n v="0.02"/>
    <n v="0"/>
    <s v="India"/>
  </r>
  <r>
    <x v="2"/>
    <x v="1"/>
    <x v="104"/>
    <x v="3"/>
    <x v="36"/>
    <x v="6"/>
    <n v="0"/>
    <n v="0"/>
    <n v="0"/>
    <n v="0"/>
    <n v="0.12"/>
    <n v="0"/>
    <n v="0"/>
    <n v="0.12"/>
    <n v="0"/>
    <s v="India"/>
  </r>
  <r>
    <x v="2"/>
    <x v="1"/>
    <x v="104"/>
    <x v="3"/>
    <x v="8"/>
    <x v="3"/>
    <n v="0"/>
    <n v="0"/>
    <n v="0"/>
    <n v="0"/>
    <n v="0.14000000000000001"/>
    <n v="0"/>
    <n v="0"/>
    <n v="0.14000000000000001"/>
    <n v="0"/>
    <s v="India"/>
  </r>
  <r>
    <x v="2"/>
    <x v="1"/>
    <x v="104"/>
    <x v="3"/>
    <x v="30"/>
    <x v="5"/>
    <n v="0.01"/>
    <n v="0.01"/>
    <n v="0"/>
    <n v="0.32"/>
    <n v="0.83"/>
    <n v="0"/>
    <n v="0"/>
    <n v="0.51"/>
    <n v="-0.01"/>
    <s v="India"/>
  </r>
  <r>
    <x v="0"/>
    <x v="0"/>
    <x v="51"/>
    <x v="4"/>
    <x v="20"/>
    <x v="3"/>
    <n v="0"/>
    <n v="0"/>
    <n v="0"/>
    <n v="0"/>
    <n v="0.47"/>
    <n v="0"/>
    <n v="0"/>
    <n v="0.47"/>
    <n v="0"/>
    <s v="India"/>
  </r>
  <r>
    <x v="2"/>
    <x v="1"/>
    <x v="104"/>
    <x v="3"/>
    <x v="4"/>
    <x v="3"/>
    <n v="0"/>
    <n v="0"/>
    <n v="0"/>
    <n v="0"/>
    <n v="7.0000000000000007E-2"/>
    <n v="0"/>
    <n v="0"/>
    <n v="7.0000000000000007E-2"/>
    <n v="0"/>
    <s v="India"/>
  </r>
  <r>
    <x v="2"/>
    <x v="1"/>
    <x v="104"/>
    <x v="3"/>
    <x v="2"/>
    <x v="0"/>
    <n v="0"/>
    <n v="0.01"/>
    <n v="0"/>
    <n v="0"/>
    <n v="1"/>
    <n v="0"/>
    <n v="0.01"/>
    <n v="1"/>
    <n v="-0.01"/>
    <s v="India"/>
  </r>
  <r>
    <x v="0"/>
    <x v="0"/>
    <x v="51"/>
    <x v="4"/>
    <x v="34"/>
    <x v="6"/>
    <n v="0.02"/>
    <n v="0"/>
    <n v="0"/>
    <n v="20"/>
    <n v="5.7"/>
    <n v="0"/>
    <n v="-0.02"/>
    <n v="-14.3"/>
    <n v="0"/>
    <s v="India"/>
  </r>
  <r>
    <x v="2"/>
    <x v="1"/>
    <x v="104"/>
    <x v="3"/>
    <x v="11"/>
    <x v="3"/>
    <n v="0"/>
    <n v="0"/>
    <n v="0"/>
    <n v="1"/>
    <n v="0.08"/>
    <n v="0"/>
    <n v="0"/>
    <n v="-0.92"/>
    <n v="0"/>
    <s v="India"/>
  </r>
  <r>
    <x v="2"/>
    <x v="1"/>
    <x v="104"/>
    <x v="3"/>
    <x v="5"/>
    <x v="3"/>
    <n v="0"/>
    <n v="0"/>
    <n v="0"/>
    <n v="0.41"/>
    <n v="5.17"/>
    <n v="0"/>
    <n v="0"/>
    <n v="4.76"/>
    <n v="0"/>
    <s v="India"/>
  </r>
  <r>
    <x v="2"/>
    <x v="1"/>
    <x v="104"/>
    <x v="3"/>
    <x v="3"/>
    <x v="2"/>
    <n v="0"/>
    <n v="0"/>
    <n v="0"/>
    <n v="0.1"/>
    <n v="4.4800000000000004"/>
    <n v="0"/>
    <n v="0"/>
    <n v="4.3800000000000008"/>
    <n v="0"/>
    <s v="India"/>
  </r>
  <r>
    <x v="0"/>
    <x v="0"/>
    <x v="51"/>
    <x v="4"/>
    <x v="14"/>
    <x v="3"/>
    <n v="0"/>
    <n v="0"/>
    <n v="0"/>
    <n v="0.2"/>
    <n v="0"/>
    <n v="0"/>
    <n v="0"/>
    <n v="-0.2"/>
    <n v="0"/>
    <s v="India"/>
  </r>
  <r>
    <x v="0"/>
    <x v="0"/>
    <x v="51"/>
    <x v="4"/>
    <x v="39"/>
    <x v="7"/>
    <n v="0"/>
    <n v="0"/>
    <n v="0"/>
    <n v="0"/>
    <n v="0.01"/>
    <n v="0"/>
    <n v="0"/>
    <n v="0.01"/>
    <n v="0"/>
    <s v="India"/>
  </r>
  <r>
    <x v="0"/>
    <x v="0"/>
    <x v="197"/>
    <x v="4"/>
    <x v="41"/>
    <x v="6"/>
    <n v="0"/>
    <n v="0.17"/>
    <n v="0"/>
    <n v="0"/>
    <n v="18"/>
    <n v="0"/>
    <n v="0.17"/>
    <n v="18"/>
    <n v="-0.17"/>
    <s v="India"/>
  </r>
  <r>
    <x v="0"/>
    <x v="0"/>
    <x v="197"/>
    <x v="4"/>
    <x v="4"/>
    <x v="3"/>
    <n v="1.1100000000000001"/>
    <n v="1.24"/>
    <n v="0"/>
    <n v="53.72"/>
    <n v="45.68"/>
    <n v="0"/>
    <n v="0.12999999999999989"/>
    <n v="-8.0399999999999991"/>
    <n v="-1.24"/>
    <s v="India"/>
  </r>
  <r>
    <x v="2"/>
    <x v="1"/>
    <x v="59"/>
    <x v="2"/>
    <x v="40"/>
    <x v="6"/>
    <n v="0.02"/>
    <n v="0.02"/>
    <n v="0"/>
    <n v="25"/>
    <n v="20"/>
    <n v="0"/>
    <n v="0"/>
    <n v="-5"/>
    <n v="-0.02"/>
    <s v="India"/>
  </r>
  <r>
    <x v="2"/>
    <x v="1"/>
    <x v="59"/>
    <x v="2"/>
    <x v="36"/>
    <x v="6"/>
    <n v="0"/>
    <n v="0"/>
    <n v="0"/>
    <n v="0"/>
    <n v="0.08"/>
    <n v="0"/>
    <n v="0"/>
    <n v="0.08"/>
    <n v="0"/>
    <s v="India"/>
  </r>
  <r>
    <x v="0"/>
    <x v="0"/>
    <x v="67"/>
    <x v="3"/>
    <x v="41"/>
    <x v="6"/>
    <n v="0"/>
    <n v="0"/>
    <n v="0"/>
    <n v="0"/>
    <n v="0.04"/>
    <n v="0"/>
    <n v="0"/>
    <n v="0.04"/>
    <n v="0"/>
    <s v="India"/>
  </r>
  <r>
    <x v="0"/>
    <x v="0"/>
    <x v="67"/>
    <x v="3"/>
    <x v="3"/>
    <x v="2"/>
    <n v="0"/>
    <n v="0.01"/>
    <n v="0"/>
    <n v="0"/>
    <n v="3.7"/>
    <n v="0"/>
    <n v="0.01"/>
    <n v="3.7"/>
    <n v="-0.01"/>
    <s v="India"/>
  </r>
  <r>
    <x v="0"/>
    <x v="0"/>
    <x v="67"/>
    <x v="3"/>
    <x v="33"/>
    <x v="7"/>
    <n v="0"/>
    <n v="0"/>
    <n v="0"/>
    <n v="0"/>
    <n v="0.1"/>
    <n v="0"/>
    <n v="0"/>
    <n v="0.1"/>
    <n v="0"/>
    <s v="India"/>
  </r>
  <r>
    <x v="2"/>
    <x v="1"/>
    <x v="59"/>
    <x v="2"/>
    <x v="20"/>
    <x v="3"/>
    <n v="0"/>
    <n v="0.04"/>
    <n v="0"/>
    <n v="5.95"/>
    <n v="28.81"/>
    <n v="0"/>
    <n v="0.04"/>
    <n v="22.86"/>
    <n v="-0.04"/>
    <s v="India"/>
  </r>
  <r>
    <x v="0"/>
    <x v="0"/>
    <x v="67"/>
    <x v="3"/>
    <x v="32"/>
    <x v="0"/>
    <n v="0"/>
    <n v="0"/>
    <n v="0"/>
    <n v="0.65"/>
    <n v="0.03"/>
    <n v="0"/>
    <n v="0"/>
    <n v="-0.62"/>
    <n v="0"/>
    <s v="India"/>
  </r>
  <r>
    <x v="2"/>
    <x v="1"/>
    <x v="59"/>
    <x v="2"/>
    <x v="19"/>
    <x v="4"/>
    <n v="0.17"/>
    <n v="0.45"/>
    <n v="0"/>
    <n v="477.8"/>
    <n v="1447.85"/>
    <n v="0"/>
    <n v="0.28000000000000003"/>
    <n v="970.05"/>
    <n v="-0.45"/>
    <s v="India"/>
  </r>
  <r>
    <x v="0"/>
    <x v="0"/>
    <x v="67"/>
    <x v="3"/>
    <x v="9"/>
    <x v="6"/>
    <n v="0"/>
    <n v="0.01"/>
    <n v="0"/>
    <n v="0.3"/>
    <n v="1.5"/>
    <n v="0"/>
    <n v="0.01"/>
    <n v="1.2"/>
    <n v="-0.01"/>
    <s v="India"/>
  </r>
  <r>
    <x v="0"/>
    <x v="0"/>
    <x v="67"/>
    <x v="3"/>
    <x v="34"/>
    <x v="6"/>
    <n v="0"/>
    <n v="0"/>
    <n v="0"/>
    <n v="0.06"/>
    <n v="0.02"/>
    <n v="0"/>
    <n v="0"/>
    <n v="-3.9999999999999994E-2"/>
    <n v="0"/>
    <s v="India"/>
  </r>
  <r>
    <x v="0"/>
    <x v="0"/>
    <x v="67"/>
    <x v="3"/>
    <x v="36"/>
    <x v="6"/>
    <n v="0"/>
    <n v="0"/>
    <n v="0"/>
    <n v="0.14000000000000001"/>
    <n v="0.2"/>
    <n v="0"/>
    <n v="0"/>
    <n v="0.06"/>
    <n v="0"/>
    <s v="India"/>
  </r>
  <r>
    <x v="0"/>
    <x v="0"/>
    <x v="67"/>
    <x v="3"/>
    <x v="22"/>
    <x v="6"/>
    <n v="0"/>
    <n v="0.01"/>
    <n v="0"/>
    <n v="0"/>
    <n v="1.1000000000000001"/>
    <n v="0"/>
    <n v="0.01"/>
    <n v="1.1000000000000001"/>
    <n v="-0.01"/>
    <s v="India"/>
  </r>
  <r>
    <x v="2"/>
    <x v="1"/>
    <x v="59"/>
    <x v="2"/>
    <x v="29"/>
    <x v="7"/>
    <n v="0.18"/>
    <n v="0"/>
    <n v="0"/>
    <n v="54.72"/>
    <n v="0"/>
    <n v="0"/>
    <n v="-0.18"/>
    <n v="-54.72"/>
    <n v="0"/>
    <s v="India"/>
  </r>
  <r>
    <x v="0"/>
    <x v="0"/>
    <x v="67"/>
    <x v="3"/>
    <x v="1"/>
    <x v="1"/>
    <n v="0.02"/>
    <n v="0"/>
    <n v="0"/>
    <n v="0.5"/>
    <n v="0"/>
    <n v="0"/>
    <n v="-0.02"/>
    <n v="-0.5"/>
    <n v="0"/>
    <s v="India"/>
  </r>
  <r>
    <x v="0"/>
    <x v="0"/>
    <x v="67"/>
    <x v="3"/>
    <x v="0"/>
    <x v="0"/>
    <n v="0"/>
    <n v="0"/>
    <n v="0"/>
    <n v="0"/>
    <n v="0.34"/>
    <n v="0"/>
    <n v="0"/>
    <n v="0.34"/>
    <n v="0"/>
    <s v="India"/>
  </r>
  <r>
    <x v="0"/>
    <x v="0"/>
    <x v="67"/>
    <x v="3"/>
    <x v="14"/>
    <x v="3"/>
    <n v="0"/>
    <n v="0"/>
    <n v="0"/>
    <n v="0"/>
    <n v="0"/>
    <n v="0"/>
    <n v="0"/>
    <n v="0"/>
    <n v="0"/>
    <s v="India"/>
  </r>
  <r>
    <x v="18"/>
    <x v="0"/>
    <x v="93"/>
    <x v="1"/>
    <x v="36"/>
    <x v="6"/>
    <n v="0.01"/>
    <n v="0.03"/>
    <n v="0"/>
    <n v="1.2"/>
    <n v="2.79"/>
    <n v="0"/>
    <n v="1.9999999999999997E-2"/>
    <n v="1.59"/>
    <n v="-0.03"/>
    <s v="India"/>
  </r>
  <r>
    <x v="18"/>
    <x v="0"/>
    <x v="121"/>
    <x v="3"/>
    <x v="3"/>
    <x v="2"/>
    <n v="0"/>
    <n v="0"/>
    <n v="0"/>
    <n v="0"/>
    <n v="0.17"/>
    <n v="0"/>
    <n v="0"/>
    <n v="0.17"/>
    <n v="0"/>
    <s v="India"/>
  </r>
  <r>
    <x v="18"/>
    <x v="0"/>
    <x v="121"/>
    <x v="3"/>
    <x v="11"/>
    <x v="3"/>
    <n v="0"/>
    <n v="0"/>
    <n v="0"/>
    <n v="0.02"/>
    <n v="0.65"/>
    <n v="0"/>
    <n v="0"/>
    <n v="0.63"/>
    <n v="0"/>
    <s v="India"/>
  </r>
  <r>
    <x v="18"/>
    <x v="0"/>
    <x v="121"/>
    <x v="3"/>
    <x v="37"/>
    <x v="3"/>
    <n v="0"/>
    <n v="0"/>
    <n v="0"/>
    <n v="0.01"/>
    <n v="0"/>
    <n v="0"/>
    <n v="0"/>
    <n v="-0.01"/>
    <n v="0"/>
    <s v="India"/>
  </r>
  <r>
    <x v="18"/>
    <x v="0"/>
    <x v="121"/>
    <x v="3"/>
    <x v="10"/>
    <x v="3"/>
    <n v="0"/>
    <n v="0"/>
    <n v="0"/>
    <n v="0"/>
    <n v="0.13"/>
    <n v="0"/>
    <n v="0"/>
    <n v="0.13"/>
    <n v="0"/>
    <s v="India"/>
  </r>
  <r>
    <x v="2"/>
    <x v="1"/>
    <x v="147"/>
    <x v="4"/>
    <x v="35"/>
    <x v="0"/>
    <n v="0"/>
    <n v="0"/>
    <n v="0"/>
    <n v="0"/>
    <n v="0.03"/>
    <n v="0.01"/>
    <n v="0"/>
    <n v="0.03"/>
    <n v="0"/>
    <s v="India"/>
  </r>
  <r>
    <x v="18"/>
    <x v="0"/>
    <x v="165"/>
    <x v="3"/>
    <x v="3"/>
    <x v="2"/>
    <n v="0"/>
    <n v="0"/>
    <n v="0"/>
    <n v="0.28999999999999998"/>
    <n v="0.05"/>
    <n v="0"/>
    <n v="0"/>
    <n v="-0.24"/>
    <n v="0"/>
    <s v="India"/>
  </r>
  <r>
    <x v="2"/>
    <x v="1"/>
    <x v="147"/>
    <x v="4"/>
    <x v="38"/>
    <x v="5"/>
    <n v="0.05"/>
    <n v="0"/>
    <n v="0"/>
    <n v="56"/>
    <n v="0"/>
    <n v="0"/>
    <n v="-0.05"/>
    <n v="-56"/>
    <n v="0"/>
    <s v="India"/>
  </r>
  <r>
    <x v="2"/>
    <x v="1"/>
    <x v="147"/>
    <x v="4"/>
    <x v="41"/>
    <x v="6"/>
    <n v="0"/>
    <n v="0.65"/>
    <n v="0"/>
    <n v="0"/>
    <n v="83.6"/>
    <n v="0"/>
    <n v="0.65"/>
    <n v="83.6"/>
    <n v="-0.65"/>
    <s v="India"/>
  </r>
  <r>
    <x v="2"/>
    <x v="1"/>
    <x v="107"/>
    <x v="2"/>
    <x v="13"/>
    <x v="3"/>
    <n v="0"/>
    <n v="0"/>
    <n v="0"/>
    <n v="0.2"/>
    <n v="0"/>
    <n v="0"/>
    <n v="0"/>
    <n v="-0.2"/>
    <n v="0"/>
    <s v="India"/>
  </r>
  <r>
    <x v="18"/>
    <x v="0"/>
    <x v="165"/>
    <x v="3"/>
    <x v="5"/>
    <x v="3"/>
    <n v="0"/>
    <n v="0"/>
    <n v="0"/>
    <n v="0.66"/>
    <n v="1.88"/>
    <n v="0"/>
    <n v="0"/>
    <n v="1.2199999999999998"/>
    <n v="0"/>
    <s v="India"/>
  </r>
  <r>
    <x v="2"/>
    <x v="1"/>
    <x v="107"/>
    <x v="2"/>
    <x v="9"/>
    <x v="6"/>
    <n v="0.1"/>
    <n v="0"/>
    <n v="0"/>
    <n v="233.44"/>
    <n v="0"/>
    <n v="0"/>
    <n v="-0.1"/>
    <n v="-233.44"/>
    <n v="0"/>
    <s v="India"/>
  </r>
  <r>
    <x v="2"/>
    <x v="1"/>
    <x v="107"/>
    <x v="2"/>
    <x v="15"/>
    <x v="0"/>
    <n v="0.03"/>
    <n v="0"/>
    <n v="0"/>
    <n v="108.16"/>
    <n v="0"/>
    <n v="0"/>
    <n v="-0.03"/>
    <n v="-108.16"/>
    <n v="0"/>
    <s v="India"/>
  </r>
  <r>
    <x v="2"/>
    <x v="1"/>
    <x v="107"/>
    <x v="2"/>
    <x v="4"/>
    <x v="3"/>
    <n v="0"/>
    <n v="0.01"/>
    <n v="0"/>
    <n v="0"/>
    <n v="57.9"/>
    <n v="0"/>
    <n v="0.01"/>
    <n v="57.9"/>
    <n v="-0.01"/>
    <s v="India"/>
  </r>
  <r>
    <x v="18"/>
    <x v="0"/>
    <x v="165"/>
    <x v="3"/>
    <x v="11"/>
    <x v="3"/>
    <n v="0"/>
    <n v="0.01"/>
    <n v="0"/>
    <n v="0"/>
    <n v="1.6"/>
    <n v="0"/>
    <n v="0.01"/>
    <n v="1.6"/>
    <n v="-0.01"/>
    <s v="India"/>
  </r>
  <r>
    <x v="18"/>
    <x v="0"/>
    <x v="165"/>
    <x v="3"/>
    <x v="4"/>
    <x v="3"/>
    <n v="0"/>
    <n v="0"/>
    <n v="0"/>
    <n v="0"/>
    <n v="0"/>
    <n v="0.02"/>
    <n v="0"/>
    <n v="0"/>
    <n v="0"/>
    <s v="India"/>
  </r>
  <r>
    <x v="2"/>
    <x v="1"/>
    <x v="107"/>
    <x v="2"/>
    <x v="3"/>
    <x v="2"/>
    <n v="0.11"/>
    <n v="0"/>
    <n v="0"/>
    <n v="140.46"/>
    <n v="0"/>
    <n v="0"/>
    <n v="-0.11"/>
    <n v="-140.46"/>
    <n v="0"/>
    <s v="India"/>
  </r>
  <r>
    <x v="18"/>
    <x v="0"/>
    <x v="165"/>
    <x v="3"/>
    <x v="12"/>
    <x v="4"/>
    <n v="0"/>
    <n v="0"/>
    <n v="0"/>
    <n v="0.89"/>
    <n v="0.46"/>
    <n v="0"/>
    <n v="0"/>
    <n v="-0.43"/>
    <n v="0"/>
    <s v="India"/>
  </r>
  <r>
    <x v="2"/>
    <x v="1"/>
    <x v="198"/>
    <x v="2"/>
    <x v="2"/>
    <x v="0"/>
    <n v="0.01"/>
    <n v="0"/>
    <n v="0"/>
    <n v="20"/>
    <n v="0"/>
    <n v="0"/>
    <n v="-0.01"/>
    <n v="-20"/>
    <n v="0"/>
    <s v="India"/>
  </r>
  <r>
    <x v="18"/>
    <x v="0"/>
    <x v="165"/>
    <x v="3"/>
    <x v="30"/>
    <x v="5"/>
    <n v="0"/>
    <n v="0"/>
    <n v="0"/>
    <n v="0"/>
    <n v="0.61"/>
    <n v="0"/>
    <n v="0"/>
    <n v="0.61"/>
    <n v="0"/>
    <s v="India"/>
  </r>
  <r>
    <x v="18"/>
    <x v="0"/>
    <x v="165"/>
    <x v="3"/>
    <x v="8"/>
    <x v="3"/>
    <n v="0.02"/>
    <n v="0"/>
    <n v="0"/>
    <n v="10.58"/>
    <n v="0"/>
    <n v="0"/>
    <n v="-0.02"/>
    <n v="-10.58"/>
    <n v="0"/>
    <s v="India"/>
  </r>
  <r>
    <x v="13"/>
    <x v="1"/>
    <x v="128"/>
    <x v="1"/>
    <x v="38"/>
    <x v="5"/>
    <n v="0"/>
    <n v="1.02"/>
    <n v="0"/>
    <n v="0.36"/>
    <n v="133.12"/>
    <n v="0"/>
    <n v="1.02"/>
    <n v="132.76"/>
    <n v="-1.02"/>
    <s v="India"/>
  </r>
  <r>
    <x v="4"/>
    <x v="3"/>
    <x v="96"/>
    <x v="2"/>
    <x v="20"/>
    <x v="3"/>
    <n v="0"/>
    <n v="0"/>
    <n v="0"/>
    <n v="1.5"/>
    <n v="0"/>
    <n v="0"/>
    <n v="0"/>
    <n v="-1.5"/>
    <n v="0"/>
    <s v="India"/>
  </r>
  <r>
    <x v="13"/>
    <x v="1"/>
    <x v="128"/>
    <x v="1"/>
    <x v="24"/>
    <x v="4"/>
    <n v="0"/>
    <n v="0"/>
    <n v="0"/>
    <n v="0"/>
    <n v="0.01"/>
    <n v="0"/>
    <n v="0"/>
    <n v="0.01"/>
    <n v="0"/>
    <s v="India"/>
  </r>
  <r>
    <x v="4"/>
    <x v="3"/>
    <x v="96"/>
    <x v="2"/>
    <x v="19"/>
    <x v="4"/>
    <n v="0.12"/>
    <n v="0.04"/>
    <n v="0"/>
    <n v="335.73"/>
    <n v="84.41"/>
    <n v="0.09"/>
    <n v="-7.9999999999999988E-2"/>
    <n v="-251.32000000000002"/>
    <n v="-0.04"/>
    <s v="India"/>
  </r>
  <r>
    <x v="13"/>
    <x v="1"/>
    <x v="128"/>
    <x v="1"/>
    <x v="6"/>
    <x v="4"/>
    <n v="0"/>
    <n v="0"/>
    <n v="0"/>
    <n v="0"/>
    <n v="1.32"/>
    <n v="0"/>
    <n v="0"/>
    <n v="1.32"/>
    <n v="0"/>
    <s v="India"/>
  </r>
  <r>
    <x v="4"/>
    <x v="3"/>
    <x v="96"/>
    <x v="2"/>
    <x v="17"/>
    <x v="5"/>
    <n v="0"/>
    <n v="0.01"/>
    <n v="0"/>
    <n v="0"/>
    <n v="4.99"/>
    <n v="0"/>
    <n v="0.01"/>
    <n v="4.99"/>
    <n v="-0.01"/>
    <s v="India"/>
  </r>
  <r>
    <x v="4"/>
    <x v="3"/>
    <x v="96"/>
    <x v="2"/>
    <x v="15"/>
    <x v="0"/>
    <n v="0"/>
    <n v="0.18"/>
    <n v="0"/>
    <n v="0"/>
    <n v="792.66"/>
    <n v="0"/>
    <n v="0.18"/>
    <n v="792.66"/>
    <n v="-0.18"/>
    <s v="India"/>
  </r>
  <r>
    <x v="4"/>
    <x v="3"/>
    <x v="96"/>
    <x v="2"/>
    <x v="37"/>
    <x v="3"/>
    <n v="0"/>
    <n v="0"/>
    <n v="0"/>
    <n v="0.24"/>
    <n v="0"/>
    <n v="0"/>
    <n v="0"/>
    <n v="-0.24"/>
    <n v="0"/>
    <s v="India"/>
  </r>
  <r>
    <x v="4"/>
    <x v="3"/>
    <x v="96"/>
    <x v="2"/>
    <x v="16"/>
    <x v="0"/>
    <n v="0"/>
    <n v="0"/>
    <n v="0"/>
    <n v="0"/>
    <n v="0.8"/>
    <n v="0"/>
    <n v="0"/>
    <n v="0.8"/>
    <n v="0"/>
    <s v="India"/>
  </r>
  <r>
    <x v="4"/>
    <x v="3"/>
    <x v="96"/>
    <x v="2"/>
    <x v="32"/>
    <x v="0"/>
    <n v="0"/>
    <n v="0"/>
    <n v="0"/>
    <n v="0"/>
    <n v="12.02"/>
    <n v="0"/>
    <n v="0"/>
    <n v="12.02"/>
    <n v="0"/>
    <s v="India"/>
  </r>
  <r>
    <x v="13"/>
    <x v="1"/>
    <x v="128"/>
    <x v="1"/>
    <x v="37"/>
    <x v="3"/>
    <n v="0"/>
    <n v="0.02"/>
    <n v="0"/>
    <n v="0"/>
    <n v="3.57"/>
    <n v="0"/>
    <n v="0.02"/>
    <n v="3.57"/>
    <n v="-0.02"/>
    <s v="India"/>
  </r>
  <r>
    <x v="13"/>
    <x v="1"/>
    <x v="128"/>
    <x v="1"/>
    <x v="7"/>
    <x v="5"/>
    <n v="0"/>
    <n v="0"/>
    <n v="0"/>
    <n v="0"/>
    <n v="0.5"/>
    <n v="0"/>
    <n v="0"/>
    <n v="0.5"/>
    <n v="0"/>
    <s v="India"/>
  </r>
  <r>
    <x v="4"/>
    <x v="3"/>
    <x v="96"/>
    <x v="2"/>
    <x v="28"/>
    <x v="5"/>
    <n v="0"/>
    <n v="0.01"/>
    <n v="0"/>
    <n v="0"/>
    <n v="73.13"/>
    <n v="0"/>
    <n v="0.01"/>
    <n v="73.13"/>
    <n v="-0.01"/>
    <s v="India"/>
  </r>
  <r>
    <x v="13"/>
    <x v="1"/>
    <x v="128"/>
    <x v="1"/>
    <x v="9"/>
    <x v="6"/>
    <n v="0"/>
    <n v="0"/>
    <n v="0"/>
    <n v="0"/>
    <n v="0.26"/>
    <n v="0"/>
    <n v="0"/>
    <n v="0.26"/>
    <n v="0"/>
    <s v="India"/>
  </r>
  <r>
    <x v="13"/>
    <x v="1"/>
    <x v="128"/>
    <x v="1"/>
    <x v="30"/>
    <x v="5"/>
    <n v="0"/>
    <n v="0"/>
    <n v="0"/>
    <n v="0"/>
    <n v="1.87"/>
    <n v="0"/>
    <n v="0"/>
    <n v="1.87"/>
    <n v="0"/>
    <s v="India"/>
  </r>
  <r>
    <x v="4"/>
    <x v="3"/>
    <x v="95"/>
    <x v="2"/>
    <x v="22"/>
    <x v="6"/>
    <n v="7.0000000000000007E-2"/>
    <n v="0"/>
    <n v="0"/>
    <n v="20"/>
    <n v="0"/>
    <n v="0"/>
    <n v="-7.0000000000000007E-2"/>
    <n v="-20"/>
    <n v="0"/>
    <s v="India"/>
  </r>
  <r>
    <x v="4"/>
    <x v="3"/>
    <x v="95"/>
    <x v="2"/>
    <x v="8"/>
    <x v="3"/>
    <n v="0.04"/>
    <n v="0"/>
    <n v="0"/>
    <n v="72.05"/>
    <n v="0"/>
    <n v="0"/>
    <n v="-0.04"/>
    <n v="-72.05"/>
    <n v="0"/>
    <s v="India"/>
  </r>
  <r>
    <x v="4"/>
    <x v="3"/>
    <x v="95"/>
    <x v="2"/>
    <x v="12"/>
    <x v="4"/>
    <n v="0.1"/>
    <n v="0.21"/>
    <n v="0"/>
    <n v="297.89999999999998"/>
    <n v="750"/>
    <n v="0"/>
    <n v="0.10999999999999999"/>
    <n v="452.1"/>
    <n v="-0.21"/>
    <s v="India"/>
  </r>
  <r>
    <x v="4"/>
    <x v="3"/>
    <x v="95"/>
    <x v="2"/>
    <x v="10"/>
    <x v="3"/>
    <n v="0.04"/>
    <n v="0"/>
    <n v="0"/>
    <n v="57.9"/>
    <n v="0"/>
    <n v="0"/>
    <n v="-0.04"/>
    <n v="-57.9"/>
    <n v="0"/>
    <s v="India"/>
  </r>
  <r>
    <x v="13"/>
    <x v="1"/>
    <x v="48"/>
    <x v="1"/>
    <x v="41"/>
    <x v="6"/>
    <n v="0"/>
    <n v="0"/>
    <n v="0"/>
    <n v="0.37"/>
    <n v="0"/>
    <n v="0"/>
    <n v="0"/>
    <n v="-0.37"/>
    <n v="0"/>
    <s v="India"/>
  </r>
  <r>
    <x v="4"/>
    <x v="3"/>
    <x v="95"/>
    <x v="2"/>
    <x v="4"/>
    <x v="3"/>
    <n v="0.01"/>
    <n v="0"/>
    <n v="0"/>
    <n v="15"/>
    <n v="0"/>
    <n v="0"/>
    <n v="-0.01"/>
    <n v="-15"/>
    <n v="0"/>
    <s v="India"/>
  </r>
  <r>
    <x v="4"/>
    <x v="3"/>
    <x v="95"/>
    <x v="2"/>
    <x v="2"/>
    <x v="0"/>
    <n v="0"/>
    <n v="0.04"/>
    <n v="0"/>
    <n v="0"/>
    <n v="100"/>
    <n v="0"/>
    <n v="0.04"/>
    <n v="100"/>
    <n v="-0.04"/>
    <s v="India"/>
  </r>
  <r>
    <x v="4"/>
    <x v="3"/>
    <x v="95"/>
    <x v="2"/>
    <x v="24"/>
    <x v="4"/>
    <n v="0.21"/>
    <n v="0.06"/>
    <n v="0"/>
    <n v="1212.03"/>
    <n v="188.1"/>
    <n v="0"/>
    <n v="-0.15"/>
    <n v="-1023.93"/>
    <n v="-0.06"/>
    <s v="India"/>
  </r>
  <r>
    <x v="13"/>
    <x v="1"/>
    <x v="48"/>
    <x v="1"/>
    <x v="19"/>
    <x v="4"/>
    <n v="0"/>
    <n v="0"/>
    <n v="0"/>
    <n v="0"/>
    <n v="0"/>
    <n v="0"/>
    <n v="0"/>
    <n v="0"/>
    <n v="0"/>
    <s v="India"/>
  </r>
  <r>
    <x v="13"/>
    <x v="1"/>
    <x v="48"/>
    <x v="1"/>
    <x v="30"/>
    <x v="5"/>
    <n v="0.01"/>
    <n v="0.02"/>
    <n v="0"/>
    <n v="0.56999999999999995"/>
    <n v="1.96"/>
    <n v="0"/>
    <n v="0.01"/>
    <n v="1.3900000000000001"/>
    <n v="-0.02"/>
    <s v="India"/>
  </r>
  <r>
    <x v="4"/>
    <x v="3"/>
    <x v="137"/>
    <x v="4"/>
    <x v="38"/>
    <x v="5"/>
    <n v="0.61"/>
    <n v="0.02"/>
    <n v="0"/>
    <n v="180"/>
    <n v="26.25"/>
    <n v="0"/>
    <n v="-0.59"/>
    <n v="-153.75"/>
    <n v="-0.02"/>
    <s v="India"/>
  </r>
  <r>
    <x v="13"/>
    <x v="1"/>
    <x v="48"/>
    <x v="1"/>
    <x v="25"/>
    <x v="7"/>
    <n v="0"/>
    <n v="0"/>
    <n v="0"/>
    <n v="0.1"/>
    <n v="0"/>
    <n v="0"/>
    <n v="0"/>
    <n v="-0.1"/>
    <n v="0"/>
    <s v="India"/>
  </r>
  <r>
    <x v="13"/>
    <x v="1"/>
    <x v="48"/>
    <x v="1"/>
    <x v="20"/>
    <x v="3"/>
    <n v="0"/>
    <n v="0.01"/>
    <n v="0"/>
    <n v="1.9"/>
    <n v="4.28"/>
    <n v="0"/>
    <n v="0.01"/>
    <n v="2.3800000000000003"/>
    <n v="-0.01"/>
    <s v="India"/>
  </r>
  <r>
    <x v="4"/>
    <x v="3"/>
    <x v="80"/>
    <x v="2"/>
    <x v="12"/>
    <x v="4"/>
    <n v="76.739999999999995"/>
    <n v="11.91"/>
    <n v="0"/>
    <n v="284905.08"/>
    <n v="38747.980000000003"/>
    <n v="0"/>
    <n v="-64.83"/>
    <n v="-246157.1"/>
    <n v="-11.91"/>
    <s v="India"/>
  </r>
  <r>
    <x v="13"/>
    <x v="1"/>
    <x v="48"/>
    <x v="1"/>
    <x v="34"/>
    <x v="6"/>
    <n v="0.01"/>
    <n v="0"/>
    <n v="0"/>
    <n v="0.8"/>
    <n v="0"/>
    <n v="0"/>
    <n v="-0.01"/>
    <n v="-0.8"/>
    <n v="0"/>
    <s v="India"/>
  </r>
  <r>
    <x v="13"/>
    <x v="1"/>
    <x v="48"/>
    <x v="1"/>
    <x v="40"/>
    <x v="6"/>
    <n v="0"/>
    <n v="0.02"/>
    <n v="0"/>
    <n v="0.16"/>
    <n v="1.6"/>
    <n v="0"/>
    <n v="0.02"/>
    <n v="1.4400000000000002"/>
    <n v="-0.02"/>
    <s v="India"/>
  </r>
  <r>
    <x v="13"/>
    <x v="1"/>
    <x v="48"/>
    <x v="1"/>
    <x v="27"/>
    <x v="7"/>
    <n v="0.09"/>
    <n v="0"/>
    <n v="0"/>
    <n v="8.6199999999999992"/>
    <n v="1"/>
    <n v="0"/>
    <n v="-0.09"/>
    <n v="-7.6199999999999992"/>
    <n v="0"/>
    <s v="India"/>
  </r>
  <r>
    <x v="4"/>
    <x v="3"/>
    <x v="80"/>
    <x v="2"/>
    <x v="28"/>
    <x v="5"/>
    <n v="0.06"/>
    <n v="0"/>
    <n v="0"/>
    <n v="315.38"/>
    <n v="0"/>
    <n v="0"/>
    <n v="-0.06"/>
    <n v="-315.38"/>
    <n v="0"/>
    <s v="India"/>
  </r>
  <r>
    <x v="13"/>
    <x v="1"/>
    <x v="33"/>
    <x v="3"/>
    <x v="26"/>
    <x v="0"/>
    <n v="0"/>
    <n v="0"/>
    <n v="0"/>
    <n v="0.03"/>
    <n v="0"/>
    <n v="0"/>
    <n v="0"/>
    <n v="-0.03"/>
    <n v="0"/>
    <s v="India"/>
  </r>
  <r>
    <x v="4"/>
    <x v="3"/>
    <x v="45"/>
    <x v="2"/>
    <x v="0"/>
    <x v="0"/>
    <n v="0.1"/>
    <n v="0.11"/>
    <n v="0"/>
    <n v="93.3"/>
    <n v="238.95"/>
    <n v="0"/>
    <n v="9.999999999999995E-3"/>
    <n v="145.64999999999998"/>
    <n v="-0.11"/>
    <s v="India"/>
  </r>
  <r>
    <x v="4"/>
    <x v="3"/>
    <x v="45"/>
    <x v="2"/>
    <x v="1"/>
    <x v="1"/>
    <n v="0"/>
    <n v="0"/>
    <n v="0"/>
    <n v="1"/>
    <n v="0"/>
    <n v="0"/>
    <n v="0"/>
    <n v="-1"/>
    <n v="0"/>
    <s v="India"/>
  </r>
  <r>
    <x v="13"/>
    <x v="1"/>
    <x v="33"/>
    <x v="3"/>
    <x v="32"/>
    <x v="0"/>
    <n v="0.01"/>
    <n v="0.01"/>
    <n v="0"/>
    <n v="0.89"/>
    <n v="1.63"/>
    <n v="0.01"/>
    <n v="0"/>
    <n v="0.73999999999999988"/>
    <n v="-0.01"/>
    <s v="India"/>
  </r>
  <r>
    <x v="4"/>
    <x v="3"/>
    <x v="45"/>
    <x v="2"/>
    <x v="12"/>
    <x v="4"/>
    <n v="30.04"/>
    <n v="3.41"/>
    <n v="0"/>
    <n v="134819.54999999999"/>
    <n v="13113.5"/>
    <n v="0"/>
    <n v="-26.63"/>
    <n v="-121706.04999999999"/>
    <n v="-3.41"/>
    <s v="India"/>
  </r>
  <r>
    <x v="13"/>
    <x v="1"/>
    <x v="33"/>
    <x v="3"/>
    <x v="37"/>
    <x v="3"/>
    <n v="0"/>
    <n v="0"/>
    <n v="0"/>
    <n v="0.14000000000000001"/>
    <n v="0"/>
    <n v="0"/>
    <n v="0"/>
    <n v="-0.14000000000000001"/>
    <n v="0"/>
    <s v="India"/>
  </r>
  <r>
    <x v="4"/>
    <x v="3"/>
    <x v="45"/>
    <x v="2"/>
    <x v="10"/>
    <x v="3"/>
    <n v="0.15"/>
    <n v="0.02"/>
    <n v="0"/>
    <n v="250.88"/>
    <n v="29.56"/>
    <n v="0"/>
    <n v="-0.13"/>
    <n v="-221.32"/>
    <n v="-0.02"/>
    <s v="India"/>
  </r>
  <r>
    <x v="13"/>
    <x v="1"/>
    <x v="33"/>
    <x v="3"/>
    <x v="9"/>
    <x v="6"/>
    <n v="0"/>
    <n v="0"/>
    <n v="0"/>
    <n v="0.2"/>
    <n v="0"/>
    <n v="0"/>
    <n v="0"/>
    <n v="-0.2"/>
    <n v="0"/>
    <s v="India"/>
  </r>
  <r>
    <x v="13"/>
    <x v="1"/>
    <x v="33"/>
    <x v="3"/>
    <x v="12"/>
    <x v="4"/>
    <n v="0"/>
    <n v="0"/>
    <n v="0"/>
    <n v="3.61"/>
    <n v="0.15"/>
    <n v="0"/>
    <n v="0"/>
    <n v="-3.46"/>
    <n v="0"/>
    <s v="India"/>
  </r>
  <r>
    <x v="13"/>
    <x v="1"/>
    <x v="33"/>
    <x v="3"/>
    <x v="21"/>
    <x v="4"/>
    <n v="0"/>
    <n v="0.04"/>
    <n v="0"/>
    <n v="0.03"/>
    <n v="25.1"/>
    <n v="0"/>
    <n v="0.04"/>
    <n v="25.07"/>
    <n v="-0.04"/>
    <s v="India"/>
  </r>
  <r>
    <x v="13"/>
    <x v="1"/>
    <x v="33"/>
    <x v="3"/>
    <x v="34"/>
    <x v="6"/>
    <n v="0"/>
    <n v="0"/>
    <n v="0"/>
    <n v="0"/>
    <n v="0"/>
    <n v="0"/>
    <n v="0"/>
    <n v="0"/>
    <n v="0"/>
    <s v="India"/>
  </r>
  <r>
    <x v="4"/>
    <x v="3"/>
    <x v="45"/>
    <x v="2"/>
    <x v="28"/>
    <x v="5"/>
    <n v="2.0499999999999998"/>
    <n v="0"/>
    <n v="0"/>
    <n v="10248.19"/>
    <n v="0"/>
    <n v="0"/>
    <n v="-2.0499999999999998"/>
    <n v="-10248.19"/>
    <n v="0"/>
    <s v="India"/>
  </r>
  <r>
    <x v="13"/>
    <x v="1"/>
    <x v="33"/>
    <x v="3"/>
    <x v="40"/>
    <x v="6"/>
    <n v="0"/>
    <n v="0"/>
    <n v="0"/>
    <n v="0.3"/>
    <n v="7.0000000000000007E-2"/>
    <n v="0"/>
    <n v="0"/>
    <n v="-0.22999999999999998"/>
    <n v="0"/>
    <s v="India"/>
  </r>
  <r>
    <x v="13"/>
    <x v="1"/>
    <x v="33"/>
    <x v="3"/>
    <x v="27"/>
    <x v="7"/>
    <n v="0.04"/>
    <n v="0.01"/>
    <n v="0"/>
    <n v="3.85"/>
    <n v="0.56000000000000005"/>
    <n v="0"/>
    <n v="-0.03"/>
    <n v="-3.29"/>
    <n v="-0.01"/>
    <s v="India"/>
  </r>
  <r>
    <x v="4"/>
    <x v="3"/>
    <x v="199"/>
    <x v="1"/>
    <x v="2"/>
    <x v="0"/>
    <n v="0.95"/>
    <n v="0.28000000000000003"/>
    <n v="0"/>
    <n v="2612.88"/>
    <n v="917.5"/>
    <n v="0"/>
    <n v="-0.66999999999999993"/>
    <n v="-1695.38"/>
    <n v="-0.28000000000000003"/>
    <s v="India"/>
  </r>
  <r>
    <x v="4"/>
    <x v="3"/>
    <x v="63"/>
    <x v="2"/>
    <x v="31"/>
    <x v="1"/>
    <n v="0"/>
    <n v="0"/>
    <n v="0"/>
    <n v="0.13"/>
    <n v="0.01"/>
    <n v="0"/>
    <n v="0"/>
    <n v="-0.12000000000000001"/>
    <n v="0"/>
    <s v="India"/>
  </r>
  <r>
    <x v="14"/>
    <x v="3"/>
    <x v="39"/>
    <x v="2"/>
    <x v="34"/>
    <x v="6"/>
    <n v="0.03"/>
    <n v="0"/>
    <n v="0"/>
    <n v="33.61"/>
    <n v="3.62"/>
    <n v="0"/>
    <n v="-0.03"/>
    <n v="-29.99"/>
    <n v="0"/>
    <s v="India"/>
  </r>
  <r>
    <x v="4"/>
    <x v="3"/>
    <x v="63"/>
    <x v="2"/>
    <x v="27"/>
    <x v="7"/>
    <n v="0"/>
    <n v="0"/>
    <n v="0"/>
    <n v="0"/>
    <n v="0"/>
    <n v="0"/>
    <n v="0"/>
    <n v="0"/>
    <n v="0"/>
    <s v="India"/>
  </r>
  <r>
    <x v="14"/>
    <x v="3"/>
    <x v="156"/>
    <x v="2"/>
    <x v="7"/>
    <x v="5"/>
    <n v="0"/>
    <n v="0"/>
    <n v="0"/>
    <n v="0"/>
    <n v="0"/>
    <n v="0.03"/>
    <n v="0"/>
    <n v="0"/>
    <n v="0"/>
    <s v="India"/>
  </r>
  <r>
    <x v="14"/>
    <x v="3"/>
    <x v="156"/>
    <x v="2"/>
    <x v="19"/>
    <x v="4"/>
    <n v="0"/>
    <n v="0.01"/>
    <n v="0"/>
    <n v="0"/>
    <n v="1.2"/>
    <n v="0"/>
    <n v="0.01"/>
    <n v="1.2"/>
    <n v="-0.01"/>
    <s v="India"/>
  </r>
  <r>
    <x v="14"/>
    <x v="3"/>
    <x v="110"/>
    <x v="2"/>
    <x v="38"/>
    <x v="5"/>
    <n v="0.01"/>
    <n v="0"/>
    <n v="0"/>
    <n v="3.3"/>
    <n v="0"/>
    <n v="0"/>
    <n v="-0.01"/>
    <n v="-3.3"/>
    <n v="0"/>
    <s v="India"/>
  </r>
  <r>
    <x v="14"/>
    <x v="3"/>
    <x v="110"/>
    <x v="2"/>
    <x v="37"/>
    <x v="3"/>
    <n v="0"/>
    <n v="0.02"/>
    <n v="0"/>
    <n v="0"/>
    <n v="47.3"/>
    <n v="0"/>
    <n v="0.02"/>
    <n v="47.3"/>
    <n v="-0.02"/>
    <s v="India"/>
  </r>
  <r>
    <x v="14"/>
    <x v="3"/>
    <x v="110"/>
    <x v="2"/>
    <x v="15"/>
    <x v="0"/>
    <n v="0.41"/>
    <n v="0.2"/>
    <n v="0"/>
    <n v="1275.3"/>
    <n v="399"/>
    <n v="0"/>
    <n v="-0.20999999999999996"/>
    <n v="-876.3"/>
    <n v="-0.2"/>
    <s v="India"/>
  </r>
  <r>
    <x v="14"/>
    <x v="3"/>
    <x v="110"/>
    <x v="2"/>
    <x v="9"/>
    <x v="6"/>
    <n v="0.04"/>
    <n v="0"/>
    <n v="0"/>
    <n v="54"/>
    <n v="0"/>
    <n v="0"/>
    <n v="-0.04"/>
    <n v="-54"/>
    <n v="0"/>
    <s v="India"/>
  </r>
  <r>
    <x v="14"/>
    <x v="3"/>
    <x v="110"/>
    <x v="2"/>
    <x v="17"/>
    <x v="5"/>
    <n v="0.04"/>
    <n v="0.1"/>
    <n v="0"/>
    <n v="15.5"/>
    <n v="55"/>
    <n v="0"/>
    <n v="6.0000000000000005E-2"/>
    <n v="39.5"/>
    <n v="-0.1"/>
    <s v="India"/>
  </r>
  <r>
    <x v="14"/>
    <x v="3"/>
    <x v="110"/>
    <x v="2"/>
    <x v="19"/>
    <x v="4"/>
    <n v="0.01"/>
    <n v="0.02"/>
    <n v="0"/>
    <n v="17.09"/>
    <n v="83.97"/>
    <n v="0"/>
    <n v="0.01"/>
    <n v="66.88"/>
    <n v="-0.02"/>
    <s v="India"/>
  </r>
  <r>
    <x v="14"/>
    <x v="3"/>
    <x v="110"/>
    <x v="2"/>
    <x v="18"/>
    <x v="7"/>
    <n v="0"/>
    <n v="0"/>
    <n v="0"/>
    <n v="0"/>
    <n v="0.49"/>
    <n v="0"/>
    <n v="0"/>
    <n v="0.49"/>
    <n v="0"/>
    <s v="India"/>
  </r>
  <r>
    <x v="14"/>
    <x v="3"/>
    <x v="110"/>
    <x v="2"/>
    <x v="0"/>
    <x v="0"/>
    <n v="0.17"/>
    <n v="0.08"/>
    <n v="0"/>
    <n v="274.52"/>
    <n v="130.43"/>
    <n v="0"/>
    <n v="-9.0000000000000011E-2"/>
    <n v="-144.08999999999997"/>
    <n v="-0.08"/>
    <s v="India"/>
  </r>
  <r>
    <x v="14"/>
    <x v="3"/>
    <x v="173"/>
    <x v="2"/>
    <x v="6"/>
    <x v="4"/>
    <n v="0"/>
    <n v="0"/>
    <n v="0"/>
    <n v="0.5"/>
    <n v="0"/>
    <n v="0"/>
    <n v="0"/>
    <n v="-0.5"/>
    <n v="0"/>
    <s v="India"/>
  </r>
  <r>
    <x v="14"/>
    <x v="3"/>
    <x v="200"/>
    <x v="2"/>
    <x v="24"/>
    <x v="4"/>
    <n v="0.01"/>
    <n v="0"/>
    <n v="0"/>
    <n v="41.4"/>
    <n v="0"/>
    <n v="0"/>
    <n v="-0.01"/>
    <n v="-41.4"/>
    <n v="0"/>
    <s v="India"/>
  </r>
  <r>
    <x v="14"/>
    <x v="3"/>
    <x v="200"/>
    <x v="2"/>
    <x v="6"/>
    <x v="4"/>
    <n v="0.02"/>
    <n v="0"/>
    <n v="0"/>
    <n v="47.09"/>
    <n v="0"/>
    <n v="0"/>
    <n v="-0.02"/>
    <n v="-47.09"/>
    <n v="0"/>
    <s v="India"/>
  </r>
  <r>
    <x v="14"/>
    <x v="3"/>
    <x v="200"/>
    <x v="2"/>
    <x v="12"/>
    <x v="4"/>
    <n v="0.05"/>
    <n v="0"/>
    <n v="0"/>
    <n v="173.38"/>
    <n v="0"/>
    <n v="0"/>
    <n v="-0.05"/>
    <n v="-173.38"/>
    <n v="0"/>
    <s v="India"/>
  </r>
  <r>
    <x v="14"/>
    <x v="3"/>
    <x v="200"/>
    <x v="2"/>
    <x v="21"/>
    <x v="4"/>
    <n v="0"/>
    <n v="0"/>
    <n v="0"/>
    <n v="0.76"/>
    <n v="0"/>
    <n v="0"/>
    <n v="0"/>
    <n v="-0.76"/>
    <n v="0"/>
    <s v="India"/>
  </r>
  <r>
    <x v="14"/>
    <x v="3"/>
    <x v="53"/>
    <x v="2"/>
    <x v="37"/>
    <x v="3"/>
    <n v="0"/>
    <n v="0.01"/>
    <n v="0"/>
    <n v="0"/>
    <n v="26.88"/>
    <n v="0"/>
    <n v="0.01"/>
    <n v="26.88"/>
    <n v="-0.01"/>
    <s v="India"/>
  </r>
  <r>
    <x v="14"/>
    <x v="3"/>
    <x v="53"/>
    <x v="2"/>
    <x v="36"/>
    <x v="6"/>
    <n v="0"/>
    <n v="0"/>
    <n v="0"/>
    <n v="0"/>
    <n v="0.83"/>
    <n v="0"/>
    <n v="0"/>
    <n v="0.83"/>
    <n v="0"/>
    <s v="India"/>
  </r>
  <r>
    <x v="14"/>
    <x v="3"/>
    <x v="201"/>
    <x v="1"/>
    <x v="11"/>
    <x v="3"/>
    <n v="0"/>
    <n v="7.0000000000000007E-2"/>
    <n v="0"/>
    <n v="0"/>
    <n v="4.8"/>
    <n v="0"/>
    <n v="7.0000000000000007E-2"/>
    <n v="4.8"/>
    <n v="-7.0000000000000007E-2"/>
    <s v="India"/>
  </r>
  <r>
    <x v="4"/>
    <x v="3"/>
    <x v="63"/>
    <x v="2"/>
    <x v="23"/>
    <x v="1"/>
    <n v="0"/>
    <n v="0"/>
    <n v="0"/>
    <n v="0.5"/>
    <n v="0"/>
    <n v="0"/>
    <n v="0"/>
    <n v="-0.5"/>
    <n v="0"/>
    <s v="India"/>
  </r>
  <r>
    <x v="14"/>
    <x v="3"/>
    <x v="201"/>
    <x v="1"/>
    <x v="2"/>
    <x v="0"/>
    <n v="0"/>
    <n v="0.15"/>
    <n v="0"/>
    <n v="0"/>
    <n v="464.87"/>
    <n v="0"/>
    <n v="0.15"/>
    <n v="464.87"/>
    <n v="-0.15"/>
    <s v="India"/>
  </r>
  <r>
    <x v="14"/>
    <x v="3"/>
    <x v="201"/>
    <x v="1"/>
    <x v="15"/>
    <x v="0"/>
    <n v="0"/>
    <n v="0.01"/>
    <n v="0"/>
    <n v="0"/>
    <n v="21"/>
    <n v="0"/>
    <n v="0.01"/>
    <n v="21"/>
    <n v="-0.01"/>
    <s v="India"/>
  </r>
  <r>
    <x v="4"/>
    <x v="3"/>
    <x v="202"/>
    <x v="2"/>
    <x v="8"/>
    <x v="3"/>
    <n v="0.05"/>
    <n v="0"/>
    <n v="0"/>
    <n v="5.84"/>
    <n v="0"/>
    <n v="0"/>
    <n v="-0.05"/>
    <n v="-5.84"/>
    <n v="0"/>
    <s v="India"/>
  </r>
  <r>
    <x v="4"/>
    <x v="3"/>
    <x v="202"/>
    <x v="2"/>
    <x v="4"/>
    <x v="3"/>
    <n v="0.21"/>
    <n v="0.01"/>
    <n v="0"/>
    <n v="94.3"/>
    <n v="1.45"/>
    <n v="0"/>
    <n v="-0.19999999999999998"/>
    <n v="-92.85"/>
    <n v="-0.01"/>
    <s v="India"/>
  </r>
  <r>
    <x v="4"/>
    <x v="3"/>
    <x v="113"/>
    <x v="3"/>
    <x v="8"/>
    <x v="3"/>
    <n v="0"/>
    <n v="0.05"/>
    <n v="0"/>
    <n v="0.32"/>
    <n v="34.01"/>
    <n v="0"/>
    <n v="0.05"/>
    <n v="33.69"/>
    <n v="-0.05"/>
    <s v="India"/>
  </r>
  <r>
    <x v="4"/>
    <x v="3"/>
    <x v="113"/>
    <x v="3"/>
    <x v="20"/>
    <x v="3"/>
    <n v="0"/>
    <n v="0"/>
    <n v="0"/>
    <n v="0"/>
    <n v="0.02"/>
    <n v="0"/>
    <n v="0"/>
    <n v="0.02"/>
    <n v="0"/>
    <s v="India"/>
  </r>
  <r>
    <x v="4"/>
    <x v="3"/>
    <x v="113"/>
    <x v="3"/>
    <x v="18"/>
    <x v="7"/>
    <n v="0"/>
    <n v="0"/>
    <n v="0"/>
    <n v="0.06"/>
    <n v="0.11"/>
    <n v="0"/>
    <n v="0"/>
    <n v="0.05"/>
    <n v="0"/>
    <s v="India"/>
  </r>
  <r>
    <x v="14"/>
    <x v="3"/>
    <x v="201"/>
    <x v="1"/>
    <x v="19"/>
    <x v="4"/>
    <n v="0"/>
    <n v="0.01"/>
    <n v="0"/>
    <n v="0"/>
    <n v="11.47"/>
    <n v="0"/>
    <n v="0.01"/>
    <n v="11.47"/>
    <n v="-0.01"/>
    <s v="India"/>
  </r>
  <r>
    <x v="14"/>
    <x v="3"/>
    <x v="201"/>
    <x v="1"/>
    <x v="8"/>
    <x v="3"/>
    <n v="0"/>
    <n v="0.02"/>
    <n v="0"/>
    <n v="0"/>
    <n v="1.68"/>
    <n v="0"/>
    <n v="0.02"/>
    <n v="1.68"/>
    <n v="-0.02"/>
    <s v="India"/>
  </r>
  <r>
    <x v="14"/>
    <x v="3"/>
    <x v="164"/>
    <x v="2"/>
    <x v="24"/>
    <x v="4"/>
    <n v="0"/>
    <n v="0"/>
    <n v="0"/>
    <n v="48.45"/>
    <n v="16"/>
    <n v="0"/>
    <n v="0"/>
    <n v="-32.450000000000003"/>
    <n v="0"/>
    <s v="India"/>
  </r>
  <r>
    <x v="4"/>
    <x v="3"/>
    <x v="113"/>
    <x v="3"/>
    <x v="10"/>
    <x v="3"/>
    <n v="0.09"/>
    <n v="0"/>
    <n v="0"/>
    <n v="12.19"/>
    <n v="1.7"/>
    <n v="0"/>
    <n v="-0.09"/>
    <n v="-10.49"/>
    <n v="0"/>
    <s v="India"/>
  </r>
  <r>
    <x v="14"/>
    <x v="3"/>
    <x v="164"/>
    <x v="2"/>
    <x v="6"/>
    <x v="4"/>
    <n v="0"/>
    <n v="0"/>
    <n v="0"/>
    <n v="3.22"/>
    <n v="7.9"/>
    <n v="0"/>
    <n v="0"/>
    <n v="4.68"/>
    <n v="0"/>
    <s v="India"/>
  </r>
  <r>
    <x v="4"/>
    <x v="3"/>
    <x v="113"/>
    <x v="3"/>
    <x v="2"/>
    <x v="0"/>
    <n v="0"/>
    <n v="0"/>
    <n v="0"/>
    <n v="0"/>
    <n v="0.03"/>
    <n v="0"/>
    <n v="0"/>
    <n v="0.03"/>
    <n v="0"/>
    <s v="India"/>
  </r>
  <r>
    <x v="14"/>
    <x v="3"/>
    <x v="164"/>
    <x v="2"/>
    <x v="37"/>
    <x v="3"/>
    <n v="0"/>
    <n v="0.01"/>
    <n v="0"/>
    <n v="0"/>
    <n v="23.22"/>
    <n v="0"/>
    <n v="0.01"/>
    <n v="23.22"/>
    <n v="-0.01"/>
    <s v="India"/>
  </r>
  <r>
    <x v="14"/>
    <x v="3"/>
    <x v="164"/>
    <x v="2"/>
    <x v="10"/>
    <x v="3"/>
    <n v="0"/>
    <n v="0"/>
    <n v="0"/>
    <n v="9.85"/>
    <n v="0"/>
    <n v="0"/>
    <n v="0"/>
    <n v="-9.85"/>
    <n v="0"/>
    <s v="India"/>
  </r>
  <r>
    <x v="14"/>
    <x v="3"/>
    <x v="164"/>
    <x v="2"/>
    <x v="12"/>
    <x v="4"/>
    <n v="0"/>
    <n v="0"/>
    <n v="0"/>
    <n v="0"/>
    <n v="5.5"/>
    <n v="0"/>
    <n v="0"/>
    <n v="5.5"/>
    <n v="0"/>
    <s v="India"/>
  </r>
  <r>
    <x v="14"/>
    <x v="3"/>
    <x v="164"/>
    <x v="2"/>
    <x v="18"/>
    <x v="7"/>
    <n v="0"/>
    <n v="0"/>
    <n v="0"/>
    <n v="1"/>
    <n v="0"/>
    <n v="0"/>
    <n v="0"/>
    <n v="-1"/>
    <n v="0"/>
    <s v="India"/>
  </r>
  <r>
    <x v="14"/>
    <x v="3"/>
    <x v="164"/>
    <x v="2"/>
    <x v="13"/>
    <x v="3"/>
    <n v="0"/>
    <n v="0.03"/>
    <n v="0"/>
    <n v="0"/>
    <n v="3.62"/>
    <n v="0"/>
    <n v="0.03"/>
    <n v="3.62"/>
    <n v="-0.03"/>
    <s v="India"/>
  </r>
  <r>
    <x v="4"/>
    <x v="3"/>
    <x v="113"/>
    <x v="3"/>
    <x v="23"/>
    <x v="1"/>
    <n v="0.03"/>
    <n v="0.1"/>
    <n v="0"/>
    <n v="2.37"/>
    <n v="9.34"/>
    <n v="0"/>
    <n v="7.0000000000000007E-2"/>
    <n v="6.97"/>
    <n v="-0.1"/>
    <s v="India"/>
  </r>
  <r>
    <x v="4"/>
    <x v="3"/>
    <x v="7"/>
    <x v="0"/>
    <x v="14"/>
    <x v="3"/>
    <n v="0.03"/>
    <n v="0.04"/>
    <n v="0"/>
    <n v="19.5"/>
    <n v="17.71"/>
    <n v="0"/>
    <n v="1.0000000000000002E-2"/>
    <n v="-1.7899999999999991"/>
    <n v="-0.04"/>
    <s v="India"/>
  </r>
  <r>
    <x v="4"/>
    <x v="3"/>
    <x v="7"/>
    <x v="0"/>
    <x v="31"/>
    <x v="1"/>
    <n v="0.28999999999999998"/>
    <n v="0"/>
    <n v="0"/>
    <n v="57.5"/>
    <n v="0"/>
    <n v="0"/>
    <n v="-0.28999999999999998"/>
    <n v="-57.5"/>
    <n v="0"/>
    <s v="India"/>
  </r>
  <r>
    <x v="14"/>
    <x v="3"/>
    <x v="164"/>
    <x v="2"/>
    <x v="8"/>
    <x v="3"/>
    <n v="0"/>
    <n v="0"/>
    <n v="0"/>
    <n v="0.17"/>
    <n v="0"/>
    <n v="0"/>
    <n v="0"/>
    <n v="-0.17"/>
    <n v="0"/>
    <s v="India"/>
  </r>
  <r>
    <x v="14"/>
    <x v="3"/>
    <x v="106"/>
    <x v="2"/>
    <x v="11"/>
    <x v="3"/>
    <n v="0"/>
    <n v="0"/>
    <n v="0"/>
    <n v="0.37"/>
    <n v="0"/>
    <n v="0"/>
    <n v="0"/>
    <n v="-0.37"/>
    <n v="0"/>
    <s v="India"/>
  </r>
  <r>
    <x v="14"/>
    <x v="3"/>
    <x v="106"/>
    <x v="2"/>
    <x v="28"/>
    <x v="5"/>
    <n v="7.0000000000000007E-2"/>
    <n v="0"/>
    <n v="0"/>
    <n v="313.12"/>
    <n v="0"/>
    <n v="0"/>
    <n v="-7.0000000000000007E-2"/>
    <n v="-313.12"/>
    <n v="0"/>
    <s v="India"/>
  </r>
  <r>
    <x v="14"/>
    <x v="3"/>
    <x v="106"/>
    <x v="2"/>
    <x v="32"/>
    <x v="0"/>
    <n v="0.02"/>
    <n v="0"/>
    <n v="0"/>
    <n v="40"/>
    <n v="0"/>
    <n v="0"/>
    <n v="-0.02"/>
    <n v="-40"/>
    <n v="0"/>
    <s v="India"/>
  </r>
  <r>
    <x v="14"/>
    <x v="3"/>
    <x v="106"/>
    <x v="2"/>
    <x v="4"/>
    <x v="3"/>
    <n v="3.75"/>
    <n v="0"/>
    <n v="0"/>
    <n v="1488.74"/>
    <n v="0"/>
    <n v="0"/>
    <n v="-3.75"/>
    <n v="-1488.74"/>
    <n v="0"/>
    <s v="India"/>
  </r>
  <r>
    <x v="4"/>
    <x v="3"/>
    <x v="7"/>
    <x v="0"/>
    <x v="20"/>
    <x v="3"/>
    <n v="0"/>
    <n v="0"/>
    <n v="0"/>
    <n v="0"/>
    <n v="0.26"/>
    <n v="0"/>
    <n v="0"/>
    <n v="0.26"/>
    <n v="0"/>
    <s v="India"/>
  </r>
  <r>
    <x v="14"/>
    <x v="3"/>
    <x v="106"/>
    <x v="2"/>
    <x v="37"/>
    <x v="3"/>
    <n v="0"/>
    <n v="0"/>
    <n v="0"/>
    <n v="0"/>
    <n v="0.16"/>
    <n v="0"/>
    <n v="0"/>
    <n v="0.16"/>
    <n v="0"/>
    <s v="India"/>
  </r>
  <r>
    <x v="14"/>
    <x v="3"/>
    <x v="106"/>
    <x v="2"/>
    <x v="15"/>
    <x v="0"/>
    <n v="1.44"/>
    <n v="0.44"/>
    <n v="0"/>
    <n v="5632.32"/>
    <n v="1778.03"/>
    <n v="0"/>
    <n v="-1"/>
    <n v="-3854.29"/>
    <n v="-0.44"/>
    <s v="India"/>
  </r>
  <r>
    <x v="14"/>
    <x v="3"/>
    <x v="106"/>
    <x v="2"/>
    <x v="10"/>
    <x v="3"/>
    <n v="0"/>
    <n v="0"/>
    <n v="0"/>
    <n v="1"/>
    <n v="0"/>
    <n v="0"/>
    <n v="0"/>
    <n v="-1"/>
    <n v="0"/>
    <s v="India"/>
  </r>
  <r>
    <x v="4"/>
    <x v="3"/>
    <x v="7"/>
    <x v="0"/>
    <x v="12"/>
    <x v="4"/>
    <n v="0.01"/>
    <n v="0"/>
    <n v="0"/>
    <n v="28"/>
    <n v="0"/>
    <n v="0"/>
    <n v="-0.01"/>
    <n v="-28"/>
    <n v="0"/>
    <s v="India"/>
  </r>
  <r>
    <x v="14"/>
    <x v="3"/>
    <x v="106"/>
    <x v="2"/>
    <x v="17"/>
    <x v="5"/>
    <n v="0"/>
    <n v="0"/>
    <n v="0"/>
    <n v="0.55000000000000004"/>
    <n v="0"/>
    <n v="0"/>
    <n v="0"/>
    <n v="-0.55000000000000004"/>
    <n v="0"/>
    <s v="India"/>
  </r>
  <r>
    <x v="4"/>
    <x v="3"/>
    <x v="7"/>
    <x v="0"/>
    <x v="9"/>
    <x v="6"/>
    <n v="0"/>
    <n v="0"/>
    <n v="0"/>
    <n v="0.01"/>
    <n v="0"/>
    <n v="0"/>
    <n v="0"/>
    <n v="-0.01"/>
    <n v="0"/>
    <s v="India"/>
  </r>
  <r>
    <x v="14"/>
    <x v="3"/>
    <x v="106"/>
    <x v="2"/>
    <x v="21"/>
    <x v="4"/>
    <n v="0.01"/>
    <n v="0"/>
    <n v="0"/>
    <n v="15.57"/>
    <n v="0.15"/>
    <n v="0"/>
    <n v="-0.01"/>
    <n v="-15.42"/>
    <n v="0"/>
    <s v="India"/>
  </r>
  <r>
    <x v="4"/>
    <x v="3"/>
    <x v="7"/>
    <x v="0"/>
    <x v="37"/>
    <x v="3"/>
    <n v="0"/>
    <n v="0.01"/>
    <n v="0"/>
    <n v="0.61"/>
    <n v="1.79"/>
    <n v="0"/>
    <n v="0.01"/>
    <n v="1.1800000000000002"/>
    <n v="-0.01"/>
    <s v="India"/>
  </r>
  <r>
    <x v="14"/>
    <x v="3"/>
    <x v="106"/>
    <x v="2"/>
    <x v="13"/>
    <x v="3"/>
    <n v="0.01"/>
    <n v="0"/>
    <n v="0"/>
    <n v="1.34"/>
    <n v="0"/>
    <n v="0"/>
    <n v="-0.01"/>
    <n v="-1.34"/>
    <n v="0"/>
    <s v="India"/>
  </r>
  <r>
    <x v="14"/>
    <x v="3"/>
    <x v="106"/>
    <x v="2"/>
    <x v="8"/>
    <x v="3"/>
    <n v="0.03"/>
    <n v="0"/>
    <n v="0"/>
    <n v="17.61"/>
    <n v="0"/>
    <n v="0"/>
    <n v="-0.03"/>
    <n v="-17.61"/>
    <n v="0"/>
    <s v="India"/>
  </r>
  <r>
    <x v="14"/>
    <x v="3"/>
    <x v="106"/>
    <x v="2"/>
    <x v="14"/>
    <x v="3"/>
    <n v="0"/>
    <n v="0"/>
    <n v="0"/>
    <n v="1.23"/>
    <n v="0"/>
    <n v="0"/>
    <n v="0"/>
    <n v="-1.23"/>
    <n v="0"/>
    <s v="India"/>
  </r>
  <r>
    <x v="4"/>
    <x v="3"/>
    <x v="7"/>
    <x v="0"/>
    <x v="29"/>
    <x v="7"/>
    <n v="0.06"/>
    <n v="0"/>
    <n v="0"/>
    <n v="15.07"/>
    <n v="0"/>
    <n v="0"/>
    <n v="-0.06"/>
    <n v="-15.07"/>
    <n v="0"/>
    <s v="India"/>
  </r>
  <r>
    <x v="4"/>
    <x v="3"/>
    <x v="7"/>
    <x v="0"/>
    <x v="32"/>
    <x v="0"/>
    <n v="0"/>
    <n v="0"/>
    <n v="0"/>
    <n v="0.42"/>
    <n v="0"/>
    <n v="0"/>
    <n v="0"/>
    <n v="-0.42"/>
    <n v="0"/>
    <s v="India"/>
  </r>
  <r>
    <x v="14"/>
    <x v="3"/>
    <x v="124"/>
    <x v="3"/>
    <x v="9"/>
    <x v="6"/>
    <n v="0"/>
    <n v="0"/>
    <n v="0"/>
    <n v="3"/>
    <n v="0"/>
    <n v="0"/>
    <n v="0"/>
    <n v="-3"/>
    <n v="0"/>
    <s v="India"/>
  </r>
  <r>
    <x v="14"/>
    <x v="3"/>
    <x v="124"/>
    <x v="3"/>
    <x v="14"/>
    <x v="3"/>
    <n v="0"/>
    <n v="0"/>
    <n v="0"/>
    <n v="0.26"/>
    <n v="0"/>
    <n v="0"/>
    <n v="0"/>
    <n v="-0.26"/>
    <n v="0"/>
    <s v="India"/>
  </r>
  <r>
    <x v="17"/>
    <x v="5"/>
    <x v="203"/>
    <x v="2"/>
    <x v="2"/>
    <x v="0"/>
    <n v="0"/>
    <n v="0.59"/>
    <n v="0"/>
    <n v="0"/>
    <n v="1386.06"/>
    <n v="0"/>
    <n v="0.59"/>
    <n v="1386.06"/>
    <n v="-0.59"/>
    <s v="India"/>
  </r>
  <r>
    <x v="4"/>
    <x v="3"/>
    <x v="7"/>
    <x v="0"/>
    <x v="38"/>
    <x v="5"/>
    <n v="0"/>
    <n v="0.3"/>
    <n v="0"/>
    <n v="0"/>
    <n v="172.41"/>
    <n v="0"/>
    <n v="0.3"/>
    <n v="172.41"/>
    <n v="-0.3"/>
    <s v="India"/>
  </r>
  <r>
    <x v="17"/>
    <x v="5"/>
    <x v="203"/>
    <x v="2"/>
    <x v="12"/>
    <x v="4"/>
    <n v="0"/>
    <n v="0.03"/>
    <n v="0"/>
    <n v="0"/>
    <n v="111.1"/>
    <n v="0"/>
    <n v="0.03"/>
    <n v="111.1"/>
    <n v="-0.03"/>
    <s v="India"/>
  </r>
  <r>
    <x v="17"/>
    <x v="5"/>
    <x v="169"/>
    <x v="2"/>
    <x v="12"/>
    <x v="4"/>
    <n v="0"/>
    <n v="0.02"/>
    <n v="0"/>
    <n v="0"/>
    <n v="90"/>
    <n v="0"/>
    <n v="0.02"/>
    <n v="90"/>
    <n v="-0.02"/>
    <s v="India"/>
  </r>
  <r>
    <x v="4"/>
    <x v="3"/>
    <x v="7"/>
    <x v="0"/>
    <x v="42"/>
    <x v="1"/>
    <n v="0"/>
    <n v="0"/>
    <n v="0"/>
    <n v="0"/>
    <n v="0.02"/>
    <n v="0"/>
    <n v="0"/>
    <n v="0.02"/>
    <n v="0"/>
    <s v="India"/>
  </r>
  <r>
    <x v="17"/>
    <x v="5"/>
    <x v="138"/>
    <x v="2"/>
    <x v="5"/>
    <x v="3"/>
    <n v="0"/>
    <n v="0"/>
    <n v="0"/>
    <n v="0"/>
    <n v="0.26"/>
    <n v="0"/>
    <n v="0"/>
    <n v="0.26"/>
    <n v="0"/>
    <s v="India"/>
  </r>
  <r>
    <x v="17"/>
    <x v="5"/>
    <x v="138"/>
    <x v="2"/>
    <x v="24"/>
    <x v="4"/>
    <n v="0"/>
    <n v="0"/>
    <n v="0"/>
    <n v="0"/>
    <n v="0.91"/>
    <n v="0"/>
    <n v="0"/>
    <n v="0.91"/>
    <n v="0"/>
    <s v="India"/>
  </r>
  <r>
    <x v="4"/>
    <x v="3"/>
    <x v="76"/>
    <x v="2"/>
    <x v="0"/>
    <x v="0"/>
    <n v="0"/>
    <n v="0"/>
    <n v="0"/>
    <n v="0"/>
    <n v="5.4"/>
    <n v="0"/>
    <n v="0"/>
    <n v="5.4"/>
    <n v="0"/>
    <s v="India"/>
  </r>
  <r>
    <x v="17"/>
    <x v="5"/>
    <x v="138"/>
    <x v="2"/>
    <x v="6"/>
    <x v="4"/>
    <n v="0"/>
    <n v="0"/>
    <n v="0"/>
    <n v="0"/>
    <n v="0.1"/>
    <n v="0"/>
    <n v="0"/>
    <n v="0.1"/>
    <n v="0"/>
    <s v="India"/>
  </r>
  <r>
    <x v="4"/>
    <x v="3"/>
    <x v="76"/>
    <x v="2"/>
    <x v="36"/>
    <x v="6"/>
    <n v="0"/>
    <n v="0"/>
    <n v="0"/>
    <n v="0"/>
    <n v="0.32"/>
    <n v="0"/>
    <n v="0"/>
    <n v="0.32"/>
    <n v="0"/>
    <s v="India"/>
  </r>
  <r>
    <x v="17"/>
    <x v="5"/>
    <x v="138"/>
    <x v="2"/>
    <x v="10"/>
    <x v="3"/>
    <n v="0"/>
    <n v="0"/>
    <n v="0"/>
    <n v="7.0000000000000007E-2"/>
    <n v="0"/>
    <n v="0"/>
    <n v="0"/>
    <n v="-7.0000000000000007E-2"/>
    <n v="0"/>
    <s v="India"/>
  </r>
  <r>
    <x v="4"/>
    <x v="3"/>
    <x v="76"/>
    <x v="2"/>
    <x v="12"/>
    <x v="4"/>
    <n v="78.63"/>
    <n v="9.85"/>
    <n v="0"/>
    <n v="294222.46999999997"/>
    <n v="32562"/>
    <n v="0"/>
    <n v="-68.78"/>
    <n v="-261660.46999999997"/>
    <n v="-9.85"/>
    <s v="India"/>
  </r>
  <r>
    <x v="4"/>
    <x v="3"/>
    <x v="76"/>
    <x v="2"/>
    <x v="17"/>
    <x v="5"/>
    <n v="0.04"/>
    <n v="0.02"/>
    <n v="0"/>
    <n v="40"/>
    <n v="16"/>
    <n v="0"/>
    <n v="-0.02"/>
    <n v="-24"/>
    <n v="-0.02"/>
    <s v="India"/>
  </r>
  <r>
    <x v="17"/>
    <x v="5"/>
    <x v="138"/>
    <x v="2"/>
    <x v="12"/>
    <x v="4"/>
    <n v="0"/>
    <n v="0"/>
    <n v="0"/>
    <n v="0"/>
    <n v="0.2"/>
    <n v="0"/>
    <n v="0"/>
    <n v="0.2"/>
    <n v="0"/>
    <s v="India"/>
  </r>
  <r>
    <x v="17"/>
    <x v="5"/>
    <x v="138"/>
    <x v="2"/>
    <x v="13"/>
    <x v="3"/>
    <n v="0"/>
    <n v="0"/>
    <n v="0"/>
    <n v="0.01"/>
    <n v="0.02"/>
    <n v="0"/>
    <n v="0"/>
    <n v="0.01"/>
    <n v="0"/>
    <s v="India"/>
  </r>
  <r>
    <x v="17"/>
    <x v="5"/>
    <x v="163"/>
    <x v="2"/>
    <x v="12"/>
    <x v="4"/>
    <n v="0"/>
    <n v="0.04"/>
    <n v="0"/>
    <n v="0"/>
    <n v="149.52000000000001"/>
    <n v="0"/>
    <n v="0.04"/>
    <n v="149.52000000000001"/>
    <n v="-0.04"/>
    <s v="India"/>
  </r>
  <r>
    <x v="17"/>
    <x v="5"/>
    <x v="163"/>
    <x v="2"/>
    <x v="21"/>
    <x v="4"/>
    <n v="0"/>
    <n v="0"/>
    <n v="0"/>
    <n v="0"/>
    <n v="5.4"/>
    <n v="0"/>
    <n v="0"/>
    <n v="5.4"/>
    <n v="0"/>
    <s v="India"/>
  </r>
  <r>
    <x v="17"/>
    <x v="5"/>
    <x v="87"/>
    <x v="2"/>
    <x v="41"/>
    <x v="6"/>
    <n v="0"/>
    <n v="0"/>
    <n v="0"/>
    <n v="0"/>
    <n v="0.01"/>
    <n v="0"/>
    <n v="0"/>
    <n v="0.01"/>
    <n v="0"/>
    <s v="India"/>
  </r>
  <r>
    <x v="17"/>
    <x v="5"/>
    <x v="87"/>
    <x v="2"/>
    <x v="25"/>
    <x v="7"/>
    <n v="0"/>
    <n v="0.01"/>
    <n v="0"/>
    <n v="0"/>
    <n v="17.29"/>
    <n v="0"/>
    <n v="0.01"/>
    <n v="17.29"/>
    <n v="-0.01"/>
    <s v="India"/>
  </r>
  <r>
    <x v="4"/>
    <x v="3"/>
    <x v="76"/>
    <x v="2"/>
    <x v="28"/>
    <x v="5"/>
    <n v="2.3199999999999998"/>
    <n v="0"/>
    <n v="0"/>
    <n v="11292.78"/>
    <n v="15"/>
    <n v="0"/>
    <n v="-2.3199999999999998"/>
    <n v="-11277.78"/>
    <n v="0"/>
    <s v="India"/>
  </r>
  <r>
    <x v="17"/>
    <x v="5"/>
    <x v="87"/>
    <x v="2"/>
    <x v="22"/>
    <x v="6"/>
    <n v="0"/>
    <n v="0.01"/>
    <n v="0"/>
    <n v="0.05"/>
    <n v="0.52"/>
    <n v="0"/>
    <n v="0.01"/>
    <n v="0.47000000000000003"/>
    <n v="-0.01"/>
    <s v="India"/>
  </r>
  <r>
    <x v="17"/>
    <x v="5"/>
    <x v="87"/>
    <x v="2"/>
    <x v="14"/>
    <x v="3"/>
    <n v="0.06"/>
    <n v="0"/>
    <n v="0"/>
    <n v="23"/>
    <n v="9.81"/>
    <n v="0"/>
    <n v="-0.06"/>
    <n v="-13.19"/>
    <n v="0"/>
    <s v="India"/>
  </r>
  <r>
    <x v="4"/>
    <x v="3"/>
    <x v="204"/>
    <x v="2"/>
    <x v="27"/>
    <x v="7"/>
    <n v="0"/>
    <n v="0"/>
    <n v="0"/>
    <n v="0"/>
    <n v="0.01"/>
    <n v="0"/>
    <n v="0"/>
    <n v="0.01"/>
    <n v="0"/>
    <s v="India"/>
  </r>
  <r>
    <x v="4"/>
    <x v="3"/>
    <x v="204"/>
    <x v="2"/>
    <x v="8"/>
    <x v="3"/>
    <n v="0"/>
    <n v="0"/>
    <n v="0"/>
    <n v="0.05"/>
    <n v="0"/>
    <n v="0"/>
    <n v="0"/>
    <n v="-0.05"/>
    <n v="0"/>
    <s v="India"/>
  </r>
  <r>
    <x v="4"/>
    <x v="3"/>
    <x v="204"/>
    <x v="2"/>
    <x v="20"/>
    <x v="3"/>
    <n v="0"/>
    <n v="0"/>
    <n v="0"/>
    <n v="0.45"/>
    <n v="0"/>
    <n v="0"/>
    <n v="0"/>
    <n v="-0.45"/>
    <n v="0"/>
    <s v="India"/>
  </r>
  <r>
    <x v="4"/>
    <x v="3"/>
    <x v="204"/>
    <x v="2"/>
    <x v="21"/>
    <x v="4"/>
    <n v="0"/>
    <n v="0"/>
    <n v="0"/>
    <n v="0.09"/>
    <n v="0"/>
    <n v="0"/>
    <n v="0"/>
    <n v="-0.09"/>
    <n v="0"/>
    <s v="India"/>
  </r>
  <r>
    <x v="4"/>
    <x v="3"/>
    <x v="204"/>
    <x v="2"/>
    <x v="19"/>
    <x v="4"/>
    <n v="0"/>
    <n v="0"/>
    <n v="0"/>
    <n v="0.11"/>
    <n v="0"/>
    <n v="0"/>
    <n v="0"/>
    <n v="-0.11"/>
    <n v="0"/>
    <s v="India"/>
  </r>
  <r>
    <x v="4"/>
    <x v="3"/>
    <x v="204"/>
    <x v="2"/>
    <x v="12"/>
    <x v="4"/>
    <n v="0"/>
    <n v="0"/>
    <n v="0"/>
    <n v="5.26"/>
    <n v="0"/>
    <n v="0"/>
    <n v="0"/>
    <n v="-5.26"/>
    <n v="0"/>
    <s v="India"/>
  </r>
  <r>
    <x v="4"/>
    <x v="3"/>
    <x v="204"/>
    <x v="2"/>
    <x v="10"/>
    <x v="3"/>
    <n v="0"/>
    <n v="0"/>
    <n v="0"/>
    <n v="0.35"/>
    <n v="0"/>
    <n v="0"/>
    <n v="0"/>
    <n v="-0.35"/>
    <n v="0"/>
    <s v="India"/>
  </r>
  <r>
    <x v="4"/>
    <x v="3"/>
    <x v="204"/>
    <x v="2"/>
    <x v="15"/>
    <x v="0"/>
    <n v="0"/>
    <n v="0"/>
    <n v="0"/>
    <n v="6.96"/>
    <n v="1.5"/>
    <n v="0"/>
    <n v="0"/>
    <n v="-5.46"/>
    <n v="0"/>
    <s v="India"/>
  </r>
  <r>
    <x v="4"/>
    <x v="3"/>
    <x v="204"/>
    <x v="2"/>
    <x v="16"/>
    <x v="0"/>
    <n v="0"/>
    <n v="0"/>
    <n v="0"/>
    <n v="4.55"/>
    <n v="0"/>
    <n v="0"/>
    <n v="0"/>
    <n v="-4.55"/>
    <n v="0"/>
    <s v="India"/>
  </r>
  <r>
    <x v="4"/>
    <x v="3"/>
    <x v="204"/>
    <x v="2"/>
    <x v="2"/>
    <x v="0"/>
    <n v="7.0000000000000007E-2"/>
    <n v="0"/>
    <n v="0"/>
    <n v="129.91"/>
    <n v="0"/>
    <n v="0"/>
    <n v="-7.0000000000000007E-2"/>
    <n v="-129.91"/>
    <n v="0"/>
    <s v="India"/>
  </r>
  <r>
    <x v="4"/>
    <x v="3"/>
    <x v="204"/>
    <x v="2"/>
    <x v="6"/>
    <x v="4"/>
    <n v="0"/>
    <n v="0"/>
    <n v="0"/>
    <n v="2.87"/>
    <n v="0"/>
    <n v="0"/>
    <n v="0"/>
    <n v="-2.87"/>
    <n v="0"/>
    <s v="India"/>
  </r>
  <r>
    <x v="4"/>
    <x v="3"/>
    <x v="204"/>
    <x v="2"/>
    <x v="24"/>
    <x v="4"/>
    <n v="0.01"/>
    <n v="0"/>
    <n v="0"/>
    <n v="14.88"/>
    <n v="0"/>
    <n v="0"/>
    <n v="-0.01"/>
    <n v="-14.88"/>
    <n v="0"/>
    <s v="India"/>
  </r>
  <r>
    <x v="4"/>
    <x v="3"/>
    <x v="204"/>
    <x v="2"/>
    <x v="11"/>
    <x v="3"/>
    <n v="0"/>
    <n v="0"/>
    <n v="0"/>
    <n v="0.99"/>
    <n v="0"/>
    <n v="0"/>
    <n v="0"/>
    <n v="-0.99"/>
    <n v="0"/>
    <s v="India"/>
  </r>
  <r>
    <x v="4"/>
    <x v="3"/>
    <x v="160"/>
    <x v="2"/>
    <x v="22"/>
    <x v="6"/>
    <n v="0"/>
    <n v="0.1"/>
    <n v="0"/>
    <n v="0"/>
    <n v="23.5"/>
    <n v="0"/>
    <n v="0.1"/>
    <n v="23.5"/>
    <n v="-0.1"/>
    <s v="India"/>
  </r>
  <r>
    <x v="4"/>
    <x v="3"/>
    <x v="160"/>
    <x v="2"/>
    <x v="8"/>
    <x v="3"/>
    <n v="0.14000000000000001"/>
    <n v="0"/>
    <n v="0"/>
    <n v="237.89"/>
    <n v="0"/>
    <n v="0"/>
    <n v="-0.14000000000000001"/>
    <n v="-237.89"/>
    <n v="0"/>
    <s v="India"/>
  </r>
  <r>
    <x v="4"/>
    <x v="3"/>
    <x v="160"/>
    <x v="2"/>
    <x v="12"/>
    <x v="4"/>
    <n v="0.38"/>
    <n v="0.13"/>
    <n v="0"/>
    <n v="1730.8"/>
    <n v="450"/>
    <n v="0"/>
    <n v="-0.25"/>
    <n v="-1280.8"/>
    <n v="-0.13"/>
    <s v="India"/>
  </r>
  <r>
    <x v="17"/>
    <x v="5"/>
    <x v="176"/>
    <x v="3"/>
    <x v="24"/>
    <x v="4"/>
    <n v="0"/>
    <n v="0"/>
    <n v="0"/>
    <n v="0"/>
    <n v="0.1"/>
    <n v="0"/>
    <n v="0"/>
    <n v="0.1"/>
    <n v="0"/>
    <s v="India"/>
  </r>
  <r>
    <x v="4"/>
    <x v="3"/>
    <x v="160"/>
    <x v="2"/>
    <x v="2"/>
    <x v="0"/>
    <n v="0"/>
    <n v="0.33"/>
    <n v="0"/>
    <n v="0"/>
    <n v="817"/>
    <n v="0"/>
    <n v="0.33"/>
    <n v="817"/>
    <n v="-0.33"/>
    <s v="India"/>
  </r>
  <r>
    <x v="4"/>
    <x v="3"/>
    <x v="160"/>
    <x v="2"/>
    <x v="24"/>
    <x v="4"/>
    <n v="0.06"/>
    <n v="0"/>
    <n v="0"/>
    <n v="100"/>
    <n v="0"/>
    <n v="0"/>
    <n v="-0.06"/>
    <n v="-100"/>
    <n v="0"/>
    <s v="India"/>
  </r>
  <r>
    <x v="4"/>
    <x v="3"/>
    <x v="160"/>
    <x v="2"/>
    <x v="3"/>
    <x v="2"/>
    <n v="7.0000000000000007E-2"/>
    <n v="0"/>
    <n v="0"/>
    <n v="97.07"/>
    <n v="0"/>
    <n v="0"/>
    <n v="-7.0000000000000007E-2"/>
    <n v="-97.07"/>
    <n v="0"/>
    <s v="India"/>
  </r>
  <r>
    <x v="4"/>
    <x v="3"/>
    <x v="166"/>
    <x v="2"/>
    <x v="8"/>
    <x v="3"/>
    <n v="0"/>
    <n v="0"/>
    <n v="0"/>
    <n v="0.3"/>
    <n v="7.02"/>
    <n v="0"/>
    <n v="0"/>
    <n v="6.72"/>
    <n v="0"/>
    <s v="India"/>
  </r>
  <r>
    <x v="4"/>
    <x v="3"/>
    <x v="166"/>
    <x v="2"/>
    <x v="21"/>
    <x v="4"/>
    <n v="0"/>
    <n v="0"/>
    <n v="0"/>
    <n v="0"/>
    <n v="0.08"/>
    <n v="0"/>
    <n v="0"/>
    <n v="0.08"/>
    <n v="0"/>
    <s v="India"/>
  </r>
  <r>
    <x v="4"/>
    <x v="3"/>
    <x v="166"/>
    <x v="2"/>
    <x v="12"/>
    <x v="4"/>
    <n v="0"/>
    <n v="0"/>
    <n v="0"/>
    <n v="0"/>
    <n v="1.58"/>
    <n v="0"/>
    <n v="0"/>
    <n v="1.58"/>
    <n v="0"/>
    <s v="India"/>
  </r>
  <r>
    <x v="4"/>
    <x v="3"/>
    <x v="166"/>
    <x v="2"/>
    <x v="16"/>
    <x v="0"/>
    <n v="0"/>
    <n v="0.01"/>
    <n v="0"/>
    <n v="0"/>
    <n v="21.4"/>
    <n v="0"/>
    <n v="0.01"/>
    <n v="21.4"/>
    <n v="-0.01"/>
    <s v="India"/>
  </r>
  <r>
    <x v="4"/>
    <x v="3"/>
    <x v="166"/>
    <x v="2"/>
    <x v="4"/>
    <x v="3"/>
    <n v="0.12"/>
    <n v="0"/>
    <n v="0"/>
    <n v="0.01"/>
    <n v="0"/>
    <n v="0"/>
    <n v="-0.12"/>
    <n v="-0.01"/>
    <n v="0"/>
    <s v="India"/>
  </r>
  <r>
    <x v="4"/>
    <x v="3"/>
    <x v="166"/>
    <x v="2"/>
    <x v="6"/>
    <x v="4"/>
    <n v="0"/>
    <n v="0"/>
    <n v="0"/>
    <n v="0"/>
    <n v="2.5"/>
    <n v="0"/>
    <n v="0"/>
    <n v="2.5"/>
    <n v="0"/>
    <s v="India"/>
  </r>
  <r>
    <x v="4"/>
    <x v="3"/>
    <x v="166"/>
    <x v="2"/>
    <x v="24"/>
    <x v="4"/>
    <n v="0"/>
    <n v="0"/>
    <n v="0"/>
    <n v="0"/>
    <n v="12.18"/>
    <n v="0"/>
    <n v="0"/>
    <n v="12.18"/>
    <n v="0"/>
    <s v="India"/>
  </r>
  <r>
    <x v="4"/>
    <x v="3"/>
    <x v="166"/>
    <x v="2"/>
    <x v="11"/>
    <x v="3"/>
    <n v="0"/>
    <n v="0"/>
    <n v="0"/>
    <n v="0"/>
    <n v="0.75"/>
    <n v="0"/>
    <n v="0"/>
    <n v="0.75"/>
    <n v="0"/>
    <s v="India"/>
  </r>
  <r>
    <x v="17"/>
    <x v="5"/>
    <x v="176"/>
    <x v="3"/>
    <x v="2"/>
    <x v="0"/>
    <n v="0"/>
    <n v="0"/>
    <n v="0"/>
    <n v="0"/>
    <n v="1.02"/>
    <n v="0"/>
    <n v="0"/>
    <n v="1.02"/>
    <n v="0"/>
    <s v="India"/>
  </r>
  <r>
    <x v="4"/>
    <x v="3"/>
    <x v="135"/>
    <x v="2"/>
    <x v="22"/>
    <x v="6"/>
    <n v="0.01"/>
    <n v="0"/>
    <n v="0"/>
    <n v="1.06"/>
    <n v="0.01"/>
    <n v="0"/>
    <n v="-0.01"/>
    <n v="-1.05"/>
    <n v="0"/>
    <s v="India"/>
  </r>
  <r>
    <x v="4"/>
    <x v="3"/>
    <x v="135"/>
    <x v="2"/>
    <x v="40"/>
    <x v="6"/>
    <n v="0"/>
    <n v="0"/>
    <n v="0"/>
    <n v="0.09"/>
    <n v="0"/>
    <n v="0"/>
    <n v="0"/>
    <n v="-0.09"/>
    <n v="0"/>
    <s v="India"/>
  </r>
  <r>
    <x v="17"/>
    <x v="5"/>
    <x v="176"/>
    <x v="3"/>
    <x v="29"/>
    <x v="7"/>
    <n v="0"/>
    <n v="0"/>
    <n v="0"/>
    <n v="0"/>
    <n v="0"/>
    <n v="0.01"/>
    <n v="0"/>
    <n v="0"/>
    <n v="0"/>
    <s v="India"/>
  </r>
  <r>
    <x v="4"/>
    <x v="3"/>
    <x v="135"/>
    <x v="2"/>
    <x v="18"/>
    <x v="7"/>
    <n v="0.02"/>
    <n v="0"/>
    <n v="0"/>
    <n v="7.52"/>
    <n v="0"/>
    <n v="0"/>
    <n v="-0.02"/>
    <n v="-7.52"/>
    <n v="0"/>
    <s v="India"/>
  </r>
  <r>
    <x v="4"/>
    <x v="3"/>
    <x v="135"/>
    <x v="2"/>
    <x v="19"/>
    <x v="4"/>
    <n v="0"/>
    <n v="0"/>
    <n v="0"/>
    <n v="0"/>
    <n v="0.79"/>
    <n v="0"/>
    <n v="0"/>
    <n v="0.79"/>
    <n v="0"/>
    <s v="India"/>
  </r>
  <r>
    <x v="17"/>
    <x v="5"/>
    <x v="205"/>
    <x v="2"/>
    <x v="24"/>
    <x v="4"/>
    <n v="0"/>
    <n v="0"/>
    <n v="0"/>
    <n v="5"/>
    <n v="0"/>
    <n v="0"/>
    <n v="0"/>
    <n v="-5"/>
    <n v="0"/>
    <s v="India"/>
  </r>
  <r>
    <x v="17"/>
    <x v="5"/>
    <x v="205"/>
    <x v="2"/>
    <x v="15"/>
    <x v="0"/>
    <n v="0"/>
    <n v="0"/>
    <n v="0"/>
    <n v="21"/>
    <n v="0"/>
    <n v="0"/>
    <n v="0"/>
    <n v="-21"/>
    <n v="0"/>
    <s v="India"/>
  </r>
  <r>
    <x v="17"/>
    <x v="5"/>
    <x v="108"/>
    <x v="2"/>
    <x v="41"/>
    <x v="6"/>
    <n v="0"/>
    <n v="0"/>
    <n v="0"/>
    <n v="0"/>
    <n v="0"/>
    <n v="0"/>
    <n v="0"/>
    <n v="0"/>
    <n v="0"/>
    <s v="India"/>
  </r>
  <r>
    <x v="4"/>
    <x v="3"/>
    <x v="135"/>
    <x v="2"/>
    <x v="29"/>
    <x v="7"/>
    <n v="0"/>
    <n v="0"/>
    <n v="0"/>
    <n v="0.08"/>
    <n v="0"/>
    <n v="0"/>
    <n v="0"/>
    <n v="-0.08"/>
    <n v="0"/>
    <s v="India"/>
  </r>
  <r>
    <x v="4"/>
    <x v="3"/>
    <x v="125"/>
    <x v="2"/>
    <x v="3"/>
    <x v="2"/>
    <n v="0.51"/>
    <n v="0"/>
    <n v="0"/>
    <n v="748.63"/>
    <n v="0"/>
    <n v="0"/>
    <n v="-0.51"/>
    <n v="-748.63"/>
    <n v="0"/>
    <s v="India"/>
  </r>
  <r>
    <x v="17"/>
    <x v="5"/>
    <x v="108"/>
    <x v="2"/>
    <x v="9"/>
    <x v="6"/>
    <n v="0"/>
    <n v="0"/>
    <n v="0"/>
    <n v="0"/>
    <n v="0.02"/>
    <n v="0"/>
    <n v="0"/>
    <n v="0.02"/>
    <n v="0"/>
    <s v="India"/>
  </r>
  <r>
    <x v="4"/>
    <x v="3"/>
    <x v="71"/>
    <x v="2"/>
    <x v="14"/>
    <x v="3"/>
    <n v="0"/>
    <n v="0"/>
    <n v="0"/>
    <n v="0"/>
    <n v="0.37"/>
    <n v="0"/>
    <n v="0"/>
    <n v="0.37"/>
    <n v="0"/>
    <s v="India"/>
  </r>
  <r>
    <x v="17"/>
    <x v="5"/>
    <x v="108"/>
    <x v="2"/>
    <x v="40"/>
    <x v="6"/>
    <n v="0"/>
    <n v="0"/>
    <n v="0"/>
    <n v="0.06"/>
    <n v="0"/>
    <n v="0"/>
    <n v="0"/>
    <n v="-0.06"/>
    <n v="0"/>
    <s v="India"/>
  </r>
  <r>
    <x v="17"/>
    <x v="5"/>
    <x v="108"/>
    <x v="2"/>
    <x v="22"/>
    <x v="6"/>
    <n v="0"/>
    <n v="0"/>
    <n v="0"/>
    <n v="0.12"/>
    <n v="0.02"/>
    <n v="0"/>
    <n v="0"/>
    <n v="-9.9999999999999992E-2"/>
    <n v="0"/>
    <s v="India"/>
  </r>
  <r>
    <x v="17"/>
    <x v="5"/>
    <x v="108"/>
    <x v="2"/>
    <x v="14"/>
    <x v="3"/>
    <n v="0"/>
    <n v="0"/>
    <n v="0"/>
    <n v="0"/>
    <n v="4.72"/>
    <n v="0.01"/>
    <n v="0"/>
    <n v="4.72"/>
    <n v="0"/>
    <s v="India"/>
  </r>
  <r>
    <x v="3"/>
    <x v="2"/>
    <x v="127"/>
    <x v="1"/>
    <x v="11"/>
    <x v="3"/>
    <n v="0"/>
    <n v="0"/>
    <n v="0"/>
    <n v="0"/>
    <n v="4.5999999999999996"/>
    <n v="0"/>
    <n v="0"/>
    <n v="4.5999999999999996"/>
    <n v="0"/>
    <s v="India"/>
  </r>
  <r>
    <x v="4"/>
    <x v="3"/>
    <x v="71"/>
    <x v="2"/>
    <x v="17"/>
    <x v="5"/>
    <n v="0.04"/>
    <n v="0.02"/>
    <n v="0"/>
    <n v="51.8"/>
    <n v="12"/>
    <n v="0"/>
    <n v="-0.02"/>
    <n v="-39.799999999999997"/>
    <n v="-0.02"/>
    <s v="India"/>
  </r>
  <r>
    <x v="3"/>
    <x v="2"/>
    <x v="127"/>
    <x v="1"/>
    <x v="6"/>
    <x v="4"/>
    <n v="0"/>
    <n v="0.19"/>
    <n v="0"/>
    <n v="0"/>
    <n v="25.08"/>
    <n v="0"/>
    <n v="0.19"/>
    <n v="25.08"/>
    <n v="-0.19"/>
    <s v="India"/>
  </r>
  <r>
    <x v="3"/>
    <x v="2"/>
    <x v="5"/>
    <x v="0"/>
    <x v="5"/>
    <x v="3"/>
    <n v="0.14000000000000001"/>
    <n v="0.23"/>
    <n v="0"/>
    <n v="121.08"/>
    <n v="77.17"/>
    <n v="0"/>
    <n v="0.09"/>
    <n v="-43.91"/>
    <n v="-0.23"/>
    <s v="India"/>
  </r>
  <r>
    <x v="3"/>
    <x v="2"/>
    <x v="5"/>
    <x v="0"/>
    <x v="38"/>
    <x v="5"/>
    <n v="0.31"/>
    <n v="0"/>
    <n v="0"/>
    <n v="216"/>
    <n v="0"/>
    <n v="0"/>
    <n v="-0.31"/>
    <n v="-216"/>
    <n v="0"/>
    <s v="India"/>
  </r>
  <r>
    <x v="4"/>
    <x v="3"/>
    <x v="71"/>
    <x v="2"/>
    <x v="16"/>
    <x v="0"/>
    <n v="0.01"/>
    <n v="0"/>
    <n v="0"/>
    <n v="30"/>
    <n v="0"/>
    <n v="0"/>
    <n v="-0.01"/>
    <n v="-30"/>
    <n v="0"/>
    <s v="India"/>
  </r>
  <r>
    <x v="3"/>
    <x v="2"/>
    <x v="5"/>
    <x v="0"/>
    <x v="32"/>
    <x v="0"/>
    <n v="0"/>
    <n v="0"/>
    <n v="0"/>
    <n v="2.2799999999999998"/>
    <n v="0.36"/>
    <n v="0"/>
    <n v="0"/>
    <n v="-1.92"/>
    <n v="0"/>
    <s v="India"/>
  </r>
  <r>
    <x v="3"/>
    <x v="2"/>
    <x v="5"/>
    <x v="0"/>
    <x v="29"/>
    <x v="7"/>
    <n v="0"/>
    <n v="0"/>
    <n v="0"/>
    <n v="0.04"/>
    <n v="0.01"/>
    <n v="0"/>
    <n v="0"/>
    <n v="-0.03"/>
    <n v="0"/>
    <s v="India"/>
  </r>
  <r>
    <x v="3"/>
    <x v="2"/>
    <x v="5"/>
    <x v="0"/>
    <x v="35"/>
    <x v="0"/>
    <n v="0"/>
    <n v="0"/>
    <n v="0"/>
    <n v="0.6"/>
    <n v="0.13"/>
    <n v="0"/>
    <n v="0"/>
    <n v="-0.47"/>
    <n v="0"/>
    <s v="India"/>
  </r>
  <r>
    <x v="4"/>
    <x v="3"/>
    <x v="71"/>
    <x v="2"/>
    <x v="32"/>
    <x v="0"/>
    <n v="0"/>
    <n v="0"/>
    <n v="0"/>
    <n v="1.5"/>
    <n v="1"/>
    <n v="0"/>
    <n v="0"/>
    <n v="-0.5"/>
    <n v="0"/>
    <s v="India"/>
  </r>
  <r>
    <x v="3"/>
    <x v="2"/>
    <x v="5"/>
    <x v="0"/>
    <x v="7"/>
    <x v="5"/>
    <n v="0"/>
    <n v="0"/>
    <n v="0"/>
    <n v="2"/>
    <n v="0"/>
    <n v="0"/>
    <n v="0"/>
    <n v="-2"/>
    <n v="0"/>
    <s v="India"/>
  </r>
  <r>
    <x v="3"/>
    <x v="2"/>
    <x v="5"/>
    <x v="0"/>
    <x v="9"/>
    <x v="6"/>
    <n v="0"/>
    <n v="0.62"/>
    <n v="0"/>
    <n v="1.27"/>
    <n v="577.37"/>
    <n v="0"/>
    <n v="0.62"/>
    <n v="576.1"/>
    <n v="-0.62"/>
    <s v="India"/>
  </r>
  <r>
    <x v="3"/>
    <x v="2"/>
    <x v="5"/>
    <x v="0"/>
    <x v="17"/>
    <x v="5"/>
    <n v="0"/>
    <n v="0"/>
    <n v="0"/>
    <n v="0.08"/>
    <n v="0"/>
    <n v="0"/>
    <n v="0"/>
    <n v="-0.08"/>
    <n v="0"/>
    <s v="India"/>
  </r>
  <r>
    <x v="3"/>
    <x v="2"/>
    <x v="5"/>
    <x v="0"/>
    <x v="25"/>
    <x v="7"/>
    <n v="0.61"/>
    <n v="0.09"/>
    <n v="0"/>
    <n v="3165.56"/>
    <n v="1382.4"/>
    <n v="0"/>
    <n v="-0.52"/>
    <n v="-1783.1599999999999"/>
    <n v="-0.09"/>
    <s v="India"/>
  </r>
  <r>
    <x v="3"/>
    <x v="2"/>
    <x v="5"/>
    <x v="0"/>
    <x v="18"/>
    <x v="7"/>
    <n v="0.01"/>
    <n v="0.01"/>
    <n v="0"/>
    <n v="3.57"/>
    <n v="0.61"/>
    <n v="0"/>
    <n v="0"/>
    <n v="-2.96"/>
    <n v="-0.01"/>
    <s v="India"/>
  </r>
  <r>
    <x v="4"/>
    <x v="3"/>
    <x v="71"/>
    <x v="2"/>
    <x v="41"/>
    <x v="6"/>
    <n v="0"/>
    <n v="0"/>
    <n v="0"/>
    <n v="0.01"/>
    <n v="0"/>
    <n v="0"/>
    <n v="0"/>
    <n v="-0.01"/>
    <n v="0"/>
    <s v="India"/>
  </r>
  <r>
    <x v="3"/>
    <x v="2"/>
    <x v="5"/>
    <x v="0"/>
    <x v="20"/>
    <x v="3"/>
    <n v="0"/>
    <n v="0"/>
    <n v="0"/>
    <n v="0"/>
    <n v="0"/>
    <n v="0"/>
    <n v="0"/>
    <n v="0"/>
    <n v="0"/>
    <s v="India"/>
  </r>
  <r>
    <x v="4"/>
    <x v="3"/>
    <x v="73"/>
    <x v="2"/>
    <x v="14"/>
    <x v="3"/>
    <n v="0"/>
    <n v="0"/>
    <n v="0"/>
    <n v="0.23"/>
    <n v="0"/>
    <n v="0"/>
    <n v="0"/>
    <n v="-0.23"/>
    <n v="0"/>
    <s v="India"/>
  </r>
  <r>
    <x v="4"/>
    <x v="3"/>
    <x v="73"/>
    <x v="2"/>
    <x v="0"/>
    <x v="0"/>
    <n v="1.38"/>
    <n v="0.06"/>
    <n v="0"/>
    <n v="1181.81"/>
    <n v="40"/>
    <n v="0"/>
    <n v="-1.3199999999999998"/>
    <n v="-1141.81"/>
    <n v="-0.06"/>
    <s v="India"/>
  </r>
  <r>
    <x v="3"/>
    <x v="2"/>
    <x v="5"/>
    <x v="0"/>
    <x v="13"/>
    <x v="3"/>
    <n v="0"/>
    <n v="0.01"/>
    <n v="0"/>
    <n v="0"/>
    <n v="0.7"/>
    <n v="0"/>
    <n v="0.01"/>
    <n v="0.7"/>
    <n v="-0.01"/>
    <s v="India"/>
  </r>
  <r>
    <x v="4"/>
    <x v="3"/>
    <x v="73"/>
    <x v="2"/>
    <x v="22"/>
    <x v="6"/>
    <n v="0.01"/>
    <n v="0.08"/>
    <n v="0"/>
    <n v="5.52"/>
    <n v="42.31"/>
    <n v="0"/>
    <n v="7.0000000000000007E-2"/>
    <n v="36.790000000000006"/>
    <n v="-0.08"/>
    <s v="India"/>
  </r>
  <r>
    <x v="4"/>
    <x v="3"/>
    <x v="73"/>
    <x v="2"/>
    <x v="40"/>
    <x v="6"/>
    <n v="0"/>
    <n v="7.0000000000000007E-2"/>
    <n v="0"/>
    <n v="0"/>
    <n v="34"/>
    <n v="0"/>
    <n v="7.0000000000000007E-2"/>
    <n v="34"/>
    <n v="-7.0000000000000007E-2"/>
    <s v="India"/>
  </r>
  <r>
    <x v="3"/>
    <x v="2"/>
    <x v="5"/>
    <x v="0"/>
    <x v="34"/>
    <x v="6"/>
    <n v="0.14000000000000001"/>
    <n v="0.24"/>
    <n v="0"/>
    <n v="207.15"/>
    <n v="373.25"/>
    <n v="0"/>
    <n v="9.9999999999999978E-2"/>
    <n v="166.1"/>
    <n v="-0.24"/>
    <s v="India"/>
  </r>
  <r>
    <x v="3"/>
    <x v="2"/>
    <x v="5"/>
    <x v="0"/>
    <x v="40"/>
    <x v="6"/>
    <n v="2.16"/>
    <n v="0"/>
    <n v="0"/>
    <n v="1997.23"/>
    <n v="0"/>
    <n v="0"/>
    <n v="-2.16"/>
    <n v="-1997.23"/>
    <n v="0"/>
    <s v="India"/>
  </r>
  <r>
    <x v="4"/>
    <x v="3"/>
    <x v="73"/>
    <x v="2"/>
    <x v="25"/>
    <x v="7"/>
    <n v="0"/>
    <n v="0"/>
    <n v="0"/>
    <n v="61.95"/>
    <n v="0"/>
    <n v="0"/>
    <n v="0"/>
    <n v="-61.95"/>
    <n v="0"/>
    <s v="India"/>
  </r>
  <r>
    <x v="3"/>
    <x v="2"/>
    <x v="5"/>
    <x v="0"/>
    <x v="31"/>
    <x v="1"/>
    <n v="0.12"/>
    <n v="1.0900000000000001"/>
    <n v="0"/>
    <n v="85.5"/>
    <n v="864"/>
    <n v="0"/>
    <n v="0.97000000000000008"/>
    <n v="778.5"/>
    <n v="-1.0900000000000001"/>
    <s v="India"/>
  </r>
  <r>
    <x v="4"/>
    <x v="3"/>
    <x v="73"/>
    <x v="2"/>
    <x v="12"/>
    <x v="4"/>
    <n v="1.63"/>
    <n v="0.13"/>
    <n v="0"/>
    <n v="8692.25"/>
    <n v="444.33"/>
    <n v="0"/>
    <n v="-1.5"/>
    <n v="-8247.92"/>
    <n v="-0.13"/>
    <s v="India"/>
  </r>
  <r>
    <x v="3"/>
    <x v="2"/>
    <x v="21"/>
    <x v="0"/>
    <x v="3"/>
    <x v="2"/>
    <n v="0.03"/>
    <n v="0"/>
    <n v="0"/>
    <n v="19.920000000000002"/>
    <n v="0"/>
    <n v="0"/>
    <n v="-0.03"/>
    <n v="-19.920000000000002"/>
    <n v="0"/>
    <s v="India"/>
  </r>
  <r>
    <x v="3"/>
    <x v="2"/>
    <x v="21"/>
    <x v="0"/>
    <x v="5"/>
    <x v="3"/>
    <n v="0.13"/>
    <n v="0"/>
    <n v="0"/>
    <n v="236.06"/>
    <n v="0"/>
    <n v="0"/>
    <n v="-0.13"/>
    <n v="-236.06"/>
    <n v="0"/>
    <s v="India"/>
  </r>
  <r>
    <x v="3"/>
    <x v="2"/>
    <x v="21"/>
    <x v="0"/>
    <x v="11"/>
    <x v="3"/>
    <n v="0.05"/>
    <n v="0"/>
    <n v="0"/>
    <n v="34.36"/>
    <n v="0"/>
    <n v="0"/>
    <n v="-0.05"/>
    <n v="-34.36"/>
    <n v="0"/>
    <s v="India"/>
  </r>
  <r>
    <x v="3"/>
    <x v="2"/>
    <x v="21"/>
    <x v="0"/>
    <x v="32"/>
    <x v="0"/>
    <n v="0.04"/>
    <n v="0"/>
    <n v="0"/>
    <n v="69"/>
    <n v="0"/>
    <n v="0"/>
    <n v="-0.04"/>
    <n v="-69"/>
    <n v="0"/>
    <s v="India"/>
  </r>
  <r>
    <x v="3"/>
    <x v="2"/>
    <x v="21"/>
    <x v="0"/>
    <x v="2"/>
    <x v="0"/>
    <n v="76.53"/>
    <n v="0"/>
    <n v="0"/>
    <n v="205866.06"/>
    <n v="0"/>
    <n v="0"/>
    <n v="-76.53"/>
    <n v="-205866.06"/>
    <n v="0"/>
    <s v="India"/>
  </r>
  <r>
    <x v="3"/>
    <x v="2"/>
    <x v="21"/>
    <x v="0"/>
    <x v="4"/>
    <x v="3"/>
    <n v="0.28000000000000003"/>
    <n v="0"/>
    <n v="0"/>
    <n v="611.67999999999995"/>
    <n v="0"/>
    <n v="0"/>
    <n v="-0.28000000000000003"/>
    <n v="-611.67999999999995"/>
    <n v="0"/>
    <s v="India"/>
  </r>
  <r>
    <x v="3"/>
    <x v="2"/>
    <x v="21"/>
    <x v="0"/>
    <x v="35"/>
    <x v="0"/>
    <n v="0.1"/>
    <n v="0"/>
    <n v="0"/>
    <n v="177.92"/>
    <n v="0"/>
    <n v="0"/>
    <n v="-0.1"/>
    <n v="-177.92"/>
    <n v="0"/>
    <s v="India"/>
  </r>
  <r>
    <x v="3"/>
    <x v="2"/>
    <x v="21"/>
    <x v="0"/>
    <x v="16"/>
    <x v="0"/>
    <n v="0"/>
    <n v="0"/>
    <n v="0"/>
    <n v="3.1"/>
    <n v="0"/>
    <n v="0"/>
    <n v="0"/>
    <n v="-3.1"/>
    <n v="0"/>
    <s v="India"/>
  </r>
  <r>
    <x v="3"/>
    <x v="2"/>
    <x v="21"/>
    <x v="0"/>
    <x v="10"/>
    <x v="3"/>
    <n v="0"/>
    <n v="0"/>
    <n v="0"/>
    <n v="0.5"/>
    <n v="0"/>
    <n v="0"/>
    <n v="0"/>
    <n v="-0.5"/>
    <n v="0"/>
    <s v="India"/>
  </r>
  <r>
    <x v="3"/>
    <x v="2"/>
    <x v="21"/>
    <x v="0"/>
    <x v="8"/>
    <x v="3"/>
    <n v="0.02"/>
    <n v="0"/>
    <n v="0"/>
    <n v="13.1"/>
    <n v="0"/>
    <n v="0"/>
    <n v="-0.02"/>
    <n v="-13.1"/>
    <n v="0"/>
    <s v="India"/>
  </r>
  <r>
    <x v="3"/>
    <x v="2"/>
    <x v="3"/>
    <x v="0"/>
    <x v="4"/>
    <x v="3"/>
    <n v="0.02"/>
    <n v="0.01"/>
    <n v="0"/>
    <n v="4.58"/>
    <n v="4.07"/>
    <n v="0"/>
    <n v="-0.01"/>
    <n v="-0.50999999999999979"/>
    <n v="-0.01"/>
    <s v="India"/>
  </r>
  <r>
    <x v="4"/>
    <x v="3"/>
    <x v="73"/>
    <x v="2"/>
    <x v="28"/>
    <x v="5"/>
    <n v="0.14000000000000001"/>
    <n v="0"/>
    <n v="0"/>
    <n v="706.3"/>
    <n v="0"/>
    <n v="0"/>
    <n v="-0.14000000000000001"/>
    <n v="-706.3"/>
    <n v="0"/>
    <s v="India"/>
  </r>
  <r>
    <x v="4"/>
    <x v="3"/>
    <x v="73"/>
    <x v="2"/>
    <x v="33"/>
    <x v="7"/>
    <n v="0"/>
    <n v="0"/>
    <n v="0"/>
    <n v="0.01"/>
    <n v="0"/>
    <n v="0"/>
    <n v="0"/>
    <n v="-0.01"/>
    <n v="0"/>
    <s v="India"/>
  </r>
  <r>
    <x v="3"/>
    <x v="2"/>
    <x v="170"/>
    <x v="1"/>
    <x v="11"/>
    <x v="3"/>
    <n v="0"/>
    <n v="0"/>
    <n v="0"/>
    <n v="0.25"/>
    <n v="0.33"/>
    <n v="0"/>
    <n v="0"/>
    <n v="8.0000000000000016E-2"/>
    <n v="0"/>
    <s v="India"/>
  </r>
  <r>
    <x v="3"/>
    <x v="2"/>
    <x v="170"/>
    <x v="1"/>
    <x v="4"/>
    <x v="3"/>
    <n v="0"/>
    <n v="0"/>
    <n v="0"/>
    <n v="3"/>
    <n v="0"/>
    <n v="0"/>
    <n v="0"/>
    <n v="-3"/>
    <n v="0"/>
    <s v="India"/>
  </r>
  <r>
    <x v="3"/>
    <x v="2"/>
    <x v="170"/>
    <x v="1"/>
    <x v="17"/>
    <x v="5"/>
    <n v="0.54"/>
    <n v="0.05"/>
    <n v="0"/>
    <n v="343"/>
    <n v="49.4"/>
    <n v="0"/>
    <n v="-0.49000000000000005"/>
    <n v="-293.60000000000002"/>
    <n v="-0.05"/>
    <s v="India"/>
  </r>
  <r>
    <x v="4"/>
    <x v="3"/>
    <x v="206"/>
    <x v="2"/>
    <x v="15"/>
    <x v="0"/>
    <n v="8.3699999999999992"/>
    <n v="0"/>
    <n v="0"/>
    <n v="34191.97"/>
    <n v="0"/>
    <n v="0"/>
    <n v="-8.3699999999999992"/>
    <n v="-34191.97"/>
    <n v="0"/>
    <s v="India"/>
  </r>
  <r>
    <x v="4"/>
    <x v="3"/>
    <x v="206"/>
    <x v="2"/>
    <x v="28"/>
    <x v="5"/>
    <n v="0.44"/>
    <n v="0"/>
    <n v="0"/>
    <n v="2249.27"/>
    <n v="0"/>
    <n v="0"/>
    <n v="-0.44"/>
    <n v="-2249.27"/>
    <n v="0"/>
    <s v="India"/>
  </r>
  <r>
    <x v="4"/>
    <x v="3"/>
    <x v="65"/>
    <x v="1"/>
    <x v="2"/>
    <x v="0"/>
    <n v="0"/>
    <n v="3.41"/>
    <n v="0"/>
    <n v="0"/>
    <n v="7311.27"/>
    <n v="0"/>
    <n v="3.41"/>
    <n v="7311.27"/>
    <n v="-3.41"/>
    <s v="India"/>
  </r>
  <r>
    <x v="3"/>
    <x v="2"/>
    <x v="116"/>
    <x v="0"/>
    <x v="11"/>
    <x v="3"/>
    <n v="0"/>
    <n v="0.06"/>
    <n v="0"/>
    <n v="0"/>
    <n v="87"/>
    <n v="0"/>
    <n v="0.06"/>
    <n v="87"/>
    <n v="-0.06"/>
    <s v="India"/>
  </r>
  <r>
    <x v="3"/>
    <x v="2"/>
    <x v="116"/>
    <x v="0"/>
    <x v="6"/>
    <x v="4"/>
    <n v="0"/>
    <n v="0.02"/>
    <n v="0"/>
    <n v="0"/>
    <n v="29"/>
    <n v="0"/>
    <n v="0.02"/>
    <n v="29"/>
    <n v="-0.02"/>
    <s v="India"/>
  </r>
  <r>
    <x v="3"/>
    <x v="2"/>
    <x v="116"/>
    <x v="0"/>
    <x v="15"/>
    <x v="0"/>
    <n v="8.15"/>
    <n v="0"/>
    <n v="0"/>
    <n v="31200"/>
    <n v="0"/>
    <n v="0"/>
    <n v="-8.15"/>
    <n v="-31200"/>
    <n v="0"/>
    <s v="India"/>
  </r>
  <r>
    <x v="1"/>
    <x v="0"/>
    <x v="141"/>
    <x v="3"/>
    <x v="23"/>
    <x v="1"/>
    <n v="0"/>
    <n v="0.32"/>
    <n v="0"/>
    <n v="0"/>
    <n v="35.97"/>
    <n v="0"/>
    <n v="0.32"/>
    <n v="35.97"/>
    <n v="-0.32"/>
    <s v="India"/>
  </r>
  <r>
    <x v="24"/>
    <x v="5"/>
    <x v="207"/>
    <x v="2"/>
    <x v="22"/>
    <x v="6"/>
    <n v="0"/>
    <n v="0"/>
    <n v="0"/>
    <n v="0"/>
    <n v="1"/>
    <n v="0"/>
    <n v="0"/>
    <n v="1"/>
    <n v="0"/>
    <s v="India"/>
  </r>
  <r>
    <x v="1"/>
    <x v="0"/>
    <x v="208"/>
    <x v="4"/>
    <x v="4"/>
    <x v="3"/>
    <n v="0"/>
    <n v="0"/>
    <n v="0"/>
    <n v="0"/>
    <n v="0"/>
    <n v="0"/>
    <n v="0"/>
    <n v="0"/>
    <n v="0"/>
    <s v="India"/>
  </r>
  <r>
    <x v="24"/>
    <x v="5"/>
    <x v="207"/>
    <x v="2"/>
    <x v="2"/>
    <x v="0"/>
    <n v="0"/>
    <n v="0.22"/>
    <n v="0"/>
    <n v="0"/>
    <n v="595"/>
    <n v="0"/>
    <n v="0.22"/>
    <n v="595"/>
    <n v="-0.22"/>
    <s v="India"/>
  </r>
  <r>
    <x v="24"/>
    <x v="5"/>
    <x v="207"/>
    <x v="2"/>
    <x v="6"/>
    <x v="4"/>
    <n v="0"/>
    <n v="0"/>
    <n v="0"/>
    <n v="0"/>
    <n v="4"/>
    <n v="0"/>
    <n v="0"/>
    <n v="4"/>
    <n v="0"/>
    <s v="India"/>
  </r>
  <r>
    <x v="24"/>
    <x v="5"/>
    <x v="207"/>
    <x v="2"/>
    <x v="11"/>
    <x v="3"/>
    <n v="0"/>
    <n v="0.01"/>
    <n v="0"/>
    <n v="0"/>
    <n v="5"/>
    <n v="0"/>
    <n v="0.01"/>
    <n v="5"/>
    <n v="-0.01"/>
    <s v="India"/>
  </r>
  <r>
    <x v="1"/>
    <x v="0"/>
    <x v="141"/>
    <x v="3"/>
    <x v="11"/>
    <x v="3"/>
    <n v="0"/>
    <n v="0"/>
    <n v="0"/>
    <n v="0"/>
    <n v="0.43"/>
    <n v="0"/>
    <n v="0"/>
    <n v="0.43"/>
    <n v="0"/>
    <s v="India"/>
  </r>
  <r>
    <x v="16"/>
    <x v="3"/>
    <x v="77"/>
    <x v="2"/>
    <x v="36"/>
    <x v="6"/>
    <n v="0"/>
    <n v="0"/>
    <n v="0"/>
    <n v="0"/>
    <n v="0.02"/>
    <n v="0"/>
    <n v="0"/>
    <n v="0.02"/>
    <n v="0"/>
    <s v="India"/>
  </r>
  <r>
    <x v="16"/>
    <x v="3"/>
    <x v="77"/>
    <x v="2"/>
    <x v="34"/>
    <x v="6"/>
    <n v="0.04"/>
    <n v="0.02"/>
    <n v="0"/>
    <n v="59.93"/>
    <n v="30"/>
    <n v="0"/>
    <n v="-0.02"/>
    <n v="-29.93"/>
    <n v="-0.02"/>
    <s v="India"/>
  </r>
  <r>
    <x v="1"/>
    <x v="0"/>
    <x v="141"/>
    <x v="3"/>
    <x v="16"/>
    <x v="0"/>
    <n v="0"/>
    <n v="0"/>
    <n v="0"/>
    <n v="0"/>
    <n v="0.01"/>
    <n v="0"/>
    <n v="0"/>
    <n v="0.01"/>
    <n v="0"/>
    <s v="India"/>
  </r>
  <r>
    <x v="16"/>
    <x v="3"/>
    <x v="77"/>
    <x v="2"/>
    <x v="13"/>
    <x v="3"/>
    <n v="0"/>
    <n v="0"/>
    <n v="0"/>
    <n v="0.49"/>
    <n v="0"/>
    <n v="0"/>
    <n v="0"/>
    <n v="-0.49"/>
    <n v="0"/>
    <s v="India"/>
  </r>
  <r>
    <x v="1"/>
    <x v="0"/>
    <x v="141"/>
    <x v="3"/>
    <x v="21"/>
    <x v="4"/>
    <n v="0"/>
    <n v="0"/>
    <n v="0"/>
    <n v="0"/>
    <n v="0.1"/>
    <n v="0"/>
    <n v="0"/>
    <n v="0.1"/>
    <n v="0"/>
    <s v="India"/>
  </r>
  <r>
    <x v="1"/>
    <x v="0"/>
    <x v="141"/>
    <x v="3"/>
    <x v="30"/>
    <x v="5"/>
    <n v="0"/>
    <n v="0.01"/>
    <n v="0"/>
    <n v="0.45"/>
    <n v="1.96"/>
    <n v="0"/>
    <n v="0.01"/>
    <n v="1.51"/>
    <n v="-0.01"/>
    <s v="India"/>
  </r>
  <r>
    <x v="16"/>
    <x v="3"/>
    <x v="77"/>
    <x v="2"/>
    <x v="17"/>
    <x v="5"/>
    <n v="0"/>
    <n v="0.01"/>
    <n v="0"/>
    <n v="0"/>
    <n v="1.5"/>
    <n v="0"/>
    <n v="0.01"/>
    <n v="1.5"/>
    <n v="-0.01"/>
    <s v="India"/>
  </r>
  <r>
    <x v="1"/>
    <x v="0"/>
    <x v="141"/>
    <x v="3"/>
    <x v="8"/>
    <x v="3"/>
    <n v="0"/>
    <n v="0"/>
    <n v="0"/>
    <n v="0"/>
    <n v="0.06"/>
    <n v="0"/>
    <n v="0"/>
    <n v="0.06"/>
    <n v="0"/>
    <s v="India"/>
  </r>
  <r>
    <x v="1"/>
    <x v="0"/>
    <x v="1"/>
    <x v="0"/>
    <x v="28"/>
    <x v="5"/>
    <n v="0"/>
    <n v="0.01"/>
    <n v="0"/>
    <n v="0"/>
    <n v="16"/>
    <n v="0"/>
    <n v="0.01"/>
    <n v="16"/>
    <n v="-0.01"/>
    <s v="India"/>
  </r>
  <r>
    <x v="1"/>
    <x v="0"/>
    <x v="1"/>
    <x v="0"/>
    <x v="43"/>
    <x v="1"/>
    <n v="0.01"/>
    <n v="0"/>
    <n v="0"/>
    <n v="1.53"/>
    <n v="0"/>
    <n v="0"/>
    <n v="-0.01"/>
    <n v="-1.53"/>
    <n v="0"/>
    <s v="India"/>
  </r>
  <r>
    <x v="16"/>
    <x v="3"/>
    <x v="77"/>
    <x v="2"/>
    <x v="37"/>
    <x v="3"/>
    <n v="0"/>
    <n v="0"/>
    <n v="0"/>
    <n v="0.27"/>
    <n v="0"/>
    <n v="0"/>
    <n v="0"/>
    <n v="-0.27"/>
    <n v="0"/>
    <s v="India"/>
  </r>
  <r>
    <x v="16"/>
    <x v="3"/>
    <x v="77"/>
    <x v="2"/>
    <x v="35"/>
    <x v="0"/>
    <n v="0"/>
    <n v="0"/>
    <n v="0"/>
    <n v="0.01"/>
    <n v="0"/>
    <n v="0"/>
    <n v="0"/>
    <n v="-0.01"/>
    <n v="0"/>
    <s v="India"/>
  </r>
  <r>
    <x v="1"/>
    <x v="0"/>
    <x v="162"/>
    <x v="3"/>
    <x v="3"/>
    <x v="2"/>
    <n v="0"/>
    <n v="0"/>
    <n v="0"/>
    <n v="0.05"/>
    <n v="0"/>
    <n v="0"/>
    <n v="0"/>
    <n v="-0.05"/>
    <n v="0"/>
    <s v="India"/>
  </r>
  <r>
    <x v="1"/>
    <x v="0"/>
    <x v="162"/>
    <x v="3"/>
    <x v="2"/>
    <x v="0"/>
    <n v="0"/>
    <n v="0"/>
    <n v="0"/>
    <n v="0"/>
    <n v="0"/>
    <n v="0"/>
    <n v="0"/>
    <n v="0"/>
    <n v="0"/>
    <s v="India"/>
  </r>
  <r>
    <x v="16"/>
    <x v="3"/>
    <x v="77"/>
    <x v="2"/>
    <x v="5"/>
    <x v="3"/>
    <n v="7.0000000000000007E-2"/>
    <n v="0.01"/>
    <n v="0"/>
    <n v="106.65"/>
    <n v="69.86"/>
    <n v="0"/>
    <n v="-6.0000000000000005E-2"/>
    <n v="-36.790000000000006"/>
    <n v="-0.01"/>
    <s v="India"/>
  </r>
  <r>
    <x v="1"/>
    <x v="0"/>
    <x v="162"/>
    <x v="3"/>
    <x v="37"/>
    <x v="3"/>
    <n v="0.01"/>
    <n v="0"/>
    <n v="0"/>
    <n v="0.9"/>
    <n v="0"/>
    <n v="0"/>
    <n v="-0.01"/>
    <n v="-0.9"/>
    <n v="0"/>
    <s v="India"/>
  </r>
  <r>
    <x v="16"/>
    <x v="3"/>
    <x v="77"/>
    <x v="2"/>
    <x v="41"/>
    <x v="6"/>
    <n v="0"/>
    <n v="0"/>
    <n v="0"/>
    <n v="0.06"/>
    <n v="0.03"/>
    <n v="0"/>
    <n v="0"/>
    <n v="-0.03"/>
    <n v="0"/>
    <s v="India"/>
  </r>
  <r>
    <x v="1"/>
    <x v="0"/>
    <x v="162"/>
    <x v="3"/>
    <x v="15"/>
    <x v="0"/>
    <n v="0"/>
    <n v="0"/>
    <n v="0"/>
    <n v="0.01"/>
    <n v="0"/>
    <n v="0"/>
    <n v="0"/>
    <n v="-0.01"/>
    <n v="0"/>
    <s v="India"/>
  </r>
  <r>
    <x v="16"/>
    <x v="3"/>
    <x v="209"/>
    <x v="3"/>
    <x v="22"/>
    <x v="6"/>
    <n v="0"/>
    <n v="0"/>
    <n v="0"/>
    <n v="0.1"/>
    <n v="0"/>
    <n v="0"/>
    <n v="0"/>
    <n v="-0.1"/>
    <n v="0"/>
    <s v="India"/>
  </r>
  <r>
    <x v="16"/>
    <x v="3"/>
    <x v="209"/>
    <x v="3"/>
    <x v="19"/>
    <x v="4"/>
    <n v="0"/>
    <n v="0"/>
    <n v="0"/>
    <n v="0"/>
    <n v="8.61"/>
    <n v="0"/>
    <n v="0"/>
    <n v="8.61"/>
    <n v="0"/>
    <s v="India"/>
  </r>
  <r>
    <x v="16"/>
    <x v="3"/>
    <x v="209"/>
    <x v="3"/>
    <x v="6"/>
    <x v="4"/>
    <n v="0"/>
    <n v="0"/>
    <n v="0"/>
    <n v="0"/>
    <n v="5"/>
    <n v="0"/>
    <n v="0"/>
    <n v="5"/>
    <n v="0"/>
    <s v="India"/>
  </r>
  <r>
    <x v="16"/>
    <x v="3"/>
    <x v="209"/>
    <x v="3"/>
    <x v="24"/>
    <x v="4"/>
    <n v="0"/>
    <n v="0.02"/>
    <n v="0"/>
    <n v="0"/>
    <n v="40.15"/>
    <n v="0"/>
    <n v="0.02"/>
    <n v="40.15"/>
    <n v="-0.02"/>
    <s v="India"/>
  </r>
  <r>
    <x v="1"/>
    <x v="0"/>
    <x v="162"/>
    <x v="3"/>
    <x v="10"/>
    <x v="3"/>
    <n v="0"/>
    <n v="0"/>
    <n v="0"/>
    <n v="0"/>
    <n v="0.01"/>
    <n v="0"/>
    <n v="0"/>
    <n v="0.01"/>
    <n v="0"/>
    <s v="India"/>
  </r>
  <r>
    <x v="1"/>
    <x v="0"/>
    <x v="162"/>
    <x v="3"/>
    <x v="18"/>
    <x v="7"/>
    <n v="0"/>
    <n v="0"/>
    <n v="0"/>
    <n v="0.24"/>
    <n v="0"/>
    <n v="0"/>
    <n v="0"/>
    <n v="-0.24"/>
    <n v="0"/>
    <s v="India"/>
  </r>
  <r>
    <x v="23"/>
    <x v="2"/>
    <x v="168"/>
    <x v="1"/>
    <x v="34"/>
    <x v="6"/>
    <n v="0.24"/>
    <n v="0.35"/>
    <n v="0"/>
    <n v="520.04999999999995"/>
    <n v="538"/>
    <n v="0"/>
    <n v="0.10999999999999999"/>
    <n v="17.950000000000045"/>
    <n v="-0.35"/>
    <s v="India"/>
  </r>
  <r>
    <x v="1"/>
    <x v="0"/>
    <x v="210"/>
    <x v="0"/>
    <x v="3"/>
    <x v="2"/>
    <n v="0"/>
    <n v="0"/>
    <n v="0"/>
    <n v="0"/>
    <n v="2.44"/>
    <n v="0"/>
    <n v="0"/>
    <n v="2.44"/>
    <n v="0"/>
    <s v="India"/>
  </r>
  <r>
    <x v="23"/>
    <x v="2"/>
    <x v="168"/>
    <x v="1"/>
    <x v="18"/>
    <x v="7"/>
    <n v="0.01"/>
    <n v="0"/>
    <n v="0"/>
    <n v="0.72"/>
    <n v="0"/>
    <n v="0"/>
    <n v="-0.01"/>
    <n v="-0.72"/>
    <n v="0"/>
    <s v="India"/>
  </r>
  <r>
    <x v="1"/>
    <x v="0"/>
    <x v="210"/>
    <x v="0"/>
    <x v="5"/>
    <x v="3"/>
    <n v="0"/>
    <n v="0"/>
    <n v="0"/>
    <n v="0"/>
    <n v="0.34"/>
    <n v="0"/>
    <n v="0"/>
    <n v="0.34"/>
    <n v="0"/>
    <s v="India"/>
  </r>
  <r>
    <x v="23"/>
    <x v="2"/>
    <x v="168"/>
    <x v="1"/>
    <x v="15"/>
    <x v="0"/>
    <n v="0"/>
    <n v="0"/>
    <n v="0"/>
    <n v="0.2"/>
    <n v="0.57999999999999996"/>
    <n v="0"/>
    <n v="0"/>
    <n v="0.37999999999999995"/>
    <n v="0"/>
    <s v="India"/>
  </r>
  <r>
    <x v="23"/>
    <x v="2"/>
    <x v="168"/>
    <x v="1"/>
    <x v="16"/>
    <x v="0"/>
    <n v="0"/>
    <n v="0.01"/>
    <n v="0"/>
    <n v="0"/>
    <n v="8.61"/>
    <n v="0"/>
    <n v="0.01"/>
    <n v="8.61"/>
    <n v="-0.01"/>
    <s v="India"/>
  </r>
  <r>
    <x v="23"/>
    <x v="2"/>
    <x v="168"/>
    <x v="1"/>
    <x v="2"/>
    <x v="0"/>
    <n v="0"/>
    <n v="0"/>
    <n v="0"/>
    <n v="0"/>
    <n v="0.1"/>
    <n v="0"/>
    <n v="0"/>
    <n v="0.1"/>
    <n v="0"/>
    <s v="India"/>
  </r>
  <r>
    <x v="23"/>
    <x v="2"/>
    <x v="168"/>
    <x v="1"/>
    <x v="5"/>
    <x v="3"/>
    <n v="0"/>
    <n v="0"/>
    <n v="0"/>
    <n v="0"/>
    <n v="0.13"/>
    <n v="0"/>
    <n v="0"/>
    <n v="0.13"/>
    <n v="0"/>
    <s v="India"/>
  </r>
  <r>
    <x v="23"/>
    <x v="2"/>
    <x v="168"/>
    <x v="1"/>
    <x v="41"/>
    <x v="6"/>
    <n v="0"/>
    <n v="0.01"/>
    <n v="0"/>
    <n v="0.15"/>
    <n v="0.56000000000000005"/>
    <n v="0"/>
    <n v="0.01"/>
    <n v="0.41000000000000003"/>
    <n v="-0.01"/>
    <s v="India"/>
  </r>
  <r>
    <x v="9"/>
    <x v="1"/>
    <x v="139"/>
    <x v="3"/>
    <x v="0"/>
    <x v="0"/>
    <n v="0"/>
    <n v="0.03"/>
    <n v="0"/>
    <n v="0.04"/>
    <n v="28.75"/>
    <n v="0"/>
    <n v="0.03"/>
    <n v="28.71"/>
    <n v="-0.03"/>
    <s v="India"/>
  </r>
  <r>
    <x v="9"/>
    <x v="1"/>
    <x v="139"/>
    <x v="3"/>
    <x v="18"/>
    <x v="7"/>
    <n v="0"/>
    <n v="0"/>
    <n v="0"/>
    <n v="0.14000000000000001"/>
    <n v="0"/>
    <n v="0"/>
    <n v="0"/>
    <n v="-0.14000000000000001"/>
    <n v="0"/>
    <s v="India"/>
  </r>
  <r>
    <x v="1"/>
    <x v="0"/>
    <x v="210"/>
    <x v="0"/>
    <x v="11"/>
    <x v="3"/>
    <n v="0"/>
    <n v="0"/>
    <n v="0"/>
    <n v="0"/>
    <n v="0.32"/>
    <n v="0"/>
    <n v="0"/>
    <n v="0.32"/>
    <n v="0"/>
    <s v="India"/>
  </r>
  <r>
    <x v="9"/>
    <x v="1"/>
    <x v="139"/>
    <x v="3"/>
    <x v="12"/>
    <x v="4"/>
    <n v="0"/>
    <n v="0"/>
    <n v="0"/>
    <n v="0"/>
    <n v="0.02"/>
    <n v="0"/>
    <n v="0"/>
    <n v="0.02"/>
    <n v="0"/>
    <s v="India"/>
  </r>
  <r>
    <x v="9"/>
    <x v="1"/>
    <x v="139"/>
    <x v="3"/>
    <x v="10"/>
    <x v="3"/>
    <n v="0"/>
    <n v="0"/>
    <n v="0"/>
    <n v="0.6"/>
    <n v="0"/>
    <n v="0"/>
    <n v="0"/>
    <n v="-0.6"/>
    <n v="0"/>
    <s v="India"/>
  </r>
  <r>
    <x v="1"/>
    <x v="0"/>
    <x v="210"/>
    <x v="0"/>
    <x v="38"/>
    <x v="5"/>
    <n v="0"/>
    <n v="0"/>
    <n v="0"/>
    <n v="0"/>
    <n v="0.01"/>
    <n v="0"/>
    <n v="0"/>
    <n v="0.01"/>
    <n v="0"/>
    <s v="India"/>
  </r>
  <r>
    <x v="9"/>
    <x v="1"/>
    <x v="139"/>
    <x v="3"/>
    <x v="2"/>
    <x v="0"/>
    <n v="0"/>
    <n v="0"/>
    <n v="0"/>
    <n v="0"/>
    <n v="0.01"/>
    <n v="0"/>
    <n v="0"/>
    <n v="0.01"/>
    <n v="0"/>
    <s v="India"/>
  </r>
  <r>
    <x v="1"/>
    <x v="0"/>
    <x v="210"/>
    <x v="0"/>
    <x v="24"/>
    <x v="4"/>
    <n v="0"/>
    <n v="0"/>
    <n v="0"/>
    <n v="0"/>
    <n v="0.9"/>
    <n v="0"/>
    <n v="0"/>
    <n v="0.9"/>
    <n v="0"/>
    <s v="India"/>
  </r>
  <r>
    <x v="1"/>
    <x v="0"/>
    <x v="210"/>
    <x v="0"/>
    <x v="6"/>
    <x v="4"/>
    <n v="0"/>
    <n v="0"/>
    <n v="0"/>
    <n v="0"/>
    <n v="0.01"/>
    <n v="0"/>
    <n v="0"/>
    <n v="0.01"/>
    <n v="0"/>
    <s v="India"/>
  </r>
  <r>
    <x v="9"/>
    <x v="1"/>
    <x v="139"/>
    <x v="3"/>
    <x v="38"/>
    <x v="5"/>
    <n v="0.01"/>
    <n v="0"/>
    <n v="0"/>
    <n v="4.5999999999999996"/>
    <n v="0"/>
    <n v="0"/>
    <n v="-0.01"/>
    <n v="-4.5999999999999996"/>
    <n v="0"/>
    <s v="India"/>
  </r>
  <r>
    <x v="9"/>
    <x v="1"/>
    <x v="139"/>
    <x v="3"/>
    <x v="11"/>
    <x v="3"/>
    <n v="0"/>
    <n v="0"/>
    <n v="0"/>
    <n v="0"/>
    <n v="0.2"/>
    <n v="0"/>
    <n v="0"/>
    <n v="0.2"/>
    <n v="0"/>
    <s v="India"/>
  </r>
  <r>
    <x v="1"/>
    <x v="0"/>
    <x v="210"/>
    <x v="0"/>
    <x v="32"/>
    <x v="0"/>
    <n v="0"/>
    <n v="0"/>
    <n v="0"/>
    <n v="0"/>
    <n v="0.02"/>
    <n v="0"/>
    <n v="0"/>
    <n v="0.02"/>
    <n v="0"/>
    <s v="India"/>
  </r>
  <r>
    <x v="9"/>
    <x v="1"/>
    <x v="139"/>
    <x v="3"/>
    <x v="3"/>
    <x v="2"/>
    <n v="0"/>
    <n v="0"/>
    <n v="0"/>
    <n v="0.53"/>
    <n v="0"/>
    <n v="0"/>
    <n v="0"/>
    <n v="-0.53"/>
    <n v="0"/>
    <s v="India"/>
  </r>
  <r>
    <x v="9"/>
    <x v="1"/>
    <x v="23"/>
    <x v="1"/>
    <x v="0"/>
    <x v="0"/>
    <n v="0.01"/>
    <n v="0.14000000000000001"/>
    <n v="0"/>
    <n v="5.7"/>
    <n v="307"/>
    <n v="0"/>
    <n v="0.13"/>
    <n v="301.3"/>
    <n v="-0.14000000000000001"/>
    <s v="India"/>
  </r>
  <r>
    <x v="1"/>
    <x v="0"/>
    <x v="210"/>
    <x v="0"/>
    <x v="2"/>
    <x v="0"/>
    <n v="0"/>
    <n v="0"/>
    <n v="0"/>
    <n v="0"/>
    <n v="6.51"/>
    <n v="0"/>
    <n v="0"/>
    <n v="6.51"/>
    <n v="0"/>
    <s v="India"/>
  </r>
  <r>
    <x v="9"/>
    <x v="1"/>
    <x v="23"/>
    <x v="1"/>
    <x v="13"/>
    <x v="3"/>
    <n v="0"/>
    <n v="0"/>
    <n v="0"/>
    <n v="0.26"/>
    <n v="0.02"/>
    <n v="0"/>
    <n v="0"/>
    <n v="-0.24000000000000002"/>
    <n v="0"/>
    <s v="India"/>
  </r>
  <r>
    <x v="9"/>
    <x v="1"/>
    <x v="23"/>
    <x v="1"/>
    <x v="7"/>
    <x v="5"/>
    <n v="0.02"/>
    <n v="0"/>
    <n v="0"/>
    <n v="16.440000000000001"/>
    <n v="0"/>
    <n v="0"/>
    <n v="-0.02"/>
    <n v="-16.440000000000001"/>
    <n v="0"/>
    <s v="India"/>
  </r>
  <r>
    <x v="9"/>
    <x v="1"/>
    <x v="23"/>
    <x v="1"/>
    <x v="10"/>
    <x v="3"/>
    <n v="0"/>
    <n v="0"/>
    <n v="0"/>
    <n v="0.08"/>
    <n v="0.18"/>
    <n v="0"/>
    <n v="0"/>
    <n v="9.9999999999999992E-2"/>
    <n v="0"/>
    <s v="India"/>
  </r>
  <r>
    <x v="9"/>
    <x v="1"/>
    <x v="23"/>
    <x v="1"/>
    <x v="16"/>
    <x v="0"/>
    <n v="0"/>
    <n v="0"/>
    <n v="0"/>
    <n v="0"/>
    <n v="0.7"/>
    <n v="0"/>
    <n v="0"/>
    <n v="0.7"/>
    <n v="0"/>
    <s v="India"/>
  </r>
  <r>
    <x v="9"/>
    <x v="1"/>
    <x v="23"/>
    <x v="1"/>
    <x v="35"/>
    <x v="0"/>
    <n v="0"/>
    <n v="0"/>
    <n v="0"/>
    <n v="0"/>
    <n v="0.02"/>
    <n v="0"/>
    <n v="0"/>
    <n v="0.02"/>
    <n v="0"/>
    <s v="India"/>
  </r>
  <r>
    <x v="1"/>
    <x v="0"/>
    <x v="210"/>
    <x v="0"/>
    <x v="4"/>
    <x v="3"/>
    <n v="0"/>
    <n v="0"/>
    <n v="0"/>
    <n v="0.2"/>
    <n v="1.53"/>
    <n v="0"/>
    <n v="0"/>
    <n v="1.33"/>
    <n v="0"/>
    <s v="India"/>
  </r>
  <r>
    <x v="1"/>
    <x v="0"/>
    <x v="210"/>
    <x v="0"/>
    <x v="35"/>
    <x v="0"/>
    <n v="0"/>
    <n v="0"/>
    <n v="0"/>
    <n v="0.12"/>
    <n v="0.06"/>
    <n v="0"/>
    <n v="0"/>
    <n v="-0.06"/>
    <n v="0"/>
    <s v="India"/>
  </r>
  <r>
    <x v="9"/>
    <x v="1"/>
    <x v="23"/>
    <x v="1"/>
    <x v="6"/>
    <x v="4"/>
    <n v="0.01"/>
    <n v="0"/>
    <n v="0"/>
    <n v="2.1800000000000002"/>
    <n v="0"/>
    <n v="0"/>
    <n v="-0.01"/>
    <n v="-2.1800000000000002"/>
    <n v="0"/>
    <s v="India"/>
  </r>
  <r>
    <x v="9"/>
    <x v="1"/>
    <x v="23"/>
    <x v="1"/>
    <x v="11"/>
    <x v="3"/>
    <n v="0"/>
    <n v="0"/>
    <n v="0"/>
    <n v="0.06"/>
    <n v="2.08"/>
    <n v="0"/>
    <n v="0"/>
    <n v="2.02"/>
    <n v="0"/>
    <s v="India"/>
  </r>
  <r>
    <x v="1"/>
    <x v="0"/>
    <x v="210"/>
    <x v="0"/>
    <x v="16"/>
    <x v="0"/>
    <n v="0"/>
    <n v="0"/>
    <n v="0"/>
    <n v="0"/>
    <n v="0.21"/>
    <n v="0"/>
    <n v="0"/>
    <n v="0.21"/>
    <n v="0"/>
    <s v="India"/>
  </r>
  <r>
    <x v="9"/>
    <x v="1"/>
    <x v="23"/>
    <x v="1"/>
    <x v="3"/>
    <x v="2"/>
    <n v="0"/>
    <n v="0.01"/>
    <n v="0"/>
    <n v="1.96"/>
    <n v="5.32"/>
    <n v="0"/>
    <n v="0.01"/>
    <n v="3.3600000000000003"/>
    <n v="-0.01"/>
    <s v="India"/>
  </r>
  <r>
    <x v="9"/>
    <x v="1"/>
    <x v="211"/>
    <x v="1"/>
    <x v="8"/>
    <x v="3"/>
    <n v="0.01"/>
    <n v="0"/>
    <n v="0"/>
    <n v="3.8"/>
    <n v="0"/>
    <n v="0"/>
    <n v="-0.01"/>
    <n v="-3.8"/>
    <n v="0"/>
    <s v="India"/>
  </r>
  <r>
    <x v="1"/>
    <x v="0"/>
    <x v="210"/>
    <x v="0"/>
    <x v="15"/>
    <x v="0"/>
    <n v="0"/>
    <n v="0"/>
    <n v="0"/>
    <n v="0"/>
    <n v="0.02"/>
    <n v="0"/>
    <n v="0"/>
    <n v="0.02"/>
    <n v="0"/>
    <s v="India"/>
  </r>
  <r>
    <x v="9"/>
    <x v="1"/>
    <x v="143"/>
    <x v="1"/>
    <x v="2"/>
    <x v="0"/>
    <n v="0.1"/>
    <n v="0.02"/>
    <n v="0"/>
    <n v="81.27"/>
    <n v="21.99"/>
    <n v="0"/>
    <n v="-0.08"/>
    <n v="-59.28"/>
    <n v="-0.02"/>
    <s v="India"/>
  </r>
  <r>
    <x v="1"/>
    <x v="0"/>
    <x v="210"/>
    <x v="0"/>
    <x v="10"/>
    <x v="3"/>
    <n v="0"/>
    <n v="0"/>
    <n v="0"/>
    <n v="0"/>
    <n v="0.04"/>
    <n v="0"/>
    <n v="0"/>
    <n v="0.04"/>
    <n v="0"/>
    <s v="India"/>
  </r>
  <r>
    <x v="1"/>
    <x v="0"/>
    <x v="210"/>
    <x v="0"/>
    <x v="9"/>
    <x v="6"/>
    <n v="0"/>
    <n v="0"/>
    <n v="0"/>
    <n v="0"/>
    <n v="0.23"/>
    <n v="0"/>
    <n v="0"/>
    <n v="0.23"/>
    <n v="0"/>
    <s v="India"/>
  </r>
  <r>
    <x v="1"/>
    <x v="0"/>
    <x v="210"/>
    <x v="0"/>
    <x v="18"/>
    <x v="7"/>
    <n v="0"/>
    <n v="0.01"/>
    <n v="0"/>
    <n v="0"/>
    <n v="6.21"/>
    <n v="0"/>
    <n v="0.01"/>
    <n v="6.21"/>
    <n v="-0.01"/>
    <s v="India"/>
  </r>
  <r>
    <x v="9"/>
    <x v="1"/>
    <x v="26"/>
    <x v="1"/>
    <x v="13"/>
    <x v="3"/>
    <n v="0"/>
    <n v="0"/>
    <n v="0"/>
    <n v="0.34"/>
    <n v="0.69"/>
    <n v="0"/>
    <n v="0"/>
    <n v="0.34999999999999992"/>
    <n v="0"/>
    <s v="India"/>
  </r>
  <r>
    <x v="9"/>
    <x v="1"/>
    <x v="26"/>
    <x v="1"/>
    <x v="17"/>
    <x v="5"/>
    <n v="0.2"/>
    <n v="0"/>
    <n v="0"/>
    <n v="122.4"/>
    <n v="0"/>
    <n v="0"/>
    <n v="-0.2"/>
    <n v="-122.4"/>
    <n v="0"/>
    <s v="India"/>
  </r>
  <r>
    <x v="9"/>
    <x v="1"/>
    <x v="26"/>
    <x v="1"/>
    <x v="9"/>
    <x v="6"/>
    <n v="0.01"/>
    <n v="0"/>
    <n v="0"/>
    <n v="6"/>
    <n v="0"/>
    <n v="0"/>
    <n v="-0.01"/>
    <n v="-6"/>
    <n v="0"/>
    <s v="India"/>
  </r>
  <r>
    <x v="1"/>
    <x v="0"/>
    <x v="210"/>
    <x v="0"/>
    <x v="8"/>
    <x v="3"/>
    <n v="0"/>
    <n v="0"/>
    <n v="0"/>
    <n v="0"/>
    <n v="1.73"/>
    <n v="0"/>
    <n v="0"/>
    <n v="1.73"/>
    <n v="0"/>
    <s v="India"/>
  </r>
  <r>
    <x v="9"/>
    <x v="1"/>
    <x v="26"/>
    <x v="1"/>
    <x v="35"/>
    <x v="0"/>
    <n v="0"/>
    <n v="0"/>
    <n v="0"/>
    <n v="3.44"/>
    <n v="0"/>
    <n v="0"/>
    <n v="0"/>
    <n v="-3.44"/>
    <n v="0"/>
    <s v="India"/>
  </r>
  <r>
    <x v="1"/>
    <x v="0"/>
    <x v="210"/>
    <x v="0"/>
    <x v="40"/>
    <x v="6"/>
    <n v="0"/>
    <n v="0"/>
    <n v="0"/>
    <n v="0"/>
    <n v="0.01"/>
    <n v="0"/>
    <n v="0"/>
    <n v="0.01"/>
    <n v="0"/>
    <s v="India"/>
  </r>
  <r>
    <x v="1"/>
    <x v="0"/>
    <x v="210"/>
    <x v="0"/>
    <x v="22"/>
    <x v="6"/>
    <n v="0"/>
    <n v="0"/>
    <n v="0"/>
    <n v="0"/>
    <n v="0.03"/>
    <n v="0"/>
    <n v="0"/>
    <n v="0.03"/>
    <n v="0"/>
    <s v="India"/>
  </r>
  <r>
    <x v="1"/>
    <x v="0"/>
    <x v="24"/>
    <x v="3"/>
    <x v="26"/>
    <x v="0"/>
    <n v="0"/>
    <n v="0.01"/>
    <n v="0"/>
    <n v="0"/>
    <n v="1.5"/>
    <n v="0"/>
    <n v="0.01"/>
    <n v="1.5"/>
    <n v="-0.01"/>
    <s v="India"/>
  </r>
  <r>
    <x v="1"/>
    <x v="0"/>
    <x v="24"/>
    <x v="3"/>
    <x v="42"/>
    <x v="1"/>
    <n v="0"/>
    <n v="0"/>
    <n v="0"/>
    <n v="0.03"/>
    <n v="0.01"/>
    <n v="0"/>
    <n v="0"/>
    <n v="-1.9999999999999997E-2"/>
    <n v="0"/>
    <s v="India"/>
  </r>
  <r>
    <x v="1"/>
    <x v="0"/>
    <x v="24"/>
    <x v="3"/>
    <x v="32"/>
    <x v="0"/>
    <n v="0"/>
    <n v="0"/>
    <n v="0"/>
    <n v="1.51"/>
    <n v="0.36"/>
    <n v="0"/>
    <n v="0"/>
    <n v="-1.1499999999999999"/>
    <n v="0"/>
    <s v="India"/>
  </r>
  <r>
    <x v="9"/>
    <x v="1"/>
    <x v="27"/>
    <x v="1"/>
    <x v="36"/>
    <x v="6"/>
    <n v="0"/>
    <n v="0"/>
    <n v="0"/>
    <n v="0.08"/>
    <n v="0"/>
    <n v="0"/>
    <n v="0"/>
    <n v="-0.08"/>
    <n v="0"/>
    <s v="India"/>
  </r>
  <r>
    <x v="9"/>
    <x v="1"/>
    <x v="27"/>
    <x v="1"/>
    <x v="20"/>
    <x v="3"/>
    <n v="0"/>
    <n v="0"/>
    <n v="0"/>
    <n v="0"/>
    <n v="0.84"/>
    <n v="0"/>
    <n v="0"/>
    <n v="0.84"/>
    <n v="0"/>
    <s v="India"/>
  </r>
  <r>
    <x v="1"/>
    <x v="0"/>
    <x v="24"/>
    <x v="3"/>
    <x v="9"/>
    <x v="6"/>
    <n v="0"/>
    <n v="0"/>
    <n v="0"/>
    <n v="0.12"/>
    <n v="0.16"/>
    <n v="0"/>
    <n v="0"/>
    <n v="4.0000000000000008E-2"/>
    <n v="0"/>
    <s v="India"/>
  </r>
  <r>
    <x v="9"/>
    <x v="1"/>
    <x v="27"/>
    <x v="1"/>
    <x v="30"/>
    <x v="5"/>
    <n v="0"/>
    <n v="0"/>
    <n v="0"/>
    <n v="0.05"/>
    <n v="0.02"/>
    <n v="0"/>
    <n v="0"/>
    <n v="-3.0000000000000002E-2"/>
    <n v="0"/>
    <s v="India"/>
  </r>
  <r>
    <x v="1"/>
    <x v="0"/>
    <x v="24"/>
    <x v="3"/>
    <x v="20"/>
    <x v="3"/>
    <n v="0.02"/>
    <n v="0.01"/>
    <n v="0"/>
    <n v="19.260000000000002"/>
    <n v="7.99"/>
    <n v="0.02"/>
    <n v="-0.01"/>
    <n v="-11.270000000000001"/>
    <n v="-0.01"/>
    <s v="India"/>
  </r>
  <r>
    <x v="9"/>
    <x v="1"/>
    <x v="27"/>
    <x v="1"/>
    <x v="15"/>
    <x v="0"/>
    <n v="0"/>
    <n v="0"/>
    <n v="0"/>
    <n v="0"/>
    <n v="1.21"/>
    <n v="0"/>
    <n v="0"/>
    <n v="1.21"/>
    <n v="0"/>
    <s v="India"/>
  </r>
  <r>
    <x v="9"/>
    <x v="1"/>
    <x v="27"/>
    <x v="1"/>
    <x v="37"/>
    <x v="3"/>
    <n v="0.01"/>
    <n v="0.01"/>
    <n v="0"/>
    <n v="2.54"/>
    <n v="2.4500000000000002"/>
    <n v="0"/>
    <n v="0"/>
    <n v="-8.9999999999999858E-2"/>
    <n v="-0.01"/>
    <s v="India"/>
  </r>
  <r>
    <x v="9"/>
    <x v="1"/>
    <x v="27"/>
    <x v="1"/>
    <x v="35"/>
    <x v="0"/>
    <n v="0"/>
    <n v="0"/>
    <n v="0"/>
    <n v="6.81"/>
    <n v="1.77"/>
    <n v="0"/>
    <n v="0"/>
    <n v="-5.0399999999999991"/>
    <n v="0"/>
    <s v="India"/>
  </r>
  <r>
    <x v="1"/>
    <x v="0"/>
    <x v="212"/>
    <x v="3"/>
    <x v="3"/>
    <x v="2"/>
    <n v="0.86"/>
    <n v="0"/>
    <n v="0"/>
    <n v="604.13"/>
    <n v="0"/>
    <n v="0"/>
    <n v="-0.86"/>
    <n v="-604.13"/>
    <n v="0"/>
    <s v="India"/>
  </r>
  <r>
    <x v="1"/>
    <x v="0"/>
    <x v="212"/>
    <x v="3"/>
    <x v="4"/>
    <x v="3"/>
    <n v="0"/>
    <n v="0"/>
    <n v="0"/>
    <n v="0"/>
    <n v="0.01"/>
    <n v="0"/>
    <n v="0"/>
    <n v="0.01"/>
    <n v="0"/>
    <s v="India"/>
  </r>
  <r>
    <x v="9"/>
    <x v="1"/>
    <x v="27"/>
    <x v="1"/>
    <x v="32"/>
    <x v="0"/>
    <n v="0.01"/>
    <n v="0"/>
    <n v="0"/>
    <n v="2.89"/>
    <n v="0"/>
    <n v="0"/>
    <n v="-0.01"/>
    <n v="-2.89"/>
    <n v="0"/>
    <s v="India"/>
  </r>
  <r>
    <x v="1"/>
    <x v="0"/>
    <x v="213"/>
    <x v="4"/>
    <x v="18"/>
    <x v="7"/>
    <n v="0"/>
    <n v="0"/>
    <n v="0"/>
    <n v="0"/>
    <n v="0"/>
    <n v="0"/>
    <n v="0"/>
    <n v="0"/>
    <n v="0"/>
    <s v="India"/>
  </r>
  <r>
    <x v="9"/>
    <x v="1"/>
    <x v="27"/>
    <x v="1"/>
    <x v="24"/>
    <x v="4"/>
    <n v="0.02"/>
    <n v="0.02"/>
    <n v="0"/>
    <n v="36.97"/>
    <n v="23"/>
    <n v="0"/>
    <n v="0"/>
    <n v="-13.969999999999999"/>
    <n v="-0.02"/>
    <s v="India"/>
  </r>
  <r>
    <x v="9"/>
    <x v="1"/>
    <x v="27"/>
    <x v="1"/>
    <x v="38"/>
    <x v="5"/>
    <n v="0"/>
    <n v="0.02"/>
    <n v="0"/>
    <n v="0"/>
    <n v="0.79"/>
    <n v="0"/>
    <n v="0.02"/>
    <n v="0.79"/>
    <n v="-0.02"/>
    <s v="India"/>
  </r>
  <r>
    <x v="1"/>
    <x v="0"/>
    <x v="84"/>
    <x v="0"/>
    <x v="41"/>
    <x v="6"/>
    <n v="0"/>
    <n v="0.15"/>
    <n v="0"/>
    <n v="0"/>
    <n v="48.58"/>
    <n v="0"/>
    <n v="0.15"/>
    <n v="48.58"/>
    <n v="-0.15"/>
    <s v="India"/>
  </r>
  <r>
    <x v="1"/>
    <x v="0"/>
    <x v="84"/>
    <x v="0"/>
    <x v="5"/>
    <x v="3"/>
    <n v="0"/>
    <n v="0.01"/>
    <n v="0"/>
    <n v="0"/>
    <n v="1"/>
    <n v="0"/>
    <n v="0.01"/>
    <n v="1"/>
    <n v="-0.01"/>
    <s v="India"/>
  </r>
  <r>
    <x v="1"/>
    <x v="0"/>
    <x v="84"/>
    <x v="0"/>
    <x v="13"/>
    <x v="3"/>
    <n v="0.26"/>
    <n v="0.02"/>
    <n v="0"/>
    <n v="133.65"/>
    <n v="12.87"/>
    <n v="0"/>
    <n v="-0.24000000000000002"/>
    <n v="-120.78"/>
    <n v="-0.02"/>
    <s v="India"/>
  </r>
  <r>
    <x v="1"/>
    <x v="0"/>
    <x v="179"/>
    <x v="0"/>
    <x v="23"/>
    <x v="1"/>
    <n v="0"/>
    <n v="0"/>
    <n v="0"/>
    <n v="0"/>
    <n v="0.1"/>
    <n v="0"/>
    <n v="0"/>
    <n v="0.1"/>
    <n v="0"/>
    <s v="India"/>
  </r>
  <r>
    <x v="9"/>
    <x v="1"/>
    <x v="27"/>
    <x v="1"/>
    <x v="41"/>
    <x v="6"/>
    <n v="0"/>
    <n v="0.23"/>
    <n v="0"/>
    <n v="0"/>
    <n v="24.98"/>
    <n v="0"/>
    <n v="0.23"/>
    <n v="24.98"/>
    <n v="-0.23"/>
    <s v="India"/>
  </r>
  <r>
    <x v="9"/>
    <x v="1"/>
    <x v="214"/>
    <x v="1"/>
    <x v="29"/>
    <x v="7"/>
    <n v="0"/>
    <n v="0.05"/>
    <n v="0"/>
    <n v="0"/>
    <n v="33"/>
    <n v="0"/>
    <n v="0.05"/>
    <n v="33"/>
    <n v="-0.05"/>
    <s v="India"/>
  </r>
  <r>
    <x v="9"/>
    <x v="1"/>
    <x v="129"/>
    <x v="1"/>
    <x v="14"/>
    <x v="3"/>
    <n v="0.15"/>
    <n v="0.02"/>
    <n v="0"/>
    <n v="167.5"/>
    <n v="8"/>
    <n v="0"/>
    <n v="-0.13"/>
    <n v="-159.5"/>
    <n v="-0.02"/>
    <s v="India"/>
  </r>
  <r>
    <x v="9"/>
    <x v="1"/>
    <x v="129"/>
    <x v="1"/>
    <x v="0"/>
    <x v="0"/>
    <n v="0.02"/>
    <n v="0.09"/>
    <n v="0"/>
    <n v="16.940000000000001"/>
    <n v="97.15"/>
    <n v="0"/>
    <n v="6.9999999999999993E-2"/>
    <n v="80.210000000000008"/>
    <n v="-0.09"/>
    <s v="India"/>
  </r>
  <r>
    <x v="9"/>
    <x v="1"/>
    <x v="129"/>
    <x v="1"/>
    <x v="27"/>
    <x v="7"/>
    <n v="0"/>
    <n v="0.26"/>
    <n v="0"/>
    <n v="0"/>
    <n v="33"/>
    <n v="0"/>
    <n v="0.26"/>
    <n v="33"/>
    <n v="-0.26"/>
    <s v="India"/>
  </r>
  <r>
    <x v="9"/>
    <x v="1"/>
    <x v="129"/>
    <x v="1"/>
    <x v="36"/>
    <x v="6"/>
    <n v="0.02"/>
    <n v="0"/>
    <n v="0"/>
    <n v="1.89"/>
    <n v="0"/>
    <n v="0"/>
    <n v="-0.02"/>
    <n v="-1.89"/>
    <n v="0"/>
    <s v="India"/>
  </r>
  <r>
    <x v="1"/>
    <x v="0"/>
    <x v="179"/>
    <x v="0"/>
    <x v="3"/>
    <x v="2"/>
    <n v="0"/>
    <n v="0"/>
    <n v="0"/>
    <n v="0"/>
    <n v="0.09"/>
    <n v="0.01"/>
    <n v="0"/>
    <n v="0.09"/>
    <n v="0"/>
    <s v="India"/>
  </r>
  <r>
    <x v="1"/>
    <x v="0"/>
    <x v="179"/>
    <x v="0"/>
    <x v="5"/>
    <x v="3"/>
    <n v="0"/>
    <n v="0"/>
    <n v="0"/>
    <n v="0"/>
    <n v="0.31"/>
    <n v="0.1"/>
    <n v="0"/>
    <n v="0.31"/>
    <n v="0"/>
    <s v="India"/>
  </r>
  <r>
    <x v="9"/>
    <x v="1"/>
    <x v="129"/>
    <x v="1"/>
    <x v="30"/>
    <x v="5"/>
    <n v="0"/>
    <n v="0"/>
    <n v="0"/>
    <n v="0.01"/>
    <n v="0"/>
    <n v="0"/>
    <n v="0"/>
    <n v="-0.01"/>
    <n v="0"/>
    <s v="India"/>
  </r>
  <r>
    <x v="9"/>
    <x v="1"/>
    <x v="129"/>
    <x v="1"/>
    <x v="17"/>
    <x v="5"/>
    <n v="0"/>
    <n v="0"/>
    <n v="0"/>
    <n v="0"/>
    <n v="0.03"/>
    <n v="0"/>
    <n v="0"/>
    <n v="0.03"/>
    <n v="0"/>
    <s v="India"/>
  </r>
  <r>
    <x v="1"/>
    <x v="0"/>
    <x v="179"/>
    <x v="0"/>
    <x v="42"/>
    <x v="1"/>
    <n v="0"/>
    <n v="0"/>
    <n v="0"/>
    <n v="0"/>
    <n v="0"/>
    <n v="0"/>
    <n v="0"/>
    <n v="0"/>
    <n v="0"/>
    <s v="India"/>
  </r>
  <r>
    <x v="9"/>
    <x v="1"/>
    <x v="129"/>
    <x v="1"/>
    <x v="37"/>
    <x v="3"/>
    <n v="0"/>
    <n v="0"/>
    <n v="0"/>
    <n v="0"/>
    <n v="2.08"/>
    <n v="0"/>
    <n v="0"/>
    <n v="2.08"/>
    <n v="0"/>
    <s v="India"/>
  </r>
  <r>
    <x v="1"/>
    <x v="0"/>
    <x v="179"/>
    <x v="0"/>
    <x v="11"/>
    <x v="3"/>
    <n v="0"/>
    <n v="0"/>
    <n v="0"/>
    <n v="0"/>
    <n v="0.26"/>
    <n v="0"/>
    <n v="0"/>
    <n v="0.26"/>
    <n v="0"/>
    <s v="India"/>
  </r>
  <r>
    <x v="9"/>
    <x v="1"/>
    <x v="129"/>
    <x v="1"/>
    <x v="35"/>
    <x v="0"/>
    <n v="0.01"/>
    <n v="0"/>
    <n v="0"/>
    <n v="8.48"/>
    <n v="0"/>
    <n v="0"/>
    <n v="-0.01"/>
    <n v="-8.48"/>
    <n v="0"/>
    <s v="India"/>
  </r>
  <r>
    <x v="1"/>
    <x v="0"/>
    <x v="179"/>
    <x v="0"/>
    <x v="33"/>
    <x v="7"/>
    <n v="0"/>
    <n v="0"/>
    <n v="0"/>
    <n v="0"/>
    <n v="0.46"/>
    <n v="0.04"/>
    <n v="0"/>
    <n v="0.46"/>
    <n v="0"/>
    <s v="India"/>
  </r>
  <r>
    <x v="9"/>
    <x v="1"/>
    <x v="129"/>
    <x v="1"/>
    <x v="29"/>
    <x v="7"/>
    <n v="0.09"/>
    <n v="0.04"/>
    <n v="0"/>
    <n v="55.8"/>
    <n v="18.899999999999999"/>
    <n v="0"/>
    <n v="-4.9999999999999996E-2"/>
    <n v="-36.9"/>
    <n v="-0.04"/>
    <s v="India"/>
  </r>
  <r>
    <x v="9"/>
    <x v="1"/>
    <x v="129"/>
    <x v="1"/>
    <x v="2"/>
    <x v="0"/>
    <n v="0"/>
    <n v="0"/>
    <n v="0"/>
    <n v="0"/>
    <n v="0.48"/>
    <n v="0"/>
    <n v="0"/>
    <n v="0.48"/>
    <n v="0"/>
    <s v="India"/>
  </r>
  <r>
    <x v="9"/>
    <x v="1"/>
    <x v="129"/>
    <x v="1"/>
    <x v="32"/>
    <x v="0"/>
    <n v="0.01"/>
    <n v="0"/>
    <n v="0"/>
    <n v="5"/>
    <n v="0"/>
    <n v="0"/>
    <n v="-0.01"/>
    <n v="-5"/>
    <n v="0"/>
    <s v="India"/>
  </r>
  <r>
    <x v="1"/>
    <x v="0"/>
    <x v="179"/>
    <x v="0"/>
    <x v="43"/>
    <x v="1"/>
    <n v="0"/>
    <n v="0"/>
    <n v="0"/>
    <n v="0"/>
    <n v="0.21"/>
    <n v="0"/>
    <n v="0"/>
    <n v="0.21"/>
    <n v="0"/>
    <s v="India"/>
  </r>
  <r>
    <x v="9"/>
    <x v="1"/>
    <x v="129"/>
    <x v="1"/>
    <x v="24"/>
    <x v="4"/>
    <n v="0"/>
    <n v="0"/>
    <n v="0"/>
    <n v="0.3"/>
    <n v="0"/>
    <n v="0"/>
    <n v="0"/>
    <n v="-0.3"/>
    <n v="0"/>
    <s v="India"/>
  </r>
  <r>
    <x v="1"/>
    <x v="0"/>
    <x v="179"/>
    <x v="0"/>
    <x v="2"/>
    <x v="0"/>
    <n v="0"/>
    <n v="0"/>
    <n v="0"/>
    <n v="0"/>
    <n v="0.27"/>
    <n v="0"/>
    <n v="0"/>
    <n v="0.27"/>
    <n v="0"/>
    <s v="India"/>
  </r>
  <r>
    <x v="1"/>
    <x v="0"/>
    <x v="179"/>
    <x v="0"/>
    <x v="29"/>
    <x v="7"/>
    <n v="0"/>
    <n v="0"/>
    <n v="0"/>
    <n v="0"/>
    <n v="0.01"/>
    <n v="0"/>
    <n v="0"/>
    <n v="0.01"/>
    <n v="0"/>
    <s v="India"/>
  </r>
  <r>
    <x v="1"/>
    <x v="0"/>
    <x v="179"/>
    <x v="0"/>
    <x v="16"/>
    <x v="0"/>
    <n v="0"/>
    <n v="0"/>
    <n v="0"/>
    <n v="0"/>
    <n v="7.0000000000000007E-2"/>
    <n v="0"/>
    <n v="0"/>
    <n v="7.0000000000000007E-2"/>
    <n v="0"/>
    <s v="India"/>
  </r>
  <r>
    <x v="9"/>
    <x v="1"/>
    <x v="61"/>
    <x v="1"/>
    <x v="36"/>
    <x v="6"/>
    <n v="0.03"/>
    <n v="0"/>
    <n v="0"/>
    <n v="3"/>
    <n v="0.16"/>
    <n v="0"/>
    <n v="-0.03"/>
    <n v="-2.84"/>
    <n v="0"/>
    <s v="India"/>
  </r>
  <r>
    <x v="1"/>
    <x v="0"/>
    <x v="179"/>
    <x v="0"/>
    <x v="10"/>
    <x v="3"/>
    <n v="0"/>
    <n v="0"/>
    <n v="0"/>
    <n v="0"/>
    <n v="0"/>
    <n v="0"/>
    <n v="0"/>
    <n v="0"/>
    <n v="0"/>
    <s v="India"/>
  </r>
  <r>
    <x v="1"/>
    <x v="0"/>
    <x v="179"/>
    <x v="0"/>
    <x v="12"/>
    <x v="4"/>
    <n v="0"/>
    <n v="0"/>
    <n v="0"/>
    <n v="0"/>
    <n v="0.01"/>
    <n v="0.01"/>
    <n v="0"/>
    <n v="0.01"/>
    <n v="0"/>
    <s v="India"/>
  </r>
  <r>
    <x v="1"/>
    <x v="0"/>
    <x v="179"/>
    <x v="0"/>
    <x v="19"/>
    <x v="4"/>
    <n v="0"/>
    <n v="0"/>
    <n v="0"/>
    <n v="0"/>
    <n v="0.01"/>
    <n v="0"/>
    <n v="0"/>
    <n v="0.01"/>
    <n v="0"/>
    <s v="India"/>
  </r>
  <r>
    <x v="9"/>
    <x v="1"/>
    <x v="61"/>
    <x v="1"/>
    <x v="9"/>
    <x v="6"/>
    <n v="0"/>
    <n v="0"/>
    <n v="0"/>
    <n v="0.69"/>
    <n v="0.53"/>
    <n v="0"/>
    <n v="0"/>
    <n v="-0.15999999999999992"/>
    <n v="0"/>
    <s v="India"/>
  </r>
  <r>
    <x v="1"/>
    <x v="0"/>
    <x v="179"/>
    <x v="0"/>
    <x v="21"/>
    <x v="4"/>
    <n v="0"/>
    <n v="0"/>
    <n v="0"/>
    <n v="0"/>
    <n v="0.02"/>
    <n v="0"/>
    <n v="0"/>
    <n v="0.02"/>
    <n v="0"/>
    <s v="India"/>
  </r>
  <r>
    <x v="9"/>
    <x v="1"/>
    <x v="61"/>
    <x v="1"/>
    <x v="15"/>
    <x v="0"/>
    <n v="0"/>
    <n v="0"/>
    <n v="0"/>
    <n v="0"/>
    <n v="1"/>
    <n v="0"/>
    <n v="0"/>
    <n v="1"/>
    <n v="0"/>
    <s v="India"/>
  </r>
  <r>
    <x v="9"/>
    <x v="1"/>
    <x v="61"/>
    <x v="1"/>
    <x v="37"/>
    <x v="3"/>
    <n v="0"/>
    <n v="0"/>
    <n v="0"/>
    <n v="0.36"/>
    <n v="0"/>
    <n v="0"/>
    <n v="0"/>
    <n v="-0.36"/>
    <n v="0"/>
    <s v="India"/>
  </r>
  <r>
    <x v="1"/>
    <x v="0"/>
    <x v="179"/>
    <x v="0"/>
    <x v="30"/>
    <x v="5"/>
    <n v="0"/>
    <n v="0"/>
    <n v="0"/>
    <n v="0"/>
    <n v="0"/>
    <n v="0"/>
    <n v="0"/>
    <n v="0"/>
    <n v="0"/>
    <s v="India"/>
  </r>
  <r>
    <x v="1"/>
    <x v="0"/>
    <x v="179"/>
    <x v="0"/>
    <x v="25"/>
    <x v="7"/>
    <n v="0"/>
    <n v="0"/>
    <n v="0"/>
    <n v="0"/>
    <n v="3.96"/>
    <n v="0"/>
    <n v="0"/>
    <n v="3.96"/>
    <n v="0"/>
    <s v="India"/>
  </r>
  <r>
    <x v="1"/>
    <x v="0"/>
    <x v="179"/>
    <x v="0"/>
    <x v="13"/>
    <x v="3"/>
    <n v="0"/>
    <n v="0"/>
    <n v="0"/>
    <n v="0"/>
    <n v="0.02"/>
    <n v="0"/>
    <n v="0"/>
    <n v="0.02"/>
    <n v="0"/>
    <s v="India"/>
  </r>
  <r>
    <x v="1"/>
    <x v="0"/>
    <x v="179"/>
    <x v="0"/>
    <x v="22"/>
    <x v="6"/>
    <n v="0"/>
    <n v="0"/>
    <n v="0"/>
    <n v="0"/>
    <n v="0"/>
    <n v="0"/>
    <n v="0"/>
    <n v="0"/>
    <n v="0"/>
    <s v="India"/>
  </r>
  <r>
    <x v="1"/>
    <x v="0"/>
    <x v="179"/>
    <x v="0"/>
    <x v="0"/>
    <x v="0"/>
    <n v="0"/>
    <n v="0"/>
    <n v="0"/>
    <n v="0"/>
    <n v="0"/>
    <n v="0.03"/>
    <n v="0"/>
    <n v="0"/>
    <n v="0"/>
    <s v="India"/>
  </r>
  <r>
    <x v="9"/>
    <x v="1"/>
    <x v="61"/>
    <x v="1"/>
    <x v="24"/>
    <x v="4"/>
    <n v="0"/>
    <n v="0"/>
    <n v="0"/>
    <n v="6.84"/>
    <n v="0"/>
    <n v="0"/>
    <n v="0"/>
    <n v="-6.84"/>
    <n v="0"/>
    <s v="India"/>
  </r>
  <r>
    <x v="1"/>
    <x v="0"/>
    <x v="179"/>
    <x v="0"/>
    <x v="14"/>
    <x v="3"/>
    <n v="0"/>
    <n v="0"/>
    <n v="0"/>
    <n v="0"/>
    <n v="0.03"/>
    <n v="0"/>
    <n v="0"/>
    <n v="0.03"/>
    <n v="0"/>
    <s v="India"/>
  </r>
  <r>
    <x v="1"/>
    <x v="0"/>
    <x v="215"/>
    <x v="1"/>
    <x v="23"/>
    <x v="1"/>
    <n v="0.08"/>
    <n v="0"/>
    <n v="0"/>
    <n v="13.7"/>
    <n v="0"/>
    <n v="0"/>
    <n v="-0.08"/>
    <n v="-13.7"/>
    <n v="0"/>
    <s v="India"/>
  </r>
  <r>
    <x v="1"/>
    <x v="0"/>
    <x v="215"/>
    <x v="1"/>
    <x v="3"/>
    <x v="2"/>
    <n v="0.42"/>
    <n v="0"/>
    <n v="0"/>
    <n v="232.05"/>
    <n v="0"/>
    <n v="0"/>
    <n v="-0.42"/>
    <n v="-232.05"/>
    <n v="0"/>
    <s v="India"/>
  </r>
  <r>
    <x v="1"/>
    <x v="0"/>
    <x v="215"/>
    <x v="1"/>
    <x v="5"/>
    <x v="3"/>
    <n v="1.36"/>
    <n v="0"/>
    <n v="0"/>
    <n v="1087.25"/>
    <n v="0"/>
    <n v="0"/>
    <n v="-1.36"/>
    <n v="-1087.25"/>
    <n v="0"/>
    <s v="India"/>
  </r>
  <r>
    <x v="9"/>
    <x v="1"/>
    <x v="61"/>
    <x v="1"/>
    <x v="41"/>
    <x v="6"/>
    <n v="0"/>
    <n v="0"/>
    <n v="0"/>
    <n v="0"/>
    <n v="0.06"/>
    <n v="0"/>
    <n v="0"/>
    <n v="0.06"/>
    <n v="0"/>
    <s v="India"/>
  </r>
  <r>
    <x v="1"/>
    <x v="0"/>
    <x v="215"/>
    <x v="1"/>
    <x v="42"/>
    <x v="1"/>
    <n v="0.06"/>
    <n v="0"/>
    <n v="0"/>
    <n v="15"/>
    <n v="0"/>
    <n v="0"/>
    <n v="-0.06"/>
    <n v="-15"/>
    <n v="0"/>
    <s v="India"/>
  </r>
  <r>
    <x v="1"/>
    <x v="0"/>
    <x v="215"/>
    <x v="1"/>
    <x v="11"/>
    <x v="3"/>
    <n v="4.5"/>
    <n v="0"/>
    <n v="0"/>
    <n v="3691.66"/>
    <n v="0"/>
    <n v="0"/>
    <n v="-4.5"/>
    <n v="-3691.66"/>
    <n v="0"/>
    <s v="India"/>
  </r>
  <r>
    <x v="9"/>
    <x v="1"/>
    <x v="50"/>
    <x v="1"/>
    <x v="40"/>
    <x v="6"/>
    <n v="0"/>
    <n v="0"/>
    <n v="0"/>
    <n v="0.15"/>
    <n v="0.06"/>
    <n v="0"/>
    <n v="0"/>
    <n v="-0.09"/>
    <n v="0"/>
    <s v="India"/>
  </r>
  <r>
    <x v="9"/>
    <x v="1"/>
    <x v="50"/>
    <x v="1"/>
    <x v="36"/>
    <x v="6"/>
    <n v="0"/>
    <n v="0"/>
    <n v="0"/>
    <n v="0"/>
    <n v="7.0000000000000007E-2"/>
    <n v="0"/>
    <n v="0"/>
    <n v="7.0000000000000007E-2"/>
    <n v="0"/>
    <s v="India"/>
  </r>
  <r>
    <x v="1"/>
    <x v="0"/>
    <x v="215"/>
    <x v="1"/>
    <x v="33"/>
    <x v="7"/>
    <n v="0.6"/>
    <n v="0"/>
    <n v="0"/>
    <n v="308.02999999999997"/>
    <n v="0"/>
    <n v="0"/>
    <n v="-0.6"/>
    <n v="-308.02999999999997"/>
    <n v="0"/>
    <s v="India"/>
  </r>
  <r>
    <x v="1"/>
    <x v="0"/>
    <x v="215"/>
    <x v="1"/>
    <x v="24"/>
    <x v="4"/>
    <n v="0.06"/>
    <n v="0"/>
    <n v="0"/>
    <n v="85.44"/>
    <n v="0"/>
    <n v="0"/>
    <n v="-0.06"/>
    <n v="-85.44"/>
    <n v="0"/>
    <s v="India"/>
  </r>
  <r>
    <x v="9"/>
    <x v="1"/>
    <x v="50"/>
    <x v="1"/>
    <x v="30"/>
    <x v="5"/>
    <n v="0.01"/>
    <n v="0"/>
    <n v="0"/>
    <n v="0.49"/>
    <n v="0"/>
    <n v="0"/>
    <n v="-0.01"/>
    <n v="-0.49"/>
    <n v="0"/>
    <s v="India"/>
  </r>
  <r>
    <x v="1"/>
    <x v="0"/>
    <x v="215"/>
    <x v="1"/>
    <x v="6"/>
    <x v="4"/>
    <n v="7.63"/>
    <n v="0"/>
    <n v="0"/>
    <n v="12696.98"/>
    <n v="0"/>
    <n v="0"/>
    <n v="-7.63"/>
    <n v="-12696.98"/>
    <n v="0"/>
    <s v="India"/>
  </r>
  <r>
    <x v="1"/>
    <x v="0"/>
    <x v="215"/>
    <x v="1"/>
    <x v="32"/>
    <x v="0"/>
    <n v="0.02"/>
    <n v="0"/>
    <n v="0"/>
    <n v="7.26"/>
    <n v="0"/>
    <n v="0"/>
    <n v="-0.02"/>
    <n v="-7.26"/>
    <n v="0"/>
    <s v="India"/>
  </r>
  <r>
    <x v="1"/>
    <x v="0"/>
    <x v="215"/>
    <x v="1"/>
    <x v="2"/>
    <x v="0"/>
    <n v="4.59"/>
    <n v="0"/>
    <n v="0"/>
    <n v="10241.969999999999"/>
    <n v="0"/>
    <n v="0"/>
    <n v="-4.59"/>
    <n v="-10241.969999999999"/>
    <n v="0"/>
    <s v="India"/>
  </r>
  <r>
    <x v="1"/>
    <x v="0"/>
    <x v="215"/>
    <x v="1"/>
    <x v="4"/>
    <x v="3"/>
    <n v="2.33"/>
    <n v="0"/>
    <n v="0"/>
    <n v="1012.07"/>
    <n v="0"/>
    <n v="0"/>
    <n v="-2.33"/>
    <n v="-1012.07"/>
    <n v="0"/>
    <s v="India"/>
  </r>
  <r>
    <x v="1"/>
    <x v="0"/>
    <x v="215"/>
    <x v="1"/>
    <x v="35"/>
    <x v="0"/>
    <n v="0"/>
    <n v="0"/>
    <n v="0"/>
    <n v="2.2000000000000002"/>
    <n v="0"/>
    <n v="0"/>
    <n v="0"/>
    <n v="-2.2000000000000002"/>
    <n v="0"/>
    <s v="India"/>
  </r>
  <r>
    <x v="1"/>
    <x v="0"/>
    <x v="215"/>
    <x v="1"/>
    <x v="16"/>
    <x v="0"/>
    <n v="0.02"/>
    <n v="0"/>
    <n v="0"/>
    <n v="23.85"/>
    <n v="0"/>
    <n v="0"/>
    <n v="-0.02"/>
    <n v="-23.85"/>
    <n v="0"/>
    <s v="India"/>
  </r>
  <r>
    <x v="9"/>
    <x v="1"/>
    <x v="50"/>
    <x v="1"/>
    <x v="32"/>
    <x v="0"/>
    <n v="0.02"/>
    <n v="0"/>
    <n v="0"/>
    <n v="7.01"/>
    <n v="1.29"/>
    <n v="0"/>
    <n v="-0.02"/>
    <n v="-5.72"/>
    <n v="0"/>
    <s v="India"/>
  </r>
  <r>
    <x v="9"/>
    <x v="1"/>
    <x v="50"/>
    <x v="1"/>
    <x v="6"/>
    <x v="4"/>
    <n v="0"/>
    <n v="0.01"/>
    <n v="0"/>
    <n v="0.05"/>
    <n v="5.32"/>
    <n v="0"/>
    <n v="0.01"/>
    <n v="5.2700000000000005"/>
    <n v="-0.01"/>
    <s v="India"/>
  </r>
  <r>
    <x v="9"/>
    <x v="1"/>
    <x v="50"/>
    <x v="1"/>
    <x v="24"/>
    <x v="4"/>
    <n v="0"/>
    <n v="0"/>
    <n v="0"/>
    <n v="0"/>
    <n v="2"/>
    <n v="0"/>
    <n v="0"/>
    <n v="2"/>
    <n v="0"/>
    <s v="India"/>
  </r>
  <r>
    <x v="9"/>
    <x v="1"/>
    <x v="50"/>
    <x v="1"/>
    <x v="38"/>
    <x v="5"/>
    <n v="0"/>
    <n v="0.14000000000000001"/>
    <n v="0"/>
    <n v="0"/>
    <n v="108"/>
    <n v="0"/>
    <n v="0.14000000000000001"/>
    <n v="108"/>
    <n v="-0.14000000000000001"/>
    <s v="India"/>
  </r>
  <r>
    <x v="1"/>
    <x v="0"/>
    <x v="215"/>
    <x v="1"/>
    <x v="10"/>
    <x v="3"/>
    <n v="0.01"/>
    <n v="0"/>
    <n v="0"/>
    <n v="7.57"/>
    <n v="0"/>
    <n v="0"/>
    <n v="-0.01"/>
    <n v="-7.57"/>
    <n v="0"/>
    <s v="India"/>
  </r>
  <r>
    <x v="1"/>
    <x v="0"/>
    <x v="215"/>
    <x v="1"/>
    <x v="9"/>
    <x v="6"/>
    <n v="0"/>
    <n v="0"/>
    <n v="0"/>
    <n v="0.26"/>
    <n v="0"/>
    <n v="0"/>
    <n v="0"/>
    <n v="-0.26"/>
    <n v="0"/>
    <s v="India"/>
  </r>
  <r>
    <x v="1"/>
    <x v="0"/>
    <x v="215"/>
    <x v="1"/>
    <x v="17"/>
    <x v="5"/>
    <n v="0.01"/>
    <n v="0"/>
    <n v="0"/>
    <n v="4"/>
    <n v="0"/>
    <n v="0"/>
    <n v="-0.01"/>
    <n v="-4"/>
    <n v="0"/>
    <s v="India"/>
  </r>
  <r>
    <x v="9"/>
    <x v="1"/>
    <x v="50"/>
    <x v="1"/>
    <x v="41"/>
    <x v="6"/>
    <n v="0.05"/>
    <n v="0.06"/>
    <n v="0"/>
    <n v="13.5"/>
    <n v="20.059999999999999"/>
    <n v="0"/>
    <n v="9.999999999999995E-3"/>
    <n v="6.5599999999999987"/>
    <n v="-0.06"/>
    <s v="India"/>
  </r>
  <r>
    <x v="1"/>
    <x v="0"/>
    <x v="215"/>
    <x v="1"/>
    <x v="12"/>
    <x v="4"/>
    <n v="0.01"/>
    <n v="0"/>
    <n v="0"/>
    <n v="17.5"/>
    <n v="0"/>
    <n v="0"/>
    <n v="-0.01"/>
    <n v="-17.5"/>
    <n v="0"/>
    <s v="India"/>
  </r>
  <r>
    <x v="1"/>
    <x v="0"/>
    <x v="215"/>
    <x v="1"/>
    <x v="19"/>
    <x v="4"/>
    <n v="0.44"/>
    <n v="0"/>
    <n v="0"/>
    <n v="355.32"/>
    <n v="0"/>
    <n v="0"/>
    <n v="-0.44"/>
    <n v="-355.32"/>
    <n v="0"/>
    <s v="India"/>
  </r>
  <r>
    <x v="1"/>
    <x v="0"/>
    <x v="215"/>
    <x v="1"/>
    <x v="21"/>
    <x v="4"/>
    <n v="34.28"/>
    <n v="0"/>
    <n v="0"/>
    <n v="20230.77"/>
    <n v="0"/>
    <n v="0"/>
    <n v="-34.28"/>
    <n v="-20230.77"/>
    <n v="0"/>
    <s v="India"/>
  </r>
  <r>
    <x v="9"/>
    <x v="1"/>
    <x v="44"/>
    <x v="1"/>
    <x v="13"/>
    <x v="3"/>
    <n v="0"/>
    <n v="0"/>
    <n v="0"/>
    <n v="0"/>
    <n v="1.44"/>
    <n v="0"/>
    <n v="0"/>
    <n v="1.44"/>
    <n v="0"/>
    <s v="India"/>
  </r>
  <r>
    <x v="1"/>
    <x v="0"/>
    <x v="215"/>
    <x v="1"/>
    <x v="18"/>
    <x v="7"/>
    <n v="0.02"/>
    <n v="0"/>
    <n v="0"/>
    <n v="12.89"/>
    <n v="0"/>
    <n v="0"/>
    <n v="-0.02"/>
    <n v="-12.89"/>
    <n v="0"/>
    <s v="India"/>
  </r>
  <r>
    <x v="1"/>
    <x v="0"/>
    <x v="215"/>
    <x v="1"/>
    <x v="8"/>
    <x v="3"/>
    <n v="0.03"/>
    <n v="0"/>
    <n v="0"/>
    <n v="7.15"/>
    <n v="0"/>
    <n v="0"/>
    <n v="-0.03"/>
    <n v="-7.15"/>
    <n v="0"/>
    <s v="India"/>
  </r>
  <r>
    <x v="1"/>
    <x v="0"/>
    <x v="215"/>
    <x v="1"/>
    <x v="40"/>
    <x v="6"/>
    <n v="0"/>
    <n v="0"/>
    <n v="0"/>
    <n v="0.11"/>
    <n v="0"/>
    <n v="0"/>
    <n v="0"/>
    <n v="-0.11"/>
    <n v="0"/>
    <s v="India"/>
  </r>
  <r>
    <x v="1"/>
    <x v="0"/>
    <x v="215"/>
    <x v="1"/>
    <x v="22"/>
    <x v="6"/>
    <n v="0"/>
    <n v="0"/>
    <n v="0"/>
    <n v="0.01"/>
    <n v="0"/>
    <n v="0"/>
    <n v="0"/>
    <n v="-0.01"/>
    <n v="0"/>
    <s v="India"/>
  </r>
  <r>
    <x v="1"/>
    <x v="0"/>
    <x v="215"/>
    <x v="1"/>
    <x v="1"/>
    <x v="1"/>
    <n v="113.68"/>
    <n v="0"/>
    <n v="0"/>
    <n v="34913.949999999997"/>
    <n v="0"/>
    <n v="0"/>
    <n v="-113.68"/>
    <n v="-34913.949999999997"/>
    <n v="0"/>
    <s v="India"/>
  </r>
  <r>
    <x v="1"/>
    <x v="0"/>
    <x v="215"/>
    <x v="1"/>
    <x v="0"/>
    <x v="0"/>
    <n v="0.11"/>
    <n v="0"/>
    <n v="0"/>
    <n v="66.290000000000006"/>
    <n v="0"/>
    <n v="0"/>
    <n v="-0.11"/>
    <n v="-66.290000000000006"/>
    <n v="0"/>
    <s v="India"/>
  </r>
  <r>
    <x v="1"/>
    <x v="0"/>
    <x v="215"/>
    <x v="1"/>
    <x v="31"/>
    <x v="1"/>
    <n v="1.1599999999999999"/>
    <n v="0"/>
    <n v="0"/>
    <n v="401"/>
    <n v="0"/>
    <n v="0"/>
    <n v="-1.1599999999999999"/>
    <n v="-401"/>
    <n v="0"/>
    <s v="India"/>
  </r>
  <r>
    <x v="1"/>
    <x v="0"/>
    <x v="75"/>
    <x v="1"/>
    <x v="33"/>
    <x v="7"/>
    <n v="0"/>
    <n v="0.36"/>
    <n v="0"/>
    <n v="0"/>
    <n v="187.26"/>
    <n v="0"/>
    <n v="0.36"/>
    <n v="187.26"/>
    <n v="-0.36"/>
    <s v="India"/>
  </r>
  <r>
    <x v="1"/>
    <x v="0"/>
    <x v="75"/>
    <x v="1"/>
    <x v="24"/>
    <x v="4"/>
    <n v="0"/>
    <n v="0.01"/>
    <n v="0"/>
    <n v="0"/>
    <n v="14.12"/>
    <n v="0"/>
    <n v="0.01"/>
    <n v="14.12"/>
    <n v="-0.01"/>
    <s v="India"/>
  </r>
  <r>
    <x v="7"/>
    <x v="1"/>
    <x v="216"/>
    <x v="1"/>
    <x v="0"/>
    <x v="0"/>
    <n v="0.03"/>
    <n v="0"/>
    <n v="0"/>
    <n v="37.090000000000003"/>
    <n v="0"/>
    <n v="0"/>
    <n v="-0.03"/>
    <n v="-37.090000000000003"/>
    <n v="0"/>
    <s v="India"/>
  </r>
  <r>
    <x v="7"/>
    <x v="1"/>
    <x v="216"/>
    <x v="1"/>
    <x v="22"/>
    <x v="6"/>
    <n v="0"/>
    <n v="0"/>
    <n v="0"/>
    <n v="0.05"/>
    <n v="0"/>
    <n v="0"/>
    <n v="0"/>
    <n v="-0.05"/>
    <n v="0"/>
    <s v="India"/>
  </r>
  <r>
    <x v="7"/>
    <x v="1"/>
    <x v="216"/>
    <x v="1"/>
    <x v="8"/>
    <x v="3"/>
    <n v="0.01"/>
    <n v="0"/>
    <n v="0"/>
    <n v="4.4800000000000004"/>
    <n v="0"/>
    <n v="0"/>
    <n v="-0.01"/>
    <n v="-4.4800000000000004"/>
    <n v="0"/>
    <s v="India"/>
  </r>
  <r>
    <x v="7"/>
    <x v="1"/>
    <x v="216"/>
    <x v="1"/>
    <x v="13"/>
    <x v="3"/>
    <n v="0.02"/>
    <n v="0"/>
    <n v="0"/>
    <n v="7.24"/>
    <n v="0"/>
    <n v="0"/>
    <n v="-0.02"/>
    <n v="-7.24"/>
    <n v="0"/>
    <s v="India"/>
  </r>
  <r>
    <x v="7"/>
    <x v="1"/>
    <x v="216"/>
    <x v="1"/>
    <x v="18"/>
    <x v="7"/>
    <n v="0.04"/>
    <n v="0"/>
    <n v="0"/>
    <n v="7.77"/>
    <n v="0"/>
    <n v="0"/>
    <n v="-0.04"/>
    <n v="-7.77"/>
    <n v="0"/>
    <s v="India"/>
  </r>
  <r>
    <x v="7"/>
    <x v="1"/>
    <x v="216"/>
    <x v="1"/>
    <x v="9"/>
    <x v="6"/>
    <n v="0"/>
    <n v="0"/>
    <n v="0"/>
    <n v="0.2"/>
    <n v="0"/>
    <n v="0"/>
    <n v="0"/>
    <n v="-0.2"/>
    <n v="0"/>
    <s v="India"/>
  </r>
  <r>
    <x v="7"/>
    <x v="1"/>
    <x v="216"/>
    <x v="1"/>
    <x v="7"/>
    <x v="5"/>
    <n v="0.03"/>
    <n v="0"/>
    <n v="0"/>
    <n v="20"/>
    <n v="0"/>
    <n v="0"/>
    <n v="-0.03"/>
    <n v="-20"/>
    <n v="0"/>
    <s v="India"/>
  </r>
  <r>
    <x v="7"/>
    <x v="1"/>
    <x v="216"/>
    <x v="1"/>
    <x v="10"/>
    <x v="3"/>
    <n v="0.03"/>
    <n v="0"/>
    <n v="0"/>
    <n v="10.62"/>
    <n v="0"/>
    <n v="0"/>
    <n v="-0.03"/>
    <n v="-10.62"/>
    <n v="0"/>
    <s v="India"/>
  </r>
  <r>
    <x v="7"/>
    <x v="1"/>
    <x v="216"/>
    <x v="1"/>
    <x v="16"/>
    <x v="0"/>
    <n v="0.01"/>
    <n v="0"/>
    <n v="0"/>
    <n v="13.59"/>
    <n v="0"/>
    <n v="0"/>
    <n v="-0.01"/>
    <n v="-13.59"/>
    <n v="0"/>
    <s v="India"/>
  </r>
  <r>
    <x v="7"/>
    <x v="1"/>
    <x v="216"/>
    <x v="1"/>
    <x v="4"/>
    <x v="3"/>
    <n v="0.02"/>
    <n v="0"/>
    <n v="0"/>
    <n v="6.03"/>
    <n v="0"/>
    <n v="0"/>
    <n v="-0.02"/>
    <n v="-6.03"/>
    <n v="0"/>
    <s v="India"/>
  </r>
  <r>
    <x v="7"/>
    <x v="1"/>
    <x v="216"/>
    <x v="1"/>
    <x v="6"/>
    <x v="4"/>
    <n v="0"/>
    <n v="0"/>
    <n v="0"/>
    <n v="0.05"/>
    <n v="0"/>
    <n v="0"/>
    <n v="0"/>
    <n v="-0.05"/>
    <n v="0"/>
    <s v="India"/>
  </r>
  <r>
    <x v="7"/>
    <x v="1"/>
    <x v="216"/>
    <x v="1"/>
    <x v="11"/>
    <x v="3"/>
    <n v="0"/>
    <n v="0"/>
    <n v="0"/>
    <n v="0.42"/>
    <n v="0"/>
    <n v="0"/>
    <n v="0"/>
    <n v="-0.42"/>
    <n v="0"/>
    <s v="India"/>
  </r>
  <r>
    <x v="7"/>
    <x v="1"/>
    <x v="216"/>
    <x v="1"/>
    <x v="5"/>
    <x v="3"/>
    <n v="0.02"/>
    <n v="0"/>
    <n v="0"/>
    <n v="8.66"/>
    <n v="0"/>
    <n v="0"/>
    <n v="-0.02"/>
    <n v="-8.66"/>
    <n v="0"/>
    <s v="India"/>
  </r>
  <r>
    <x v="7"/>
    <x v="1"/>
    <x v="216"/>
    <x v="1"/>
    <x v="3"/>
    <x v="2"/>
    <n v="0.05"/>
    <n v="0"/>
    <n v="0"/>
    <n v="32.979999999999997"/>
    <n v="0"/>
    <n v="0"/>
    <n v="-0.05"/>
    <n v="-32.979999999999997"/>
    <n v="0"/>
    <s v="India"/>
  </r>
  <r>
    <x v="1"/>
    <x v="0"/>
    <x v="75"/>
    <x v="1"/>
    <x v="37"/>
    <x v="3"/>
    <n v="0"/>
    <n v="0.13"/>
    <n v="0"/>
    <n v="0"/>
    <n v="161.54"/>
    <n v="0"/>
    <n v="0.13"/>
    <n v="161.54"/>
    <n v="-0.13"/>
    <s v="India"/>
  </r>
  <r>
    <x v="1"/>
    <x v="0"/>
    <x v="75"/>
    <x v="1"/>
    <x v="10"/>
    <x v="3"/>
    <n v="0"/>
    <n v="0"/>
    <n v="0"/>
    <n v="0"/>
    <n v="0"/>
    <n v="0.05"/>
    <n v="0"/>
    <n v="0"/>
    <n v="0"/>
    <s v="India"/>
  </r>
  <r>
    <x v="1"/>
    <x v="0"/>
    <x v="75"/>
    <x v="1"/>
    <x v="7"/>
    <x v="5"/>
    <n v="0"/>
    <n v="0"/>
    <n v="0"/>
    <n v="0"/>
    <n v="0.06"/>
    <n v="0"/>
    <n v="0"/>
    <n v="0.06"/>
    <n v="0"/>
    <s v="India"/>
  </r>
  <r>
    <x v="1"/>
    <x v="0"/>
    <x v="75"/>
    <x v="1"/>
    <x v="30"/>
    <x v="5"/>
    <n v="0"/>
    <n v="0.02"/>
    <n v="0"/>
    <n v="0"/>
    <n v="23"/>
    <n v="0"/>
    <n v="0.02"/>
    <n v="23"/>
    <n v="-0.02"/>
    <s v="India"/>
  </r>
  <r>
    <x v="7"/>
    <x v="1"/>
    <x v="25"/>
    <x v="1"/>
    <x v="6"/>
    <x v="4"/>
    <n v="0.02"/>
    <n v="0"/>
    <n v="0"/>
    <n v="4.33"/>
    <n v="0"/>
    <n v="0"/>
    <n v="-0.02"/>
    <n v="-4.33"/>
    <n v="0"/>
    <s v="India"/>
  </r>
  <r>
    <x v="7"/>
    <x v="1"/>
    <x v="25"/>
    <x v="1"/>
    <x v="11"/>
    <x v="3"/>
    <n v="0.02"/>
    <n v="0.04"/>
    <n v="0"/>
    <n v="6"/>
    <n v="14.14"/>
    <n v="0"/>
    <n v="0.02"/>
    <n v="8.14"/>
    <n v="-0.04"/>
    <s v="India"/>
  </r>
  <r>
    <x v="1"/>
    <x v="0"/>
    <x v="75"/>
    <x v="1"/>
    <x v="1"/>
    <x v="1"/>
    <n v="0"/>
    <n v="29.77"/>
    <n v="0"/>
    <n v="0"/>
    <n v="7459.42"/>
    <n v="0"/>
    <n v="29.77"/>
    <n v="7459.42"/>
    <n v="-29.77"/>
    <s v="India"/>
  </r>
  <r>
    <x v="1"/>
    <x v="0"/>
    <x v="75"/>
    <x v="1"/>
    <x v="31"/>
    <x v="1"/>
    <n v="0"/>
    <n v="7.0000000000000007E-2"/>
    <n v="0"/>
    <n v="0"/>
    <n v="38"/>
    <n v="0"/>
    <n v="7.0000000000000007E-2"/>
    <n v="38"/>
    <n v="-7.0000000000000007E-2"/>
    <s v="India"/>
  </r>
  <r>
    <x v="7"/>
    <x v="1"/>
    <x v="100"/>
    <x v="1"/>
    <x v="36"/>
    <x v="6"/>
    <n v="0"/>
    <n v="0"/>
    <n v="0"/>
    <n v="0"/>
    <n v="0.04"/>
    <n v="0"/>
    <n v="0"/>
    <n v="0.04"/>
    <n v="0"/>
    <s v="India"/>
  </r>
  <r>
    <x v="1"/>
    <x v="0"/>
    <x v="66"/>
    <x v="1"/>
    <x v="35"/>
    <x v="0"/>
    <n v="0"/>
    <n v="0"/>
    <n v="0"/>
    <n v="0"/>
    <n v="0.61"/>
    <n v="0"/>
    <n v="0"/>
    <n v="0.61"/>
    <n v="0"/>
    <s v="India"/>
  </r>
  <r>
    <x v="7"/>
    <x v="1"/>
    <x v="100"/>
    <x v="1"/>
    <x v="30"/>
    <x v="5"/>
    <n v="0.01"/>
    <n v="0"/>
    <n v="0"/>
    <n v="0.63"/>
    <n v="0"/>
    <n v="0"/>
    <n v="-0.01"/>
    <n v="-0.63"/>
    <n v="0"/>
    <s v="India"/>
  </r>
  <r>
    <x v="7"/>
    <x v="1"/>
    <x v="100"/>
    <x v="1"/>
    <x v="12"/>
    <x v="4"/>
    <n v="0"/>
    <n v="0"/>
    <n v="0"/>
    <n v="0"/>
    <n v="2.13"/>
    <n v="0"/>
    <n v="0"/>
    <n v="2.13"/>
    <n v="0"/>
    <s v="India"/>
  </r>
  <r>
    <x v="1"/>
    <x v="0"/>
    <x v="66"/>
    <x v="1"/>
    <x v="17"/>
    <x v="5"/>
    <n v="0"/>
    <n v="0"/>
    <n v="0"/>
    <n v="0"/>
    <n v="0"/>
    <n v="0.01"/>
    <n v="0"/>
    <n v="0"/>
    <n v="0"/>
    <s v="India"/>
  </r>
  <r>
    <x v="1"/>
    <x v="0"/>
    <x v="66"/>
    <x v="1"/>
    <x v="19"/>
    <x v="4"/>
    <n v="0"/>
    <n v="0.04"/>
    <n v="0"/>
    <n v="0"/>
    <n v="26.75"/>
    <n v="0"/>
    <n v="0.04"/>
    <n v="26.75"/>
    <n v="-0.04"/>
    <s v="India"/>
  </r>
  <r>
    <x v="1"/>
    <x v="0"/>
    <x v="18"/>
    <x v="1"/>
    <x v="6"/>
    <x v="4"/>
    <n v="0"/>
    <n v="7.0000000000000007E-2"/>
    <n v="0"/>
    <n v="0.54"/>
    <n v="16.91"/>
    <n v="0"/>
    <n v="7.0000000000000007E-2"/>
    <n v="16.37"/>
    <n v="-7.0000000000000007E-2"/>
    <s v="India"/>
  </r>
  <r>
    <x v="1"/>
    <x v="0"/>
    <x v="18"/>
    <x v="1"/>
    <x v="29"/>
    <x v="7"/>
    <n v="0"/>
    <n v="0"/>
    <n v="0"/>
    <n v="0.02"/>
    <n v="0"/>
    <n v="0"/>
    <n v="0"/>
    <n v="-0.02"/>
    <n v="0"/>
    <s v="India"/>
  </r>
  <r>
    <x v="1"/>
    <x v="0"/>
    <x v="18"/>
    <x v="1"/>
    <x v="35"/>
    <x v="0"/>
    <n v="0.01"/>
    <n v="0"/>
    <n v="0"/>
    <n v="21.75"/>
    <n v="0"/>
    <n v="0"/>
    <n v="-0.01"/>
    <n v="-21.75"/>
    <n v="0"/>
    <s v="India"/>
  </r>
  <r>
    <x v="7"/>
    <x v="1"/>
    <x v="100"/>
    <x v="1"/>
    <x v="24"/>
    <x v="4"/>
    <n v="0"/>
    <n v="0.01"/>
    <n v="0"/>
    <n v="0.01"/>
    <n v="0.89"/>
    <n v="0"/>
    <n v="0.01"/>
    <n v="0.88"/>
    <n v="-0.01"/>
    <s v="India"/>
  </r>
  <r>
    <x v="7"/>
    <x v="1"/>
    <x v="100"/>
    <x v="1"/>
    <x v="28"/>
    <x v="5"/>
    <n v="0.06"/>
    <n v="0"/>
    <n v="0"/>
    <n v="182.67"/>
    <n v="0"/>
    <n v="0"/>
    <n v="-0.06"/>
    <n v="-182.67"/>
    <n v="0"/>
    <s v="India"/>
  </r>
  <r>
    <x v="1"/>
    <x v="0"/>
    <x v="18"/>
    <x v="1"/>
    <x v="16"/>
    <x v="0"/>
    <n v="0.01"/>
    <n v="0.02"/>
    <n v="0"/>
    <n v="31.54"/>
    <n v="49.88"/>
    <n v="0"/>
    <n v="0.01"/>
    <n v="18.340000000000003"/>
    <n v="-0.02"/>
    <s v="India"/>
  </r>
  <r>
    <x v="1"/>
    <x v="0"/>
    <x v="18"/>
    <x v="1"/>
    <x v="37"/>
    <x v="3"/>
    <n v="0"/>
    <n v="0.01"/>
    <n v="0"/>
    <n v="0"/>
    <n v="0.21"/>
    <n v="0"/>
    <n v="0.01"/>
    <n v="0.21"/>
    <n v="-0.01"/>
    <s v="India"/>
  </r>
  <r>
    <x v="7"/>
    <x v="1"/>
    <x v="100"/>
    <x v="1"/>
    <x v="41"/>
    <x v="6"/>
    <n v="0"/>
    <n v="0"/>
    <n v="0"/>
    <n v="0"/>
    <n v="0.01"/>
    <n v="0"/>
    <n v="0"/>
    <n v="0.01"/>
    <n v="0"/>
    <s v="India"/>
  </r>
  <r>
    <x v="1"/>
    <x v="0"/>
    <x v="18"/>
    <x v="1"/>
    <x v="17"/>
    <x v="5"/>
    <n v="0.02"/>
    <n v="0"/>
    <n v="0"/>
    <n v="7"/>
    <n v="0"/>
    <n v="0"/>
    <n v="-0.02"/>
    <n v="-7"/>
    <n v="0"/>
    <s v="India"/>
  </r>
  <r>
    <x v="7"/>
    <x v="1"/>
    <x v="86"/>
    <x v="1"/>
    <x v="10"/>
    <x v="3"/>
    <n v="0.02"/>
    <n v="0"/>
    <n v="0"/>
    <n v="25"/>
    <n v="0"/>
    <n v="0"/>
    <n v="-0.02"/>
    <n v="-25"/>
    <n v="0"/>
    <s v="India"/>
  </r>
  <r>
    <x v="1"/>
    <x v="0"/>
    <x v="18"/>
    <x v="1"/>
    <x v="13"/>
    <x v="3"/>
    <n v="0.15"/>
    <n v="0"/>
    <n v="0"/>
    <n v="24.48"/>
    <n v="0.01"/>
    <n v="0"/>
    <n v="-0.15"/>
    <n v="-24.47"/>
    <n v="0"/>
    <s v="India"/>
  </r>
  <r>
    <x v="1"/>
    <x v="0"/>
    <x v="18"/>
    <x v="1"/>
    <x v="27"/>
    <x v="7"/>
    <n v="0"/>
    <n v="0.03"/>
    <n v="0"/>
    <n v="0"/>
    <n v="2.52"/>
    <n v="0"/>
    <n v="0.03"/>
    <n v="2.52"/>
    <n v="-0.03"/>
    <s v="India"/>
  </r>
  <r>
    <x v="1"/>
    <x v="0"/>
    <x v="82"/>
    <x v="1"/>
    <x v="10"/>
    <x v="3"/>
    <n v="0.3"/>
    <n v="0"/>
    <n v="0"/>
    <n v="15.07"/>
    <n v="0"/>
    <n v="0"/>
    <n v="-0.3"/>
    <n v="-15.07"/>
    <n v="0"/>
    <s v="India"/>
  </r>
  <r>
    <x v="1"/>
    <x v="0"/>
    <x v="82"/>
    <x v="1"/>
    <x v="7"/>
    <x v="5"/>
    <n v="0.62"/>
    <n v="0.55000000000000004"/>
    <n v="0"/>
    <n v="99.45"/>
    <n v="80.5"/>
    <n v="0"/>
    <n v="-6.9999999999999951E-2"/>
    <n v="-18.950000000000003"/>
    <n v="-0.55000000000000004"/>
    <s v="India"/>
  </r>
  <r>
    <x v="1"/>
    <x v="0"/>
    <x v="82"/>
    <x v="1"/>
    <x v="13"/>
    <x v="3"/>
    <n v="0.08"/>
    <n v="0"/>
    <n v="0"/>
    <n v="3.13"/>
    <n v="0"/>
    <n v="0"/>
    <n v="-0.08"/>
    <n v="-3.13"/>
    <n v="0"/>
    <s v="India"/>
  </r>
  <r>
    <x v="7"/>
    <x v="1"/>
    <x v="217"/>
    <x v="1"/>
    <x v="13"/>
    <x v="3"/>
    <n v="0"/>
    <n v="0"/>
    <n v="0"/>
    <n v="0.25"/>
    <n v="0"/>
    <n v="0"/>
    <n v="0"/>
    <n v="-0.25"/>
    <n v="0"/>
    <s v="India"/>
  </r>
  <r>
    <x v="7"/>
    <x v="1"/>
    <x v="217"/>
    <x v="1"/>
    <x v="7"/>
    <x v="5"/>
    <n v="0.01"/>
    <n v="0"/>
    <n v="0"/>
    <n v="3"/>
    <n v="0"/>
    <n v="0"/>
    <n v="-0.01"/>
    <n v="-3"/>
    <n v="0"/>
    <s v="India"/>
  </r>
  <r>
    <x v="7"/>
    <x v="1"/>
    <x v="217"/>
    <x v="1"/>
    <x v="35"/>
    <x v="0"/>
    <n v="0"/>
    <n v="0"/>
    <n v="0"/>
    <n v="0.7"/>
    <n v="0"/>
    <n v="0"/>
    <n v="0"/>
    <n v="-0.7"/>
    <n v="0"/>
    <s v="India"/>
  </r>
  <r>
    <x v="7"/>
    <x v="1"/>
    <x v="217"/>
    <x v="1"/>
    <x v="4"/>
    <x v="3"/>
    <n v="0.01"/>
    <n v="0"/>
    <n v="0"/>
    <n v="3.38"/>
    <n v="0"/>
    <n v="0"/>
    <n v="-0.01"/>
    <n v="-3.38"/>
    <n v="0"/>
    <s v="India"/>
  </r>
  <r>
    <x v="7"/>
    <x v="1"/>
    <x v="217"/>
    <x v="1"/>
    <x v="24"/>
    <x v="4"/>
    <n v="0"/>
    <n v="0"/>
    <n v="0"/>
    <n v="0.1"/>
    <n v="0"/>
    <n v="0"/>
    <n v="0"/>
    <n v="-0.1"/>
    <n v="0"/>
    <s v="India"/>
  </r>
  <r>
    <x v="7"/>
    <x v="1"/>
    <x v="217"/>
    <x v="1"/>
    <x v="5"/>
    <x v="3"/>
    <n v="0"/>
    <n v="0"/>
    <n v="0"/>
    <n v="0.15"/>
    <n v="0"/>
    <n v="0"/>
    <n v="0"/>
    <n v="-0.15"/>
    <n v="0"/>
    <s v="India"/>
  </r>
  <r>
    <x v="1"/>
    <x v="0"/>
    <x v="82"/>
    <x v="1"/>
    <x v="8"/>
    <x v="3"/>
    <n v="0.06"/>
    <n v="0"/>
    <n v="0"/>
    <n v="4.3099999999999996"/>
    <n v="0"/>
    <n v="0"/>
    <n v="-0.06"/>
    <n v="-4.3099999999999996"/>
    <n v="0"/>
    <s v="India"/>
  </r>
  <r>
    <x v="7"/>
    <x v="1"/>
    <x v="58"/>
    <x v="1"/>
    <x v="22"/>
    <x v="6"/>
    <n v="0.01"/>
    <n v="0"/>
    <n v="0"/>
    <n v="3"/>
    <n v="0"/>
    <n v="0"/>
    <n v="-0.01"/>
    <n v="-3"/>
    <n v="0"/>
    <s v="India"/>
  </r>
  <r>
    <x v="7"/>
    <x v="1"/>
    <x v="58"/>
    <x v="1"/>
    <x v="40"/>
    <x v="6"/>
    <n v="0.01"/>
    <n v="0"/>
    <n v="0"/>
    <n v="0.47"/>
    <n v="0"/>
    <n v="0"/>
    <n v="-0.01"/>
    <n v="-0.47"/>
    <n v="0"/>
    <s v="India"/>
  </r>
  <r>
    <x v="1"/>
    <x v="0"/>
    <x v="31"/>
    <x v="1"/>
    <x v="3"/>
    <x v="2"/>
    <n v="0.02"/>
    <n v="0"/>
    <n v="0"/>
    <n v="12.19"/>
    <n v="0"/>
    <n v="0"/>
    <n v="-0.02"/>
    <n v="-12.19"/>
    <n v="0"/>
    <s v="India"/>
  </r>
  <r>
    <x v="7"/>
    <x v="1"/>
    <x v="58"/>
    <x v="1"/>
    <x v="18"/>
    <x v="7"/>
    <n v="0"/>
    <n v="0.05"/>
    <n v="0"/>
    <n v="0"/>
    <n v="3.6"/>
    <n v="0"/>
    <n v="0.05"/>
    <n v="3.6"/>
    <n v="-0.05"/>
    <s v="India"/>
  </r>
  <r>
    <x v="7"/>
    <x v="1"/>
    <x v="58"/>
    <x v="1"/>
    <x v="30"/>
    <x v="5"/>
    <n v="0"/>
    <n v="0"/>
    <n v="0"/>
    <n v="0"/>
    <n v="0.04"/>
    <n v="0"/>
    <n v="0"/>
    <n v="0.04"/>
    <n v="0"/>
    <s v="India"/>
  </r>
  <r>
    <x v="1"/>
    <x v="0"/>
    <x v="31"/>
    <x v="1"/>
    <x v="33"/>
    <x v="7"/>
    <n v="0.01"/>
    <n v="0"/>
    <n v="0"/>
    <n v="5.0199999999999996"/>
    <n v="0"/>
    <n v="0"/>
    <n v="-0.01"/>
    <n v="-5.0199999999999996"/>
    <n v="0"/>
    <s v="India"/>
  </r>
  <r>
    <x v="7"/>
    <x v="1"/>
    <x v="58"/>
    <x v="1"/>
    <x v="10"/>
    <x v="3"/>
    <n v="0.08"/>
    <n v="0.01"/>
    <n v="0"/>
    <n v="48.46"/>
    <n v="3.84"/>
    <n v="0"/>
    <n v="-7.0000000000000007E-2"/>
    <n v="-44.620000000000005"/>
    <n v="-0.01"/>
    <s v="India"/>
  </r>
  <r>
    <x v="1"/>
    <x v="0"/>
    <x v="31"/>
    <x v="1"/>
    <x v="16"/>
    <x v="0"/>
    <n v="0.03"/>
    <n v="0"/>
    <n v="0"/>
    <n v="84.25"/>
    <n v="0"/>
    <n v="0"/>
    <n v="-0.03"/>
    <n v="-84.25"/>
    <n v="0"/>
    <s v="India"/>
  </r>
  <r>
    <x v="1"/>
    <x v="0"/>
    <x v="31"/>
    <x v="1"/>
    <x v="9"/>
    <x v="6"/>
    <n v="0"/>
    <n v="0"/>
    <n v="0"/>
    <n v="0.19"/>
    <n v="0"/>
    <n v="0"/>
    <n v="0"/>
    <n v="-0.19"/>
    <n v="0"/>
    <s v="India"/>
  </r>
  <r>
    <x v="1"/>
    <x v="0"/>
    <x v="31"/>
    <x v="1"/>
    <x v="17"/>
    <x v="5"/>
    <n v="0.01"/>
    <n v="0"/>
    <n v="0"/>
    <n v="10.95"/>
    <n v="0"/>
    <n v="0"/>
    <n v="-0.01"/>
    <n v="-10.95"/>
    <n v="0"/>
    <s v="India"/>
  </r>
  <r>
    <x v="1"/>
    <x v="0"/>
    <x v="31"/>
    <x v="1"/>
    <x v="19"/>
    <x v="4"/>
    <n v="0.06"/>
    <n v="0"/>
    <n v="0"/>
    <n v="51.71"/>
    <n v="0"/>
    <n v="0"/>
    <n v="-0.06"/>
    <n v="-51.71"/>
    <n v="0"/>
    <s v="India"/>
  </r>
  <r>
    <x v="1"/>
    <x v="0"/>
    <x v="31"/>
    <x v="1"/>
    <x v="18"/>
    <x v="7"/>
    <n v="6.99"/>
    <n v="0.18"/>
    <n v="0"/>
    <n v="1711.88"/>
    <n v="40.24"/>
    <n v="0"/>
    <n v="-6.8100000000000005"/>
    <n v="-1671.64"/>
    <n v="-0.18"/>
    <s v="India"/>
  </r>
  <r>
    <x v="1"/>
    <x v="0"/>
    <x v="31"/>
    <x v="1"/>
    <x v="13"/>
    <x v="3"/>
    <n v="0"/>
    <n v="0"/>
    <n v="0"/>
    <n v="0"/>
    <n v="0.01"/>
    <n v="0"/>
    <n v="0"/>
    <n v="0.01"/>
    <n v="0"/>
    <s v="India"/>
  </r>
  <r>
    <x v="1"/>
    <x v="0"/>
    <x v="31"/>
    <x v="1"/>
    <x v="40"/>
    <x v="6"/>
    <n v="0"/>
    <n v="0"/>
    <n v="0"/>
    <n v="0.01"/>
    <n v="0"/>
    <n v="0"/>
    <n v="0"/>
    <n v="-0.01"/>
    <n v="0"/>
    <s v="India"/>
  </r>
  <r>
    <x v="1"/>
    <x v="0"/>
    <x v="31"/>
    <x v="1"/>
    <x v="22"/>
    <x v="6"/>
    <n v="0.24"/>
    <n v="0"/>
    <n v="0"/>
    <n v="35.01"/>
    <n v="0"/>
    <n v="0"/>
    <n v="-0.24"/>
    <n v="-35.01"/>
    <n v="0"/>
    <s v="India"/>
  </r>
  <r>
    <x v="1"/>
    <x v="0"/>
    <x v="31"/>
    <x v="1"/>
    <x v="1"/>
    <x v="1"/>
    <n v="1.82"/>
    <n v="0"/>
    <n v="0"/>
    <n v="793.5"/>
    <n v="0"/>
    <n v="0"/>
    <n v="-1.82"/>
    <n v="-793.5"/>
    <n v="0"/>
    <s v="India"/>
  </r>
  <r>
    <x v="7"/>
    <x v="1"/>
    <x v="58"/>
    <x v="1"/>
    <x v="41"/>
    <x v="6"/>
    <n v="0.05"/>
    <n v="0"/>
    <n v="0"/>
    <n v="13.76"/>
    <n v="0"/>
    <n v="0"/>
    <n v="-0.05"/>
    <n v="-13.76"/>
    <n v="0"/>
    <s v="India"/>
  </r>
  <r>
    <x v="7"/>
    <x v="1"/>
    <x v="155"/>
    <x v="3"/>
    <x v="20"/>
    <x v="3"/>
    <n v="0"/>
    <n v="0"/>
    <n v="0"/>
    <n v="0.04"/>
    <n v="0.06"/>
    <n v="0"/>
    <n v="0"/>
    <n v="1.9999999999999997E-2"/>
    <n v="0"/>
    <s v="India"/>
  </r>
  <r>
    <x v="7"/>
    <x v="1"/>
    <x v="155"/>
    <x v="3"/>
    <x v="21"/>
    <x v="4"/>
    <n v="0"/>
    <n v="0"/>
    <n v="0"/>
    <n v="0.02"/>
    <n v="0"/>
    <n v="0"/>
    <n v="0"/>
    <n v="-0.02"/>
    <n v="0"/>
    <s v="India"/>
  </r>
  <r>
    <x v="1"/>
    <x v="0"/>
    <x v="31"/>
    <x v="1"/>
    <x v="0"/>
    <x v="0"/>
    <n v="0.05"/>
    <n v="0"/>
    <n v="0"/>
    <n v="24.5"/>
    <n v="0"/>
    <n v="0"/>
    <n v="-0.05"/>
    <n v="-24.5"/>
    <n v="0"/>
    <s v="India"/>
  </r>
  <r>
    <x v="7"/>
    <x v="1"/>
    <x v="155"/>
    <x v="3"/>
    <x v="12"/>
    <x v="4"/>
    <n v="0"/>
    <n v="0"/>
    <n v="0"/>
    <n v="0.28999999999999998"/>
    <n v="1.03"/>
    <n v="0.01"/>
    <n v="0"/>
    <n v="0.74"/>
    <n v="0"/>
    <s v="India"/>
  </r>
  <r>
    <x v="7"/>
    <x v="1"/>
    <x v="155"/>
    <x v="3"/>
    <x v="10"/>
    <x v="3"/>
    <n v="0"/>
    <n v="0"/>
    <n v="0"/>
    <n v="0.27"/>
    <n v="0.82"/>
    <n v="0"/>
    <n v="0"/>
    <n v="0.54999999999999993"/>
    <n v="0"/>
    <s v="India"/>
  </r>
  <r>
    <x v="7"/>
    <x v="1"/>
    <x v="155"/>
    <x v="3"/>
    <x v="4"/>
    <x v="3"/>
    <n v="0"/>
    <n v="0"/>
    <n v="0"/>
    <n v="0.27"/>
    <n v="0.72"/>
    <n v="0.03"/>
    <n v="0"/>
    <n v="0.44999999999999996"/>
    <n v="0"/>
    <s v="India"/>
  </r>
  <r>
    <x v="7"/>
    <x v="1"/>
    <x v="155"/>
    <x v="3"/>
    <x v="32"/>
    <x v="0"/>
    <n v="0"/>
    <n v="0.01"/>
    <n v="0"/>
    <n v="0"/>
    <n v="3"/>
    <n v="0"/>
    <n v="0.01"/>
    <n v="3"/>
    <n v="-0.01"/>
    <s v="India"/>
  </r>
  <r>
    <x v="1"/>
    <x v="0"/>
    <x v="31"/>
    <x v="1"/>
    <x v="14"/>
    <x v="3"/>
    <n v="0.02"/>
    <n v="0"/>
    <n v="0"/>
    <n v="4.7300000000000004"/>
    <n v="0"/>
    <n v="0"/>
    <n v="-0.02"/>
    <n v="-4.7300000000000004"/>
    <n v="0"/>
    <s v="India"/>
  </r>
  <r>
    <x v="1"/>
    <x v="0"/>
    <x v="98"/>
    <x v="1"/>
    <x v="41"/>
    <x v="6"/>
    <n v="0"/>
    <n v="0"/>
    <n v="0"/>
    <n v="0"/>
    <n v="0.04"/>
    <n v="0"/>
    <n v="0"/>
    <n v="0.04"/>
    <n v="0"/>
    <s v="India"/>
  </r>
  <r>
    <x v="7"/>
    <x v="1"/>
    <x v="155"/>
    <x v="3"/>
    <x v="3"/>
    <x v="2"/>
    <n v="0"/>
    <n v="0.02"/>
    <n v="0"/>
    <n v="4.9400000000000004"/>
    <n v="31.27"/>
    <n v="0"/>
    <n v="0.02"/>
    <n v="26.33"/>
    <n v="-0.02"/>
    <s v="India"/>
  </r>
  <r>
    <x v="1"/>
    <x v="0"/>
    <x v="98"/>
    <x v="1"/>
    <x v="24"/>
    <x v="4"/>
    <n v="0.01"/>
    <n v="0"/>
    <n v="0"/>
    <n v="10.4"/>
    <n v="0.03"/>
    <n v="0"/>
    <n v="-0.01"/>
    <n v="-10.370000000000001"/>
    <n v="0"/>
    <s v="India"/>
  </r>
  <r>
    <x v="7"/>
    <x v="1"/>
    <x v="218"/>
    <x v="4"/>
    <x v="5"/>
    <x v="3"/>
    <n v="0"/>
    <n v="0"/>
    <n v="0"/>
    <n v="0"/>
    <n v="0"/>
    <n v="0"/>
    <n v="0"/>
    <n v="0"/>
    <n v="0"/>
    <s v="India"/>
  </r>
  <r>
    <x v="21"/>
    <x v="5"/>
    <x v="150"/>
    <x v="2"/>
    <x v="14"/>
    <x v="3"/>
    <n v="0.09"/>
    <n v="0.02"/>
    <n v="0"/>
    <n v="25"/>
    <n v="12.64"/>
    <n v="0"/>
    <n v="-6.9999999999999993E-2"/>
    <n v="-12.36"/>
    <n v="-0.02"/>
    <s v="India"/>
  </r>
  <r>
    <x v="21"/>
    <x v="5"/>
    <x v="150"/>
    <x v="2"/>
    <x v="36"/>
    <x v="6"/>
    <n v="0"/>
    <n v="0"/>
    <n v="0"/>
    <n v="0.03"/>
    <n v="0.01"/>
    <n v="0"/>
    <n v="0"/>
    <n v="-1.9999999999999997E-2"/>
    <n v="0"/>
    <s v="India"/>
  </r>
  <r>
    <x v="21"/>
    <x v="5"/>
    <x v="150"/>
    <x v="2"/>
    <x v="25"/>
    <x v="7"/>
    <n v="0.52"/>
    <n v="0.59"/>
    <n v="0"/>
    <n v="1007.25"/>
    <n v="1184.2"/>
    <n v="0"/>
    <n v="6.9999999999999951E-2"/>
    <n v="176.95000000000005"/>
    <n v="-0.59"/>
    <s v="India"/>
  </r>
  <r>
    <x v="21"/>
    <x v="5"/>
    <x v="150"/>
    <x v="2"/>
    <x v="30"/>
    <x v="5"/>
    <n v="0"/>
    <n v="0"/>
    <n v="0"/>
    <n v="0"/>
    <n v="0"/>
    <n v="0"/>
    <n v="0"/>
    <n v="0"/>
    <n v="0"/>
    <s v="India"/>
  </r>
  <r>
    <x v="21"/>
    <x v="5"/>
    <x v="150"/>
    <x v="2"/>
    <x v="17"/>
    <x v="5"/>
    <n v="0"/>
    <n v="0"/>
    <n v="0"/>
    <n v="0.1"/>
    <n v="0.01"/>
    <n v="0"/>
    <n v="0"/>
    <n v="-9.0000000000000011E-2"/>
    <n v="0"/>
    <s v="India"/>
  </r>
  <r>
    <x v="21"/>
    <x v="5"/>
    <x v="150"/>
    <x v="2"/>
    <x v="7"/>
    <x v="5"/>
    <n v="0"/>
    <n v="0"/>
    <n v="0"/>
    <n v="0.01"/>
    <n v="7.0000000000000007E-2"/>
    <n v="0.01"/>
    <n v="0"/>
    <n v="6.0000000000000005E-2"/>
    <n v="0"/>
    <s v="India"/>
  </r>
  <r>
    <x v="1"/>
    <x v="0"/>
    <x v="98"/>
    <x v="1"/>
    <x v="29"/>
    <x v="7"/>
    <n v="0"/>
    <n v="0"/>
    <n v="0"/>
    <n v="0.2"/>
    <n v="0"/>
    <n v="0"/>
    <n v="0"/>
    <n v="-0.2"/>
    <n v="0"/>
    <s v="India"/>
  </r>
  <r>
    <x v="21"/>
    <x v="5"/>
    <x v="150"/>
    <x v="2"/>
    <x v="35"/>
    <x v="0"/>
    <n v="0"/>
    <n v="0"/>
    <n v="0"/>
    <n v="0.02"/>
    <n v="0"/>
    <n v="0"/>
    <n v="0"/>
    <n v="-0.02"/>
    <n v="0"/>
    <s v="India"/>
  </r>
  <r>
    <x v="1"/>
    <x v="0"/>
    <x v="98"/>
    <x v="1"/>
    <x v="9"/>
    <x v="6"/>
    <n v="0"/>
    <n v="0"/>
    <n v="0"/>
    <n v="0.3"/>
    <n v="0.03"/>
    <n v="0"/>
    <n v="0"/>
    <n v="-0.27"/>
    <n v="0"/>
    <s v="India"/>
  </r>
  <r>
    <x v="21"/>
    <x v="5"/>
    <x v="150"/>
    <x v="2"/>
    <x v="2"/>
    <x v="0"/>
    <n v="0.09"/>
    <n v="0.02"/>
    <n v="0"/>
    <n v="245.85"/>
    <n v="39.14"/>
    <n v="0"/>
    <n v="-6.9999999999999993E-2"/>
    <n v="-206.70999999999998"/>
    <n v="-0.02"/>
    <s v="India"/>
  </r>
  <r>
    <x v="1"/>
    <x v="0"/>
    <x v="98"/>
    <x v="1"/>
    <x v="12"/>
    <x v="4"/>
    <n v="0"/>
    <n v="0.01"/>
    <n v="0"/>
    <n v="0"/>
    <n v="29.92"/>
    <n v="0"/>
    <n v="0.01"/>
    <n v="29.92"/>
    <n v="-0.01"/>
    <s v="India"/>
  </r>
  <r>
    <x v="21"/>
    <x v="5"/>
    <x v="150"/>
    <x v="2"/>
    <x v="33"/>
    <x v="7"/>
    <n v="0"/>
    <n v="0"/>
    <n v="0"/>
    <n v="0.17"/>
    <n v="0"/>
    <n v="0"/>
    <n v="0"/>
    <n v="-0.17"/>
    <n v="0"/>
    <s v="India"/>
  </r>
  <r>
    <x v="1"/>
    <x v="0"/>
    <x v="98"/>
    <x v="1"/>
    <x v="21"/>
    <x v="4"/>
    <n v="0"/>
    <n v="0.06"/>
    <n v="0"/>
    <n v="0"/>
    <n v="23.81"/>
    <n v="0"/>
    <n v="0.06"/>
    <n v="23.81"/>
    <n v="-0.06"/>
    <s v="India"/>
  </r>
  <r>
    <x v="21"/>
    <x v="5"/>
    <x v="150"/>
    <x v="2"/>
    <x v="42"/>
    <x v="1"/>
    <n v="0"/>
    <n v="0"/>
    <n v="0"/>
    <n v="0.69"/>
    <n v="0"/>
    <n v="0"/>
    <n v="0"/>
    <n v="-0.69"/>
    <n v="0"/>
    <s v="India"/>
  </r>
  <r>
    <x v="1"/>
    <x v="0"/>
    <x v="98"/>
    <x v="1"/>
    <x v="30"/>
    <x v="5"/>
    <n v="0.53"/>
    <n v="0.02"/>
    <n v="0"/>
    <n v="129.72999999999999"/>
    <n v="36.799999999999997"/>
    <n v="0"/>
    <n v="-0.51"/>
    <n v="-92.929999999999993"/>
    <n v="-0.02"/>
    <s v="India"/>
  </r>
  <r>
    <x v="21"/>
    <x v="5"/>
    <x v="150"/>
    <x v="2"/>
    <x v="41"/>
    <x v="6"/>
    <n v="0"/>
    <n v="0"/>
    <n v="0"/>
    <n v="0.42"/>
    <n v="0.1"/>
    <n v="0"/>
    <n v="0"/>
    <n v="-0.31999999999999995"/>
    <n v="0"/>
    <s v="India"/>
  </r>
  <r>
    <x v="21"/>
    <x v="5"/>
    <x v="150"/>
    <x v="2"/>
    <x v="26"/>
    <x v="0"/>
    <n v="0"/>
    <n v="0"/>
    <n v="0"/>
    <n v="0"/>
    <n v="0.63"/>
    <n v="0"/>
    <n v="0"/>
    <n v="0.63"/>
    <n v="0"/>
    <s v="India"/>
  </r>
  <r>
    <x v="21"/>
    <x v="5"/>
    <x v="154"/>
    <x v="2"/>
    <x v="0"/>
    <x v="0"/>
    <n v="0"/>
    <n v="0.02"/>
    <n v="0"/>
    <n v="0"/>
    <n v="26.9"/>
    <n v="0"/>
    <n v="0.02"/>
    <n v="26.9"/>
    <n v="-0.02"/>
    <s v="India"/>
  </r>
  <r>
    <x v="21"/>
    <x v="5"/>
    <x v="154"/>
    <x v="2"/>
    <x v="22"/>
    <x v="6"/>
    <n v="0"/>
    <n v="0"/>
    <n v="0"/>
    <n v="0"/>
    <n v="0.01"/>
    <n v="0"/>
    <n v="0"/>
    <n v="0.01"/>
    <n v="0"/>
    <s v="India"/>
  </r>
  <r>
    <x v="1"/>
    <x v="0"/>
    <x v="98"/>
    <x v="1"/>
    <x v="36"/>
    <x v="6"/>
    <n v="0"/>
    <n v="0"/>
    <n v="0"/>
    <n v="7.0000000000000007E-2"/>
    <n v="0.01"/>
    <n v="0"/>
    <n v="0"/>
    <n v="-6.0000000000000005E-2"/>
    <n v="0"/>
    <s v="India"/>
  </r>
  <r>
    <x v="21"/>
    <x v="5"/>
    <x v="154"/>
    <x v="2"/>
    <x v="9"/>
    <x v="6"/>
    <n v="0"/>
    <n v="0"/>
    <n v="0"/>
    <n v="0.01"/>
    <n v="0"/>
    <n v="0"/>
    <n v="0"/>
    <n v="-0.01"/>
    <n v="0"/>
    <s v="India"/>
  </r>
  <r>
    <x v="21"/>
    <x v="5"/>
    <x v="154"/>
    <x v="2"/>
    <x v="2"/>
    <x v="0"/>
    <n v="0"/>
    <n v="0.08"/>
    <n v="0"/>
    <n v="0"/>
    <n v="209.26"/>
    <n v="0"/>
    <n v="0.08"/>
    <n v="209.26"/>
    <n v="-0.08"/>
    <s v="India"/>
  </r>
  <r>
    <x v="1"/>
    <x v="0"/>
    <x v="98"/>
    <x v="1"/>
    <x v="1"/>
    <x v="1"/>
    <n v="0"/>
    <n v="0.22"/>
    <n v="0"/>
    <n v="0"/>
    <n v="57"/>
    <n v="0"/>
    <n v="0.22"/>
    <n v="57"/>
    <n v="-0.22"/>
    <s v="India"/>
  </r>
  <r>
    <x v="1"/>
    <x v="0"/>
    <x v="98"/>
    <x v="1"/>
    <x v="0"/>
    <x v="0"/>
    <n v="0.01"/>
    <n v="0"/>
    <n v="0"/>
    <n v="7.36"/>
    <n v="0.1"/>
    <n v="0"/>
    <n v="-0.01"/>
    <n v="-7.2600000000000007"/>
    <n v="0"/>
    <s v="India"/>
  </r>
  <r>
    <x v="6"/>
    <x v="2"/>
    <x v="132"/>
    <x v="3"/>
    <x v="36"/>
    <x v="6"/>
    <n v="0"/>
    <n v="0"/>
    <n v="0"/>
    <n v="0"/>
    <n v="0.03"/>
    <n v="0"/>
    <n v="0"/>
    <n v="0.03"/>
    <n v="0"/>
    <s v="India"/>
  </r>
  <r>
    <x v="6"/>
    <x v="2"/>
    <x v="132"/>
    <x v="3"/>
    <x v="8"/>
    <x v="3"/>
    <n v="0.01"/>
    <n v="0.01"/>
    <n v="0"/>
    <n v="2.19"/>
    <n v="2.0699999999999998"/>
    <n v="0"/>
    <n v="0"/>
    <n v="-0.12000000000000011"/>
    <n v="-0.01"/>
    <s v="India"/>
  </r>
  <r>
    <x v="6"/>
    <x v="2"/>
    <x v="132"/>
    <x v="3"/>
    <x v="13"/>
    <x v="3"/>
    <n v="0"/>
    <n v="0"/>
    <n v="0"/>
    <n v="0"/>
    <n v="0"/>
    <n v="0"/>
    <n v="0"/>
    <n v="0"/>
    <n v="0"/>
    <s v="India"/>
  </r>
  <r>
    <x v="1"/>
    <x v="0"/>
    <x v="219"/>
    <x v="1"/>
    <x v="3"/>
    <x v="2"/>
    <n v="0.03"/>
    <n v="0"/>
    <n v="0"/>
    <n v="24.37"/>
    <n v="0"/>
    <n v="0"/>
    <n v="-0.03"/>
    <n v="-24.37"/>
    <n v="0"/>
    <s v="India"/>
  </r>
  <r>
    <x v="1"/>
    <x v="0"/>
    <x v="219"/>
    <x v="1"/>
    <x v="5"/>
    <x v="3"/>
    <n v="0.02"/>
    <n v="0"/>
    <n v="0"/>
    <n v="7.95"/>
    <n v="0"/>
    <n v="0"/>
    <n v="-0.02"/>
    <n v="-7.95"/>
    <n v="0"/>
    <s v="India"/>
  </r>
  <r>
    <x v="6"/>
    <x v="2"/>
    <x v="132"/>
    <x v="3"/>
    <x v="12"/>
    <x v="4"/>
    <n v="0"/>
    <n v="0"/>
    <n v="0"/>
    <n v="0.38"/>
    <n v="0.01"/>
    <n v="0"/>
    <n v="0"/>
    <n v="-0.37"/>
    <n v="0"/>
    <s v="India"/>
  </r>
  <r>
    <x v="6"/>
    <x v="2"/>
    <x v="132"/>
    <x v="3"/>
    <x v="10"/>
    <x v="3"/>
    <n v="0"/>
    <n v="0"/>
    <n v="0"/>
    <n v="0"/>
    <n v="0.4"/>
    <n v="0"/>
    <n v="0"/>
    <n v="0.4"/>
    <n v="0"/>
    <s v="India"/>
  </r>
  <r>
    <x v="6"/>
    <x v="2"/>
    <x v="132"/>
    <x v="3"/>
    <x v="16"/>
    <x v="0"/>
    <n v="0"/>
    <n v="0"/>
    <n v="0"/>
    <n v="0"/>
    <n v="0"/>
    <n v="0"/>
    <n v="0"/>
    <n v="0"/>
    <n v="0"/>
    <s v="India"/>
  </r>
  <r>
    <x v="1"/>
    <x v="0"/>
    <x v="219"/>
    <x v="1"/>
    <x v="11"/>
    <x v="3"/>
    <n v="3.04"/>
    <n v="0"/>
    <n v="0"/>
    <n v="2175.52"/>
    <n v="0"/>
    <n v="0"/>
    <n v="-3.04"/>
    <n v="-2175.52"/>
    <n v="0"/>
    <s v="India"/>
  </r>
  <r>
    <x v="6"/>
    <x v="2"/>
    <x v="132"/>
    <x v="3"/>
    <x v="29"/>
    <x v="7"/>
    <n v="0"/>
    <n v="0"/>
    <n v="0"/>
    <n v="0"/>
    <n v="7.0000000000000007E-2"/>
    <n v="0"/>
    <n v="0"/>
    <n v="7.0000000000000007E-2"/>
    <n v="0"/>
    <s v="India"/>
  </r>
  <r>
    <x v="1"/>
    <x v="0"/>
    <x v="219"/>
    <x v="1"/>
    <x v="38"/>
    <x v="5"/>
    <n v="0.06"/>
    <n v="0"/>
    <n v="0"/>
    <n v="7.38"/>
    <n v="0"/>
    <n v="0"/>
    <n v="-0.06"/>
    <n v="-7.38"/>
    <n v="0"/>
    <s v="India"/>
  </r>
  <r>
    <x v="1"/>
    <x v="0"/>
    <x v="219"/>
    <x v="1"/>
    <x v="24"/>
    <x v="4"/>
    <n v="0.14000000000000001"/>
    <n v="0"/>
    <n v="0"/>
    <n v="172.2"/>
    <n v="0"/>
    <n v="0"/>
    <n v="-0.14000000000000001"/>
    <n v="-172.2"/>
    <n v="0"/>
    <s v="India"/>
  </r>
  <r>
    <x v="6"/>
    <x v="2"/>
    <x v="132"/>
    <x v="3"/>
    <x v="5"/>
    <x v="3"/>
    <n v="0.02"/>
    <n v="0"/>
    <n v="0"/>
    <n v="41.17"/>
    <n v="0.41"/>
    <n v="0"/>
    <n v="-0.02"/>
    <n v="-40.760000000000005"/>
    <n v="0"/>
    <s v="India"/>
  </r>
  <r>
    <x v="6"/>
    <x v="2"/>
    <x v="132"/>
    <x v="3"/>
    <x v="3"/>
    <x v="2"/>
    <n v="0"/>
    <n v="0"/>
    <n v="0"/>
    <n v="0"/>
    <n v="0"/>
    <n v="0"/>
    <n v="0"/>
    <n v="0"/>
    <n v="0"/>
    <s v="India"/>
  </r>
  <r>
    <x v="6"/>
    <x v="2"/>
    <x v="115"/>
    <x v="3"/>
    <x v="36"/>
    <x v="6"/>
    <n v="0"/>
    <n v="0"/>
    <n v="0"/>
    <n v="0"/>
    <n v="2.04"/>
    <n v="0"/>
    <n v="0"/>
    <n v="2.04"/>
    <n v="0"/>
    <s v="India"/>
  </r>
  <r>
    <x v="1"/>
    <x v="0"/>
    <x v="219"/>
    <x v="1"/>
    <x v="6"/>
    <x v="4"/>
    <n v="0.59"/>
    <n v="0"/>
    <n v="0"/>
    <n v="1086.33"/>
    <n v="0"/>
    <n v="0"/>
    <n v="-0.59"/>
    <n v="-1086.33"/>
    <n v="0"/>
    <s v="India"/>
  </r>
  <r>
    <x v="1"/>
    <x v="0"/>
    <x v="219"/>
    <x v="1"/>
    <x v="4"/>
    <x v="3"/>
    <n v="0.02"/>
    <n v="0"/>
    <n v="0"/>
    <n v="7.87"/>
    <n v="0"/>
    <n v="0"/>
    <n v="-0.02"/>
    <n v="-7.87"/>
    <n v="0"/>
    <s v="India"/>
  </r>
  <r>
    <x v="1"/>
    <x v="0"/>
    <x v="219"/>
    <x v="1"/>
    <x v="35"/>
    <x v="0"/>
    <n v="0"/>
    <n v="0"/>
    <n v="0"/>
    <n v="0.3"/>
    <n v="0"/>
    <n v="0"/>
    <n v="0"/>
    <n v="-0.3"/>
    <n v="0"/>
    <s v="India"/>
  </r>
  <r>
    <x v="1"/>
    <x v="0"/>
    <x v="219"/>
    <x v="1"/>
    <x v="37"/>
    <x v="3"/>
    <n v="0.02"/>
    <n v="0"/>
    <n v="0"/>
    <n v="10.91"/>
    <n v="0"/>
    <n v="0"/>
    <n v="-0.02"/>
    <n v="-10.91"/>
    <n v="0"/>
    <s v="India"/>
  </r>
  <r>
    <x v="6"/>
    <x v="2"/>
    <x v="115"/>
    <x v="3"/>
    <x v="17"/>
    <x v="5"/>
    <n v="0"/>
    <n v="0"/>
    <n v="0"/>
    <n v="0.02"/>
    <n v="0.01"/>
    <n v="0"/>
    <n v="0"/>
    <n v="-0.01"/>
    <n v="0"/>
    <s v="India"/>
  </r>
  <r>
    <x v="6"/>
    <x v="2"/>
    <x v="115"/>
    <x v="3"/>
    <x v="9"/>
    <x v="6"/>
    <n v="0"/>
    <n v="0"/>
    <n v="0"/>
    <n v="0.54"/>
    <n v="0.04"/>
    <n v="0"/>
    <n v="0"/>
    <n v="-0.5"/>
    <n v="0"/>
    <s v="India"/>
  </r>
  <r>
    <x v="1"/>
    <x v="0"/>
    <x v="219"/>
    <x v="1"/>
    <x v="10"/>
    <x v="3"/>
    <n v="0.04"/>
    <n v="0"/>
    <n v="0"/>
    <n v="31.36"/>
    <n v="0"/>
    <n v="0"/>
    <n v="-0.04"/>
    <n v="-31.36"/>
    <n v="0"/>
    <s v="India"/>
  </r>
  <r>
    <x v="1"/>
    <x v="0"/>
    <x v="219"/>
    <x v="1"/>
    <x v="17"/>
    <x v="5"/>
    <n v="0"/>
    <n v="0"/>
    <n v="0"/>
    <n v="1.1000000000000001"/>
    <n v="0"/>
    <n v="0"/>
    <n v="0"/>
    <n v="-1.1000000000000001"/>
    <n v="0"/>
    <s v="India"/>
  </r>
  <r>
    <x v="6"/>
    <x v="2"/>
    <x v="115"/>
    <x v="3"/>
    <x v="29"/>
    <x v="7"/>
    <n v="0"/>
    <n v="0"/>
    <n v="0"/>
    <n v="0"/>
    <n v="0.04"/>
    <n v="0"/>
    <n v="0"/>
    <n v="0.04"/>
    <n v="0"/>
    <s v="India"/>
  </r>
  <r>
    <x v="6"/>
    <x v="2"/>
    <x v="115"/>
    <x v="3"/>
    <x v="2"/>
    <x v="0"/>
    <n v="0"/>
    <n v="0"/>
    <n v="0"/>
    <n v="0.04"/>
    <n v="0.16"/>
    <n v="0"/>
    <n v="0"/>
    <n v="0.12"/>
    <n v="0"/>
    <s v="India"/>
  </r>
  <r>
    <x v="6"/>
    <x v="2"/>
    <x v="115"/>
    <x v="3"/>
    <x v="32"/>
    <x v="0"/>
    <n v="0"/>
    <n v="0"/>
    <n v="0"/>
    <n v="0.25"/>
    <n v="0.82"/>
    <n v="0"/>
    <n v="0"/>
    <n v="0.56999999999999995"/>
    <n v="0"/>
    <s v="India"/>
  </r>
  <r>
    <x v="1"/>
    <x v="0"/>
    <x v="219"/>
    <x v="1"/>
    <x v="12"/>
    <x v="4"/>
    <n v="1.5"/>
    <n v="0"/>
    <n v="0"/>
    <n v="9289.25"/>
    <n v="0"/>
    <n v="0"/>
    <n v="-1.5"/>
    <n v="-9289.25"/>
    <n v="0"/>
    <s v="India"/>
  </r>
  <r>
    <x v="1"/>
    <x v="0"/>
    <x v="219"/>
    <x v="1"/>
    <x v="19"/>
    <x v="4"/>
    <n v="0"/>
    <n v="0"/>
    <n v="0"/>
    <n v="2.02"/>
    <n v="0"/>
    <n v="0"/>
    <n v="0"/>
    <n v="-2.02"/>
    <n v="0"/>
    <s v="India"/>
  </r>
  <r>
    <x v="1"/>
    <x v="0"/>
    <x v="219"/>
    <x v="1"/>
    <x v="21"/>
    <x v="4"/>
    <n v="5.36"/>
    <n v="0"/>
    <n v="0"/>
    <n v="3469.85"/>
    <n v="0"/>
    <n v="0"/>
    <n v="-5.36"/>
    <n v="-3469.85"/>
    <n v="0"/>
    <s v="India"/>
  </r>
  <r>
    <x v="6"/>
    <x v="2"/>
    <x v="115"/>
    <x v="3"/>
    <x v="42"/>
    <x v="1"/>
    <n v="0"/>
    <n v="0"/>
    <n v="0"/>
    <n v="0"/>
    <n v="0.23"/>
    <n v="0"/>
    <n v="0"/>
    <n v="0.23"/>
    <n v="0"/>
    <s v="India"/>
  </r>
  <r>
    <x v="1"/>
    <x v="0"/>
    <x v="219"/>
    <x v="1"/>
    <x v="18"/>
    <x v="7"/>
    <n v="0.61"/>
    <n v="0"/>
    <n v="0"/>
    <n v="134.47999999999999"/>
    <n v="0"/>
    <n v="0"/>
    <n v="-0.61"/>
    <n v="-134.47999999999999"/>
    <n v="0"/>
    <s v="India"/>
  </r>
  <r>
    <x v="6"/>
    <x v="2"/>
    <x v="220"/>
    <x v="1"/>
    <x v="8"/>
    <x v="3"/>
    <n v="0"/>
    <n v="0"/>
    <n v="0"/>
    <n v="0"/>
    <n v="0.01"/>
    <n v="0"/>
    <n v="0"/>
    <n v="0.01"/>
    <n v="0"/>
    <s v="India"/>
  </r>
  <r>
    <x v="6"/>
    <x v="2"/>
    <x v="220"/>
    <x v="1"/>
    <x v="12"/>
    <x v="4"/>
    <n v="0.21"/>
    <n v="0"/>
    <n v="0"/>
    <n v="261"/>
    <n v="0"/>
    <n v="0"/>
    <n v="-0.21"/>
    <n v="-261"/>
    <n v="0"/>
    <s v="India"/>
  </r>
  <r>
    <x v="6"/>
    <x v="2"/>
    <x v="220"/>
    <x v="1"/>
    <x v="10"/>
    <x v="3"/>
    <n v="0.25"/>
    <n v="0"/>
    <n v="0"/>
    <n v="96.03"/>
    <n v="0"/>
    <n v="0"/>
    <n v="-0.25"/>
    <n v="-96.03"/>
    <n v="0"/>
    <s v="India"/>
  </r>
  <r>
    <x v="6"/>
    <x v="2"/>
    <x v="220"/>
    <x v="1"/>
    <x v="4"/>
    <x v="3"/>
    <n v="0"/>
    <n v="0"/>
    <n v="0"/>
    <n v="3"/>
    <n v="0.02"/>
    <n v="0"/>
    <n v="0"/>
    <n v="-2.98"/>
    <n v="0"/>
    <s v="India"/>
  </r>
  <r>
    <x v="6"/>
    <x v="2"/>
    <x v="220"/>
    <x v="1"/>
    <x v="29"/>
    <x v="7"/>
    <n v="0"/>
    <n v="0"/>
    <n v="0"/>
    <n v="0"/>
    <n v="0.1"/>
    <n v="0"/>
    <n v="0"/>
    <n v="0.1"/>
    <n v="0"/>
    <s v="India"/>
  </r>
  <r>
    <x v="6"/>
    <x v="2"/>
    <x v="220"/>
    <x v="1"/>
    <x v="2"/>
    <x v="0"/>
    <n v="0"/>
    <n v="0"/>
    <n v="0"/>
    <n v="0"/>
    <n v="0.05"/>
    <n v="0"/>
    <n v="0"/>
    <n v="0.05"/>
    <n v="0"/>
    <s v="India"/>
  </r>
  <r>
    <x v="6"/>
    <x v="2"/>
    <x v="220"/>
    <x v="1"/>
    <x v="32"/>
    <x v="0"/>
    <n v="0"/>
    <n v="0"/>
    <n v="0"/>
    <n v="0"/>
    <n v="0.03"/>
    <n v="0"/>
    <n v="0"/>
    <n v="0.03"/>
    <n v="0"/>
    <s v="India"/>
  </r>
  <r>
    <x v="6"/>
    <x v="2"/>
    <x v="220"/>
    <x v="1"/>
    <x v="24"/>
    <x v="4"/>
    <n v="0.03"/>
    <n v="0"/>
    <n v="0"/>
    <n v="58"/>
    <n v="0"/>
    <n v="0"/>
    <n v="-0.03"/>
    <n v="-58"/>
    <n v="0"/>
    <s v="India"/>
  </r>
  <r>
    <x v="6"/>
    <x v="2"/>
    <x v="220"/>
    <x v="1"/>
    <x v="38"/>
    <x v="5"/>
    <n v="2.4700000000000002"/>
    <n v="0"/>
    <n v="0"/>
    <n v="751.78"/>
    <n v="7.0000000000000007E-2"/>
    <n v="0"/>
    <n v="-2.4700000000000002"/>
    <n v="-751.70999999999992"/>
    <n v="0"/>
    <s v="India"/>
  </r>
  <r>
    <x v="6"/>
    <x v="2"/>
    <x v="220"/>
    <x v="1"/>
    <x v="5"/>
    <x v="3"/>
    <n v="0.04"/>
    <n v="0"/>
    <n v="0"/>
    <n v="25.54"/>
    <n v="0"/>
    <n v="0"/>
    <n v="-0.04"/>
    <n v="-25.54"/>
    <n v="0"/>
    <s v="India"/>
  </r>
  <r>
    <x v="6"/>
    <x v="2"/>
    <x v="91"/>
    <x v="3"/>
    <x v="39"/>
    <x v="7"/>
    <n v="0.01"/>
    <n v="0.01"/>
    <n v="0"/>
    <n v="0.52"/>
    <n v="1.07"/>
    <n v="0.03"/>
    <n v="0"/>
    <n v="0.55000000000000004"/>
    <n v="-0.01"/>
    <s v="India"/>
  </r>
  <r>
    <x v="6"/>
    <x v="2"/>
    <x v="91"/>
    <x v="3"/>
    <x v="14"/>
    <x v="3"/>
    <n v="0"/>
    <n v="0"/>
    <n v="0"/>
    <n v="0.27"/>
    <n v="0.02"/>
    <n v="0"/>
    <n v="0"/>
    <n v="-0.25"/>
    <n v="0"/>
    <s v="India"/>
  </r>
  <r>
    <x v="6"/>
    <x v="2"/>
    <x v="91"/>
    <x v="3"/>
    <x v="40"/>
    <x v="6"/>
    <n v="0"/>
    <n v="0"/>
    <n v="0"/>
    <n v="0.01"/>
    <n v="0"/>
    <n v="0"/>
    <n v="0"/>
    <n v="-0.01"/>
    <n v="0"/>
    <s v="India"/>
  </r>
  <r>
    <x v="6"/>
    <x v="2"/>
    <x v="91"/>
    <x v="3"/>
    <x v="34"/>
    <x v="6"/>
    <n v="0"/>
    <n v="0"/>
    <n v="0"/>
    <n v="0.06"/>
    <n v="0.04"/>
    <n v="0"/>
    <n v="0"/>
    <n v="-1.9999999999999997E-2"/>
    <n v="0"/>
    <s v="India"/>
  </r>
  <r>
    <x v="1"/>
    <x v="0"/>
    <x v="219"/>
    <x v="1"/>
    <x v="8"/>
    <x v="3"/>
    <n v="0.05"/>
    <n v="0"/>
    <n v="0"/>
    <n v="17.61"/>
    <n v="0"/>
    <n v="0"/>
    <n v="-0.05"/>
    <n v="-17.61"/>
    <n v="0"/>
    <s v="India"/>
  </r>
  <r>
    <x v="1"/>
    <x v="0"/>
    <x v="219"/>
    <x v="1"/>
    <x v="40"/>
    <x v="6"/>
    <n v="0"/>
    <n v="0"/>
    <n v="0"/>
    <n v="0.47"/>
    <n v="0"/>
    <n v="0"/>
    <n v="0"/>
    <n v="-0.47"/>
    <n v="0"/>
    <s v="India"/>
  </r>
  <r>
    <x v="6"/>
    <x v="2"/>
    <x v="91"/>
    <x v="3"/>
    <x v="25"/>
    <x v="7"/>
    <n v="0"/>
    <n v="0.04"/>
    <n v="0"/>
    <n v="0.09"/>
    <n v="167.4"/>
    <n v="0"/>
    <n v="0.04"/>
    <n v="167.31"/>
    <n v="-0.04"/>
    <s v="India"/>
  </r>
  <r>
    <x v="1"/>
    <x v="0"/>
    <x v="52"/>
    <x v="1"/>
    <x v="6"/>
    <x v="4"/>
    <n v="0.02"/>
    <n v="0"/>
    <n v="0"/>
    <n v="3.7"/>
    <n v="0"/>
    <n v="0"/>
    <n v="-0.02"/>
    <n v="-3.7"/>
    <n v="0"/>
    <s v="India"/>
  </r>
  <r>
    <x v="1"/>
    <x v="0"/>
    <x v="52"/>
    <x v="1"/>
    <x v="35"/>
    <x v="0"/>
    <n v="0.01"/>
    <n v="0"/>
    <n v="0"/>
    <n v="11.97"/>
    <n v="0"/>
    <n v="0"/>
    <n v="-0.01"/>
    <n v="-11.97"/>
    <n v="0"/>
    <s v="India"/>
  </r>
  <r>
    <x v="1"/>
    <x v="0"/>
    <x v="52"/>
    <x v="1"/>
    <x v="17"/>
    <x v="5"/>
    <n v="0.02"/>
    <n v="0"/>
    <n v="0"/>
    <n v="13"/>
    <n v="0"/>
    <n v="0"/>
    <n v="-0.02"/>
    <n v="-13"/>
    <n v="0"/>
    <s v="India"/>
  </r>
  <r>
    <x v="6"/>
    <x v="2"/>
    <x v="91"/>
    <x v="3"/>
    <x v="9"/>
    <x v="6"/>
    <n v="0"/>
    <n v="0"/>
    <n v="0"/>
    <n v="0.48"/>
    <n v="0.88"/>
    <n v="0"/>
    <n v="0"/>
    <n v="0.4"/>
    <n v="0"/>
    <s v="India"/>
  </r>
  <r>
    <x v="6"/>
    <x v="2"/>
    <x v="91"/>
    <x v="3"/>
    <x v="7"/>
    <x v="5"/>
    <n v="0"/>
    <n v="0"/>
    <n v="0"/>
    <n v="0"/>
    <n v="0.05"/>
    <n v="0"/>
    <n v="0"/>
    <n v="0.05"/>
    <n v="0"/>
    <s v="India"/>
  </r>
  <r>
    <x v="6"/>
    <x v="2"/>
    <x v="91"/>
    <x v="3"/>
    <x v="15"/>
    <x v="0"/>
    <n v="0"/>
    <n v="0"/>
    <n v="0"/>
    <n v="0"/>
    <n v="0.1"/>
    <n v="0"/>
    <n v="0"/>
    <n v="0.1"/>
    <n v="0"/>
    <s v="India"/>
  </r>
  <r>
    <x v="6"/>
    <x v="2"/>
    <x v="91"/>
    <x v="3"/>
    <x v="37"/>
    <x v="3"/>
    <n v="0"/>
    <n v="0"/>
    <n v="0"/>
    <n v="0"/>
    <n v="0.06"/>
    <n v="0"/>
    <n v="0"/>
    <n v="0.06"/>
    <n v="0"/>
    <s v="India"/>
  </r>
  <r>
    <x v="1"/>
    <x v="0"/>
    <x v="52"/>
    <x v="1"/>
    <x v="36"/>
    <x v="6"/>
    <n v="0"/>
    <n v="0"/>
    <n v="0"/>
    <n v="0.02"/>
    <n v="0"/>
    <n v="0"/>
    <n v="0"/>
    <n v="-0.02"/>
    <n v="0"/>
    <s v="India"/>
  </r>
  <r>
    <x v="6"/>
    <x v="2"/>
    <x v="91"/>
    <x v="3"/>
    <x v="35"/>
    <x v="0"/>
    <n v="0.01"/>
    <n v="0"/>
    <n v="0"/>
    <n v="2.25"/>
    <n v="1.35"/>
    <n v="0"/>
    <n v="-0.01"/>
    <n v="-0.89999999999999991"/>
    <n v="0"/>
    <s v="India"/>
  </r>
  <r>
    <x v="1"/>
    <x v="0"/>
    <x v="52"/>
    <x v="1"/>
    <x v="14"/>
    <x v="3"/>
    <n v="0.11"/>
    <n v="0.11"/>
    <n v="0"/>
    <n v="60.72"/>
    <n v="116.22"/>
    <n v="0"/>
    <n v="0"/>
    <n v="55.5"/>
    <n v="-0.11"/>
    <s v="India"/>
  </r>
  <r>
    <x v="1"/>
    <x v="0"/>
    <x v="153"/>
    <x v="1"/>
    <x v="3"/>
    <x v="2"/>
    <n v="0.36"/>
    <n v="0"/>
    <n v="0"/>
    <n v="213.52"/>
    <n v="1.02"/>
    <n v="0"/>
    <n v="-0.36"/>
    <n v="-212.5"/>
    <n v="0"/>
    <s v="India"/>
  </r>
  <r>
    <x v="1"/>
    <x v="0"/>
    <x v="153"/>
    <x v="1"/>
    <x v="11"/>
    <x v="3"/>
    <n v="0.01"/>
    <n v="0"/>
    <n v="0"/>
    <n v="2.4500000000000002"/>
    <n v="0.02"/>
    <n v="0"/>
    <n v="-0.01"/>
    <n v="-2.4300000000000002"/>
    <n v="0"/>
    <s v="India"/>
  </r>
  <r>
    <x v="1"/>
    <x v="0"/>
    <x v="153"/>
    <x v="1"/>
    <x v="28"/>
    <x v="5"/>
    <n v="7.0000000000000007E-2"/>
    <n v="0.1"/>
    <n v="0"/>
    <n v="201"/>
    <n v="250"/>
    <n v="0"/>
    <n v="0.03"/>
    <n v="49"/>
    <n v="-0.1"/>
    <s v="India"/>
  </r>
  <r>
    <x v="1"/>
    <x v="0"/>
    <x v="153"/>
    <x v="1"/>
    <x v="6"/>
    <x v="4"/>
    <n v="0.28999999999999998"/>
    <n v="0"/>
    <n v="0"/>
    <n v="14.51"/>
    <n v="0.02"/>
    <n v="0"/>
    <n v="-0.28999999999999998"/>
    <n v="-14.49"/>
    <n v="0"/>
    <s v="India"/>
  </r>
  <r>
    <x v="1"/>
    <x v="0"/>
    <x v="153"/>
    <x v="1"/>
    <x v="16"/>
    <x v="0"/>
    <n v="0"/>
    <n v="0"/>
    <n v="0"/>
    <n v="0"/>
    <n v="1.82"/>
    <n v="0"/>
    <n v="0"/>
    <n v="1.82"/>
    <n v="0"/>
    <s v="India"/>
  </r>
  <r>
    <x v="1"/>
    <x v="0"/>
    <x v="153"/>
    <x v="1"/>
    <x v="37"/>
    <x v="3"/>
    <n v="0"/>
    <n v="0"/>
    <n v="0"/>
    <n v="0"/>
    <n v="1.81"/>
    <n v="0"/>
    <n v="0"/>
    <n v="1.81"/>
    <n v="0"/>
    <s v="India"/>
  </r>
  <r>
    <x v="6"/>
    <x v="2"/>
    <x v="91"/>
    <x v="3"/>
    <x v="3"/>
    <x v="2"/>
    <n v="0"/>
    <n v="0"/>
    <n v="0"/>
    <n v="4.47"/>
    <n v="0.65"/>
    <n v="0.04"/>
    <n v="0"/>
    <n v="-3.82"/>
    <n v="0"/>
    <s v="India"/>
  </r>
  <r>
    <x v="6"/>
    <x v="2"/>
    <x v="91"/>
    <x v="3"/>
    <x v="41"/>
    <x v="6"/>
    <n v="0"/>
    <n v="0"/>
    <n v="0"/>
    <n v="0"/>
    <n v="0.01"/>
    <n v="0"/>
    <n v="0"/>
    <n v="0.01"/>
    <n v="0"/>
    <s v="India"/>
  </r>
  <r>
    <x v="1"/>
    <x v="0"/>
    <x v="56"/>
    <x v="4"/>
    <x v="3"/>
    <x v="2"/>
    <n v="7.0000000000000007E-2"/>
    <n v="0"/>
    <n v="0"/>
    <n v="130.05000000000001"/>
    <n v="0"/>
    <n v="0"/>
    <n v="-7.0000000000000007E-2"/>
    <n v="-130.05000000000001"/>
    <n v="0"/>
    <s v="India"/>
  </r>
  <r>
    <x v="6"/>
    <x v="2"/>
    <x v="130"/>
    <x v="4"/>
    <x v="2"/>
    <x v="0"/>
    <n v="0.11"/>
    <n v="0"/>
    <n v="0"/>
    <n v="58"/>
    <n v="0"/>
    <n v="0"/>
    <n v="-0.11"/>
    <n v="-58"/>
    <n v="0"/>
    <s v="India"/>
  </r>
  <r>
    <x v="1"/>
    <x v="0"/>
    <x v="56"/>
    <x v="4"/>
    <x v="11"/>
    <x v="3"/>
    <n v="0"/>
    <n v="0.01"/>
    <n v="0"/>
    <n v="0"/>
    <n v="0.1"/>
    <n v="0"/>
    <n v="0.01"/>
    <n v="0.1"/>
    <n v="-0.01"/>
    <s v="India"/>
  </r>
  <r>
    <x v="1"/>
    <x v="0"/>
    <x v="56"/>
    <x v="4"/>
    <x v="38"/>
    <x v="5"/>
    <n v="0.05"/>
    <n v="0"/>
    <n v="0"/>
    <n v="27"/>
    <n v="0"/>
    <n v="0"/>
    <n v="-0.05"/>
    <n v="-27"/>
    <n v="0"/>
    <s v="India"/>
  </r>
  <r>
    <x v="6"/>
    <x v="2"/>
    <x v="12"/>
    <x v="0"/>
    <x v="31"/>
    <x v="1"/>
    <n v="0.02"/>
    <n v="0"/>
    <n v="0"/>
    <n v="28.48"/>
    <n v="0"/>
    <n v="0"/>
    <n v="-0.02"/>
    <n v="-28.48"/>
    <n v="0"/>
    <s v="India"/>
  </r>
  <r>
    <x v="1"/>
    <x v="0"/>
    <x v="56"/>
    <x v="4"/>
    <x v="4"/>
    <x v="3"/>
    <n v="0.27"/>
    <n v="0.02"/>
    <n v="0"/>
    <n v="74.34"/>
    <n v="2.4"/>
    <n v="0"/>
    <n v="-0.25"/>
    <n v="-71.94"/>
    <n v="-0.02"/>
    <s v="India"/>
  </r>
  <r>
    <x v="6"/>
    <x v="2"/>
    <x v="12"/>
    <x v="0"/>
    <x v="1"/>
    <x v="1"/>
    <n v="83.88"/>
    <n v="0"/>
    <n v="0"/>
    <n v="39445.93"/>
    <n v="0"/>
    <n v="0"/>
    <n v="-83.88"/>
    <n v="-39445.93"/>
    <n v="0"/>
    <s v="India"/>
  </r>
  <r>
    <x v="1"/>
    <x v="0"/>
    <x v="56"/>
    <x v="4"/>
    <x v="10"/>
    <x v="3"/>
    <n v="0.02"/>
    <n v="0"/>
    <n v="0"/>
    <n v="5"/>
    <n v="0"/>
    <n v="0"/>
    <n v="-0.02"/>
    <n v="-5"/>
    <n v="0"/>
    <s v="India"/>
  </r>
  <r>
    <x v="1"/>
    <x v="0"/>
    <x v="56"/>
    <x v="4"/>
    <x v="27"/>
    <x v="7"/>
    <n v="0"/>
    <n v="0"/>
    <n v="0"/>
    <n v="0.04"/>
    <n v="0"/>
    <n v="0"/>
    <n v="0"/>
    <n v="-0.04"/>
    <n v="0"/>
    <s v="India"/>
  </r>
  <r>
    <x v="1"/>
    <x v="0"/>
    <x v="221"/>
    <x v="3"/>
    <x v="8"/>
    <x v="3"/>
    <n v="0"/>
    <n v="0.02"/>
    <n v="0"/>
    <n v="0"/>
    <n v="1.35"/>
    <n v="0"/>
    <n v="0.02"/>
    <n v="1.35"/>
    <n v="-0.02"/>
    <s v="India"/>
  </r>
  <r>
    <x v="8"/>
    <x v="4"/>
    <x v="144"/>
    <x v="4"/>
    <x v="24"/>
    <x v="4"/>
    <n v="0"/>
    <n v="0.06"/>
    <n v="0"/>
    <n v="0"/>
    <n v="28.75"/>
    <n v="0"/>
    <n v="0.06"/>
    <n v="28.75"/>
    <n v="-0.06"/>
    <s v="India"/>
  </r>
  <r>
    <x v="8"/>
    <x v="4"/>
    <x v="144"/>
    <x v="4"/>
    <x v="4"/>
    <x v="3"/>
    <n v="0.74"/>
    <n v="0"/>
    <n v="0"/>
    <n v="32.520000000000003"/>
    <n v="0"/>
    <n v="0"/>
    <n v="-0.74"/>
    <n v="-32.520000000000003"/>
    <n v="0"/>
    <s v="India"/>
  </r>
  <r>
    <x v="8"/>
    <x v="4"/>
    <x v="144"/>
    <x v="4"/>
    <x v="27"/>
    <x v="7"/>
    <n v="0"/>
    <n v="0"/>
    <n v="0"/>
    <n v="0"/>
    <n v="0"/>
    <n v="0"/>
    <n v="0"/>
    <n v="0"/>
    <n v="0"/>
    <s v="India"/>
  </r>
  <r>
    <x v="6"/>
    <x v="2"/>
    <x v="12"/>
    <x v="0"/>
    <x v="25"/>
    <x v="7"/>
    <n v="0.5"/>
    <n v="0.08"/>
    <n v="0"/>
    <n v="6804"/>
    <n v="1416.96"/>
    <n v="0"/>
    <n v="-0.42"/>
    <n v="-5387.04"/>
    <n v="-0.08"/>
    <s v="India"/>
  </r>
  <r>
    <x v="8"/>
    <x v="4"/>
    <x v="118"/>
    <x v="3"/>
    <x v="6"/>
    <x v="4"/>
    <n v="0"/>
    <n v="0"/>
    <n v="0"/>
    <n v="0"/>
    <n v="5.05"/>
    <n v="0"/>
    <n v="0"/>
    <n v="5.05"/>
    <n v="0"/>
    <s v="India"/>
  </r>
  <r>
    <x v="8"/>
    <x v="4"/>
    <x v="118"/>
    <x v="3"/>
    <x v="8"/>
    <x v="3"/>
    <n v="0.01"/>
    <n v="0"/>
    <n v="0"/>
    <n v="1.51"/>
    <n v="0"/>
    <n v="0"/>
    <n v="-0.01"/>
    <n v="-1.51"/>
    <n v="0"/>
    <s v="India"/>
  </r>
  <r>
    <x v="8"/>
    <x v="4"/>
    <x v="20"/>
    <x v="1"/>
    <x v="11"/>
    <x v="3"/>
    <n v="0"/>
    <n v="0"/>
    <n v="0"/>
    <n v="0"/>
    <n v="0.72"/>
    <n v="0"/>
    <n v="0"/>
    <n v="0.72"/>
    <n v="0"/>
    <s v="India"/>
  </r>
  <r>
    <x v="8"/>
    <x v="4"/>
    <x v="20"/>
    <x v="1"/>
    <x v="4"/>
    <x v="3"/>
    <n v="0"/>
    <n v="0.01"/>
    <n v="0"/>
    <n v="0"/>
    <n v="5.97"/>
    <n v="0"/>
    <n v="0.01"/>
    <n v="5.97"/>
    <n v="-0.01"/>
    <s v="India"/>
  </r>
  <r>
    <x v="8"/>
    <x v="4"/>
    <x v="20"/>
    <x v="1"/>
    <x v="10"/>
    <x v="3"/>
    <n v="0"/>
    <n v="0"/>
    <n v="0"/>
    <n v="0"/>
    <n v="7.0000000000000007E-2"/>
    <n v="0"/>
    <n v="0"/>
    <n v="7.0000000000000007E-2"/>
    <n v="0"/>
    <s v="India"/>
  </r>
  <r>
    <x v="8"/>
    <x v="4"/>
    <x v="20"/>
    <x v="1"/>
    <x v="13"/>
    <x v="3"/>
    <n v="0"/>
    <n v="0"/>
    <n v="0"/>
    <n v="0"/>
    <n v="0.02"/>
    <n v="0"/>
    <n v="0"/>
    <n v="0.02"/>
    <n v="0"/>
    <s v="India"/>
  </r>
  <r>
    <x v="8"/>
    <x v="4"/>
    <x v="20"/>
    <x v="1"/>
    <x v="8"/>
    <x v="3"/>
    <n v="0"/>
    <n v="0"/>
    <n v="0"/>
    <n v="0"/>
    <n v="1.1299999999999999"/>
    <n v="0"/>
    <n v="0"/>
    <n v="1.1299999999999999"/>
    <n v="0"/>
    <s v="India"/>
  </r>
  <r>
    <x v="8"/>
    <x v="4"/>
    <x v="88"/>
    <x v="1"/>
    <x v="38"/>
    <x v="5"/>
    <n v="0"/>
    <n v="0"/>
    <n v="0"/>
    <n v="0"/>
    <n v="0.01"/>
    <n v="0"/>
    <n v="0"/>
    <n v="0.01"/>
    <n v="0"/>
    <s v="India"/>
  </r>
  <r>
    <x v="8"/>
    <x v="4"/>
    <x v="88"/>
    <x v="1"/>
    <x v="24"/>
    <x v="4"/>
    <n v="0"/>
    <n v="0"/>
    <n v="0"/>
    <n v="0.82"/>
    <n v="0"/>
    <n v="0"/>
    <n v="0"/>
    <n v="-0.82"/>
    <n v="0"/>
    <s v="India"/>
  </r>
  <r>
    <x v="8"/>
    <x v="4"/>
    <x v="88"/>
    <x v="1"/>
    <x v="29"/>
    <x v="7"/>
    <n v="0"/>
    <n v="0"/>
    <n v="0"/>
    <n v="0.22"/>
    <n v="0.16"/>
    <n v="0"/>
    <n v="0"/>
    <n v="-0.06"/>
    <n v="0"/>
    <s v="India"/>
  </r>
  <r>
    <x v="8"/>
    <x v="4"/>
    <x v="88"/>
    <x v="1"/>
    <x v="15"/>
    <x v="0"/>
    <n v="0"/>
    <n v="0.01"/>
    <n v="0"/>
    <n v="0.16"/>
    <n v="22"/>
    <n v="0"/>
    <n v="0.01"/>
    <n v="21.84"/>
    <n v="-0.01"/>
    <s v="India"/>
  </r>
  <r>
    <x v="8"/>
    <x v="4"/>
    <x v="88"/>
    <x v="1"/>
    <x v="9"/>
    <x v="6"/>
    <n v="0"/>
    <n v="0"/>
    <n v="0"/>
    <n v="0.11"/>
    <n v="0"/>
    <n v="0"/>
    <n v="0"/>
    <n v="-0.11"/>
    <n v="0"/>
    <s v="India"/>
  </r>
  <r>
    <x v="6"/>
    <x v="2"/>
    <x v="12"/>
    <x v="0"/>
    <x v="28"/>
    <x v="5"/>
    <n v="0.05"/>
    <n v="0"/>
    <n v="0"/>
    <n v="76"/>
    <n v="0"/>
    <n v="0"/>
    <n v="-0.05"/>
    <n v="-76"/>
    <n v="0"/>
    <s v="India"/>
  </r>
  <r>
    <x v="8"/>
    <x v="4"/>
    <x v="88"/>
    <x v="1"/>
    <x v="17"/>
    <x v="5"/>
    <n v="0"/>
    <n v="0"/>
    <n v="0"/>
    <n v="0"/>
    <n v="0"/>
    <n v="0"/>
    <n v="0"/>
    <n v="0"/>
    <n v="0"/>
    <s v="India"/>
  </r>
  <r>
    <x v="6"/>
    <x v="2"/>
    <x v="12"/>
    <x v="0"/>
    <x v="42"/>
    <x v="1"/>
    <n v="0.02"/>
    <n v="0.02"/>
    <n v="0"/>
    <n v="4.87"/>
    <n v="8.08"/>
    <n v="0"/>
    <n v="0"/>
    <n v="3.21"/>
    <n v="-0.02"/>
    <s v="India"/>
  </r>
  <r>
    <x v="8"/>
    <x v="4"/>
    <x v="88"/>
    <x v="1"/>
    <x v="40"/>
    <x v="6"/>
    <n v="0"/>
    <n v="0"/>
    <n v="0"/>
    <n v="0.12"/>
    <n v="0"/>
    <n v="0"/>
    <n v="0"/>
    <n v="-0.12"/>
    <n v="0"/>
    <s v="India"/>
  </r>
  <r>
    <x v="6"/>
    <x v="2"/>
    <x v="12"/>
    <x v="0"/>
    <x v="23"/>
    <x v="1"/>
    <n v="0.69"/>
    <n v="0"/>
    <n v="0"/>
    <n v="339.4"/>
    <n v="0"/>
    <n v="0"/>
    <n v="-0.69"/>
    <n v="-339.4"/>
    <n v="0"/>
    <s v="India"/>
  </r>
  <r>
    <x v="8"/>
    <x v="4"/>
    <x v="88"/>
    <x v="1"/>
    <x v="39"/>
    <x v="7"/>
    <n v="0"/>
    <n v="0"/>
    <n v="0"/>
    <n v="0"/>
    <n v="0.03"/>
    <n v="0"/>
    <n v="0"/>
    <n v="0.03"/>
    <n v="0"/>
    <s v="India"/>
  </r>
  <r>
    <x v="8"/>
    <x v="4"/>
    <x v="19"/>
    <x v="1"/>
    <x v="5"/>
    <x v="3"/>
    <n v="0"/>
    <n v="0"/>
    <n v="0"/>
    <n v="0"/>
    <n v="0.06"/>
    <n v="0"/>
    <n v="0"/>
    <n v="0.06"/>
    <n v="0"/>
    <s v="India"/>
  </r>
  <r>
    <x v="6"/>
    <x v="2"/>
    <x v="49"/>
    <x v="0"/>
    <x v="1"/>
    <x v="1"/>
    <n v="4.12"/>
    <n v="0"/>
    <n v="0"/>
    <n v="1819.37"/>
    <n v="0"/>
    <n v="0"/>
    <n v="-4.12"/>
    <n v="-1819.37"/>
    <n v="0"/>
    <s v="India"/>
  </r>
  <r>
    <x v="8"/>
    <x v="4"/>
    <x v="19"/>
    <x v="1"/>
    <x v="11"/>
    <x v="3"/>
    <n v="0"/>
    <n v="0.01"/>
    <n v="0"/>
    <n v="0"/>
    <n v="3.76"/>
    <n v="0"/>
    <n v="0.01"/>
    <n v="3.76"/>
    <n v="-0.01"/>
    <s v="India"/>
  </r>
  <r>
    <x v="8"/>
    <x v="4"/>
    <x v="19"/>
    <x v="1"/>
    <x v="24"/>
    <x v="4"/>
    <n v="0"/>
    <n v="0"/>
    <n v="0"/>
    <n v="0"/>
    <n v="0.06"/>
    <n v="0"/>
    <n v="0"/>
    <n v="0.06"/>
    <n v="0"/>
    <s v="India"/>
  </r>
  <r>
    <x v="8"/>
    <x v="4"/>
    <x v="19"/>
    <x v="1"/>
    <x v="6"/>
    <x v="4"/>
    <n v="0"/>
    <n v="0"/>
    <n v="0"/>
    <n v="0"/>
    <n v="0.05"/>
    <n v="0"/>
    <n v="0"/>
    <n v="0.05"/>
    <n v="0"/>
    <s v="India"/>
  </r>
  <r>
    <x v="8"/>
    <x v="4"/>
    <x v="19"/>
    <x v="1"/>
    <x v="32"/>
    <x v="0"/>
    <n v="0.28000000000000003"/>
    <n v="0.83"/>
    <n v="0"/>
    <n v="140"/>
    <n v="314.3"/>
    <n v="0"/>
    <n v="0.54999999999999993"/>
    <n v="174.3"/>
    <n v="-0.83"/>
    <s v="India"/>
  </r>
  <r>
    <x v="8"/>
    <x v="4"/>
    <x v="19"/>
    <x v="1"/>
    <x v="35"/>
    <x v="0"/>
    <n v="0.01"/>
    <n v="0.02"/>
    <n v="0"/>
    <n v="23"/>
    <n v="20"/>
    <n v="0"/>
    <n v="0.01"/>
    <n v="-3"/>
    <n v="-0.02"/>
    <s v="India"/>
  </r>
  <r>
    <x v="8"/>
    <x v="4"/>
    <x v="19"/>
    <x v="1"/>
    <x v="16"/>
    <x v="0"/>
    <n v="0"/>
    <n v="0"/>
    <n v="0"/>
    <n v="0"/>
    <n v="0.05"/>
    <n v="0"/>
    <n v="0"/>
    <n v="0.05"/>
    <n v="0"/>
    <s v="India"/>
  </r>
  <r>
    <x v="6"/>
    <x v="2"/>
    <x v="49"/>
    <x v="0"/>
    <x v="25"/>
    <x v="7"/>
    <n v="0.04"/>
    <n v="0"/>
    <n v="0"/>
    <n v="472.32"/>
    <n v="0"/>
    <n v="0"/>
    <n v="-0.04"/>
    <n v="-472.32"/>
    <n v="0"/>
    <s v="India"/>
  </r>
  <r>
    <x v="8"/>
    <x v="4"/>
    <x v="19"/>
    <x v="1"/>
    <x v="10"/>
    <x v="3"/>
    <n v="0"/>
    <n v="0"/>
    <n v="0"/>
    <n v="0"/>
    <n v="0.15"/>
    <n v="0"/>
    <n v="0"/>
    <n v="0.15"/>
    <n v="0"/>
    <s v="India"/>
  </r>
  <r>
    <x v="6"/>
    <x v="2"/>
    <x v="49"/>
    <x v="0"/>
    <x v="19"/>
    <x v="4"/>
    <n v="0.08"/>
    <n v="0"/>
    <n v="0"/>
    <n v="51.6"/>
    <n v="0"/>
    <n v="0"/>
    <n v="-0.08"/>
    <n v="-51.6"/>
    <n v="0"/>
    <s v="India"/>
  </r>
  <r>
    <x v="6"/>
    <x v="2"/>
    <x v="49"/>
    <x v="0"/>
    <x v="12"/>
    <x v="4"/>
    <n v="0.73"/>
    <n v="0"/>
    <n v="0"/>
    <n v="1133.52"/>
    <n v="0"/>
    <n v="0"/>
    <n v="-0.73"/>
    <n v="-1133.52"/>
    <n v="0"/>
    <s v="India"/>
  </r>
  <r>
    <x v="6"/>
    <x v="2"/>
    <x v="49"/>
    <x v="0"/>
    <x v="7"/>
    <x v="5"/>
    <n v="0.03"/>
    <n v="0"/>
    <n v="0"/>
    <n v="30.11"/>
    <n v="0"/>
    <n v="0"/>
    <n v="-0.03"/>
    <n v="-30.11"/>
    <n v="0"/>
    <s v="India"/>
  </r>
  <r>
    <x v="8"/>
    <x v="4"/>
    <x v="19"/>
    <x v="1"/>
    <x v="7"/>
    <x v="5"/>
    <n v="0"/>
    <n v="0.02"/>
    <n v="0"/>
    <n v="0"/>
    <n v="27.02"/>
    <n v="0"/>
    <n v="0.02"/>
    <n v="27.02"/>
    <n v="-0.02"/>
    <s v="India"/>
  </r>
  <r>
    <x v="6"/>
    <x v="2"/>
    <x v="49"/>
    <x v="0"/>
    <x v="15"/>
    <x v="0"/>
    <n v="0.7"/>
    <n v="0"/>
    <n v="0"/>
    <n v="2794.22"/>
    <n v="0"/>
    <n v="0"/>
    <n v="-0.7"/>
    <n v="-2794.22"/>
    <n v="0"/>
    <s v="India"/>
  </r>
  <r>
    <x v="8"/>
    <x v="4"/>
    <x v="19"/>
    <x v="1"/>
    <x v="13"/>
    <x v="3"/>
    <n v="0"/>
    <n v="0"/>
    <n v="0"/>
    <n v="0"/>
    <n v="0.64"/>
    <n v="0"/>
    <n v="0"/>
    <n v="0.64"/>
    <n v="0"/>
    <s v="India"/>
  </r>
  <r>
    <x v="8"/>
    <x v="4"/>
    <x v="19"/>
    <x v="1"/>
    <x v="8"/>
    <x v="3"/>
    <n v="0.04"/>
    <n v="0.14000000000000001"/>
    <n v="0"/>
    <n v="14.34"/>
    <n v="75.88"/>
    <n v="0"/>
    <n v="0.1"/>
    <n v="61.539999999999992"/>
    <n v="-0.14000000000000001"/>
    <s v="India"/>
  </r>
  <r>
    <x v="8"/>
    <x v="4"/>
    <x v="19"/>
    <x v="1"/>
    <x v="14"/>
    <x v="3"/>
    <n v="0.9"/>
    <n v="0.75"/>
    <n v="0"/>
    <n v="1719.44"/>
    <n v="176.73"/>
    <n v="0"/>
    <n v="-0.15000000000000002"/>
    <n v="-1542.71"/>
    <n v="-0.75"/>
    <s v="India"/>
  </r>
  <r>
    <x v="6"/>
    <x v="2"/>
    <x v="49"/>
    <x v="0"/>
    <x v="29"/>
    <x v="7"/>
    <n v="0.02"/>
    <n v="0.04"/>
    <n v="0"/>
    <n v="8.3000000000000007"/>
    <n v="18.54"/>
    <n v="0"/>
    <n v="0.02"/>
    <n v="10.239999999999998"/>
    <n v="-0.04"/>
    <s v="India"/>
  </r>
  <r>
    <x v="8"/>
    <x v="4"/>
    <x v="89"/>
    <x v="1"/>
    <x v="15"/>
    <x v="0"/>
    <n v="0.02"/>
    <n v="0"/>
    <n v="0"/>
    <n v="41.77"/>
    <n v="0"/>
    <n v="0"/>
    <n v="-0.02"/>
    <n v="-41.77"/>
    <n v="0"/>
    <s v="India"/>
  </r>
  <r>
    <x v="11"/>
    <x v="2"/>
    <x v="222"/>
    <x v="0"/>
    <x v="4"/>
    <x v="3"/>
    <n v="0"/>
    <n v="0"/>
    <n v="0"/>
    <n v="0"/>
    <n v="0.44"/>
    <n v="0"/>
    <n v="0"/>
    <n v="0.44"/>
    <n v="0"/>
    <s v="India"/>
  </r>
  <r>
    <x v="11"/>
    <x v="2"/>
    <x v="94"/>
    <x v="3"/>
    <x v="33"/>
    <x v="7"/>
    <n v="0"/>
    <n v="0"/>
    <n v="0"/>
    <n v="0.18"/>
    <n v="0"/>
    <n v="0"/>
    <n v="0"/>
    <n v="-0.18"/>
    <n v="0"/>
    <s v="India"/>
  </r>
  <r>
    <x v="11"/>
    <x v="2"/>
    <x v="94"/>
    <x v="3"/>
    <x v="38"/>
    <x v="5"/>
    <n v="0"/>
    <n v="0"/>
    <n v="0"/>
    <n v="0.13"/>
    <n v="0.95"/>
    <n v="0.01"/>
    <n v="0"/>
    <n v="0.82"/>
    <n v="0"/>
    <s v="India"/>
  </r>
  <r>
    <x v="6"/>
    <x v="2"/>
    <x v="49"/>
    <x v="0"/>
    <x v="41"/>
    <x v="6"/>
    <n v="0.01"/>
    <n v="0"/>
    <n v="0"/>
    <n v="0.76"/>
    <n v="0"/>
    <n v="0"/>
    <n v="-0.01"/>
    <n v="-0.76"/>
    <n v="0"/>
    <s v="India"/>
  </r>
  <r>
    <x v="6"/>
    <x v="2"/>
    <x v="223"/>
    <x v="4"/>
    <x v="4"/>
    <x v="3"/>
    <n v="0"/>
    <n v="0"/>
    <n v="0"/>
    <n v="0.01"/>
    <n v="0"/>
    <n v="0"/>
    <n v="0"/>
    <n v="-0.01"/>
    <n v="0"/>
    <s v="India"/>
  </r>
  <r>
    <x v="6"/>
    <x v="2"/>
    <x v="224"/>
    <x v="4"/>
    <x v="8"/>
    <x v="3"/>
    <n v="0"/>
    <n v="0.15"/>
    <n v="0"/>
    <n v="0"/>
    <n v="34.340000000000003"/>
    <n v="0"/>
    <n v="0.15"/>
    <n v="34.340000000000003"/>
    <n v="-0.15"/>
    <s v="India"/>
  </r>
  <r>
    <x v="6"/>
    <x v="2"/>
    <x v="126"/>
    <x v="1"/>
    <x v="19"/>
    <x v="4"/>
    <n v="0.01"/>
    <n v="0"/>
    <n v="0"/>
    <n v="16.77"/>
    <n v="11.24"/>
    <n v="0"/>
    <n v="-0.01"/>
    <n v="-5.5299999999999994"/>
    <n v="0"/>
    <s v="India"/>
  </r>
  <r>
    <x v="6"/>
    <x v="2"/>
    <x v="126"/>
    <x v="1"/>
    <x v="4"/>
    <x v="3"/>
    <n v="0"/>
    <n v="0.01"/>
    <n v="0"/>
    <n v="0"/>
    <n v="17"/>
    <n v="0"/>
    <n v="0.01"/>
    <n v="17"/>
    <n v="-0.01"/>
    <s v="India"/>
  </r>
  <r>
    <x v="6"/>
    <x v="2"/>
    <x v="225"/>
    <x v="1"/>
    <x v="8"/>
    <x v="3"/>
    <n v="0.03"/>
    <n v="0"/>
    <n v="0"/>
    <n v="14.96"/>
    <n v="2.25"/>
    <n v="0"/>
    <n v="-0.03"/>
    <n v="-12.71"/>
    <n v="0"/>
    <s v="India"/>
  </r>
  <r>
    <x v="6"/>
    <x v="2"/>
    <x v="225"/>
    <x v="1"/>
    <x v="30"/>
    <x v="5"/>
    <n v="0.03"/>
    <n v="0"/>
    <n v="0"/>
    <n v="2.33"/>
    <n v="0"/>
    <n v="0"/>
    <n v="-0.03"/>
    <n v="-2.33"/>
    <n v="0"/>
    <s v="India"/>
  </r>
  <r>
    <x v="6"/>
    <x v="2"/>
    <x v="225"/>
    <x v="1"/>
    <x v="10"/>
    <x v="3"/>
    <n v="0"/>
    <n v="0.01"/>
    <n v="0"/>
    <n v="0"/>
    <n v="5.28"/>
    <n v="0"/>
    <n v="0.01"/>
    <n v="5.28"/>
    <n v="-0.01"/>
    <s v="India"/>
  </r>
  <r>
    <x v="6"/>
    <x v="2"/>
    <x v="225"/>
    <x v="1"/>
    <x v="16"/>
    <x v="0"/>
    <n v="0.01"/>
    <n v="0"/>
    <n v="0"/>
    <n v="10.97"/>
    <n v="2.06"/>
    <n v="0"/>
    <n v="-0.01"/>
    <n v="-8.91"/>
    <n v="0"/>
    <s v="India"/>
  </r>
  <r>
    <x v="6"/>
    <x v="2"/>
    <x v="225"/>
    <x v="1"/>
    <x v="4"/>
    <x v="3"/>
    <n v="0"/>
    <n v="0"/>
    <n v="0"/>
    <n v="0"/>
    <n v="0.38"/>
    <n v="0"/>
    <n v="0"/>
    <n v="0.38"/>
    <n v="0"/>
    <s v="India"/>
  </r>
  <r>
    <x v="6"/>
    <x v="2"/>
    <x v="225"/>
    <x v="1"/>
    <x v="2"/>
    <x v="0"/>
    <n v="0.22"/>
    <n v="0.09"/>
    <n v="0"/>
    <n v="255.47"/>
    <n v="123"/>
    <n v="0"/>
    <n v="-0.13"/>
    <n v="-132.47"/>
    <n v="-0.09"/>
    <s v="India"/>
  </r>
  <r>
    <x v="6"/>
    <x v="2"/>
    <x v="225"/>
    <x v="1"/>
    <x v="38"/>
    <x v="5"/>
    <n v="0"/>
    <n v="0"/>
    <n v="0"/>
    <n v="0"/>
    <n v="0.2"/>
    <n v="0"/>
    <n v="0"/>
    <n v="0.2"/>
    <n v="0"/>
    <s v="India"/>
  </r>
  <r>
    <x v="6"/>
    <x v="2"/>
    <x v="225"/>
    <x v="1"/>
    <x v="3"/>
    <x v="2"/>
    <n v="0.03"/>
    <n v="0"/>
    <n v="0"/>
    <n v="20"/>
    <n v="0.93"/>
    <n v="0"/>
    <n v="-0.03"/>
    <n v="-19.07"/>
    <n v="0"/>
    <s v="India"/>
  </r>
  <r>
    <x v="6"/>
    <x v="2"/>
    <x v="148"/>
    <x v="1"/>
    <x v="14"/>
    <x v="3"/>
    <n v="0.24"/>
    <n v="0"/>
    <n v="0"/>
    <n v="6.2"/>
    <n v="0"/>
    <n v="0"/>
    <n v="-0.24"/>
    <n v="-6.2"/>
    <n v="0"/>
    <s v="India"/>
  </r>
  <r>
    <x v="11"/>
    <x v="2"/>
    <x v="94"/>
    <x v="3"/>
    <x v="7"/>
    <x v="5"/>
    <n v="0"/>
    <n v="0"/>
    <n v="0"/>
    <n v="0.03"/>
    <n v="0.03"/>
    <n v="0"/>
    <n v="0"/>
    <n v="0"/>
    <n v="0"/>
    <s v="India"/>
  </r>
  <r>
    <x v="6"/>
    <x v="2"/>
    <x v="148"/>
    <x v="1"/>
    <x v="30"/>
    <x v="5"/>
    <n v="0.03"/>
    <n v="0"/>
    <n v="0"/>
    <n v="31.46"/>
    <n v="0"/>
    <n v="0"/>
    <n v="-0.03"/>
    <n v="-31.46"/>
    <n v="0"/>
    <s v="India"/>
  </r>
  <r>
    <x v="6"/>
    <x v="2"/>
    <x v="148"/>
    <x v="1"/>
    <x v="19"/>
    <x v="4"/>
    <n v="0"/>
    <n v="0"/>
    <n v="0"/>
    <n v="0.99"/>
    <n v="0"/>
    <n v="0"/>
    <n v="0"/>
    <n v="-0.99"/>
    <n v="0"/>
    <s v="India"/>
  </r>
  <r>
    <x v="11"/>
    <x v="2"/>
    <x v="94"/>
    <x v="3"/>
    <x v="17"/>
    <x v="5"/>
    <n v="0"/>
    <n v="0"/>
    <n v="0"/>
    <n v="7.0000000000000007E-2"/>
    <n v="0"/>
    <n v="0"/>
    <n v="0"/>
    <n v="-7.0000000000000007E-2"/>
    <n v="0"/>
    <s v="India"/>
  </r>
  <r>
    <x v="6"/>
    <x v="2"/>
    <x v="148"/>
    <x v="1"/>
    <x v="6"/>
    <x v="4"/>
    <n v="0.06"/>
    <n v="0.05"/>
    <n v="0"/>
    <n v="55.78"/>
    <n v="37.53"/>
    <n v="0"/>
    <n v="-9.999999999999995E-3"/>
    <n v="-18.25"/>
    <n v="-0.05"/>
    <s v="Indi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7E8F3-2FA7-4A29-8E82-AB4BBFF2984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260" firstHeaderRow="0" firstDataRow="1" firstDataCol="1"/>
  <pivotFields count="16">
    <pivotField axis="axisRow" showAll="0">
      <items count="26">
        <item x="3"/>
        <item x="17"/>
        <item x="14"/>
        <item x="15"/>
        <item x="13"/>
        <item x="18"/>
        <item x="0"/>
        <item x="5"/>
        <item x="20"/>
        <item x="12"/>
        <item x="11"/>
        <item x="8"/>
        <item x="1"/>
        <item x="24"/>
        <item x="16"/>
        <item x="23"/>
        <item x="9"/>
        <item x="7"/>
        <item x="21"/>
        <item x="6"/>
        <item x="10"/>
        <item x="22"/>
        <item x="2"/>
        <item x="19"/>
        <item x="4"/>
        <item t="default"/>
      </items>
    </pivotField>
    <pivotField axis="axisRow" showAll="0">
      <items count="7">
        <item x="4"/>
        <item x="3"/>
        <item x="1"/>
        <item x="5"/>
        <item x="2"/>
        <item x="0"/>
        <item t="default"/>
      </items>
    </pivotField>
    <pivotField axis="axisRow" showAll="0">
      <items count="227">
        <item x="139"/>
        <item x="85"/>
        <item x="132"/>
        <item x="165"/>
        <item x="221"/>
        <item x="121"/>
        <item x="23"/>
        <item x="187"/>
        <item x="67"/>
        <item x="115"/>
        <item x="172"/>
        <item x="56"/>
        <item x="101"/>
        <item x="149"/>
        <item x="124"/>
        <item x="38"/>
        <item x="77"/>
        <item x="106"/>
        <item x="96"/>
        <item x="209"/>
        <item x="178"/>
        <item x="93"/>
        <item x="153"/>
        <item x="2"/>
        <item x="211"/>
        <item x="220"/>
        <item x="143"/>
        <item x="150"/>
        <item x="95"/>
        <item x="91"/>
        <item x="130"/>
        <item x="12"/>
        <item x="64"/>
        <item x="29"/>
        <item x="108"/>
        <item x="207"/>
        <item x="48"/>
        <item x="33"/>
        <item x="62"/>
        <item x="191"/>
        <item x="49"/>
        <item x="197"/>
        <item x="137"/>
        <item x="223"/>
        <item x="164"/>
        <item x="116"/>
        <item x="80"/>
        <item x="205"/>
        <item x="112"/>
        <item x="176"/>
        <item x="87"/>
        <item x="51"/>
        <item x="45"/>
        <item x="26"/>
        <item x="69"/>
        <item x="224"/>
        <item x="192"/>
        <item x="81"/>
        <item x="126"/>
        <item x="133"/>
        <item x="30"/>
        <item x="40"/>
        <item x="193"/>
        <item x="201"/>
        <item x="52"/>
        <item x="219"/>
        <item x="128"/>
        <item x="78"/>
        <item x="6"/>
        <item x="225"/>
        <item x="27"/>
        <item x="103"/>
        <item x="214"/>
        <item x="90"/>
        <item x="129"/>
        <item x="89"/>
        <item x="16"/>
        <item x="98"/>
        <item x="199"/>
        <item x="122"/>
        <item x="15"/>
        <item x="148"/>
        <item x="28"/>
        <item x="140"/>
        <item x="216"/>
        <item x="31"/>
        <item x="25"/>
        <item x="13"/>
        <item x="100"/>
        <item x="86"/>
        <item x="99"/>
        <item x="151"/>
        <item x="180"/>
        <item x="70"/>
        <item x="61"/>
        <item x="41"/>
        <item x="82"/>
        <item x="142"/>
        <item x="19"/>
        <item x="170"/>
        <item x="57"/>
        <item x="18"/>
        <item x="66"/>
        <item x="14"/>
        <item x="68"/>
        <item x="10"/>
        <item x="8"/>
        <item x="34"/>
        <item x="88"/>
        <item x="119"/>
        <item x="168"/>
        <item x="20"/>
        <item x="46"/>
        <item x="217"/>
        <item x="36"/>
        <item x="54"/>
        <item x="50"/>
        <item x="9"/>
        <item x="114"/>
        <item x="131"/>
        <item x="111"/>
        <item x="11"/>
        <item x="75"/>
        <item x="215"/>
        <item x="35"/>
        <item x="58"/>
        <item x="42"/>
        <item x="22"/>
        <item x="181"/>
        <item x="83"/>
        <item x="105"/>
        <item x="196"/>
        <item x="118"/>
        <item x="182"/>
        <item x="183"/>
        <item x="179"/>
        <item x="63"/>
        <item x="155"/>
        <item x="84"/>
        <item x="53"/>
        <item x="202"/>
        <item x="3"/>
        <item x="4"/>
        <item x="136"/>
        <item x="163"/>
        <item x="55"/>
        <item x="134"/>
        <item x="188"/>
        <item x="171"/>
        <item x="113"/>
        <item x="7"/>
        <item x="76"/>
        <item x="92"/>
        <item x="21"/>
        <item x="60"/>
        <item x="200"/>
        <item x="109"/>
        <item x="146"/>
        <item x="204"/>
        <item x="160"/>
        <item x="138"/>
        <item x="166"/>
        <item x="154"/>
        <item x="189"/>
        <item x="169"/>
        <item x="135"/>
        <item x="104"/>
        <item x="159"/>
        <item x="213"/>
        <item x="212"/>
        <item x="174"/>
        <item x="152"/>
        <item x="145"/>
        <item x="123"/>
        <item x="158"/>
        <item x="24"/>
        <item x="210"/>
        <item x="0"/>
        <item x="162"/>
        <item x="59"/>
        <item x="175"/>
        <item x="157"/>
        <item x="71"/>
        <item x="185"/>
        <item x="37"/>
        <item x="1"/>
        <item x="173"/>
        <item x="74"/>
        <item x="190"/>
        <item x="110"/>
        <item x="120"/>
        <item x="117"/>
        <item x="73"/>
        <item x="195"/>
        <item x="17"/>
        <item x="156"/>
        <item x="44"/>
        <item x="97"/>
        <item x="141"/>
        <item x="184"/>
        <item x="206"/>
        <item x="177"/>
        <item x="65"/>
        <item x="39"/>
        <item x="218"/>
        <item x="186"/>
        <item x="208"/>
        <item x="79"/>
        <item x="194"/>
        <item x="144"/>
        <item x="72"/>
        <item x="47"/>
        <item x="147"/>
        <item x="43"/>
        <item x="107"/>
        <item x="102"/>
        <item x="161"/>
        <item x="203"/>
        <item x="125"/>
        <item x="198"/>
        <item x="94"/>
        <item x="32"/>
        <item x="167"/>
        <item x="5"/>
        <item x="127"/>
        <item x="222"/>
        <item t="default"/>
      </items>
    </pivotField>
    <pivotField showAll="0"/>
    <pivotField showAll="0">
      <items count="45">
        <item x="39"/>
        <item x="14"/>
        <item x="31"/>
        <item x="0"/>
        <item x="1"/>
        <item x="27"/>
        <item x="22"/>
        <item x="40"/>
        <item x="36"/>
        <item x="34"/>
        <item x="8"/>
        <item x="13"/>
        <item x="20"/>
        <item x="18"/>
        <item x="25"/>
        <item x="30"/>
        <item x="21"/>
        <item x="19"/>
        <item x="12"/>
        <item x="17"/>
        <item x="9"/>
        <item x="7"/>
        <item x="10"/>
        <item x="15"/>
        <item x="37"/>
        <item x="16"/>
        <item x="35"/>
        <item x="4"/>
        <item x="29"/>
        <item x="2"/>
        <item x="32"/>
        <item x="6"/>
        <item x="24"/>
        <item x="43"/>
        <item x="28"/>
        <item x="38"/>
        <item x="33"/>
        <item x="11"/>
        <item x="42"/>
        <item x="5"/>
        <item x="3"/>
        <item x="23"/>
        <item x="41"/>
        <item x="26"/>
        <item t="default"/>
      </items>
    </pivotField>
    <pivotField showAll="0">
      <items count="9">
        <item x="0"/>
        <item x="7"/>
        <item x="4"/>
        <item x="1"/>
        <item x="6"/>
        <item x="5"/>
        <item x="3"/>
        <item x="2"/>
        <item t="default"/>
      </items>
    </pivotField>
    <pivotField dataField="1" numFmtId="4" showAll="0"/>
    <pivotField dataField="1"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</pivotFields>
  <rowFields count="3">
    <field x="1"/>
    <field x="0"/>
    <field x="2"/>
  </rowFields>
  <rowItems count="258">
    <i>
      <x/>
    </i>
    <i r="1">
      <x v="3"/>
    </i>
    <i r="2">
      <x v="112"/>
    </i>
    <i r="1">
      <x v="11"/>
    </i>
    <i r="2">
      <x v="75"/>
    </i>
    <i r="2">
      <x v="90"/>
    </i>
    <i r="2">
      <x v="95"/>
    </i>
    <i r="2">
      <x v="98"/>
    </i>
    <i r="2">
      <x v="108"/>
    </i>
    <i r="2">
      <x v="111"/>
    </i>
    <i r="2">
      <x v="132"/>
    </i>
    <i r="2">
      <x v="209"/>
    </i>
    <i>
      <x v="1"/>
    </i>
    <i r="1">
      <x v="2"/>
    </i>
    <i r="2">
      <x v="14"/>
    </i>
    <i r="2">
      <x v="17"/>
    </i>
    <i r="2">
      <x v="44"/>
    </i>
    <i r="2">
      <x v="63"/>
    </i>
    <i r="2">
      <x v="139"/>
    </i>
    <i r="2">
      <x v="155"/>
    </i>
    <i r="2">
      <x v="186"/>
    </i>
    <i r="2">
      <x v="189"/>
    </i>
    <i r="2">
      <x v="195"/>
    </i>
    <i r="2">
      <x v="203"/>
    </i>
    <i r="1">
      <x v="14"/>
    </i>
    <i r="2">
      <x v="16"/>
    </i>
    <i r="2">
      <x v="19"/>
    </i>
    <i r="2">
      <x v="38"/>
    </i>
    <i r="2">
      <x v="190"/>
    </i>
    <i r="1">
      <x v="24"/>
    </i>
    <i r="2">
      <x v="18"/>
    </i>
    <i r="2">
      <x v="28"/>
    </i>
    <i r="2">
      <x v="42"/>
    </i>
    <i r="2">
      <x v="46"/>
    </i>
    <i r="2">
      <x v="52"/>
    </i>
    <i r="2">
      <x v="78"/>
    </i>
    <i r="2">
      <x v="136"/>
    </i>
    <i r="2">
      <x v="140"/>
    </i>
    <i r="2">
      <x v="149"/>
    </i>
    <i r="2">
      <x v="150"/>
    </i>
    <i r="2">
      <x v="151"/>
    </i>
    <i r="2">
      <x v="158"/>
    </i>
    <i r="2">
      <x v="159"/>
    </i>
    <i r="2">
      <x v="161"/>
    </i>
    <i r="2">
      <x v="165"/>
    </i>
    <i r="2">
      <x v="182"/>
    </i>
    <i r="2">
      <x v="192"/>
    </i>
    <i r="2">
      <x v="200"/>
    </i>
    <i r="2">
      <x v="202"/>
    </i>
    <i r="2">
      <x v="213"/>
    </i>
    <i r="2">
      <x v="218"/>
    </i>
    <i>
      <x v="2"/>
    </i>
    <i r="1">
      <x v="4"/>
    </i>
    <i r="2">
      <x v="36"/>
    </i>
    <i r="2">
      <x v="37"/>
    </i>
    <i r="2">
      <x v="66"/>
    </i>
    <i r="1">
      <x v="7"/>
    </i>
    <i r="2">
      <x v="61"/>
    </i>
    <i r="2">
      <x v="62"/>
    </i>
    <i r="2">
      <x v="79"/>
    </i>
    <i r="2">
      <x v="80"/>
    </i>
    <i r="2">
      <x v="105"/>
    </i>
    <i r="2">
      <x v="107"/>
    </i>
    <i r="2">
      <x v="109"/>
    </i>
    <i r="2">
      <x v="117"/>
    </i>
    <i r="2">
      <x v="121"/>
    </i>
    <i r="2">
      <x v="152"/>
    </i>
    <i r="1">
      <x v="8"/>
    </i>
    <i r="2">
      <x v="59"/>
    </i>
    <i r="1">
      <x v="16"/>
    </i>
    <i r="2">
      <x/>
    </i>
    <i r="2">
      <x v="6"/>
    </i>
    <i r="2">
      <x v="24"/>
    </i>
    <i r="2">
      <x v="26"/>
    </i>
    <i r="2">
      <x v="53"/>
    </i>
    <i r="2">
      <x v="70"/>
    </i>
    <i r="2">
      <x v="72"/>
    </i>
    <i r="2">
      <x v="74"/>
    </i>
    <i r="2">
      <x v="94"/>
    </i>
    <i r="2">
      <x v="116"/>
    </i>
    <i r="2">
      <x v="196"/>
    </i>
    <i r="1">
      <x v="17"/>
    </i>
    <i r="2">
      <x v="73"/>
    </i>
    <i r="2">
      <x v="76"/>
    </i>
    <i r="2">
      <x v="84"/>
    </i>
    <i r="2">
      <x v="86"/>
    </i>
    <i r="2">
      <x v="88"/>
    </i>
    <i r="2">
      <x v="89"/>
    </i>
    <i r="2">
      <x v="91"/>
    </i>
    <i r="2">
      <x v="113"/>
    </i>
    <i r="2">
      <x v="125"/>
    </i>
    <i r="2">
      <x v="137"/>
    </i>
    <i r="2">
      <x v="171"/>
    </i>
    <i r="2">
      <x v="204"/>
    </i>
    <i r="1">
      <x v="22"/>
    </i>
    <i r="2">
      <x v="12"/>
    </i>
    <i r="2">
      <x v="13"/>
    </i>
    <i r="2">
      <x v="23"/>
    </i>
    <i r="2">
      <x v="39"/>
    </i>
    <i r="2">
      <x v="48"/>
    </i>
    <i r="2">
      <x v="56"/>
    </i>
    <i r="2">
      <x v="67"/>
    </i>
    <i r="2">
      <x v="68"/>
    </i>
    <i r="2">
      <x v="71"/>
    </i>
    <i r="2">
      <x v="87"/>
    </i>
    <i r="2">
      <x v="93"/>
    </i>
    <i r="2">
      <x v="100"/>
    </i>
    <i r="2">
      <x v="103"/>
    </i>
    <i r="2">
      <x v="104"/>
    </i>
    <i r="2">
      <x v="106"/>
    </i>
    <i r="2">
      <x v="154"/>
    </i>
    <i r="2">
      <x v="156"/>
    </i>
    <i r="2">
      <x v="166"/>
    </i>
    <i r="2">
      <x v="179"/>
    </i>
    <i r="2">
      <x v="212"/>
    </i>
    <i r="2">
      <x v="214"/>
    </i>
    <i r="2">
      <x v="219"/>
    </i>
    <i r="1">
      <x v="23"/>
    </i>
    <i r="2">
      <x v="118"/>
    </i>
    <i r="2">
      <x v="120"/>
    </i>
    <i r="2">
      <x v="157"/>
    </i>
    <i>
      <x v="3"/>
    </i>
    <i r="1">
      <x v="1"/>
    </i>
    <i r="2">
      <x v="34"/>
    </i>
    <i r="2">
      <x v="47"/>
    </i>
    <i r="2">
      <x v="49"/>
    </i>
    <i r="2">
      <x v="50"/>
    </i>
    <i r="2">
      <x v="144"/>
    </i>
    <i r="2">
      <x v="160"/>
    </i>
    <i r="2">
      <x v="164"/>
    </i>
    <i r="2">
      <x v="217"/>
    </i>
    <i r="1">
      <x v="13"/>
    </i>
    <i r="2">
      <x v="35"/>
    </i>
    <i r="2">
      <x v="170"/>
    </i>
    <i r="1">
      <x v="18"/>
    </i>
    <i r="2">
      <x v="27"/>
    </i>
    <i r="2">
      <x v="162"/>
    </i>
    <i r="1">
      <x v="21"/>
    </i>
    <i r="2">
      <x v="7"/>
    </i>
    <i r="2">
      <x v="147"/>
    </i>
    <i r="2">
      <x v="163"/>
    </i>
    <i r="2">
      <x v="188"/>
    </i>
    <i r="2">
      <x v="216"/>
    </i>
    <i>
      <x v="4"/>
    </i>
    <i r="1">
      <x/>
    </i>
    <i r="2">
      <x v="10"/>
    </i>
    <i r="2">
      <x v="45"/>
    </i>
    <i r="2">
      <x v="99"/>
    </i>
    <i r="2">
      <x v="141"/>
    </i>
    <i r="2">
      <x v="153"/>
    </i>
    <i r="2">
      <x v="201"/>
    </i>
    <i r="2">
      <x v="223"/>
    </i>
    <i r="2">
      <x v="224"/>
    </i>
    <i r="1">
      <x v="9"/>
    </i>
    <i r="2">
      <x v="15"/>
    </i>
    <i r="2">
      <x v="20"/>
    </i>
    <i r="2">
      <x v="60"/>
    </i>
    <i r="2">
      <x v="97"/>
    </i>
    <i r="2">
      <x v="119"/>
    </i>
    <i r="2">
      <x v="148"/>
    </i>
    <i r="2">
      <x v="172"/>
    </i>
    <i r="2">
      <x v="173"/>
    </i>
    <i r="2">
      <x v="184"/>
    </i>
    <i r="2">
      <x v="199"/>
    </i>
    <i r="1">
      <x v="10"/>
    </i>
    <i r="2">
      <x v="1"/>
    </i>
    <i r="2">
      <x v="32"/>
    </i>
    <i r="2">
      <x v="33"/>
    </i>
    <i r="2">
      <x v="92"/>
    </i>
    <i r="2">
      <x v="143"/>
    </i>
    <i r="2">
      <x v="146"/>
    </i>
    <i r="2">
      <x v="207"/>
    </i>
    <i r="2">
      <x v="220"/>
    </i>
    <i r="2">
      <x v="222"/>
    </i>
    <i r="2">
      <x v="225"/>
    </i>
    <i r="1">
      <x v="15"/>
    </i>
    <i r="2">
      <x v="110"/>
    </i>
    <i r="1">
      <x v="19"/>
    </i>
    <i r="2">
      <x v="2"/>
    </i>
    <i r="2">
      <x v="9"/>
    </i>
    <i r="2">
      <x v="25"/>
    </i>
    <i r="2">
      <x v="29"/>
    </i>
    <i r="2">
      <x v="30"/>
    </i>
    <i r="2">
      <x v="31"/>
    </i>
    <i r="2">
      <x v="40"/>
    </i>
    <i r="2">
      <x v="43"/>
    </i>
    <i r="2">
      <x v="55"/>
    </i>
    <i r="2">
      <x v="58"/>
    </i>
    <i r="2">
      <x v="69"/>
    </i>
    <i r="2">
      <x v="81"/>
    </i>
    <i r="2">
      <x v="83"/>
    </i>
    <i r="2">
      <x v="127"/>
    </i>
    <i r="2">
      <x v="128"/>
    </i>
    <i r="2">
      <x v="130"/>
    </i>
    <i r="2">
      <x v="133"/>
    </i>
    <i r="2">
      <x v="134"/>
    </i>
    <i r="2">
      <x v="145"/>
    </i>
    <i r="2">
      <x v="167"/>
    </i>
    <i r="2">
      <x v="183"/>
    </i>
    <i r="2">
      <x v="191"/>
    </i>
    <i r="2">
      <x v="205"/>
    </i>
    <i r="2">
      <x v="215"/>
    </i>
    <i r="2">
      <x v="221"/>
    </i>
    <i r="1">
      <x v="20"/>
    </i>
    <i r="2">
      <x v="54"/>
    </i>
    <i r="2">
      <x v="82"/>
    </i>
    <i r="2">
      <x v="126"/>
    </i>
    <i>
      <x v="5"/>
    </i>
    <i r="1">
      <x v="5"/>
    </i>
    <i r="2">
      <x v="3"/>
    </i>
    <i r="2">
      <x v="5"/>
    </i>
    <i r="2">
      <x v="21"/>
    </i>
    <i r="1">
      <x v="6"/>
    </i>
    <i r="2">
      <x v="8"/>
    </i>
    <i r="2">
      <x v="41"/>
    </i>
    <i r="2">
      <x v="51"/>
    </i>
    <i r="2">
      <x v="57"/>
    </i>
    <i r="2">
      <x v="114"/>
    </i>
    <i r="2">
      <x v="115"/>
    </i>
    <i r="2">
      <x v="124"/>
    </i>
    <i r="2">
      <x v="129"/>
    </i>
    <i r="2">
      <x v="131"/>
    </i>
    <i r="2">
      <x v="142"/>
    </i>
    <i r="2">
      <x v="174"/>
    </i>
    <i r="2">
      <x v="177"/>
    </i>
    <i r="2">
      <x v="181"/>
    </i>
    <i r="2">
      <x v="187"/>
    </i>
    <i r="2">
      <x v="193"/>
    </i>
    <i r="2">
      <x v="194"/>
    </i>
    <i r="2">
      <x v="197"/>
    </i>
    <i r="2">
      <x v="208"/>
    </i>
    <i r="2">
      <x v="210"/>
    </i>
    <i r="2">
      <x v="211"/>
    </i>
    <i r="1">
      <x v="12"/>
    </i>
    <i r="2">
      <x v="4"/>
    </i>
    <i r="2">
      <x v="11"/>
    </i>
    <i r="2">
      <x v="22"/>
    </i>
    <i r="2">
      <x v="64"/>
    </i>
    <i r="2">
      <x v="65"/>
    </i>
    <i r="2">
      <x v="77"/>
    </i>
    <i r="2">
      <x v="85"/>
    </i>
    <i r="2">
      <x v="96"/>
    </i>
    <i r="2">
      <x v="101"/>
    </i>
    <i r="2">
      <x v="102"/>
    </i>
    <i r="2">
      <x v="122"/>
    </i>
    <i r="2">
      <x v="123"/>
    </i>
    <i r="2">
      <x v="135"/>
    </i>
    <i r="2">
      <x v="138"/>
    </i>
    <i r="2">
      <x v="168"/>
    </i>
    <i r="2">
      <x v="169"/>
    </i>
    <i r="2">
      <x v="175"/>
    </i>
    <i r="2">
      <x v="176"/>
    </i>
    <i r="2">
      <x v="178"/>
    </i>
    <i r="2">
      <x v="180"/>
    </i>
    <i r="2">
      <x v="185"/>
    </i>
    <i r="2">
      <x v="198"/>
    </i>
    <i r="2">
      <x v="20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2023-24 Value (USD Mn)" fld="6" baseField="0" baseItem="0" numFmtId="4"/>
    <dataField name="Sum of 2025-26 Value (USD Mn)" fld="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8B276-9614-4CB3-A980-2D0C9D64931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3:G49" firstHeaderRow="0" firstDataRow="1" firstDataCol="1"/>
  <pivotFields count="16">
    <pivotField axis="axisRow" showAll="0">
      <items count="26">
        <item x="3"/>
        <item x="17"/>
        <item x="14"/>
        <item x="15"/>
        <item x="13"/>
        <item x="18"/>
        <item x="0"/>
        <item x="5"/>
        <item x="20"/>
        <item x="12"/>
        <item x="11"/>
        <item x="8"/>
        <item x="1"/>
        <item x="24"/>
        <item x="16"/>
        <item x="23"/>
        <item x="9"/>
        <item x="7"/>
        <item x="21"/>
        <item x="6"/>
        <item x="10"/>
        <item x="22"/>
        <item x="2"/>
        <item x="19"/>
        <item x="4"/>
        <item t="default"/>
      </items>
    </pivotField>
    <pivotField showAll="0"/>
    <pivotField showAll="0"/>
    <pivotField showAll="0"/>
    <pivotField showAll="0"/>
    <pivotField showAll="0"/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2025-26 Value (USD Mn)" fld="7" baseField="0" baseItem="0" numFmtId="3"/>
    <dataField name="Share%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DD8D1-8D77-4271-956F-E49D17FE231F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4:J25" firstHeaderRow="1" firstDataRow="1" firstDataCol="1"/>
  <pivotFields count="16">
    <pivotField showAll="0">
      <items count="26">
        <item x="3"/>
        <item x="17"/>
        <item x="14"/>
        <item x="15"/>
        <item x="13"/>
        <item x="18"/>
        <item x="0"/>
        <item x="5"/>
        <item x="20"/>
        <item x="12"/>
        <item x="11"/>
        <item x="8"/>
        <item x="1"/>
        <item x="24"/>
        <item x="16"/>
        <item x="23"/>
        <item x="9"/>
        <item x="7"/>
        <item x="21"/>
        <item x="6"/>
        <item x="10"/>
        <item x="22"/>
        <item x="2"/>
        <item x="19"/>
        <item x="4"/>
        <item t="default"/>
      </items>
    </pivotField>
    <pivotField showAll="0">
      <items count="7">
        <item x="4"/>
        <item x="3"/>
        <item x="1"/>
        <item x="5"/>
        <item x="2"/>
        <item x="0"/>
        <item t="default"/>
      </items>
    </pivotField>
    <pivotField axis="axisRow" showAll="0" measureFilter="1">
      <items count="227">
        <item x="139"/>
        <item x="85"/>
        <item x="132"/>
        <item x="165"/>
        <item x="221"/>
        <item x="121"/>
        <item x="23"/>
        <item x="187"/>
        <item x="67"/>
        <item x="115"/>
        <item x="172"/>
        <item x="56"/>
        <item x="101"/>
        <item x="149"/>
        <item x="124"/>
        <item x="38"/>
        <item x="77"/>
        <item x="106"/>
        <item x="96"/>
        <item x="209"/>
        <item x="178"/>
        <item x="93"/>
        <item x="153"/>
        <item x="2"/>
        <item x="211"/>
        <item x="220"/>
        <item x="143"/>
        <item x="150"/>
        <item x="95"/>
        <item x="91"/>
        <item x="130"/>
        <item x="12"/>
        <item x="64"/>
        <item x="29"/>
        <item x="108"/>
        <item x="207"/>
        <item x="48"/>
        <item x="33"/>
        <item x="62"/>
        <item x="191"/>
        <item x="49"/>
        <item x="197"/>
        <item x="137"/>
        <item x="223"/>
        <item x="164"/>
        <item x="116"/>
        <item x="80"/>
        <item x="205"/>
        <item x="112"/>
        <item x="176"/>
        <item x="87"/>
        <item x="51"/>
        <item x="45"/>
        <item x="26"/>
        <item x="69"/>
        <item x="224"/>
        <item x="192"/>
        <item x="81"/>
        <item x="126"/>
        <item x="133"/>
        <item x="30"/>
        <item x="40"/>
        <item x="193"/>
        <item x="201"/>
        <item x="52"/>
        <item x="219"/>
        <item x="128"/>
        <item x="78"/>
        <item x="6"/>
        <item x="225"/>
        <item x="27"/>
        <item x="103"/>
        <item x="214"/>
        <item x="90"/>
        <item x="129"/>
        <item x="89"/>
        <item x="16"/>
        <item x="98"/>
        <item x="199"/>
        <item x="122"/>
        <item x="15"/>
        <item x="148"/>
        <item x="28"/>
        <item x="140"/>
        <item x="216"/>
        <item x="31"/>
        <item x="25"/>
        <item x="13"/>
        <item x="100"/>
        <item x="86"/>
        <item x="99"/>
        <item x="151"/>
        <item x="180"/>
        <item x="70"/>
        <item x="61"/>
        <item x="41"/>
        <item x="82"/>
        <item x="142"/>
        <item x="19"/>
        <item x="170"/>
        <item x="57"/>
        <item x="18"/>
        <item x="66"/>
        <item x="14"/>
        <item x="68"/>
        <item x="10"/>
        <item x="8"/>
        <item x="34"/>
        <item x="88"/>
        <item x="119"/>
        <item x="168"/>
        <item x="20"/>
        <item x="46"/>
        <item x="217"/>
        <item x="36"/>
        <item x="54"/>
        <item x="50"/>
        <item x="9"/>
        <item x="114"/>
        <item x="131"/>
        <item x="111"/>
        <item x="11"/>
        <item x="75"/>
        <item x="215"/>
        <item x="35"/>
        <item x="58"/>
        <item x="42"/>
        <item x="22"/>
        <item x="181"/>
        <item x="83"/>
        <item x="105"/>
        <item x="196"/>
        <item x="118"/>
        <item x="182"/>
        <item x="183"/>
        <item x="179"/>
        <item x="63"/>
        <item x="155"/>
        <item x="84"/>
        <item x="53"/>
        <item x="202"/>
        <item x="3"/>
        <item x="4"/>
        <item x="136"/>
        <item x="163"/>
        <item x="55"/>
        <item x="134"/>
        <item x="188"/>
        <item x="171"/>
        <item x="113"/>
        <item x="7"/>
        <item x="76"/>
        <item x="92"/>
        <item x="21"/>
        <item x="60"/>
        <item x="200"/>
        <item x="109"/>
        <item x="146"/>
        <item x="204"/>
        <item x="160"/>
        <item x="138"/>
        <item x="166"/>
        <item x="154"/>
        <item x="189"/>
        <item x="169"/>
        <item x="135"/>
        <item x="104"/>
        <item x="159"/>
        <item x="213"/>
        <item x="212"/>
        <item x="174"/>
        <item x="152"/>
        <item x="145"/>
        <item x="123"/>
        <item x="158"/>
        <item x="24"/>
        <item x="210"/>
        <item x="0"/>
        <item x="162"/>
        <item x="59"/>
        <item x="175"/>
        <item x="157"/>
        <item x="71"/>
        <item x="185"/>
        <item x="37"/>
        <item x="1"/>
        <item x="173"/>
        <item x="74"/>
        <item x="190"/>
        <item x="110"/>
        <item x="120"/>
        <item x="117"/>
        <item x="73"/>
        <item x="195"/>
        <item x="17"/>
        <item x="156"/>
        <item x="44"/>
        <item x="97"/>
        <item x="141"/>
        <item x="184"/>
        <item x="206"/>
        <item x="177"/>
        <item x="65"/>
        <item x="39"/>
        <item x="218"/>
        <item x="186"/>
        <item x="208"/>
        <item x="79"/>
        <item x="194"/>
        <item x="144"/>
        <item x="72"/>
        <item x="47"/>
        <item x="147"/>
        <item x="43"/>
        <item x="107"/>
        <item x="102"/>
        <item x="161"/>
        <item x="203"/>
        <item x="125"/>
        <item x="198"/>
        <item x="94"/>
        <item x="32"/>
        <item x="167"/>
        <item x="5"/>
        <item x="127"/>
        <item x="222"/>
        <item t="default"/>
      </items>
    </pivotField>
    <pivotField showAll="0">
      <items count="6">
        <item x="3"/>
        <item x="1"/>
        <item x="2"/>
        <item x="0"/>
        <item x="4"/>
        <item t="default"/>
      </items>
    </pivotField>
    <pivotField showAll="0">
      <items count="45">
        <item x="39"/>
        <item x="14"/>
        <item x="31"/>
        <item x="0"/>
        <item x="1"/>
        <item x="27"/>
        <item x="22"/>
        <item x="40"/>
        <item x="36"/>
        <item x="34"/>
        <item x="8"/>
        <item x="13"/>
        <item x="20"/>
        <item x="18"/>
        <item x="25"/>
        <item x="30"/>
        <item x="21"/>
        <item x="19"/>
        <item x="12"/>
        <item x="17"/>
        <item x="9"/>
        <item x="7"/>
        <item x="10"/>
        <item x="15"/>
        <item x="37"/>
        <item x="16"/>
        <item x="35"/>
        <item x="4"/>
        <item x="29"/>
        <item x="2"/>
        <item x="32"/>
        <item x="6"/>
        <item x="24"/>
        <item x="43"/>
        <item x="28"/>
        <item x="38"/>
        <item x="33"/>
        <item x="11"/>
        <item x="42"/>
        <item x="5"/>
        <item x="3"/>
        <item x="23"/>
        <item x="41"/>
        <item x="26"/>
        <item t="default"/>
      </items>
    </pivotField>
    <pivotField showAll="0">
      <items count="9">
        <item x="0"/>
        <item x="7"/>
        <item x="4"/>
        <item x="1"/>
        <item x="6"/>
        <item x="5"/>
        <item x="3"/>
        <item x="2"/>
        <item t="default"/>
      </items>
    </pivotField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</pivotFields>
  <rowFields count="1">
    <field x="2"/>
  </rowFields>
  <rowItems count="11">
    <i>
      <x v="23"/>
    </i>
    <i>
      <x v="31"/>
    </i>
    <i>
      <x v="68"/>
    </i>
    <i>
      <x v="117"/>
    </i>
    <i>
      <x v="121"/>
    </i>
    <i>
      <x v="141"/>
    </i>
    <i>
      <x v="142"/>
    </i>
    <i>
      <x v="177"/>
    </i>
    <i>
      <x v="185"/>
    </i>
    <i>
      <x v="223"/>
    </i>
    <i t="grand">
      <x/>
    </i>
  </rowItems>
  <colItems count="1">
    <i/>
  </colItems>
  <dataFields count="1">
    <dataField name="Sum of 2025-26 Value (USD Mn)" fld="7" baseField="0" baseItem="0" numFmtId="4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F6724-D526-48E7-B2E2-7CFBC3058658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4:G20" firstHeaderRow="0" firstDataRow="1" firstDataCol="1"/>
  <pivotFields count="16">
    <pivotField showAll="0">
      <items count="26">
        <item x="3"/>
        <item x="17"/>
        <item x="14"/>
        <item x="15"/>
        <item x="13"/>
        <item x="18"/>
        <item x="0"/>
        <item x="5"/>
        <item x="20"/>
        <item x="12"/>
        <item x="11"/>
        <item x="8"/>
        <item x="1"/>
        <item x="24"/>
        <item x="16"/>
        <item x="23"/>
        <item x="9"/>
        <item x="7"/>
        <item x="21"/>
        <item x="6"/>
        <item x="10"/>
        <item x="22"/>
        <item x="2"/>
        <item x="19"/>
        <item x="4"/>
        <item t="default"/>
      </items>
    </pivotField>
    <pivotField showAll="0">
      <items count="7">
        <item x="4"/>
        <item x="3"/>
        <item x="1"/>
        <item x="5"/>
        <item x="2"/>
        <item x="0"/>
        <item t="default"/>
      </items>
    </pivotField>
    <pivotField showAll="0">
      <items count="227">
        <item x="139"/>
        <item x="85"/>
        <item x="132"/>
        <item x="165"/>
        <item x="221"/>
        <item x="121"/>
        <item x="23"/>
        <item x="187"/>
        <item x="67"/>
        <item x="115"/>
        <item x="172"/>
        <item x="56"/>
        <item x="101"/>
        <item x="149"/>
        <item x="124"/>
        <item x="38"/>
        <item x="77"/>
        <item x="106"/>
        <item x="96"/>
        <item x="209"/>
        <item x="178"/>
        <item x="93"/>
        <item x="153"/>
        <item x="2"/>
        <item x="211"/>
        <item x="220"/>
        <item x="143"/>
        <item x="150"/>
        <item x="95"/>
        <item x="91"/>
        <item x="130"/>
        <item x="12"/>
        <item x="64"/>
        <item x="29"/>
        <item x="108"/>
        <item x="207"/>
        <item x="48"/>
        <item x="33"/>
        <item x="62"/>
        <item x="191"/>
        <item x="49"/>
        <item x="197"/>
        <item x="137"/>
        <item x="223"/>
        <item x="164"/>
        <item x="116"/>
        <item x="80"/>
        <item x="205"/>
        <item x="112"/>
        <item x="176"/>
        <item x="87"/>
        <item x="51"/>
        <item x="45"/>
        <item x="26"/>
        <item x="69"/>
        <item x="224"/>
        <item x="192"/>
        <item x="81"/>
        <item x="126"/>
        <item x="133"/>
        <item x="30"/>
        <item x="40"/>
        <item x="193"/>
        <item x="201"/>
        <item x="52"/>
        <item x="219"/>
        <item x="128"/>
        <item x="78"/>
        <item x="6"/>
        <item x="225"/>
        <item x="27"/>
        <item x="103"/>
        <item x="214"/>
        <item x="90"/>
        <item x="129"/>
        <item x="89"/>
        <item x="16"/>
        <item x="98"/>
        <item x="199"/>
        <item x="122"/>
        <item x="15"/>
        <item x="148"/>
        <item x="28"/>
        <item x="140"/>
        <item x="216"/>
        <item x="31"/>
        <item x="25"/>
        <item x="13"/>
        <item x="100"/>
        <item x="86"/>
        <item x="99"/>
        <item x="151"/>
        <item x="180"/>
        <item x="70"/>
        <item x="61"/>
        <item x="41"/>
        <item x="82"/>
        <item x="142"/>
        <item x="19"/>
        <item x="170"/>
        <item x="57"/>
        <item x="18"/>
        <item x="66"/>
        <item x="14"/>
        <item x="68"/>
        <item x="10"/>
        <item x="8"/>
        <item x="34"/>
        <item x="88"/>
        <item x="119"/>
        <item x="168"/>
        <item x="20"/>
        <item x="46"/>
        <item x="217"/>
        <item x="36"/>
        <item x="54"/>
        <item x="50"/>
        <item x="9"/>
        <item x="114"/>
        <item x="131"/>
        <item x="111"/>
        <item x="11"/>
        <item x="75"/>
        <item x="215"/>
        <item x="35"/>
        <item x="58"/>
        <item x="42"/>
        <item x="22"/>
        <item x="181"/>
        <item x="83"/>
        <item x="105"/>
        <item x="196"/>
        <item x="118"/>
        <item x="182"/>
        <item x="183"/>
        <item x="179"/>
        <item x="63"/>
        <item x="155"/>
        <item x="84"/>
        <item x="53"/>
        <item x="202"/>
        <item x="3"/>
        <item x="4"/>
        <item x="136"/>
        <item x="163"/>
        <item x="55"/>
        <item x="134"/>
        <item x="188"/>
        <item x="171"/>
        <item x="113"/>
        <item x="7"/>
        <item x="76"/>
        <item x="92"/>
        <item x="21"/>
        <item x="60"/>
        <item x="200"/>
        <item x="109"/>
        <item x="146"/>
        <item x="204"/>
        <item x="160"/>
        <item x="138"/>
        <item x="166"/>
        <item x="154"/>
        <item x="189"/>
        <item x="169"/>
        <item x="135"/>
        <item x="104"/>
        <item x="159"/>
        <item x="213"/>
        <item x="212"/>
        <item x="174"/>
        <item x="152"/>
        <item x="145"/>
        <item x="123"/>
        <item x="158"/>
        <item x="24"/>
        <item x="210"/>
        <item x="0"/>
        <item x="162"/>
        <item x="59"/>
        <item x="175"/>
        <item x="157"/>
        <item x="71"/>
        <item x="185"/>
        <item x="37"/>
        <item x="1"/>
        <item x="173"/>
        <item x="74"/>
        <item x="190"/>
        <item x="110"/>
        <item x="120"/>
        <item x="117"/>
        <item x="73"/>
        <item x="195"/>
        <item x="17"/>
        <item x="156"/>
        <item x="44"/>
        <item x="97"/>
        <item x="141"/>
        <item x="184"/>
        <item x="206"/>
        <item x="177"/>
        <item x="65"/>
        <item x="39"/>
        <item x="218"/>
        <item x="186"/>
        <item x="208"/>
        <item x="79"/>
        <item x="194"/>
        <item x="144"/>
        <item x="72"/>
        <item x="47"/>
        <item x="147"/>
        <item x="43"/>
        <item x="107"/>
        <item x="102"/>
        <item x="161"/>
        <item x="203"/>
        <item x="125"/>
        <item x="198"/>
        <item x="94"/>
        <item x="32"/>
        <item x="167"/>
        <item x="5"/>
        <item x="127"/>
        <item x="222"/>
        <item t="default"/>
      </items>
    </pivotField>
    <pivotField axis="axisRow" showAll="0">
      <items count="6">
        <item x="3"/>
        <item x="1"/>
        <item x="2"/>
        <item x="0"/>
        <item x="4"/>
        <item t="default"/>
      </items>
    </pivotField>
    <pivotField showAll="0">
      <items count="45">
        <item x="39"/>
        <item x="14"/>
        <item x="31"/>
        <item x="0"/>
        <item x="1"/>
        <item x="27"/>
        <item x="22"/>
        <item x="40"/>
        <item x="36"/>
        <item x="34"/>
        <item x="8"/>
        <item x="13"/>
        <item x="20"/>
        <item x="18"/>
        <item x="25"/>
        <item x="30"/>
        <item x="21"/>
        <item x="19"/>
        <item x="12"/>
        <item x="17"/>
        <item x="9"/>
        <item x="7"/>
        <item x="10"/>
        <item x="15"/>
        <item x="37"/>
        <item x="16"/>
        <item x="35"/>
        <item x="4"/>
        <item x="29"/>
        <item x="2"/>
        <item x="32"/>
        <item x="6"/>
        <item x="24"/>
        <item x="43"/>
        <item x="28"/>
        <item x="38"/>
        <item x="33"/>
        <item x="11"/>
        <item x="42"/>
        <item x="5"/>
        <item x="3"/>
        <item x="23"/>
        <item x="41"/>
        <item x="26"/>
        <item t="default"/>
      </items>
    </pivotField>
    <pivotField showAll="0">
      <items count="9">
        <item x="0"/>
        <item x="7"/>
        <item x="4"/>
        <item x="1"/>
        <item x="6"/>
        <item x="5"/>
        <item x="3"/>
        <item x="2"/>
        <item t="default"/>
      </items>
    </pivotField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2025-26 Value (USD Mn)" fld="7" baseField="0" baseItem="0" numFmtId="4"/>
    <dataField name="%2025-26 Value (USD Mn)2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B8868-EA59-4F56-AC15-BB210568CEA0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55" firstHeaderRow="1" firstDataRow="1" firstDataCol="1"/>
  <pivotFields count="16">
    <pivotField showAll="0">
      <items count="26">
        <item x="3"/>
        <item x="17"/>
        <item x="14"/>
        <item x="15"/>
        <item x="13"/>
        <item x="18"/>
        <item x="0"/>
        <item x="5"/>
        <item x="20"/>
        <item x="12"/>
        <item x="11"/>
        <item x="8"/>
        <item x="1"/>
        <item x="24"/>
        <item x="16"/>
        <item x="23"/>
        <item x="9"/>
        <item x="7"/>
        <item x="21"/>
        <item x="6"/>
        <item x="10"/>
        <item x="22"/>
        <item x="2"/>
        <item x="19"/>
        <item x="4"/>
        <item t="default"/>
      </items>
    </pivotField>
    <pivotField showAll="0"/>
    <pivotField showAll="0"/>
    <pivotField showAll="0"/>
    <pivotField axis="axisRow" showAll="0">
      <items count="45">
        <item x="39"/>
        <item x="14"/>
        <item x="31"/>
        <item x="0"/>
        <item x="1"/>
        <item x="27"/>
        <item x="22"/>
        <item x="40"/>
        <item x="36"/>
        <item x="34"/>
        <item x="8"/>
        <item x="13"/>
        <item x="20"/>
        <item x="18"/>
        <item x="25"/>
        <item x="30"/>
        <item x="21"/>
        <item x="19"/>
        <item x="12"/>
        <item x="17"/>
        <item x="9"/>
        <item x="7"/>
        <item x="10"/>
        <item x="15"/>
        <item x="37"/>
        <item x="16"/>
        <item x="35"/>
        <item x="4"/>
        <item x="29"/>
        <item x="2"/>
        <item x="32"/>
        <item x="6"/>
        <item x="24"/>
        <item x="43"/>
        <item x="28"/>
        <item x="38"/>
        <item x="33"/>
        <item x="11"/>
        <item x="42"/>
        <item x="5"/>
        <item x="3"/>
        <item x="23"/>
        <item x="41"/>
        <item x="26"/>
        <item t="default"/>
      </items>
    </pivotField>
    <pivotField axis="axisRow" showAll="0">
      <items count="9">
        <item x="0"/>
        <item x="7"/>
        <item x="4"/>
        <item x="1"/>
        <item x="6"/>
        <item x="5"/>
        <item x="3"/>
        <item x="2"/>
        <item t="default"/>
      </items>
    </pivotField>
    <pivotField numFmtId="4" showAll="0"/>
    <pivotField dataField="1"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</pivotFields>
  <rowFields count="2">
    <field x="5"/>
    <field x="4"/>
  </rowFields>
  <rowItems count="53">
    <i>
      <x/>
    </i>
    <i r="1">
      <x v="3"/>
    </i>
    <i r="1">
      <x v="23"/>
    </i>
    <i r="1">
      <x v="25"/>
    </i>
    <i r="1">
      <x v="26"/>
    </i>
    <i r="1">
      <x v="29"/>
    </i>
    <i r="1">
      <x v="30"/>
    </i>
    <i r="1">
      <x v="43"/>
    </i>
    <i>
      <x v="1"/>
    </i>
    <i r="1">
      <x/>
    </i>
    <i r="1">
      <x v="5"/>
    </i>
    <i r="1">
      <x v="13"/>
    </i>
    <i r="1">
      <x v="14"/>
    </i>
    <i r="1">
      <x v="28"/>
    </i>
    <i r="1">
      <x v="36"/>
    </i>
    <i>
      <x v="2"/>
    </i>
    <i r="1">
      <x v="16"/>
    </i>
    <i r="1">
      <x v="17"/>
    </i>
    <i r="1">
      <x v="18"/>
    </i>
    <i r="1">
      <x v="31"/>
    </i>
    <i r="1">
      <x v="32"/>
    </i>
    <i>
      <x v="3"/>
    </i>
    <i r="1">
      <x v="2"/>
    </i>
    <i r="1">
      <x v="4"/>
    </i>
    <i r="1">
      <x v="33"/>
    </i>
    <i r="1">
      <x v="38"/>
    </i>
    <i r="1">
      <x v="41"/>
    </i>
    <i>
      <x v="4"/>
    </i>
    <i r="1">
      <x v="6"/>
    </i>
    <i r="1">
      <x v="7"/>
    </i>
    <i r="1">
      <x v="8"/>
    </i>
    <i r="1">
      <x v="9"/>
    </i>
    <i r="1">
      <x v="20"/>
    </i>
    <i r="1">
      <x v="42"/>
    </i>
    <i>
      <x v="5"/>
    </i>
    <i r="1">
      <x v="15"/>
    </i>
    <i r="1">
      <x v="19"/>
    </i>
    <i r="1">
      <x v="21"/>
    </i>
    <i r="1">
      <x v="34"/>
    </i>
    <i r="1">
      <x v="35"/>
    </i>
    <i>
      <x v="6"/>
    </i>
    <i r="1">
      <x v="1"/>
    </i>
    <i r="1">
      <x v="10"/>
    </i>
    <i r="1">
      <x v="11"/>
    </i>
    <i r="1">
      <x v="12"/>
    </i>
    <i r="1">
      <x v="22"/>
    </i>
    <i r="1">
      <x v="24"/>
    </i>
    <i r="1">
      <x v="27"/>
    </i>
    <i r="1">
      <x v="37"/>
    </i>
    <i r="1">
      <x v="39"/>
    </i>
    <i>
      <x v="7"/>
    </i>
    <i r="1">
      <x v="40"/>
    </i>
    <i t="grand">
      <x/>
    </i>
  </rowItems>
  <colItems count="1">
    <i/>
  </colItems>
  <dataFields count="1">
    <dataField name="Sum of 2025-26 Value (USD Mn)" fld="7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8C6E7-4D77-4248-847C-016E96CC8F4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:H11" firstHeaderRow="0" firstDataRow="1" firstDataCol="1"/>
  <pivotFields count="16">
    <pivotField showAll="0">
      <items count="26">
        <item x="3"/>
        <item x="17"/>
        <item x="14"/>
        <item x="15"/>
        <item x="13"/>
        <item x="18"/>
        <item x="0"/>
        <item x="5"/>
        <item x="20"/>
        <item x="12"/>
        <item x="11"/>
        <item x="8"/>
        <item x="1"/>
        <item x="24"/>
        <item x="16"/>
        <item x="23"/>
        <item x="9"/>
        <item x="7"/>
        <item x="21"/>
        <item x="6"/>
        <item x="10"/>
        <item x="22"/>
        <item x="2"/>
        <item x="19"/>
        <item x="4"/>
        <item t="default"/>
      </items>
    </pivotField>
    <pivotField showAll="0"/>
    <pivotField showAll="0"/>
    <pivotField showAll="0"/>
    <pivotField showAll="0"/>
    <pivotField axis="axisRow" showAll="0">
      <items count="9">
        <item x="0"/>
        <item x="7"/>
        <item x="4"/>
        <item x="1"/>
        <item x="6"/>
        <item x="5"/>
        <item x="3"/>
        <item x="2"/>
        <item t="default"/>
      </items>
    </pivotField>
    <pivotField dataField="1" numFmtId="4" showAll="0"/>
    <pivotField dataField="1"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showAll="0"/>
  </pivotFields>
  <rowFields count="1">
    <field x="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2025-26 Value (USD Mn)" fld="7" baseField="0" baseItem="0" numFmtId="3"/>
    <dataField name="Sum of 2023-24 Value (USD Mn)" fld="6" baseField="0" baseItem="0" numFmtId="4"/>
    <dataField name="% 2025-26 Value (USD Mn)2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ortData" displayName="ExportData" ref="A1:P3289" totalsRowShown="0">
  <autoFilter ref="A1:P3289" xr:uid="{00000000-0009-0000-0100-000001000000}"/>
  <tableColumns count="16">
    <tableColumn id="1" xr3:uid="{00000000-0010-0000-0000-000001000000}" name="State"/>
    <tableColumn id="2" xr3:uid="{00000000-0010-0000-0000-000002000000}" name="Region"/>
    <tableColumn id="3" xr3:uid="{00000000-0010-0000-0000-000003000000}" name="Port"/>
    <tableColumn id="4" xr3:uid="{00000000-0010-0000-0000-000004000000}" name="Port Type"/>
    <tableColumn id="5" xr3:uid="{00000000-0010-0000-0000-000005000000}" name="Product"/>
    <tableColumn id="6" xr3:uid="{00000000-0010-0000-0000-000006000000}" name="Product Category"/>
    <tableColumn id="7" xr3:uid="{00000000-0010-0000-0000-000007000000}" name="2023-24 Value (USD Mn)"/>
    <tableColumn id="8" xr3:uid="{00000000-0010-0000-0000-000008000000}" name="2025-26 Value (USD Mn)"/>
    <tableColumn id="9" xr3:uid="{00000000-0010-0000-0000-000009000000}" name="2026-27 Apr-Jul Value (USD Mn)"/>
    <tableColumn id="10" xr3:uid="{00000000-0010-0000-0000-00000A000000}" name="2023-24 Qty (MT)"/>
    <tableColumn id="11" xr3:uid="{00000000-0010-0000-0000-00000B000000}" name="2025-26 Qty (MT)"/>
    <tableColumn id="12" xr3:uid="{00000000-0010-0000-0000-00000C000000}" name="2026-27 Apr-Jul Qty (MT)"/>
    <tableColumn id="13" xr3:uid="{00000000-0010-0000-0000-00000D000000}" name="Value Change 2025-26 vs 2023-24"/>
    <tableColumn id="14" xr3:uid="{00000000-0010-0000-0000-00000E000000}" name="Qty Change 2025-26 vs 2023-24"/>
    <tableColumn id="15" xr3:uid="{00000000-0010-0000-0000-00000F000000}" name="2026-27 Value Change"/>
    <tableColumn id="16" xr3:uid="{00000000-0010-0000-0000-000010000000}" name="Country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99"/>
  <sheetViews>
    <sheetView zoomScaleNormal="100" workbookViewId="0">
      <selection activeCell="G8" sqref="G8:I8"/>
    </sheetView>
  </sheetViews>
  <sheetFormatPr defaultColWidth="8.54296875" defaultRowHeight="14.5" x14ac:dyDescent="0.35"/>
  <cols>
    <col min="1" max="1" width="14.453125" customWidth="1"/>
    <col min="2" max="3" width="34.81640625" customWidth="1"/>
    <col min="4" max="5" width="8.1796875" customWidth="1"/>
    <col min="6" max="6" width="15.453125" customWidth="1"/>
    <col min="7" max="8" width="11.7265625" customWidth="1"/>
    <col min="9" max="9" width="15.453125" customWidth="1"/>
    <col min="10" max="10" width="11.1796875" customWidth="1"/>
  </cols>
  <sheetData>
    <row r="1" spans="1:10" ht="14.25" customHeight="1" x14ac:dyDescent="0.35">
      <c r="A1" s="21" t="s">
        <v>312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35">
      <c r="A2" s="21"/>
      <c r="B2" s="21"/>
      <c r="C2" s="21"/>
      <c r="D2" s="21"/>
      <c r="E2" s="21"/>
      <c r="F2" s="21"/>
      <c r="G2" s="21"/>
      <c r="H2" s="21"/>
      <c r="I2" s="21"/>
      <c r="J2" s="21"/>
    </row>
    <row r="3" spans="1:10" ht="15" customHeight="1" x14ac:dyDescent="0.35">
      <c r="A3" s="22" t="s">
        <v>313</v>
      </c>
      <c r="B3" s="22"/>
      <c r="C3" s="22"/>
      <c r="D3" s="22"/>
      <c r="E3" s="22"/>
      <c r="F3" s="22"/>
      <c r="G3" s="22"/>
      <c r="H3" s="22"/>
      <c r="I3" s="22"/>
      <c r="J3" s="22"/>
    </row>
    <row r="4" spans="1:10" ht="14.25" customHeight="1" x14ac:dyDescent="0.35">
      <c r="A4" s="22" t="s">
        <v>314</v>
      </c>
      <c r="B4" s="22"/>
      <c r="C4" s="22"/>
      <c r="D4" s="22"/>
      <c r="E4" s="22"/>
      <c r="F4" s="22"/>
      <c r="G4" s="22"/>
      <c r="H4" s="22"/>
      <c r="I4" s="22"/>
      <c r="J4" s="22"/>
    </row>
    <row r="5" spans="1:10" ht="14.25" customHeight="1" x14ac:dyDescent="0.35">
      <c r="A5" s="22" t="s">
        <v>315</v>
      </c>
      <c r="B5" s="22"/>
      <c r="C5" s="22"/>
      <c r="D5" s="22"/>
      <c r="E5" s="22"/>
      <c r="F5" s="22"/>
      <c r="G5" s="22"/>
      <c r="H5" s="22"/>
      <c r="I5" s="22"/>
      <c r="J5" s="22"/>
    </row>
    <row r="6" spans="1:10" ht="14.25" customHeight="1" x14ac:dyDescent="0.35">
      <c r="A6" s="22" t="s">
        <v>316</v>
      </c>
      <c r="B6" s="22"/>
      <c r="C6" s="22"/>
      <c r="D6" s="22"/>
      <c r="E6" s="22"/>
      <c r="F6" s="22"/>
      <c r="G6" s="22"/>
      <c r="H6" s="22"/>
      <c r="I6" s="22"/>
      <c r="J6" s="22"/>
    </row>
    <row r="7" spans="1:10" ht="14.25" customHeight="1" x14ac:dyDescent="0.35">
      <c r="A7" s="19" t="s">
        <v>317</v>
      </c>
      <c r="B7" s="19"/>
      <c r="C7" s="19"/>
      <c r="D7" s="19"/>
      <c r="E7" s="19"/>
      <c r="F7" s="19"/>
      <c r="G7" s="19"/>
      <c r="H7" s="19"/>
      <c r="I7" s="19"/>
      <c r="J7" s="19"/>
    </row>
    <row r="8" spans="1:10" ht="14.25" customHeight="1" x14ac:dyDescent="0.35">
      <c r="A8" s="5"/>
      <c r="B8" s="5"/>
      <c r="C8" s="5"/>
      <c r="D8" s="19" t="s">
        <v>318</v>
      </c>
      <c r="E8" s="19"/>
      <c r="F8" s="19"/>
      <c r="G8" s="19" t="s">
        <v>319</v>
      </c>
      <c r="H8" s="19"/>
      <c r="I8" s="19"/>
      <c r="J8" s="5"/>
    </row>
    <row r="9" spans="1:10" x14ac:dyDescent="0.35">
      <c r="A9" s="1" t="s">
        <v>0</v>
      </c>
      <c r="B9" s="1" t="s">
        <v>2</v>
      </c>
      <c r="C9" s="1" t="s">
        <v>320</v>
      </c>
      <c r="D9" s="1" t="s">
        <v>321</v>
      </c>
      <c r="E9" s="1" t="s">
        <v>322</v>
      </c>
      <c r="F9" s="1" t="s">
        <v>323</v>
      </c>
      <c r="G9" s="1" t="s">
        <v>321</v>
      </c>
      <c r="H9" s="1" t="s">
        <v>322</v>
      </c>
      <c r="I9" s="1" t="s">
        <v>323</v>
      </c>
      <c r="J9" s="1" t="s">
        <v>15</v>
      </c>
    </row>
    <row r="10" spans="1:10" x14ac:dyDescent="0.35">
      <c r="A10" s="1" t="s">
        <v>324</v>
      </c>
      <c r="B10" s="5"/>
      <c r="C10" s="5"/>
      <c r="D10" s="6">
        <v>25168.06</v>
      </c>
      <c r="E10" s="6">
        <v>28898.61</v>
      </c>
      <c r="F10" s="6">
        <v>10149.89</v>
      </c>
      <c r="G10" s="6">
        <v>30820559.690000001</v>
      </c>
      <c r="H10" s="6">
        <v>38151877.890000001</v>
      </c>
      <c r="I10" s="6">
        <v>13174292.99</v>
      </c>
      <c r="J10" s="5"/>
    </row>
    <row r="11" spans="1:10" x14ac:dyDescent="0.35">
      <c r="A11" s="7" t="s">
        <v>16</v>
      </c>
      <c r="B11" s="7" t="s">
        <v>17</v>
      </c>
      <c r="C11" s="7" t="s">
        <v>18</v>
      </c>
      <c r="D11" s="8">
        <v>2169.9899999999998</v>
      </c>
      <c r="E11" s="8">
        <v>2298.4499999999998</v>
      </c>
      <c r="F11" s="9">
        <v>830.81</v>
      </c>
      <c r="G11" s="8">
        <v>1998793.13</v>
      </c>
      <c r="H11" s="8">
        <v>2690097.56</v>
      </c>
      <c r="I11" s="8">
        <v>902322.53</v>
      </c>
      <c r="J11" s="7" t="s">
        <v>325</v>
      </c>
    </row>
    <row r="12" spans="1:10" x14ac:dyDescent="0.35">
      <c r="A12" s="7" t="s">
        <v>20</v>
      </c>
      <c r="B12" s="7" t="s">
        <v>21</v>
      </c>
      <c r="C12" s="7" t="s">
        <v>22</v>
      </c>
      <c r="D12" s="9">
        <v>917.88</v>
      </c>
      <c r="E12" s="8">
        <v>1496.37</v>
      </c>
      <c r="F12" s="9">
        <v>562.28</v>
      </c>
      <c r="G12" s="8">
        <v>318733.64</v>
      </c>
      <c r="H12" s="8">
        <v>425067.48</v>
      </c>
      <c r="I12" s="8">
        <v>130651.44</v>
      </c>
      <c r="J12" s="7" t="s">
        <v>325</v>
      </c>
    </row>
    <row r="13" spans="1:10" x14ac:dyDescent="0.35">
      <c r="A13" s="7" t="s">
        <v>23</v>
      </c>
      <c r="B13" s="7" t="s">
        <v>24</v>
      </c>
      <c r="C13" s="7" t="s">
        <v>22</v>
      </c>
      <c r="D13" s="9">
        <v>936.57</v>
      </c>
      <c r="E13" s="8">
        <v>1048.6600000000001</v>
      </c>
      <c r="F13" s="9">
        <v>544.64</v>
      </c>
      <c r="G13" s="8">
        <v>324888.7</v>
      </c>
      <c r="H13" s="8">
        <v>290388.46999999997</v>
      </c>
      <c r="I13" s="8">
        <v>124459.18</v>
      </c>
      <c r="J13" s="7" t="s">
        <v>325</v>
      </c>
    </row>
    <row r="14" spans="1:10" x14ac:dyDescent="0.35">
      <c r="A14" s="7" t="s">
        <v>25</v>
      </c>
      <c r="B14" s="7" t="s">
        <v>26</v>
      </c>
      <c r="C14" s="7" t="s">
        <v>27</v>
      </c>
      <c r="D14" s="8">
        <v>1019.88</v>
      </c>
      <c r="E14" s="8">
        <v>1359.84</v>
      </c>
      <c r="F14" s="9">
        <v>419.33</v>
      </c>
      <c r="G14" s="8">
        <v>2589020.6800000002</v>
      </c>
      <c r="H14" s="8">
        <v>3778728.48</v>
      </c>
      <c r="I14" s="8">
        <v>1296925.48</v>
      </c>
      <c r="J14" s="7" t="s">
        <v>325</v>
      </c>
    </row>
    <row r="15" spans="1:10" x14ac:dyDescent="0.35">
      <c r="A15" s="7" t="s">
        <v>16</v>
      </c>
      <c r="B15" s="7" t="s">
        <v>28</v>
      </c>
      <c r="C15" s="7" t="s">
        <v>18</v>
      </c>
      <c r="D15" s="8">
        <v>1242.07</v>
      </c>
      <c r="E15" s="8">
        <v>1187.45</v>
      </c>
      <c r="F15" s="9">
        <v>389.9</v>
      </c>
      <c r="G15" s="8">
        <v>1177950.22</v>
      </c>
      <c r="H15" s="8">
        <v>1481392.61</v>
      </c>
      <c r="I15" s="8">
        <v>427258.73</v>
      </c>
      <c r="J15" s="7" t="s">
        <v>325</v>
      </c>
    </row>
    <row r="16" spans="1:10" x14ac:dyDescent="0.35">
      <c r="A16" s="7" t="s">
        <v>25</v>
      </c>
      <c r="B16" s="7" t="s">
        <v>29</v>
      </c>
      <c r="C16" s="7" t="s">
        <v>27</v>
      </c>
      <c r="D16" s="9">
        <v>667.67</v>
      </c>
      <c r="E16" s="9">
        <v>612.51</v>
      </c>
      <c r="F16" s="9">
        <v>250.94</v>
      </c>
      <c r="G16" s="8">
        <v>1654430.74</v>
      </c>
      <c r="H16" s="8">
        <v>1690603.53</v>
      </c>
      <c r="I16" s="8">
        <v>774317.55</v>
      </c>
      <c r="J16" s="7" t="s">
        <v>325</v>
      </c>
    </row>
    <row r="17" spans="1:10" x14ac:dyDescent="0.35">
      <c r="A17" s="7" t="s">
        <v>16</v>
      </c>
      <c r="B17" s="7" t="s">
        <v>17</v>
      </c>
      <c r="C17" s="7" t="s">
        <v>27</v>
      </c>
      <c r="D17" s="9">
        <v>730.01</v>
      </c>
      <c r="E17" s="9">
        <v>693.36</v>
      </c>
      <c r="F17" s="9">
        <v>248.56</v>
      </c>
      <c r="G17" s="8">
        <v>1736946.48</v>
      </c>
      <c r="H17" s="8">
        <v>1507924.44</v>
      </c>
      <c r="I17" s="8">
        <v>563528.32999999996</v>
      </c>
      <c r="J17" s="7" t="s">
        <v>325</v>
      </c>
    </row>
    <row r="18" spans="1:10" x14ac:dyDescent="0.35">
      <c r="A18" s="7" t="s">
        <v>23</v>
      </c>
      <c r="B18" s="7" t="s">
        <v>30</v>
      </c>
      <c r="C18" s="7" t="s">
        <v>22</v>
      </c>
      <c r="D18" s="9">
        <v>358.89</v>
      </c>
      <c r="E18" s="9">
        <v>532.99</v>
      </c>
      <c r="F18" s="9">
        <v>222.25</v>
      </c>
      <c r="G18" s="8">
        <v>123625.07</v>
      </c>
      <c r="H18" s="8">
        <v>147257.68</v>
      </c>
      <c r="I18" s="8">
        <v>50127.91</v>
      </c>
      <c r="J18" s="7" t="s">
        <v>325</v>
      </c>
    </row>
    <row r="19" spans="1:10" x14ac:dyDescent="0.35">
      <c r="A19" s="7" t="s">
        <v>16</v>
      </c>
      <c r="B19" s="7" t="s">
        <v>28</v>
      </c>
      <c r="C19" s="7" t="s">
        <v>27</v>
      </c>
      <c r="D19" s="9">
        <v>257.12</v>
      </c>
      <c r="E19" s="9">
        <v>582.61</v>
      </c>
      <c r="F19" s="9">
        <v>206.94</v>
      </c>
      <c r="G19" s="8">
        <v>667453.21</v>
      </c>
      <c r="H19" s="8">
        <v>1527054.14</v>
      </c>
      <c r="I19" s="8">
        <v>578738.97</v>
      </c>
      <c r="J19" s="7" t="s">
        <v>325</v>
      </c>
    </row>
    <row r="20" spans="1:10" x14ac:dyDescent="0.35">
      <c r="A20" s="7" t="s">
        <v>31</v>
      </c>
      <c r="B20" s="7" t="s">
        <v>32</v>
      </c>
      <c r="C20" s="7" t="s">
        <v>27</v>
      </c>
      <c r="D20" s="9">
        <v>396.23</v>
      </c>
      <c r="E20" s="9">
        <v>456.93</v>
      </c>
      <c r="F20" s="9">
        <v>184.12</v>
      </c>
      <c r="G20" s="8">
        <v>943947.01</v>
      </c>
      <c r="H20" s="8">
        <v>1244058.79</v>
      </c>
      <c r="I20" s="8">
        <v>560583.15</v>
      </c>
      <c r="J20" s="7" t="s">
        <v>325</v>
      </c>
    </row>
    <row r="21" spans="1:10" x14ac:dyDescent="0.35">
      <c r="A21" s="7" t="s">
        <v>16</v>
      </c>
      <c r="B21" s="7" t="s">
        <v>17</v>
      </c>
      <c r="C21" s="7" t="s">
        <v>33</v>
      </c>
      <c r="D21" s="9">
        <v>176.05</v>
      </c>
      <c r="E21" s="9">
        <v>385.68</v>
      </c>
      <c r="F21" s="9">
        <v>183.38</v>
      </c>
      <c r="G21" s="8">
        <v>135676.5</v>
      </c>
      <c r="H21" s="8">
        <v>394735.21</v>
      </c>
      <c r="I21" s="8">
        <v>185043.86</v>
      </c>
      <c r="J21" s="7" t="s">
        <v>325</v>
      </c>
    </row>
    <row r="22" spans="1:10" x14ac:dyDescent="0.35">
      <c r="A22" s="7" t="s">
        <v>20</v>
      </c>
      <c r="B22" s="7" t="s">
        <v>21</v>
      </c>
      <c r="C22" s="7" t="s">
        <v>27</v>
      </c>
      <c r="D22" s="9">
        <v>257.82</v>
      </c>
      <c r="E22" s="9">
        <v>464.19</v>
      </c>
      <c r="F22" s="9">
        <v>178.79</v>
      </c>
      <c r="G22" s="8">
        <v>634642.31000000006</v>
      </c>
      <c r="H22" s="8">
        <v>1152704.8500000001</v>
      </c>
      <c r="I22" s="8">
        <v>457683.02</v>
      </c>
      <c r="J22" s="7" t="s">
        <v>325</v>
      </c>
    </row>
    <row r="23" spans="1:10" x14ac:dyDescent="0.35">
      <c r="A23" s="7" t="s">
        <v>23</v>
      </c>
      <c r="B23" s="7" t="s">
        <v>34</v>
      </c>
      <c r="C23" s="7" t="s">
        <v>22</v>
      </c>
      <c r="D23" s="9">
        <v>244.28</v>
      </c>
      <c r="E23" s="9">
        <v>383.85</v>
      </c>
      <c r="F23" s="9">
        <v>172.59</v>
      </c>
      <c r="G23" s="8">
        <v>83226.09</v>
      </c>
      <c r="H23" s="8">
        <v>105788.1</v>
      </c>
      <c r="I23" s="8">
        <v>39229.54</v>
      </c>
      <c r="J23" s="7" t="s">
        <v>325</v>
      </c>
    </row>
    <row r="24" spans="1:10" x14ac:dyDescent="0.35">
      <c r="A24" s="7" t="s">
        <v>35</v>
      </c>
      <c r="B24" s="7" t="s">
        <v>36</v>
      </c>
      <c r="C24" s="7" t="s">
        <v>18</v>
      </c>
      <c r="D24" s="9">
        <v>708.84</v>
      </c>
      <c r="E24" s="9">
        <v>614.47</v>
      </c>
      <c r="F24" s="9">
        <v>171.06</v>
      </c>
      <c r="G24" s="8">
        <v>630071.72</v>
      </c>
      <c r="H24" s="8">
        <v>694163.8</v>
      </c>
      <c r="I24" s="8">
        <v>178285.48</v>
      </c>
      <c r="J24" s="7" t="s">
        <v>325</v>
      </c>
    </row>
    <row r="25" spans="1:10" x14ac:dyDescent="0.35">
      <c r="A25" s="7" t="s">
        <v>35</v>
      </c>
      <c r="B25" s="7" t="s">
        <v>37</v>
      </c>
      <c r="C25" s="7" t="s">
        <v>22</v>
      </c>
      <c r="D25" s="9">
        <v>85.85</v>
      </c>
      <c r="E25" s="9">
        <v>258.39</v>
      </c>
      <c r="F25" s="9">
        <v>146.59</v>
      </c>
      <c r="G25" s="8">
        <v>28495.81</v>
      </c>
      <c r="H25" s="8">
        <v>68950.259999999995</v>
      </c>
      <c r="I25" s="8">
        <v>32921.11</v>
      </c>
      <c r="J25" s="7" t="s">
        <v>325</v>
      </c>
    </row>
    <row r="26" spans="1:10" x14ac:dyDescent="0.35">
      <c r="A26" s="7" t="s">
        <v>35</v>
      </c>
      <c r="B26" s="7" t="s">
        <v>38</v>
      </c>
      <c r="C26" s="7" t="s">
        <v>18</v>
      </c>
      <c r="D26" s="9">
        <v>627.62</v>
      </c>
      <c r="E26" s="9">
        <v>497.59</v>
      </c>
      <c r="F26" s="9">
        <v>136.69</v>
      </c>
      <c r="G26" s="8">
        <v>530579.68000000005</v>
      </c>
      <c r="H26" s="8">
        <v>513636.09</v>
      </c>
      <c r="I26" s="8">
        <v>131757.81</v>
      </c>
      <c r="J26" s="7" t="s">
        <v>325</v>
      </c>
    </row>
    <row r="27" spans="1:10" x14ac:dyDescent="0.35">
      <c r="A27" s="7" t="s">
        <v>20</v>
      </c>
      <c r="B27" s="7" t="s">
        <v>21</v>
      </c>
      <c r="C27" s="7" t="s">
        <v>39</v>
      </c>
      <c r="D27" s="9">
        <v>356.49</v>
      </c>
      <c r="E27" s="9">
        <v>364.19</v>
      </c>
      <c r="F27" s="9">
        <v>133.69999999999999</v>
      </c>
      <c r="G27" s="8">
        <v>334989.06</v>
      </c>
      <c r="H27" s="8">
        <v>240052.8</v>
      </c>
      <c r="I27" s="8">
        <v>106650.69</v>
      </c>
      <c r="J27" s="7" t="s">
        <v>325</v>
      </c>
    </row>
    <row r="28" spans="1:10" x14ac:dyDescent="0.35">
      <c r="A28" s="7" t="s">
        <v>40</v>
      </c>
      <c r="B28" s="7" t="s">
        <v>41</v>
      </c>
      <c r="C28" s="7" t="s">
        <v>27</v>
      </c>
      <c r="D28" s="9">
        <v>99.31</v>
      </c>
      <c r="E28" s="9">
        <v>267.44</v>
      </c>
      <c r="F28" s="9">
        <v>122.84</v>
      </c>
      <c r="G28" s="8">
        <v>221886.7</v>
      </c>
      <c r="H28" s="8">
        <v>684374.24</v>
      </c>
      <c r="I28" s="8">
        <v>334764.42</v>
      </c>
      <c r="J28" s="7" t="s">
        <v>325</v>
      </c>
    </row>
    <row r="29" spans="1:10" x14ac:dyDescent="0.35">
      <c r="A29" s="7" t="s">
        <v>16</v>
      </c>
      <c r="B29" s="7" t="s">
        <v>17</v>
      </c>
      <c r="C29" s="7" t="s">
        <v>42</v>
      </c>
      <c r="D29" s="9">
        <v>235.35</v>
      </c>
      <c r="E29" s="9">
        <v>318.45999999999998</v>
      </c>
      <c r="F29" s="9">
        <v>121.98</v>
      </c>
      <c r="G29" s="8">
        <v>151133.37</v>
      </c>
      <c r="H29" s="8">
        <v>227849.27</v>
      </c>
      <c r="I29" s="8">
        <v>95516.95</v>
      </c>
      <c r="J29" s="7" t="s">
        <v>325</v>
      </c>
    </row>
    <row r="30" spans="1:10" x14ac:dyDescent="0.35">
      <c r="A30" s="7" t="s">
        <v>23</v>
      </c>
      <c r="B30" s="7" t="s">
        <v>43</v>
      </c>
      <c r="C30" s="7" t="s">
        <v>22</v>
      </c>
      <c r="D30" s="9">
        <v>308.51</v>
      </c>
      <c r="E30" s="9">
        <v>388.63</v>
      </c>
      <c r="F30" s="9">
        <v>120.7</v>
      </c>
      <c r="G30" s="8">
        <v>106433.8</v>
      </c>
      <c r="H30" s="8">
        <v>105030.57</v>
      </c>
      <c r="I30" s="8">
        <v>27295.95</v>
      </c>
      <c r="J30" s="7" t="s">
        <v>325</v>
      </c>
    </row>
    <row r="31" spans="1:10" x14ac:dyDescent="0.35">
      <c r="A31" s="7" t="s">
        <v>20</v>
      </c>
      <c r="B31" s="7" t="s">
        <v>21</v>
      </c>
      <c r="C31" s="7" t="s">
        <v>33</v>
      </c>
      <c r="D31" s="9">
        <v>211.77</v>
      </c>
      <c r="E31" s="9">
        <v>244.26</v>
      </c>
      <c r="F31" s="9">
        <v>120.12</v>
      </c>
      <c r="G31" s="8">
        <v>181900.11</v>
      </c>
      <c r="H31" s="8">
        <v>236761.71</v>
      </c>
      <c r="I31" s="8">
        <v>125030.53</v>
      </c>
      <c r="J31" s="7" t="s">
        <v>325</v>
      </c>
    </row>
    <row r="32" spans="1:10" x14ac:dyDescent="0.35">
      <c r="A32" s="7" t="s">
        <v>23</v>
      </c>
      <c r="B32" s="7" t="s">
        <v>44</v>
      </c>
      <c r="C32" s="7" t="s">
        <v>22</v>
      </c>
      <c r="D32" s="9">
        <v>276.20999999999998</v>
      </c>
      <c r="E32" s="9">
        <v>406.53</v>
      </c>
      <c r="F32" s="9">
        <v>109.06</v>
      </c>
      <c r="G32" s="8">
        <v>95964.37</v>
      </c>
      <c r="H32" s="8">
        <v>114981.73</v>
      </c>
      <c r="I32" s="8">
        <v>25896.87</v>
      </c>
      <c r="J32" s="7" t="s">
        <v>325</v>
      </c>
    </row>
    <row r="33" spans="1:10" x14ac:dyDescent="0.35">
      <c r="A33" s="7" t="s">
        <v>20</v>
      </c>
      <c r="B33" s="7" t="s">
        <v>21</v>
      </c>
      <c r="C33" s="7" t="s">
        <v>45</v>
      </c>
      <c r="D33" s="9">
        <v>259.45999999999998</v>
      </c>
      <c r="E33" s="9">
        <v>458.56</v>
      </c>
      <c r="F33" s="9">
        <v>100.12</v>
      </c>
      <c r="G33" s="8">
        <v>464222.76</v>
      </c>
      <c r="H33" s="8">
        <v>953314.21</v>
      </c>
      <c r="I33" s="8">
        <v>162439.96</v>
      </c>
      <c r="J33" s="7" t="s">
        <v>325</v>
      </c>
    </row>
    <row r="34" spans="1:10" x14ac:dyDescent="0.35">
      <c r="A34" s="7" t="s">
        <v>16</v>
      </c>
      <c r="B34" s="7" t="s">
        <v>17</v>
      </c>
      <c r="C34" s="7" t="s">
        <v>46</v>
      </c>
      <c r="D34" s="9">
        <v>260.02</v>
      </c>
      <c r="E34" s="9">
        <v>255.16</v>
      </c>
      <c r="F34" s="9">
        <v>99.75</v>
      </c>
      <c r="G34" s="8">
        <v>194115.81</v>
      </c>
      <c r="H34" s="8">
        <v>197740.14</v>
      </c>
      <c r="I34" s="8">
        <v>76474.009999999995</v>
      </c>
      <c r="J34" s="7" t="s">
        <v>325</v>
      </c>
    </row>
    <row r="35" spans="1:10" x14ac:dyDescent="0.35">
      <c r="A35" s="7" t="s">
        <v>16</v>
      </c>
      <c r="B35" s="7" t="s">
        <v>17</v>
      </c>
      <c r="C35" s="7" t="s">
        <v>39</v>
      </c>
      <c r="D35" s="9">
        <v>157.86000000000001</v>
      </c>
      <c r="E35" s="9">
        <v>225.98</v>
      </c>
      <c r="F35" s="9">
        <v>94.35</v>
      </c>
      <c r="G35" s="8">
        <v>105758.42</v>
      </c>
      <c r="H35" s="8">
        <v>141239.45000000001</v>
      </c>
      <c r="I35" s="8">
        <v>54208.39</v>
      </c>
      <c r="J35" s="7" t="s">
        <v>325</v>
      </c>
    </row>
    <row r="36" spans="1:10" x14ac:dyDescent="0.35">
      <c r="A36" s="7" t="s">
        <v>35</v>
      </c>
      <c r="B36" s="7" t="s">
        <v>47</v>
      </c>
      <c r="C36" s="7" t="s">
        <v>22</v>
      </c>
      <c r="D36" s="9">
        <v>211.98</v>
      </c>
      <c r="E36" s="9">
        <v>215.9</v>
      </c>
      <c r="F36" s="9">
        <v>93.51</v>
      </c>
      <c r="G36" s="8">
        <v>71020.86</v>
      </c>
      <c r="H36" s="8">
        <v>58455.6</v>
      </c>
      <c r="I36" s="8">
        <v>20805.43</v>
      </c>
      <c r="J36" s="7" t="s">
        <v>325</v>
      </c>
    </row>
    <row r="37" spans="1:10" x14ac:dyDescent="0.35">
      <c r="A37" s="7" t="s">
        <v>20</v>
      </c>
      <c r="B37" s="7" t="s">
        <v>21</v>
      </c>
      <c r="C37" s="7" t="s">
        <v>48</v>
      </c>
      <c r="D37" s="9">
        <v>193.43</v>
      </c>
      <c r="E37" s="9">
        <v>249.48</v>
      </c>
      <c r="F37" s="9">
        <v>82.34</v>
      </c>
      <c r="G37" s="8">
        <v>163652.71</v>
      </c>
      <c r="H37" s="8">
        <v>203325.42</v>
      </c>
      <c r="I37" s="8">
        <v>62796.88</v>
      </c>
      <c r="J37" s="7" t="s">
        <v>325</v>
      </c>
    </row>
    <row r="38" spans="1:10" x14ac:dyDescent="0.35">
      <c r="A38" s="7" t="s">
        <v>49</v>
      </c>
      <c r="B38" s="7" t="s">
        <v>50</v>
      </c>
      <c r="C38" s="7" t="s">
        <v>18</v>
      </c>
      <c r="D38" s="9">
        <v>0</v>
      </c>
      <c r="E38" s="9">
        <v>104.08</v>
      </c>
      <c r="F38" s="9">
        <v>72.39</v>
      </c>
      <c r="G38" s="9">
        <v>0</v>
      </c>
      <c r="H38" s="8">
        <v>123657.69</v>
      </c>
      <c r="I38" s="8">
        <v>78169.91</v>
      </c>
      <c r="J38" s="7" t="s">
        <v>325</v>
      </c>
    </row>
    <row r="39" spans="1:10" x14ac:dyDescent="0.35">
      <c r="A39" s="7" t="s">
        <v>16</v>
      </c>
      <c r="B39" s="7" t="s">
        <v>17</v>
      </c>
      <c r="C39" s="7" t="s">
        <v>51</v>
      </c>
      <c r="D39" s="9">
        <v>356.1</v>
      </c>
      <c r="E39" s="9">
        <v>367.06</v>
      </c>
      <c r="F39" s="9">
        <v>70.849999999999994</v>
      </c>
      <c r="G39" s="8">
        <v>275148.46999999997</v>
      </c>
      <c r="H39" s="8">
        <v>347533.03</v>
      </c>
      <c r="I39" s="8">
        <v>55698.79</v>
      </c>
      <c r="J39" s="7" t="s">
        <v>325</v>
      </c>
    </row>
    <row r="40" spans="1:10" x14ac:dyDescent="0.35">
      <c r="A40" s="7" t="s">
        <v>16</v>
      </c>
      <c r="B40" s="7" t="s">
        <v>52</v>
      </c>
      <c r="C40" s="7" t="s">
        <v>42</v>
      </c>
      <c r="D40" s="9">
        <v>94.35</v>
      </c>
      <c r="E40" s="9">
        <v>194.65</v>
      </c>
      <c r="F40" s="9">
        <v>70.33</v>
      </c>
      <c r="G40" s="8">
        <v>68644.62</v>
      </c>
      <c r="H40" s="8">
        <v>148194.69</v>
      </c>
      <c r="I40" s="8">
        <v>54969.71</v>
      </c>
      <c r="J40" s="7" t="s">
        <v>325</v>
      </c>
    </row>
    <row r="41" spans="1:10" x14ac:dyDescent="0.35">
      <c r="A41" s="7" t="s">
        <v>20</v>
      </c>
      <c r="B41" s="7" t="s">
        <v>21</v>
      </c>
      <c r="C41" s="7" t="s">
        <v>53</v>
      </c>
      <c r="D41" s="9">
        <v>172.87</v>
      </c>
      <c r="E41" s="9">
        <v>220.04</v>
      </c>
      <c r="F41" s="9">
        <v>67.849999999999994</v>
      </c>
      <c r="G41" s="8">
        <v>183627.44</v>
      </c>
      <c r="H41" s="8">
        <v>236449.79</v>
      </c>
      <c r="I41" s="8">
        <v>72541.86</v>
      </c>
      <c r="J41" s="7" t="s">
        <v>325</v>
      </c>
    </row>
    <row r="42" spans="1:10" x14ac:dyDescent="0.35">
      <c r="A42" s="7" t="s">
        <v>20</v>
      </c>
      <c r="B42" s="7" t="s">
        <v>21</v>
      </c>
      <c r="C42" s="7" t="s">
        <v>54</v>
      </c>
      <c r="D42" s="9">
        <v>161.80000000000001</v>
      </c>
      <c r="E42" s="9">
        <v>193.66</v>
      </c>
      <c r="F42" s="9">
        <v>64.260000000000005</v>
      </c>
      <c r="G42" s="8">
        <v>107505.26</v>
      </c>
      <c r="H42" s="8">
        <v>131008.99</v>
      </c>
      <c r="I42" s="8">
        <v>46353.83</v>
      </c>
      <c r="J42" s="7" t="s">
        <v>325</v>
      </c>
    </row>
    <row r="43" spans="1:10" x14ac:dyDescent="0.35">
      <c r="A43" s="7" t="s">
        <v>20</v>
      </c>
      <c r="B43" s="7" t="s">
        <v>21</v>
      </c>
      <c r="C43" s="7" t="s">
        <v>55</v>
      </c>
      <c r="D43" s="9">
        <v>128</v>
      </c>
      <c r="E43" s="9">
        <v>206.03</v>
      </c>
      <c r="F43" s="9">
        <v>62.42</v>
      </c>
      <c r="G43" s="8">
        <v>484487.92</v>
      </c>
      <c r="H43" s="8">
        <v>777171.6</v>
      </c>
      <c r="I43" s="8">
        <v>251328.82</v>
      </c>
      <c r="J43" s="7" t="s">
        <v>325</v>
      </c>
    </row>
    <row r="44" spans="1:10" x14ac:dyDescent="0.35">
      <c r="A44" s="7" t="s">
        <v>20</v>
      </c>
      <c r="B44" s="7" t="s">
        <v>56</v>
      </c>
      <c r="C44" s="7" t="s">
        <v>27</v>
      </c>
      <c r="D44" s="9">
        <v>344.62</v>
      </c>
      <c r="E44" s="9">
        <v>186.17</v>
      </c>
      <c r="F44" s="9">
        <v>58.96</v>
      </c>
      <c r="G44" s="8">
        <v>842250.63</v>
      </c>
      <c r="H44" s="8">
        <v>479062.28</v>
      </c>
      <c r="I44" s="8">
        <v>162205.24</v>
      </c>
      <c r="J44" s="7" t="s">
        <v>325</v>
      </c>
    </row>
    <row r="45" spans="1:10" x14ac:dyDescent="0.35">
      <c r="A45" s="7" t="s">
        <v>57</v>
      </c>
      <c r="B45" s="7" t="s">
        <v>58</v>
      </c>
      <c r="C45" s="7" t="s">
        <v>18</v>
      </c>
      <c r="D45" s="9">
        <v>185.06</v>
      </c>
      <c r="E45" s="9">
        <v>181.67</v>
      </c>
      <c r="F45" s="9">
        <v>58.75</v>
      </c>
      <c r="G45" s="8">
        <v>148835.84</v>
      </c>
      <c r="H45" s="8">
        <v>202915.19</v>
      </c>
      <c r="I45" s="8">
        <v>62200.88</v>
      </c>
      <c r="J45" s="7" t="s">
        <v>325</v>
      </c>
    </row>
    <row r="46" spans="1:10" x14ac:dyDescent="0.35">
      <c r="A46" s="7" t="s">
        <v>16</v>
      </c>
      <c r="B46" s="7" t="s">
        <v>52</v>
      </c>
      <c r="C46" s="7" t="s">
        <v>51</v>
      </c>
      <c r="D46" s="9">
        <v>181.14</v>
      </c>
      <c r="E46" s="9">
        <v>162.75</v>
      </c>
      <c r="F46" s="9">
        <v>57.73</v>
      </c>
      <c r="G46" s="8">
        <v>146310.54</v>
      </c>
      <c r="H46" s="8">
        <v>153857.81</v>
      </c>
      <c r="I46" s="8">
        <v>48002.27</v>
      </c>
      <c r="J46" s="7" t="s">
        <v>325</v>
      </c>
    </row>
    <row r="47" spans="1:10" x14ac:dyDescent="0.35">
      <c r="A47" s="7" t="s">
        <v>20</v>
      </c>
      <c r="B47" s="7" t="s">
        <v>21</v>
      </c>
      <c r="C47" s="7" t="s">
        <v>59</v>
      </c>
      <c r="D47" s="9">
        <v>135.63999999999999</v>
      </c>
      <c r="E47" s="9">
        <v>225.84</v>
      </c>
      <c r="F47" s="9">
        <v>57.43</v>
      </c>
      <c r="G47" s="8">
        <v>20917.240000000002</v>
      </c>
      <c r="H47" s="8">
        <v>25555.98</v>
      </c>
      <c r="I47" s="8">
        <v>9715.69</v>
      </c>
      <c r="J47" s="7" t="s">
        <v>325</v>
      </c>
    </row>
    <row r="48" spans="1:10" x14ac:dyDescent="0.35">
      <c r="A48" s="7" t="s">
        <v>20</v>
      </c>
      <c r="B48" s="7" t="s">
        <v>21</v>
      </c>
      <c r="C48" s="7" t="s">
        <v>42</v>
      </c>
      <c r="D48" s="9">
        <v>137.07</v>
      </c>
      <c r="E48" s="9">
        <v>139.9</v>
      </c>
      <c r="F48" s="9">
        <v>52.62</v>
      </c>
      <c r="G48" s="8">
        <v>88770.45</v>
      </c>
      <c r="H48" s="8">
        <v>95493.94</v>
      </c>
      <c r="I48" s="8">
        <v>36998.61</v>
      </c>
      <c r="J48" s="7" t="s">
        <v>325</v>
      </c>
    </row>
    <row r="49" spans="1:10" x14ac:dyDescent="0.35">
      <c r="A49" s="7" t="s">
        <v>20</v>
      </c>
      <c r="B49" s="7" t="s">
        <v>21</v>
      </c>
      <c r="C49" s="7" t="s">
        <v>60</v>
      </c>
      <c r="D49" s="9">
        <v>139.21</v>
      </c>
      <c r="E49" s="9">
        <v>128.49</v>
      </c>
      <c r="F49" s="9">
        <v>52.2</v>
      </c>
      <c r="G49" s="8">
        <v>120003.88</v>
      </c>
      <c r="H49" s="8">
        <v>98577.19</v>
      </c>
      <c r="I49" s="8">
        <v>47510.29</v>
      </c>
      <c r="J49" s="7" t="s">
        <v>325</v>
      </c>
    </row>
    <row r="50" spans="1:10" x14ac:dyDescent="0.35">
      <c r="A50" s="7" t="s">
        <v>57</v>
      </c>
      <c r="B50" s="7" t="s">
        <v>61</v>
      </c>
      <c r="C50" s="7" t="s">
        <v>18</v>
      </c>
      <c r="D50" s="9">
        <v>0</v>
      </c>
      <c r="E50" s="9">
        <v>62.24</v>
      </c>
      <c r="F50" s="9">
        <v>48.87</v>
      </c>
      <c r="G50" s="9">
        <v>0</v>
      </c>
      <c r="H50" s="8">
        <v>74316.740000000005</v>
      </c>
      <c r="I50" s="8">
        <v>52592.74</v>
      </c>
      <c r="J50" s="7" t="s">
        <v>325</v>
      </c>
    </row>
    <row r="51" spans="1:10" x14ac:dyDescent="0.35">
      <c r="A51" s="7" t="s">
        <v>25</v>
      </c>
      <c r="B51" s="7" t="s">
        <v>29</v>
      </c>
      <c r="C51" s="7" t="s">
        <v>62</v>
      </c>
      <c r="D51" s="9">
        <v>94.97</v>
      </c>
      <c r="E51" s="9">
        <v>0.19</v>
      </c>
      <c r="F51" s="9">
        <v>46.12</v>
      </c>
      <c r="G51" s="8">
        <v>340393.1</v>
      </c>
      <c r="H51" s="9">
        <v>741.13</v>
      </c>
      <c r="I51" s="8">
        <v>196717.6</v>
      </c>
      <c r="J51" s="7" t="s">
        <v>325</v>
      </c>
    </row>
    <row r="52" spans="1:10" x14ac:dyDescent="0.35">
      <c r="A52" s="7" t="s">
        <v>16</v>
      </c>
      <c r="B52" s="7" t="s">
        <v>28</v>
      </c>
      <c r="C52" s="7" t="s">
        <v>33</v>
      </c>
      <c r="D52" s="9">
        <v>6.2</v>
      </c>
      <c r="E52" s="9">
        <v>79.59</v>
      </c>
      <c r="F52" s="9">
        <v>39.19</v>
      </c>
      <c r="G52" s="8">
        <v>7843.55</v>
      </c>
      <c r="H52" s="8">
        <v>82296.2</v>
      </c>
      <c r="I52" s="8">
        <v>55200.480000000003</v>
      </c>
      <c r="J52" s="7" t="s">
        <v>325</v>
      </c>
    </row>
    <row r="53" spans="1:10" x14ac:dyDescent="0.35">
      <c r="A53" s="7" t="s">
        <v>25</v>
      </c>
      <c r="B53" s="7" t="s">
        <v>63</v>
      </c>
      <c r="C53" s="7" t="s">
        <v>62</v>
      </c>
      <c r="D53" s="9">
        <v>36.11</v>
      </c>
      <c r="E53" s="9">
        <v>0</v>
      </c>
      <c r="F53" s="9">
        <v>38.36</v>
      </c>
      <c r="G53" s="8">
        <v>129550</v>
      </c>
      <c r="H53" s="9">
        <v>0</v>
      </c>
      <c r="I53" s="8">
        <v>171159</v>
      </c>
      <c r="J53" s="7" t="s">
        <v>325</v>
      </c>
    </row>
    <row r="54" spans="1:10" x14ac:dyDescent="0.35">
      <c r="A54" s="7" t="s">
        <v>40</v>
      </c>
      <c r="B54" s="7" t="s">
        <v>64</v>
      </c>
      <c r="C54" s="7" t="s">
        <v>27</v>
      </c>
      <c r="D54" s="9">
        <v>48.68</v>
      </c>
      <c r="E54" s="9">
        <v>103.24</v>
      </c>
      <c r="F54" s="9">
        <v>38.28</v>
      </c>
      <c r="G54" s="8">
        <v>117681.98</v>
      </c>
      <c r="H54" s="8">
        <v>279115.05</v>
      </c>
      <c r="I54" s="8">
        <v>106442.46</v>
      </c>
      <c r="J54" s="7" t="s">
        <v>325</v>
      </c>
    </row>
    <row r="55" spans="1:10" x14ac:dyDescent="0.35">
      <c r="A55" s="7" t="s">
        <v>20</v>
      </c>
      <c r="B55" s="7" t="s">
        <v>21</v>
      </c>
      <c r="C55" s="7" t="s">
        <v>65</v>
      </c>
      <c r="D55" s="9">
        <v>81.069999999999993</v>
      </c>
      <c r="E55" s="9">
        <v>96.04</v>
      </c>
      <c r="F55" s="9">
        <v>36.6</v>
      </c>
      <c r="G55" s="8">
        <v>140471.57999999999</v>
      </c>
      <c r="H55" s="8">
        <v>176502.6</v>
      </c>
      <c r="I55" s="8">
        <v>69698.98</v>
      </c>
      <c r="J55" s="7" t="s">
        <v>325</v>
      </c>
    </row>
    <row r="56" spans="1:10" x14ac:dyDescent="0.35">
      <c r="A56" s="7" t="s">
        <v>35</v>
      </c>
      <c r="B56" s="7" t="s">
        <v>38</v>
      </c>
      <c r="C56" s="7" t="s">
        <v>22</v>
      </c>
      <c r="D56" s="9">
        <v>60.39</v>
      </c>
      <c r="E56" s="9">
        <v>59.66</v>
      </c>
      <c r="F56" s="9">
        <v>36.51</v>
      </c>
      <c r="G56" s="8">
        <v>21375.25</v>
      </c>
      <c r="H56" s="8">
        <v>16436.63</v>
      </c>
      <c r="I56" s="8">
        <v>8162.57</v>
      </c>
      <c r="J56" s="7" t="s">
        <v>325</v>
      </c>
    </row>
    <row r="57" spans="1:10" x14ac:dyDescent="0.35">
      <c r="A57" s="7" t="s">
        <v>66</v>
      </c>
      <c r="B57" s="7" t="s">
        <v>67</v>
      </c>
      <c r="C57" s="7" t="s">
        <v>27</v>
      </c>
      <c r="D57" s="9">
        <v>25.57</v>
      </c>
      <c r="E57" s="9">
        <v>81.2</v>
      </c>
      <c r="F57" s="9">
        <v>34.03</v>
      </c>
      <c r="G57" s="8">
        <v>60904.29</v>
      </c>
      <c r="H57" s="8">
        <v>215245.74</v>
      </c>
      <c r="I57" s="8">
        <v>95786.64</v>
      </c>
      <c r="J57" s="7" t="s">
        <v>325</v>
      </c>
    </row>
    <row r="58" spans="1:10" x14ac:dyDescent="0.35">
      <c r="A58" s="7" t="s">
        <v>20</v>
      </c>
      <c r="B58" s="7" t="s">
        <v>68</v>
      </c>
      <c r="C58" s="7" t="s">
        <v>69</v>
      </c>
      <c r="D58" s="9">
        <v>33.4</v>
      </c>
      <c r="E58" s="9">
        <v>47.7</v>
      </c>
      <c r="F58" s="9">
        <v>32.590000000000003</v>
      </c>
      <c r="G58" s="9">
        <v>193.19</v>
      </c>
      <c r="H58" s="9">
        <v>227.92</v>
      </c>
      <c r="I58" s="9">
        <v>147.57</v>
      </c>
      <c r="J58" s="7" t="s">
        <v>325</v>
      </c>
    </row>
    <row r="59" spans="1:10" x14ac:dyDescent="0.35">
      <c r="A59" s="7" t="s">
        <v>49</v>
      </c>
      <c r="B59" s="7" t="s">
        <v>70</v>
      </c>
      <c r="C59" s="7" t="s">
        <v>46</v>
      </c>
      <c r="D59" s="9">
        <v>112.61</v>
      </c>
      <c r="E59" s="9">
        <v>122.21</v>
      </c>
      <c r="F59" s="9">
        <v>32.33</v>
      </c>
      <c r="G59" s="8">
        <v>98803.47</v>
      </c>
      <c r="H59" s="8">
        <v>116674.03</v>
      </c>
      <c r="I59" s="8">
        <v>31598.55</v>
      </c>
      <c r="J59" s="7" t="s">
        <v>325</v>
      </c>
    </row>
    <row r="60" spans="1:10" x14ac:dyDescent="0.35">
      <c r="A60" s="7" t="s">
        <v>66</v>
      </c>
      <c r="B60" s="7" t="s">
        <v>71</v>
      </c>
      <c r="C60" s="7" t="s">
        <v>18</v>
      </c>
      <c r="D60" s="9">
        <v>131.79</v>
      </c>
      <c r="E60" s="9">
        <v>70.31</v>
      </c>
      <c r="F60" s="9">
        <v>32.1</v>
      </c>
      <c r="G60" s="8">
        <v>109572.55</v>
      </c>
      <c r="H60" s="8">
        <v>69809.63</v>
      </c>
      <c r="I60" s="8">
        <v>30574.16</v>
      </c>
      <c r="J60" s="7" t="s">
        <v>325</v>
      </c>
    </row>
    <row r="61" spans="1:10" x14ac:dyDescent="0.35">
      <c r="A61" s="7" t="s">
        <v>20</v>
      </c>
      <c r="B61" s="7" t="s">
        <v>21</v>
      </c>
      <c r="C61" s="7" t="s">
        <v>72</v>
      </c>
      <c r="D61" s="9">
        <v>58.22</v>
      </c>
      <c r="E61" s="9">
        <v>92.31</v>
      </c>
      <c r="F61" s="9">
        <v>32.01</v>
      </c>
      <c r="G61" s="8">
        <v>12314.94</v>
      </c>
      <c r="H61" s="8">
        <v>19466.04</v>
      </c>
      <c r="I61" s="8">
        <v>8243.17</v>
      </c>
      <c r="J61" s="7" t="s">
        <v>325</v>
      </c>
    </row>
    <row r="62" spans="1:10" x14ac:dyDescent="0.35">
      <c r="A62" s="7" t="s">
        <v>16</v>
      </c>
      <c r="B62" s="7" t="s">
        <v>17</v>
      </c>
      <c r="C62" s="7" t="s">
        <v>54</v>
      </c>
      <c r="D62" s="9">
        <v>95.74</v>
      </c>
      <c r="E62" s="9">
        <v>114.71</v>
      </c>
      <c r="F62" s="9">
        <v>31.39</v>
      </c>
      <c r="G62" s="8">
        <v>55215.65</v>
      </c>
      <c r="H62" s="8">
        <v>68895.360000000001</v>
      </c>
      <c r="I62" s="8">
        <v>17119.54</v>
      </c>
      <c r="J62" s="7" t="s">
        <v>325</v>
      </c>
    </row>
    <row r="63" spans="1:10" x14ac:dyDescent="0.35">
      <c r="A63" s="7" t="s">
        <v>66</v>
      </c>
      <c r="B63" s="7" t="s">
        <v>73</v>
      </c>
      <c r="C63" s="7" t="s">
        <v>18</v>
      </c>
      <c r="D63" s="9">
        <v>164.94</v>
      </c>
      <c r="E63" s="9">
        <v>112.3</v>
      </c>
      <c r="F63" s="9">
        <v>30.84</v>
      </c>
      <c r="G63" s="8">
        <v>119715.32</v>
      </c>
      <c r="H63" s="8">
        <v>89709.24</v>
      </c>
      <c r="I63" s="8">
        <v>23763.62</v>
      </c>
      <c r="J63" s="7" t="s">
        <v>325</v>
      </c>
    </row>
    <row r="64" spans="1:10" x14ac:dyDescent="0.35">
      <c r="A64" s="7" t="s">
        <v>20</v>
      </c>
      <c r="B64" s="7" t="s">
        <v>21</v>
      </c>
      <c r="C64" s="7" t="s">
        <v>62</v>
      </c>
      <c r="D64" s="9">
        <v>38.06</v>
      </c>
      <c r="E64" s="9">
        <v>108.55</v>
      </c>
      <c r="F64" s="9">
        <v>28.51</v>
      </c>
      <c r="G64" s="8">
        <v>125676.12</v>
      </c>
      <c r="H64" s="8">
        <v>438198.44</v>
      </c>
      <c r="I64" s="8">
        <v>118377.22</v>
      </c>
      <c r="J64" s="7" t="s">
        <v>325</v>
      </c>
    </row>
    <row r="65" spans="1:10" x14ac:dyDescent="0.35">
      <c r="A65" s="7" t="s">
        <v>16</v>
      </c>
      <c r="B65" s="7" t="s">
        <v>17</v>
      </c>
      <c r="C65" s="7" t="s">
        <v>48</v>
      </c>
      <c r="D65" s="9">
        <v>63.06</v>
      </c>
      <c r="E65" s="9">
        <v>82.31</v>
      </c>
      <c r="F65" s="9">
        <v>24.87</v>
      </c>
      <c r="G65" s="8">
        <v>47054.03</v>
      </c>
      <c r="H65" s="8">
        <v>57167.33</v>
      </c>
      <c r="I65" s="8">
        <v>17580.79</v>
      </c>
      <c r="J65" s="7" t="s">
        <v>325</v>
      </c>
    </row>
    <row r="66" spans="1:10" x14ac:dyDescent="0.35">
      <c r="A66" s="7" t="s">
        <v>74</v>
      </c>
      <c r="B66" s="7" t="s">
        <v>75</v>
      </c>
      <c r="C66" s="7" t="s">
        <v>48</v>
      </c>
      <c r="D66" s="9">
        <v>59.4</v>
      </c>
      <c r="E66" s="9">
        <v>74.52</v>
      </c>
      <c r="F66" s="9">
        <v>24.85</v>
      </c>
      <c r="G66" s="8">
        <v>48911.83</v>
      </c>
      <c r="H66" s="8">
        <v>60000.04</v>
      </c>
      <c r="I66" s="8">
        <v>18331.830000000002</v>
      </c>
      <c r="J66" s="7" t="s">
        <v>325</v>
      </c>
    </row>
    <row r="67" spans="1:10" x14ac:dyDescent="0.35">
      <c r="A67" s="7" t="s">
        <v>20</v>
      </c>
      <c r="B67" s="7" t="s">
        <v>68</v>
      </c>
      <c r="C67" s="7" t="s">
        <v>76</v>
      </c>
      <c r="D67" s="9">
        <v>24.35</v>
      </c>
      <c r="E67" s="9">
        <v>22.47</v>
      </c>
      <c r="F67" s="9">
        <v>24.47</v>
      </c>
      <c r="G67" s="8">
        <v>7797.24</v>
      </c>
      <c r="H67" s="8">
        <v>8183.43</v>
      </c>
      <c r="I67" s="8">
        <v>8513.02</v>
      </c>
      <c r="J67" s="7" t="s">
        <v>325</v>
      </c>
    </row>
    <row r="68" spans="1:10" x14ac:dyDescent="0.35">
      <c r="A68" s="7" t="s">
        <v>77</v>
      </c>
      <c r="B68" s="7" t="s">
        <v>78</v>
      </c>
      <c r="C68" s="7" t="s">
        <v>39</v>
      </c>
      <c r="D68" s="9">
        <v>48.36</v>
      </c>
      <c r="E68" s="9">
        <v>69.7</v>
      </c>
      <c r="F68" s="9">
        <v>23.84</v>
      </c>
      <c r="G68" s="8">
        <v>20171.080000000002</v>
      </c>
      <c r="H68" s="8">
        <v>25597.41</v>
      </c>
      <c r="I68" s="8">
        <v>8918.23</v>
      </c>
      <c r="J68" s="7" t="s">
        <v>325</v>
      </c>
    </row>
    <row r="69" spans="1:10" ht="26.25" customHeight="1" x14ac:dyDescent="0.35">
      <c r="A69" s="7" t="s">
        <v>79</v>
      </c>
      <c r="B69" s="7" t="s">
        <v>80</v>
      </c>
      <c r="C69" s="7" t="s">
        <v>81</v>
      </c>
      <c r="D69" s="9">
        <v>68.72</v>
      </c>
      <c r="E69" s="9">
        <v>89.25</v>
      </c>
      <c r="F69" s="9">
        <v>23.66</v>
      </c>
      <c r="G69" s="8">
        <v>65777.62</v>
      </c>
      <c r="H69" s="8">
        <v>82852.31</v>
      </c>
      <c r="I69" s="8">
        <v>22459.59</v>
      </c>
      <c r="J69" s="7" t="s">
        <v>325</v>
      </c>
    </row>
    <row r="70" spans="1:10" x14ac:dyDescent="0.35">
      <c r="A70" s="7" t="s">
        <v>20</v>
      </c>
      <c r="B70" s="7" t="s">
        <v>82</v>
      </c>
      <c r="C70" s="7" t="s">
        <v>83</v>
      </c>
      <c r="D70" s="9">
        <v>265.63</v>
      </c>
      <c r="E70" s="9">
        <v>219.52</v>
      </c>
      <c r="F70" s="9">
        <v>23.25</v>
      </c>
      <c r="G70" s="8">
        <v>166982.26999999999</v>
      </c>
      <c r="H70" s="8">
        <v>101433.24</v>
      </c>
      <c r="I70" s="8">
        <v>10279.08</v>
      </c>
      <c r="J70" s="7" t="s">
        <v>325</v>
      </c>
    </row>
    <row r="71" spans="1:10" x14ac:dyDescent="0.35">
      <c r="A71" s="7" t="s">
        <v>77</v>
      </c>
      <c r="B71" s="7" t="s">
        <v>78</v>
      </c>
      <c r="C71" s="7" t="s">
        <v>84</v>
      </c>
      <c r="D71" s="9">
        <v>136.74</v>
      </c>
      <c r="E71" s="9">
        <v>91.26</v>
      </c>
      <c r="F71" s="9">
        <v>23.08</v>
      </c>
      <c r="G71" s="8">
        <v>20165.63</v>
      </c>
      <c r="H71" s="8">
        <v>11135.49</v>
      </c>
      <c r="I71" s="8">
        <v>3019.32</v>
      </c>
      <c r="J71" s="7" t="s">
        <v>325</v>
      </c>
    </row>
    <row r="72" spans="1:10" x14ac:dyDescent="0.35">
      <c r="A72" s="7" t="s">
        <v>40</v>
      </c>
      <c r="B72" s="7" t="s">
        <v>85</v>
      </c>
      <c r="C72" s="7" t="s">
        <v>27</v>
      </c>
      <c r="D72" s="9">
        <v>67.22</v>
      </c>
      <c r="E72" s="9">
        <v>33.229999999999997</v>
      </c>
      <c r="F72" s="9">
        <v>22.82</v>
      </c>
      <c r="G72" s="8">
        <v>118740</v>
      </c>
      <c r="H72" s="8">
        <v>56082.59</v>
      </c>
      <c r="I72" s="8">
        <v>43675.81</v>
      </c>
      <c r="J72" s="7" t="s">
        <v>325</v>
      </c>
    </row>
    <row r="73" spans="1:10" x14ac:dyDescent="0.35">
      <c r="A73" s="7" t="s">
        <v>40</v>
      </c>
      <c r="B73" s="7" t="s">
        <v>41</v>
      </c>
      <c r="C73" s="7" t="s">
        <v>51</v>
      </c>
      <c r="D73" s="9">
        <v>127.96</v>
      </c>
      <c r="E73" s="9">
        <v>27.19</v>
      </c>
      <c r="F73" s="9">
        <v>22.47</v>
      </c>
      <c r="G73" s="8">
        <v>97288.89</v>
      </c>
      <c r="H73" s="8">
        <v>23474.63</v>
      </c>
      <c r="I73" s="8">
        <v>16828.54</v>
      </c>
      <c r="J73" s="7" t="s">
        <v>325</v>
      </c>
    </row>
    <row r="74" spans="1:10" x14ac:dyDescent="0.35">
      <c r="A74" s="7" t="s">
        <v>86</v>
      </c>
      <c r="B74" s="7" t="s">
        <v>87</v>
      </c>
      <c r="C74" s="7" t="s">
        <v>22</v>
      </c>
      <c r="D74" s="9">
        <v>26.74</v>
      </c>
      <c r="E74" s="9">
        <v>34.85</v>
      </c>
      <c r="F74" s="9">
        <v>22.46</v>
      </c>
      <c r="G74" s="8">
        <v>6307.04</v>
      </c>
      <c r="H74" s="8">
        <v>6996.55</v>
      </c>
      <c r="I74" s="8">
        <v>4540.62</v>
      </c>
      <c r="J74" s="7" t="s">
        <v>325</v>
      </c>
    </row>
    <row r="75" spans="1:10" x14ac:dyDescent="0.35">
      <c r="A75" s="7" t="s">
        <v>35</v>
      </c>
      <c r="B75" s="7" t="s">
        <v>88</v>
      </c>
      <c r="C75" s="7" t="s">
        <v>18</v>
      </c>
      <c r="D75" s="9">
        <v>104.4</v>
      </c>
      <c r="E75" s="9">
        <v>111.4</v>
      </c>
      <c r="F75" s="9">
        <v>21.57</v>
      </c>
      <c r="G75" s="8">
        <v>91634.39</v>
      </c>
      <c r="H75" s="8">
        <v>124526.46</v>
      </c>
      <c r="I75" s="8">
        <v>22445.83</v>
      </c>
      <c r="J75" s="7" t="s">
        <v>325</v>
      </c>
    </row>
    <row r="76" spans="1:10" x14ac:dyDescent="0.35">
      <c r="A76" s="7" t="s">
        <v>74</v>
      </c>
      <c r="B76" s="7" t="s">
        <v>75</v>
      </c>
      <c r="C76" s="7" t="s">
        <v>27</v>
      </c>
      <c r="D76" s="9">
        <v>42.56</v>
      </c>
      <c r="E76" s="9">
        <v>42.02</v>
      </c>
      <c r="F76" s="9">
        <v>21.22</v>
      </c>
      <c r="G76" s="8">
        <v>23463.279999999999</v>
      </c>
      <c r="H76" s="8">
        <v>19434.68</v>
      </c>
      <c r="I76" s="8">
        <v>10794.44</v>
      </c>
      <c r="J76" s="7" t="s">
        <v>325</v>
      </c>
    </row>
    <row r="77" spans="1:10" x14ac:dyDescent="0.35">
      <c r="A77" s="7" t="s">
        <v>77</v>
      </c>
      <c r="B77" s="7" t="s">
        <v>78</v>
      </c>
      <c r="C77" s="7" t="s">
        <v>27</v>
      </c>
      <c r="D77" s="9">
        <v>55.15</v>
      </c>
      <c r="E77" s="9">
        <v>59.27</v>
      </c>
      <c r="F77" s="9">
        <v>20.9</v>
      </c>
      <c r="G77" s="8">
        <v>82181.759999999995</v>
      </c>
      <c r="H77" s="8">
        <v>90947.7</v>
      </c>
      <c r="I77" s="8">
        <v>31435.19</v>
      </c>
      <c r="J77" s="7" t="s">
        <v>325</v>
      </c>
    </row>
    <row r="78" spans="1:10" x14ac:dyDescent="0.35">
      <c r="A78" s="7" t="s">
        <v>16</v>
      </c>
      <c r="B78" s="7" t="s">
        <v>17</v>
      </c>
      <c r="C78" s="7" t="s">
        <v>53</v>
      </c>
      <c r="D78" s="9">
        <v>72.010000000000005</v>
      </c>
      <c r="E78" s="9">
        <v>61.49</v>
      </c>
      <c r="F78" s="9">
        <v>20.86</v>
      </c>
      <c r="G78" s="8">
        <v>102850.82</v>
      </c>
      <c r="H78" s="8">
        <v>83862.92</v>
      </c>
      <c r="I78" s="8">
        <v>30724.78</v>
      </c>
      <c r="J78" s="7" t="s">
        <v>325</v>
      </c>
    </row>
    <row r="79" spans="1:10" x14ac:dyDescent="0.35">
      <c r="A79" s="7" t="s">
        <v>25</v>
      </c>
      <c r="B79" s="7" t="s">
        <v>29</v>
      </c>
      <c r="C79" s="7" t="s">
        <v>22</v>
      </c>
      <c r="D79" s="9">
        <v>54.93</v>
      </c>
      <c r="E79" s="9">
        <v>103.34</v>
      </c>
      <c r="F79" s="9">
        <v>20.6</v>
      </c>
      <c r="G79" s="8">
        <v>19977.3</v>
      </c>
      <c r="H79" s="8">
        <v>34118.339999999997</v>
      </c>
      <c r="I79" s="8">
        <v>4942.84</v>
      </c>
      <c r="J79" s="7" t="s">
        <v>325</v>
      </c>
    </row>
    <row r="80" spans="1:10" x14ac:dyDescent="0.35">
      <c r="A80" s="7" t="s">
        <v>16</v>
      </c>
      <c r="B80" s="7" t="s">
        <v>89</v>
      </c>
      <c r="C80" s="7" t="s">
        <v>42</v>
      </c>
      <c r="D80" s="9">
        <v>12.61</v>
      </c>
      <c r="E80" s="9">
        <v>23.39</v>
      </c>
      <c r="F80" s="9">
        <v>20.54</v>
      </c>
      <c r="G80" s="8">
        <v>6334.83</v>
      </c>
      <c r="H80" s="8">
        <v>20392.830000000002</v>
      </c>
      <c r="I80" s="8">
        <v>22704.14</v>
      </c>
      <c r="J80" s="7" t="s">
        <v>325</v>
      </c>
    </row>
    <row r="81" spans="1:10" x14ac:dyDescent="0.35">
      <c r="A81" s="7" t="s">
        <v>16</v>
      </c>
      <c r="B81" s="7" t="s">
        <v>90</v>
      </c>
      <c r="C81" s="7" t="s">
        <v>39</v>
      </c>
      <c r="D81" s="9">
        <v>30.03</v>
      </c>
      <c r="E81" s="9">
        <v>58.52</v>
      </c>
      <c r="F81" s="9">
        <v>20.48</v>
      </c>
      <c r="G81" s="8">
        <v>11291.33</v>
      </c>
      <c r="H81" s="8">
        <v>16691.95</v>
      </c>
      <c r="I81" s="8">
        <v>5996.31</v>
      </c>
      <c r="J81" s="7" t="s">
        <v>325</v>
      </c>
    </row>
    <row r="82" spans="1:10" x14ac:dyDescent="0.35">
      <c r="A82" s="7" t="s">
        <v>23</v>
      </c>
      <c r="B82" s="7" t="s">
        <v>30</v>
      </c>
      <c r="C82" s="7" t="s">
        <v>39</v>
      </c>
      <c r="D82" s="9">
        <v>51.68</v>
      </c>
      <c r="E82" s="9">
        <v>51.05</v>
      </c>
      <c r="F82" s="9">
        <v>19.82</v>
      </c>
      <c r="G82" s="8">
        <v>15716.46</v>
      </c>
      <c r="H82" s="8">
        <v>15602.5</v>
      </c>
      <c r="I82" s="8">
        <v>5958.26</v>
      </c>
      <c r="J82" s="7" t="s">
        <v>325</v>
      </c>
    </row>
    <row r="83" spans="1:10" x14ac:dyDescent="0.35">
      <c r="A83" s="7" t="s">
        <v>40</v>
      </c>
      <c r="B83" s="7" t="s">
        <v>85</v>
      </c>
      <c r="C83" s="7" t="s">
        <v>55</v>
      </c>
      <c r="D83" s="9">
        <v>29.46</v>
      </c>
      <c r="E83" s="9">
        <v>47.44</v>
      </c>
      <c r="F83" s="9">
        <v>19.670000000000002</v>
      </c>
      <c r="G83" s="8">
        <v>96642.5</v>
      </c>
      <c r="H83" s="8">
        <v>184523.49</v>
      </c>
      <c r="I83" s="8">
        <v>77134.17</v>
      </c>
      <c r="J83" s="7" t="s">
        <v>325</v>
      </c>
    </row>
    <row r="84" spans="1:10" x14ac:dyDescent="0.35">
      <c r="A84" s="7" t="s">
        <v>79</v>
      </c>
      <c r="B84" s="7" t="s">
        <v>91</v>
      </c>
      <c r="C84" s="7" t="s">
        <v>84</v>
      </c>
      <c r="D84" s="9">
        <v>53.64</v>
      </c>
      <c r="E84" s="9">
        <v>48.86</v>
      </c>
      <c r="F84" s="9">
        <v>19.440000000000001</v>
      </c>
      <c r="G84" s="8">
        <v>7978.47</v>
      </c>
      <c r="H84" s="8">
        <v>5839.6</v>
      </c>
      <c r="I84" s="8">
        <v>2425.89</v>
      </c>
      <c r="J84" s="7" t="s">
        <v>325</v>
      </c>
    </row>
    <row r="85" spans="1:10" x14ac:dyDescent="0.35">
      <c r="A85" s="7" t="s">
        <v>79</v>
      </c>
      <c r="B85" s="7" t="s">
        <v>92</v>
      </c>
      <c r="C85" s="7" t="s">
        <v>69</v>
      </c>
      <c r="D85" s="9">
        <v>27.04</v>
      </c>
      <c r="E85" s="9">
        <v>35.69</v>
      </c>
      <c r="F85" s="9">
        <v>19.27</v>
      </c>
      <c r="G85" s="9">
        <v>243.29</v>
      </c>
      <c r="H85" s="9">
        <v>300</v>
      </c>
      <c r="I85" s="9">
        <v>130.99</v>
      </c>
      <c r="J85" s="7" t="s">
        <v>325</v>
      </c>
    </row>
    <row r="86" spans="1:10" x14ac:dyDescent="0.35">
      <c r="A86" s="7" t="s">
        <v>40</v>
      </c>
      <c r="B86" s="7" t="s">
        <v>41</v>
      </c>
      <c r="C86" s="7" t="s">
        <v>54</v>
      </c>
      <c r="D86" s="9">
        <v>107.34</v>
      </c>
      <c r="E86" s="9">
        <v>74.03</v>
      </c>
      <c r="F86" s="9">
        <v>19.02</v>
      </c>
      <c r="G86" s="8">
        <v>97699.23</v>
      </c>
      <c r="H86" s="8">
        <v>85149.13</v>
      </c>
      <c r="I86" s="8">
        <v>28817.06</v>
      </c>
      <c r="J86" s="7" t="s">
        <v>325</v>
      </c>
    </row>
    <row r="87" spans="1:10" x14ac:dyDescent="0.35">
      <c r="A87" s="7" t="s">
        <v>66</v>
      </c>
      <c r="B87" s="7" t="s">
        <v>73</v>
      </c>
      <c r="C87" s="7" t="s">
        <v>60</v>
      </c>
      <c r="D87" s="9">
        <v>32.96</v>
      </c>
      <c r="E87" s="9">
        <v>22.6</v>
      </c>
      <c r="F87" s="9">
        <v>18.829999999999998</v>
      </c>
      <c r="G87" s="8">
        <v>32931.01</v>
      </c>
      <c r="H87" s="8">
        <v>14317.4</v>
      </c>
      <c r="I87" s="8">
        <v>21020.44</v>
      </c>
      <c r="J87" s="7" t="s">
        <v>325</v>
      </c>
    </row>
    <row r="88" spans="1:10" x14ac:dyDescent="0.35">
      <c r="A88" s="7" t="s">
        <v>20</v>
      </c>
      <c r="B88" s="7" t="s">
        <v>56</v>
      </c>
      <c r="C88" s="7" t="s">
        <v>39</v>
      </c>
      <c r="D88" s="9">
        <v>31.75</v>
      </c>
      <c r="E88" s="9">
        <v>47.98</v>
      </c>
      <c r="F88" s="9">
        <v>18.72</v>
      </c>
      <c r="G88" s="8">
        <v>16781.169999999998</v>
      </c>
      <c r="H88" s="8">
        <v>33477.65</v>
      </c>
      <c r="I88" s="8">
        <v>12336.66</v>
      </c>
      <c r="J88" s="7" t="s">
        <v>325</v>
      </c>
    </row>
    <row r="89" spans="1:10" x14ac:dyDescent="0.35">
      <c r="A89" s="7" t="s">
        <v>86</v>
      </c>
      <c r="B89" s="7" t="s">
        <v>87</v>
      </c>
      <c r="C89" s="7" t="s">
        <v>93</v>
      </c>
      <c r="D89" s="9">
        <v>49.83</v>
      </c>
      <c r="E89" s="9">
        <v>59.34</v>
      </c>
      <c r="F89" s="9">
        <v>18.62</v>
      </c>
      <c r="G89" s="8">
        <v>6791.59</v>
      </c>
      <c r="H89" s="8">
        <v>7678.34</v>
      </c>
      <c r="I89" s="8">
        <v>2637.8</v>
      </c>
      <c r="J89" s="7" t="s">
        <v>325</v>
      </c>
    </row>
    <row r="90" spans="1:10" x14ac:dyDescent="0.35">
      <c r="A90" s="7" t="s">
        <v>94</v>
      </c>
      <c r="B90" s="7" t="s">
        <v>95</v>
      </c>
      <c r="C90" s="7" t="s">
        <v>27</v>
      </c>
      <c r="D90" s="9">
        <v>55.9</v>
      </c>
      <c r="E90" s="9">
        <v>89.41</v>
      </c>
      <c r="F90" s="9">
        <v>18.57</v>
      </c>
      <c r="G90" s="8">
        <v>223255.48</v>
      </c>
      <c r="H90" s="8">
        <v>307746.7</v>
      </c>
      <c r="I90" s="8">
        <v>51984.03</v>
      </c>
      <c r="J90" s="7" t="s">
        <v>325</v>
      </c>
    </row>
    <row r="91" spans="1:10" x14ac:dyDescent="0.35">
      <c r="A91" s="7" t="s">
        <v>40</v>
      </c>
      <c r="B91" s="7" t="s">
        <v>85</v>
      </c>
      <c r="C91" s="7" t="s">
        <v>84</v>
      </c>
      <c r="D91" s="9">
        <v>65.239999999999995</v>
      </c>
      <c r="E91" s="9">
        <v>58.95</v>
      </c>
      <c r="F91" s="9">
        <v>18.52</v>
      </c>
      <c r="G91" s="8">
        <v>9456.11</v>
      </c>
      <c r="H91" s="8">
        <v>7097.79</v>
      </c>
      <c r="I91" s="8">
        <v>2225.69</v>
      </c>
      <c r="J91" s="7" t="s">
        <v>325</v>
      </c>
    </row>
    <row r="92" spans="1:10" x14ac:dyDescent="0.35">
      <c r="A92" s="7" t="s">
        <v>23</v>
      </c>
      <c r="B92" s="7" t="s">
        <v>44</v>
      </c>
      <c r="C92" s="7" t="s">
        <v>18</v>
      </c>
      <c r="D92" s="9">
        <v>52.56</v>
      </c>
      <c r="E92" s="9">
        <v>56.11</v>
      </c>
      <c r="F92" s="9">
        <v>18.47</v>
      </c>
      <c r="G92" s="8">
        <v>37972.58</v>
      </c>
      <c r="H92" s="8">
        <v>50589.93</v>
      </c>
      <c r="I92" s="8">
        <v>16372.42</v>
      </c>
      <c r="J92" s="7" t="s">
        <v>325</v>
      </c>
    </row>
    <row r="93" spans="1:10" x14ac:dyDescent="0.35">
      <c r="A93" s="7" t="s">
        <v>35</v>
      </c>
      <c r="B93" s="7" t="s">
        <v>96</v>
      </c>
      <c r="C93" s="7" t="s">
        <v>18</v>
      </c>
      <c r="D93" s="9">
        <v>132.41999999999999</v>
      </c>
      <c r="E93" s="9">
        <v>58.11</v>
      </c>
      <c r="F93" s="9">
        <v>18.36</v>
      </c>
      <c r="G93" s="8">
        <v>119537.36</v>
      </c>
      <c r="H93" s="8">
        <v>66168.240000000005</v>
      </c>
      <c r="I93" s="8">
        <v>18926.98</v>
      </c>
      <c r="J93" s="7" t="s">
        <v>325</v>
      </c>
    </row>
    <row r="94" spans="1:10" x14ac:dyDescent="0.35">
      <c r="A94" s="7" t="s">
        <v>57</v>
      </c>
      <c r="B94" s="7" t="s">
        <v>97</v>
      </c>
      <c r="C94" s="7" t="s">
        <v>72</v>
      </c>
      <c r="D94" s="9">
        <v>4.87</v>
      </c>
      <c r="E94" s="9">
        <v>48.64</v>
      </c>
      <c r="F94" s="9">
        <v>18.02</v>
      </c>
      <c r="G94" s="9">
        <v>907.2</v>
      </c>
      <c r="H94" s="8">
        <v>7567.79</v>
      </c>
      <c r="I94" s="8">
        <v>2713.92</v>
      </c>
      <c r="J94" s="7" t="s">
        <v>325</v>
      </c>
    </row>
    <row r="95" spans="1:10" x14ac:dyDescent="0.35">
      <c r="A95" s="7" t="s">
        <v>74</v>
      </c>
      <c r="B95" s="7" t="s">
        <v>98</v>
      </c>
      <c r="C95" s="7" t="s">
        <v>48</v>
      </c>
      <c r="D95" s="9">
        <v>47.63</v>
      </c>
      <c r="E95" s="9">
        <v>52.65</v>
      </c>
      <c r="F95" s="9">
        <v>17.53</v>
      </c>
      <c r="G95" s="8">
        <v>43303.59</v>
      </c>
      <c r="H95" s="8">
        <v>48698.57</v>
      </c>
      <c r="I95" s="8">
        <v>16533.05</v>
      </c>
      <c r="J95" s="7" t="s">
        <v>325</v>
      </c>
    </row>
    <row r="96" spans="1:10" x14ac:dyDescent="0.35">
      <c r="A96" s="7" t="s">
        <v>31</v>
      </c>
      <c r="B96" s="7" t="s">
        <v>99</v>
      </c>
      <c r="C96" s="7" t="s">
        <v>62</v>
      </c>
      <c r="D96" s="9">
        <v>14.21</v>
      </c>
      <c r="E96" s="9">
        <v>27.48</v>
      </c>
      <c r="F96" s="9">
        <v>17.39</v>
      </c>
      <c r="G96" s="8">
        <v>58769.54</v>
      </c>
      <c r="H96" s="8">
        <v>125265.02</v>
      </c>
      <c r="I96" s="8">
        <v>83104.06</v>
      </c>
      <c r="J96" s="7" t="s">
        <v>325</v>
      </c>
    </row>
    <row r="97" spans="1:10" x14ac:dyDescent="0.35">
      <c r="A97" s="7" t="s">
        <v>66</v>
      </c>
      <c r="B97" s="7" t="s">
        <v>100</v>
      </c>
      <c r="C97" s="7" t="s">
        <v>18</v>
      </c>
      <c r="D97" s="9">
        <v>0</v>
      </c>
      <c r="E97" s="9">
        <v>79.41</v>
      </c>
      <c r="F97" s="9">
        <v>17.309999999999999</v>
      </c>
      <c r="G97" s="9">
        <v>0</v>
      </c>
      <c r="H97" s="8">
        <v>66860.03</v>
      </c>
      <c r="I97" s="8">
        <v>15804.25</v>
      </c>
      <c r="J97" s="7" t="s">
        <v>325</v>
      </c>
    </row>
    <row r="98" spans="1:10" x14ac:dyDescent="0.35">
      <c r="A98" s="7" t="s">
        <v>31</v>
      </c>
      <c r="B98" s="7" t="s">
        <v>101</v>
      </c>
      <c r="C98" s="7" t="s">
        <v>33</v>
      </c>
      <c r="D98" s="9">
        <v>47.86</v>
      </c>
      <c r="E98" s="9">
        <v>52.79</v>
      </c>
      <c r="F98" s="9">
        <v>17.12</v>
      </c>
      <c r="G98" s="8">
        <v>55300.78</v>
      </c>
      <c r="H98" s="8">
        <v>61928.63</v>
      </c>
      <c r="I98" s="8">
        <v>18768.87</v>
      </c>
      <c r="J98" s="7" t="s">
        <v>325</v>
      </c>
    </row>
    <row r="99" spans="1:10" x14ac:dyDescent="0.35">
      <c r="A99" s="7" t="s">
        <v>16</v>
      </c>
      <c r="B99" s="7" t="s">
        <v>17</v>
      </c>
      <c r="C99" s="7" t="s">
        <v>102</v>
      </c>
      <c r="D99" s="9">
        <v>25.15</v>
      </c>
      <c r="E99" s="9">
        <v>28.39</v>
      </c>
      <c r="F99" s="9">
        <v>16.84</v>
      </c>
      <c r="G99" s="8">
        <v>83488.429999999993</v>
      </c>
      <c r="H99" s="8">
        <v>102051.59</v>
      </c>
      <c r="I99" s="8">
        <v>68659.31</v>
      </c>
      <c r="J99" s="7" t="s">
        <v>325</v>
      </c>
    </row>
    <row r="100" spans="1:10" x14ac:dyDescent="0.35">
      <c r="A100" s="7" t="s">
        <v>16</v>
      </c>
      <c r="B100" s="7" t="s">
        <v>17</v>
      </c>
      <c r="C100" s="7" t="s">
        <v>72</v>
      </c>
      <c r="D100" s="9">
        <v>34.32</v>
      </c>
      <c r="E100" s="9">
        <v>41.77</v>
      </c>
      <c r="F100" s="9">
        <v>16.04</v>
      </c>
      <c r="G100" s="8">
        <v>6069.77</v>
      </c>
      <c r="H100" s="8">
        <v>8315.65</v>
      </c>
      <c r="I100" s="8">
        <v>3638.66</v>
      </c>
      <c r="J100" s="7" t="s">
        <v>325</v>
      </c>
    </row>
    <row r="101" spans="1:10" x14ac:dyDescent="0.35">
      <c r="A101" s="7" t="s">
        <v>31</v>
      </c>
      <c r="B101" s="7" t="s">
        <v>32</v>
      </c>
      <c r="C101" s="7" t="s">
        <v>39</v>
      </c>
      <c r="D101" s="9">
        <v>42.28</v>
      </c>
      <c r="E101" s="9">
        <v>31.38</v>
      </c>
      <c r="F101" s="9">
        <v>15.71</v>
      </c>
      <c r="G101" s="8">
        <v>98705.7</v>
      </c>
      <c r="H101" s="8">
        <v>84260.45</v>
      </c>
      <c r="I101" s="8">
        <v>47796.639999999999</v>
      </c>
      <c r="J101" s="7" t="s">
        <v>325</v>
      </c>
    </row>
    <row r="102" spans="1:10" x14ac:dyDescent="0.35">
      <c r="A102" s="7" t="s">
        <v>103</v>
      </c>
      <c r="B102" s="7" t="s">
        <v>104</v>
      </c>
      <c r="C102" s="7" t="s">
        <v>27</v>
      </c>
      <c r="D102" s="9">
        <v>34.369999999999997</v>
      </c>
      <c r="E102" s="9">
        <v>8.35</v>
      </c>
      <c r="F102" s="9">
        <v>14.71</v>
      </c>
      <c r="G102" s="8">
        <v>83429.64</v>
      </c>
      <c r="H102" s="8">
        <v>23851.8</v>
      </c>
      <c r="I102" s="8">
        <v>44332.26</v>
      </c>
      <c r="J102" s="7" t="s">
        <v>325</v>
      </c>
    </row>
    <row r="103" spans="1:10" x14ac:dyDescent="0.35">
      <c r="A103" s="7" t="s">
        <v>16</v>
      </c>
      <c r="B103" s="7" t="s">
        <v>105</v>
      </c>
      <c r="C103" s="7" t="s">
        <v>33</v>
      </c>
      <c r="D103" s="9">
        <v>7.85</v>
      </c>
      <c r="E103" s="9">
        <v>12.02</v>
      </c>
      <c r="F103" s="9">
        <v>14.56</v>
      </c>
      <c r="G103" s="8">
        <v>13063.3</v>
      </c>
      <c r="H103" s="8">
        <v>19544.810000000001</v>
      </c>
      <c r="I103" s="8">
        <v>32362.63</v>
      </c>
      <c r="J103" s="7" t="s">
        <v>325</v>
      </c>
    </row>
    <row r="104" spans="1:10" x14ac:dyDescent="0.35">
      <c r="A104" s="7" t="s">
        <v>86</v>
      </c>
      <c r="B104" s="7" t="s">
        <v>106</v>
      </c>
      <c r="C104" s="7" t="s">
        <v>39</v>
      </c>
      <c r="D104" s="9">
        <v>19.48</v>
      </c>
      <c r="E104" s="9">
        <v>36.630000000000003</v>
      </c>
      <c r="F104" s="9">
        <v>14.37</v>
      </c>
      <c r="G104" s="8">
        <v>4118.07</v>
      </c>
      <c r="H104" s="8">
        <v>6649.3</v>
      </c>
      <c r="I104" s="8">
        <v>2257.6</v>
      </c>
      <c r="J104" s="7" t="s">
        <v>325</v>
      </c>
    </row>
    <row r="105" spans="1:10" x14ac:dyDescent="0.35">
      <c r="A105" s="7" t="s">
        <v>40</v>
      </c>
      <c r="B105" s="7" t="s">
        <v>41</v>
      </c>
      <c r="C105" s="7" t="s">
        <v>39</v>
      </c>
      <c r="D105" s="9">
        <v>36.61</v>
      </c>
      <c r="E105" s="9">
        <v>39.19</v>
      </c>
      <c r="F105" s="9">
        <v>14.3</v>
      </c>
      <c r="G105" s="8">
        <v>26706.95</v>
      </c>
      <c r="H105" s="8">
        <v>22162.23</v>
      </c>
      <c r="I105" s="8">
        <v>11643.1</v>
      </c>
      <c r="J105" s="7" t="s">
        <v>325</v>
      </c>
    </row>
    <row r="106" spans="1:10" x14ac:dyDescent="0.35">
      <c r="A106" s="7" t="s">
        <v>79</v>
      </c>
      <c r="B106" s="7" t="s">
        <v>80</v>
      </c>
      <c r="C106" s="7" t="s">
        <v>39</v>
      </c>
      <c r="D106" s="9">
        <v>30.28</v>
      </c>
      <c r="E106" s="9">
        <v>37.68</v>
      </c>
      <c r="F106" s="9">
        <v>14.21</v>
      </c>
      <c r="G106" s="8">
        <v>8102.04</v>
      </c>
      <c r="H106" s="8">
        <v>10102.65</v>
      </c>
      <c r="I106" s="8">
        <v>3519.18</v>
      </c>
      <c r="J106" s="7" t="s">
        <v>325</v>
      </c>
    </row>
    <row r="107" spans="1:10" x14ac:dyDescent="0.35">
      <c r="A107" s="7" t="s">
        <v>40</v>
      </c>
      <c r="B107" s="7" t="s">
        <v>41</v>
      </c>
      <c r="C107" s="7" t="s">
        <v>33</v>
      </c>
      <c r="D107" s="9">
        <v>17.36</v>
      </c>
      <c r="E107" s="9">
        <v>24.53</v>
      </c>
      <c r="F107" s="9">
        <v>14.19</v>
      </c>
      <c r="G107" s="8">
        <v>15285.55</v>
      </c>
      <c r="H107" s="8">
        <v>25081.53</v>
      </c>
      <c r="I107" s="8">
        <v>14897.39</v>
      </c>
      <c r="J107" s="7" t="s">
        <v>325</v>
      </c>
    </row>
    <row r="108" spans="1:10" ht="26.25" customHeight="1" x14ac:dyDescent="0.35">
      <c r="A108" s="7" t="s">
        <v>40</v>
      </c>
      <c r="B108" s="7" t="s">
        <v>107</v>
      </c>
      <c r="C108" s="7" t="s">
        <v>81</v>
      </c>
      <c r="D108" s="9">
        <v>35.28</v>
      </c>
      <c r="E108" s="9">
        <v>43.57</v>
      </c>
      <c r="F108" s="9">
        <v>14.05</v>
      </c>
      <c r="G108" s="8">
        <v>32217.86</v>
      </c>
      <c r="H108" s="8">
        <v>40314.050000000003</v>
      </c>
      <c r="I108" s="8">
        <v>13360.63</v>
      </c>
      <c r="J108" s="7" t="s">
        <v>325</v>
      </c>
    </row>
    <row r="109" spans="1:10" x14ac:dyDescent="0.35">
      <c r="A109" s="7" t="s">
        <v>66</v>
      </c>
      <c r="B109" s="7" t="s">
        <v>108</v>
      </c>
      <c r="C109" s="7" t="s">
        <v>18</v>
      </c>
      <c r="D109" s="9">
        <v>80.95</v>
      </c>
      <c r="E109" s="9">
        <v>33.79</v>
      </c>
      <c r="F109" s="9">
        <v>13.91</v>
      </c>
      <c r="G109" s="8">
        <v>65568.789999999994</v>
      </c>
      <c r="H109" s="8">
        <v>33312.06</v>
      </c>
      <c r="I109" s="8">
        <v>13563.8</v>
      </c>
      <c r="J109" s="7" t="s">
        <v>325</v>
      </c>
    </row>
    <row r="110" spans="1:10" x14ac:dyDescent="0.35">
      <c r="A110" s="7" t="s">
        <v>77</v>
      </c>
      <c r="B110" s="7" t="s">
        <v>78</v>
      </c>
      <c r="C110" s="7" t="s">
        <v>48</v>
      </c>
      <c r="D110" s="9">
        <v>36.94</v>
      </c>
      <c r="E110" s="9">
        <v>47.35</v>
      </c>
      <c r="F110" s="9">
        <v>13.75</v>
      </c>
      <c r="G110" s="8">
        <v>20787.46</v>
      </c>
      <c r="H110" s="8">
        <v>24777.64</v>
      </c>
      <c r="I110" s="8">
        <v>7440.92</v>
      </c>
      <c r="J110" s="7" t="s">
        <v>325</v>
      </c>
    </row>
    <row r="111" spans="1:10" x14ac:dyDescent="0.35">
      <c r="A111" s="7" t="s">
        <v>23</v>
      </c>
      <c r="B111" s="7" t="s">
        <v>44</v>
      </c>
      <c r="C111" s="7" t="s">
        <v>72</v>
      </c>
      <c r="D111" s="9">
        <v>13.43</v>
      </c>
      <c r="E111" s="9">
        <v>25.17</v>
      </c>
      <c r="F111" s="9">
        <v>13.75</v>
      </c>
      <c r="G111" s="8">
        <v>2653.99</v>
      </c>
      <c r="H111" s="8">
        <v>4631.8900000000003</v>
      </c>
      <c r="I111" s="8">
        <v>2221.2600000000002</v>
      </c>
      <c r="J111" s="7" t="s">
        <v>325</v>
      </c>
    </row>
    <row r="112" spans="1:10" x14ac:dyDescent="0.35">
      <c r="A112" s="7" t="s">
        <v>16</v>
      </c>
      <c r="B112" s="7" t="s">
        <v>89</v>
      </c>
      <c r="C112" s="7" t="s">
        <v>46</v>
      </c>
      <c r="D112" s="9">
        <v>56.39</v>
      </c>
      <c r="E112" s="9">
        <v>40.43</v>
      </c>
      <c r="F112" s="9">
        <v>13.58</v>
      </c>
      <c r="G112" s="8">
        <v>65487.97</v>
      </c>
      <c r="H112" s="8">
        <v>47709.54</v>
      </c>
      <c r="I112" s="8">
        <v>16317.43</v>
      </c>
      <c r="J112" s="7" t="s">
        <v>325</v>
      </c>
    </row>
    <row r="113" spans="1:10" ht="26.25" customHeight="1" x14ac:dyDescent="0.35">
      <c r="A113" s="7" t="s">
        <v>40</v>
      </c>
      <c r="B113" s="7" t="s">
        <v>41</v>
      </c>
      <c r="C113" s="7" t="s">
        <v>81</v>
      </c>
      <c r="D113" s="9">
        <v>37.96</v>
      </c>
      <c r="E113" s="9">
        <v>51.34</v>
      </c>
      <c r="F113" s="9">
        <v>13.44</v>
      </c>
      <c r="G113" s="8">
        <v>35252.980000000003</v>
      </c>
      <c r="H113" s="8">
        <v>52530.66</v>
      </c>
      <c r="I113" s="8">
        <v>13805.67</v>
      </c>
      <c r="J113" s="7" t="s">
        <v>325</v>
      </c>
    </row>
    <row r="114" spans="1:10" x14ac:dyDescent="0.35">
      <c r="A114" s="7" t="s">
        <v>20</v>
      </c>
      <c r="B114" s="7" t="s">
        <v>21</v>
      </c>
      <c r="C114" s="7" t="s">
        <v>18</v>
      </c>
      <c r="D114" s="9">
        <v>6.35</v>
      </c>
      <c r="E114" s="9">
        <v>9.26</v>
      </c>
      <c r="F114" s="9">
        <v>12.97</v>
      </c>
      <c r="G114" s="8">
        <v>5009.41</v>
      </c>
      <c r="H114" s="8">
        <v>8449.77</v>
      </c>
      <c r="I114" s="8">
        <v>10972.62</v>
      </c>
      <c r="J114" s="7" t="s">
        <v>325</v>
      </c>
    </row>
    <row r="115" spans="1:10" x14ac:dyDescent="0.35">
      <c r="A115" s="7" t="s">
        <v>40</v>
      </c>
      <c r="B115" s="7" t="s">
        <v>107</v>
      </c>
      <c r="C115" s="7" t="s">
        <v>54</v>
      </c>
      <c r="D115" s="9">
        <v>67</v>
      </c>
      <c r="E115" s="9">
        <v>53.1</v>
      </c>
      <c r="F115" s="9">
        <v>12.83</v>
      </c>
      <c r="G115" s="8">
        <v>67115.92</v>
      </c>
      <c r="H115" s="8">
        <v>69910.63</v>
      </c>
      <c r="I115" s="8">
        <v>19487.009999999998</v>
      </c>
      <c r="J115" s="7" t="s">
        <v>325</v>
      </c>
    </row>
    <row r="116" spans="1:10" x14ac:dyDescent="0.35">
      <c r="A116" s="7" t="s">
        <v>16</v>
      </c>
      <c r="B116" s="7" t="s">
        <v>52</v>
      </c>
      <c r="C116" s="7" t="s">
        <v>33</v>
      </c>
      <c r="D116" s="9">
        <v>0.36</v>
      </c>
      <c r="E116" s="9">
        <v>11.07</v>
      </c>
      <c r="F116" s="9">
        <v>12.7</v>
      </c>
      <c r="G116" s="9">
        <v>254.35</v>
      </c>
      <c r="H116" s="8">
        <v>10816.04</v>
      </c>
      <c r="I116" s="8">
        <v>12511.15</v>
      </c>
      <c r="J116" s="7" t="s">
        <v>325</v>
      </c>
    </row>
    <row r="117" spans="1:10" x14ac:dyDescent="0.35">
      <c r="A117" s="7" t="s">
        <v>16</v>
      </c>
      <c r="B117" s="7" t="s">
        <v>105</v>
      </c>
      <c r="C117" s="7" t="s">
        <v>48</v>
      </c>
      <c r="D117" s="9">
        <v>39.69</v>
      </c>
      <c r="E117" s="9">
        <v>32.82</v>
      </c>
      <c r="F117" s="9">
        <v>12.57</v>
      </c>
      <c r="G117" s="8">
        <v>9564.17</v>
      </c>
      <c r="H117" s="8">
        <v>12827.51</v>
      </c>
      <c r="I117" s="8">
        <v>4641.2700000000004</v>
      </c>
      <c r="J117" s="7" t="s">
        <v>325</v>
      </c>
    </row>
    <row r="118" spans="1:10" x14ac:dyDescent="0.35">
      <c r="A118" s="7" t="s">
        <v>16</v>
      </c>
      <c r="B118" s="7" t="s">
        <v>109</v>
      </c>
      <c r="C118" s="7" t="s">
        <v>27</v>
      </c>
      <c r="D118" s="9">
        <v>37.68</v>
      </c>
      <c r="E118" s="9">
        <v>80.180000000000007</v>
      </c>
      <c r="F118" s="9">
        <v>12.54</v>
      </c>
      <c r="G118" s="8">
        <v>91635.15</v>
      </c>
      <c r="H118" s="8">
        <v>217731.95</v>
      </c>
      <c r="I118" s="8">
        <v>35884.51</v>
      </c>
      <c r="J118" s="7" t="s">
        <v>325</v>
      </c>
    </row>
    <row r="119" spans="1:10" x14ac:dyDescent="0.35">
      <c r="A119" s="7" t="s">
        <v>20</v>
      </c>
      <c r="B119" s="7" t="s">
        <v>68</v>
      </c>
      <c r="C119" s="7" t="s">
        <v>39</v>
      </c>
      <c r="D119" s="9">
        <v>18.79</v>
      </c>
      <c r="E119" s="9">
        <v>28.19</v>
      </c>
      <c r="F119" s="9">
        <v>12.53</v>
      </c>
      <c r="G119" s="9">
        <v>703.56</v>
      </c>
      <c r="H119" s="8">
        <v>1011.44</v>
      </c>
      <c r="I119" s="9">
        <v>369.32</v>
      </c>
      <c r="J119" s="7" t="s">
        <v>325</v>
      </c>
    </row>
    <row r="120" spans="1:10" ht="26.25" customHeight="1" x14ac:dyDescent="0.35">
      <c r="A120" s="7" t="s">
        <v>79</v>
      </c>
      <c r="B120" s="7" t="s">
        <v>91</v>
      </c>
      <c r="C120" s="7" t="s">
        <v>81</v>
      </c>
      <c r="D120" s="9">
        <v>53.03</v>
      </c>
      <c r="E120" s="9">
        <v>52.96</v>
      </c>
      <c r="F120" s="9">
        <v>12.51</v>
      </c>
      <c r="G120" s="8">
        <v>54469.62</v>
      </c>
      <c r="H120" s="8">
        <v>57929.96</v>
      </c>
      <c r="I120" s="8">
        <v>14162</v>
      </c>
      <c r="J120" s="7" t="s">
        <v>325</v>
      </c>
    </row>
    <row r="121" spans="1:10" x14ac:dyDescent="0.35">
      <c r="A121" s="7" t="s">
        <v>40</v>
      </c>
      <c r="B121" s="7" t="s">
        <v>85</v>
      </c>
      <c r="C121" s="7" t="s">
        <v>110</v>
      </c>
      <c r="D121" s="9">
        <v>60.94</v>
      </c>
      <c r="E121" s="9">
        <v>55.81</v>
      </c>
      <c r="F121" s="9">
        <v>12.38</v>
      </c>
      <c r="G121" s="8">
        <v>803379.95</v>
      </c>
      <c r="H121" s="8">
        <v>730592.58</v>
      </c>
      <c r="I121" s="8">
        <v>165734.98000000001</v>
      </c>
      <c r="J121" s="7" t="s">
        <v>325</v>
      </c>
    </row>
    <row r="122" spans="1:10" x14ac:dyDescent="0.35">
      <c r="A122" s="7" t="s">
        <v>20</v>
      </c>
      <c r="B122" s="7" t="s">
        <v>68</v>
      </c>
      <c r="C122" s="7" t="s">
        <v>93</v>
      </c>
      <c r="D122" s="9">
        <v>21.63</v>
      </c>
      <c r="E122" s="9">
        <v>35.700000000000003</v>
      </c>
      <c r="F122" s="9">
        <v>12.34</v>
      </c>
      <c r="G122" s="8">
        <v>2765.43</v>
      </c>
      <c r="H122" s="8">
        <v>4327.1400000000003</v>
      </c>
      <c r="I122" s="8">
        <v>1532.78</v>
      </c>
      <c r="J122" s="7" t="s">
        <v>325</v>
      </c>
    </row>
    <row r="123" spans="1:10" x14ac:dyDescent="0.35">
      <c r="A123" s="7" t="s">
        <v>40</v>
      </c>
      <c r="B123" s="7" t="s">
        <v>64</v>
      </c>
      <c r="C123" s="7" t="s">
        <v>51</v>
      </c>
      <c r="D123" s="9">
        <v>68.77</v>
      </c>
      <c r="E123" s="9">
        <v>24.2</v>
      </c>
      <c r="F123" s="9">
        <v>12.16</v>
      </c>
      <c r="G123" s="8">
        <v>52665.75</v>
      </c>
      <c r="H123" s="8">
        <v>20869.439999999999</v>
      </c>
      <c r="I123" s="8">
        <v>8776.6</v>
      </c>
      <c r="J123" s="7" t="s">
        <v>325</v>
      </c>
    </row>
    <row r="124" spans="1:10" x14ac:dyDescent="0.35">
      <c r="A124" s="7" t="s">
        <v>20</v>
      </c>
      <c r="B124" s="7" t="s">
        <v>111</v>
      </c>
      <c r="C124" s="7" t="s">
        <v>27</v>
      </c>
      <c r="D124" s="9">
        <v>137.74</v>
      </c>
      <c r="E124" s="9">
        <v>25.49</v>
      </c>
      <c r="F124" s="9">
        <v>12.09</v>
      </c>
      <c r="G124" s="8">
        <v>345569.53</v>
      </c>
      <c r="H124" s="8">
        <v>66867.39</v>
      </c>
      <c r="I124" s="8">
        <v>33368.99</v>
      </c>
      <c r="J124" s="7" t="s">
        <v>325</v>
      </c>
    </row>
    <row r="125" spans="1:10" x14ac:dyDescent="0.35">
      <c r="A125" s="7" t="s">
        <v>35</v>
      </c>
      <c r="B125" s="7" t="s">
        <v>38</v>
      </c>
      <c r="C125" s="7" t="s">
        <v>27</v>
      </c>
      <c r="D125" s="9">
        <v>48.63</v>
      </c>
      <c r="E125" s="9">
        <v>48.01</v>
      </c>
      <c r="F125" s="9">
        <v>11.99</v>
      </c>
      <c r="G125" s="8">
        <v>71818.600000000006</v>
      </c>
      <c r="H125" s="8">
        <v>70584.12</v>
      </c>
      <c r="I125" s="8">
        <v>17976.349999999999</v>
      </c>
      <c r="J125" s="7" t="s">
        <v>325</v>
      </c>
    </row>
    <row r="126" spans="1:10" x14ac:dyDescent="0.35">
      <c r="A126" s="7" t="s">
        <v>20</v>
      </c>
      <c r="B126" s="7" t="s">
        <v>21</v>
      </c>
      <c r="C126" s="7" t="s">
        <v>83</v>
      </c>
      <c r="D126" s="9">
        <v>76.41</v>
      </c>
      <c r="E126" s="9">
        <v>79.89</v>
      </c>
      <c r="F126" s="9">
        <v>11.97</v>
      </c>
      <c r="G126" s="8">
        <v>50877.85</v>
      </c>
      <c r="H126" s="8">
        <v>39788.870000000003</v>
      </c>
      <c r="I126" s="8">
        <v>6110.73</v>
      </c>
      <c r="J126" s="7" t="s">
        <v>325</v>
      </c>
    </row>
    <row r="127" spans="1:10" x14ac:dyDescent="0.35">
      <c r="A127" s="7" t="s">
        <v>94</v>
      </c>
      <c r="B127" s="7" t="s">
        <v>112</v>
      </c>
      <c r="C127" s="7" t="s">
        <v>113</v>
      </c>
      <c r="D127" s="9">
        <v>13.75</v>
      </c>
      <c r="E127" s="9">
        <v>1.44</v>
      </c>
      <c r="F127" s="9">
        <v>11.96</v>
      </c>
      <c r="G127" s="8">
        <v>47274.559999999998</v>
      </c>
      <c r="H127" s="8">
        <v>4483.41</v>
      </c>
      <c r="I127" s="8">
        <v>45192.58</v>
      </c>
      <c r="J127" s="7" t="s">
        <v>325</v>
      </c>
    </row>
    <row r="128" spans="1:10" x14ac:dyDescent="0.35">
      <c r="A128" s="7" t="s">
        <v>77</v>
      </c>
      <c r="B128" s="7" t="s">
        <v>78</v>
      </c>
      <c r="C128" s="7" t="s">
        <v>54</v>
      </c>
      <c r="D128" s="9">
        <v>18.190000000000001</v>
      </c>
      <c r="E128" s="9">
        <v>37.299999999999997</v>
      </c>
      <c r="F128" s="9">
        <v>11.87</v>
      </c>
      <c r="G128" s="8">
        <v>8566.2999999999993</v>
      </c>
      <c r="H128" s="8">
        <v>14820.36</v>
      </c>
      <c r="I128" s="8">
        <v>4443.5200000000004</v>
      </c>
      <c r="J128" s="7" t="s">
        <v>325</v>
      </c>
    </row>
    <row r="129" spans="1:10" x14ac:dyDescent="0.35">
      <c r="A129" s="7" t="s">
        <v>77</v>
      </c>
      <c r="B129" s="7" t="s">
        <v>78</v>
      </c>
      <c r="C129" s="7" t="s">
        <v>110</v>
      </c>
      <c r="D129" s="9">
        <v>28.51</v>
      </c>
      <c r="E129" s="9">
        <v>124.38</v>
      </c>
      <c r="F129" s="9">
        <v>11.86</v>
      </c>
      <c r="G129" s="8">
        <v>365871.02</v>
      </c>
      <c r="H129" s="8">
        <v>1588068.39</v>
      </c>
      <c r="I129" s="8">
        <v>166062.6</v>
      </c>
      <c r="J129" s="7" t="s">
        <v>325</v>
      </c>
    </row>
    <row r="130" spans="1:10" x14ac:dyDescent="0.35">
      <c r="A130" s="7" t="s">
        <v>20</v>
      </c>
      <c r="B130" s="7" t="s">
        <v>21</v>
      </c>
      <c r="C130" s="7" t="s">
        <v>114</v>
      </c>
      <c r="D130" s="9">
        <v>3.13</v>
      </c>
      <c r="E130" s="9">
        <v>13.56</v>
      </c>
      <c r="F130" s="9">
        <v>11.68</v>
      </c>
      <c r="G130" s="9">
        <v>352.2</v>
      </c>
      <c r="H130" s="8">
        <v>2044.88</v>
      </c>
      <c r="I130" s="8">
        <v>1865.11</v>
      </c>
      <c r="J130" s="7" t="s">
        <v>325</v>
      </c>
    </row>
    <row r="131" spans="1:10" x14ac:dyDescent="0.35">
      <c r="A131" s="7" t="s">
        <v>20</v>
      </c>
      <c r="B131" s="7" t="s">
        <v>21</v>
      </c>
      <c r="C131" s="7" t="s">
        <v>102</v>
      </c>
      <c r="D131" s="9">
        <v>58.8</v>
      </c>
      <c r="E131" s="9">
        <v>57.09</v>
      </c>
      <c r="F131" s="9">
        <v>11.67</v>
      </c>
      <c r="G131" s="8">
        <v>85714.33</v>
      </c>
      <c r="H131" s="8">
        <v>82387.929999999993</v>
      </c>
      <c r="I131" s="8">
        <v>18144.22</v>
      </c>
      <c r="J131" s="7" t="s">
        <v>325</v>
      </c>
    </row>
    <row r="132" spans="1:10" x14ac:dyDescent="0.35">
      <c r="A132" s="7" t="s">
        <v>16</v>
      </c>
      <c r="B132" s="7" t="s">
        <v>17</v>
      </c>
      <c r="C132" s="7" t="s">
        <v>65</v>
      </c>
      <c r="D132" s="9">
        <v>24.14</v>
      </c>
      <c r="E132" s="9">
        <v>21.86</v>
      </c>
      <c r="F132" s="9">
        <v>11.56</v>
      </c>
      <c r="G132" s="8">
        <v>36895.589999999997</v>
      </c>
      <c r="H132" s="8">
        <v>36588.53</v>
      </c>
      <c r="I132" s="8">
        <v>21430.19</v>
      </c>
      <c r="J132" s="7" t="s">
        <v>325</v>
      </c>
    </row>
    <row r="133" spans="1:10" x14ac:dyDescent="0.35">
      <c r="A133" s="7" t="s">
        <v>66</v>
      </c>
      <c r="B133" s="7" t="s">
        <v>71</v>
      </c>
      <c r="C133" s="7" t="s">
        <v>60</v>
      </c>
      <c r="D133" s="9">
        <v>15.46</v>
      </c>
      <c r="E133" s="9">
        <v>16.97</v>
      </c>
      <c r="F133" s="9">
        <v>11.46</v>
      </c>
      <c r="G133" s="8">
        <v>15169.76</v>
      </c>
      <c r="H133" s="8">
        <v>12421.19</v>
      </c>
      <c r="I133" s="8">
        <v>10488.79</v>
      </c>
      <c r="J133" s="7" t="s">
        <v>325</v>
      </c>
    </row>
    <row r="134" spans="1:10" x14ac:dyDescent="0.35">
      <c r="A134" s="7" t="s">
        <v>16</v>
      </c>
      <c r="B134" s="7" t="s">
        <v>115</v>
      </c>
      <c r="C134" s="7" t="s">
        <v>42</v>
      </c>
      <c r="D134" s="9">
        <v>93.21</v>
      </c>
      <c r="E134" s="9">
        <v>60.66</v>
      </c>
      <c r="F134" s="9">
        <v>11.1</v>
      </c>
      <c r="G134" s="8">
        <v>68304.240000000005</v>
      </c>
      <c r="H134" s="8">
        <v>58602.01</v>
      </c>
      <c r="I134" s="8">
        <v>11891.11</v>
      </c>
      <c r="J134" s="7" t="s">
        <v>325</v>
      </c>
    </row>
    <row r="135" spans="1:10" x14ac:dyDescent="0.35">
      <c r="A135" s="7" t="s">
        <v>31</v>
      </c>
      <c r="B135" s="7" t="s">
        <v>32</v>
      </c>
      <c r="C135" s="7" t="s">
        <v>22</v>
      </c>
      <c r="D135" s="9">
        <v>1.06</v>
      </c>
      <c r="E135" s="9">
        <v>37.340000000000003</v>
      </c>
      <c r="F135" s="9">
        <v>11.02</v>
      </c>
      <c r="G135" s="9">
        <v>365.37</v>
      </c>
      <c r="H135" s="8">
        <v>11107.42</v>
      </c>
      <c r="I135" s="8">
        <v>2463.48</v>
      </c>
      <c r="J135" s="7" t="s">
        <v>325</v>
      </c>
    </row>
    <row r="136" spans="1:10" x14ac:dyDescent="0.35">
      <c r="A136" s="7" t="s">
        <v>31</v>
      </c>
      <c r="B136" s="7" t="s">
        <v>32</v>
      </c>
      <c r="C136" s="7" t="s">
        <v>116</v>
      </c>
      <c r="D136" s="9">
        <v>22.96</v>
      </c>
      <c r="E136" s="9">
        <v>16.16</v>
      </c>
      <c r="F136" s="9">
        <v>10.91</v>
      </c>
      <c r="G136" s="8">
        <v>116803.64</v>
      </c>
      <c r="H136" s="8">
        <v>110381.09</v>
      </c>
      <c r="I136" s="8">
        <v>67008.160000000003</v>
      </c>
      <c r="J136" s="7" t="s">
        <v>325</v>
      </c>
    </row>
    <row r="137" spans="1:10" x14ac:dyDescent="0.35">
      <c r="A137" s="7" t="s">
        <v>40</v>
      </c>
      <c r="B137" s="7" t="s">
        <v>85</v>
      </c>
      <c r="C137" s="7" t="s">
        <v>62</v>
      </c>
      <c r="D137" s="9">
        <v>26.8</v>
      </c>
      <c r="E137" s="9">
        <v>1.56</v>
      </c>
      <c r="F137" s="9">
        <v>10.87</v>
      </c>
      <c r="G137" s="8">
        <v>89842.96</v>
      </c>
      <c r="H137" s="8">
        <v>6791.52</v>
      </c>
      <c r="I137" s="8">
        <v>47382</v>
      </c>
      <c r="J137" s="7" t="s">
        <v>325</v>
      </c>
    </row>
    <row r="138" spans="1:10" x14ac:dyDescent="0.35">
      <c r="A138" s="7" t="s">
        <v>40</v>
      </c>
      <c r="B138" s="7" t="s">
        <v>117</v>
      </c>
      <c r="C138" s="7" t="s">
        <v>51</v>
      </c>
      <c r="D138" s="9">
        <v>40.72</v>
      </c>
      <c r="E138" s="9">
        <v>11.17</v>
      </c>
      <c r="F138" s="9">
        <v>10.63</v>
      </c>
      <c r="G138" s="8">
        <v>30748.44</v>
      </c>
      <c r="H138" s="8">
        <v>9843.43</v>
      </c>
      <c r="I138" s="8">
        <v>8171.67</v>
      </c>
      <c r="J138" s="7" t="s">
        <v>325</v>
      </c>
    </row>
    <row r="139" spans="1:10" x14ac:dyDescent="0.35">
      <c r="A139" s="7" t="s">
        <v>35</v>
      </c>
      <c r="B139" s="7" t="s">
        <v>37</v>
      </c>
      <c r="C139" s="7" t="s">
        <v>118</v>
      </c>
      <c r="D139" s="9">
        <v>18.45</v>
      </c>
      <c r="E139" s="9">
        <v>24.56</v>
      </c>
      <c r="F139" s="9">
        <v>10.46</v>
      </c>
      <c r="G139" s="8">
        <v>11760.5</v>
      </c>
      <c r="H139" s="8">
        <v>13039.56</v>
      </c>
      <c r="I139" s="8">
        <v>6667.84</v>
      </c>
      <c r="J139" s="7" t="s">
        <v>325</v>
      </c>
    </row>
    <row r="140" spans="1:10" x14ac:dyDescent="0.35">
      <c r="A140" s="7" t="s">
        <v>66</v>
      </c>
      <c r="B140" s="7" t="s">
        <v>73</v>
      </c>
      <c r="C140" s="7" t="s">
        <v>118</v>
      </c>
      <c r="D140" s="9">
        <v>34.89</v>
      </c>
      <c r="E140" s="9">
        <v>24.5</v>
      </c>
      <c r="F140" s="9">
        <v>10.44</v>
      </c>
      <c r="G140" s="8">
        <v>21221.03</v>
      </c>
      <c r="H140" s="8">
        <v>12719.23</v>
      </c>
      <c r="I140" s="8">
        <v>5917.69</v>
      </c>
      <c r="J140" s="7" t="s">
        <v>325</v>
      </c>
    </row>
    <row r="141" spans="1:10" x14ac:dyDescent="0.35">
      <c r="A141" s="7" t="s">
        <v>66</v>
      </c>
      <c r="B141" s="7" t="s">
        <v>73</v>
      </c>
      <c r="C141" s="7" t="s">
        <v>48</v>
      </c>
      <c r="D141" s="9">
        <v>23.24</v>
      </c>
      <c r="E141" s="9">
        <v>45.92</v>
      </c>
      <c r="F141" s="9">
        <v>10.39</v>
      </c>
      <c r="G141" s="8">
        <v>15819.99</v>
      </c>
      <c r="H141" s="8">
        <v>23408.84</v>
      </c>
      <c r="I141" s="8">
        <v>5042.2</v>
      </c>
      <c r="J141" s="7" t="s">
        <v>325</v>
      </c>
    </row>
    <row r="142" spans="1:10" x14ac:dyDescent="0.35">
      <c r="A142" s="7" t="s">
        <v>20</v>
      </c>
      <c r="B142" s="7" t="s">
        <v>21</v>
      </c>
      <c r="C142" s="7" t="s">
        <v>110</v>
      </c>
      <c r="D142" s="9">
        <v>0.27</v>
      </c>
      <c r="E142" s="9">
        <v>1.73</v>
      </c>
      <c r="F142" s="9">
        <v>10.37</v>
      </c>
      <c r="G142" s="8">
        <v>2564.5100000000002</v>
      </c>
      <c r="H142" s="8">
        <v>14147.74</v>
      </c>
      <c r="I142" s="8">
        <v>125583.98</v>
      </c>
      <c r="J142" s="7" t="s">
        <v>325</v>
      </c>
    </row>
    <row r="143" spans="1:10" x14ac:dyDescent="0.35">
      <c r="A143" s="7" t="s">
        <v>66</v>
      </c>
      <c r="B143" s="7" t="s">
        <v>108</v>
      </c>
      <c r="C143" s="7" t="s">
        <v>48</v>
      </c>
      <c r="D143" s="9">
        <v>29.27</v>
      </c>
      <c r="E143" s="9">
        <v>34.74</v>
      </c>
      <c r="F143" s="9">
        <v>10.33</v>
      </c>
      <c r="G143" s="8">
        <v>12592.58</v>
      </c>
      <c r="H143" s="8">
        <v>18998.11</v>
      </c>
      <c r="I143" s="8">
        <v>5608.29</v>
      </c>
      <c r="J143" s="7" t="s">
        <v>325</v>
      </c>
    </row>
    <row r="144" spans="1:10" x14ac:dyDescent="0.35">
      <c r="A144" s="7" t="s">
        <v>35</v>
      </c>
      <c r="B144" s="7" t="s">
        <v>38</v>
      </c>
      <c r="C144" s="7" t="s">
        <v>118</v>
      </c>
      <c r="D144" s="9">
        <v>45.47</v>
      </c>
      <c r="E144" s="9">
        <v>40.950000000000003</v>
      </c>
      <c r="F144" s="9">
        <v>10.19</v>
      </c>
      <c r="G144" s="8">
        <v>25939.73</v>
      </c>
      <c r="H144" s="8">
        <v>22021.200000000001</v>
      </c>
      <c r="I144" s="8">
        <v>6923.55</v>
      </c>
      <c r="J144" s="7" t="s">
        <v>325</v>
      </c>
    </row>
    <row r="145" spans="1:10" x14ac:dyDescent="0.35">
      <c r="A145" s="7" t="s">
        <v>20</v>
      </c>
      <c r="B145" s="7" t="s">
        <v>119</v>
      </c>
      <c r="C145" s="7" t="s">
        <v>60</v>
      </c>
      <c r="D145" s="9">
        <v>10.07</v>
      </c>
      <c r="E145" s="9">
        <v>17.37</v>
      </c>
      <c r="F145" s="9">
        <v>10.08</v>
      </c>
      <c r="G145" s="9">
        <v>980.03</v>
      </c>
      <c r="H145" s="8">
        <v>1246.1300000000001</v>
      </c>
      <c r="I145" s="9">
        <v>679.96</v>
      </c>
      <c r="J145" s="7" t="s">
        <v>325</v>
      </c>
    </row>
    <row r="146" spans="1:10" x14ac:dyDescent="0.35">
      <c r="A146" s="7" t="s">
        <v>20</v>
      </c>
      <c r="B146" s="7" t="s">
        <v>68</v>
      </c>
      <c r="C146" s="7" t="s">
        <v>102</v>
      </c>
      <c r="D146" s="9">
        <v>34.4</v>
      </c>
      <c r="E146" s="9">
        <v>38.53</v>
      </c>
      <c r="F146" s="9">
        <v>10.07</v>
      </c>
      <c r="G146" s="8">
        <v>23226.48</v>
      </c>
      <c r="H146" s="8">
        <v>22836.21</v>
      </c>
      <c r="I146" s="8">
        <v>6651.16</v>
      </c>
      <c r="J146" s="7" t="s">
        <v>325</v>
      </c>
    </row>
    <row r="147" spans="1:10" x14ac:dyDescent="0.35">
      <c r="A147" s="7" t="s">
        <v>23</v>
      </c>
      <c r="B147" s="7" t="s">
        <v>120</v>
      </c>
      <c r="C147" s="7" t="s">
        <v>39</v>
      </c>
      <c r="D147" s="9">
        <v>28.7</v>
      </c>
      <c r="E147" s="9">
        <v>20.46</v>
      </c>
      <c r="F147" s="9">
        <v>9.93</v>
      </c>
      <c r="G147" s="8">
        <v>68146.64</v>
      </c>
      <c r="H147" s="8">
        <v>49398.85</v>
      </c>
      <c r="I147" s="8">
        <v>21646.73</v>
      </c>
      <c r="J147" s="7" t="s">
        <v>325</v>
      </c>
    </row>
    <row r="148" spans="1:10" x14ac:dyDescent="0.35">
      <c r="A148" s="7" t="s">
        <v>16</v>
      </c>
      <c r="B148" s="7" t="s">
        <v>89</v>
      </c>
      <c r="C148" s="7" t="s">
        <v>72</v>
      </c>
      <c r="D148" s="9">
        <v>22.07</v>
      </c>
      <c r="E148" s="9">
        <v>26.75</v>
      </c>
      <c r="F148" s="9">
        <v>9.7899999999999991</v>
      </c>
      <c r="G148" s="8">
        <v>4890.55</v>
      </c>
      <c r="H148" s="8">
        <v>7502.13</v>
      </c>
      <c r="I148" s="8">
        <v>3045.02</v>
      </c>
      <c r="J148" s="7" t="s">
        <v>325</v>
      </c>
    </row>
    <row r="149" spans="1:10" x14ac:dyDescent="0.35">
      <c r="A149" s="7" t="s">
        <v>86</v>
      </c>
      <c r="B149" s="7" t="s">
        <v>87</v>
      </c>
      <c r="C149" s="7" t="s">
        <v>39</v>
      </c>
      <c r="D149" s="9">
        <v>20.84</v>
      </c>
      <c r="E149" s="9">
        <v>30.29</v>
      </c>
      <c r="F149" s="9">
        <v>9.73</v>
      </c>
      <c r="G149" s="9">
        <v>901.27</v>
      </c>
      <c r="H149" s="8">
        <v>1384.59</v>
      </c>
      <c r="I149" s="9">
        <v>555.76</v>
      </c>
      <c r="J149" s="7" t="s">
        <v>325</v>
      </c>
    </row>
    <row r="150" spans="1:10" x14ac:dyDescent="0.35">
      <c r="A150" s="7" t="s">
        <v>16</v>
      </c>
      <c r="B150" s="7" t="s">
        <v>28</v>
      </c>
      <c r="C150" s="7" t="s">
        <v>113</v>
      </c>
      <c r="D150" s="9">
        <v>0</v>
      </c>
      <c r="E150" s="9">
        <v>0</v>
      </c>
      <c r="F150" s="9">
        <v>9.68</v>
      </c>
      <c r="G150" s="9">
        <v>0.27</v>
      </c>
      <c r="H150" s="9">
        <v>0</v>
      </c>
      <c r="I150" s="8">
        <v>35630</v>
      </c>
      <c r="J150" s="7" t="s">
        <v>325</v>
      </c>
    </row>
    <row r="151" spans="1:10" x14ac:dyDescent="0.35">
      <c r="A151" s="7" t="s">
        <v>49</v>
      </c>
      <c r="B151" s="7" t="s">
        <v>121</v>
      </c>
      <c r="C151" s="7" t="s">
        <v>46</v>
      </c>
      <c r="D151" s="9">
        <v>15.89</v>
      </c>
      <c r="E151" s="9">
        <v>9.3000000000000007</v>
      </c>
      <c r="F151" s="9">
        <v>9.66</v>
      </c>
      <c r="G151" s="8">
        <v>11766.04</v>
      </c>
      <c r="H151" s="8">
        <v>7279.52</v>
      </c>
      <c r="I151" s="8">
        <v>8588.58</v>
      </c>
      <c r="J151" s="7" t="s">
        <v>325</v>
      </c>
    </row>
    <row r="152" spans="1:10" x14ac:dyDescent="0.35">
      <c r="A152" s="7" t="s">
        <v>79</v>
      </c>
      <c r="B152" s="7" t="s">
        <v>80</v>
      </c>
      <c r="C152" s="7" t="s">
        <v>42</v>
      </c>
      <c r="D152" s="9">
        <v>25.96</v>
      </c>
      <c r="E152" s="9">
        <v>24.33</v>
      </c>
      <c r="F152" s="9">
        <v>9.65</v>
      </c>
      <c r="G152" s="8">
        <v>15582.02</v>
      </c>
      <c r="H152" s="8">
        <v>16885.41</v>
      </c>
      <c r="I152" s="8">
        <v>6823.43</v>
      </c>
      <c r="J152" s="7" t="s">
        <v>325</v>
      </c>
    </row>
    <row r="153" spans="1:10" x14ac:dyDescent="0.35">
      <c r="A153" s="7" t="s">
        <v>94</v>
      </c>
      <c r="B153" s="7" t="s">
        <v>95</v>
      </c>
      <c r="C153" s="7" t="s">
        <v>62</v>
      </c>
      <c r="D153" s="9">
        <v>46.91</v>
      </c>
      <c r="E153" s="9">
        <v>46.97</v>
      </c>
      <c r="F153" s="9">
        <v>9.5399999999999991</v>
      </c>
      <c r="G153" s="8">
        <v>159804.39000000001</v>
      </c>
      <c r="H153" s="8">
        <v>158544.15</v>
      </c>
      <c r="I153" s="8">
        <v>40284.620000000003</v>
      </c>
      <c r="J153" s="7" t="s">
        <v>325</v>
      </c>
    </row>
    <row r="154" spans="1:10" x14ac:dyDescent="0.35">
      <c r="A154" s="7" t="s">
        <v>20</v>
      </c>
      <c r="B154" s="7" t="s">
        <v>21</v>
      </c>
      <c r="C154" s="7" t="s">
        <v>76</v>
      </c>
      <c r="D154" s="9">
        <v>25.55</v>
      </c>
      <c r="E154" s="9">
        <v>18.489999999999998</v>
      </c>
      <c r="F154" s="9">
        <v>9.44</v>
      </c>
      <c r="G154" s="8">
        <v>16996.64</v>
      </c>
      <c r="H154" s="8">
        <v>12516.43</v>
      </c>
      <c r="I154" s="8">
        <v>6534.01</v>
      </c>
      <c r="J154" s="7" t="s">
        <v>325</v>
      </c>
    </row>
    <row r="155" spans="1:10" x14ac:dyDescent="0.35">
      <c r="A155" s="7" t="s">
        <v>20</v>
      </c>
      <c r="B155" s="7" t="s">
        <v>82</v>
      </c>
      <c r="C155" s="7" t="s">
        <v>55</v>
      </c>
      <c r="D155" s="9">
        <v>73.290000000000006</v>
      </c>
      <c r="E155" s="9">
        <v>51.87</v>
      </c>
      <c r="F155" s="9">
        <v>9.34</v>
      </c>
      <c r="G155" s="8">
        <v>256963.32</v>
      </c>
      <c r="H155" s="8">
        <v>220099.12</v>
      </c>
      <c r="I155" s="8">
        <v>39038.83</v>
      </c>
      <c r="J155" s="7" t="s">
        <v>325</v>
      </c>
    </row>
    <row r="156" spans="1:10" x14ac:dyDescent="0.35">
      <c r="A156" s="7" t="s">
        <v>40</v>
      </c>
      <c r="B156" s="7" t="s">
        <v>117</v>
      </c>
      <c r="C156" s="7" t="s">
        <v>27</v>
      </c>
      <c r="D156" s="9">
        <v>3.84</v>
      </c>
      <c r="E156" s="9">
        <v>9.77</v>
      </c>
      <c r="F156" s="9">
        <v>8.8699999999999992</v>
      </c>
      <c r="G156" s="8">
        <v>5659.83</v>
      </c>
      <c r="H156" s="8">
        <v>20358.53</v>
      </c>
      <c r="I156" s="8">
        <v>18654.53</v>
      </c>
      <c r="J156" s="7" t="s">
        <v>325</v>
      </c>
    </row>
    <row r="157" spans="1:10" x14ac:dyDescent="0.35">
      <c r="A157" s="7" t="s">
        <v>35</v>
      </c>
      <c r="B157" s="7" t="s">
        <v>88</v>
      </c>
      <c r="C157" s="7" t="s">
        <v>22</v>
      </c>
      <c r="D157" s="9">
        <v>36.1</v>
      </c>
      <c r="E157" s="9">
        <v>0</v>
      </c>
      <c r="F157" s="9">
        <v>8.7899999999999991</v>
      </c>
      <c r="G157" s="8">
        <v>12192.77</v>
      </c>
      <c r="H157" s="9">
        <v>0</v>
      </c>
      <c r="I157" s="8">
        <v>1931.3</v>
      </c>
      <c r="J157" s="7" t="s">
        <v>325</v>
      </c>
    </row>
    <row r="158" spans="1:10" x14ac:dyDescent="0.35">
      <c r="A158" s="7" t="s">
        <v>23</v>
      </c>
      <c r="B158" s="7" t="s">
        <v>24</v>
      </c>
      <c r="C158" s="7" t="s">
        <v>39</v>
      </c>
      <c r="D158" s="9">
        <v>21.1</v>
      </c>
      <c r="E158" s="9">
        <v>25.14</v>
      </c>
      <c r="F158" s="9">
        <v>8.73</v>
      </c>
      <c r="G158" s="8">
        <v>8281.0499999999993</v>
      </c>
      <c r="H158" s="8">
        <v>8941.86</v>
      </c>
      <c r="I158" s="8">
        <v>3531.05</v>
      </c>
      <c r="J158" s="7" t="s">
        <v>325</v>
      </c>
    </row>
    <row r="159" spans="1:10" x14ac:dyDescent="0.35">
      <c r="A159" s="7" t="s">
        <v>35</v>
      </c>
      <c r="B159" s="7" t="s">
        <v>36</v>
      </c>
      <c r="C159" s="7" t="s">
        <v>118</v>
      </c>
      <c r="D159" s="9">
        <v>15.86</v>
      </c>
      <c r="E159" s="9">
        <v>28.54</v>
      </c>
      <c r="F159" s="9">
        <v>8.67</v>
      </c>
      <c r="G159" s="8">
        <v>10189.84</v>
      </c>
      <c r="H159" s="8">
        <v>15334.91</v>
      </c>
      <c r="I159" s="8">
        <v>5437.68</v>
      </c>
      <c r="J159" s="7" t="s">
        <v>325</v>
      </c>
    </row>
    <row r="160" spans="1:10" x14ac:dyDescent="0.35">
      <c r="A160" s="7" t="s">
        <v>35</v>
      </c>
      <c r="B160" s="7" t="s">
        <v>36</v>
      </c>
      <c r="C160" s="7" t="s">
        <v>48</v>
      </c>
      <c r="D160" s="9">
        <v>1.88</v>
      </c>
      <c r="E160" s="9">
        <v>4.46</v>
      </c>
      <c r="F160" s="9">
        <v>8.66</v>
      </c>
      <c r="G160" s="9">
        <v>920.82</v>
      </c>
      <c r="H160" s="8">
        <v>1702.81</v>
      </c>
      <c r="I160" s="8">
        <v>2680.61</v>
      </c>
      <c r="J160" s="7" t="s">
        <v>325</v>
      </c>
    </row>
    <row r="161" spans="1:10" x14ac:dyDescent="0.35">
      <c r="A161" s="7" t="s">
        <v>16</v>
      </c>
      <c r="B161" s="7" t="s">
        <v>89</v>
      </c>
      <c r="C161" s="7" t="s">
        <v>39</v>
      </c>
      <c r="D161" s="9">
        <v>38.82</v>
      </c>
      <c r="E161" s="9">
        <v>27.21</v>
      </c>
      <c r="F161" s="9">
        <v>8.56</v>
      </c>
      <c r="G161" s="8">
        <v>16422.13</v>
      </c>
      <c r="H161" s="8">
        <v>12942.91</v>
      </c>
      <c r="I161" s="8">
        <v>4961.21</v>
      </c>
      <c r="J161" s="7" t="s">
        <v>325</v>
      </c>
    </row>
    <row r="162" spans="1:10" x14ac:dyDescent="0.35">
      <c r="A162" s="7" t="s">
        <v>35</v>
      </c>
      <c r="B162" s="7" t="s">
        <v>38</v>
      </c>
      <c r="C162" s="7" t="s">
        <v>39</v>
      </c>
      <c r="D162" s="9">
        <v>16.77</v>
      </c>
      <c r="E162" s="9">
        <v>25.69</v>
      </c>
      <c r="F162" s="9">
        <v>8.39</v>
      </c>
      <c r="G162" s="8">
        <v>6319.57</v>
      </c>
      <c r="H162" s="8">
        <v>11925.51</v>
      </c>
      <c r="I162" s="8">
        <v>4513.1000000000004</v>
      </c>
      <c r="J162" s="7" t="s">
        <v>325</v>
      </c>
    </row>
    <row r="163" spans="1:10" x14ac:dyDescent="0.35">
      <c r="A163" s="7" t="s">
        <v>74</v>
      </c>
      <c r="B163" s="7" t="s">
        <v>98</v>
      </c>
      <c r="C163" s="7" t="s">
        <v>27</v>
      </c>
      <c r="D163" s="9">
        <v>0.3</v>
      </c>
      <c r="E163" s="9">
        <v>4.38</v>
      </c>
      <c r="F163" s="9">
        <v>8.2799999999999994</v>
      </c>
      <c r="G163" s="9">
        <v>299.73</v>
      </c>
      <c r="H163" s="8">
        <v>2057.31</v>
      </c>
      <c r="I163" s="8">
        <v>3697.41</v>
      </c>
      <c r="J163" s="7" t="s">
        <v>325</v>
      </c>
    </row>
    <row r="164" spans="1:10" x14ac:dyDescent="0.35">
      <c r="A164" s="7" t="s">
        <v>16</v>
      </c>
      <c r="B164" s="7" t="s">
        <v>109</v>
      </c>
      <c r="C164" s="7" t="s">
        <v>42</v>
      </c>
      <c r="D164" s="9">
        <v>23.98</v>
      </c>
      <c r="E164" s="9">
        <v>23.45</v>
      </c>
      <c r="F164" s="9">
        <v>8.26</v>
      </c>
      <c r="G164" s="8">
        <v>14866.81</v>
      </c>
      <c r="H164" s="8">
        <v>14230.5</v>
      </c>
      <c r="I164" s="8">
        <v>4684.8599999999997</v>
      </c>
      <c r="J164" s="7" t="s">
        <v>325</v>
      </c>
    </row>
    <row r="165" spans="1:10" x14ac:dyDescent="0.35">
      <c r="A165" s="7" t="s">
        <v>20</v>
      </c>
      <c r="B165" s="7" t="s">
        <v>68</v>
      </c>
      <c r="C165" s="7" t="s">
        <v>122</v>
      </c>
      <c r="D165" s="9">
        <v>23.92</v>
      </c>
      <c r="E165" s="9">
        <v>27.67</v>
      </c>
      <c r="F165" s="9">
        <v>8.19</v>
      </c>
      <c r="G165" s="9">
        <v>954.41</v>
      </c>
      <c r="H165" s="8">
        <v>1051.9000000000001</v>
      </c>
      <c r="I165" s="9">
        <v>229.17</v>
      </c>
      <c r="J165" s="7" t="s">
        <v>325</v>
      </c>
    </row>
    <row r="166" spans="1:10" x14ac:dyDescent="0.35">
      <c r="A166" s="7" t="s">
        <v>66</v>
      </c>
      <c r="B166" s="7" t="s">
        <v>100</v>
      </c>
      <c r="C166" s="7" t="s">
        <v>48</v>
      </c>
      <c r="D166" s="9">
        <v>0</v>
      </c>
      <c r="E166" s="9">
        <v>12.62</v>
      </c>
      <c r="F166" s="9">
        <v>8.14</v>
      </c>
      <c r="G166" s="9">
        <v>0</v>
      </c>
      <c r="H166" s="8">
        <v>8906.42</v>
      </c>
      <c r="I166" s="8">
        <v>5389.16</v>
      </c>
      <c r="J166" s="7" t="s">
        <v>325</v>
      </c>
    </row>
    <row r="167" spans="1:10" x14ac:dyDescent="0.35">
      <c r="A167" s="7" t="s">
        <v>94</v>
      </c>
      <c r="B167" s="7" t="s">
        <v>95</v>
      </c>
      <c r="C167" s="7" t="s">
        <v>39</v>
      </c>
      <c r="D167" s="9">
        <v>21.43</v>
      </c>
      <c r="E167" s="9">
        <v>25.86</v>
      </c>
      <c r="F167" s="9">
        <v>8.1</v>
      </c>
      <c r="G167" s="8">
        <v>9063.6200000000008</v>
      </c>
      <c r="H167" s="8">
        <v>12939.94</v>
      </c>
      <c r="I167" s="8">
        <v>4633.3500000000004</v>
      </c>
      <c r="J167" s="7" t="s">
        <v>325</v>
      </c>
    </row>
    <row r="168" spans="1:10" x14ac:dyDescent="0.35">
      <c r="A168" s="7" t="s">
        <v>23</v>
      </c>
      <c r="B168" s="7" t="s">
        <v>123</v>
      </c>
      <c r="C168" s="7" t="s">
        <v>113</v>
      </c>
      <c r="D168" s="9">
        <v>21.87</v>
      </c>
      <c r="E168" s="9">
        <v>2.48</v>
      </c>
      <c r="F168" s="9">
        <v>8.06</v>
      </c>
      <c r="G168" s="8">
        <v>71141.45</v>
      </c>
      <c r="H168" s="8">
        <v>8315.5</v>
      </c>
      <c r="I168" s="8">
        <v>29810.51</v>
      </c>
      <c r="J168" s="7" t="s">
        <v>325</v>
      </c>
    </row>
    <row r="169" spans="1:10" x14ac:dyDescent="0.35">
      <c r="A169" s="7" t="s">
        <v>23</v>
      </c>
      <c r="B169" s="7" t="s">
        <v>124</v>
      </c>
      <c r="C169" s="7" t="s">
        <v>27</v>
      </c>
      <c r="D169" s="9">
        <v>0</v>
      </c>
      <c r="E169" s="9">
        <v>22.72</v>
      </c>
      <c r="F169" s="9">
        <v>7.92</v>
      </c>
      <c r="G169" s="9">
        <v>0</v>
      </c>
      <c r="H169" s="8">
        <v>53689.41</v>
      </c>
      <c r="I169" s="8">
        <v>17791.47</v>
      </c>
      <c r="J169" s="7" t="s">
        <v>325</v>
      </c>
    </row>
    <row r="170" spans="1:10" x14ac:dyDescent="0.35">
      <c r="A170" s="7" t="s">
        <v>23</v>
      </c>
      <c r="B170" s="7" t="s">
        <v>123</v>
      </c>
      <c r="C170" s="7" t="s">
        <v>48</v>
      </c>
      <c r="D170" s="9">
        <v>27.84</v>
      </c>
      <c r="E170" s="9">
        <v>23.31</v>
      </c>
      <c r="F170" s="9">
        <v>7.79</v>
      </c>
      <c r="G170" s="8">
        <v>5651.96</v>
      </c>
      <c r="H170" s="8">
        <v>7054.08</v>
      </c>
      <c r="I170" s="8">
        <v>2017.04</v>
      </c>
      <c r="J170" s="7" t="s">
        <v>325</v>
      </c>
    </row>
    <row r="171" spans="1:10" x14ac:dyDescent="0.35">
      <c r="A171" s="7" t="s">
        <v>35</v>
      </c>
      <c r="B171" s="7" t="s">
        <v>36</v>
      </c>
      <c r="C171" s="7" t="s">
        <v>27</v>
      </c>
      <c r="D171" s="9">
        <v>11.57</v>
      </c>
      <c r="E171" s="9">
        <v>28.5</v>
      </c>
      <c r="F171" s="9">
        <v>7.77</v>
      </c>
      <c r="G171" s="8">
        <v>19316.79</v>
      </c>
      <c r="H171" s="8">
        <v>48872.04</v>
      </c>
      <c r="I171" s="8">
        <v>11970.99</v>
      </c>
      <c r="J171" s="7" t="s">
        <v>325</v>
      </c>
    </row>
    <row r="172" spans="1:10" x14ac:dyDescent="0.35">
      <c r="A172" s="7" t="s">
        <v>40</v>
      </c>
      <c r="B172" s="7" t="s">
        <v>41</v>
      </c>
      <c r="C172" s="7" t="s">
        <v>48</v>
      </c>
      <c r="D172" s="9">
        <v>21.68</v>
      </c>
      <c r="E172" s="9">
        <v>24.27</v>
      </c>
      <c r="F172" s="9">
        <v>7.5</v>
      </c>
      <c r="G172" s="8">
        <v>8876.2199999999993</v>
      </c>
      <c r="H172" s="8">
        <v>10579.73</v>
      </c>
      <c r="I172" s="8">
        <v>3565.6</v>
      </c>
      <c r="J172" s="7" t="s">
        <v>325</v>
      </c>
    </row>
    <row r="173" spans="1:10" x14ac:dyDescent="0.35">
      <c r="A173" s="7" t="s">
        <v>20</v>
      </c>
      <c r="B173" s="7" t="s">
        <v>21</v>
      </c>
      <c r="C173" s="7" t="s">
        <v>125</v>
      </c>
      <c r="D173" s="9">
        <v>14.26</v>
      </c>
      <c r="E173" s="9">
        <v>24.42</v>
      </c>
      <c r="F173" s="9">
        <v>7.47</v>
      </c>
      <c r="G173" s="8">
        <v>4866.9399999999996</v>
      </c>
      <c r="H173" s="8">
        <v>6946.93</v>
      </c>
      <c r="I173" s="8">
        <v>2175.6</v>
      </c>
      <c r="J173" s="7" t="s">
        <v>325</v>
      </c>
    </row>
    <row r="174" spans="1:10" x14ac:dyDescent="0.35">
      <c r="A174" s="7" t="s">
        <v>16</v>
      </c>
      <c r="B174" s="7" t="s">
        <v>17</v>
      </c>
      <c r="C174" s="7" t="s">
        <v>126</v>
      </c>
      <c r="D174" s="9">
        <v>7.74</v>
      </c>
      <c r="E174" s="9">
        <v>15.37</v>
      </c>
      <c r="F174" s="9">
        <v>7.46</v>
      </c>
      <c r="G174" s="8">
        <v>8879.59</v>
      </c>
      <c r="H174" s="8">
        <v>13563.17</v>
      </c>
      <c r="I174" s="8">
        <v>10368.15</v>
      </c>
      <c r="J174" s="7" t="s">
        <v>325</v>
      </c>
    </row>
    <row r="175" spans="1:10" x14ac:dyDescent="0.35">
      <c r="A175" s="7" t="s">
        <v>40</v>
      </c>
      <c r="B175" s="7" t="s">
        <v>41</v>
      </c>
      <c r="C175" s="7" t="s">
        <v>72</v>
      </c>
      <c r="D175" s="9">
        <v>16.77</v>
      </c>
      <c r="E175" s="9">
        <v>21.26</v>
      </c>
      <c r="F175" s="9">
        <v>7.36</v>
      </c>
      <c r="G175" s="8">
        <v>4516.08</v>
      </c>
      <c r="H175" s="8">
        <v>6912.32</v>
      </c>
      <c r="I175" s="8">
        <v>2936.02</v>
      </c>
      <c r="J175" s="7" t="s">
        <v>325</v>
      </c>
    </row>
    <row r="176" spans="1:10" x14ac:dyDescent="0.35">
      <c r="A176" s="7" t="s">
        <v>66</v>
      </c>
      <c r="B176" s="7" t="s">
        <v>127</v>
      </c>
      <c r="C176" s="7" t="s">
        <v>18</v>
      </c>
      <c r="D176" s="9">
        <v>62.18</v>
      </c>
      <c r="E176" s="9">
        <v>24.8</v>
      </c>
      <c r="F176" s="9">
        <v>7.29</v>
      </c>
      <c r="G176" s="8">
        <v>46724.94</v>
      </c>
      <c r="H176" s="8">
        <v>24692.44</v>
      </c>
      <c r="I176" s="8">
        <v>6398.02</v>
      </c>
      <c r="J176" s="7" t="s">
        <v>325</v>
      </c>
    </row>
    <row r="177" spans="1:10" x14ac:dyDescent="0.35">
      <c r="A177" s="7" t="s">
        <v>74</v>
      </c>
      <c r="B177" s="7" t="s">
        <v>75</v>
      </c>
      <c r="C177" s="7" t="s">
        <v>39</v>
      </c>
      <c r="D177" s="9">
        <v>8.2899999999999991</v>
      </c>
      <c r="E177" s="9">
        <v>16.010000000000002</v>
      </c>
      <c r="F177" s="9">
        <v>7.28</v>
      </c>
      <c r="G177" s="8">
        <v>1933.64</v>
      </c>
      <c r="H177" s="8">
        <v>3515.46</v>
      </c>
      <c r="I177" s="8">
        <v>1329.51</v>
      </c>
      <c r="J177" s="7" t="s">
        <v>325</v>
      </c>
    </row>
    <row r="178" spans="1:10" x14ac:dyDescent="0.35">
      <c r="A178" s="7" t="s">
        <v>79</v>
      </c>
      <c r="B178" s="7" t="s">
        <v>80</v>
      </c>
      <c r="C178" s="7" t="s">
        <v>128</v>
      </c>
      <c r="D178" s="9">
        <v>14.56</v>
      </c>
      <c r="E178" s="9">
        <v>24.89</v>
      </c>
      <c r="F178" s="9">
        <v>7.22</v>
      </c>
      <c r="G178" s="8">
        <v>2403.7199999999998</v>
      </c>
      <c r="H178" s="8">
        <v>3447.41</v>
      </c>
      <c r="I178" s="8">
        <v>1016.46</v>
      </c>
      <c r="J178" s="7" t="s">
        <v>325</v>
      </c>
    </row>
    <row r="179" spans="1:10" x14ac:dyDescent="0.35">
      <c r="A179" s="7" t="s">
        <v>129</v>
      </c>
      <c r="B179" s="7" t="s">
        <v>130</v>
      </c>
      <c r="C179" s="7" t="s">
        <v>27</v>
      </c>
      <c r="D179" s="9">
        <v>0</v>
      </c>
      <c r="E179" s="9">
        <v>34.51</v>
      </c>
      <c r="F179" s="9">
        <v>7.16</v>
      </c>
      <c r="G179" s="9">
        <v>0</v>
      </c>
      <c r="H179" s="8">
        <v>93900</v>
      </c>
      <c r="I179" s="8">
        <v>21500</v>
      </c>
      <c r="J179" s="7" t="s">
        <v>325</v>
      </c>
    </row>
    <row r="180" spans="1:10" x14ac:dyDescent="0.35">
      <c r="A180" s="7" t="s">
        <v>31</v>
      </c>
      <c r="B180" s="7" t="s">
        <v>131</v>
      </c>
      <c r="C180" s="7" t="s">
        <v>72</v>
      </c>
      <c r="D180" s="9">
        <v>18.940000000000001</v>
      </c>
      <c r="E180" s="9">
        <v>20.02</v>
      </c>
      <c r="F180" s="9">
        <v>7.14</v>
      </c>
      <c r="G180" s="8">
        <v>10771.58</v>
      </c>
      <c r="H180" s="8">
        <v>13016.68</v>
      </c>
      <c r="I180" s="8">
        <v>5303.33</v>
      </c>
      <c r="J180" s="7" t="s">
        <v>325</v>
      </c>
    </row>
    <row r="181" spans="1:10" ht="26.25" customHeight="1" x14ac:dyDescent="0.35">
      <c r="A181" s="7" t="s">
        <v>40</v>
      </c>
      <c r="B181" s="7" t="s">
        <v>85</v>
      </c>
      <c r="C181" s="7" t="s">
        <v>81</v>
      </c>
      <c r="D181" s="9">
        <v>32.57</v>
      </c>
      <c r="E181" s="9">
        <v>28.19</v>
      </c>
      <c r="F181" s="9">
        <v>7.11</v>
      </c>
      <c r="G181" s="8">
        <v>29295.38</v>
      </c>
      <c r="H181" s="8">
        <v>33283.93</v>
      </c>
      <c r="I181" s="8">
        <v>8947.3799999999992</v>
      </c>
      <c r="J181" s="7" t="s">
        <v>325</v>
      </c>
    </row>
    <row r="182" spans="1:10" x14ac:dyDescent="0.35">
      <c r="A182" s="7" t="s">
        <v>77</v>
      </c>
      <c r="B182" s="7" t="s">
        <v>132</v>
      </c>
      <c r="C182" s="7" t="s">
        <v>102</v>
      </c>
      <c r="D182" s="9">
        <v>13.06</v>
      </c>
      <c r="E182" s="9">
        <v>16.22</v>
      </c>
      <c r="F182" s="9">
        <v>7.1</v>
      </c>
      <c r="G182" s="8">
        <v>12910.09</v>
      </c>
      <c r="H182" s="8">
        <v>16152.28</v>
      </c>
      <c r="I182" s="8">
        <v>6076.72</v>
      </c>
      <c r="J182" s="7" t="s">
        <v>325</v>
      </c>
    </row>
    <row r="183" spans="1:10" x14ac:dyDescent="0.35">
      <c r="A183" s="7" t="s">
        <v>35</v>
      </c>
      <c r="B183" s="7" t="s">
        <v>47</v>
      </c>
      <c r="C183" s="7" t="s">
        <v>125</v>
      </c>
      <c r="D183" s="9">
        <v>11.64</v>
      </c>
      <c r="E183" s="9">
        <v>12.99</v>
      </c>
      <c r="F183" s="9">
        <v>7.08</v>
      </c>
      <c r="G183" s="8">
        <v>4027.84</v>
      </c>
      <c r="H183" s="8">
        <v>3409.1</v>
      </c>
      <c r="I183" s="8">
        <v>1688.9</v>
      </c>
      <c r="J183" s="7" t="s">
        <v>325</v>
      </c>
    </row>
    <row r="184" spans="1:10" x14ac:dyDescent="0.35">
      <c r="A184" s="7" t="s">
        <v>31</v>
      </c>
      <c r="B184" s="7" t="s">
        <v>133</v>
      </c>
      <c r="C184" s="7" t="s">
        <v>62</v>
      </c>
      <c r="D184" s="9">
        <v>5.47</v>
      </c>
      <c r="E184" s="9">
        <v>8.31</v>
      </c>
      <c r="F184" s="9">
        <v>7.05</v>
      </c>
      <c r="G184" s="8">
        <v>22112.400000000001</v>
      </c>
      <c r="H184" s="8">
        <v>37021.32</v>
      </c>
      <c r="I184" s="8">
        <v>33798.11</v>
      </c>
      <c r="J184" s="7" t="s">
        <v>325</v>
      </c>
    </row>
    <row r="185" spans="1:10" x14ac:dyDescent="0.35">
      <c r="A185" s="7" t="s">
        <v>20</v>
      </c>
      <c r="B185" s="7" t="s">
        <v>21</v>
      </c>
      <c r="C185" s="7" t="s">
        <v>46</v>
      </c>
      <c r="D185" s="9">
        <v>14.33</v>
      </c>
      <c r="E185" s="9">
        <v>22.54</v>
      </c>
      <c r="F185" s="9">
        <v>7.05</v>
      </c>
      <c r="G185" s="8">
        <v>3406.17</v>
      </c>
      <c r="H185" s="8">
        <v>5424.94</v>
      </c>
      <c r="I185" s="8">
        <v>1794.69</v>
      </c>
      <c r="J185" s="7" t="s">
        <v>325</v>
      </c>
    </row>
    <row r="186" spans="1:10" x14ac:dyDescent="0.35">
      <c r="A186" s="7" t="s">
        <v>16</v>
      </c>
      <c r="B186" s="7" t="s">
        <v>52</v>
      </c>
      <c r="C186" s="7" t="s">
        <v>46</v>
      </c>
      <c r="D186" s="9">
        <v>0.02</v>
      </c>
      <c r="E186" s="9">
        <v>14.4</v>
      </c>
      <c r="F186" s="9">
        <v>6.94</v>
      </c>
      <c r="G186" s="9">
        <v>8.75</v>
      </c>
      <c r="H186" s="8">
        <v>21850</v>
      </c>
      <c r="I186" s="8">
        <v>10550</v>
      </c>
      <c r="J186" s="7" t="s">
        <v>325</v>
      </c>
    </row>
    <row r="187" spans="1:10" x14ac:dyDescent="0.35">
      <c r="A187" s="7" t="s">
        <v>20</v>
      </c>
      <c r="B187" s="7" t="s">
        <v>134</v>
      </c>
      <c r="C187" s="7" t="s">
        <v>55</v>
      </c>
      <c r="D187" s="9">
        <v>0</v>
      </c>
      <c r="E187" s="9">
        <v>13.36</v>
      </c>
      <c r="F187" s="9">
        <v>6.94</v>
      </c>
      <c r="G187" s="9">
        <v>0</v>
      </c>
      <c r="H187" s="8">
        <v>59278.68</v>
      </c>
      <c r="I187" s="8">
        <v>25505.18</v>
      </c>
      <c r="J187" s="7" t="s">
        <v>325</v>
      </c>
    </row>
    <row r="188" spans="1:10" x14ac:dyDescent="0.35">
      <c r="A188" s="7" t="s">
        <v>16</v>
      </c>
      <c r="B188" s="7" t="s">
        <v>135</v>
      </c>
      <c r="C188" s="7" t="s">
        <v>39</v>
      </c>
      <c r="D188" s="9">
        <v>12.18</v>
      </c>
      <c r="E188" s="9">
        <v>16.739999999999998</v>
      </c>
      <c r="F188" s="9">
        <v>6.93</v>
      </c>
      <c r="G188" s="9">
        <v>601.35</v>
      </c>
      <c r="H188" s="9">
        <v>890.95</v>
      </c>
      <c r="I188" s="9">
        <v>365.94</v>
      </c>
      <c r="J188" s="7" t="s">
        <v>325</v>
      </c>
    </row>
    <row r="189" spans="1:10" x14ac:dyDescent="0.35">
      <c r="A189" s="7" t="s">
        <v>23</v>
      </c>
      <c r="B189" s="7" t="s">
        <v>44</v>
      </c>
      <c r="C189" s="7" t="s">
        <v>39</v>
      </c>
      <c r="D189" s="9">
        <v>20.94</v>
      </c>
      <c r="E189" s="9">
        <v>14.72</v>
      </c>
      <c r="F189" s="9">
        <v>6.92</v>
      </c>
      <c r="G189" s="8">
        <v>9142.82</v>
      </c>
      <c r="H189" s="8">
        <v>7531.18</v>
      </c>
      <c r="I189" s="8">
        <v>3104.55</v>
      </c>
      <c r="J189" s="7" t="s">
        <v>325</v>
      </c>
    </row>
    <row r="190" spans="1:10" x14ac:dyDescent="0.35">
      <c r="A190" s="7" t="s">
        <v>35</v>
      </c>
      <c r="B190" s="7" t="s">
        <v>36</v>
      </c>
      <c r="C190" s="7" t="s">
        <v>72</v>
      </c>
      <c r="D190" s="9">
        <v>0.28000000000000003</v>
      </c>
      <c r="E190" s="9">
        <v>18.670000000000002</v>
      </c>
      <c r="F190" s="9">
        <v>6.88</v>
      </c>
      <c r="G190" s="9">
        <v>93.59</v>
      </c>
      <c r="H190" s="8">
        <v>3712.08</v>
      </c>
      <c r="I190" s="8">
        <v>1383.35</v>
      </c>
      <c r="J190" s="7" t="s">
        <v>325</v>
      </c>
    </row>
    <row r="191" spans="1:10" x14ac:dyDescent="0.35">
      <c r="A191" s="7" t="s">
        <v>23</v>
      </c>
      <c r="B191" s="7" t="s">
        <v>136</v>
      </c>
      <c r="C191" s="7" t="s">
        <v>53</v>
      </c>
      <c r="D191" s="9">
        <v>10.77</v>
      </c>
      <c r="E191" s="9">
        <v>5.22</v>
      </c>
      <c r="F191" s="9">
        <v>6.86</v>
      </c>
      <c r="G191" s="8">
        <v>15561.32</v>
      </c>
      <c r="H191" s="8">
        <v>7389.02</v>
      </c>
      <c r="I191" s="8">
        <v>10384.18</v>
      </c>
      <c r="J191" s="7" t="s">
        <v>325</v>
      </c>
    </row>
    <row r="192" spans="1:10" x14ac:dyDescent="0.35">
      <c r="A192" s="7" t="s">
        <v>74</v>
      </c>
      <c r="B192" s="7" t="s">
        <v>137</v>
      </c>
      <c r="C192" s="7" t="s">
        <v>69</v>
      </c>
      <c r="D192" s="9">
        <v>12.81</v>
      </c>
      <c r="E192" s="9">
        <v>16.12</v>
      </c>
      <c r="F192" s="9">
        <v>6.82</v>
      </c>
      <c r="G192" s="9">
        <v>75.47</v>
      </c>
      <c r="H192" s="9">
        <v>109.16</v>
      </c>
      <c r="I192" s="9">
        <v>31.3</v>
      </c>
      <c r="J192" s="7" t="s">
        <v>325</v>
      </c>
    </row>
    <row r="193" spans="1:10" x14ac:dyDescent="0.35">
      <c r="A193" s="7" t="s">
        <v>23</v>
      </c>
      <c r="B193" s="7" t="s">
        <v>34</v>
      </c>
      <c r="C193" s="7" t="s">
        <v>60</v>
      </c>
      <c r="D193" s="9">
        <v>0</v>
      </c>
      <c r="E193" s="9">
        <v>4.5</v>
      </c>
      <c r="F193" s="9">
        <v>6.79</v>
      </c>
      <c r="G193" s="9">
        <v>0</v>
      </c>
      <c r="H193" s="8">
        <v>4970</v>
      </c>
      <c r="I193" s="8">
        <v>9378.91</v>
      </c>
      <c r="J193" s="7" t="s">
        <v>325</v>
      </c>
    </row>
    <row r="194" spans="1:10" x14ac:dyDescent="0.35">
      <c r="A194" s="7" t="s">
        <v>94</v>
      </c>
      <c r="B194" s="7" t="s">
        <v>95</v>
      </c>
      <c r="C194" s="7" t="s">
        <v>48</v>
      </c>
      <c r="D194" s="9">
        <v>22.69</v>
      </c>
      <c r="E194" s="9">
        <v>21.56</v>
      </c>
      <c r="F194" s="9">
        <v>6.76</v>
      </c>
      <c r="G194" s="8">
        <v>2385.81</v>
      </c>
      <c r="H194" s="8">
        <v>3761.98</v>
      </c>
      <c r="I194" s="9">
        <v>716.51</v>
      </c>
      <c r="J194" s="7" t="s">
        <v>325</v>
      </c>
    </row>
    <row r="195" spans="1:10" x14ac:dyDescent="0.35">
      <c r="A195" s="7" t="s">
        <v>40</v>
      </c>
      <c r="B195" s="7" t="s">
        <v>85</v>
      </c>
      <c r="C195" s="7" t="s">
        <v>54</v>
      </c>
      <c r="D195" s="9">
        <v>13.15</v>
      </c>
      <c r="E195" s="9">
        <v>26.18</v>
      </c>
      <c r="F195" s="9">
        <v>6.64</v>
      </c>
      <c r="G195" s="8">
        <v>11929.76</v>
      </c>
      <c r="H195" s="8">
        <v>22202.59</v>
      </c>
      <c r="I195" s="8">
        <v>6443.85</v>
      </c>
      <c r="J195" s="7" t="s">
        <v>325</v>
      </c>
    </row>
    <row r="196" spans="1:10" x14ac:dyDescent="0.35">
      <c r="A196" s="7" t="s">
        <v>23</v>
      </c>
      <c r="B196" s="7" t="s">
        <v>138</v>
      </c>
      <c r="C196" s="7" t="s">
        <v>22</v>
      </c>
      <c r="D196" s="9">
        <v>0</v>
      </c>
      <c r="E196" s="9">
        <v>47.35</v>
      </c>
      <c r="F196" s="9">
        <v>6.6</v>
      </c>
      <c r="G196" s="9">
        <v>0</v>
      </c>
      <c r="H196" s="8">
        <v>13126.62</v>
      </c>
      <c r="I196" s="8">
        <v>1605.77</v>
      </c>
      <c r="J196" s="7" t="s">
        <v>325</v>
      </c>
    </row>
    <row r="197" spans="1:10" x14ac:dyDescent="0.35">
      <c r="A197" s="7" t="s">
        <v>77</v>
      </c>
      <c r="B197" s="7" t="s">
        <v>78</v>
      </c>
      <c r="C197" s="7" t="s">
        <v>65</v>
      </c>
      <c r="D197" s="9">
        <v>18.899999999999999</v>
      </c>
      <c r="E197" s="9">
        <v>21.44</v>
      </c>
      <c r="F197" s="9">
        <v>6.5</v>
      </c>
      <c r="G197" s="8">
        <v>21146.74</v>
      </c>
      <c r="H197" s="8">
        <v>23302.33</v>
      </c>
      <c r="I197" s="8">
        <v>6879.91</v>
      </c>
      <c r="J197" s="7" t="s">
        <v>325</v>
      </c>
    </row>
    <row r="198" spans="1:10" x14ac:dyDescent="0.35">
      <c r="A198" s="7" t="s">
        <v>66</v>
      </c>
      <c r="B198" s="7" t="s">
        <v>127</v>
      </c>
      <c r="C198" s="7" t="s">
        <v>48</v>
      </c>
      <c r="D198" s="9">
        <v>34.75</v>
      </c>
      <c r="E198" s="9">
        <v>19.39</v>
      </c>
      <c r="F198" s="9">
        <v>6.48</v>
      </c>
      <c r="G198" s="8">
        <v>25545.26</v>
      </c>
      <c r="H198" s="8">
        <v>17002.599999999999</v>
      </c>
      <c r="I198" s="8">
        <v>5449.63</v>
      </c>
      <c r="J198" s="7" t="s">
        <v>325</v>
      </c>
    </row>
    <row r="199" spans="1:10" x14ac:dyDescent="0.35">
      <c r="A199" s="7" t="s">
        <v>31</v>
      </c>
      <c r="B199" s="7" t="s">
        <v>101</v>
      </c>
      <c r="C199" s="7" t="s">
        <v>51</v>
      </c>
      <c r="D199" s="9">
        <v>7.72</v>
      </c>
      <c r="E199" s="9">
        <v>17.29</v>
      </c>
      <c r="F199" s="9">
        <v>6.43</v>
      </c>
      <c r="G199" s="8">
        <v>10262.24</v>
      </c>
      <c r="H199" s="8">
        <v>23004.33</v>
      </c>
      <c r="I199" s="8">
        <v>8267.84</v>
      </c>
      <c r="J199" s="7" t="s">
        <v>325</v>
      </c>
    </row>
    <row r="200" spans="1:10" x14ac:dyDescent="0.35">
      <c r="A200" s="7" t="s">
        <v>40</v>
      </c>
      <c r="B200" s="7" t="s">
        <v>85</v>
      </c>
      <c r="C200" s="7" t="s">
        <v>128</v>
      </c>
      <c r="D200" s="9">
        <v>27.73</v>
      </c>
      <c r="E200" s="9">
        <v>28.03</v>
      </c>
      <c r="F200" s="9">
        <v>6.29</v>
      </c>
      <c r="G200" s="8">
        <v>5619.22</v>
      </c>
      <c r="H200" s="8">
        <v>5553.27</v>
      </c>
      <c r="I200" s="8">
        <v>1289.3800000000001</v>
      </c>
      <c r="J200" s="7" t="s">
        <v>325</v>
      </c>
    </row>
    <row r="201" spans="1:10" x14ac:dyDescent="0.35">
      <c r="A201" s="7" t="s">
        <v>77</v>
      </c>
      <c r="B201" s="7" t="s">
        <v>78</v>
      </c>
      <c r="C201" s="7" t="s">
        <v>72</v>
      </c>
      <c r="D201" s="9">
        <v>19.73</v>
      </c>
      <c r="E201" s="9">
        <v>22.4</v>
      </c>
      <c r="F201" s="9">
        <v>6.25</v>
      </c>
      <c r="G201" s="8">
        <v>2515.5700000000002</v>
      </c>
      <c r="H201" s="8">
        <v>2963.67</v>
      </c>
      <c r="I201" s="9">
        <v>759.91</v>
      </c>
      <c r="J201" s="7" t="s">
        <v>325</v>
      </c>
    </row>
    <row r="202" spans="1:10" x14ac:dyDescent="0.35">
      <c r="A202" s="7" t="s">
        <v>16</v>
      </c>
      <c r="B202" s="7" t="s">
        <v>109</v>
      </c>
      <c r="C202" s="7" t="s">
        <v>39</v>
      </c>
      <c r="D202" s="9">
        <v>25.24</v>
      </c>
      <c r="E202" s="9">
        <v>19.61</v>
      </c>
      <c r="F202" s="9">
        <v>6.24</v>
      </c>
      <c r="G202" s="8">
        <v>36751.21</v>
      </c>
      <c r="H202" s="8">
        <v>16753.169999999998</v>
      </c>
      <c r="I202" s="8">
        <v>6781.06</v>
      </c>
      <c r="J202" s="7" t="s">
        <v>325</v>
      </c>
    </row>
    <row r="203" spans="1:10" x14ac:dyDescent="0.35">
      <c r="A203" s="7" t="s">
        <v>16</v>
      </c>
      <c r="B203" s="7" t="s">
        <v>89</v>
      </c>
      <c r="C203" s="7" t="s">
        <v>48</v>
      </c>
      <c r="D203" s="9">
        <v>11.29</v>
      </c>
      <c r="E203" s="9">
        <v>18.71</v>
      </c>
      <c r="F203" s="9">
        <v>6.24</v>
      </c>
      <c r="G203" s="8">
        <v>5425.48</v>
      </c>
      <c r="H203" s="8">
        <v>8593.44</v>
      </c>
      <c r="I203" s="8">
        <v>3141.7</v>
      </c>
      <c r="J203" s="7" t="s">
        <v>325</v>
      </c>
    </row>
    <row r="204" spans="1:10" x14ac:dyDescent="0.35">
      <c r="A204" s="7" t="s">
        <v>23</v>
      </c>
      <c r="B204" s="7" t="s">
        <v>136</v>
      </c>
      <c r="C204" s="7" t="s">
        <v>60</v>
      </c>
      <c r="D204" s="9">
        <v>16.11</v>
      </c>
      <c r="E204" s="9">
        <v>16</v>
      </c>
      <c r="F204" s="9">
        <v>6.2</v>
      </c>
      <c r="G204" s="8">
        <v>7980.31</v>
      </c>
      <c r="H204" s="8">
        <v>6776.38</v>
      </c>
      <c r="I204" s="8">
        <v>3273.49</v>
      </c>
      <c r="J204" s="7" t="s">
        <v>325</v>
      </c>
    </row>
    <row r="205" spans="1:10" x14ac:dyDescent="0.35">
      <c r="A205" s="7" t="s">
        <v>40</v>
      </c>
      <c r="B205" s="7" t="s">
        <v>85</v>
      </c>
      <c r="C205" s="7" t="s">
        <v>102</v>
      </c>
      <c r="D205" s="9">
        <v>22.41</v>
      </c>
      <c r="E205" s="9">
        <v>20.87</v>
      </c>
      <c r="F205" s="9">
        <v>6.13</v>
      </c>
      <c r="G205" s="8">
        <v>48566.39</v>
      </c>
      <c r="H205" s="8">
        <v>42642.93</v>
      </c>
      <c r="I205" s="8">
        <v>12896.1</v>
      </c>
      <c r="J205" s="7" t="s">
        <v>325</v>
      </c>
    </row>
    <row r="206" spans="1:10" x14ac:dyDescent="0.35">
      <c r="A206" s="7" t="s">
        <v>31</v>
      </c>
      <c r="B206" s="7" t="s">
        <v>139</v>
      </c>
      <c r="C206" s="7" t="s">
        <v>27</v>
      </c>
      <c r="D206" s="9">
        <v>5.74</v>
      </c>
      <c r="E206" s="9">
        <v>17.7</v>
      </c>
      <c r="F206" s="9">
        <v>6.13</v>
      </c>
      <c r="G206" s="8">
        <v>13736.73</v>
      </c>
      <c r="H206" s="8">
        <v>37111.019999999997</v>
      </c>
      <c r="I206" s="8">
        <v>10264.620000000001</v>
      </c>
      <c r="J206" s="7" t="s">
        <v>325</v>
      </c>
    </row>
    <row r="207" spans="1:10" x14ac:dyDescent="0.35">
      <c r="A207" s="7" t="s">
        <v>79</v>
      </c>
      <c r="B207" s="7" t="s">
        <v>80</v>
      </c>
      <c r="C207" s="7" t="s">
        <v>48</v>
      </c>
      <c r="D207" s="9">
        <v>15.37</v>
      </c>
      <c r="E207" s="9">
        <v>14.86</v>
      </c>
      <c r="F207" s="9">
        <v>6.07</v>
      </c>
      <c r="G207" s="8">
        <v>7015.28</v>
      </c>
      <c r="H207" s="8">
        <v>7006.46</v>
      </c>
      <c r="I207" s="8">
        <v>3445.92</v>
      </c>
      <c r="J207" s="7" t="s">
        <v>325</v>
      </c>
    </row>
    <row r="208" spans="1:10" x14ac:dyDescent="0.35">
      <c r="A208" s="7" t="s">
        <v>77</v>
      </c>
      <c r="B208" s="7" t="s">
        <v>78</v>
      </c>
      <c r="C208" s="7" t="s">
        <v>42</v>
      </c>
      <c r="D208" s="9">
        <v>29.19</v>
      </c>
      <c r="E208" s="9">
        <v>20.04</v>
      </c>
      <c r="F208" s="9">
        <v>6.05</v>
      </c>
      <c r="G208" s="8">
        <v>12906.02</v>
      </c>
      <c r="H208" s="8">
        <v>8616.61</v>
      </c>
      <c r="I208" s="8">
        <v>2534.69</v>
      </c>
      <c r="J208" s="7" t="s">
        <v>325</v>
      </c>
    </row>
    <row r="209" spans="1:10" x14ac:dyDescent="0.35">
      <c r="A209" s="7" t="s">
        <v>16</v>
      </c>
      <c r="B209" s="7" t="s">
        <v>140</v>
      </c>
      <c r="C209" s="7" t="s">
        <v>39</v>
      </c>
      <c r="D209" s="9">
        <v>5.64</v>
      </c>
      <c r="E209" s="9">
        <v>11.42</v>
      </c>
      <c r="F209" s="9">
        <v>5.99</v>
      </c>
      <c r="G209" s="9">
        <v>762.21</v>
      </c>
      <c r="H209" s="8">
        <v>2533.88</v>
      </c>
      <c r="I209" s="9">
        <v>704.33</v>
      </c>
      <c r="J209" s="7" t="s">
        <v>325</v>
      </c>
    </row>
    <row r="210" spans="1:10" x14ac:dyDescent="0.35">
      <c r="A210" s="7" t="s">
        <v>35</v>
      </c>
      <c r="B210" s="7" t="s">
        <v>88</v>
      </c>
      <c r="C210" s="7" t="s">
        <v>46</v>
      </c>
      <c r="D210" s="9">
        <v>22.84</v>
      </c>
      <c r="E210" s="9">
        <v>8.16</v>
      </c>
      <c r="F210" s="9">
        <v>5.95</v>
      </c>
      <c r="G210" s="8">
        <v>10954.73</v>
      </c>
      <c r="H210" s="8">
        <v>4036.26</v>
      </c>
      <c r="I210" s="8">
        <v>3283.66</v>
      </c>
      <c r="J210" s="7" t="s">
        <v>325</v>
      </c>
    </row>
    <row r="211" spans="1:10" x14ac:dyDescent="0.35">
      <c r="A211" s="7" t="s">
        <v>25</v>
      </c>
      <c r="B211" s="7" t="s">
        <v>29</v>
      </c>
      <c r="C211" s="7" t="s">
        <v>84</v>
      </c>
      <c r="D211" s="9">
        <v>31.28</v>
      </c>
      <c r="E211" s="9">
        <v>21.84</v>
      </c>
      <c r="F211" s="9">
        <v>5.9</v>
      </c>
      <c r="G211" s="8">
        <v>4354.08</v>
      </c>
      <c r="H211" s="8">
        <v>2535.9699999999998</v>
      </c>
      <c r="I211" s="9">
        <v>709.08</v>
      </c>
      <c r="J211" s="7" t="s">
        <v>325</v>
      </c>
    </row>
    <row r="212" spans="1:10" x14ac:dyDescent="0.35">
      <c r="A212" s="7" t="s">
        <v>66</v>
      </c>
      <c r="B212" s="7" t="s">
        <v>100</v>
      </c>
      <c r="C212" s="7" t="s">
        <v>118</v>
      </c>
      <c r="D212" s="9">
        <v>0</v>
      </c>
      <c r="E212" s="9">
        <v>3.95</v>
      </c>
      <c r="F212" s="9">
        <v>5.86</v>
      </c>
      <c r="G212" s="9">
        <v>0</v>
      </c>
      <c r="H212" s="8">
        <v>2434.6</v>
      </c>
      <c r="I212" s="8">
        <v>3583.18</v>
      </c>
      <c r="J212" s="7" t="s">
        <v>325</v>
      </c>
    </row>
    <row r="213" spans="1:10" x14ac:dyDescent="0.35">
      <c r="A213" s="7" t="s">
        <v>40</v>
      </c>
      <c r="B213" s="7" t="s">
        <v>117</v>
      </c>
      <c r="C213" s="7" t="s">
        <v>54</v>
      </c>
      <c r="D213" s="9">
        <v>22.9</v>
      </c>
      <c r="E213" s="9">
        <v>28.84</v>
      </c>
      <c r="F213" s="9">
        <v>5.85</v>
      </c>
      <c r="G213" s="8">
        <v>22381.66</v>
      </c>
      <c r="H213" s="8">
        <v>36039.199999999997</v>
      </c>
      <c r="I213" s="8">
        <v>8338.81</v>
      </c>
      <c r="J213" s="7" t="s">
        <v>325</v>
      </c>
    </row>
    <row r="214" spans="1:10" x14ac:dyDescent="0.35">
      <c r="A214" s="7" t="s">
        <v>31</v>
      </c>
      <c r="B214" s="7" t="s">
        <v>141</v>
      </c>
      <c r="C214" s="7" t="s">
        <v>83</v>
      </c>
      <c r="D214" s="9">
        <v>21.07</v>
      </c>
      <c r="E214" s="9">
        <v>17.04</v>
      </c>
      <c r="F214" s="9">
        <v>5.83</v>
      </c>
      <c r="G214" s="8">
        <v>68252.86</v>
      </c>
      <c r="H214" s="8">
        <v>40381.629999999997</v>
      </c>
      <c r="I214" s="8">
        <v>13464.81</v>
      </c>
      <c r="J214" s="7" t="s">
        <v>325</v>
      </c>
    </row>
    <row r="215" spans="1:10" x14ac:dyDescent="0.35">
      <c r="A215" s="7" t="s">
        <v>23</v>
      </c>
      <c r="B215" s="7" t="s">
        <v>30</v>
      </c>
      <c r="C215" s="7" t="s">
        <v>48</v>
      </c>
      <c r="D215" s="9">
        <v>15.7</v>
      </c>
      <c r="E215" s="9">
        <v>14.6</v>
      </c>
      <c r="F215" s="9">
        <v>5.83</v>
      </c>
      <c r="G215" s="8">
        <v>6818.8</v>
      </c>
      <c r="H215" s="8">
        <v>6138.58</v>
      </c>
      <c r="I215" s="8">
        <v>2417.1799999999998</v>
      </c>
      <c r="J215" s="7" t="s">
        <v>325</v>
      </c>
    </row>
    <row r="216" spans="1:10" x14ac:dyDescent="0.35">
      <c r="A216" s="7" t="s">
        <v>20</v>
      </c>
      <c r="B216" s="7" t="s">
        <v>82</v>
      </c>
      <c r="C216" s="7" t="s">
        <v>48</v>
      </c>
      <c r="D216" s="9">
        <v>18.149999999999999</v>
      </c>
      <c r="E216" s="9">
        <v>19.45</v>
      </c>
      <c r="F216" s="9">
        <v>5.8</v>
      </c>
      <c r="G216" s="8">
        <v>10133.25</v>
      </c>
      <c r="H216" s="8">
        <v>11302.47</v>
      </c>
      <c r="I216" s="8">
        <v>3518.98</v>
      </c>
      <c r="J216" s="7" t="s">
        <v>325</v>
      </c>
    </row>
    <row r="217" spans="1:10" x14ac:dyDescent="0.35">
      <c r="A217" s="7" t="s">
        <v>31</v>
      </c>
      <c r="B217" s="7" t="s">
        <v>32</v>
      </c>
      <c r="C217" s="7" t="s">
        <v>122</v>
      </c>
      <c r="D217" s="9">
        <v>12.81</v>
      </c>
      <c r="E217" s="9">
        <v>11.97</v>
      </c>
      <c r="F217" s="9">
        <v>5.73</v>
      </c>
      <c r="G217" s="8">
        <v>2335.86</v>
      </c>
      <c r="H217" s="8">
        <v>2046.53</v>
      </c>
      <c r="I217" s="8">
        <v>1030.8699999999999</v>
      </c>
      <c r="J217" s="7" t="s">
        <v>325</v>
      </c>
    </row>
    <row r="218" spans="1:10" x14ac:dyDescent="0.35">
      <c r="A218" s="7" t="s">
        <v>20</v>
      </c>
      <c r="B218" s="7" t="s">
        <v>21</v>
      </c>
      <c r="C218" s="7" t="s">
        <v>69</v>
      </c>
      <c r="D218" s="9">
        <v>11.11</v>
      </c>
      <c r="E218" s="9">
        <v>14.86</v>
      </c>
      <c r="F218" s="9">
        <v>5.69</v>
      </c>
      <c r="G218" s="8">
        <v>2912.65</v>
      </c>
      <c r="H218" s="8">
        <v>4151.01</v>
      </c>
      <c r="I218" s="9">
        <v>517.51</v>
      </c>
      <c r="J218" s="7" t="s">
        <v>325</v>
      </c>
    </row>
    <row r="219" spans="1:10" x14ac:dyDescent="0.35">
      <c r="A219" s="7" t="s">
        <v>16</v>
      </c>
      <c r="B219" s="7" t="s">
        <v>17</v>
      </c>
      <c r="C219" s="7" t="s">
        <v>59</v>
      </c>
      <c r="D219" s="9">
        <v>7.14</v>
      </c>
      <c r="E219" s="9">
        <v>12.02</v>
      </c>
      <c r="F219" s="9">
        <v>5.67</v>
      </c>
      <c r="G219" s="8">
        <v>1082.6099999999999</v>
      </c>
      <c r="H219" s="8">
        <v>1525.43</v>
      </c>
      <c r="I219" s="9">
        <v>651.76</v>
      </c>
      <c r="J219" s="7" t="s">
        <v>325</v>
      </c>
    </row>
    <row r="220" spans="1:10" x14ac:dyDescent="0.35">
      <c r="A220" s="7" t="s">
        <v>40</v>
      </c>
      <c r="B220" s="7" t="s">
        <v>41</v>
      </c>
      <c r="C220" s="7" t="s">
        <v>142</v>
      </c>
      <c r="D220" s="9">
        <v>3.73</v>
      </c>
      <c r="E220" s="9">
        <v>7.35</v>
      </c>
      <c r="F220" s="9">
        <v>5.67</v>
      </c>
      <c r="G220" s="8">
        <v>6159.26</v>
      </c>
      <c r="H220" s="8">
        <v>10943.5</v>
      </c>
      <c r="I220" s="8">
        <v>6644.31</v>
      </c>
      <c r="J220" s="7" t="s">
        <v>325</v>
      </c>
    </row>
    <row r="221" spans="1:10" x14ac:dyDescent="0.35">
      <c r="A221" s="7" t="s">
        <v>40</v>
      </c>
      <c r="B221" s="7" t="s">
        <v>41</v>
      </c>
      <c r="C221" s="7" t="s">
        <v>53</v>
      </c>
      <c r="D221" s="9">
        <v>14.14</v>
      </c>
      <c r="E221" s="9">
        <v>12.98</v>
      </c>
      <c r="F221" s="9">
        <v>5.62</v>
      </c>
      <c r="G221" s="8">
        <v>17225.009999999998</v>
      </c>
      <c r="H221" s="8">
        <v>12631.26</v>
      </c>
      <c r="I221" s="8">
        <v>7039.39</v>
      </c>
      <c r="J221" s="7" t="s">
        <v>325</v>
      </c>
    </row>
    <row r="222" spans="1:10" x14ac:dyDescent="0.35">
      <c r="A222" s="7" t="s">
        <v>16</v>
      </c>
      <c r="B222" s="7" t="s">
        <v>143</v>
      </c>
      <c r="C222" s="7" t="s">
        <v>27</v>
      </c>
      <c r="D222" s="9">
        <v>34.92</v>
      </c>
      <c r="E222" s="9">
        <v>30.76</v>
      </c>
      <c r="F222" s="9">
        <v>5.59</v>
      </c>
      <c r="G222" s="8">
        <v>87398.81</v>
      </c>
      <c r="H222" s="8">
        <v>80140.5</v>
      </c>
      <c r="I222" s="8">
        <v>15573.51</v>
      </c>
      <c r="J222" s="7" t="s">
        <v>325</v>
      </c>
    </row>
    <row r="223" spans="1:10" x14ac:dyDescent="0.35">
      <c r="A223" s="7" t="s">
        <v>16</v>
      </c>
      <c r="B223" s="7" t="s">
        <v>17</v>
      </c>
      <c r="C223" s="7" t="s">
        <v>144</v>
      </c>
      <c r="D223" s="9">
        <v>26.01</v>
      </c>
      <c r="E223" s="9">
        <v>24.97</v>
      </c>
      <c r="F223" s="9">
        <v>5.59</v>
      </c>
      <c r="G223" s="8">
        <v>65253.25</v>
      </c>
      <c r="H223" s="8">
        <v>58237.26</v>
      </c>
      <c r="I223" s="8">
        <v>14008.03</v>
      </c>
      <c r="J223" s="7" t="s">
        <v>325</v>
      </c>
    </row>
    <row r="224" spans="1:10" x14ac:dyDescent="0.35">
      <c r="A224" s="7" t="s">
        <v>94</v>
      </c>
      <c r="B224" s="7" t="s">
        <v>112</v>
      </c>
      <c r="C224" s="7" t="s">
        <v>62</v>
      </c>
      <c r="D224" s="9">
        <v>28.59</v>
      </c>
      <c r="E224" s="9">
        <v>19.43</v>
      </c>
      <c r="F224" s="9">
        <v>5.5</v>
      </c>
      <c r="G224" s="8">
        <v>111718.25</v>
      </c>
      <c r="H224" s="8">
        <v>73263.05</v>
      </c>
      <c r="I224" s="8">
        <v>25136.49</v>
      </c>
      <c r="J224" s="7" t="s">
        <v>325</v>
      </c>
    </row>
    <row r="225" spans="1:10" x14ac:dyDescent="0.35">
      <c r="A225" s="7" t="s">
        <v>74</v>
      </c>
      <c r="B225" s="7" t="s">
        <v>75</v>
      </c>
      <c r="C225" s="7" t="s">
        <v>128</v>
      </c>
      <c r="D225" s="9">
        <v>13.06</v>
      </c>
      <c r="E225" s="9">
        <v>19.100000000000001</v>
      </c>
      <c r="F225" s="9">
        <v>5.47</v>
      </c>
      <c r="G225" s="8">
        <v>3030.77</v>
      </c>
      <c r="H225" s="8">
        <v>3729.89</v>
      </c>
      <c r="I225" s="9">
        <v>956.81</v>
      </c>
      <c r="J225" s="7" t="s">
        <v>325</v>
      </c>
    </row>
    <row r="226" spans="1:10" x14ac:dyDescent="0.35">
      <c r="A226" s="7" t="s">
        <v>20</v>
      </c>
      <c r="B226" s="7" t="s">
        <v>145</v>
      </c>
      <c r="C226" s="7" t="s">
        <v>83</v>
      </c>
      <c r="D226" s="9">
        <v>0</v>
      </c>
      <c r="E226" s="9">
        <v>30.78</v>
      </c>
      <c r="F226" s="9">
        <v>5.4</v>
      </c>
      <c r="G226" s="9">
        <v>0</v>
      </c>
      <c r="H226" s="8">
        <v>14693.83</v>
      </c>
      <c r="I226" s="8">
        <v>2350.1999999999998</v>
      </c>
      <c r="J226" s="7" t="s">
        <v>325</v>
      </c>
    </row>
    <row r="227" spans="1:10" x14ac:dyDescent="0.35">
      <c r="A227" s="7" t="s">
        <v>79</v>
      </c>
      <c r="B227" s="7" t="s">
        <v>92</v>
      </c>
      <c r="C227" s="7" t="s">
        <v>102</v>
      </c>
      <c r="D227" s="9">
        <v>11.77</v>
      </c>
      <c r="E227" s="9">
        <v>15.03</v>
      </c>
      <c r="F227" s="9">
        <v>5.4</v>
      </c>
      <c r="G227" s="8">
        <v>9355.32</v>
      </c>
      <c r="H227" s="8">
        <v>10864.1</v>
      </c>
      <c r="I227" s="8">
        <v>3455.01</v>
      </c>
      <c r="J227" s="7" t="s">
        <v>325</v>
      </c>
    </row>
    <row r="228" spans="1:10" x14ac:dyDescent="0.35">
      <c r="A228" s="7" t="s">
        <v>20</v>
      </c>
      <c r="B228" s="7" t="s">
        <v>68</v>
      </c>
      <c r="C228" s="7" t="s">
        <v>45</v>
      </c>
      <c r="D228" s="9">
        <v>16.05</v>
      </c>
      <c r="E228" s="9">
        <v>19.93</v>
      </c>
      <c r="F228" s="9">
        <v>5.37</v>
      </c>
      <c r="G228" s="8">
        <v>7585.02</v>
      </c>
      <c r="H228" s="8">
        <v>8571.48</v>
      </c>
      <c r="I228" s="8">
        <v>2157.42</v>
      </c>
      <c r="J228" s="7" t="s">
        <v>325</v>
      </c>
    </row>
    <row r="229" spans="1:10" x14ac:dyDescent="0.35">
      <c r="A229" s="7" t="s">
        <v>25</v>
      </c>
      <c r="B229" s="7" t="s">
        <v>29</v>
      </c>
      <c r="C229" s="7" t="s">
        <v>39</v>
      </c>
      <c r="D229" s="9">
        <v>32.130000000000003</v>
      </c>
      <c r="E229" s="9">
        <v>8.64</v>
      </c>
      <c r="F229" s="9">
        <v>5.36</v>
      </c>
      <c r="G229" s="8">
        <v>74222.899999999994</v>
      </c>
      <c r="H229" s="8">
        <v>19433.560000000001</v>
      </c>
      <c r="I229" s="8">
        <v>13998.36</v>
      </c>
      <c r="J229" s="7" t="s">
        <v>325</v>
      </c>
    </row>
    <row r="230" spans="1:10" x14ac:dyDescent="0.35">
      <c r="A230" s="7" t="s">
        <v>40</v>
      </c>
      <c r="B230" s="7" t="s">
        <v>41</v>
      </c>
      <c r="C230" s="7" t="s">
        <v>62</v>
      </c>
      <c r="D230" s="9">
        <v>14.39</v>
      </c>
      <c r="E230" s="9">
        <v>6.12</v>
      </c>
      <c r="F230" s="9">
        <v>5.34</v>
      </c>
      <c r="G230" s="8">
        <v>15601.83</v>
      </c>
      <c r="H230" s="8">
        <v>6957.43</v>
      </c>
      <c r="I230" s="8">
        <v>8418.2900000000009</v>
      </c>
      <c r="J230" s="7" t="s">
        <v>325</v>
      </c>
    </row>
    <row r="231" spans="1:10" ht="26.25" customHeight="1" x14ac:dyDescent="0.35">
      <c r="A231" s="7" t="s">
        <v>31</v>
      </c>
      <c r="B231" s="7" t="s">
        <v>146</v>
      </c>
      <c r="C231" s="7" t="s">
        <v>33</v>
      </c>
      <c r="D231" s="9">
        <v>34</v>
      </c>
      <c r="E231" s="9">
        <v>23.5</v>
      </c>
      <c r="F231" s="9">
        <v>5.33</v>
      </c>
      <c r="G231" s="8">
        <v>38114.44</v>
      </c>
      <c r="H231" s="8">
        <v>32821.64</v>
      </c>
      <c r="I231" s="8">
        <v>6526.43</v>
      </c>
      <c r="J231" s="7" t="s">
        <v>325</v>
      </c>
    </row>
    <row r="232" spans="1:10" x14ac:dyDescent="0.35">
      <c r="A232" s="7" t="s">
        <v>16</v>
      </c>
      <c r="B232" s="7" t="s">
        <v>143</v>
      </c>
      <c r="C232" s="7" t="s">
        <v>18</v>
      </c>
      <c r="D232" s="9">
        <v>39.18</v>
      </c>
      <c r="E232" s="9">
        <v>36.76</v>
      </c>
      <c r="F232" s="9">
        <v>5.3</v>
      </c>
      <c r="G232" s="8">
        <v>36327.11</v>
      </c>
      <c r="H232" s="8">
        <v>44202.400000000001</v>
      </c>
      <c r="I232" s="8">
        <v>5617.67</v>
      </c>
      <c r="J232" s="7" t="s">
        <v>325</v>
      </c>
    </row>
    <row r="233" spans="1:10" x14ac:dyDescent="0.35">
      <c r="A233" s="7" t="s">
        <v>31</v>
      </c>
      <c r="B233" s="7" t="s">
        <v>131</v>
      </c>
      <c r="C233" s="7" t="s">
        <v>39</v>
      </c>
      <c r="D233" s="9">
        <v>18.440000000000001</v>
      </c>
      <c r="E233" s="9">
        <v>14.78</v>
      </c>
      <c r="F233" s="9">
        <v>5.2</v>
      </c>
      <c r="G233" s="8">
        <v>10595.34</v>
      </c>
      <c r="H233" s="8">
        <v>10304.76</v>
      </c>
      <c r="I233" s="8">
        <v>4896.75</v>
      </c>
      <c r="J233" s="7" t="s">
        <v>325</v>
      </c>
    </row>
    <row r="234" spans="1:10" x14ac:dyDescent="0.35">
      <c r="A234" s="7" t="s">
        <v>40</v>
      </c>
      <c r="B234" s="7" t="s">
        <v>85</v>
      </c>
      <c r="C234" s="7" t="s">
        <v>39</v>
      </c>
      <c r="D234" s="9">
        <v>8.41</v>
      </c>
      <c r="E234" s="9">
        <v>12.71</v>
      </c>
      <c r="F234" s="9">
        <v>5.08</v>
      </c>
      <c r="G234" s="8">
        <v>6527.43</v>
      </c>
      <c r="H234" s="8">
        <v>4995.63</v>
      </c>
      <c r="I234" s="8">
        <v>3761.74</v>
      </c>
      <c r="J234" s="7" t="s">
        <v>325</v>
      </c>
    </row>
    <row r="235" spans="1:10" x14ac:dyDescent="0.35">
      <c r="A235" s="7" t="s">
        <v>20</v>
      </c>
      <c r="B235" s="7" t="s">
        <v>21</v>
      </c>
      <c r="C235" s="7" t="s">
        <v>144</v>
      </c>
      <c r="D235" s="9">
        <v>15.2</v>
      </c>
      <c r="E235" s="9">
        <v>18.100000000000001</v>
      </c>
      <c r="F235" s="9">
        <v>5.0199999999999996</v>
      </c>
      <c r="G235" s="8">
        <v>31503.67</v>
      </c>
      <c r="H235" s="8">
        <v>38997.800000000003</v>
      </c>
      <c r="I235" s="8">
        <v>10489.16</v>
      </c>
      <c r="J235" s="7" t="s">
        <v>325</v>
      </c>
    </row>
    <row r="236" spans="1:10" x14ac:dyDescent="0.35">
      <c r="A236" s="7" t="s">
        <v>66</v>
      </c>
      <c r="B236" s="7" t="s">
        <v>73</v>
      </c>
      <c r="C236" s="7" t="s">
        <v>39</v>
      </c>
      <c r="D236" s="9">
        <v>6.86</v>
      </c>
      <c r="E236" s="9">
        <v>13.89</v>
      </c>
      <c r="F236" s="9">
        <v>5.01</v>
      </c>
      <c r="G236" s="8">
        <v>3225.18</v>
      </c>
      <c r="H236" s="8">
        <v>4546.67</v>
      </c>
      <c r="I236" s="8">
        <v>1605.19</v>
      </c>
      <c r="J236" s="7" t="s">
        <v>325</v>
      </c>
    </row>
    <row r="237" spans="1:10" x14ac:dyDescent="0.35">
      <c r="A237" s="7" t="s">
        <v>129</v>
      </c>
      <c r="B237" s="7" t="s">
        <v>147</v>
      </c>
      <c r="C237" s="7" t="s">
        <v>113</v>
      </c>
      <c r="D237" s="9">
        <v>7.52</v>
      </c>
      <c r="E237" s="9">
        <v>0</v>
      </c>
      <c r="F237" s="9">
        <v>4.99</v>
      </c>
      <c r="G237" s="8">
        <v>23763.3</v>
      </c>
      <c r="H237" s="9">
        <v>0</v>
      </c>
      <c r="I237" s="8">
        <v>18491.310000000001</v>
      </c>
      <c r="J237" s="7" t="s">
        <v>325</v>
      </c>
    </row>
    <row r="238" spans="1:10" x14ac:dyDescent="0.35">
      <c r="A238" s="7" t="s">
        <v>40</v>
      </c>
      <c r="B238" s="7" t="s">
        <v>85</v>
      </c>
      <c r="C238" s="7" t="s">
        <v>33</v>
      </c>
      <c r="D238" s="9">
        <v>7.44</v>
      </c>
      <c r="E238" s="9">
        <v>9.32</v>
      </c>
      <c r="F238" s="9">
        <v>4.96</v>
      </c>
      <c r="G238" s="8">
        <v>7288.15</v>
      </c>
      <c r="H238" s="8">
        <v>9064.56</v>
      </c>
      <c r="I238" s="8">
        <v>5173.22</v>
      </c>
      <c r="J238" s="7" t="s">
        <v>325</v>
      </c>
    </row>
    <row r="239" spans="1:10" ht="26.25" customHeight="1" x14ac:dyDescent="0.35">
      <c r="A239" s="7" t="s">
        <v>40</v>
      </c>
      <c r="B239" s="7" t="s">
        <v>117</v>
      </c>
      <c r="C239" s="7" t="s">
        <v>81</v>
      </c>
      <c r="D239" s="9">
        <v>13.73</v>
      </c>
      <c r="E239" s="9">
        <v>12.73</v>
      </c>
      <c r="F239" s="9">
        <v>4.96</v>
      </c>
      <c r="G239" s="8">
        <v>12061.04</v>
      </c>
      <c r="H239" s="8">
        <v>15061.03</v>
      </c>
      <c r="I239" s="8">
        <v>5544.73</v>
      </c>
      <c r="J239" s="7" t="s">
        <v>325</v>
      </c>
    </row>
    <row r="240" spans="1:10" x14ac:dyDescent="0.35">
      <c r="A240" s="7" t="s">
        <v>40</v>
      </c>
      <c r="B240" s="7" t="s">
        <v>117</v>
      </c>
      <c r="C240" s="7" t="s">
        <v>142</v>
      </c>
      <c r="D240" s="9">
        <v>0.97</v>
      </c>
      <c r="E240" s="9">
        <v>13.6</v>
      </c>
      <c r="F240" s="9">
        <v>4.96</v>
      </c>
      <c r="G240" s="8">
        <v>1540.6</v>
      </c>
      <c r="H240" s="8">
        <v>20078.18</v>
      </c>
      <c r="I240" s="8">
        <v>5805.08</v>
      </c>
      <c r="J240" s="7" t="s">
        <v>325</v>
      </c>
    </row>
    <row r="241" spans="1:10" ht="26.25" customHeight="1" x14ac:dyDescent="0.35">
      <c r="A241" s="7" t="s">
        <v>31</v>
      </c>
      <c r="B241" s="7" t="s">
        <v>146</v>
      </c>
      <c r="C241" s="7" t="s">
        <v>62</v>
      </c>
      <c r="D241" s="9">
        <v>4.91</v>
      </c>
      <c r="E241" s="9">
        <v>10.36</v>
      </c>
      <c r="F241" s="9">
        <v>4.9400000000000004</v>
      </c>
      <c r="G241" s="8">
        <v>18610.04</v>
      </c>
      <c r="H241" s="8">
        <v>44876.01</v>
      </c>
      <c r="I241" s="8">
        <v>22316.43</v>
      </c>
      <c r="J241" s="7" t="s">
        <v>325</v>
      </c>
    </row>
    <row r="242" spans="1:10" x14ac:dyDescent="0.35">
      <c r="A242" s="7" t="s">
        <v>35</v>
      </c>
      <c r="B242" s="7" t="s">
        <v>47</v>
      </c>
      <c r="C242" s="7" t="s">
        <v>48</v>
      </c>
      <c r="D242" s="9">
        <v>15.93</v>
      </c>
      <c r="E242" s="9">
        <v>15.44</v>
      </c>
      <c r="F242" s="9">
        <v>4.83</v>
      </c>
      <c r="G242" s="8">
        <v>12172.5</v>
      </c>
      <c r="H242" s="8">
        <v>11986.07</v>
      </c>
      <c r="I242" s="8">
        <v>2759.46</v>
      </c>
      <c r="J242" s="7" t="s">
        <v>325</v>
      </c>
    </row>
    <row r="243" spans="1:10" x14ac:dyDescent="0.35">
      <c r="A243" s="7" t="s">
        <v>20</v>
      </c>
      <c r="B243" s="7" t="s">
        <v>111</v>
      </c>
      <c r="C243" s="7" t="s">
        <v>39</v>
      </c>
      <c r="D243" s="9">
        <v>32.36</v>
      </c>
      <c r="E243" s="9">
        <v>1.03</v>
      </c>
      <c r="F243" s="9">
        <v>4.8099999999999996</v>
      </c>
      <c r="G243" s="8">
        <v>27684.04</v>
      </c>
      <c r="H243" s="9">
        <v>857.97</v>
      </c>
      <c r="I243" s="8">
        <v>3738.51</v>
      </c>
      <c r="J243" s="7" t="s">
        <v>325</v>
      </c>
    </row>
    <row r="244" spans="1:10" x14ac:dyDescent="0.35">
      <c r="A244" s="7" t="s">
        <v>94</v>
      </c>
      <c r="B244" s="7" t="s">
        <v>112</v>
      </c>
      <c r="C244" s="7" t="s">
        <v>27</v>
      </c>
      <c r="D244" s="9">
        <v>24.26</v>
      </c>
      <c r="E244" s="9">
        <v>20.47</v>
      </c>
      <c r="F244" s="9">
        <v>4.78</v>
      </c>
      <c r="G244" s="8">
        <v>77139.850000000006</v>
      </c>
      <c r="H244" s="8">
        <v>67815.69</v>
      </c>
      <c r="I244" s="8">
        <v>13470.34</v>
      </c>
      <c r="J244" s="7" t="s">
        <v>325</v>
      </c>
    </row>
    <row r="245" spans="1:10" x14ac:dyDescent="0.35">
      <c r="A245" s="7" t="s">
        <v>23</v>
      </c>
      <c r="B245" s="7" t="s">
        <v>148</v>
      </c>
      <c r="C245" s="7" t="s">
        <v>118</v>
      </c>
      <c r="D245" s="9">
        <v>17.09</v>
      </c>
      <c r="E245" s="9">
        <v>18.12</v>
      </c>
      <c r="F245" s="9">
        <v>4.7300000000000004</v>
      </c>
      <c r="G245" s="8">
        <v>11449.16</v>
      </c>
      <c r="H245" s="8">
        <v>10740.7</v>
      </c>
      <c r="I245" s="8">
        <v>2961.89</v>
      </c>
      <c r="J245" s="7" t="s">
        <v>325</v>
      </c>
    </row>
    <row r="246" spans="1:10" x14ac:dyDescent="0.35">
      <c r="A246" s="7" t="s">
        <v>40</v>
      </c>
      <c r="B246" s="7" t="s">
        <v>41</v>
      </c>
      <c r="C246" s="7" t="s">
        <v>42</v>
      </c>
      <c r="D246" s="9">
        <v>18.850000000000001</v>
      </c>
      <c r="E246" s="9">
        <v>16.59</v>
      </c>
      <c r="F246" s="9">
        <v>4.7300000000000004</v>
      </c>
      <c r="G246" s="8">
        <v>11893.54</v>
      </c>
      <c r="H246" s="8">
        <v>8778.16</v>
      </c>
      <c r="I246" s="8">
        <v>2409.42</v>
      </c>
      <c r="J246" s="7" t="s">
        <v>325</v>
      </c>
    </row>
    <row r="247" spans="1:10" x14ac:dyDescent="0.35">
      <c r="A247" s="7" t="s">
        <v>77</v>
      </c>
      <c r="B247" s="7" t="s">
        <v>149</v>
      </c>
      <c r="C247" s="7" t="s">
        <v>150</v>
      </c>
      <c r="D247" s="9">
        <v>19.600000000000001</v>
      </c>
      <c r="E247" s="9">
        <v>20.21</v>
      </c>
      <c r="F247" s="9">
        <v>4.6900000000000004</v>
      </c>
      <c r="G247" s="8">
        <v>2120.29</v>
      </c>
      <c r="H247" s="8">
        <v>2396.5500000000002</v>
      </c>
      <c r="I247" s="9">
        <v>567.23</v>
      </c>
      <c r="J247" s="7" t="s">
        <v>325</v>
      </c>
    </row>
    <row r="248" spans="1:10" x14ac:dyDescent="0.35">
      <c r="A248" s="7" t="s">
        <v>79</v>
      </c>
      <c r="B248" s="7" t="s">
        <v>91</v>
      </c>
      <c r="C248" s="7" t="s">
        <v>48</v>
      </c>
      <c r="D248" s="9">
        <v>13.46</v>
      </c>
      <c r="E248" s="9">
        <v>14.31</v>
      </c>
      <c r="F248" s="9">
        <v>4.62</v>
      </c>
      <c r="G248" s="8">
        <v>6753.61</v>
      </c>
      <c r="H248" s="8">
        <v>6584.63</v>
      </c>
      <c r="I248" s="8">
        <v>2475.5700000000002</v>
      </c>
      <c r="J248" s="7" t="s">
        <v>325</v>
      </c>
    </row>
    <row r="249" spans="1:10" x14ac:dyDescent="0.35">
      <c r="A249" s="7" t="s">
        <v>16</v>
      </c>
      <c r="B249" s="7" t="s">
        <v>109</v>
      </c>
      <c r="C249" s="7" t="s">
        <v>151</v>
      </c>
      <c r="D249" s="9">
        <v>17.05</v>
      </c>
      <c r="E249" s="9">
        <v>16.34</v>
      </c>
      <c r="F249" s="9">
        <v>4.5999999999999996</v>
      </c>
      <c r="G249" s="8">
        <v>10253.620000000001</v>
      </c>
      <c r="H249" s="8">
        <v>9721.5400000000009</v>
      </c>
      <c r="I249" s="8">
        <v>2950.33</v>
      </c>
      <c r="J249" s="7" t="s">
        <v>325</v>
      </c>
    </row>
    <row r="250" spans="1:10" x14ac:dyDescent="0.35">
      <c r="A250" s="7" t="s">
        <v>35</v>
      </c>
      <c r="B250" s="7" t="s">
        <v>36</v>
      </c>
      <c r="C250" s="7" t="s">
        <v>39</v>
      </c>
      <c r="D250" s="9">
        <v>25.7</v>
      </c>
      <c r="E250" s="9">
        <v>12.32</v>
      </c>
      <c r="F250" s="9">
        <v>4.58</v>
      </c>
      <c r="G250" s="8">
        <v>22735.15</v>
      </c>
      <c r="H250" s="8">
        <v>7600.43</v>
      </c>
      <c r="I250" s="8">
        <v>3447.01</v>
      </c>
      <c r="J250" s="7" t="s">
        <v>325</v>
      </c>
    </row>
    <row r="251" spans="1:10" x14ac:dyDescent="0.35">
      <c r="A251" s="7" t="s">
        <v>40</v>
      </c>
      <c r="B251" s="7" t="s">
        <v>85</v>
      </c>
      <c r="C251" s="7" t="s">
        <v>48</v>
      </c>
      <c r="D251" s="9">
        <v>12.46</v>
      </c>
      <c r="E251" s="9">
        <v>12.38</v>
      </c>
      <c r="F251" s="9">
        <v>4.54</v>
      </c>
      <c r="G251" s="8">
        <v>5355.63</v>
      </c>
      <c r="H251" s="8">
        <v>5140.6000000000004</v>
      </c>
      <c r="I251" s="8">
        <v>2455.08</v>
      </c>
      <c r="J251" s="7" t="s">
        <v>325</v>
      </c>
    </row>
    <row r="252" spans="1:10" x14ac:dyDescent="0.35">
      <c r="A252" s="7" t="s">
        <v>49</v>
      </c>
      <c r="B252" s="7" t="s">
        <v>70</v>
      </c>
      <c r="C252" s="7" t="s">
        <v>33</v>
      </c>
      <c r="D252" s="9">
        <v>10.96</v>
      </c>
      <c r="E252" s="9">
        <v>11.94</v>
      </c>
      <c r="F252" s="9">
        <v>4.54</v>
      </c>
      <c r="G252" s="8">
        <v>6411.93</v>
      </c>
      <c r="H252" s="8">
        <v>7900.48</v>
      </c>
      <c r="I252" s="8">
        <v>3241.03</v>
      </c>
      <c r="J252" s="7" t="s">
        <v>325</v>
      </c>
    </row>
    <row r="253" spans="1:10" x14ac:dyDescent="0.35">
      <c r="A253" s="7" t="s">
        <v>16</v>
      </c>
      <c r="B253" s="7" t="s">
        <v>52</v>
      </c>
      <c r="C253" s="7" t="s">
        <v>54</v>
      </c>
      <c r="D253" s="9">
        <v>21.97</v>
      </c>
      <c r="E253" s="9">
        <v>15.79</v>
      </c>
      <c r="F253" s="9">
        <v>4.5</v>
      </c>
      <c r="G253" s="8">
        <v>10921.44</v>
      </c>
      <c r="H253" s="8">
        <v>7932.45</v>
      </c>
      <c r="I253" s="8">
        <v>2261.0700000000002</v>
      </c>
      <c r="J253" s="7" t="s">
        <v>325</v>
      </c>
    </row>
    <row r="254" spans="1:10" x14ac:dyDescent="0.35">
      <c r="A254" s="7" t="s">
        <v>16</v>
      </c>
      <c r="B254" s="7" t="s">
        <v>90</v>
      </c>
      <c r="C254" s="7" t="s">
        <v>48</v>
      </c>
      <c r="D254" s="9">
        <v>8.52</v>
      </c>
      <c r="E254" s="9">
        <v>11.9</v>
      </c>
      <c r="F254" s="9">
        <v>4.5</v>
      </c>
      <c r="G254" s="8">
        <v>4631.07</v>
      </c>
      <c r="H254" s="8">
        <v>6013.07</v>
      </c>
      <c r="I254" s="8">
        <v>2522.7800000000002</v>
      </c>
      <c r="J254" s="7" t="s">
        <v>325</v>
      </c>
    </row>
    <row r="255" spans="1:10" x14ac:dyDescent="0.35">
      <c r="A255" s="7" t="s">
        <v>23</v>
      </c>
      <c r="B255" s="7" t="s">
        <v>124</v>
      </c>
      <c r="C255" s="7" t="s">
        <v>113</v>
      </c>
      <c r="D255" s="9">
        <v>0</v>
      </c>
      <c r="E255" s="9">
        <v>1.33</v>
      </c>
      <c r="F255" s="9">
        <v>4.5</v>
      </c>
      <c r="G255" s="9">
        <v>0</v>
      </c>
      <c r="H255" s="8">
        <v>4568.32</v>
      </c>
      <c r="I255" s="8">
        <v>16166.79</v>
      </c>
      <c r="J255" s="7" t="s">
        <v>325</v>
      </c>
    </row>
    <row r="256" spans="1:10" x14ac:dyDescent="0.35">
      <c r="A256" s="7" t="s">
        <v>40</v>
      </c>
      <c r="B256" s="7" t="s">
        <v>107</v>
      </c>
      <c r="C256" s="7" t="s">
        <v>42</v>
      </c>
      <c r="D256" s="9">
        <v>9.35</v>
      </c>
      <c r="E256" s="9">
        <v>11.65</v>
      </c>
      <c r="F256" s="9">
        <v>4.4800000000000004</v>
      </c>
      <c r="G256" s="8">
        <v>5651.33</v>
      </c>
      <c r="H256" s="8">
        <v>6571.13</v>
      </c>
      <c r="I256" s="8">
        <v>2671.82</v>
      </c>
      <c r="J256" s="7" t="s">
        <v>325</v>
      </c>
    </row>
    <row r="257" spans="1:10" x14ac:dyDescent="0.35">
      <c r="A257" s="7" t="s">
        <v>23</v>
      </c>
      <c r="B257" s="7" t="s">
        <v>30</v>
      </c>
      <c r="C257" s="7" t="s">
        <v>72</v>
      </c>
      <c r="D257" s="9">
        <v>6.75</v>
      </c>
      <c r="E257" s="9">
        <v>8.99</v>
      </c>
      <c r="F257" s="9">
        <v>4.4000000000000004</v>
      </c>
      <c r="G257" s="8">
        <v>1039.81</v>
      </c>
      <c r="H257" s="8">
        <v>1477.09</v>
      </c>
      <c r="I257" s="9">
        <v>769.1</v>
      </c>
      <c r="J257" s="7" t="s">
        <v>325</v>
      </c>
    </row>
    <row r="258" spans="1:10" x14ac:dyDescent="0.35">
      <c r="A258" s="7" t="s">
        <v>74</v>
      </c>
      <c r="B258" s="7" t="s">
        <v>137</v>
      </c>
      <c r="C258" s="7" t="s">
        <v>45</v>
      </c>
      <c r="D258" s="9">
        <v>2.7</v>
      </c>
      <c r="E258" s="9">
        <v>9.7799999999999994</v>
      </c>
      <c r="F258" s="9">
        <v>4.3899999999999997</v>
      </c>
      <c r="G258" s="9">
        <v>431.45</v>
      </c>
      <c r="H258" s="8">
        <v>1741.25</v>
      </c>
      <c r="I258" s="9">
        <v>708.02</v>
      </c>
      <c r="J258" s="7" t="s">
        <v>325</v>
      </c>
    </row>
    <row r="259" spans="1:10" x14ac:dyDescent="0.35">
      <c r="A259" s="7" t="s">
        <v>31</v>
      </c>
      <c r="B259" s="7" t="s">
        <v>152</v>
      </c>
      <c r="C259" s="7" t="s">
        <v>51</v>
      </c>
      <c r="D259" s="9">
        <v>0.79</v>
      </c>
      <c r="E259" s="9">
        <v>3.67</v>
      </c>
      <c r="F259" s="9">
        <v>4.34</v>
      </c>
      <c r="G259" s="9">
        <v>978.58</v>
      </c>
      <c r="H259" s="8">
        <v>4778.8100000000004</v>
      </c>
      <c r="I259" s="8">
        <v>5569.26</v>
      </c>
      <c r="J259" s="7" t="s">
        <v>325</v>
      </c>
    </row>
    <row r="260" spans="1:10" x14ac:dyDescent="0.35">
      <c r="A260" s="7" t="s">
        <v>16</v>
      </c>
      <c r="B260" s="7" t="s">
        <v>28</v>
      </c>
      <c r="C260" s="7" t="s">
        <v>46</v>
      </c>
      <c r="D260" s="9">
        <v>7.81</v>
      </c>
      <c r="E260" s="9">
        <v>32.75</v>
      </c>
      <c r="F260" s="9">
        <v>4.26</v>
      </c>
      <c r="G260" s="8">
        <v>4177.07</v>
      </c>
      <c r="H260" s="8">
        <v>47755.83</v>
      </c>
      <c r="I260" s="8">
        <v>5571</v>
      </c>
      <c r="J260" s="7" t="s">
        <v>325</v>
      </c>
    </row>
    <row r="261" spans="1:10" x14ac:dyDescent="0.35">
      <c r="A261" s="7" t="s">
        <v>23</v>
      </c>
      <c r="B261" s="7" t="s">
        <v>123</v>
      </c>
      <c r="C261" s="7" t="s">
        <v>45</v>
      </c>
      <c r="D261" s="9">
        <v>14.22</v>
      </c>
      <c r="E261" s="9">
        <v>14.83</v>
      </c>
      <c r="F261" s="9">
        <v>4.21</v>
      </c>
      <c r="G261" s="8">
        <v>67872.649999999994</v>
      </c>
      <c r="H261" s="8">
        <v>58029.32</v>
      </c>
      <c r="I261" s="8">
        <v>21680.65</v>
      </c>
      <c r="J261" s="7" t="s">
        <v>325</v>
      </c>
    </row>
    <row r="262" spans="1:10" x14ac:dyDescent="0.35">
      <c r="A262" s="7" t="s">
        <v>16</v>
      </c>
      <c r="B262" s="7" t="s">
        <v>153</v>
      </c>
      <c r="C262" s="7" t="s">
        <v>46</v>
      </c>
      <c r="D262" s="9">
        <v>9.2200000000000006</v>
      </c>
      <c r="E262" s="9">
        <v>17.11</v>
      </c>
      <c r="F262" s="9">
        <v>4.1399999999999997</v>
      </c>
      <c r="G262" s="8">
        <v>4253.2700000000004</v>
      </c>
      <c r="H262" s="8">
        <v>9303.8700000000008</v>
      </c>
      <c r="I262" s="8">
        <v>2301.15</v>
      </c>
      <c r="J262" s="7" t="s">
        <v>325</v>
      </c>
    </row>
    <row r="263" spans="1:10" x14ac:dyDescent="0.35">
      <c r="A263" s="7" t="s">
        <v>86</v>
      </c>
      <c r="B263" s="7" t="s">
        <v>106</v>
      </c>
      <c r="C263" s="7" t="s">
        <v>18</v>
      </c>
      <c r="D263" s="9">
        <v>11.02</v>
      </c>
      <c r="E263" s="9">
        <v>12.26</v>
      </c>
      <c r="F263" s="9">
        <v>4.1399999999999997</v>
      </c>
      <c r="G263" s="8">
        <v>9207.7900000000009</v>
      </c>
      <c r="H263" s="8">
        <v>12501.95</v>
      </c>
      <c r="I263" s="8">
        <v>3851.13</v>
      </c>
      <c r="J263" s="7" t="s">
        <v>325</v>
      </c>
    </row>
    <row r="264" spans="1:10" x14ac:dyDescent="0.35">
      <c r="A264" s="7" t="s">
        <v>79</v>
      </c>
      <c r="B264" s="7" t="s">
        <v>92</v>
      </c>
      <c r="C264" s="7" t="s">
        <v>76</v>
      </c>
      <c r="D264" s="9">
        <v>2.0699999999999998</v>
      </c>
      <c r="E264" s="9">
        <v>2.59</v>
      </c>
      <c r="F264" s="9">
        <v>4.13</v>
      </c>
      <c r="G264" s="9">
        <v>597.15</v>
      </c>
      <c r="H264" s="9">
        <v>662.94</v>
      </c>
      <c r="I264" s="9">
        <v>815.68</v>
      </c>
      <c r="J264" s="7" t="s">
        <v>325</v>
      </c>
    </row>
    <row r="265" spans="1:10" x14ac:dyDescent="0.35">
      <c r="A265" s="7" t="s">
        <v>20</v>
      </c>
      <c r="B265" s="7" t="s">
        <v>154</v>
      </c>
      <c r="C265" s="7" t="s">
        <v>60</v>
      </c>
      <c r="D265" s="9">
        <v>11.64</v>
      </c>
      <c r="E265" s="9">
        <v>11.31</v>
      </c>
      <c r="F265" s="9">
        <v>4.01</v>
      </c>
      <c r="G265" s="8">
        <v>7648.25</v>
      </c>
      <c r="H265" s="8">
        <v>7821.59</v>
      </c>
      <c r="I265" s="8">
        <v>2651.58</v>
      </c>
      <c r="J265" s="7" t="s">
        <v>325</v>
      </c>
    </row>
    <row r="266" spans="1:10" x14ac:dyDescent="0.35">
      <c r="A266" s="7" t="s">
        <v>31</v>
      </c>
      <c r="B266" s="7" t="s">
        <v>32</v>
      </c>
      <c r="C266" s="7" t="s">
        <v>42</v>
      </c>
      <c r="D266" s="9">
        <v>7.86</v>
      </c>
      <c r="E266" s="9">
        <v>10.69</v>
      </c>
      <c r="F266" s="9">
        <v>4.01</v>
      </c>
      <c r="G266" s="8">
        <v>6031.14</v>
      </c>
      <c r="H266" s="8">
        <v>7196.26</v>
      </c>
      <c r="I266" s="8">
        <v>2953.69</v>
      </c>
      <c r="J266" s="7" t="s">
        <v>325</v>
      </c>
    </row>
    <row r="267" spans="1:10" x14ac:dyDescent="0.35">
      <c r="A267" s="7" t="s">
        <v>40</v>
      </c>
      <c r="B267" s="7" t="s">
        <v>107</v>
      </c>
      <c r="C267" s="7" t="s">
        <v>39</v>
      </c>
      <c r="D267" s="9">
        <v>8.8800000000000008</v>
      </c>
      <c r="E267" s="9">
        <v>9.83</v>
      </c>
      <c r="F267" s="9">
        <v>4</v>
      </c>
      <c r="G267" s="8">
        <v>5126.13</v>
      </c>
      <c r="H267" s="8">
        <v>2831.58</v>
      </c>
      <c r="I267" s="8">
        <v>1477.1</v>
      </c>
      <c r="J267" s="7" t="s">
        <v>325</v>
      </c>
    </row>
    <row r="268" spans="1:10" x14ac:dyDescent="0.35">
      <c r="A268" s="7" t="s">
        <v>40</v>
      </c>
      <c r="B268" s="7" t="s">
        <v>41</v>
      </c>
      <c r="C268" s="7" t="s">
        <v>102</v>
      </c>
      <c r="D268" s="9">
        <v>4.7699999999999996</v>
      </c>
      <c r="E268" s="9">
        <v>10.06</v>
      </c>
      <c r="F268" s="9">
        <v>3.95</v>
      </c>
      <c r="G268" s="8">
        <v>6225.23</v>
      </c>
      <c r="H268" s="8">
        <v>12046.82</v>
      </c>
      <c r="I268" s="8">
        <v>4843.28</v>
      </c>
      <c r="J268" s="7" t="s">
        <v>325</v>
      </c>
    </row>
    <row r="269" spans="1:10" x14ac:dyDescent="0.35">
      <c r="A269" s="7" t="s">
        <v>35</v>
      </c>
      <c r="B269" s="7" t="s">
        <v>38</v>
      </c>
      <c r="C269" s="7" t="s">
        <v>48</v>
      </c>
      <c r="D269" s="9">
        <v>8.26</v>
      </c>
      <c r="E269" s="9">
        <v>11.93</v>
      </c>
      <c r="F269" s="9">
        <v>3.94</v>
      </c>
      <c r="G269" s="8">
        <v>4963.3900000000003</v>
      </c>
      <c r="H269" s="8">
        <v>7301.06</v>
      </c>
      <c r="I269" s="8">
        <v>2523.65</v>
      </c>
      <c r="J269" s="7" t="s">
        <v>325</v>
      </c>
    </row>
    <row r="270" spans="1:10" x14ac:dyDescent="0.35">
      <c r="A270" s="7" t="s">
        <v>74</v>
      </c>
      <c r="B270" s="7" t="s">
        <v>75</v>
      </c>
      <c r="C270" s="7" t="s">
        <v>62</v>
      </c>
      <c r="D270" s="9">
        <v>16.91</v>
      </c>
      <c r="E270" s="9">
        <v>20.059999999999999</v>
      </c>
      <c r="F270" s="9">
        <v>3.87</v>
      </c>
      <c r="G270" s="8">
        <v>8439.01</v>
      </c>
      <c r="H270" s="8">
        <v>7549.1</v>
      </c>
      <c r="I270" s="8">
        <v>1446.32</v>
      </c>
      <c r="J270" s="7" t="s">
        <v>325</v>
      </c>
    </row>
    <row r="271" spans="1:10" x14ac:dyDescent="0.35">
      <c r="A271" s="7" t="s">
        <v>16</v>
      </c>
      <c r="B271" s="7" t="s">
        <v>52</v>
      </c>
      <c r="C271" s="7" t="s">
        <v>102</v>
      </c>
      <c r="D271" s="9">
        <v>22.22</v>
      </c>
      <c r="E271" s="9">
        <v>13.38</v>
      </c>
      <c r="F271" s="9">
        <v>3.86</v>
      </c>
      <c r="G271" s="8">
        <v>70576.14</v>
      </c>
      <c r="H271" s="8">
        <v>47141</v>
      </c>
      <c r="I271" s="8">
        <v>15276.82</v>
      </c>
      <c r="J271" s="7" t="s">
        <v>325</v>
      </c>
    </row>
    <row r="272" spans="1:10" ht="26.25" customHeight="1" x14ac:dyDescent="0.35">
      <c r="A272" s="7" t="s">
        <v>20</v>
      </c>
      <c r="B272" s="7" t="s">
        <v>21</v>
      </c>
      <c r="C272" s="7" t="s">
        <v>81</v>
      </c>
      <c r="D272" s="9">
        <v>6.1</v>
      </c>
      <c r="E272" s="9">
        <v>13.66</v>
      </c>
      <c r="F272" s="9">
        <v>3.82</v>
      </c>
      <c r="G272" s="8">
        <v>6373.96</v>
      </c>
      <c r="H272" s="8">
        <v>16317.36</v>
      </c>
      <c r="I272" s="8">
        <v>4383.42</v>
      </c>
      <c r="J272" s="7" t="s">
        <v>325</v>
      </c>
    </row>
    <row r="273" spans="1:10" x14ac:dyDescent="0.35">
      <c r="A273" s="7" t="s">
        <v>23</v>
      </c>
      <c r="B273" s="7" t="s">
        <v>123</v>
      </c>
      <c r="C273" s="7" t="s">
        <v>39</v>
      </c>
      <c r="D273" s="9">
        <v>6.15</v>
      </c>
      <c r="E273" s="9">
        <v>9.6199999999999992</v>
      </c>
      <c r="F273" s="9">
        <v>3.79</v>
      </c>
      <c r="G273" s="8">
        <v>3257.43</v>
      </c>
      <c r="H273" s="8">
        <v>8738.73</v>
      </c>
      <c r="I273" s="8">
        <v>3371.9</v>
      </c>
      <c r="J273" s="7" t="s">
        <v>325</v>
      </c>
    </row>
    <row r="274" spans="1:10" x14ac:dyDescent="0.35">
      <c r="A274" s="7" t="s">
        <v>66</v>
      </c>
      <c r="B274" s="7" t="s">
        <v>127</v>
      </c>
      <c r="C274" s="7" t="s">
        <v>39</v>
      </c>
      <c r="D274" s="9">
        <v>7.21</v>
      </c>
      <c r="E274" s="9">
        <v>6.51</v>
      </c>
      <c r="F274" s="9">
        <v>3.77</v>
      </c>
      <c r="G274" s="8">
        <v>3462.75</v>
      </c>
      <c r="H274" s="8">
        <v>3270.89</v>
      </c>
      <c r="I274" s="8">
        <v>1698.16</v>
      </c>
      <c r="J274" s="7" t="s">
        <v>325</v>
      </c>
    </row>
    <row r="275" spans="1:10" x14ac:dyDescent="0.35">
      <c r="A275" s="7" t="s">
        <v>31</v>
      </c>
      <c r="B275" s="7" t="s">
        <v>139</v>
      </c>
      <c r="C275" s="7" t="s">
        <v>18</v>
      </c>
      <c r="D275" s="9">
        <v>27.58</v>
      </c>
      <c r="E275" s="9">
        <v>23.44</v>
      </c>
      <c r="F275" s="9">
        <v>3.76</v>
      </c>
      <c r="G275" s="8">
        <v>29010.81</v>
      </c>
      <c r="H275" s="8">
        <v>30530.55</v>
      </c>
      <c r="I275" s="8">
        <v>4567.5200000000004</v>
      </c>
      <c r="J275" s="7" t="s">
        <v>325</v>
      </c>
    </row>
    <row r="276" spans="1:10" x14ac:dyDescent="0.35">
      <c r="A276" s="7" t="s">
        <v>40</v>
      </c>
      <c r="B276" s="7" t="s">
        <v>41</v>
      </c>
      <c r="C276" s="7" t="s">
        <v>55</v>
      </c>
      <c r="D276" s="9">
        <v>25.47</v>
      </c>
      <c r="E276" s="9">
        <v>16.68</v>
      </c>
      <c r="F276" s="9">
        <v>3.71</v>
      </c>
      <c r="G276" s="8">
        <v>42220.07</v>
      </c>
      <c r="H276" s="8">
        <v>40866.76</v>
      </c>
      <c r="I276" s="8">
        <v>14422.06</v>
      </c>
      <c r="J276" s="7" t="s">
        <v>325</v>
      </c>
    </row>
    <row r="277" spans="1:10" x14ac:dyDescent="0.35">
      <c r="A277" s="7" t="s">
        <v>94</v>
      </c>
      <c r="B277" s="7" t="s">
        <v>95</v>
      </c>
      <c r="C277" s="7" t="s">
        <v>33</v>
      </c>
      <c r="D277" s="9">
        <v>7.57</v>
      </c>
      <c r="E277" s="9">
        <v>10.8</v>
      </c>
      <c r="F277" s="9">
        <v>3.69</v>
      </c>
      <c r="G277" s="8">
        <v>8590.25</v>
      </c>
      <c r="H277" s="8">
        <v>13558.39</v>
      </c>
      <c r="I277" s="8">
        <v>4698.13</v>
      </c>
      <c r="J277" s="7" t="s">
        <v>325</v>
      </c>
    </row>
    <row r="278" spans="1:10" x14ac:dyDescent="0.35">
      <c r="A278" s="7" t="s">
        <v>57</v>
      </c>
      <c r="B278" s="7" t="s">
        <v>97</v>
      </c>
      <c r="C278" s="7" t="s">
        <v>114</v>
      </c>
      <c r="D278" s="9">
        <v>6.76</v>
      </c>
      <c r="E278" s="9">
        <v>4.12</v>
      </c>
      <c r="F278" s="9">
        <v>3.66</v>
      </c>
      <c r="G278" s="9">
        <v>779</v>
      </c>
      <c r="H278" s="9">
        <v>613</v>
      </c>
      <c r="I278" s="9">
        <v>563</v>
      </c>
      <c r="J278" s="7" t="s">
        <v>325</v>
      </c>
    </row>
    <row r="279" spans="1:10" x14ac:dyDescent="0.35">
      <c r="A279" s="7" t="s">
        <v>74</v>
      </c>
      <c r="B279" s="7" t="s">
        <v>137</v>
      </c>
      <c r="C279" s="7" t="s">
        <v>39</v>
      </c>
      <c r="D279" s="9">
        <v>6.95</v>
      </c>
      <c r="E279" s="9">
        <v>8.9600000000000009</v>
      </c>
      <c r="F279" s="9">
        <v>3.65</v>
      </c>
      <c r="G279" s="9">
        <v>195.97</v>
      </c>
      <c r="H279" s="9">
        <v>348.77</v>
      </c>
      <c r="I279" s="9">
        <v>124.17</v>
      </c>
      <c r="J279" s="7" t="s">
        <v>325</v>
      </c>
    </row>
    <row r="280" spans="1:10" x14ac:dyDescent="0.35">
      <c r="A280" s="7" t="s">
        <v>20</v>
      </c>
      <c r="B280" s="7" t="s">
        <v>82</v>
      </c>
      <c r="C280" s="7" t="s">
        <v>54</v>
      </c>
      <c r="D280" s="9">
        <v>24.12</v>
      </c>
      <c r="E280" s="9">
        <v>14.17</v>
      </c>
      <c r="F280" s="9">
        <v>3.64</v>
      </c>
      <c r="G280" s="8">
        <v>18404.21</v>
      </c>
      <c r="H280" s="8">
        <v>8583.4</v>
      </c>
      <c r="I280" s="8">
        <v>1951.23</v>
      </c>
      <c r="J280" s="7" t="s">
        <v>325</v>
      </c>
    </row>
    <row r="281" spans="1:10" x14ac:dyDescent="0.35">
      <c r="A281" s="7" t="s">
        <v>16</v>
      </c>
      <c r="B281" s="7" t="s">
        <v>17</v>
      </c>
      <c r="C281" s="7" t="s">
        <v>45</v>
      </c>
      <c r="D281" s="9">
        <v>11.65</v>
      </c>
      <c r="E281" s="9">
        <v>15.29</v>
      </c>
      <c r="F281" s="9">
        <v>3.64</v>
      </c>
      <c r="G281" s="8">
        <v>10061.83</v>
      </c>
      <c r="H281" s="8">
        <v>10908.82</v>
      </c>
      <c r="I281" s="8">
        <v>1903.41</v>
      </c>
      <c r="J281" s="7" t="s">
        <v>325</v>
      </c>
    </row>
    <row r="282" spans="1:10" x14ac:dyDescent="0.35">
      <c r="A282" s="7" t="s">
        <v>20</v>
      </c>
      <c r="B282" s="7" t="s">
        <v>21</v>
      </c>
      <c r="C282" s="7" t="s">
        <v>151</v>
      </c>
      <c r="D282" s="9">
        <v>21.48</v>
      </c>
      <c r="E282" s="9">
        <v>14.91</v>
      </c>
      <c r="F282" s="9">
        <v>3.63</v>
      </c>
      <c r="G282" s="8">
        <v>18377.759999999998</v>
      </c>
      <c r="H282" s="8">
        <v>10651.99</v>
      </c>
      <c r="I282" s="8">
        <v>2960.67</v>
      </c>
      <c r="J282" s="7" t="s">
        <v>325</v>
      </c>
    </row>
    <row r="283" spans="1:10" x14ac:dyDescent="0.35">
      <c r="A283" s="7" t="s">
        <v>35</v>
      </c>
      <c r="B283" s="7" t="s">
        <v>38</v>
      </c>
      <c r="C283" s="7" t="s">
        <v>60</v>
      </c>
      <c r="D283" s="9">
        <v>9.7200000000000006</v>
      </c>
      <c r="E283" s="9">
        <v>5.95</v>
      </c>
      <c r="F283" s="9">
        <v>3.61</v>
      </c>
      <c r="G283" s="8">
        <v>9812.92</v>
      </c>
      <c r="H283" s="8">
        <v>3923.43</v>
      </c>
      <c r="I283" s="8">
        <v>3607.95</v>
      </c>
      <c r="J283" s="7" t="s">
        <v>325</v>
      </c>
    </row>
    <row r="284" spans="1:10" x14ac:dyDescent="0.35">
      <c r="A284" s="7" t="s">
        <v>94</v>
      </c>
      <c r="B284" s="7" t="s">
        <v>95</v>
      </c>
      <c r="C284" s="7" t="s">
        <v>18</v>
      </c>
      <c r="D284" s="9">
        <v>11.68</v>
      </c>
      <c r="E284" s="9">
        <v>12.83</v>
      </c>
      <c r="F284" s="9">
        <v>3.61</v>
      </c>
      <c r="G284" s="8">
        <v>11947.73</v>
      </c>
      <c r="H284" s="8">
        <v>16351.52</v>
      </c>
      <c r="I284" s="8">
        <v>3870.66</v>
      </c>
      <c r="J284" s="7" t="s">
        <v>325</v>
      </c>
    </row>
    <row r="285" spans="1:10" x14ac:dyDescent="0.35">
      <c r="A285" s="7" t="s">
        <v>74</v>
      </c>
      <c r="B285" s="7" t="s">
        <v>75</v>
      </c>
      <c r="C285" s="7" t="s">
        <v>53</v>
      </c>
      <c r="D285" s="9">
        <v>10.39</v>
      </c>
      <c r="E285" s="9">
        <v>11.81</v>
      </c>
      <c r="F285" s="9">
        <v>3.61</v>
      </c>
      <c r="G285" s="8">
        <v>7483.42</v>
      </c>
      <c r="H285" s="8">
        <v>9055.91</v>
      </c>
      <c r="I285" s="8">
        <v>2684.91</v>
      </c>
      <c r="J285" s="7" t="s">
        <v>325</v>
      </c>
    </row>
    <row r="286" spans="1:10" x14ac:dyDescent="0.35">
      <c r="A286" s="7" t="s">
        <v>16</v>
      </c>
      <c r="B286" s="7" t="s">
        <v>155</v>
      </c>
      <c r="C286" s="7" t="s">
        <v>60</v>
      </c>
      <c r="D286" s="9">
        <v>19.579999999999998</v>
      </c>
      <c r="E286" s="9">
        <v>24.64</v>
      </c>
      <c r="F286" s="9">
        <v>3.59</v>
      </c>
      <c r="G286" s="8">
        <v>22570.93</v>
      </c>
      <c r="H286" s="8">
        <v>29026.959999999999</v>
      </c>
      <c r="I286" s="8">
        <v>3789.72</v>
      </c>
      <c r="J286" s="7" t="s">
        <v>325</v>
      </c>
    </row>
    <row r="287" spans="1:10" x14ac:dyDescent="0.35">
      <c r="A287" s="7" t="s">
        <v>35</v>
      </c>
      <c r="B287" s="7" t="s">
        <v>88</v>
      </c>
      <c r="C287" s="7" t="s">
        <v>39</v>
      </c>
      <c r="D287" s="9">
        <v>0.69</v>
      </c>
      <c r="E287" s="9">
        <v>3.91</v>
      </c>
      <c r="F287" s="9">
        <v>3.59</v>
      </c>
      <c r="G287" s="9">
        <v>361.55</v>
      </c>
      <c r="H287" s="8">
        <v>1585.47</v>
      </c>
      <c r="I287" s="8">
        <v>1589.81</v>
      </c>
      <c r="J287" s="7" t="s">
        <v>325</v>
      </c>
    </row>
    <row r="288" spans="1:10" x14ac:dyDescent="0.35">
      <c r="A288" s="7" t="s">
        <v>35</v>
      </c>
      <c r="B288" s="7" t="s">
        <v>88</v>
      </c>
      <c r="C288" s="7" t="s">
        <v>54</v>
      </c>
      <c r="D288" s="9">
        <v>5.14</v>
      </c>
      <c r="E288" s="9">
        <v>11.39</v>
      </c>
      <c r="F288" s="9">
        <v>3.53</v>
      </c>
      <c r="G288" s="8">
        <v>2047.11</v>
      </c>
      <c r="H288" s="8">
        <v>4669.4799999999996</v>
      </c>
      <c r="I288" s="8">
        <v>1615.25</v>
      </c>
      <c r="J288" s="7" t="s">
        <v>325</v>
      </c>
    </row>
    <row r="289" spans="1:10" x14ac:dyDescent="0.35">
      <c r="A289" s="7" t="s">
        <v>31</v>
      </c>
      <c r="B289" s="7" t="s">
        <v>139</v>
      </c>
      <c r="C289" s="7" t="s">
        <v>33</v>
      </c>
      <c r="D289" s="9">
        <v>9.94</v>
      </c>
      <c r="E289" s="9">
        <v>11.39</v>
      </c>
      <c r="F289" s="9">
        <v>3.52</v>
      </c>
      <c r="G289" s="8">
        <v>11892.58</v>
      </c>
      <c r="H289" s="8">
        <v>15183.62</v>
      </c>
      <c r="I289" s="8">
        <v>4924.07</v>
      </c>
      <c r="J289" s="7" t="s">
        <v>325</v>
      </c>
    </row>
    <row r="290" spans="1:10" x14ac:dyDescent="0.35">
      <c r="A290" s="7" t="s">
        <v>20</v>
      </c>
      <c r="B290" s="7" t="s">
        <v>156</v>
      </c>
      <c r="C290" s="7" t="s">
        <v>53</v>
      </c>
      <c r="D290" s="9">
        <v>15.56</v>
      </c>
      <c r="E290" s="9">
        <v>15.83</v>
      </c>
      <c r="F290" s="9">
        <v>3.48</v>
      </c>
      <c r="G290" s="8">
        <v>14779.68</v>
      </c>
      <c r="H290" s="8">
        <v>16199.16</v>
      </c>
      <c r="I290" s="8">
        <v>3649.2</v>
      </c>
      <c r="J290" s="7" t="s">
        <v>325</v>
      </c>
    </row>
    <row r="291" spans="1:10" x14ac:dyDescent="0.35">
      <c r="A291" s="7" t="s">
        <v>31</v>
      </c>
      <c r="B291" s="7" t="s">
        <v>131</v>
      </c>
      <c r="C291" s="7" t="s">
        <v>48</v>
      </c>
      <c r="D291" s="9">
        <v>9.5299999999999994</v>
      </c>
      <c r="E291" s="9">
        <v>8.82</v>
      </c>
      <c r="F291" s="9">
        <v>3.47</v>
      </c>
      <c r="G291" s="8">
        <v>4720.67</v>
      </c>
      <c r="H291" s="8">
        <v>3041.89</v>
      </c>
      <c r="I291" s="8">
        <v>2004.67</v>
      </c>
      <c r="J291" s="7" t="s">
        <v>325</v>
      </c>
    </row>
    <row r="292" spans="1:10" x14ac:dyDescent="0.35">
      <c r="A292" s="7" t="s">
        <v>40</v>
      </c>
      <c r="B292" s="7" t="s">
        <v>41</v>
      </c>
      <c r="C292" s="7" t="s">
        <v>84</v>
      </c>
      <c r="D292" s="9">
        <v>11.05</v>
      </c>
      <c r="E292" s="9">
        <v>10.6</v>
      </c>
      <c r="F292" s="9">
        <v>3.44</v>
      </c>
      <c r="G292" s="8">
        <v>1589.56</v>
      </c>
      <c r="H292" s="8">
        <v>1184.81</v>
      </c>
      <c r="I292" s="9">
        <v>394.82</v>
      </c>
      <c r="J292" s="7" t="s">
        <v>325</v>
      </c>
    </row>
    <row r="293" spans="1:10" x14ac:dyDescent="0.35">
      <c r="A293" s="7" t="s">
        <v>23</v>
      </c>
      <c r="B293" s="7" t="s">
        <v>123</v>
      </c>
      <c r="C293" s="7" t="s">
        <v>55</v>
      </c>
      <c r="D293" s="9">
        <v>11.38</v>
      </c>
      <c r="E293" s="9">
        <v>10.67</v>
      </c>
      <c r="F293" s="9">
        <v>3.44</v>
      </c>
      <c r="G293" s="8">
        <v>55151.63</v>
      </c>
      <c r="H293" s="8">
        <v>81866.19</v>
      </c>
      <c r="I293" s="8">
        <v>31741.65</v>
      </c>
      <c r="J293" s="7" t="s">
        <v>325</v>
      </c>
    </row>
    <row r="294" spans="1:10" x14ac:dyDescent="0.35">
      <c r="A294" s="7" t="s">
        <v>86</v>
      </c>
      <c r="B294" s="7" t="s">
        <v>106</v>
      </c>
      <c r="C294" s="7" t="s">
        <v>48</v>
      </c>
      <c r="D294" s="9">
        <v>30.32</v>
      </c>
      <c r="E294" s="9">
        <v>30.99</v>
      </c>
      <c r="F294" s="9">
        <v>3.4</v>
      </c>
      <c r="G294" s="8">
        <v>7862.27</v>
      </c>
      <c r="H294" s="8">
        <v>8280.1</v>
      </c>
      <c r="I294" s="8">
        <v>1048.04</v>
      </c>
      <c r="J294" s="7" t="s">
        <v>325</v>
      </c>
    </row>
    <row r="295" spans="1:10" x14ac:dyDescent="0.35">
      <c r="A295" s="7" t="s">
        <v>94</v>
      </c>
      <c r="B295" s="7" t="s">
        <v>95</v>
      </c>
      <c r="C295" s="7" t="s">
        <v>113</v>
      </c>
      <c r="D295" s="9">
        <v>6.73</v>
      </c>
      <c r="E295" s="9">
        <v>0</v>
      </c>
      <c r="F295" s="9">
        <v>3.39</v>
      </c>
      <c r="G295" s="8">
        <v>23957.52</v>
      </c>
      <c r="H295" s="9">
        <v>0</v>
      </c>
      <c r="I295" s="8">
        <v>12392.59</v>
      </c>
      <c r="J295" s="7" t="s">
        <v>325</v>
      </c>
    </row>
    <row r="296" spans="1:10" x14ac:dyDescent="0.35">
      <c r="A296" s="7" t="s">
        <v>79</v>
      </c>
      <c r="B296" s="7" t="s">
        <v>92</v>
      </c>
      <c r="C296" s="7" t="s">
        <v>122</v>
      </c>
      <c r="D296" s="9">
        <v>9.7899999999999991</v>
      </c>
      <c r="E296" s="9">
        <v>15.95</v>
      </c>
      <c r="F296" s="9">
        <v>3.38</v>
      </c>
      <c r="G296" s="8">
        <v>2050.29</v>
      </c>
      <c r="H296" s="8">
        <v>3581.81</v>
      </c>
      <c r="I296" s="9">
        <v>839.18</v>
      </c>
      <c r="J296" s="7" t="s">
        <v>325</v>
      </c>
    </row>
    <row r="297" spans="1:10" x14ac:dyDescent="0.35">
      <c r="A297" s="7" t="s">
        <v>31</v>
      </c>
      <c r="B297" s="7" t="s">
        <v>152</v>
      </c>
      <c r="C297" s="7" t="s">
        <v>45</v>
      </c>
      <c r="D297" s="9">
        <v>2</v>
      </c>
      <c r="E297" s="9">
        <v>3.52</v>
      </c>
      <c r="F297" s="9">
        <v>3.37</v>
      </c>
      <c r="G297" s="8">
        <v>5847.43</v>
      </c>
      <c r="H297" s="8">
        <v>9110.2000000000007</v>
      </c>
      <c r="I297" s="8">
        <v>9498.66</v>
      </c>
      <c r="J297" s="7" t="s">
        <v>325</v>
      </c>
    </row>
    <row r="298" spans="1:10" x14ac:dyDescent="0.35">
      <c r="A298" s="7" t="s">
        <v>20</v>
      </c>
      <c r="B298" s="7" t="s">
        <v>82</v>
      </c>
      <c r="C298" s="7" t="s">
        <v>45</v>
      </c>
      <c r="D298" s="9">
        <v>26.84</v>
      </c>
      <c r="E298" s="9">
        <v>24.17</v>
      </c>
      <c r="F298" s="9">
        <v>3.34</v>
      </c>
      <c r="G298" s="8">
        <v>55273.15</v>
      </c>
      <c r="H298" s="8">
        <v>48681.96</v>
      </c>
      <c r="I298" s="8">
        <v>7174.37</v>
      </c>
      <c r="J298" s="7" t="s">
        <v>325</v>
      </c>
    </row>
    <row r="299" spans="1:10" x14ac:dyDescent="0.35">
      <c r="A299" s="7" t="s">
        <v>31</v>
      </c>
      <c r="B299" s="7" t="s">
        <v>131</v>
      </c>
      <c r="C299" s="7" t="s">
        <v>27</v>
      </c>
      <c r="D299" s="9">
        <v>5.2</v>
      </c>
      <c r="E299" s="9">
        <v>9.7200000000000006</v>
      </c>
      <c r="F299" s="9">
        <v>3.32</v>
      </c>
      <c r="G299" s="8">
        <v>12320.37</v>
      </c>
      <c r="H299" s="8">
        <v>24184.14</v>
      </c>
      <c r="I299" s="8">
        <v>9207.99</v>
      </c>
      <c r="J299" s="7" t="s">
        <v>325</v>
      </c>
    </row>
    <row r="300" spans="1:10" x14ac:dyDescent="0.35">
      <c r="A300" s="7" t="s">
        <v>40</v>
      </c>
      <c r="B300" s="7" t="s">
        <v>117</v>
      </c>
      <c r="C300" s="7" t="s">
        <v>39</v>
      </c>
      <c r="D300" s="9">
        <v>4.3499999999999996</v>
      </c>
      <c r="E300" s="9">
        <v>6.89</v>
      </c>
      <c r="F300" s="9">
        <v>3.31</v>
      </c>
      <c r="G300" s="8">
        <v>2497.12</v>
      </c>
      <c r="H300" s="8">
        <v>3765.64</v>
      </c>
      <c r="I300" s="8">
        <v>2135.6</v>
      </c>
      <c r="J300" s="7" t="s">
        <v>325</v>
      </c>
    </row>
    <row r="301" spans="1:10" x14ac:dyDescent="0.35">
      <c r="A301" s="7" t="s">
        <v>23</v>
      </c>
      <c r="B301" s="7" t="s">
        <v>30</v>
      </c>
      <c r="C301" s="7" t="s">
        <v>33</v>
      </c>
      <c r="D301" s="9">
        <v>8.8699999999999992</v>
      </c>
      <c r="E301" s="9">
        <v>8.92</v>
      </c>
      <c r="F301" s="9">
        <v>3.29</v>
      </c>
      <c r="G301" s="8">
        <v>4039.42</v>
      </c>
      <c r="H301" s="8">
        <v>4679.2</v>
      </c>
      <c r="I301" s="8">
        <v>1703.27</v>
      </c>
      <c r="J301" s="7" t="s">
        <v>325</v>
      </c>
    </row>
    <row r="302" spans="1:10" x14ac:dyDescent="0.35">
      <c r="A302" s="7" t="s">
        <v>74</v>
      </c>
      <c r="B302" s="7" t="s">
        <v>98</v>
      </c>
      <c r="C302" s="7" t="s">
        <v>60</v>
      </c>
      <c r="D302" s="9">
        <v>0</v>
      </c>
      <c r="E302" s="9">
        <v>13.42</v>
      </c>
      <c r="F302" s="9">
        <v>3.26</v>
      </c>
      <c r="G302" s="9">
        <v>0</v>
      </c>
      <c r="H302" s="8">
        <v>8712.7000000000007</v>
      </c>
      <c r="I302" s="8">
        <v>2222.38</v>
      </c>
      <c r="J302" s="7" t="s">
        <v>325</v>
      </c>
    </row>
    <row r="303" spans="1:10" x14ac:dyDescent="0.35">
      <c r="A303" s="7" t="s">
        <v>16</v>
      </c>
      <c r="B303" s="7" t="s">
        <v>109</v>
      </c>
      <c r="C303" s="7" t="s">
        <v>48</v>
      </c>
      <c r="D303" s="9">
        <v>8.35</v>
      </c>
      <c r="E303" s="9">
        <v>15.58</v>
      </c>
      <c r="F303" s="9">
        <v>3.24</v>
      </c>
      <c r="G303" s="8">
        <v>6348.01</v>
      </c>
      <c r="H303" s="8">
        <v>12510.88</v>
      </c>
      <c r="I303" s="8">
        <v>2512.64</v>
      </c>
      <c r="J303" s="7" t="s">
        <v>325</v>
      </c>
    </row>
    <row r="304" spans="1:10" x14ac:dyDescent="0.35">
      <c r="A304" s="7" t="s">
        <v>66</v>
      </c>
      <c r="B304" s="7" t="s">
        <v>67</v>
      </c>
      <c r="C304" s="7" t="s">
        <v>39</v>
      </c>
      <c r="D304" s="9">
        <v>0.08</v>
      </c>
      <c r="E304" s="9">
        <v>18.350000000000001</v>
      </c>
      <c r="F304" s="9">
        <v>3.23</v>
      </c>
      <c r="G304" s="9">
        <v>28.13</v>
      </c>
      <c r="H304" s="8">
        <v>16094.41</v>
      </c>
      <c r="I304" s="8">
        <v>2686.4</v>
      </c>
      <c r="J304" s="7" t="s">
        <v>325</v>
      </c>
    </row>
    <row r="305" spans="1:10" x14ac:dyDescent="0.35">
      <c r="A305" s="7" t="s">
        <v>31</v>
      </c>
      <c r="B305" s="7" t="s">
        <v>141</v>
      </c>
      <c r="C305" s="7" t="s">
        <v>27</v>
      </c>
      <c r="D305" s="9">
        <v>3.58</v>
      </c>
      <c r="E305" s="9">
        <v>18.54</v>
      </c>
      <c r="F305" s="9">
        <v>3.22</v>
      </c>
      <c r="G305" s="8">
        <v>1742.94</v>
      </c>
      <c r="H305" s="8">
        <v>28473.13</v>
      </c>
      <c r="I305" s="8">
        <v>1317.66</v>
      </c>
      <c r="J305" s="7" t="s">
        <v>325</v>
      </c>
    </row>
    <row r="306" spans="1:10" x14ac:dyDescent="0.35">
      <c r="A306" s="7" t="s">
        <v>77</v>
      </c>
      <c r="B306" s="7" t="s">
        <v>157</v>
      </c>
      <c r="C306" s="7" t="s">
        <v>102</v>
      </c>
      <c r="D306" s="9">
        <v>6.39</v>
      </c>
      <c r="E306" s="9">
        <v>9.32</v>
      </c>
      <c r="F306" s="9">
        <v>3.18</v>
      </c>
      <c r="G306" s="8">
        <v>6932.35</v>
      </c>
      <c r="H306" s="8">
        <v>10476.75</v>
      </c>
      <c r="I306" s="8">
        <v>2508.67</v>
      </c>
      <c r="J306" s="7" t="s">
        <v>325</v>
      </c>
    </row>
    <row r="307" spans="1:10" x14ac:dyDescent="0.35">
      <c r="A307" s="7" t="s">
        <v>49</v>
      </c>
      <c r="B307" s="7" t="s">
        <v>158</v>
      </c>
      <c r="C307" s="7" t="s">
        <v>46</v>
      </c>
      <c r="D307" s="9">
        <v>8.82</v>
      </c>
      <c r="E307" s="9">
        <v>8.2799999999999994</v>
      </c>
      <c r="F307" s="9">
        <v>3.15</v>
      </c>
      <c r="G307" s="8">
        <v>4935.0200000000004</v>
      </c>
      <c r="H307" s="8">
        <v>4979.6000000000004</v>
      </c>
      <c r="I307" s="8">
        <v>1897.93</v>
      </c>
      <c r="J307" s="7" t="s">
        <v>325</v>
      </c>
    </row>
    <row r="308" spans="1:10" x14ac:dyDescent="0.35">
      <c r="A308" s="7" t="s">
        <v>16</v>
      </c>
      <c r="B308" s="7" t="s">
        <v>90</v>
      </c>
      <c r="C308" s="7" t="s">
        <v>53</v>
      </c>
      <c r="D308" s="9">
        <v>8.92</v>
      </c>
      <c r="E308" s="9">
        <v>18.25</v>
      </c>
      <c r="F308" s="9">
        <v>3.15</v>
      </c>
      <c r="G308" s="8">
        <v>12882</v>
      </c>
      <c r="H308" s="8">
        <v>28026.400000000001</v>
      </c>
      <c r="I308" s="8">
        <v>3852</v>
      </c>
      <c r="J308" s="7" t="s">
        <v>325</v>
      </c>
    </row>
    <row r="309" spans="1:10" x14ac:dyDescent="0.35">
      <c r="A309" s="7" t="s">
        <v>57</v>
      </c>
      <c r="B309" s="7" t="s">
        <v>97</v>
      </c>
      <c r="C309" s="7" t="s">
        <v>60</v>
      </c>
      <c r="D309" s="9">
        <v>24.32</v>
      </c>
      <c r="E309" s="9">
        <v>30.51</v>
      </c>
      <c r="F309" s="9">
        <v>3.07</v>
      </c>
      <c r="G309" s="8">
        <v>11459.22</v>
      </c>
      <c r="H309" s="8">
        <v>14293.48</v>
      </c>
      <c r="I309" s="8">
        <v>1340.08</v>
      </c>
      <c r="J309" s="7" t="s">
        <v>325</v>
      </c>
    </row>
    <row r="310" spans="1:10" x14ac:dyDescent="0.35">
      <c r="A310" s="7" t="s">
        <v>77</v>
      </c>
      <c r="B310" s="7" t="s">
        <v>132</v>
      </c>
      <c r="C310" s="7" t="s">
        <v>45</v>
      </c>
      <c r="D310" s="9">
        <v>6.99</v>
      </c>
      <c r="E310" s="9">
        <v>6.68</v>
      </c>
      <c r="F310" s="9">
        <v>3.06</v>
      </c>
      <c r="G310" s="8">
        <v>7939.04</v>
      </c>
      <c r="H310" s="8">
        <v>6704.57</v>
      </c>
      <c r="I310" s="8">
        <v>2467.4499999999998</v>
      </c>
      <c r="J310" s="7" t="s">
        <v>325</v>
      </c>
    </row>
    <row r="311" spans="1:10" x14ac:dyDescent="0.35">
      <c r="A311" s="7" t="s">
        <v>31</v>
      </c>
      <c r="B311" s="7" t="s">
        <v>131</v>
      </c>
      <c r="C311" s="7" t="s">
        <v>18</v>
      </c>
      <c r="D311" s="9">
        <v>9.91</v>
      </c>
      <c r="E311" s="9">
        <v>10.09</v>
      </c>
      <c r="F311" s="9">
        <v>3.06</v>
      </c>
      <c r="G311" s="8">
        <v>12318.91</v>
      </c>
      <c r="H311" s="8">
        <v>16335.88</v>
      </c>
      <c r="I311" s="8">
        <v>5157.75</v>
      </c>
      <c r="J311" s="7" t="s">
        <v>325</v>
      </c>
    </row>
    <row r="312" spans="1:10" x14ac:dyDescent="0.35">
      <c r="A312" s="7" t="s">
        <v>31</v>
      </c>
      <c r="B312" s="7" t="s">
        <v>101</v>
      </c>
      <c r="C312" s="7" t="s">
        <v>113</v>
      </c>
      <c r="D312" s="9">
        <v>0</v>
      </c>
      <c r="E312" s="9">
        <v>0</v>
      </c>
      <c r="F312" s="9">
        <v>3.04</v>
      </c>
      <c r="G312" s="9">
        <v>0</v>
      </c>
      <c r="H312" s="9">
        <v>0</v>
      </c>
      <c r="I312" s="8">
        <v>11356.58</v>
      </c>
      <c r="J312" s="7" t="s">
        <v>325</v>
      </c>
    </row>
    <row r="313" spans="1:10" x14ac:dyDescent="0.35">
      <c r="A313" s="7" t="s">
        <v>40</v>
      </c>
      <c r="B313" s="7" t="s">
        <v>107</v>
      </c>
      <c r="C313" s="7" t="s">
        <v>48</v>
      </c>
      <c r="D313" s="9">
        <v>9.5399999999999991</v>
      </c>
      <c r="E313" s="9">
        <v>10.06</v>
      </c>
      <c r="F313" s="9">
        <v>3.03</v>
      </c>
      <c r="G313" s="8">
        <v>3233.88</v>
      </c>
      <c r="H313" s="8">
        <v>2788.72</v>
      </c>
      <c r="I313" s="9">
        <v>892</v>
      </c>
      <c r="J313" s="7" t="s">
        <v>325</v>
      </c>
    </row>
    <row r="314" spans="1:10" x14ac:dyDescent="0.35">
      <c r="A314" s="7" t="s">
        <v>40</v>
      </c>
      <c r="B314" s="7" t="s">
        <v>41</v>
      </c>
      <c r="C314" s="7" t="s">
        <v>59</v>
      </c>
      <c r="D314" s="9">
        <v>2.12</v>
      </c>
      <c r="E314" s="9">
        <v>22.12</v>
      </c>
      <c r="F314" s="9">
        <v>3.01</v>
      </c>
      <c r="G314" s="9">
        <v>346.38</v>
      </c>
      <c r="H314" s="8">
        <v>2013.28</v>
      </c>
      <c r="I314" s="9">
        <v>457.56</v>
      </c>
      <c r="J314" s="7" t="s">
        <v>325</v>
      </c>
    </row>
    <row r="315" spans="1:10" x14ac:dyDescent="0.35">
      <c r="A315" s="7" t="s">
        <v>79</v>
      </c>
      <c r="B315" s="7" t="s">
        <v>92</v>
      </c>
      <c r="C315" s="7" t="s">
        <v>110</v>
      </c>
      <c r="D315" s="9">
        <v>16.260000000000002</v>
      </c>
      <c r="E315" s="9">
        <v>16.98</v>
      </c>
      <c r="F315" s="9">
        <v>2.97</v>
      </c>
      <c r="G315" s="8">
        <v>47040.75</v>
      </c>
      <c r="H315" s="8">
        <v>46754.12</v>
      </c>
      <c r="I315" s="8">
        <v>9281.25</v>
      </c>
      <c r="J315" s="7" t="s">
        <v>325</v>
      </c>
    </row>
    <row r="316" spans="1:10" x14ac:dyDescent="0.35">
      <c r="A316" s="7" t="s">
        <v>31</v>
      </c>
      <c r="B316" s="7" t="s">
        <v>152</v>
      </c>
      <c r="C316" s="7" t="s">
        <v>102</v>
      </c>
      <c r="D316" s="9">
        <v>18.97</v>
      </c>
      <c r="E316" s="9">
        <v>26.66</v>
      </c>
      <c r="F316" s="9">
        <v>2.97</v>
      </c>
      <c r="G316" s="8">
        <v>46738.559999999998</v>
      </c>
      <c r="H316" s="8">
        <v>85503.01</v>
      </c>
      <c r="I316" s="8">
        <v>9835.98</v>
      </c>
      <c r="J316" s="7" t="s">
        <v>325</v>
      </c>
    </row>
    <row r="317" spans="1:10" x14ac:dyDescent="0.35">
      <c r="A317" s="7" t="s">
        <v>129</v>
      </c>
      <c r="B317" s="7" t="s">
        <v>147</v>
      </c>
      <c r="C317" s="7" t="s">
        <v>27</v>
      </c>
      <c r="D317" s="9">
        <v>1.56</v>
      </c>
      <c r="E317" s="9">
        <v>15.41</v>
      </c>
      <c r="F317" s="9">
        <v>2.95</v>
      </c>
      <c r="G317" s="8">
        <v>3981.12</v>
      </c>
      <c r="H317" s="8">
        <v>33991.47</v>
      </c>
      <c r="I317" s="8">
        <v>6352.23</v>
      </c>
      <c r="J317" s="7" t="s">
        <v>325</v>
      </c>
    </row>
    <row r="318" spans="1:10" x14ac:dyDescent="0.35">
      <c r="A318" s="7" t="s">
        <v>31</v>
      </c>
      <c r="B318" s="7" t="s">
        <v>152</v>
      </c>
      <c r="C318" s="7" t="s">
        <v>33</v>
      </c>
      <c r="D318" s="9">
        <v>1.48</v>
      </c>
      <c r="E318" s="9">
        <v>13.94</v>
      </c>
      <c r="F318" s="9">
        <v>2.94</v>
      </c>
      <c r="G318" s="8">
        <v>1730.77</v>
      </c>
      <c r="H318" s="8">
        <v>19627.59</v>
      </c>
      <c r="I318" s="8">
        <v>3692.32</v>
      </c>
      <c r="J318" s="7" t="s">
        <v>325</v>
      </c>
    </row>
    <row r="319" spans="1:10" x14ac:dyDescent="0.35">
      <c r="A319" s="7" t="s">
        <v>31</v>
      </c>
      <c r="B319" s="7" t="s">
        <v>32</v>
      </c>
      <c r="C319" s="7" t="s">
        <v>48</v>
      </c>
      <c r="D319" s="9">
        <v>14.86</v>
      </c>
      <c r="E319" s="9">
        <v>10.53</v>
      </c>
      <c r="F319" s="9">
        <v>2.93</v>
      </c>
      <c r="G319" s="8">
        <v>9461.52</v>
      </c>
      <c r="H319" s="8">
        <v>7607.43</v>
      </c>
      <c r="I319" s="8">
        <v>2846.68</v>
      </c>
      <c r="J319" s="7" t="s">
        <v>325</v>
      </c>
    </row>
    <row r="320" spans="1:10" x14ac:dyDescent="0.35">
      <c r="A320" s="7" t="s">
        <v>40</v>
      </c>
      <c r="B320" s="7" t="s">
        <v>85</v>
      </c>
      <c r="C320" s="7" t="s">
        <v>65</v>
      </c>
      <c r="D320" s="9">
        <v>6.18</v>
      </c>
      <c r="E320" s="9">
        <v>2.48</v>
      </c>
      <c r="F320" s="9">
        <v>2.9</v>
      </c>
      <c r="G320" s="8">
        <v>12647.36</v>
      </c>
      <c r="H320" s="8">
        <v>3723.52</v>
      </c>
      <c r="I320" s="8">
        <v>6317.47</v>
      </c>
      <c r="J320" s="7" t="s">
        <v>325</v>
      </c>
    </row>
    <row r="321" spans="1:10" x14ac:dyDescent="0.35">
      <c r="A321" s="7" t="s">
        <v>49</v>
      </c>
      <c r="B321" s="7" t="s">
        <v>50</v>
      </c>
      <c r="C321" s="7" t="s">
        <v>27</v>
      </c>
      <c r="D321" s="9">
        <v>0</v>
      </c>
      <c r="E321" s="9">
        <v>4.13</v>
      </c>
      <c r="F321" s="9">
        <v>2.88</v>
      </c>
      <c r="G321" s="9">
        <v>0</v>
      </c>
      <c r="H321" s="8">
        <v>7792.9</v>
      </c>
      <c r="I321" s="8">
        <v>4100.32</v>
      </c>
      <c r="J321" s="7" t="s">
        <v>325</v>
      </c>
    </row>
    <row r="322" spans="1:10" x14ac:dyDescent="0.35">
      <c r="A322" s="7" t="s">
        <v>31</v>
      </c>
      <c r="B322" s="7" t="s">
        <v>101</v>
      </c>
      <c r="C322" s="7" t="s">
        <v>62</v>
      </c>
      <c r="D322" s="9">
        <v>14.35</v>
      </c>
      <c r="E322" s="9">
        <v>36.979999999999997</v>
      </c>
      <c r="F322" s="9">
        <v>2.83</v>
      </c>
      <c r="G322" s="8">
        <v>16628.27</v>
      </c>
      <c r="H322" s="8">
        <v>99468.95</v>
      </c>
      <c r="I322" s="8">
        <v>12534.7</v>
      </c>
      <c r="J322" s="7" t="s">
        <v>325</v>
      </c>
    </row>
    <row r="323" spans="1:10" x14ac:dyDescent="0.35">
      <c r="A323" s="7" t="s">
        <v>86</v>
      </c>
      <c r="B323" s="7" t="s">
        <v>87</v>
      </c>
      <c r="C323" s="7" t="s">
        <v>69</v>
      </c>
      <c r="D323" s="9">
        <v>7.66</v>
      </c>
      <c r="E323" s="9">
        <v>7.81</v>
      </c>
      <c r="F323" s="9">
        <v>2.83</v>
      </c>
      <c r="G323" s="9">
        <v>72.540000000000006</v>
      </c>
      <c r="H323" s="9">
        <v>171.48</v>
      </c>
      <c r="I323" s="9">
        <v>43.96</v>
      </c>
      <c r="J323" s="7" t="s">
        <v>325</v>
      </c>
    </row>
    <row r="324" spans="1:10" x14ac:dyDescent="0.35">
      <c r="A324" s="7" t="s">
        <v>77</v>
      </c>
      <c r="B324" s="7" t="s">
        <v>132</v>
      </c>
      <c r="C324" s="7" t="s">
        <v>39</v>
      </c>
      <c r="D324" s="9">
        <v>2.0099999999999998</v>
      </c>
      <c r="E324" s="9">
        <v>4.95</v>
      </c>
      <c r="F324" s="9">
        <v>2.81</v>
      </c>
      <c r="G324" s="9">
        <v>154.84</v>
      </c>
      <c r="H324" s="9">
        <v>327.63</v>
      </c>
      <c r="I324" s="9">
        <v>445.82</v>
      </c>
      <c r="J324" s="7" t="s">
        <v>325</v>
      </c>
    </row>
    <row r="325" spans="1:10" x14ac:dyDescent="0.35">
      <c r="A325" s="7" t="s">
        <v>20</v>
      </c>
      <c r="B325" s="7" t="s">
        <v>82</v>
      </c>
      <c r="C325" s="7" t="s">
        <v>42</v>
      </c>
      <c r="D325" s="9">
        <v>18.54</v>
      </c>
      <c r="E325" s="9">
        <v>3.36</v>
      </c>
      <c r="F325" s="9">
        <v>2.8</v>
      </c>
      <c r="G325" s="8">
        <v>14493.04</v>
      </c>
      <c r="H325" s="8">
        <v>2807.26</v>
      </c>
      <c r="I325" s="8">
        <v>1909.27</v>
      </c>
      <c r="J325" s="7" t="s">
        <v>325</v>
      </c>
    </row>
    <row r="326" spans="1:10" x14ac:dyDescent="0.35">
      <c r="A326" s="7" t="s">
        <v>74</v>
      </c>
      <c r="B326" s="7" t="s">
        <v>137</v>
      </c>
      <c r="C326" s="7" t="s">
        <v>110</v>
      </c>
      <c r="D326" s="9">
        <v>1.36</v>
      </c>
      <c r="E326" s="9">
        <v>7.9</v>
      </c>
      <c r="F326" s="9">
        <v>2.79</v>
      </c>
      <c r="G326" s="8">
        <v>3437.27</v>
      </c>
      <c r="H326" s="8">
        <v>21823.87</v>
      </c>
      <c r="I326" s="8">
        <v>8882.1</v>
      </c>
      <c r="J326" s="7" t="s">
        <v>325</v>
      </c>
    </row>
    <row r="327" spans="1:10" x14ac:dyDescent="0.35">
      <c r="A327" s="7" t="s">
        <v>159</v>
      </c>
      <c r="B327" s="7" t="s">
        <v>160</v>
      </c>
      <c r="C327" s="7" t="s">
        <v>27</v>
      </c>
      <c r="D327" s="9">
        <v>0</v>
      </c>
      <c r="E327" s="9">
        <v>8.52</v>
      </c>
      <c r="F327" s="9">
        <v>2.78</v>
      </c>
      <c r="G327" s="9">
        <v>0</v>
      </c>
      <c r="H327" s="8">
        <v>23861.03</v>
      </c>
      <c r="I327" s="8">
        <v>6437.93</v>
      </c>
      <c r="J327" s="7" t="s">
        <v>325</v>
      </c>
    </row>
    <row r="328" spans="1:10" x14ac:dyDescent="0.35">
      <c r="A328" s="7" t="s">
        <v>77</v>
      </c>
      <c r="B328" s="7" t="s">
        <v>78</v>
      </c>
      <c r="C328" s="7" t="s">
        <v>45</v>
      </c>
      <c r="D328" s="9">
        <v>19.010000000000002</v>
      </c>
      <c r="E328" s="9">
        <v>29.23</v>
      </c>
      <c r="F328" s="9">
        <v>2.75</v>
      </c>
      <c r="G328" s="8">
        <v>38944.5</v>
      </c>
      <c r="H328" s="8">
        <v>51026.32</v>
      </c>
      <c r="I328" s="8">
        <v>3801.91</v>
      </c>
      <c r="J328" s="7" t="s">
        <v>325</v>
      </c>
    </row>
    <row r="329" spans="1:10" x14ac:dyDescent="0.35">
      <c r="A329" s="7" t="s">
        <v>31</v>
      </c>
      <c r="B329" s="7" t="s">
        <v>141</v>
      </c>
      <c r="C329" s="7" t="s">
        <v>69</v>
      </c>
      <c r="D329" s="9">
        <v>8.0500000000000007</v>
      </c>
      <c r="E329" s="9">
        <v>8.18</v>
      </c>
      <c r="F329" s="9">
        <v>2.75</v>
      </c>
      <c r="G329" s="8">
        <v>1724.71</v>
      </c>
      <c r="H329" s="8">
        <v>1112.6500000000001</v>
      </c>
      <c r="I329" s="9">
        <v>395.65</v>
      </c>
      <c r="J329" s="7" t="s">
        <v>325</v>
      </c>
    </row>
    <row r="330" spans="1:10" x14ac:dyDescent="0.35">
      <c r="A330" s="7" t="s">
        <v>31</v>
      </c>
      <c r="B330" s="7" t="s">
        <v>101</v>
      </c>
      <c r="C330" s="7" t="s">
        <v>84</v>
      </c>
      <c r="D330" s="9">
        <v>1.53</v>
      </c>
      <c r="E330" s="9">
        <v>2.69</v>
      </c>
      <c r="F330" s="9">
        <v>2.74</v>
      </c>
      <c r="G330" s="9">
        <v>352.02</v>
      </c>
      <c r="H330" s="9">
        <v>649.54999999999995</v>
      </c>
      <c r="I330" s="9">
        <v>598.80999999999995</v>
      </c>
      <c r="J330" s="7" t="s">
        <v>325</v>
      </c>
    </row>
    <row r="331" spans="1:10" x14ac:dyDescent="0.35">
      <c r="A331" s="7" t="s">
        <v>31</v>
      </c>
      <c r="B331" s="7" t="s">
        <v>131</v>
      </c>
      <c r="C331" s="7" t="s">
        <v>22</v>
      </c>
      <c r="D331" s="9">
        <v>4.8600000000000003</v>
      </c>
      <c r="E331" s="9">
        <v>7.39</v>
      </c>
      <c r="F331" s="9">
        <v>2.72</v>
      </c>
      <c r="G331" s="8">
        <v>1841.73</v>
      </c>
      <c r="H331" s="8">
        <v>2058.44</v>
      </c>
      <c r="I331" s="9">
        <v>645.99</v>
      </c>
      <c r="J331" s="7" t="s">
        <v>325</v>
      </c>
    </row>
    <row r="332" spans="1:10" x14ac:dyDescent="0.35">
      <c r="A332" s="7" t="s">
        <v>79</v>
      </c>
      <c r="B332" s="7" t="s">
        <v>92</v>
      </c>
      <c r="C332" s="7" t="s">
        <v>39</v>
      </c>
      <c r="D332" s="9">
        <v>4.63</v>
      </c>
      <c r="E332" s="9">
        <v>5.71</v>
      </c>
      <c r="F332" s="9">
        <v>2.72</v>
      </c>
      <c r="G332" s="9">
        <v>212.84</v>
      </c>
      <c r="H332" s="9">
        <v>480.47</v>
      </c>
      <c r="I332" s="9">
        <v>205.41</v>
      </c>
      <c r="J332" s="7" t="s">
        <v>325</v>
      </c>
    </row>
    <row r="333" spans="1:10" x14ac:dyDescent="0.35">
      <c r="A333" s="7" t="s">
        <v>57</v>
      </c>
      <c r="B333" s="7" t="s">
        <v>161</v>
      </c>
      <c r="C333" s="7" t="s">
        <v>53</v>
      </c>
      <c r="D333" s="9">
        <v>10.27</v>
      </c>
      <c r="E333" s="9">
        <v>8.32</v>
      </c>
      <c r="F333" s="9">
        <v>2.72</v>
      </c>
      <c r="G333" s="8">
        <v>7514.27</v>
      </c>
      <c r="H333" s="8">
        <v>6536.99</v>
      </c>
      <c r="I333" s="8">
        <v>2239.89</v>
      </c>
      <c r="J333" s="7" t="s">
        <v>325</v>
      </c>
    </row>
    <row r="334" spans="1:10" x14ac:dyDescent="0.35">
      <c r="A334" s="7" t="s">
        <v>57</v>
      </c>
      <c r="B334" s="7" t="s">
        <v>162</v>
      </c>
      <c r="C334" s="7" t="s">
        <v>39</v>
      </c>
      <c r="D334" s="9">
        <v>4.49</v>
      </c>
      <c r="E334" s="9">
        <v>4.87</v>
      </c>
      <c r="F334" s="9">
        <v>2.69</v>
      </c>
      <c r="G334" s="8">
        <v>1149.92</v>
      </c>
      <c r="H334" s="8">
        <v>2985.02</v>
      </c>
      <c r="I334" s="8">
        <v>2853.39</v>
      </c>
      <c r="J334" s="7" t="s">
        <v>325</v>
      </c>
    </row>
    <row r="335" spans="1:10" x14ac:dyDescent="0.35">
      <c r="A335" s="7" t="s">
        <v>23</v>
      </c>
      <c r="B335" s="7" t="s">
        <v>120</v>
      </c>
      <c r="C335" s="7" t="s">
        <v>118</v>
      </c>
      <c r="D335" s="9">
        <v>8.07</v>
      </c>
      <c r="E335" s="9">
        <v>12.36</v>
      </c>
      <c r="F335" s="9">
        <v>2.63</v>
      </c>
      <c r="G335" s="8">
        <v>4934.6899999999996</v>
      </c>
      <c r="H335" s="8">
        <v>6992.49</v>
      </c>
      <c r="I335" s="8">
        <v>1736.48</v>
      </c>
      <c r="J335" s="7" t="s">
        <v>325</v>
      </c>
    </row>
    <row r="336" spans="1:10" x14ac:dyDescent="0.35">
      <c r="A336" s="7" t="s">
        <v>49</v>
      </c>
      <c r="B336" s="7" t="s">
        <v>163</v>
      </c>
      <c r="C336" s="7" t="s">
        <v>118</v>
      </c>
      <c r="D336" s="9">
        <v>0</v>
      </c>
      <c r="E336" s="9">
        <v>0.96</v>
      </c>
      <c r="F336" s="9">
        <v>2.62</v>
      </c>
      <c r="G336" s="9">
        <v>0</v>
      </c>
      <c r="H336" s="9">
        <v>484.8</v>
      </c>
      <c r="I336" s="8">
        <v>1890.6</v>
      </c>
      <c r="J336" s="7" t="s">
        <v>325</v>
      </c>
    </row>
    <row r="337" spans="1:10" x14ac:dyDescent="0.35">
      <c r="A337" s="7" t="s">
        <v>66</v>
      </c>
      <c r="B337" s="7" t="s">
        <v>127</v>
      </c>
      <c r="C337" s="7" t="s">
        <v>60</v>
      </c>
      <c r="D337" s="9">
        <v>0.55000000000000004</v>
      </c>
      <c r="E337" s="9">
        <v>0.92</v>
      </c>
      <c r="F337" s="9">
        <v>2.58</v>
      </c>
      <c r="G337" s="9">
        <v>408.82</v>
      </c>
      <c r="H337" s="9">
        <v>628.51</v>
      </c>
      <c r="I337" s="8">
        <v>2117.39</v>
      </c>
      <c r="J337" s="7" t="s">
        <v>325</v>
      </c>
    </row>
    <row r="338" spans="1:10" x14ac:dyDescent="0.35">
      <c r="A338" s="7" t="s">
        <v>40</v>
      </c>
      <c r="B338" s="7" t="s">
        <v>85</v>
      </c>
      <c r="C338" s="7" t="s">
        <v>45</v>
      </c>
      <c r="D338" s="9">
        <v>6.9</v>
      </c>
      <c r="E338" s="9">
        <v>8.8699999999999992</v>
      </c>
      <c r="F338" s="9">
        <v>2.58</v>
      </c>
      <c r="G338" s="8">
        <v>14873.24</v>
      </c>
      <c r="H338" s="8">
        <v>17762.54</v>
      </c>
      <c r="I338" s="8">
        <v>4778.42</v>
      </c>
      <c r="J338" s="7" t="s">
        <v>325</v>
      </c>
    </row>
    <row r="339" spans="1:10" x14ac:dyDescent="0.35">
      <c r="A339" s="7" t="s">
        <v>79</v>
      </c>
      <c r="B339" s="7" t="s">
        <v>92</v>
      </c>
      <c r="C339" s="7" t="s">
        <v>45</v>
      </c>
      <c r="D339" s="9">
        <v>5.87</v>
      </c>
      <c r="E339" s="9">
        <v>8.84</v>
      </c>
      <c r="F339" s="9">
        <v>2.56</v>
      </c>
      <c r="G339" s="8">
        <v>2438.02</v>
      </c>
      <c r="H339" s="8">
        <v>3663.29</v>
      </c>
      <c r="I339" s="9">
        <v>912.75</v>
      </c>
      <c r="J339" s="7" t="s">
        <v>325</v>
      </c>
    </row>
    <row r="340" spans="1:10" x14ac:dyDescent="0.35">
      <c r="A340" s="7" t="s">
        <v>40</v>
      </c>
      <c r="B340" s="7" t="s">
        <v>164</v>
      </c>
      <c r="C340" s="7" t="s">
        <v>102</v>
      </c>
      <c r="D340" s="9">
        <v>8.81</v>
      </c>
      <c r="E340" s="9">
        <v>7.73</v>
      </c>
      <c r="F340" s="9">
        <v>2.5299999999999998</v>
      </c>
      <c r="G340" s="8">
        <v>8603.68</v>
      </c>
      <c r="H340" s="8">
        <v>8385.91</v>
      </c>
      <c r="I340" s="8">
        <v>2154.4499999999998</v>
      </c>
      <c r="J340" s="7" t="s">
        <v>325</v>
      </c>
    </row>
    <row r="341" spans="1:10" x14ac:dyDescent="0.35">
      <c r="A341" s="7" t="s">
        <v>35</v>
      </c>
      <c r="B341" s="7" t="s">
        <v>165</v>
      </c>
      <c r="C341" s="7" t="s">
        <v>48</v>
      </c>
      <c r="D341" s="9">
        <v>0.12</v>
      </c>
      <c r="E341" s="9">
        <v>4.97</v>
      </c>
      <c r="F341" s="9">
        <v>2.5</v>
      </c>
      <c r="G341" s="9">
        <v>29.43</v>
      </c>
      <c r="H341" s="8">
        <v>5112.88</v>
      </c>
      <c r="I341" s="8">
        <v>2572.2800000000002</v>
      </c>
      <c r="J341" s="7" t="s">
        <v>325</v>
      </c>
    </row>
    <row r="342" spans="1:10" x14ac:dyDescent="0.35">
      <c r="A342" s="7" t="s">
        <v>57</v>
      </c>
      <c r="B342" s="7" t="s">
        <v>161</v>
      </c>
      <c r="C342" s="7" t="s">
        <v>33</v>
      </c>
      <c r="D342" s="9">
        <v>8.8800000000000008</v>
      </c>
      <c r="E342" s="9">
        <v>7.13</v>
      </c>
      <c r="F342" s="9">
        <v>2.48</v>
      </c>
      <c r="G342" s="8">
        <v>6335.74</v>
      </c>
      <c r="H342" s="8">
        <v>6212.69</v>
      </c>
      <c r="I342" s="8">
        <v>2260.5500000000002</v>
      </c>
      <c r="J342" s="7" t="s">
        <v>325</v>
      </c>
    </row>
    <row r="343" spans="1:10" x14ac:dyDescent="0.35">
      <c r="A343" s="7" t="s">
        <v>166</v>
      </c>
      <c r="B343" s="7" t="s">
        <v>167</v>
      </c>
      <c r="C343" s="7" t="s">
        <v>60</v>
      </c>
      <c r="D343" s="9">
        <v>5.29</v>
      </c>
      <c r="E343" s="9">
        <v>9.34</v>
      </c>
      <c r="F343" s="9">
        <v>2.4500000000000002</v>
      </c>
      <c r="G343" s="8">
        <v>3450.93</v>
      </c>
      <c r="H343" s="8">
        <v>6219.8</v>
      </c>
      <c r="I343" s="8">
        <v>1736.52</v>
      </c>
      <c r="J343" s="7" t="s">
        <v>325</v>
      </c>
    </row>
    <row r="344" spans="1:10" x14ac:dyDescent="0.35">
      <c r="A344" s="7" t="s">
        <v>35</v>
      </c>
      <c r="B344" s="7" t="s">
        <v>47</v>
      </c>
      <c r="C344" s="7" t="s">
        <v>39</v>
      </c>
      <c r="D344" s="9">
        <v>0.85</v>
      </c>
      <c r="E344" s="9">
        <v>10.4</v>
      </c>
      <c r="F344" s="9">
        <v>2.44</v>
      </c>
      <c r="G344" s="9">
        <v>292.72000000000003</v>
      </c>
      <c r="H344" s="8">
        <v>3719.57</v>
      </c>
      <c r="I344" s="8">
        <v>1067.56</v>
      </c>
      <c r="J344" s="7" t="s">
        <v>325</v>
      </c>
    </row>
    <row r="345" spans="1:10" x14ac:dyDescent="0.35">
      <c r="A345" s="7" t="s">
        <v>77</v>
      </c>
      <c r="B345" s="7" t="s">
        <v>168</v>
      </c>
      <c r="C345" s="7" t="s">
        <v>102</v>
      </c>
      <c r="D345" s="9">
        <v>6.87</v>
      </c>
      <c r="E345" s="9">
        <v>8.27</v>
      </c>
      <c r="F345" s="9">
        <v>2.4300000000000002</v>
      </c>
      <c r="G345" s="8">
        <v>7135.13</v>
      </c>
      <c r="H345" s="8">
        <v>8249.9500000000007</v>
      </c>
      <c r="I345" s="8">
        <v>2102.9</v>
      </c>
      <c r="J345" s="7" t="s">
        <v>325</v>
      </c>
    </row>
    <row r="346" spans="1:10" x14ac:dyDescent="0.35">
      <c r="A346" s="7" t="s">
        <v>16</v>
      </c>
      <c r="B346" s="7" t="s">
        <v>90</v>
      </c>
      <c r="C346" s="7" t="s">
        <v>72</v>
      </c>
      <c r="D346" s="9">
        <v>14.64</v>
      </c>
      <c r="E346" s="9">
        <v>9.2200000000000006</v>
      </c>
      <c r="F346" s="9">
        <v>2.41</v>
      </c>
      <c r="G346" s="8">
        <v>4651.29</v>
      </c>
      <c r="H346" s="8">
        <v>3272.66</v>
      </c>
      <c r="I346" s="8">
        <v>1087.8399999999999</v>
      </c>
      <c r="J346" s="7" t="s">
        <v>325</v>
      </c>
    </row>
    <row r="347" spans="1:10" x14ac:dyDescent="0.35">
      <c r="A347" s="7" t="s">
        <v>31</v>
      </c>
      <c r="B347" s="7" t="s">
        <v>131</v>
      </c>
      <c r="C347" s="7" t="s">
        <v>62</v>
      </c>
      <c r="D347" s="9">
        <v>6.21</v>
      </c>
      <c r="E347" s="9">
        <v>7.72</v>
      </c>
      <c r="F347" s="9">
        <v>2.39</v>
      </c>
      <c r="G347" s="8">
        <v>22585.66</v>
      </c>
      <c r="H347" s="8">
        <v>30954.02</v>
      </c>
      <c r="I347" s="8">
        <v>11114.17</v>
      </c>
      <c r="J347" s="7" t="s">
        <v>325</v>
      </c>
    </row>
    <row r="348" spans="1:10" x14ac:dyDescent="0.35">
      <c r="A348" s="7" t="s">
        <v>31</v>
      </c>
      <c r="B348" s="7" t="s">
        <v>169</v>
      </c>
      <c r="C348" s="7" t="s">
        <v>62</v>
      </c>
      <c r="D348" s="9">
        <v>7.74</v>
      </c>
      <c r="E348" s="9">
        <v>7.71</v>
      </c>
      <c r="F348" s="9">
        <v>2.37</v>
      </c>
      <c r="G348" s="8">
        <v>29313.16</v>
      </c>
      <c r="H348" s="8">
        <v>30469.72</v>
      </c>
      <c r="I348" s="8">
        <v>11357.41</v>
      </c>
      <c r="J348" s="7" t="s">
        <v>325</v>
      </c>
    </row>
    <row r="349" spans="1:10" x14ac:dyDescent="0.35">
      <c r="A349" s="7" t="s">
        <v>16</v>
      </c>
      <c r="B349" s="7" t="s">
        <v>90</v>
      </c>
      <c r="C349" s="7" t="s">
        <v>33</v>
      </c>
      <c r="D349" s="9">
        <v>3.82</v>
      </c>
      <c r="E349" s="9">
        <v>5.88</v>
      </c>
      <c r="F349" s="9">
        <v>2.36</v>
      </c>
      <c r="G349" s="8">
        <v>2497.09</v>
      </c>
      <c r="H349" s="8">
        <v>4438.22</v>
      </c>
      <c r="I349" s="8">
        <v>1710.79</v>
      </c>
      <c r="J349" s="7" t="s">
        <v>325</v>
      </c>
    </row>
    <row r="350" spans="1:10" x14ac:dyDescent="0.35">
      <c r="A350" s="7" t="s">
        <v>35</v>
      </c>
      <c r="B350" s="7" t="s">
        <v>88</v>
      </c>
      <c r="C350" s="7" t="s">
        <v>48</v>
      </c>
      <c r="D350" s="9">
        <v>3.15</v>
      </c>
      <c r="E350" s="9">
        <v>6.11</v>
      </c>
      <c r="F350" s="9">
        <v>2.36</v>
      </c>
      <c r="G350" s="8">
        <v>3025.86</v>
      </c>
      <c r="H350" s="8">
        <v>6985.18</v>
      </c>
      <c r="I350" s="8">
        <v>2840.06</v>
      </c>
      <c r="J350" s="7" t="s">
        <v>325</v>
      </c>
    </row>
    <row r="351" spans="1:10" ht="26.25" customHeight="1" x14ac:dyDescent="0.35">
      <c r="A351" s="7" t="s">
        <v>40</v>
      </c>
      <c r="B351" s="7" t="s">
        <v>64</v>
      </c>
      <c r="C351" s="7" t="s">
        <v>81</v>
      </c>
      <c r="D351" s="9">
        <v>2.73</v>
      </c>
      <c r="E351" s="9">
        <v>6.44</v>
      </c>
      <c r="F351" s="9">
        <v>2.36</v>
      </c>
      <c r="G351" s="8">
        <v>2584.9299999999998</v>
      </c>
      <c r="H351" s="8">
        <v>5506.8</v>
      </c>
      <c r="I351" s="8">
        <v>2235.13</v>
      </c>
      <c r="J351" s="7" t="s">
        <v>325</v>
      </c>
    </row>
    <row r="352" spans="1:10" x14ac:dyDescent="0.35">
      <c r="A352" s="7" t="s">
        <v>23</v>
      </c>
      <c r="B352" s="7" t="s">
        <v>138</v>
      </c>
      <c r="C352" s="7" t="s">
        <v>18</v>
      </c>
      <c r="D352" s="9">
        <v>0</v>
      </c>
      <c r="E352" s="9">
        <v>13.38</v>
      </c>
      <c r="F352" s="9">
        <v>2.35</v>
      </c>
      <c r="G352" s="9">
        <v>0</v>
      </c>
      <c r="H352" s="8">
        <v>15230.09</v>
      </c>
      <c r="I352" s="8">
        <v>2285.5100000000002</v>
      </c>
      <c r="J352" s="7" t="s">
        <v>325</v>
      </c>
    </row>
    <row r="353" spans="1:10" x14ac:dyDescent="0.35">
      <c r="A353" s="7" t="s">
        <v>40</v>
      </c>
      <c r="B353" s="7" t="s">
        <v>164</v>
      </c>
      <c r="C353" s="7" t="s">
        <v>39</v>
      </c>
      <c r="D353" s="9">
        <v>7.12</v>
      </c>
      <c r="E353" s="9">
        <v>6.69</v>
      </c>
      <c r="F353" s="9">
        <v>2.35</v>
      </c>
      <c r="G353" s="9">
        <v>450.64</v>
      </c>
      <c r="H353" s="9">
        <v>414.89</v>
      </c>
      <c r="I353" s="9">
        <v>158.99</v>
      </c>
      <c r="J353" s="7" t="s">
        <v>325</v>
      </c>
    </row>
    <row r="354" spans="1:10" x14ac:dyDescent="0.35">
      <c r="A354" s="7" t="s">
        <v>23</v>
      </c>
      <c r="B354" s="7" t="s">
        <v>124</v>
      </c>
      <c r="C354" s="7" t="s">
        <v>18</v>
      </c>
      <c r="D354" s="9">
        <v>0</v>
      </c>
      <c r="E354" s="9">
        <v>2.2599999999999998</v>
      </c>
      <c r="F354" s="9">
        <v>2.34</v>
      </c>
      <c r="G354" s="9">
        <v>0</v>
      </c>
      <c r="H354" s="8">
        <v>2812.95</v>
      </c>
      <c r="I354" s="8">
        <v>2429</v>
      </c>
      <c r="J354" s="7" t="s">
        <v>325</v>
      </c>
    </row>
    <row r="355" spans="1:10" x14ac:dyDescent="0.35">
      <c r="A355" s="7" t="s">
        <v>79</v>
      </c>
      <c r="B355" s="7" t="s">
        <v>80</v>
      </c>
      <c r="C355" s="7" t="s">
        <v>54</v>
      </c>
      <c r="D355" s="9">
        <v>10.87</v>
      </c>
      <c r="E355" s="9">
        <v>7.04</v>
      </c>
      <c r="F355" s="9">
        <v>2.33</v>
      </c>
      <c r="G355" s="8">
        <v>7626.32</v>
      </c>
      <c r="H355" s="8">
        <v>4262.26</v>
      </c>
      <c r="I355" s="8">
        <v>2053.6999999999998</v>
      </c>
      <c r="J355" s="7" t="s">
        <v>325</v>
      </c>
    </row>
    <row r="356" spans="1:10" x14ac:dyDescent="0.35">
      <c r="A356" s="7" t="s">
        <v>23</v>
      </c>
      <c r="B356" s="7" t="s">
        <v>123</v>
      </c>
      <c r="C356" s="7" t="s">
        <v>102</v>
      </c>
      <c r="D356" s="9">
        <v>11.15</v>
      </c>
      <c r="E356" s="9">
        <v>12.9</v>
      </c>
      <c r="F356" s="9">
        <v>2.31</v>
      </c>
      <c r="G356" s="8">
        <v>95247.87</v>
      </c>
      <c r="H356" s="8">
        <v>114007.47</v>
      </c>
      <c r="I356" s="8">
        <v>23110.73</v>
      </c>
      <c r="J356" s="7" t="s">
        <v>325</v>
      </c>
    </row>
    <row r="357" spans="1:10" x14ac:dyDescent="0.35">
      <c r="A357" s="7" t="s">
        <v>31</v>
      </c>
      <c r="B357" s="7" t="s">
        <v>141</v>
      </c>
      <c r="C357" s="7" t="s">
        <v>39</v>
      </c>
      <c r="D357" s="9">
        <v>7.42</v>
      </c>
      <c r="E357" s="9">
        <v>6.12</v>
      </c>
      <c r="F357" s="9">
        <v>2.31</v>
      </c>
      <c r="G357" s="8">
        <v>1442.73</v>
      </c>
      <c r="H357" s="8">
        <v>1118.2</v>
      </c>
      <c r="I357" s="9">
        <v>673.12</v>
      </c>
      <c r="J357" s="7" t="s">
        <v>325</v>
      </c>
    </row>
    <row r="358" spans="1:10" x14ac:dyDescent="0.35">
      <c r="A358" s="7" t="s">
        <v>40</v>
      </c>
      <c r="B358" s="7" t="s">
        <v>117</v>
      </c>
      <c r="C358" s="7" t="s">
        <v>102</v>
      </c>
      <c r="D358" s="9">
        <v>3.83</v>
      </c>
      <c r="E358" s="9">
        <v>8.15</v>
      </c>
      <c r="F358" s="9">
        <v>2.31</v>
      </c>
      <c r="G358" s="8">
        <v>4451.7700000000004</v>
      </c>
      <c r="H358" s="8">
        <v>10174.17</v>
      </c>
      <c r="I358" s="8">
        <v>2928.25</v>
      </c>
      <c r="J358" s="7" t="s">
        <v>325</v>
      </c>
    </row>
    <row r="359" spans="1:10" x14ac:dyDescent="0.35">
      <c r="A359" s="7" t="s">
        <v>129</v>
      </c>
      <c r="B359" s="7" t="s">
        <v>147</v>
      </c>
      <c r="C359" s="7" t="s">
        <v>39</v>
      </c>
      <c r="D359" s="9">
        <v>6.7</v>
      </c>
      <c r="E359" s="9">
        <v>7.26</v>
      </c>
      <c r="F359" s="9">
        <v>2.2999999999999998</v>
      </c>
      <c r="G359" s="8">
        <v>12279.4</v>
      </c>
      <c r="H359" s="8">
        <v>14929.75</v>
      </c>
      <c r="I359" s="8">
        <v>5061.34</v>
      </c>
      <c r="J359" s="7" t="s">
        <v>325</v>
      </c>
    </row>
    <row r="360" spans="1:10" x14ac:dyDescent="0.35">
      <c r="A360" s="7" t="s">
        <v>20</v>
      </c>
      <c r="B360" s="7" t="s">
        <v>21</v>
      </c>
      <c r="C360" s="7" t="s">
        <v>170</v>
      </c>
      <c r="D360" s="9">
        <v>1.84</v>
      </c>
      <c r="E360" s="9">
        <v>4.03</v>
      </c>
      <c r="F360" s="9">
        <v>2.2999999999999998</v>
      </c>
      <c r="G360" s="9">
        <v>249.44</v>
      </c>
      <c r="H360" s="8">
        <v>1101.52</v>
      </c>
      <c r="I360" s="8">
        <v>1063.6300000000001</v>
      </c>
      <c r="J360" s="7" t="s">
        <v>325</v>
      </c>
    </row>
    <row r="361" spans="1:10" x14ac:dyDescent="0.35">
      <c r="A361" s="7" t="s">
        <v>20</v>
      </c>
      <c r="B361" s="7" t="s">
        <v>156</v>
      </c>
      <c r="C361" s="7" t="s">
        <v>45</v>
      </c>
      <c r="D361" s="9">
        <v>0</v>
      </c>
      <c r="E361" s="9">
        <v>1.57</v>
      </c>
      <c r="F361" s="9">
        <v>2.2999999999999998</v>
      </c>
      <c r="G361" s="9">
        <v>0</v>
      </c>
      <c r="H361" s="9">
        <v>217.47</v>
      </c>
      <c r="I361" s="9">
        <v>368.71</v>
      </c>
      <c r="J361" s="7" t="s">
        <v>325</v>
      </c>
    </row>
    <row r="362" spans="1:10" x14ac:dyDescent="0.35">
      <c r="A362" s="7" t="s">
        <v>66</v>
      </c>
      <c r="B362" s="7" t="s">
        <v>127</v>
      </c>
      <c r="C362" s="7" t="s">
        <v>118</v>
      </c>
      <c r="D362" s="9">
        <v>4.9400000000000004</v>
      </c>
      <c r="E362" s="9">
        <v>6.99</v>
      </c>
      <c r="F362" s="9">
        <v>2.29</v>
      </c>
      <c r="G362" s="8">
        <v>3311.54</v>
      </c>
      <c r="H362" s="8">
        <v>3453.41</v>
      </c>
      <c r="I362" s="8">
        <v>1231.05</v>
      </c>
      <c r="J362" s="7" t="s">
        <v>325</v>
      </c>
    </row>
    <row r="363" spans="1:10" x14ac:dyDescent="0.35">
      <c r="A363" s="7" t="s">
        <v>40</v>
      </c>
      <c r="B363" s="7" t="s">
        <v>41</v>
      </c>
      <c r="C363" s="7" t="s">
        <v>45</v>
      </c>
      <c r="D363" s="9">
        <v>3.78</v>
      </c>
      <c r="E363" s="9">
        <v>5.45</v>
      </c>
      <c r="F363" s="9">
        <v>2.29</v>
      </c>
      <c r="G363" s="8">
        <v>2878.88</v>
      </c>
      <c r="H363" s="8">
        <v>4725.05</v>
      </c>
      <c r="I363" s="8">
        <v>2499.85</v>
      </c>
      <c r="J363" s="7" t="s">
        <v>325</v>
      </c>
    </row>
    <row r="364" spans="1:10" x14ac:dyDescent="0.35">
      <c r="A364" s="7" t="s">
        <v>94</v>
      </c>
      <c r="B364" s="7" t="s">
        <v>95</v>
      </c>
      <c r="C364" s="7" t="s">
        <v>45</v>
      </c>
      <c r="D364" s="9">
        <v>6.01</v>
      </c>
      <c r="E364" s="9">
        <v>8.6999999999999993</v>
      </c>
      <c r="F364" s="9">
        <v>2.2599999999999998</v>
      </c>
      <c r="G364" s="8">
        <v>17529.84</v>
      </c>
      <c r="H364" s="8">
        <v>27412.14</v>
      </c>
      <c r="I364" s="8">
        <v>6955.6</v>
      </c>
      <c r="J364" s="7" t="s">
        <v>325</v>
      </c>
    </row>
    <row r="365" spans="1:10" x14ac:dyDescent="0.35">
      <c r="A365" s="7" t="s">
        <v>31</v>
      </c>
      <c r="B365" s="7" t="s">
        <v>32</v>
      </c>
      <c r="C365" s="7" t="s">
        <v>54</v>
      </c>
      <c r="D365" s="9">
        <v>6.68</v>
      </c>
      <c r="E365" s="9">
        <v>6.96</v>
      </c>
      <c r="F365" s="9">
        <v>2.21</v>
      </c>
      <c r="G365" s="8">
        <v>5468.79</v>
      </c>
      <c r="H365" s="8">
        <v>6445.12</v>
      </c>
      <c r="I365" s="8">
        <v>1990.34</v>
      </c>
      <c r="J365" s="7" t="s">
        <v>325</v>
      </c>
    </row>
    <row r="366" spans="1:10" x14ac:dyDescent="0.35">
      <c r="A366" s="7" t="s">
        <v>77</v>
      </c>
      <c r="B366" s="7" t="s">
        <v>78</v>
      </c>
      <c r="C366" s="7" t="s">
        <v>53</v>
      </c>
      <c r="D366" s="9">
        <v>6.45</v>
      </c>
      <c r="E366" s="9">
        <v>6.91</v>
      </c>
      <c r="F366" s="9">
        <v>2.21</v>
      </c>
      <c r="G366" s="8">
        <v>5520.8</v>
      </c>
      <c r="H366" s="8">
        <v>5586.74</v>
      </c>
      <c r="I366" s="8">
        <v>1626.84</v>
      </c>
      <c r="J366" s="7" t="s">
        <v>325</v>
      </c>
    </row>
    <row r="367" spans="1:10" x14ac:dyDescent="0.35">
      <c r="A367" s="7" t="s">
        <v>77</v>
      </c>
      <c r="B367" s="7" t="s">
        <v>149</v>
      </c>
      <c r="C367" s="7" t="s">
        <v>84</v>
      </c>
      <c r="D367" s="9">
        <v>8.98</v>
      </c>
      <c r="E367" s="9">
        <v>17.54</v>
      </c>
      <c r="F367" s="9">
        <v>2.19</v>
      </c>
      <c r="G367" s="8">
        <v>1178.6199999999999</v>
      </c>
      <c r="H367" s="8">
        <v>2036.87</v>
      </c>
      <c r="I367" s="9">
        <v>299.20999999999998</v>
      </c>
      <c r="J367" s="7" t="s">
        <v>325</v>
      </c>
    </row>
    <row r="368" spans="1:10" x14ac:dyDescent="0.35">
      <c r="A368" s="7" t="s">
        <v>23</v>
      </c>
      <c r="B368" s="7" t="s">
        <v>120</v>
      </c>
      <c r="C368" s="7" t="s">
        <v>18</v>
      </c>
      <c r="D368" s="9">
        <v>3.91</v>
      </c>
      <c r="E368" s="9">
        <v>15.79</v>
      </c>
      <c r="F368" s="9">
        <v>2.1800000000000002</v>
      </c>
      <c r="G368" s="8">
        <v>3543.19</v>
      </c>
      <c r="H368" s="8">
        <v>16353.7</v>
      </c>
      <c r="I368" s="8">
        <v>2625.58</v>
      </c>
      <c r="J368" s="7" t="s">
        <v>325</v>
      </c>
    </row>
    <row r="369" spans="1:10" x14ac:dyDescent="0.35">
      <c r="A369" s="7" t="s">
        <v>79</v>
      </c>
      <c r="B369" s="7" t="s">
        <v>80</v>
      </c>
      <c r="C369" s="7" t="s">
        <v>72</v>
      </c>
      <c r="D369" s="9">
        <v>3.23</v>
      </c>
      <c r="E369" s="9">
        <v>4.0199999999999996</v>
      </c>
      <c r="F369" s="9">
        <v>2.1800000000000002</v>
      </c>
      <c r="G369" s="9">
        <v>407.8</v>
      </c>
      <c r="H369" s="9">
        <v>581.32000000000005</v>
      </c>
      <c r="I369" s="9">
        <v>288.86</v>
      </c>
      <c r="J369" s="7" t="s">
        <v>325</v>
      </c>
    </row>
    <row r="370" spans="1:10" x14ac:dyDescent="0.35">
      <c r="A370" s="7" t="s">
        <v>31</v>
      </c>
      <c r="B370" s="7" t="s">
        <v>171</v>
      </c>
      <c r="C370" s="7" t="s">
        <v>27</v>
      </c>
      <c r="D370" s="9">
        <v>3.83</v>
      </c>
      <c r="E370" s="9">
        <v>9</v>
      </c>
      <c r="F370" s="9">
        <v>2.17</v>
      </c>
      <c r="G370" s="8">
        <v>9024.09</v>
      </c>
      <c r="H370" s="8">
        <v>30925.86</v>
      </c>
      <c r="I370" s="8">
        <v>7213.92</v>
      </c>
      <c r="J370" s="7" t="s">
        <v>325</v>
      </c>
    </row>
    <row r="371" spans="1:10" x14ac:dyDescent="0.35">
      <c r="A371" s="7" t="s">
        <v>16</v>
      </c>
      <c r="B371" s="7" t="s">
        <v>105</v>
      </c>
      <c r="C371" s="7" t="s">
        <v>45</v>
      </c>
      <c r="D371" s="9">
        <v>0.32</v>
      </c>
      <c r="E371" s="9">
        <v>0.02</v>
      </c>
      <c r="F371" s="9">
        <v>2.17</v>
      </c>
      <c r="G371" s="9">
        <v>437.18</v>
      </c>
      <c r="H371" s="9">
        <v>22.77</v>
      </c>
      <c r="I371" s="9">
        <v>571.83000000000004</v>
      </c>
      <c r="J371" s="7" t="s">
        <v>325</v>
      </c>
    </row>
    <row r="372" spans="1:10" x14ac:dyDescent="0.35">
      <c r="A372" s="7" t="s">
        <v>57</v>
      </c>
      <c r="B372" s="7" t="s">
        <v>161</v>
      </c>
      <c r="C372" s="7" t="s">
        <v>39</v>
      </c>
      <c r="D372" s="9">
        <v>15</v>
      </c>
      <c r="E372" s="9">
        <v>7.83</v>
      </c>
      <c r="F372" s="9">
        <v>2.16</v>
      </c>
      <c r="G372" s="8">
        <v>15774.85</v>
      </c>
      <c r="H372" s="8">
        <v>9285.67</v>
      </c>
      <c r="I372" s="8">
        <v>2357.8000000000002</v>
      </c>
      <c r="J372" s="7" t="s">
        <v>325</v>
      </c>
    </row>
    <row r="373" spans="1:10" x14ac:dyDescent="0.35">
      <c r="A373" s="7" t="s">
        <v>16</v>
      </c>
      <c r="B373" s="7" t="s">
        <v>172</v>
      </c>
      <c r="C373" s="7" t="s">
        <v>27</v>
      </c>
      <c r="D373" s="9">
        <v>12.59</v>
      </c>
      <c r="E373" s="9">
        <v>7.37</v>
      </c>
      <c r="F373" s="9">
        <v>2.14</v>
      </c>
      <c r="G373" s="8">
        <v>28655</v>
      </c>
      <c r="H373" s="8">
        <v>20961.27</v>
      </c>
      <c r="I373" s="8">
        <v>6500</v>
      </c>
      <c r="J373" s="7" t="s">
        <v>325</v>
      </c>
    </row>
    <row r="374" spans="1:10" x14ac:dyDescent="0.35">
      <c r="A374" s="7" t="s">
        <v>40</v>
      </c>
      <c r="B374" s="7" t="s">
        <v>41</v>
      </c>
      <c r="C374" s="7" t="s">
        <v>128</v>
      </c>
      <c r="D374" s="9">
        <v>3.61</v>
      </c>
      <c r="E374" s="9">
        <v>6.93</v>
      </c>
      <c r="F374" s="9">
        <v>2.13</v>
      </c>
      <c r="G374" s="8">
        <v>1406.66</v>
      </c>
      <c r="H374" s="8">
        <v>1711.89</v>
      </c>
      <c r="I374" s="9">
        <v>391.96</v>
      </c>
      <c r="J374" s="7" t="s">
        <v>325</v>
      </c>
    </row>
    <row r="375" spans="1:10" x14ac:dyDescent="0.35">
      <c r="A375" s="7" t="s">
        <v>31</v>
      </c>
      <c r="B375" s="7" t="s">
        <v>152</v>
      </c>
      <c r="C375" s="7" t="s">
        <v>27</v>
      </c>
      <c r="D375" s="9">
        <v>0</v>
      </c>
      <c r="E375" s="9">
        <v>122.5</v>
      </c>
      <c r="F375" s="9">
        <v>2.12</v>
      </c>
      <c r="G375" s="9">
        <v>0</v>
      </c>
      <c r="H375" s="8">
        <v>329690.03000000003</v>
      </c>
      <c r="I375" s="8">
        <v>5842.16</v>
      </c>
      <c r="J375" s="7" t="s">
        <v>325</v>
      </c>
    </row>
    <row r="376" spans="1:10" x14ac:dyDescent="0.35">
      <c r="A376" s="7" t="s">
        <v>40</v>
      </c>
      <c r="B376" s="7" t="s">
        <v>85</v>
      </c>
      <c r="C376" s="7" t="s">
        <v>122</v>
      </c>
      <c r="D376" s="9">
        <v>11.61</v>
      </c>
      <c r="E376" s="9">
        <v>5.73</v>
      </c>
      <c r="F376" s="9">
        <v>2.12</v>
      </c>
      <c r="G376" s="8">
        <v>2468.1999999999998</v>
      </c>
      <c r="H376" s="8">
        <v>2116.86</v>
      </c>
      <c r="I376" s="8">
        <v>1486.84</v>
      </c>
      <c r="J376" s="7" t="s">
        <v>325</v>
      </c>
    </row>
    <row r="377" spans="1:10" x14ac:dyDescent="0.35">
      <c r="A377" s="7" t="s">
        <v>40</v>
      </c>
      <c r="B377" s="7" t="s">
        <v>85</v>
      </c>
      <c r="C377" s="7" t="s">
        <v>72</v>
      </c>
      <c r="D377" s="9">
        <v>2.74</v>
      </c>
      <c r="E377" s="9">
        <v>4.07</v>
      </c>
      <c r="F377" s="9">
        <v>2.11</v>
      </c>
      <c r="G377" s="9">
        <v>496.43</v>
      </c>
      <c r="H377" s="8">
        <v>1528.44</v>
      </c>
      <c r="I377" s="9">
        <v>617.12</v>
      </c>
      <c r="J377" s="7" t="s">
        <v>325</v>
      </c>
    </row>
    <row r="378" spans="1:10" x14ac:dyDescent="0.35">
      <c r="A378" s="7" t="s">
        <v>20</v>
      </c>
      <c r="B378" s="7" t="s">
        <v>173</v>
      </c>
      <c r="C378" s="7" t="s">
        <v>72</v>
      </c>
      <c r="D378" s="9">
        <v>4.9400000000000004</v>
      </c>
      <c r="E378" s="9">
        <v>4.57</v>
      </c>
      <c r="F378" s="9">
        <v>2.1</v>
      </c>
      <c r="G378" s="9">
        <v>671.52</v>
      </c>
      <c r="H378" s="9">
        <v>902.21</v>
      </c>
      <c r="I378" s="9">
        <v>420.17</v>
      </c>
      <c r="J378" s="7" t="s">
        <v>325</v>
      </c>
    </row>
    <row r="379" spans="1:10" x14ac:dyDescent="0.35">
      <c r="A379" s="7" t="s">
        <v>23</v>
      </c>
      <c r="B379" s="7" t="s">
        <v>123</v>
      </c>
      <c r="C379" s="7" t="s">
        <v>27</v>
      </c>
      <c r="D379" s="9">
        <v>10.77</v>
      </c>
      <c r="E379" s="9">
        <v>18.920000000000002</v>
      </c>
      <c r="F379" s="9">
        <v>2.1</v>
      </c>
      <c r="G379" s="8">
        <v>34594.01</v>
      </c>
      <c r="H379" s="8">
        <v>63918.77</v>
      </c>
      <c r="I379" s="8">
        <v>6477.55</v>
      </c>
      <c r="J379" s="7" t="s">
        <v>325</v>
      </c>
    </row>
    <row r="380" spans="1:10" x14ac:dyDescent="0.35">
      <c r="A380" s="7" t="s">
        <v>74</v>
      </c>
      <c r="B380" s="7" t="s">
        <v>98</v>
      </c>
      <c r="C380" s="7" t="s">
        <v>53</v>
      </c>
      <c r="D380" s="9">
        <v>9.5299999999999994</v>
      </c>
      <c r="E380" s="9">
        <v>8.93</v>
      </c>
      <c r="F380" s="9">
        <v>2.09</v>
      </c>
      <c r="G380" s="8">
        <v>7854.71</v>
      </c>
      <c r="H380" s="8">
        <v>7755.35</v>
      </c>
      <c r="I380" s="8">
        <v>1795.54</v>
      </c>
      <c r="J380" s="7" t="s">
        <v>325</v>
      </c>
    </row>
    <row r="381" spans="1:10" x14ac:dyDescent="0.35">
      <c r="A381" s="7" t="s">
        <v>57</v>
      </c>
      <c r="B381" s="7" t="s">
        <v>162</v>
      </c>
      <c r="C381" s="7" t="s">
        <v>48</v>
      </c>
      <c r="D381" s="9">
        <v>0.03</v>
      </c>
      <c r="E381" s="9">
        <v>1.03</v>
      </c>
      <c r="F381" s="9">
        <v>2.06</v>
      </c>
      <c r="G381" s="9">
        <v>44</v>
      </c>
      <c r="H381" s="8">
        <v>1074.3499999999999</v>
      </c>
      <c r="I381" s="8">
        <v>2146.4499999999998</v>
      </c>
      <c r="J381" s="7" t="s">
        <v>325</v>
      </c>
    </row>
    <row r="382" spans="1:10" x14ac:dyDescent="0.35">
      <c r="A382" s="7" t="s">
        <v>16</v>
      </c>
      <c r="B382" s="7" t="s">
        <v>90</v>
      </c>
      <c r="C382" s="7" t="s">
        <v>54</v>
      </c>
      <c r="D382" s="9">
        <v>6.52</v>
      </c>
      <c r="E382" s="9">
        <v>5.53</v>
      </c>
      <c r="F382" s="9">
        <v>2.02</v>
      </c>
      <c r="G382" s="8">
        <v>2517.23</v>
      </c>
      <c r="H382" s="8">
        <v>2051.61</v>
      </c>
      <c r="I382" s="9">
        <v>833.56</v>
      </c>
      <c r="J382" s="7" t="s">
        <v>325</v>
      </c>
    </row>
    <row r="383" spans="1:10" x14ac:dyDescent="0.35">
      <c r="A383" s="7" t="s">
        <v>16</v>
      </c>
      <c r="B383" s="7" t="s">
        <v>28</v>
      </c>
      <c r="C383" s="7" t="s">
        <v>51</v>
      </c>
      <c r="D383" s="9">
        <v>31.48</v>
      </c>
      <c r="E383" s="9">
        <v>34.159999999999997</v>
      </c>
      <c r="F383" s="9">
        <v>1.99</v>
      </c>
      <c r="G383" s="8">
        <v>24401.53</v>
      </c>
      <c r="H383" s="8">
        <v>35094.46</v>
      </c>
      <c r="I383" s="8">
        <v>1354.02</v>
      </c>
      <c r="J383" s="7" t="s">
        <v>325</v>
      </c>
    </row>
    <row r="384" spans="1:10" x14ac:dyDescent="0.35">
      <c r="A384" s="7" t="s">
        <v>40</v>
      </c>
      <c r="B384" s="7" t="s">
        <v>85</v>
      </c>
      <c r="C384" s="7" t="s">
        <v>174</v>
      </c>
      <c r="D384" s="9">
        <v>12.01</v>
      </c>
      <c r="E384" s="9">
        <v>10.36</v>
      </c>
      <c r="F384" s="9">
        <v>1.97</v>
      </c>
      <c r="G384" s="8">
        <v>1011</v>
      </c>
      <c r="H384" s="8">
        <v>1427.95</v>
      </c>
      <c r="I384" s="9">
        <v>333.25</v>
      </c>
      <c r="J384" s="7" t="s">
        <v>325</v>
      </c>
    </row>
    <row r="385" spans="1:10" x14ac:dyDescent="0.35">
      <c r="A385" s="7" t="s">
        <v>31</v>
      </c>
      <c r="B385" s="7" t="s">
        <v>139</v>
      </c>
      <c r="C385" s="7" t="s">
        <v>62</v>
      </c>
      <c r="D385" s="9">
        <v>16.38</v>
      </c>
      <c r="E385" s="9">
        <v>16.14</v>
      </c>
      <c r="F385" s="9">
        <v>1.95</v>
      </c>
      <c r="G385" s="8">
        <v>60178.35</v>
      </c>
      <c r="H385" s="8">
        <v>64687.68</v>
      </c>
      <c r="I385" s="8">
        <v>8824.8799999999992</v>
      </c>
      <c r="J385" s="7" t="s">
        <v>325</v>
      </c>
    </row>
    <row r="386" spans="1:10" x14ac:dyDescent="0.35">
      <c r="A386" s="7" t="s">
        <v>129</v>
      </c>
      <c r="B386" s="7" t="s">
        <v>147</v>
      </c>
      <c r="C386" s="7" t="s">
        <v>18</v>
      </c>
      <c r="D386" s="9">
        <v>3.15</v>
      </c>
      <c r="E386" s="9">
        <v>5.81</v>
      </c>
      <c r="F386" s="9">
        <v>1.94</v>
      </c>
      <c r="G386" s="8">
        <v>3293.73</v>
      </c>
      <c r="H386" s="8">
        <v>7781.77</v>
      </c>
      <c r="I386" s="8">
        <v>2382.81</v>
      </c>
      <c r="J386" s="7" t="s">
        <v>325</v>
      </c>
    </row>
    <row r="387" spans="1:10" x14ac:dyDescent="0.35">
      <c r="A387" s="7" t="s">
        <v>16</v>
      </c>
      <c r="B387" s="7" t="s">
        <v>17</v>
      </c>
      <c r="C387" s="7" t="s">
        <v>151</v>
      </c>
      <c r="D387" s="9">
        <v>6.88</v>
      </c>
      <c r="E387" s="9">
        <v>6.17</v>
      </c>
      <c r="F387" s="9">
        <v>1.94</v>
      </c>
      <c r="G387" s="8">
        <v>4302.04</v>
      </c>
      <c r="H387" s="8">
        <v>3804.24</v>
      </c>
      <c r="I387" s="8">
        <v>1228.1400000000001</v>
      </c>
      <c r="J387" s="7" t="s">
        <v>325</v>
      </c>
    </row>
    <row r="388" spans="1:10" x14ac:dyDescent="0.35">
      <c r="A388" s="7" t="s">
        <v>20</v>
      </c>
      <c r="B388" s="7" t="s">
        <v>56</v>
      </c>
      <c r="C388" s="7" t="s">
        <v>48</v>
      </c>
      <c r="D388" s="9">
        <v>2.2000000000000002</v>
      </c>
      <c r="E388" s="9">
        <v>3.69</v>
      </c>
      <c r="F388" s="9">
        <v>1.9</v>
      </c>
      <c r="G388" s="8">
        <v>1375.5</v>
      </c>
      <c r="H388" s="8">
        <v>2339</v>
      </c>
      <c r="I388" s="9">
        <v>934.66</v>
      </c>
      <c r="J388" s="7" t="s">
        <v>325</v>
      </c>
    </row>
    <row r="389" spans="1:10" x14ac:dyDescent="0.35">
      <c r="A389" s="7" t="s">
        <v>79</v>
      </c>
      <c r="B389" s="7" t="s">
        <v>80</v>
      </c>
      <c r="C389" s="7" t="s">
        <v>60</v>
      </c>
      <c r="D389" s="9">
        <v>6.54</v>
      </c>
      <c r="E389" s="9">
        <v>5.37</v>
      </c>
      <c r="F389" s="9">
        <v>1.9</v>
      </c>
      <c r="G389" s="8">
        <v>3358.14</v>
      </c>
      <c r="H389" s="8">
        <v>2614.91</v>
      </c>
      <c r="I389" s="9">
        <v>974.28</v>
      </c>
      <c r="J389" s="7" t="s">
        <v>325</v>
      </c>
    </row>
    <row r="390" spans="1:10" x14ac:dyDescent="0.35">
      <c r="A390" s="7" t="s">
        <v>57</v>
      </c>
      <c r="B390" s="7" t="s">
        <v>175</v>
      </c>
      <c r="C390" s="7" t="s">
        <v>39</v>
      </c>
      <c r="D390" s="9">
        <v>0.8</v>
      </c>
      <c r="E390" s="9">
        <v>5.93</v>
      </c>
      <c r="F390" s="9">
        <v>1.9</v>
      </c>
      <c r="G390" s="9">
        <v>875.59</v>
      </c>
      <c r="H390" s="8">
        <v>3555.7</v>
      </c>
      <c r="I390" s="8">
        <v>1344.38</v>
      </c>
      <c r="J390" s="7" t="s">
        <v>325</v>
      </c>
    </row>
    <row r="391" spans="1:10" x14ac:dyDescent="0.35">
      <c r="A391" s="7" t="s">
        <v>77</v>
      </c>
      <c r="B391" s="7" t="s">
        <v>78</v>
      </c>
      <c r="C391" s="7" t="s">
        <v>102</v>
      </c>
      <c r="D391" s="9">
        <v>8.3800000000000008</v>
      </c>
      <c r="E391" s="9">
        <v>10.18</v>
      </c>
      <c r="F391" s="9">
        <v>1.89</v>
      </c>
      <c r="G391" s="8">
        <v>11584.18</v>
      </c>
      <c r="H391" s="8">
        <v>13650.31</v>
      </c>
      <c r="I391" s="8">
        <v>2144.54</v>
      </c>
      <c r="J391" s="7" t="s">
        <v>325</v>
      </c>
    </row>
    <row r="392" spans="1:10" x14ac:dyDescent="0.35">
      <c r="A392" s="7" t="s">
        <v>94</v>
      </c>
      <c r="B392" s="7" t="s">
        <v>95</v>
      </c>
      <c r="C392" s="7" t="s">
        <v>54</v>
      </c>
      <c r="D392" s="9">
        <v>5.61</v>
      </c>
      <c r="E392" s="9">
        <v>4.62</v>
      </c>
      <c r="F392" s="9">
        <v>1.87</v>
      </c>
      <c r="G392" s="8">
        <v>5760.81</v>
      </c>
      <c r="H392" s="8">
        <v>6604.26</v>
      </c>
      <c r="I392" s="8">
        <v>1926.95</v>
      </c>
      <c r="J392" s="7" t="s">
        <v>325</v>
      </c>
    </row>
    <row r="393" spans="1:10" x14ac:dyDescent="0.35">
      <c r="A393" s="7" t="s">
        <v>35</v>
      </c>
      <c r="B393" s="7" t="s">
        <v>88</v>
      </c>
      <c r="C393" s="7" t="s">
        <v>72</v>
      </c>
      <c r="D393" s="9">
        <v>5.0199999999999996</v>
      </c>
      <c r="E393" s="9">
        <v>2.95</v>
      </c>
      <c r="F393" s="9">
        <v>1.87</v>
      </c>
      <c r="G393" s="8">
        <v>2016.21</v>
      </c>
      <c r="H393" s="8">
        <v>1070.94</v>
      </c>
      <c r="I393" s="9">
        <v>626.97</v>
      </c>
      <c r="J393" s="7" t="s">
        <v>325</v>
      </c>
    </row>
    <row r="394" spans="1:10" x14ac:dyDescent="0.35">
      <c r="A394" s="7" t="s">
        <v>31</v>
      </c>
      <c r="B394" s="7" t="s">
        <v>131</v>
      </c>
      <c r="C394" s="7" t="s">
        <v>128</v>
      </c>
      <c r="D394" s="9">
        <v>4.93</v>
      </c>
      <c r="E394" s="9">
        <v>4.82</v>
      </c>
      <c r="F394" s="9">
        <v>1.85</v>
      </c>
      <c r="G394" s="8">
        <v>2486.8000000000002</v>
      </c>
      <c r="H394" s="8">
        <v>2492.14</v>
      </c>
      <c r="I394" s="9">
        <v>956.24</v>
      </c>
      <c r="J394" s="7" t="s">
        <v>325</v>
      </c>
    </row>
    <row r="395" spans="1:10" x14ac:dyDescent="0.35">
      <c r="A395" s="7" t="s">
        <v>94</v>
      </c>
      <c r="B395" s="7" t="s">
        <v>95</v>
      </c>
      <c r="C395" s="7" t="s">
        <v>53</v>
      </c>
      <c r="D395" s="9">
        <v>3.92</v>
      </c>
      <c r="E395" s="9">
        <v>4.9800000000000004</v>
      </c>
      <c r="F395" s="9">
        <v>1.81</v>
      </c>
      <c r="G395" s="8">
        <v>6090.78</v>
      </c>
      <c r="H395" s="8">
        <v>7004.62</v>
      </c>
      <c r="I395" s="8">
        <v>2377.34</v>
      </c>
      <c r="J395" s="7" t="s">
        <v>325</v>
      </c>
    </row>
    <row r="396" spans="1:10" x14ac:dyDescent="0.35">
      <c r="A396" s="7" t="s">
        <v>16</v>
      </c>
      <c r="B396" s="7" t="s">
        <v>109</v>
      </c>
      <c r="C396" s="7" t="s">
        <v>54</v>
      </c>
      <c r="D396" s="9">
        <v>1.69</v>
      </c>
      <c r="E396" s="9">
        <v>3.86</v>
      </c>
      <c r="F396" s="9">
        <v>1.8</v>
      </c>
      <c r="G396" s="9">
        <v>734.09</v>
      </c>
      <c r="H396" s="8">
        <v>1578.34</v>
      </c>
      <c r="I396" s="9">
        <v>716.2</v>
      </c>
      <c r="J396" s="7" t="s">
        <v>325</v>
      </c>
    </row>
    <row r="397" spans="1:10" x14ac:dyDescent="0.35">
      <c r="A397" s="7" t="s">
        <v>23</v>
      </c>
      <c r="B397" s="7" t="s">
        <v>123</v>
      </c>
      <c r="C397" s="7" t="s">
        <v>53</v>
      </c>
      <c r="D397" s="9">
        <v>6.55</v>
      </c>
      <c r="E397" s="9">
        <v>3.73</v>
      </c>
      <c r="F397" s="9">
        <v>1.8</v>
      </c>
      <c r="G397" s="8">
        <v>3834.35</v>
      </c>
      <c r="H397" s="8">
        <v>2883.2</v>
      </c>
      <c r="I397" s="8">
        <v>1594.83</v>
      </c>
      <c r="J397" s="7" t="s">
        <v>325</v>
      </c>
    </row>
    <row r="398" spans="1:10" x14ac:dyDescent="0.35">
      <c r="A398" s="7" t="s">
        <v>31</v>
      </c>
      <c r="B398" s="7" t="s">
        <v>152</v>
      </c>
      <c r="C398" s="7" t="s">
        <v>54</v>
      </c>
      <c r="D398" s="9">
        <v>3.14</v>
      </c>
      <c r="E398" s="9">
        <v>5.89</v>
      </c>
      <c r="F398" s="9">
        <v>1.79</v>
      </c>
      <c r="G398" s="8">
        <v>12012.56</v>
      </c>
      <c r="H398" s="8">
        <v>13456.46</v>
      </c>
      <c r="I398" s="8">
        <v>3635.56</v>
      </c>
      <c r="J398" s="7" t="s">
        <v>325</v>
      </c>
    </row>
    <row r="399" spans="1:10" x14ac:dyDescent="0.35">
      <c r="A399" s="7" t="s">
        <v>23</v>
      </c>
      <c r="B399" s="7" t="s">
        <v>43</v>
      </c>
      <c r="C399" s="7" t="s">
        <v>125</v>
      </c>
      <c r="D399" s="9">
        <v>3.45</v>
      </c>
      <c r="E399" s="9">
        <v>5.2</v>
      </c>
      <c r="F399" s="9">
        <v>1.79</v>
      </c>
      <c r="G399" s="9">
        <v>654.26</v>
      </c>
      <c r="H399" s="8">
        <v>1297.53</v>
      </c>
      <c r="I399" s="9">
        <v>402.5</v>
      </c>
      <c r="J399" s="7" t="s">
        <v>325</v>
      </c>
    </row>
    <row r="400" spans="1:10" x14ac:dyDescent="0.35">
      <c r="A400" s="7" t="s">
        <v>40</v>
      </c>
      <c r="B400" s="7" t="s">
        <v>41</v>
      </c>
      <c r="C400" s="7" t="s">
        <v>65</v>
      </c>
      <c r="D400" s="9">
        <v>4.6500000000000004</v>
      </c>
      <c r="E400" s="9">
        <v>5.24</v>
      </c>
      <c r="F400" s="9">
        <v>1.78</v>
      </c>
      <c r="G400" s="8">
        <v>7392.15</v>
      </c>
      <c r="H400" s="8">
        <v>9158.7099999999991</v>
      </c>
      <c r="I400" s="8">
        <v>3118.11</v>
      </c>
      <c r="J400" s="7" t="s">
        <v>325</v>
      </c>
    </row>
    <row r="401" spans="1:10" x14ac:dyDescent="0.35">
      <c r="A401" s="7" t="s">
        <v>77</v>
      </c>
      <c r="B401" s="7" t="s">
        <v>149</v>
      </c>
      <c r="C401" s="7" t="s">
        <v>60</v>
      </c>
      <c r="D401" s="9">
        <v>17.010000000000002</v>
      </c>
      <c r="E401" s="9">
        <v>4.04</v>
      </c>
      <c r="F401" s="9">
        <v>1.77</v>
      </c>
      <c r="G401" s="9">
        <v>964.58</v>
      </c>
      <c r="H401" s="9">
        <v>222.02</v>
      </c>
      <c r="I401" s="9">
        <v>43.28</v>
      </c>
      <c r="J401" s="7" t="s">
        <v>325</v>
      </c>
    </row>
    <row r="402" spans="1:10" x14ac:dyDescent="0.35">
      <c r="A402" s="7" t="s">
        <v>57</v>
      </c>
      <c r="B402" s="7" t="s">
        <v>161</v>
      </c>
      <c r="C402" s="7" t="s">
        <v>65</v>
      </c>
      <c r="D402" s="9">
        <v>0.74</v>
      </c>
      <c r="E402" s="9">
        <v>1.6</v>
      </c>
      <c r="F402" s="9">
        <v>1.77</v>
      </c>
      <c r="G402" s="8">
        <v>1120.5999999999999</v>
      </c>
      <c r="H402" s="8">
        <v>2653.49</v>
      </c>
      <c r="I402" s="8">
        <v>3791.14</v>
      </c>
      <c r="J402" s="7" t="s">
        <v>325</v>
      </c>
    </row>
    <row r="403" spans="1:10" x14ac:dyDescent="0.35">
      <c r="A403" s="7" t="s">
        <v>16</v>
      </c>
      <c r="B403" s="7" t="s">
        <v>172</v>
      </c>
      <c r="C403" s="7" t="s">
        <v>51</v>
      </c>
      <c r="D403" s="9">
        <v>6.18</v>
      </c>
      <c r="E403" s="9">
        <v>7.65</v>
      </c>
      <c r="F403" s="9">
        <v>1.77</v>
      </c>
      <c r="G403" s="8">
        <v>5392</v>
      </c>
      <c r="H403" s="8">
        <v>7736.9</v>
      </c>
      <c r="I403" s="8">
        <v>1569.52</v>
      </c>
      <c r="J403" s="7" t="s">
        <v>325</v>
      </c>
    </row>
    <row r="404" spans="1:10" x14ac:dyDescent="0.35">
      <c r="A404" s="7" t="s">
        <v>31</v>
      </c>
      <c r="B404" s="7" t="s">
        <v>32</v>
      </c>
      <c r="C404" s="7" t="s">
        <v>53</v>
      </c>
      <c r="D404" s="9">
        <v>0.13</v>
      </c>
      <c r="E404" s="9">
        <v>5.49</v>
      </c>
      <c r="F404" s="9">
        <v>1.76</v>
      </c>
      <c r="G404" s="9">
        <v>109.41</v>
      </c>
      <c r="H404" s="8">
        <v>13681.81</v>
      </c>
      <c r="I404" s="8">
        <v>4311.8100000000004</v>
      </c>
      <c r="J404" s="7" t="s">
        <v>325</v>
      </c>
    </row>
    <row r="405" spans="1:10" x14ac:dyDescent="0.35">
      <c r="A405" s="7" t="s">
        <v>66</v>
      </c>
      <c r="B405" s="7" t="s">
        <v>108</v>
      </c>
      <c r="C405" s="7" t="s">
        <v>118</v>
      </c>
      <c r="D405" s="9">
        <v>10.69</v>
      </c>
      <c r="E405" s="9">
        <v>19.09</v>
      </c>
      <c r="F405" s="9">
        <v>1.76</v>
      </c>
      <c r="G405" s="8">
        <v>5696.01</v>
      </c>
      <c r="H405" s="8">
        <v>11161.14</v>
      </c>
      <c r="I405" s="8">
        <v>1172.96</v>
      </c>
      <c r="J405" s="7" t="s">
        <v>325</v>
      </c>
    </row>
    <row r="406" spans="1:10" x14ac:dyDescent="0.35">
      <c r="A406" s="7" t="s">
        <v>77</v>
      </c>
      <c r="B406" s="7" t="s">
        <v>168</v>
      </c>
      <c r="C406" s="7" t="s">
        <v>45</v>
      </c>
      <c r="D406" s="9">
        <v>4.01</v>
      </c>
      <c r="E406" s="9">
        <v>4.55</v>
      </c>
      <c r="F406" s="9">
        <v>1.75</v>
      </c>
      <c r="G406" s="8">
        <v>3850.39</v>
      </c>
      <c r="H406" s="8">
        <v>4217.25</v>
      </c>
      <c r="I406" s="8">
        <v>1539.52</v>
      </c>
      <c r="J406" s="7" t="s">
        <v>325</v>
      </c>
    </row>
    <row r="407" spans="1:10" x14ac:dyDescent="0.35">
      <c r="A407" s="7" t="s">
        <v>79</v>
      </c>
      <c r="B407" s="7" t="s">
        <v>80</v>
      </c>
      <c r="C407" s="7" t="s">
        <v>174</v>
      </c>
      <c r="D407" s="9">
        <v>4.8899999999999997</v>
      </c>
      <c r="E407" s="9">
        <v>3.93</v>
      </c>
      <c r="F407" s="9">
        <v>1.75</v>
      </c>
      <c r="G407" s="9">
        <v>450.51</v>
      </c>
      <c r="H407" s="9">
        <v>677.45</v>
      </c>
      <c r="I407" s="9">
        <v>306.69</v>
      </c>
      <c r="J407" s="7" t="s">
        <v>325</v>
      </c>
    </row>
    <row r="408" spans="1:10" x14ac:dyDescent="0.35">
      <c r="A408" s="7" t="s">
        <v>16</v>
      </c>
      <c r="B408" s="7" t="s">
        <v>89</v>
      </c>
      <c r="C408" s="7" t="s">
        <v>65</v>
      </c>
      <c r="D408" s="9">
        <v>4.07</v>
      </c>
      <c r="E408" s="9">
        <v>4.28</v>
      </c>
      <c r="F408" s="9">
        <v>1.71</v>
      </c>
      <c r="G408" s="8">
        <v>9382.02</v>
      </c>
      <c r="H408" s="8">
        <v>10330.049999999999</v>
      </c>
      <c r="I408" s="8">
        <v>4353.66</v>
      </c>
      <c r="J408" s="7" t="s">
        <v>325</v>
      </c>
    </row>
    <row r="409" spans="1:10" x14ac:dyDescent="0.35">
      <c r="A409" s="7" t="s">
        <v>77</v>
      </c>
      <c r="B409" s="7" t="s">
        <v>132</v>
      </c>
      <c r="C409" s="7" t="s">
        <v>122</v>
      </c>
      <c r="D409" s="9">
        <v>3.82</v>
      </c>
      <c r="E409" s="9">
        <v>4.09</v>
      </c>
      <c r="F409" s="9">
        <v>1.7</v>
      </c>
      <c r="G409" s="9">
        <v>996.87</v>
      </c>
      <c r="H409" s="8">
        <v>1096.52</v>
      </c>
      <c r="I409" s="9">
        <v>454.47</v>
      </c>
      <c r="J409" s="7" t="s">
        <v>325</v>
      </c>
    </row>
    <row r="410" spans="1:10" x14ac:dyDescent="0.35">
      <c r="A410" s="7" t="s">
        <v>49</v>
      </c>
      <c r="B410" s="7" t="s">
        <v>176</v>
      </c>
      <c r="C410" s="7" t="s">
        <v>118</v>
      </c>
      <c r="D410" s="9">
        <v>6.05</v>
      </c>
      <c r="E410" s="9">
        <v>3.83</v>
      </c>
      <c r="F410" s="9">
        <v>1.69</v>
      </c>
      <c r="G410" s="8">
        <v>3909.44</v>
      </c>
      <c r="H410" s="8">
        <v>2143.52</v>
      </c>
      <c r="I410" s="8">
        <v>1150.2</v>
      </c>
      <c r="J410" s="7" t="s">
        <v>325</v>
      </c>
    </row>
    <row r="411" spans="1:10" x14ac:dyDescent="0.35">
      <c r="A411" s="7" t="s">
        <v>40</v>
      </c>
      <c r="B411" s="7" t="s">
        <v>117</v>
      </c>
      <c r="C411" s="7" t="s">
        <v>53</v>
      </c>
      <c r="D411" s="9">
        <v>23.26</v>
      </c>
      <c r="E411" s="9">
        <v>5.86</v>
      </c>
      <c r="F411" s="9">
        <v>1.67</v>
      </c>
      <c r="G411" s="8">
        <v>41812.06</v>
      </c>
      <c r="H411" s="8">
        <v>9514.77</v>
      </c>
      <c r="I411" s="8">
        <v>2611.7800000000002</v>
      </c>
      <c r="J411" s="7" t="s">
        <v>325</v>
      </c>
    </row>
    <row r="412" spans="1:10" x14ac:dyDescent="0.35">
      <c r="A412" s="7" t="s">
        <v>57</v>
      </c>
      <c r="B412" s="7" t="s">
        <v>175</v>
      </c>
      <c r="C412" s="7" t="s">
        <v>48</v>
      </c>
      <c r="D412" s="9">
        <v>0</v>
      </c>
      <c r="E412" s="9">
        <v>5.62</v>
      </c>
      <c r="F412" s="9">
        <v>1.67</v>
      </c>
      <c r="G412" s="9">
        <v>0</v>
      </c>
      <c r="H412" s="8">
        <v>4994.33</v>
      </c>
      <c r="I412" s="8">
        <v>1306.6300000000001</v>
      </c>
      <c r="J412" s="7" t="s">
        <v>325</v>
      </c>
    </row>
    <row r="413" spans="1:10" x14ac:dyDescent="0.35">
      <c r="A413" s="7" t="s">
        <v>20</v>
      </c>
      <c r="B413" s="7" t="s">
        <v>134</v>
      </c>
      <c r="C413" s="7" t="s">
        <v>45</v>
      </c>
      <c r="D413" s="9">
        <v>0</v>
      </c>
      <c r="E413" s="9">
        <v>9.17</v>
      </c>
      <c r="F413" s="9">
        <v>1.66</v>
      </c>
      <c r="G413" s="9">
        <v>0</v>
      </c>
      <c r="H413" s="8">
        <v>22578.34</v>
      </c>
      <c r="I413" s="8">
        <v>4399.53</v>
      </c>
      <c r="J413" s="7" t="s">
        <v>325</v>
      </c>
    </row>
    <row r="414" spans="1:10" x14ac:dyDescent="0.35">
      <c r="A414" s="7" t="s">
        <v>31</v>
      </c>
      <c r="B414" s="7" t="s">
        <v>32</v>
      </c>
      <c r="C414" s="7" t="s">
        <v>62</v>
      </c>
      <c r="D414" s="9">
        <v>9.76</v>
      </c>
      <c r="E414" s="9">
        <v>0.01</v>
      </c>
      <c r="F414" s="9">
        <v>1.66</v>
      </c>
      <c r="G414" s="8">
        <v>37682.61</v>
      </c>
      <c r="H414" s="9">
        <v>24.84</v>
      </c>
      <c r="I414" s="8">
        <v>7292.99</v>
      </c>
      <c r="J414" s="7" t="s">
        <v>325</v>
      </c>
    </row>
    <row r="415" spans="1:10" ht="26.25" customHeight="1" x14ac:dyDescent="0.35">
      <c r="A415" s="7" t="s">
        <v>31</v>
      </c>
      <c r="B415" s="7" t="s">
        <v>146</v>
      </c>
      <c r="C415" s="7" t="s">
        <v>39</v>
      </c>
      <c r="D415" s="9">
        <v>4.5599999999999996</v>
      </c>
      <c r="E415" s="9">
        <v>5.86</v>
      </c>
      <c r="F415" s="9">
        <v>1.64</v>
      </c>
      <c r="G415" s="8">
        <v>10035.6</v>
      </c>
      <c r="H415" s="8">
        <v>13493.12</v>
      </c>
      <c r="I415" s="8">
        <v>3732.75</v>
      </c>
      <c r="J415" s="7" t="s">
        <v>325</v>
      </c>
    </row>
    <row r="416" spans="1:10" x14ac:dyDescent="0.35">
      <c r="A416" s="7" t="s">
        <v>23</v>
      </c>
      <c r="B416" s="7" t="s">
        <v>177</v>
      </c>
      <c r="C416" s="7" t="s">
        <v>60</v>
      </c>
      <c r="D416" s="9">
        <v>8.6199999999999992</v>
      </c>
      <c r="E416" s="9">
        <v>9.4700000000000006</v>
      </c>
      <c r="F416" s="9">
        <v>1.64</v>
      </c>
      <c r="G416" s="9">
        <v>667.66</v>
      </c>
      <c r="H416" s="9">
        <v>488.55</v>
      </c>
      <c r="I416" s="9">
        <v>73.83</v>
      </c>
      <c r="J416" s="7" t="s">
        <v>325</v>
      </c>
    </row>
    <row r="417" spans="1:10" x14ac:dyDescent="0.35">
      <c r="A417" s="7" t="s">
        <v>94</v>
      </c>
      <c r="B417" s="7" t="s">
        <v>112</v>
      </c>
      <c r="C417" s="7" t="s">
        <v>18</v>
      </c>
      <c r="D417" s="9">
        <v>3.16</v>
      </c>
      <c r="E417" s="9">
        <v>5.25</v>
      </c>
      <c r="F417" s="9">
        <v>1.63</v>
      </c>
      <c r="G417" s="8">
        <v>3350.52</v>
      </c>
      <c r="H417" s="8">
        <v>6811.06</v>
      </c>
      <c r="I417" s="8">
        <v>2002</v>
      </c>
      <c r="J417" s="7" t="s">
        <v>325</v>
      </c>
    </row>
    <row r="418" spans="1:10" x14ac:dyDescent="0.35">
      <c r="A418" s="7" t="s">
        <v>23</v>
      </c>
      <c r="B418" s="7" t="s">
        <v>44</v>
      </c>
      <c r="C418" s="7" t="s">
        <v>27</v>
      </c>
      <c r="D418" s="9">
        <v>2.5</v>
      </c>
      <c r="E418" s="9">
        <v>3.53</v>
      </c>
      <c r="F418" s="9">
        <v>1.63</v>
      </c>
      <c r="G418" s="8">
        <v>3474.9</v>
      </c>
      <c r="H418" s="8">
        <v>3666.85</v>
      </c>
      <c r="I418" s="8">
        <v>1860.61</v>
      </c>
      <c r="J418" s="7" t="s">
        <v>325</v>
      </c>
    </row>
    <row r="419" spans="1:10" x14ac:dyDescent="0.35">
      <c r="A419" s="7" t="s">
        <v>23</v>
      </c>
      <c r="B419" s="7" t="s">
        <v>24</v>
      </c>
      <c r="C419" s="7" t="s">
        <v>72</v>
      </c>
      <c r="D419" s="9">
        <v>0.25</v>
      </c>
      <c r="E419" s="9">
        <v>17.53</v>
      </c>
      <c r="F419" s="9">
        <v>1.63</v>
      </c>
      <c r="G419" s="9">
        <v>53.2</v>
      </c>
      <c r="H419" s="8">
        <v>3664.43</v>
      </c>
      <c r="I419" s="9">
        <v>348.44</v>
      </c>
      <c r="J419" s="7" t="s">
        <v>325</v>
      </c>
    </row>
    <row r="420" spans="1:10" x14ac:dyDescent="0.35">
      <c r="A420" s="7" t="s">
        <v>40</v>
      </c>
      <c r="B420" s="7" t="s">
        <v>178</v>
      </c>
      <c r="C420" s="7" t="s">
        <v>60</v>
      </c>
      <c r="D420" s="9">
        <v>12.53</v>
      </c>
      <c r="E420" s="9">
        <v>12.06</v>
      </c>
      <c r="F420" s="9">
        <v>1.62</v>
      </c>
      <c r="G420" s="9">
        <v>617.39</v>
      </c>
      <c r="H420" s="9">
        <v>191.04</v>
      </c>
      <c r="I420" s="9">
        <v>8.4600000000000009</v>
      </c>
      <c r="J420" s="7" t="s">
        <v>325</v>
      </c>
    </row>
    <row r="421" spans="1:10" x14ac:dyDescent="0.35">
      <c r="A421" s="7" t="s">
        <v>23</v>
      </c>
      <c r="B421" s="7" t="s">
        <v>44</v>
      </c>
      <c r="C421" s="7" t="s">
        <v>114</v>
      </c>
      <c r="D421" s="9">
        <v>3.4</v>
      </c>
      <c r="E421" s="9">
        <v>0</v>
      </c>
      <c r="F421" s="9">
        <v>1.62</v>
      </c>
      <c r="G421" s="9">
        <v>334.36</v>
      </c>
      <c r="H421" s="9">
        <v>0</v>
      </c>
      <c r="I421" s="9">
        <v>247</v>
      </c>
      <c r="J421" s="7" t="s">
        <v>325</v>
      </c>
    </row>
    <row r="422" spans="1:10" x14ac:dyDescent="0.35">
      <c r="A422" s="7" t="s">
        <v>16</v>
      </c>
      <c r="B422" s="7" t="s">
        <v>109</v>
      </c>
      <c r="C422" s="7" t="s">
        <v>33</v>
      </c>
      <c r="D422" s="9">
        <v>7.43</v>
      </c>
      <c r="E422" s="9">
        <v>6.62</v>
      </c>
      <c r="F422" s="9">
        <v>1.6</v>
      </c>
      <c r="G422" s="8">
        <v>5219.3</v>
      </c>
      <c r="H422" s="8">
        <v>5619.2</v>
      </c>
      <c r="I422" s="8">
        <v>1238.22</v>
      </c>
      <c r="J422" s="7" t="s">
        <v>325</v>
      </c>
    </row>
    <row r="423" spans="1:10" x14ac:dyDescent="0.35">
      <c r="A423" s="7" t="s">
        <v>40</v>
      </c>
      <c r="B423" s="7" t="s">
        <v>41</v>
      </c>
      <c r="C423" s="7" t="s">
        <v>60</v>
      </c>
      <c r="D423" s="9">
        <v>4.4800000000000004</v>
      </c>
      <c r="E423" s="9">
        <v>4.37</v>
      </c>
      <c r="F423" s="9">
        <v>1.59</v>
      </c>
      <c r="G423" s="8">
        <v>1562.92</v>
      </c>
      <c r="H423" s="8">
        <v>2282.0100000000002</v>
      </c>
      <c r="I423" s="9">
        <v>444.68</v>
      </c>
      <c r="J423" s="7" t="s">
        <v>325</v>
      </c>
    </row>
    <row r="424" spans="1:10" x14ac:dyDescent="0.35">
      <c r="A424" s="7" t="s">
        <v>74</v>
      </c>
      <c r="B424" s="7" t="s">
        <v>98</v>
      </c>
      <c r="C424" s="7" t="s">
        <v>59</v>
      </c>
      <c r="D424" s="9">
        <v>3.07</v>
      </c>
      <c r="E424" s="9">
        <v>5.79</v>
      </c>
      <c r="F424" s="9">
        <v>1.57</v>
      </c>
      <c r="G424" s="8">
        <v>2288.5500000000002</v>
      </c>
      <c r="H424" s="8">
        <v>4045.33</v>
      </c>
      <c r="I424" s="8">
        <v>1016.8</v>
      </c>
      <c r="J424" s="7" t="s">
        <v>325</v>
      </c>
    </row>
    <row r="425" spans="1:10" x14ac:dyDescent="0.35">
      <c r="A425" s="7" t="s">
        <v>57</v>
      </c>
      <c r="B425" s="7" t="s">
        <v>97</v>
      </c>
      <c r="C425" s="7" t="s">
        <v>53</v>
      </c>
      <c r="D425" s="9">
        <v>0.52</v>
      </c>
      <c r="E425" s="9">
        <v>3.9</v>
      </c>
      <c r="F425" s="9">
        <v>1.57</v>
      </c>
      <c r="G425" s="9">
        <v>413.8</v>
      </c>
      <c r="H425" s="8">
        <v>3388.7</v>
      </c>
      <c r="I425" s="8">
        <v>1502.68</v>
      </c>
      <c r="J425" s="7" t="s">
        <v>325</v>
      </c>
    </row>
    <row r="426" spans="1:10" x14ac:dyDescent="0.35">
      <c r="A426" s="7" t="s">
        <v>40</v>
      </c>
      <c r="B426" s="7" t="s">
        <v>85</v>
      </c>
      <c r="C426" s="7" t="s">
        <v>42</v>
      </c>
      <c r="D426" s="9">
        <v>3.29</v>
      </c>
      <c r="E426" s="9">
        <v>3.32</v>
      </c>
      <c r="F426" s="9">
        <v>1.56</v>
      </c>
      <c r="G426" s="8">
        <v>2385.4299999999998</v>
      </c>
      <c r="H426" s="8">
        <v>2623.59</v>
      </c>
      <c r="I426" s="8">
        <v>1337.55</v>
      </c>
      <c r="J426" s="7" t="s">
        <v>325</v>
      </c>
    </row>
    <row r="427" spans="1:10" x14ac:dyDescent="0.35">
      <c r="A427" s="7" t="s">
        <v>31</v>
      </c>
      <c r="B427" s="7" t="s">
        <v>101</v>
      </c>
      <c r="C427" s="7" t="s">
        <v>54</v>
      </c>
      <c r="D427" s="9">
        <v>0.68</v>
      </c>
      <c r="E427" s="9">
        <v>0.66</v>
      </c>
      <c r="F427" s="9">
        <v>1.55</v>
      </c>
      <c r="G427" s="9">
        <v>978.16</v>
      </c>
      <c r="H427" s="9">
        <v>343.81</v>
      </c>
      <c r="I427" s="9">
        <v>806.59</v>
      </c>
      <c r="J427" s="7" t="s">
        <v>325</v>
      </c>
    </row>
    <row r="428" spans="1:10" x14ac:dyDescent="0.35">
      <c r="A428" s="7" t="s">
        <v>57</v>
      </c>
      <c r="B428" s="7" t="s">
        <v>161</v>
      </c>
      <c r="C428" s="7" t="s">
        <v>48</v>
      </c>
      <c r="D428" s="9">
        <v>0.82</v>
      </c>
      <c r="E428" s="9">
        <v>4.8600000000000003</v>
      </c>
      <c r="F428" s="9">
        <v>1.55</v>
      </c>
      <c r="G428" s="9">
        <v>490.88</v>
      </c>
      <c r="H428" s="8">
        <v>4705.5600000000004</v>
      </c>
      <c r="I428" s="8">
        <v>1409.63</v>
      </c>
      <c r="J428" s="7" t="s">
        <v>325</v>
      </c>
    </row>
    <row r="429" spans="1:10" x14ac:dyDescent="0.35">
      <c r="A429" s="7" t="s">
        <v>40</v>
      </c>
      <c r="B429" s="7" t="s">
        <v>107</v>
      </c>
      <c r="C429" s="7" t="s">
        <v>151</v>
      </c>
      <c r="D429" s="9">
        <v>6.16</v>
      </c>
      <c r="E429" s="9">
        <v>6.67</v>
      </c>
      <c r="F429" s="9">
        <v>1.54</v>
      </c>
      <c r="G429" s="8">
        <v>6455.87</v>
      </c>
      <c r="H429" s="8">
        <v>8624.9500000000007</v>
      </c>
      <c r="I429" s="8">
        <v>2341.46</v>
      </c>
      <c r="J429" s="7" t="s">
        <v>325</v>
      </c>
    </row>
    <row r="430" spans="1:10" x14ac:dyDescent="0.35">
      <c r="A430" s="7" t="s">
        <v>40</v>
      </c>
      <c r="B430" s="7" t="s">
        <v>85</v>
      </c>
      <c r="C430" s="7" t="s">
        <v>179</v>
      </c>
      <c r="D430" s="9">
        <v>15.95</v>
      </c>
      <c r="E430" s="9">
        <v>99.93</v>
      </c>
      <c r="F430" s="9">
        <v>1.53</v>
      </c>
      <c r="G430" s="8">
        <v>14903.89</v>
      </c>
      <c r="H430" s="8">
        <v>68369.05</v>
      </c>
      <c r="I430" s="8">
        <v>1030.0899999999999</v>
      </c>
      <c r="J430" s="7" t="s">
        <v>325</v>
      </c>
    </row>
    <row r="431" spans="1:10" x14ac:dyDescent="0.35">
      <c r="A431" s="7" t="s">
        <v>79</v>
      </c>
      <c r="B431" s="7" t="s">
        <v>91</v>
      </c>
      <c r="C431" s="7" t="s">
        <v>39</v>
      </c>
      <c r="D431" s="9">
        <v>3.16</v>
      </c>
      <c r="E431" s="9">
        <v>2.77</v>
      </c>
      <c r="F431" s="9">
        <v>1.52</v>
      </c>
      <c r="G431" s="8">
        <v>1949.68</v>
      </c>
      <c r="H431" s="8">
        <v>1531.96</v>
      </c>
      <c r="I431" s="9">
        <v>884.55</v>
      </c>
      <c r="J431" s="7" t="s">
        <v>325</v>
      </c>
    </row>
    <row r="432" spans="1:10" x14ac:dyDescent="0.35">
      <c r="A432" s="7" t="s">
        <v>94</v>
      </c>
      <c r="B432" s="7" t="s">
        <v>95</v>
      </c>
      <c r="C432" s="7" t="s">
        <v>51</v>
      </c>
      <c r="D432" s="9">
        <v>4.12</v>
      </c>
      <c r="E432" s="9">
        <v>6.14</v>
      </c>
      <c r="F432" s="9">
        <v>1.52</v>
      </c>
      <c r="G432" s="8">
        <v>4508.12</v>
      </c>
      <c r="H432" s="8">
        <v>7028.29</v>
      </c>
      <c r="I432" s="8">
        <v>1701.79</v>
      </c>
      <c r="J432" s="7" t="s">
        <v>325</v>
      </c>
    </row>
    <row r="433" spans="1:10" x14ac:dyDescent="0.35">
      <c r="A433" s="7" t="s">
        <v>31</v>
      </c>
      <c r="B433" s="7" t="s">
        <v>141</v>
      </c>
      <c r="C433" s="7" t="s">
        <v>45</v>
      </c>
      <c r="D433" s="9">
        <v>30.27</v>
      </c>
      <c r="E433" s="9">
        <v>28.29</v>
      </c>
      <c r="F433" s="9">
        <v>1.51</v>
      </c>
      <c r="G433" s="8">
        <v>107069.34</v>
      </c>
      <c r="H433" s="8">
        <v>81723.41</v>
      </c>
      <c r="I433" s="8">
        <v>4041.93</v>
      </c>
      <c r="J433" s="7" t="s">
        <v>325</v>
      </c>
    </row>
    <row r="434" spans="1:10" x14ac:dyDescent="0.35">
      <c r="A434" s="7" t="s">
        <v>31</v>
      </c>
      <c r="B434" s="7" t="s">
        <v>131</v>
      </c>
      <c r="C434" s="7" t="s">
        <v>102</v>
      </c>
      <c r="D434" s="9">
        <v>5.84</v>
      </c>
      <c r="E434" s="9">
        <v>4.7699999999999996</v>
      </c>
      <c r="F434" s="9">
        <v>1.51</v>
      </c>
      <c r="G434" s="8">
        <v>13636.65</v>
      </c>
      <c r="H434" s="8">
        <v>12905.05</v>
      </c>
      <c r="I434" s="8">
        <v>4566.1499999999996</v>
      </c>
      <c r="J434" s="7" t="s">
        <v>325</v>
      </c>
    </row>
    <row r="435" spans="1:10" x14ac:dyDescent="0.35">
      <c r="A435" s="7" t="s">
        <v>31</v>
      </c>
      <c r="B435" s="7" t="s">
        <v>131</v>
      </c>
      <c r="C435" s="7" t="s">
        <v>45</v>
      </c>
      <c r="D435" s="9">
        <v>4.66</v>
      </c>
      <c r="E435" s="9">
        <v>5.0999999999999996</v>
      </c>
      <c r="F435" s="9">
        <v>1.49</v>
      </c>
      <c r="G435" s="8">
        <v>5829.64</v>
      </c>
      <c r="H435" s="8">
        <v>6929.47</v>
      </c>
      <c r="I435" s="8">
        <v>2699.02</v>
      </c>
      <c r="J435" s="7" t="s">
        <v>325</v>
      </c>
    </row>
    <row r="436" spans="1:10" x14ac:dyDescent="0.35">
      <c r="A436" s="7" t="s">
        <v>16</v>
      </c>
      <c r="B436" s="7" t="s">
        <v>105</v>
      </c>
      <c r="C436" s="7" t="s">
        <v>72</v>
      </c>
      <c r="D436" s="9">
        <v>3.22</v>
      </c>
      <c r="E436" s="9">
        <v>4.0199999999999996</v>
      </c>
      <c r="F436" s="9">
        <v>1.48</v>
      </c>
      <c r="G436" s="9">
        <v>260.66000000000003</v>
      </c>
      <c r="H436" s="9">
        <v>514.5</v>
      </c>
      <c r="I436" s="9">
        <v>195.5</v>
      </c>
      <c r="J436" s="7" t="s">
        <v>325</v>
      </c>
    </row>
    <row r="437" spans="1:10" x14ac:dyDescent="0.35">
      <c r="A437" s="7" t="s">
        <v>31</v>
      </c>
      <c r="B437" s="7" t="s">
        <v>32</v>
      </c>
      <c r="C437" s="7" t="s">
        <v>65</v>
      </c>
      <c r="D437" s="9">
        <v>0.08</v>
      </c>
      <c r="E437" s="9">
        <v>0.2</v>
      </c>
      <c r="F437" s="9">
        <v>1.48</v>
      </c>
      <c r="G437" s="9">
        <v>188.29</v>
      </c>
      <c r="H437" s="9">
        <v>575</v>
      </c>
      <c r="I437" s="8">
        <v>4102.8999999999996</v>
      </c>
      <c r="J437" s="7" t="s">
        <v>325</v>
      </c>
    </row>
    <row r="438" spans="1:10" x14ac:dyDescent="0.35">
      <c r="A438" s="7" t="s">
        <v>74</v>
      </c>
      <c r="B438" s="7" t="s">
        <v>98</v>
      </c>
      <c r="C438" s="7" t="s">
        <v>62</v>
      </c>
      <c r="D438" s="9">
        <v>0</v>
      </c>
      <c r="E438" s="9">
        <v>8.7100000000000009</v>
      </c>
      <c r="F438" s="9">
        <v>1.48</v>
      </c>
      <c r="G438" s="9">
        <v>0</v>
      </c>
      <c r="H438" s="8">
        <v>3494.1</v>
      </c>
      <c r="I438" s="9">
        <v>595.6</v>
      </c>
      <c r="J438" s="7" t="s">
        <v>325</v>
      </c>
    </row>
    <row r="439" spans="1:10" x14ac:dyDescent="0.35">
      <c r="A439" s="7" t="s">
        <v>74</v>
      </c>
      <c r="B439" s="7" t="s">
        <v>75</v>
      </c>
      <c r="C439" s="7" t="s">
        <v>59</v>
      </c>
      <c r="D439" s="9">
        <v>5.08</v>
      </c>
      <c r="E439" s="9">
        <v>5.13</v>
      </c>
      <c r="F439" s="9">
        <v>1.48</v>
      </c>
      <c r="G439" s="8">
        <v>2846.51</v>
      </c>
      <c r="H439" s="8">
        <v>2564.17</v>
      </c>
      <c r="I439" s="9">
        <v>857.61</v>
      </c>
      <c r="J439" s="7" t="s">
        <v>325</v>
      </c>
    </row>
    <row r="440" spans="1:10" x14ac:dyDescent="0.35">
      <c r="A440" s="7" t="s">
        <v>79</v>
      </c>
      <c r="B440" s="7" t="s">
        <v>80</v>
      </c>
      <c r="C440" s="7" t="s">
        <v>53</v>
      </c>
      <c r="D440" s="9">
        <v>5.99</v>
      </c>
      <c r="E440" s="9">
        <v>3.97</v>
      </c>
      <c r="F440" s="9">
        <v>1.46</v>
      </c>
      <c r="G440" s="8">
        <v>5992.09</v>
      </c>
      <c r="H440" s="8">
        <v>2145.48</v>
      </c>
      <c r="I440" s="9">
        <v>693.76</v>
      </c>
      <c r="J440" s="7" t="s">
        <v>325</v>
      </c>
    </row>
    <row r="441" spans="1:10" x14ac:dyDescent="0.35">
      <c r="A441" s="7" t="s">
        <v>31</v>
      </c>
      <c r="B441" s="7" t="s">
        <v>32</v>
      </c>
      <c r="C441" s="7" t="s">
        <v>33</v>
      </c>
      <c r="D441" s="9">
        <v>2.63</v>
      </c>
      <c r="E441" s="9">
        <v>7.12</v>
      </c>
      <c r="F441" s="9">
        <v>1.46</v>
      </c>
      <c r="G441" s="8">
        <v>3096.99</v>
      </c>
      <c r="H441" s="8">
        <v>12733.41</v>
      </c>
      <c r="I441" s="8">
        <v>1857.56</v>
      </c>
      <c r="J441" s="7" t="s">
        <v>325</v>
      </c>
    </row>
    <row r="442" spans="1:10" x14ac:dyDescent="0.35">
      <c r="A442" s="7" t="s">
        <v>23</v>
      </c>
      <c r="B442" s="7" t="s">
        <v>180</v>
      </c>
      <c r="C442" s="7" t="s">
        <v>60</v>
      </c>
      <c r="D442" s="9">
        <v>0</v>
      </c>
      <c r="E442" s="9">
        <v>0</v>
      </c>
      <c r="F442" s="9">
        <v>1.45</v>
      </c>
      <c r="G442" s="9">
        <v>0</v>
      </c>
      <c r="H442" s="9">
        <v>0</v>
      </c>
      <c r="I442" s="9">
        <v>707.9</v>
      </c>
      <c r="J442" s="7" t="s">
        <v>325</v>
      </c>
    </row>
    <row r="443" spans="1:10" x14ac:dyDescent="0.35">
      <c r="A443" s="7" t="s">
        <v>66</v>
      </c>
      <c r="B443" s="7" t="s">
        <v>71</v>
      </c>
      <c r="C443" s="7" t="s">
        <v>118</v>
      </c>
      <c r="D443" s="9">
        <v>0.02</v>
      </c>
      <c r="E443" s="9">
        <v>10.11</v>
      </c>
      <c r="F443" s="9">
        <v>1.45</v>
      </c>
      <c r="G443" s="9">
        <v>16.600000000000001</v>
      </c>
      <c r="H443" s="8">
        <v>7065.32</v>
      </c>
      <c r="I443" s="9">
        <v>970.23</v>
      </c>
      <c r="J443" s="7" t="s">
        <v>325</v>
      </c>
    </row>
    <row r="444" spans="1:10" x14ac:dyDescent="0.35">
      <c r="A444" s="7" t="s">
        <v>79</v>
      </c>
      <c r="B444" s="7" t="s">
        <v>80</v>
      </c>
      <c r="C444" s="7" t="s">
        <v>69</v>
      </c>
      <c r="D444" s="9">
        <v>3.34</v>
      </c>
      <c r="E444" s="9">
        <v>3.99</v>
      </c>
      <c r="F444" s="9">
        <v>1.45</v>
      </c>
      <c r="G444" s="9">
        <v>124.04</v>
      </c>
      <c r="H444" s="9">
        <v>197.68</v>
      </c>
      <c r="I444" s="9">
        <v>80.33</v>
      </c>
      <c r="J444" s="7" t="s">
        <v>325</v>
      </c>
    </row>
    <row r="445" spans="1:10" x14ac:dyDescent="0.35">
      <c r="A445" s="7" t="s">
        <v>16</v>
      </c>
      <c r="B445" s="7" t="s">
        <v>17</v>
      </c>
      <c r="C445" s="7" t="s">
        <v>62</v>
      </c>
      <c r="D445" s="9">
        <v>7.24</v>
      </c>
      <c r="E445" s="9">
        <v>4.55</v>
      </c>
      <c r="F445" s="9">
        <v>1.45</v>
      </c>
      <c r="G445" s="8">
        <v>22294.71</v>
      </c>
      <c r="H445" s="8">
        <v>13632.62</v>
      </c>
      <c r="I445" s="8">
        <v>5014.49</v>
      </c>
      <c r="J445" s="7" t="s">
        <v>325</v>
      </c>
    </row>
    <row r="446" spans="1:10" x14ac:dyDescent="0.35">
      <c r="A446" s="7" t="s">
        <v>20</v>
      </c>
      <c r="B446" s="7" t="s">
        <v>21</v>
      </c>
      <c r="C446" s="7" t="s">
        <v>181</v>
      </c>
      <c r="D446" s="9">
        <v>2.02</v>
      </c>
      <c r="E446" s="9">
        <v>6.83</v>
      </c>
      <c r="F446" s="9">
        <v>1.44</v>
      </c>
      <c r="G446" s="9">
        <v>396.13</v>
      </c>
      <c r="H446" s="9">
        <v>838.44</v>
      </c>
      <c r="I446" s="9">
        <v>287.3</v>
      </c>
      <c r="J446" s="7" t="s">
        <v>325</v>
      </c>
    </row>
    <row r="447" spans="1:10" x14ac:dyDescent="0.35">
      <c r="A447" s="7" t="s">
        <v>77</v>
      </c>
      <c r="B447" s="7" t="s">
        <v>78</v>
      </c>
      <c r="C447" s="7" t="s">
        <v>60</v>
      </c>
      <c r="D447" s="9">
        <v>0.33</v>
      </c>
      <c r="E447" s="9">
        <v>3.29</v>
      </c>
      <c r="F447" s="9">
        <v>1.44</v>
      </c>
      <c r="G447" s="9">
        <v>320.24</v>
      </c>
      <c r="H447" s="8">
        <v>1137.6099999999999</v>
      </c>
      <c r="I447" s="9">
        <v>943.15</v>
      </c>
      <c r="J447" s="7" t="s">
        <v>325</v>
      </c>
    </row>
    <row r="448" spans="1:10" x14ac:dyDescent="0.35">
      <c r="A448" s="7" t="s">
        <v>40</v>
      </c>
      <c r="B448" s="7" t="s">
        <v>64</v>
      </c>
      <c r="C448" s="7" t="s">
        <v>62</v>
      </c>
      <c r="D448" s="9">
        <v>3.6</v>
      </c>
      <c r="E448" s="9">
        <v>1.02</v>
      </c>
      <c r="F448" s="9">
        <v>1.43</v>
      </c>
      <c r="G448" s="8">
        <v>12516.42</v>
      </c>
      <c r="H448" s="8">
        <v>3440.66</v>
      </c>
      <c r="I448" s="8">
        <v>6270.55</v>
      </c>
      <c r="J448" s="7" t="s">
        <v>325</v>
      </c>
    </row>
    <row r="449" spans="1:10" x14ac:dyDescent="0.35">
      <c r="A449" s="7" t="s">
        <v>40</v>
      </c>
      <c r="B449" s="7" t="s">
        <v>64</v>
      </c>
      <c r="C449" s="7" t="s">
        <v>54</v>
      </c>
      <c r="D449" s="9">
        <v>5.76</v>
      </c>
      <c r="E449" s="9">
        <v>4.24</v>
      </c>
      <c r="F449" s="9">
        <v>1.43</v>
      </c>
      <c r="G449" s="8">
        <v>5749.29</v>
      </c>
      <c r="H449" s="8">
        <v>4831.3599999999997</v>
      </c>
      <c r="I449" s="8">
        <v>2010.39</v>
      </c>
      <c r="J449" s="7" t="s">
        <v>325</v>
      </c>
    </row>
    <row r="450" spans="1:10" x14ac:dyDescent="0.35">
      <c r="A450" s="7" t="s">
        <v>16</v>
      </c>
      <c r="B450" s="7" t="s">
        <v>135</v>
      </c>
      <c r="C450" s="7" t="s">
        <v>76</v>
      </c>
      <c r="D450" s="9">
        <v>1.98</v>
      </c>
      <c r="E450" s="9">
        <v>1.84</v>
      </c>
      <c r="F450" s="9">
        <v>1.43</v>
      </c>
      <c r="G450" s="9">
        <v>686.98</v>
      </c>
      <c r="H450" s="9">
        <v>516.78</v>
      </c>
      <c r="I450" s="9">
        <v>396.4</v>
      </c>
      <c r="J450" s="7" t="s">
        <v>325</v>
      </c>
    </row>
    <row r="451" spans="1:10" x14ac:dyDescent="0.35">
      <c r="A451" s="7" t="s">
        <v>23</v>
      </c>
      <c r="B451" s="7" t="s">
        <v>30</v>
      </c>
      <c r="C451" s="7" t="s">
        <v>42</v>
      </c>
      <c r="D451" s="9">
        <v>3.9</v>
      </c>
      <c r="E451" s="9">
        <v>3.88</v>
      </c>
      <c r="F451" s="9">
        <v>1.42</v>
      </c>
      <c r="G451" s="8">
        <v>1351.4</v>
      </c>
      <c r="H451" s="8">
        <v>1377.38</v>
      </c>
      <c r="I451" s="9">
        <v>485.2</v>
      </c>
      <c r="J451" s="7" t="s">
        <v>325</v>
      </c>
    </row>
    <row r="452" spans="1:10" x14ac:dyDescent="0.35">
      <c r="A452" s="7" t="s">
        <v>23</v>
      </c>
      <c r="B452" s="7" t="s">
        <v>44</v>
      </c>
      <c r="C452" s="7" t="s">
        <v>48</v>
      </c>
      <c r="D452" s="9">
        <v>5.49</v>
      </c>
      <c r="E452" s="9">
        <v>4.9000000000000004</v>
      </c>
      <c r="F452" s="9">
        <v>1.41</v>
      </c>
      <c r="G452" s="8">
        <v>2442.92</v>
      </c>
      <c r="H452" s="8">
        <v>2004.74</v>
      </c>
      <c r="I452" s="9">
        <v>622.09</v>
      </c>
      <c r="J452" s="7" t="s">
        <v>325</v>
      </c>
    </row>
    <row r="453" spans="1:10" x14ac:dyDescent="0.35">
      <c r="A453" s="7" t="s">
        <v>94</v>
      </c>
      <c r="B453" s="7" t="s">
        <v>95</v>
      </c>
      <c r="C453" s="7" t="s">
        <v>59</v>
      </c>
      <c r="D453" s="9">
        <v>3.61</v>
      </c>
      <c r="E453" s="9">
        <v>3.6</v>
      </c>
      <c r="F453" s="9">
        <v>1.4</v>
      </c>
      <c r="G453" s="9">
        <v>957.7</v>
      </c>
      <c r="H453" s="9">
        <v>848.58</v>
      </c>
      <c r="I453" s="9">
        <v>179.55</v>
      </c>
      <c r="J453" s="7" t="s">
        <v>325</v>
      </c>
    </row>
    <row r="454" spans="1:10" x14ac:dyDescent="0.35">
      <c r="A454" s="7" t="s">
        <v>35</v>
      </c>
      <c r="B454" s="7" t="s">
        <v>165</v>
      </c>
      <c r="C454" s="7" t="s">
        <v>39</v>
      </c>
      <c r="D454" s="9">
        <v>0.17</v>
      </c>
      <c r="E454" s="9">
        <v>1.92</v>
      </c>
      <c r="F454" s="9">
        <v>1.39</v>
      </c>
      <c r="G454" s="9">
        <v>97.97</v>
      </c>
      <c r="H454" s="8">
        <v>1164.4100000000001</v>
      </c>
      <c r="I454" s="8">
        <v>1001.76</v>
      </c>
      <c r="J454" s="7" t="s">
        <v>325</v>
      </c>
    </row>
    <row r="455" spans="1:10" x14ac:dyDescent="0.35">
      <c r="A455" s="7" t="s">
        <v>25</v>
      </c>
      <c r="B455" s="7" t="s">
        <v>29</v>
      </c>
      <c r="C455" s="7" t="s">
        <v>53</v>
      </c>
      <c r="D455" s="9">
        <v>2.2599999999999998</v>
      </c>
      <c r="E455" s="9">
        <v>5.35</v>
      </c>
      <c r="F455" s="9">
        <v>1.39</v>
      </c>
      <c r="G455" s="8">
        <v>4181.16</v>
      </c>
      <c r="H455" s="8">
        <v>12730.83</v>
      </c>
      <c r="I455" s="8">
        <v>3468</v>
      </c>
      <c r="J455" s="7" t="s">
        <v>325</v>
      </c>
    </row>
    <row r="456" spans="1:10" x14ac:dyDescent="0.35">
      <c r="A456" s="7" t="s">
        <v>40</v>
      </c>
      <c r="B456" s="7" t="s">
        <v>117</v>
      </c>
      <c r="C456" s="7" t="s">
        <v>48</v>
      </c>
      <c r="D456" s="9">
        <v>3.31</v>
      </c>
      <c r="E456" s="9">
        <v>2.42</v>
      </c>
      <c r="F456" s="9">
        <v>1.39</v>
      </c>
      <c r="G456" s="8">
        <v>1231.78</v>
      </c>
      <c r="H456" s="8">
        <v>1233.95</v>
      </c>
      <c r="I456" s="9">
        <v>553.39</v>
      </c>
      <c r="J456" s="7" t="s">
        <v>325</v>
      </c>
    </row>
    <row r="457" spans="1:10" x14ac:dyDescent="0.35">
      <c r="A457" s="7" t="s">
        <v>31</v>
      </c>
      <c r="B457" s="7" t="s">
        <v>131</v>
      </c>
      <c r="C457" s="7" t="s">
        <v>65</v>
      </c>
      <c r="D457" s="9">
        <v>0.94</v>
      </c>
      <c r="E457" s="9">
        <v>3.44</v>
      </c>
      <c r="F457" s="9">
        <v>1.38</v>
      </c>
      <c r="G457" s="8">
        <v>2444.2800000000002</v>
      </c>
      <c r="H457" s="8">
        <v>8747.2900000000009</v>
      </c>
      <c r="I457" s="8">
        <v>3726.99</v>
      </c>
      <c r="J457" s="7" t="s">
        <v>325</v>
      </c>
    </row>
    <row r="458" spans="1:10" x14ac:dyDescent="0.35">
      <c r="A458" s="7" t="s">
        <v>23</v>
      </c>
      <c r="B458" s="7" t="s">
        <v>182</v>
      </c>
      <c r="C458" s="7" t="s">
        <v>22</v>
      </c>
      <c r="D458" s="9">
        <v>7.58</v>
      </c>
      <c r="E458" s="9">
        <v>6.72</v>
      </c>
      <c r="F458" s="9">
        <v>1.38</v>
      </c>
      <c r="G458" s="8">
        <v>1813.14</v>
      </c>
      <c r="H458" s="8">
        <v>1452.17</v>
      </c>
      <c r="I458" s="9">
        <v>247.08</v>
      </c>
      <c r="J458" s="7" t="s">
        <v>325</v>
      </c>
    </row>
    <row r="459" spans="1:10" x14ac:dyDescent="0.35">
      <c r="A459" s="7" t="s">
        <v>94</v>
      </c>
      <c r="B459" s="7" t="s">
        <v>112</v>
      </c>
      <c r="C459" s="7" t="s">
        <v>102</v>
      </c>
      <c r="D459" s="9">
        <v>2.2799999999999998</v>
      </c>
      <c r="E459" s="9">
        <v>4.34</v>
      </c>
      <c r="F459" s="9">
        <v>1.38</v>
      </c>
      <c r="G459" s="8">
        <v>14013.62</v>
      </c>
      <c r="H459" s="8">
        <v>26918.43</v>
      </c>
      <c r="I459" s="8">
        <v>10229.82</v>
      </c>
      <c r="J459" s="7" t="s">
        <v>325</v>
      </c>
    </row>
    <row r="460" spans="1:10" x14ac:dyDescent="0.35">
      <c r="A460" s="7" t="s">
        <v>20</v>
      </c>
      <c r="B460" s="7" t="s">
        <v>21</v>
      </c>
      <c r="C460" s="7" t="s">
        <v>126</v>
      </c>
      <c r="D460" s="9">
        <v>3.9</v>
      </c>
      <c r="E460" s="9">
        <v>2.7</v>
      </c>
      <c r="F460" s="9">
        <v>1.37</v>
      </c>
      <c r="G460" s="8">
        <v>5847.33</v>
      </c>
      <c r="H460" s="8">
        <v>3627.69</v>
      </c>
      <c r="I460" s="8">
        <v>1821.67</v>
      </c>
      <c r="J460" s="7" t="s">
        <v>325</v>
      </c>
    </row>
    <row r="461" spans="1:10" x14ac:dyDescent="0.35">
      <c r="A461" s="7" t="s">
        <v>16</v>
      </c>
      <c r="B461" s="7" t="s">
        <v>17</v>
      </c>
      <c r="C461" s="7" t="s">
        <v>113</v>
      </c>
      <c r="D461" s="9">
        <v>0.01</v>
      </c>
      <c r="E461" s="9">
        <v>1.22</v>
      </c>
      <c r="F461" s="9">
        <v>1.37</v>
      </c>
      <c r="G461" s="9">
        <v>3.03</v>
      </c>
      <c r="H461" s="8">
        <v>2295.23</v>
      </c>
      <c r="I461" s="8">
        <v>3866.71</v>
      </c>
      <c r="J461" s="7" t="s">
        <v>325</v>
      </c>
    </row>
    <row r="462" spans="1:10" x14ac:dyDescent="0.35">
      <c r="A462" s="7" t="s">
        <v>77</v>
      </c>
      <c r="B462" s="7" t="s">
        <v>157</v>
      </c>
      <c r="C462" s="7" t="s">
        <v>45</v>
      </c>
      <c r="D462" s="9">
        <v>4.76</v>
      </c>
      <c r="E462" s="9">
        <v>3.09</v>
      </c>
      <c r="F462" s="9">
        <v>1.37</v>
      </c>
      <c r="G462" s="8">
        <v>4714.43</v>
      </c>
      <c r="H462" s="8">
        <v>3023.07</v>
      </c>
      <c r="I462" s="9">
        <v>959.15</v>
      </c>
      <c r="J462" s="7" t="s">
        <v>325</v>
      </c>
    </row>
    <row r="463" spans="1:10" x14ac:dyDescent="0.35">
      <c r="A463" s="7" t="s">
        <v>31</v>
      </c>
      <c r="B463" s="7" t="s">
        <v>139</v>
      </c>
      <c r="C463" s="7" t="s">
        <v>113</v>
      </c>
      <c r="D463" s="9">
        <v>6.26</v>
      </c>
      <c r="E463" s="9">
        <v>1.24</v>
      </c>
      <c r="F463" s="9">
        <v>1.33</v>
      </c>
      <c r="G463" s="8">
        <v>21064.25</v>
      </c>
      <c r="H463" s="8">
        <v>4046.53</v>
      </c>
      <c r="I463" s="8">
        <v>4781.2</v>
      </c>
      <c r="J463" s="7" t="s">
        <v>325</v>
      </c>
    </row>
    <row r="464" spans="1:10" x14ac:dyDescent="0.35">
      <c r="A464" s="7" t="s">
        <v>57</v>
      </c>
      <c r="B464" s="7" t="s">
        <v>175</v>
      </c>
      <c r="C464" s="7" t="s">
        <v>53</v>
      </c>
      <c r="D464" s="9">
        <v>0.74</v>
      </c>
      <c r="E464" s="9">
        <v>5.46</v>
      </c>
      <c r="F464" s="9">
        <v>1.32</v>
      </c>
      <c r="G464" s="9">
        <v>573.72</v>
      </c>
      <c r="H464" s="8">
        <v>4020.54</v>
      </c>
      <c r="I464" s="9">
        <v>896.95</v>
      </c>
      <c r="J464" s="7" t="s">
        <v>325</v>
      </c>
    </row>
    <row r="465" spans="1:10" x14ac:dyDescent="0.35">
      <c r="A465" s="7" t="s">
        <v>16</v>
      </c>
      <c r="B465" s="7" t="s">
        <v>109</v>
      </c>
      <c r="C465" s="7" t="s">
        <v>53</v>
      </c>
      <c r="D465" s="9">
        <v>3.67</v>
      </c>
      <c r="E465" s="9">
        <v>3.96</v>
      </c>
      <c r="F465" s="9">
        <v>1.32</v>
      </c>
      <c r="G465" s="8">
        <v>5110.13</v>
      </c>
      <c r="H465" s="8">
        <v>4303.8999999999996</v>
      </c>
      <c r="I465" s="8">
        <v>1927.82</v>
      </c>
      <c r="J465" s="7" t="s">
        <v>325</v>
      </c>
    </row>
    <row r="466" spans="1:10" x14ac:dyDescent="0.35">
      <c r="A466" s="7" t="s">
        <v>16</v>
      </c>
      <c r="B466" s="7" t="s">
        <v>115</v>
      </c>
      <c r="C466" s="7" t="s">
        <v>72</v>
      </c>
      <c r="D466" s="9">
        <v>0</v>
      </c>
      <c r="E466" s="9">
        <v>2.33</v>
      </c>
      <c r="F466" s="9">
        <v>1.31</v>
      </c>
      <c r="G466" s="9">
        <v>0</v>
      </c>
      <c r="H466" s="9">
        <v>754.01</v>
      </c>
      <c r="I466" s="9">
        <v>334.45</v>
      </c>
      <c r="J466" s="7" t="s">
        <v>325</v>
      </c>
    </row>
    <row r="467" spans="1:10" x14ac:dyDescent="0.35">
      <c r="A467" s="7" t="s">
        <v>20</v>
      </c>
      <c r="B467" s="7" t="s">
        <v>134</v>
      </c>
      <c r="C467" s="7" t="s">
        <v>54</v>
      </c>
      <c r="D467" s="9">
        <v>0</v>
      </c>
      <c r="E467" s="9">
        <v>1.04</v>
      </c>
      <c r="F467" s="9">
        <v>1.31</v>
      </c>
      <c r="G467" s="9">
        <v>0</v>
      </c>
      <c r="H467" s="9">
        <v>615.16999999999996</v>
      </c>
      <c r="I467" s="9">
        <v>524.88</v>
      </c>
      <c r="J467" s="7" t="s">
        <v>325</v>
      </c>
    </row>
    <row r="468" spans="1:10" x14ac:dyDescent="0.35">
      <c r="A468" s="7" t="s">
        <v>40</v>
      </c>
      <c r="B468" s="7" t="s">
        <v>183</v>
      </c>
      <c r="C468" s="7" t="s">
        <v>122</v>
      </c>
      <c r="D468" s="9">
        <v>0.98</v>
      </c>
      <c r="E468" s="9">
        <v>5.92</v>
      </c>
      <c r="F468" s="9">
        <v>1.31</v>
      </c>
      <c r="G468" s="9">
        <v>212.62</v>
      </c>
      <c r="H468" s="8">
        <v>1056.96</v>
      </c>
      <c r="I468" s="9">
        <v>240.53</v>
      </c>
      <c r="J468" s="7" t="s">
        <v>325</v>
      </c>
    </row>
    <row r="469" spans="1:10" x14ac:dyDescent="0.35">
      <c r="A469" s="7" t="s">
        <v>31</v>
      </c>
      <c r="B469" s="7" t="s">
        <v>101</v>
      </c>
      <c r="C469" s="7" t="s">
        <v>69</v>
      </c>
      <c r="D469" s="9">
        <v>2.96</v>
      </c>
      <c r="E469" s="9">
        <v>4.83</v>
      </c>
      <c r="F469" s="9">
        <v>1.3</v>
      </c>
      <c r="G469" s="8">
        <v>3558.2</v>
      </c>
      <c r="H469" s="8">
        <v>4233.29</v>
      </c>
      <c r="I469" s="8">
        <v>1063.1400000000001</v>
      </c>
      <c r="J469" s="7" t="s">
        <v>325</v>
      </c>
    </row>
    <row r="470" spans="1:10" x14ac:dyDescent="0.35">
      <c r="A470" s="7" t="s">
        <v>40</v>
      </c>
      <c r="B470" s="7" t="s">
        <v>117</v>
      </c>
      <c r="C470" s="7" t="s">
        <v>42</v>
      </c>
      <c r="D470" s="9">
        <v>1.47</v>
      </c>
      <c r="E470" s="9">
        <v>2.66</v>
      </c>
      <c r="F470" s="9">
        <v>1.3</v>
      </c>
      <c r="G470" s="9">
        <v>923.63</v>
      </c>
      <c r="H470" s="8">
        <v>1940.99</v>
      </c>
      <c r="I470" s="9">
        <v>855.65</v>
      </c>
      <c r="J470" s="7" t="s">
        <v>325</v>
      </c>
    </row>
    <row r="471" spans="1:10" x14ac:dyDescent="0.35">
      <c r="A471" s="7" t="s">
        <v>40</v>
      </c>
      <c r="B471" s="7" t="s">
        <v>41</v>
      </c>
      <c r="C471" s="7" t="s">
        <v>151</v>
      </c>
      <c r="D471" s="9">
        <v>5.26</v>
      </c>
      <c r="E471" s="9">
        <v>7.25</v>
      </c>
      <c r="F471" s="9">
        <v>1.29</v>
      </c>
      <c r="G471" s="8">
        <v>4790.4399999999996</v>
      </c>
      <c r="H471" s="8">
        <v>9946.49</v>
      </c>
      <c r="I471" s="8">
        <v>2063.2800000000002</v>
      </c>
      <c r="J471" s="7" t="s">
        <v>325</v>
      </c>
    </row>
    <row r="472" spans="1:10" x14ac:dyDescent="0.35">
      <c r="A472" s="7" t="s">
        <v>35</v>
      </c>
      <c r="B472" s="7" t="s">
        <v>37</v>
      </c>
      <c r="C472" s="7" t="s">
        <v>39</v>
      </c>
      <c r="D472" s="9">
        <v>0.63</v>
      </c>
      <c r="E472" s="9">
        <v>0.97</v>
      </c>
      <c r="F472" s="9">
        <v>1.29</v>
      </c>
      <c r="G472" s="9">
        <v>300.11</v>
      </c>
      <c r="H472" s="9">
        <v>366.91</v>
      </c>
      <c r="I472" s="9">
        <v>544.05999999999995</v>
      </c>
      <c r="J472" s="7" t="s">
        <v>325</v>
      </c>
    </row>
    <row r="473" spans="1:10" x14ac:dyDescent="0.35">
      <c r="A473" s="7" t="s">
        <v>77</v>
      </c>
      <c r="B473" s="7" t="s">
        <v>132</v>
      </c>
      <c r="C473" s="7" t="s">
        <v>76</v>
      </c>
      <c r="D473" s="9">
        <v>1.1000000000000001</v>
      </c>
      <c r="E473" s="9">
        <v>1.78</v>
      </c>
      <c r="F473" s="9">
        <v>1.29</v>
      </c>
      <c r="G473" s="9">
        <v>547.73</v>
      </c>
      <c r="H473" s="9">
        <v>914.65</v>
      </c>
      <c r="I473" s="9">
        <v>456.11</v>
      </c>
      <c r="J473" s="7" t="s">
        <v>325</v>
      </c>
    </row>
    <row r="474" spans="1:10" x14ac:dyDescent="0.35">
      <c r="A474" s="7" t="s">
        <v>23</v>
      </c>
      <c r="B474" s="7" t="s">
        <v>148</v>
      </c>
      <c r="C474" s="7" t="s">
        <v>42</v>
      </c>
      <c r="D474" s="9">
        <v>3.08</v>
      </c>
      <c r="E474" s="9">
        <v>3.76</v>
      </c>
      <c r="F474" s="9">
        <v>1.27</v>
      </c>
      <c r="G474" s="9">
        <v>549.03</v>
      </c>
      <c r="H474" s="9">
        <v>239.73</v>
      </c>
      <c r="I474" s="9">
        <v>119.87</v>
      </c>
      <c r="J474" s="7" t="s">
        <v>325</v>
      </c>
    </row>
    <row r="475" spans="1:10" x14ac:dyDescent="0.35">
      <c r="A475" s="7" t="s">
        <v>35</v>
      </c>
      <c r="B475" s="7" t="s">
        <v>37</v>
      </c>
      <c r="C475" s="7" t="s">
        <v>72</v>
      </c>
      <c r="D475" s="9">
        <v>7.35</v>
      </c>
      <c r="E475" s="9">
        <v>1.07</v>
      </c>
      <c r="F475" s="9">
        <v>1.27</v>
      </c>
      <c r="G475" s="8">
        <v>1526.36</v>
      </c>
      <c r="H475" s="9">
        <v>223.66</v>
      </c>
      <c r="I475" s="9">
        <v>375</v>
      </c>
      <c r="J475" s="7" t="s">
        <v>325</v>
      </c>
    </row>
    <row r="476" spans="1:10" x14ac:dyDescent="0.35">
      <c r="A476" s="7" t="s">
        <v>20</v>
      </c>
      <c r="B476" s="7" t="s">
        <v>145</v>
      </c>
      <c r="C476" s="7" t="s">
        <v>45</v>
      </c>
      <c r="D476" s="9">
        <v>0</v>
      </c>
      <c r="E476" s="9">
        <v>15.32</v>
      </c>
      <c r="F476" s="9">
        <v>1.26</v>
      </c>
      <c r="G476" s="9">
        <v>0</v>
      </c>
      <c r="H476" s="8">
        <v>34806.71</v>
      </c>
      <c r="I476" s="8">
        <v>2754.17</v>
      </c>
      <c r="J476" s="7" t="s">
        <v>325</v>
      </c>
    </row>
    <row r="477" spans="1:10" x14ac:dyDescent="0.35">
      <c r="A477" s="7" t="s">
        <v>31</v>
      </c>
      <c r="B477" s="7" t="s">
        <v>141</v>
      </c>
      <c r="C477" s="7" t="s">
        <v>102</v>
      </c>
      <c r="D477" s="9">
        <v>13.92</v>
      </c>
      <c r="E477" s="9">
        <v>5.47</v>
      </c>
      <c r="F477" s="9">
        <v>1.26</v>
      </c>
      <c r="G477" s="8">
        <v>58286.8</v>
      </c>
      <c r="H477" s="8">
        <v>18682.2</v>
      </c>
      <c r="I477" s="8">
        <v>4316.66</v>
      </c>
      <c r="J477" s="7" t="s">
        <v>325</v>
      </c>
    </row>
    <row r="478" spans="1:10" x14ac:dyDescent="0.35">
      <c r="A478" s="7" t="s">
        <v>94</v>
      </c>
      <c r="B478" s="7" t="s">
        <v>184</v>
      </c>
      <c r="C478" s="7" t="s">
        <v>27</v>
      </c>
      <c r="D478" s="9">
        <v>0.51</v>
      </c>
      <c r="E478" s="9">
        <v>3.51</v>
      </c>
      <c r="F478" s="9">
        <v>1.25</v>
      </c>
      <c r="G478" s="8">
        <v>1912.55</v>
      </c>
      <c r="H478" s="8">
        <v>12514.03</v>
      </c>
      <c r="I478" s="8">
        <v>4206.3500000000004</v>
      </c>
      <c r="J478" s="7" t="s">
        <v>325</v>
      </c>
    </row>
    <row r="479" spans="1:10" x14ac:dyDescent="0.35">
      <c r="A479" s="7" t="s">
        <v>40</v>
      </c>
      <c r="B479" s="7" t="s">
        <v>164</v>
      </c>
      <c r="C479" s="7" t="s">
        <v>45</v>
      </c>
      <c r="D479" s="9">
        <v>1.4</v>
      </c>
      <c r="E479" s="9">
        <v>1.55</v>
      </c>
      <c r="F479" s="9">
        <v>1.25</v>
      </c>
      <c r="G479" s="9">
        <v>874.81</v>
      </c>
      <c r="H479" s="8">
        <v>1145.93</v>
      </c>
      <c r="I479" s="9">
        <v>827.56</v>
      </c>
      <c r="J479" s="7" t="s">
        <v>325</v>
      </c>
    </row>
    <row r="480" spans="1:10" x14ac:dyDescent="0.35">
      <c r="A480" s="7" t="s">
        <v>23</v>
      </c>
      <c r="B480" s="7" t="s">
        <v>185</v>
      </c>
      <c r="C480" s="7" t="s">
        <v>55</v>
      </c>
      <c r="D480" s="9">
        <v>0.67</v>
      </c>
      <c r="E480" s="9">
        <v>3.09</v>
      </c>
      <c r="F480" s="9">
        <v>1.25</v>
      </c>
      <c r="G480" s="8">
        <v>3725.76</v>
      </c>
      <c r="H480" s="8">
        <v>11025.6</v>
      </c>
      <c r="I480" s="8">
        <v>4767.82</v>
      </c>
      <c r="J480" s="7" t="s">
        <v>325</v>
      </c>
    </row>
    <row r="481" spans="1:10" x14ac:dyDescent="0.35">
      <c r="A481" s="7" t="s">
        <v>66</v>
      </c>
      <c r="B481" s="7" t="s">
        <v>108</v>
      </c>
      <c r="C481" s="7" t="s">
        <v>39</v>
      </c>
      <c r="D481" s="9">
        <v>8.06</v>
      </c>
      <c r="E481" s="9">
        <v>5.48</v>
      </c>
      <c r="F481" s="9">
        <v>1.24</v>
      </c>
      <c r="G481" s="8">
        <v>4634.34</v>
      </c>
      <c r="H481" s="8">
        <v>2682.45</v>
      </c>
      <c r="I481" s="9">
        <v>717.91</v>
      </c>
      <c r="J481" s="7" t="s">
        <v>325</v>
      </c>
    </row>
    <row r="482" spans="1:10" x14ac:dyDescent="0.35">
      <c r="A482" s="7" t="s">
        <v>74</v>
      </c>
      <c r="B482" s="7" t="s">
        <v>75</v>
      </c>
      <c r="C482" s="7" t="s">
        <v>144</v>
      </c>
      <c r="D482" s="9">
        <v>3.2</v>
      </c>
      <c r="E482" s="9">
        <v>0.87</v>
      </c>
      <c r="F482" s="9">
        <v>1.24</v>
      </c>
      <c r="G482" s="8">
        <v>1781.52</v>
      </c>
      <c r="H482" s="9">
        <v>386.52</v>
      </c>
      <c r="I482" s="9">
        <v>597.99</v>
      </c>
      <c r="J482" s="7" t="s">
        <v>325</v>
      </c>
    </row>
    <row r="483" spans="1:10" x14ac:dyDescent="0.35">
      <c r="A483" s="7" t="s">
        <v>40</v>
      </c>
      <c r="B483" s="7" t="s">
        <v>85</v>
      </c>
      <c r="C483" s="7" t="s">
        <v>51</v>
      </c>
      <c r="D483" s="9">
        <v>0.3</v>
      </c>
      <c r="E483" s="9">
        <v>1.91</v>
      </c>
      <c r="F483" s="9">
        <v>1.23</v>
      </c>
      <c r="G483" s="9">
        <v>221.85</v>
      </c>
      <c r="H483" s="8">
        <v>1342.46</v>
      </c>
      <c r="I483" s="9">
        <v>836.72</v>
      </c>
      <c r="J483" s="7" t="s">
        <v>325</v>
      </c>
    </row>
    <row r="484" spans="1:10" x14ac:dyDescent="0.35">
      <c r="A484" s="7" t="s">
        <v>23</v>
      </c>
      <c r="B484" s="7" t="s">
        <v>123</v>
      </c>
      <c r="C484" s="7" t="s">
        <v>59</v>
      </c>
      <c r="D484" s="9">
        <v>9.26</v>
      </c>
      <c r="E484" s="9">
        <v>6.63</v>
      </c>
      <c r="F484" s="9">
        <v>1.23</v>
      </c>
      <c r="G484" s="8">
        <v>1234.02</v>
      </c>
      <c r="H484" s="8">
        <v>1162.21</v>
      </c>
      <c r="I484" s="9">
        <v>169.73</v>
      </c>
      <c r="J484" s="7" t="s">
        <v>325</v>
      </c>
    </row>
    <row r="485" spans="1:10" x14ac:dyDescent="0.35">
      <c r="A485" s="7" t="s">
        <v>20</v>
      </c>
      <c r="B485" s="7" t="s">
        <v>173</v>
      </c>
      <c r="C485" s="7" t="s">
        <v>39</v>
      </c>
      <c r="D485" s="9">
        <v>1.0900000000000001</v>
      </c>
      <c r="E485" s="9">
        <v>1.47</v>
      </c>
      <c r="F485" s="9">
        <v>1.22</v>
      </c>
      <c r="G485" s="9">
        <v>366.58</v>
      </c>
      <c r="H485" s="9">
        <v>499.63</v>
      </c>
      <c r="I485" s="9">
        <v>281.44</v>
      </c>
      <c r="J485" s="7" t="s">
        <v>325</v>
      </c>
    </row>
    <row r="486" spans="1:10" x14ac:dyDescent="0.35">
      <c r="A486" s="7" t="s">
        <v>79</v>
      </c>
      <c r="B486" s="7" t="s">
        <v>91</v>
      </c>
      <c r="C486" s="7" t="s">
        <v>59</v>
      </c>
      <c r="D486" s="9">
        <v>3.39</v>
      </c>
      <c r="E486" s="9">
        <v>5.04</v>
      </c>
      <c r="F486" s="9">
        <v>1.22</v>
      </c>
      <c r="G486" s="8">
        <v>1654.4</v>
      </c>
      <c r="H486" s="8">
        <v>2322.12</v>
      </c>
      <c r="I486" s="9">
        <v>577.32000000000005</v>
      </c>
      <c r="J486" s="7" t="s">
        <v>325</v>
      </c>
    </row>
    <row r="487" spans="1:10" x14ac:dyDescent="0.35">
      <c r="A487" s="7" t="s">
        <v>57</v>
      </c>
      <c r="B487" s="7" t="s">
        <v>161</v>
      </c>
      <c r="C487" s="7" t="s">
        <v>59</v>
      </c>
      <c r="D487" s="9">
        <v>4.4000000000000004</v>
      </c>
      <c r="E487" s="9">
        <v>4.5599999999999996</v>
      </c>
      <c r="F487" s="9">
        <v>1.22</v>
      </c>
      <c r="G487" s="8">
        <v>2798.23</v>
      </c>
      <c r="H487" s="8">
        <v>2965.42</v>
      </c>
      <c r="I487" s="9">
        <v>728.34</v>
      </c>
      <c r="J487" s="7" t="s">
        <v>325</v>
      </c>
    </row>
    <row r="488" spans="1:10" x14ac:dyDescent="0.35">
      <c r="A488" s="7" t="s">
        <v>129</v>
      </c>
      <c r="B488" s="7" t="s">
        <v>147</v>
      </c>
      <c r="C488" s="7" t="s">
        <v>51</v>
      </c>
      <c r="D488" s="9">
        <v>4.82</v>
      </c>
      <c r="E488" s="9">
        <v>6.13</v>
      </c>
      <c r="F488" s="9">
        <v>1.22</v>
      </c>
      <c r="G488" s="8">
        <v>5005.99</v>
      </c>
      <c r="H488" s="8">
        <v>6698.36</v>
      </c>
      <c r="I488" s="8">
        <v>1127.8900000000001</v>
      </c>
      <c r="J488" s="7" t="s">
        <v>325</v>
      </c>
    </row>
    <row r="489" spans="1:10" x14ac:dyDescent="0.35">
      <c r="A489" s="7" t="s">
        <v>79</v>
      </c>
      <c r="B489" s="7" t="s">
        <v>91</v>
      </c>
      <c r="C489" s="7" t="s">
        <v>42</v>
      </c>
      <c r="D489" s="9">
        <v>7.44</v>
      </c>
      <c r="E489" s="9">
        <v>9.4499999999999993</v>
      </c>
      <c r="F489" s="9">
        <v>1.21</v>
      </c>
      <c r="G489" s="8">
        <v>5161.08</v>
      </c>
      <c r="H489" s="8">
        <v>7381.88</v>
      </c>
      <c r="I489" s="9">
        <v>901.09</v>
      </c>
      <c r="J489" s="7" t="s">
        <v>325</v>
      </c>
    </row>
    <row r="490" spans="1:10" x14ac:dyDescent="0.35">
      <c r="A490" s="7" t="s">
        <v>23</v>
      </c>
      <c r="B490" s="7" t="s">
        <v>124</v>
      </c>
      <c r="C490" s="7" t="s">
        <v>45</v>
      </c>
      <c r="D490" s="9">
        <v>0</v>
      </c>
      <c r="E490" s="9">
        <v>3.86</v>
      </c>
      <c r="F490" s="9">
        <v>1.2</v>
      </c>
      <c r="G490" s="9">
        <v>0</v>
      </c>
      <c r="H490" s="8">
        <v>12806.73</v>
      </c>
      <c r="I490" s="8">
        <v>5585.93</v>
      </c>
      <c r="J490" s="7" t="s">
        <v>325</v>
      </c>
    </row>
    <row r="491" spans="1:10" x14ac:dyDescent="0.35">
      <c r="A491" s="7" t="s">
        <v>31</v>
      </c>
      <c r="B491" s="7" t="s">
        <v>171</v>
      </c>
      <c r="C491" s="7" t="s">
        <v>113</v>
      </c>
      <c r="D491" s="9">
        <v>0</v>
      </c>
      <c r="E491" s="9">
        <v>0</v>
      </c>
      <c r="F491" s="9">
        <v>1.19</v>
      </c>
      <c r="G491" s="9">
        <v>0</v>
      </c>
      <c r="H491" s="9">
        <v>0</v>
      </c>
      <c r="I491" s="8">
        <v>4714.95</v>
      </c>
      <c r="J491" s="7" t="s">
        <v>325</v>
      </c>
    </row>
    <row r="492" spans="1:10" x14ac:dyDescent="0.35">
      <c r="A492" s="7" t="s">
        <v>74</v>
      </c>
      <c r="B492" s="7" t="s">
        <v>75</v>
      </c>
      <c r="C492" s="7" t="s">
        <v>174</v>
      </c>
      <c r="D492" s="9">
        <v>3.07</v>
      </c>
      <c r="E492" s="9">
        <v>2.92</v>
      </c>
      <c r="F492" s="9">
        <v>1.18</v>
      </c>
      <c r="G492" s="9">
        <v>466.97</v>
      </c>
      <c r="H492" s="9">
        <v>615.26</v>
      </c>
      <c r="I492" s="9">
        <v>201.75</v>
      </c>
      <c r="J492" s="7" t="s">
        <v>325</v>
      </c>
    </row>
    <row r="493" spans="1:10" x14ac:dyDescent="0.35">
      <c r="A493" s="7" t="s">
        <v>20</v>
      </c>
      <c r="B493" s="7" t="s">
        <v>21</v>
      </c>
      <c r="C493" s="7" t="s">
        <v>84</v>
      </c>
      <c r="D493" s="9">
        <v>2.79</v>
      </c>
      <c r="E493" s="9">
        <v>1.19</v>
      </c>
      <c r="F493" s="9">
        <v>1.17</v>
      </c>
      <c r="G493" s="9">
        <v>435.27</v>
      </c>
      <c r="H493" s="9">
        <v>207.76</v>
      </c>
      <c r="I493" s="9">
        <v>137.96</v>
      </c>
      <c r="J493" s="7" t="s">
        <v>325</v>
      </c>
    </row>
    <row r="494" spans="1:10" x14ac:dyDescent="0.35">
      <c r="A494" s="7" t="s">
        <v>16</v>
      </c>
      <c r="B494" s="7" t="s">
        <v>115</v>
      </c>
      <c r="C494" s="7" t="s">
        <v>39</v>
      </c>
      <c r="D494" s="9">
        <v>0.11</v>
      </c>
      <c r="E494" s="9">
        <v>0.69</v>
      </c>
      <c r="F494" s="9">
        <v>1.1599999999999999</v>
      </c>
      <c r="G494" s="9">
        <v>103.44</v>
      </c>
      <c r="H494" s="9">
        <v>448.24</v>
      </c>
      <c r="I494" s="9">
        <v>732.08</v>
      </c>
      <c r="J494" s="7" t="s">
        <v>325</v>
      </c>
    </row>
    <row r="495" spans="1:10" x14ac:dyDescent="0.35">
      <c r="A495" s="7" t="s">
        <v>66</v>
      </c>
      <c r="B495" s="7" t="s">
        <v>108</v>
      </c>
      <c r="C495" s="7" t="s">
        <v>69</v>
      </c>
      <c r="D495" s="9">
        <v>1.02</v>
      </c>
      <c r="E495" s="9">
        <v>1.1399999999999999</v>
      </c>
      <c r="F495" s="9">
        <v>1.1599999999999999</v>
      </c>
      <c r="G495" s="9">
        <v>87.59</v>
      </c>
      <c r="H495" s="9">
        <v>96.86</v>
      </c>
      <c r="I495" s="9">
        <v>190.51</v>
      </c>
      <c r="J495" s="7" t="s">
        <v>325</v>
      </c>
    </row>
    <row r="496" spans="1:10" x14ac:dyDescent="0.35">
      <c r="A496" s="7" t="s">
        <v>20</v>
      </c>
      <c r="B496" s="7" t="s">
        <v>173</v>
      </c>
      <c r="C496" s="7" t="s">
        <v>42</v>
      </c>
      <c r="D496" s="9">
        <v>2.87</v>
      </c>
      <c r="E496" s="9">
        <v>3.81</v>
      </c>
      <c r="F496" s="9">
        <v>1.1399999999999999</v>
      </c>
      <c r="G496" s="8">
        <v>4077.49</v>
      </c>
      <c r="H496" s="8">
        <v>5248.43</v>
      </c>
      <c r="I496" s="8">
        <v>1716.32</v>
      </c>
      <c r="J496" s="7" t="s">
        <v>325</v>
      </c>
    </row>
    <row r="497" spans="1:10" x14ac:dyDescent="0.35">
      <c r="A497" s="7" t="s">
        <v>23</v>
      </c>
      <c r="B497" s="7" t="s">
        <v>185</v>
      </c>
      <c r="C497" s="7" t="s">
        <v>27</v>
      </c>
      <c r="D497" s="9">
        <v>1.06</v>
      </c>
      <c r="E497" s="9">
        <v>14.22</v>
      </c>
      <c r="F497" s="9">
        <v>1.1399999999999999</v>
      </c>
      <c r="G497" s="8">
        <v>5786.8</v>
      </c>
      <c r="H497" s="8">
        <v>61018.46</v>
      </c>
      <c r="I497" s="8">
        <v>4811.8900000000003</v>
      </c>
      <c r="J497" s="7" t="s">
        <v>325</v>
      </c>
    </row>
    <row r="498" spans="1:10" x14ac:dyDescent="0.35">
      <c r="A498" s="7" t="s">
        <v>40</v>
      </c>
      <c r="B498" s="7" t="s">
        <v>183</v>
      </c>
      <c r="C498" s="7" t="s">
        <v>72</v>
      </c>
      <c r="D498" s="9">
        <v>0.03</v>
      </c>
      <c r="E498" s="9">
        <v>0.82</v>
      </c>
      <c r="F498" s="9">
        <v>1.1399999999999999</v>
      </c>
      <c r="G498" s="9">
        <v>4</v>
      </c>
      <c r="H498" s="9">
        <v>814.48</v>
      </c>
      <c r="I498" s="8">
        <v>1003.44</v>
      </c>
      <c r="J498" s="7" t="s">
        <v>325</v>
      </c>
    </row>
    <row r="499" spans="1:10" x14ac:dyDescent="0.35">
      <c r="A499" s="7" t="s">
        <v>94</v>
      </c>
      <c r="B499" s="7" t="s">
        <v>112</v>
      </c>
      <c r="C499" s="7" t="s">
        <v>39</v>
      </c>
      <c r="D499" s="9">
        <v>2.84</v>
      </c>
      <c r="E499" s="9">
        <v>3.52</v>
      </c>
      <c r="F499" s="9">
        <v>1.1399999999999999</v>
      </c>
      <c r="G499" s="8">
        <v>4224.83</v>
      </c>
      <c r="H499" s="8">
        <v>5697.07</v>
      </c>
      <c r="I499" s="8">
        <v>2180</v>
      </c>
      <c r="J499" s="7" t="s">
        <v>325</v>
      </c>
    </row>
    <row r="500" spans="1:10" x14ac:dyDescent="0.35">
      <c r="A500" s="7" t="s">
        <v>57</v>
      </c>
      <c r="B500" s="7" t="s">
        <v>162</v>
      </c>
      <c r="C500" s="7" t="s">
        <v>33</v>
      </c>
      <c r="D500" s="9">
        <v>0.43</v>
      </c>
      <c r="E500" s="9">
        <v>0.59</v>
      </c>
      <c r="F500" s="9">
        <v>1.1299999999999999</v>
      </c>
      <c r="G500" s="9">
        <v>339.56</v>
      </c>
      <c r="H500" s="9">
        <v>449.48</v>
      </c>
      <c r="I500" s="8">
        <v>1085.22</v>
      </c>
      <c r="J500" s="7" t="s">
        <v>325</v>
      </c>
    </row>
    <row r="501" spans="1:10" x14ac:dyDescent="0.35">
      <c r="A501" s="7" t="s">
        <v>159</v>
      </c>
      <c r="B501" s="7" t="s">
        <v>186</v>
      </c>
      <c r="C501" s="7" t="s">
        <v>27</v>
      </c>
      <c r="D501" s="9">
        <v>1.75</v>
      </c>
      <c r="E501" s="9">
        <v>3.1</v>
      </c>
      <c r="F501" s="9">
        <v>1.1299999999999999</v>
      </c>
      <c r="G501" s="8">
        <v>4170.2</v>
      </c>
      <c r="H501" s="8">
        <v>7343.27</v>
      </c>
      <c r="I501" s="8">
        <v>2909.5</v>
      </c>
      <c r="J501" s="7" t="s">
        <v>325</v>
      </c>
    </row>
    <row r="502" spans="1:10" x14ac:dyDescent="0.35">
      <c r="A502" s="7" t="s">
        <v>31</v>
      </c>
      <c r="B502" s="7" t="s">
        <v>131</v>
      </c>
      <c r="C502" s="7" t="s">
        <v>116</v>
      </c>
      <c r="D502" s="9">
        <v>0.6</v>
      </c>
      <c r="E502" s="9">
        <v>1.73</v>
      </c>
      <c r="F502" s="9">
        <v>1.1299999999999999</v>
      </c>
      <c r="G502" s="8">
        <v>2596.1799999999998</v>
      </c>
      <c r="H502" s="8">
        <v>8989.2199999999993</v>
      </c>
      <c r="I502" s="8">
        <v>5746.48</v>
      </c>
      <c r="J502" s="7" t="s">
        <v>325</v>
      </c>
    </row>
    <row r="503" spans="1:10" x14ac:dyDescent="0.35">
      <c r="A503" s="7" t="s">
        <v>23</v>
      </c>
      <c r="B503" s="7" t="s">
        <v>34</v>
      </c>
      <c r="C503" s="7" t="s">
        <v>39</v>
      </c>
      <c r="D503" s="9">
        <v>0.34</v>
      </c>
      <c r="E503" s="9">
        <v>1.76</v>
      </c>
      <c r="F503" s="9">
        <v>1.1299999999999999</v>
      </c>
      <c r="G503" s="9">
        <v>115.82</v>
      </c>
      <c r="H503" s="9">
        <v>661.47</v>
      </c>
      <c r="I503" s="9">
        <v>514.47</v>
      </c>
      <c r="J503" s="7" t="s">
        <v>325</v>
      </c>
    </row>
    <row r="504" spans="1:10" ht="26.25" customHeight="1" x14ac:dyDescent="0.35">
      <c r="A504" s="7" t="s">
        <v>74</v>
      </c>
      <c r="B504" s="7" t="s">
        <v>75</v>
      </c>
      <c r="C504" s="7" t="s">
        <v>81</v>
      </c>
      <c r="D504" s="9">
        <v>3.76</v>
      </c>
      <c r="E504" s="9">
        <v>6.13</v>
      </c>
      <c r="F504" s="9">
        <v>1.1200000000000001</v>
      </c>
      <c r="G504" s="8">
        <v>3513.9</v>
      </c>
      <c r="H504" s="8">
        <v>6556.2</v>
      </c>
      <c r="I504" s="8">
        <v>1088.75</v>
      </c>
      <c r="J504" s="7" t="s">
        <v>325</v>
      </c>
    </row>
    <row r="505" spans="1:10" x14ac:dyDescent="0.35">
      <c r="A505" s="7" t="s">
        <v>94</v>
      </c>
      <c r="B505" s="7" t="s">
        <v>112</v>
      </c>
      <c r="C505" s="7" t="s">
        <v>55</v>
      </c>
      <c r="D505" s="9">
        <v>0.85</v>
      </c>
      <c r="E505" s="9">
        <v>2.86</v>
      </c>
      <c r="F505" s="9">
        <v>1.1200000000000001</v>
      </c>
      <c r="G505" s="8">
        <v>3427.19</v>
      </c>
      <c r="H505" s="8">
        <v>14554.76</v>
      </c>
      <c r="I505" s="8">
        <v>6606.26</v>
      </c>
      <c r="J505" s="7" t="s">
        <v>325</v>
      </c>
    </row>
    <row r="506" spans="1:10" x14ac:dyDescent="0.35">
      <c r="A506" s="7" t="s">
        <v>66</v>
      </c>
      <c r="B506" s="7" t="s">
        <v>71</v>
      </c>
      <c r="C506" s="7" t="s">
        <v>48</v>
      </c>
      <c r="D506" s="9">
        <v>10.86</v>
      </c>
      <c r="E506" s="9">
        <v>4.3499999999999996</v>
      </c>
      <c r="F506" s="9">
        <v>1.1200000000000001</v>
      </c>
      <c r="G506" s="8">
        <v>6619.84</v>
      </c>
      <c r="H506" s="8">
        <v>2392.79</v>
      </c>
      <c r="I506" s="9">
        <v>785.53</v>
      </c>
      <c r="J506" s="7" t="s">
        <v>325</v>
      </c>
    </row>
    <row r="507" spans="1:10" x14ac:dyDescent="0.35">
      <c r="A507" s="7" t="s">
        <v>40</v>
      </c>
      <c r="B507" s="7" t="s">
        <v>107</v>
      </c>
      <c r="C507" s="7" t="s">
        <v>45</v>
      </c>
      <c r="D507" s="9">
        <v>0.53</v>
      </c>
      <c r="E507" s="9">
        <v>1.79</v>
      </c>
      <c r="F507" s="9">
        <v>1.1000000000000001</v>
      </c>
      <c r="G507" s="9">
        <v>439.85</v>
      </c>
      <c r="H507" s="8">
        <v>1910.76</v>
      </c>
      <c r="I507" s="8">
        <v>1193.98</v>
      </c>
      <c r="J507" s="7" t="s">
        <v>325</v>
      </c>
    </row>
    <row r="508" spans="1:10" x14ac:dyDescent="0.35">
      <c r="A508" s="7" t="s">
        <v>35</v>
      </c>
      <c r="B508" s="7" t="s">
        <v>96</v>
      </c>
      <c r="C508" s="7" t="s">
        <v>27</v>
      </c>
      <c r="D508" s="9">
        <v>2.57</v>
      </c>
      <c r="E508" s="9">
        <v>6.39</v>
      </c>
      <c r="F508" s="9">
        <v>1.1000000000000001</v>
      </c>
      <c r="G508" s="8">
        <v>4456.21</v>
      </c>
      <c r="H508" s="8">
        <v>10814.31</v>
      </c>
      <c r="I508" s="8">
        <v>1846.1</v>
      </c>
      <c r="J508" s="7" t="s">
        <v>325</v>
      </c>
    </row>
    <row r="509" spans="1:10" x14ac:dyDescent="0.35">
      <c r="A509" s="7" t="s">
        <v>31</v>
      </c>
      <c r="B509" s="7" t="s">
        <v>139</v>
      </c>
      <c r="C509" s="7" t="s">
        <v>102</v>
      </c>
      <c r="D509" s="9">
        <v>9.26</v>
      </c>
      <c r="E509" s="9">
        <v>5.33</v>
      </c>
      <c r="F509" s="9">
        <v>1.0900000000000001</v>
      </c>
      <c r="G509" s="8">
        <v>54509.45</v>
      </c>
      <c r="H509" s="8">
        <v>30404.52</v>
      </c>
      <c r="I509" s="8">
        <v>6589.67</v>
      </c>
      <c r="J509" s="7" t="s">
        <v>325</v>
      </c>
    </row>
    <row r="510" spans="1:10" x14ac:dyDescent="0.35">
      <c r="A510" s="7" t="s">
        <v>49</v>
      </c>
      <c r="B510" s="7" t="s">
        <v>176</v>
      </c>
      <c r="C510" s="7" t="s">
        <v>65</v>
      </c>
      <c r="D510" s="9">
        <v>0.98</v>
      </c>
      <c r="E510" s="9">
        <v>3.54</v>
      </c>
      <c r="F510" s="9">
        <v>1.08</v>
      </c>
      <c r="G510" s="8">
        <v>1554.73</v>
      </c>
      <c r="H510" s="8">
        <v>6957.63</v>
      </c>
      <c r="I510" s="8">
        <v>2091.0100000000002</v>
      </c>
      <c r="J510" s="7" t="s">
        <v>325</v>
      </c>
    </row>
    <row r="511" spans="1:10" x14ac:dyDescent="0.35">
      <c r="A511" s="7" t="s">
        <v>23</v>
      </c>
      <c r="B511" s="7" t="s">
        <v>187</v>
      </c>
      <c r="C511" s="7" t="s">
        <v>39</v>
      </c>
      <c r="D511" s="9">
        <v>0.03</v>
      </c>
      <c r="E511" s="9">
        <v>0.56000000000000005</v>
      </c>
      <c r="F511" s="9">
        <v>1.08</v>
      </c>
      <c r="G511" s="9">
        <v>3.53</v>
      </c>
      <c r="H511" s="9">
        <v>21.77</v>
      </c>
      <c r="I511" s="9">
        <v>32.51</v>
      </c>
      <c r="J511" s="7" t="s">
        <v>325</v>
      </c>
    </row>
    <row r="512" spans="1:10" x14ac:dyDescent="0.35">
      <c r="A512" s="7" t="s">
        <v>23</v>
      </c>
      <c r="B512" s="7" t="s">
        <v>44</v>
      </c>
      <c r="C512" s="7" t="s">
        <v>118</v>
      </c>
      <c r="D512" s="9">
        <v>2.15</v>
      </c>
      <c r="E512" s="9">
        <v>2.35</v>
      </c>
      <c r="F512" s="9">
        <v>1.08</v>
      </c>
      <c r="G512" s="8">
        <v>1115.4000000000001</v>
      </c>
      <c r="H512" s="8">
        <v>1303.3399999999999</v>
      </c>
      <c r="I512" s="9">
        <v>731.55</v>
      </c>
      <c r="J512" s="7" t="s">
        <v>325</v>
      </c>
    </row>
    <row r="513" spans="1:10" x14ac:dyDescent="0.35">
      <c r="A513" s="7" t="s">
        <v>16</v>
      </c>
      <c r="B513" s="7" t="s">
        <v>105</v>
      </c>
      <c r="C513" s="7" t="s">
        <v>59</v>
      </c>
      <c r="D513" s="9">
        <v>0</v>
      </c>
      <c r="E513" s="9">
        <v>2.8</v>
      </c>
      <c r="F513" s="9">
        <v>1.07</v>
      </c>
      <c r="G513" s="9">
        <v>0</v>
      </c>
      <c r="H513" s="9">
        <v>230.33</v>
      </c>
      <c r="I513" s="9">
        <v>98.54</v>
      </c>
      <c r="J513" s="7" t="s">
        <v>325</v>
      </c>
    </row>
    <row r="514" spans="1:10" x14ac:dyDescent="0.35">
      <c r="A514" s="7" t="s">
        <v>40</v>
      </c>
      <c r="B514" s="7" t="s">
        <v>183</v>
      </c>
      <c r="C514" s="7" t="s">
        <v>128</v>
      </c>
      <c r="D514" s="9">
        <v>0.1</v>
      </c>
      <c r="E514" s="9">
        <v>6.44</v>
      </c>
      <c r="F514" s="9">
        <v>1.07</v>
      </c>
      <c r="G514" s="9">
        <v>14.3</v>
      </c>
      <c r="H514" s="9">
        <v>866.79</v>
      </c>
      <c r="I514" s="9">
        <v>136.5</v>
      </c>
      <c r="J514" s="7" t="s">
        <v>325</v>
      </c>
    </row>
    <row r="515" spans="1:10" x14ac:dyDescent="0.35">
      <c r="A515" s="7" t="s">
        <v>20</v>
      </c>
      <c r="B515" s="7" t="s">
        <v>68</v>
      </c>
      <c r="C515" s="7" t="s">
        <v>110</v>
      </c>
      <c r="D515" s="9">
        <v>2.35</v>
      </c>
      <c r="E515" s="9">
        <v>2.79</v>
      </c>
      <c r="F515" s="9">
        <v>1.07</v>
      </c>
      <c r="G515" s="8">
        <v>5813.86</v>
      </c>
      <c r="H515" s="8">
        <v>4485.28</v>
      </c>
      <c r="I515" s="8">
        <v>1580.07</v>
      </c>
      <c r="J515" s="7" t="s">
        <v>325</v>
      </c>
    </row>
    <row r="516" spans="1:10" ht="26.25" customHeight="1" x14ac:dyDescent="0.35">
      <c r="A516" s="7" t="s">
        <v>31</v>
      </c>
      <c r="B516" s="7" t="s">
        <v>146</v>
      </c>
      <c r="C516" s="7" t="s">
        <v>51</v>
      </c>
      <c r="D516" s="9">
        <v>5.35</v>
      </c>
      <c r="E516" s="9">
        <v>4.3</v>
      </c>
      <c r="F516" s="9">
        <v>1.07</v>
      </c>
      <c r="G516" s="8">
        <v>7146.77</v>
      </c>
      <c r="H516" s="8">
        <v>5809.53</v>
      </c>
      <c r="I516" s="8">
        <v>1389.38</v>
      </c>
      <c r="J516" s="7" t="s">
        <v>325</v>
      </c>
    </row>
    <row r="517" spans="1:10" x14ac:dyDescent="0.35">
      <c r="A517" s="7" t="s">
        <v>57</v>
      </c>
      <c r="B517" s="7" t="s">
        <v>58</v>
      </c>
      <c r="C517" s="7" t="s">
        <v>39</v>
      </c>
      <c r="D517" s="9">
        <v>6.24</v>
      </c>
      <c r="E517" s="9">
        <v>4.79</v>
      </c>
      <c r="F517" s="9">
        <v>1.06</v>
      </c>
      <c r="G517" s="8">
        <v>6383.57</v>
      </c>
      <c r="H517" s="8">
        <v>5879.86</v>
      </c>
      <c r="I517" s="8">
        <v>1285.2</v>
      </c>
      <c r="J517" s="7" t="s">
        <v>325</v>
      </c>
    </row>
    <row r="518" spans="1:10" x14ac:dyDescent="0.35">
      <c r="A518" s="7" t="s">
        <v>40</v>
      </c>
      <c r="B518" s="7" t="s">
        <v>117</v>
      </c>
      <c r="C518" s="7" t="s">
        <v>128</v>
      </c>
      <c r="D518" s="9">
        <v>0</v>
      </c>
      <c r="E518" s="9">
        <v>0.67</v>
      </c>
      <c r="F518" s="9">
        <v>1.06</v>
      </c>
      <c r="G518" s="9">
        <v>0</v>
      </c>
      <c r="H518" s="9">
        <v>166.85</v>
      </c>
      <c r="I518" s="9">
        <v>216.66</v>
      </c>
      <c r="J518" s="7" t="s">
        <v>325</v>
      </c>
    </row>
    <row r="519" spans="1:10" x14ac:dyDescent="0.35">
      <c r="A519" s="7" t="s">
        <v>94</v>
      </c>
      <c r="B519" s="7" t="s">
        <v>188</v>
      </c>
      <c r="C519" s="7" t="s">
        <v>102</v>
      </c>
      <c r="D519" s="9">
        <v>6.17</v>
      </c>
      <c r="E519" s="9">
        <v>6.16</v>
      </c>
      <c r="F519" s="9">
        <v>1.06</v>
      </c>
      <c r="G519" s="8">
        <v>41919.230000000003</v>
      </c>
      <c r="H519" s="8">
        <v>40625.230000000003</v>
      </c>
      <c r="I519" s="8">
        <v>8845.58</v>
      </c>
      <c r="J519" s="7" t="s">
        <v>325</v>
      </c>
    </row>
    <row r="520" spans="1:10" x14ac:dyDescent="0.35">
      <c r="A520" s="7" t="s">
        <v>35</v>
      </c>
      <c r="B520" s="7" t="s">
        <v>38</v>
      </c>
      <c r="C520" s="7" t="s">
        <v>126</v>
      </c>
      <c r="D520" s="9">
        <v>0.12</v>
      </c>
      <c r="E520" s="9">
        <v>0.95</v>
      </c>
      <c r="F520" s="9">
        <v>1.06</v>
      </c>
      <c r="G520" s="9">
        <v>62.23</v>
      </c>
      <c r="H520" s="9">
        <v>415.1</v>
      </c>
      <c r="I520" s="9">
        <v>330.07</v>
      </c>
      <c r="J520" s="7" t="s">
        <v>325</v>
      </c>
    </row>
    <row r="521" spans="1:10" x14ac:dyDescent="0.35">
      <c r="A521" s="7" t="s">
        <v>23</v>
      </c>
      <c r="B521" s="7" t="s">
        <v>136</v>
      </c>
      <c r="C521" s="7" t="s">
        <v>39</v>
      </c>
      <c r="D521" s="9">
        <v>2.71</v>
      </c>
      <c r="E521" s="9">
        <v>1.26</v>
      </c>
      <c r="F521" s="9">
        <v>1.05</v>
      </c>
      <c r="G521" s="8">
        <v>5006.88</v>
      </c>
      <c r="H521" s="9">
        <v>857.22</v>
      </c>
      <c r="I521" s="8">
        <v>2050.75</v>
      </c>
      <c r="J521" s="7" t="s">
        <v>325</v>
      </c>
    </row>
    <row r="522" spans="1:10" x14ac:dyDescent="0.35">
      <c r="A522" s="7" t="s">
        <v>189</v>
      </c>
      <c r="B522" s="7" t="s">
        <v>190</v>
      </c>
      <c r="C522" s="7" t="s">
        <v>39</v>
      </c>
      <c r="D522" s="9">
        <v>1.1599999999999999</v>
      </c>
      <c r="E522" s="9">
        <v>0.17</v>
      </c>
      <c r="F522" s="9">
        <v>1.05</v>
      </c>
      <c r="G522" s="8">
        <v>2842.25</v>
      </c>
      <c r="H522" s="9">
        <v>291</v>
      </c>
      <c r="I522" s="8">
        <v>3085.5</v>
      </c>
      <c r="J522" s="7" t="s">
        <v>325</v>
      </c>
    </row>
    <row r="523" spans="1:10" x14ac:dyDescent="0.35">
      <c r="A523" s="7" t="s">
        <v>66</v>
      </c>
      <c r="B523" s="7" t="s">
        <v>73</v>
      </c>
      <c r="C523" s="7" t="s">
        <v>72</v>
      </c>
      <c r="D523" s="9">
        <v>3.2</v>
      </c>
      <c r="E523" s="9">
        <v>2.13</v>
      </c>
      <c r="F523" s="9">
        <v>1.04</v>
      </c>
      <c r="G523" s="9">
        <v>463.17</v>
      </c>
      <c r="H523" s="9">
        <v>314.97000000000003</v>
      </c>
      <c r="I523" s="9">
        <v>149.31</v>
      </c>
      <c r="J523" s="7" t="s">
        <v>325</v>
      </c>
    </row>
    <row r="524" spans="1:10" x14ac:dyDescent="0.35">
      <c r="A524" s="7" t="s">
        <v>20</v>
      </c>
      <c r="B524" s="7" t="s">
        <v>68</v>
      </c>
      <c r="C524" s="7" t="s">
        <v>42</v>
      </c>
      <c r="D524" s="9">
        <v>2.5</v>
      </c>
      <c r="E524" s="9">
        <v>2.2599999999999998</v>
      </c>
      <c r="F524" s="9">
        <v>1.04</v>
      </c>
      <c r="G524" s="9">
        <v>953.32</v>
      </c>
      <c r="H524" s="9">
        <v>737.81</v>
      </c>
      <c r="I524" s="9">
        <v>343.98</v>
      </c>
      <c r="J524" s="7" t="s">
        <v>325</v>
      </c>
    </row>
    <row r="525" spans="1:10" x14ac:dyDescent="0.35">
      <c r="A525" s="7" t="s">
        <v>94</v>
      </c>
      <c r="B525" s="7" t="s">
        <v>95</v>
      </c>
      <c r="C525" s="7" t="s">
        <v>42</v>
      </c>
      <c r="D525" s="9">
        <v>2.54</v>
      </c>
      <c r="E525" s="9">
        <v>2.76</v>
      </c>
      <c r="F525" s="9">
        <v>1.03</v>
      </c>
      <c r="G525" s="8">
        <v>1672.62</v>
      </c>
      <c r="H525" s="8">
        <v>5445.71</v>
      </c>
      <c r="I525" s="8">
        <v>2041.4</v>
      </c>
      <c r="J525" s="7" t="s">
        <v>325</v>
      </c>
    </row>
    <row r="526" spans="1:10" x14ac:dyDescent="0.35">
      <c r="A526" s="7" t="s">
        <v>77</v>
      </c>
      <c r="B526" s="7" t="s">
        <v>78</v>
      </c>
      <c r="C526" s="7" t="s">
        <v>128</v>
      </c>
      <c r="D526" s="9">
        <v>0.35</v>
      </c>
      <c r="E526" s="9">
        <v>2.2999999999999998</v>
      </c>
      <c r="F526" s="9">
        <v>1.01</v>
      </c>
      <c r="G526" s="9">
        <v>53.27</v>
      </c>
      <c r="H526" s="8">
        <v>1109.05</v>
      </c>
      <c r="I526" s="9">
        <v>492</v>
      </c>
      <c r="J526" s="7" t="s">
        <v>325</v>
      </c>
    </row>
    <row r="527" spans="1:10" x14ac:dyDescent="0.35">
      <c r="A527" s="7" t="s">
        <v>16</v>
      </c>
      <c r="B527" s="7" t="s">
        <v>17</v>
      </c>
      <c r="C527" s="7" t="s">
        <v>69</v>
      </c>
      <c r="D527" s="9">
        <v>7.81</v>
      </c>
      <c r="E527" s="9">
        <v>11.02</v>
      </c>
      <c r="F527" s="9">
        <v>1</v>
      </c>
      <c r="G527" s="8">
        <v>4157.16</v>
      </c>
      <c r="H527" s="8">
        <v>4709.93</v>
      </c>
      <c r="I527" s="9">
        <v>728.69</v>
      </c>
      <c r="J527" s="7" t="s">
        <v>325</v>
      </c>
    </row>
    <row r="528" spans="1:10" x14ac:dyDescent="0.35">
      <c r="A528" s="7" t="s">
        <v>40</v>
      </c>
      <c r="B528" s="7" t="s">
        <v>107</v>
      </c>
      <c r="C528" s="7" t="s">
        <v>27</v>
      </c>
      <c r="D528" s="9">
        <v>0.36</v>
      </c>
      <c r="E528" s="9">
        <v>1.27</v>
      </c>
      <c r="F528" s="9">
        <v>1</v>
      </c>
      <c r="G528" s="9">
        <v>502.48</v>
      </c>
      <c r="H528" s="8">
        <v>1932.52</v>
      </c>
      <c r="I528" s="8">
        <v>1530.76</v>
      </c>
      <c r="J528" s="7" t="s">
        <v>325</v>
      </c>
    </row>
    <row r="529" spans="1:10" x14ac:dyDescent="0.35">
      <c r="A529" s="7" t="s">
        <v>23</v>
      </c>
      <c r="B529" s="7" t="s">
        <v>191</v>
      </c>
      <c r="C529" s="7" t="s">
        <v>39</v>
      </c>
      <c r="D529" s="9">
        <v>0.56999999999999995</v>
      </c>
      <c r="E529" s="9">
        <v>3.44</v>
      </c>
      <c r="F529" s="9">
        <v>1</v>
      </c>
      <c r="G529" s="9">
        <v>237.71</v>
      </c>
      <c r="H529" s="9">
        <v>448.59</v>
      </c>
      <c r="I529" s="9">
        <v>54.75</v>
      </c>
      <c r="J529" s="7" t="s">
        <v>325</v>
      </c>
    </row>
    <row r="530" spans="1:10" x14ac:dyDescent="0.35">
      <c r="A530" s="7" t="s">
        <v>20</v>
      </c>
      <c r="B530" s="7" t="s">
        <v>56</v>
      </c>
      <c r="C530" s="7" t="s">
        <v>18</v>
      </c>
      <c r="D530" s="9">
        <v>0.09</v>
      </c>
      <c r="E530" s="9">
        <v>0.69</v>
      </c>
      <c r="F530" s="9">
        <v>1</v>
      </c>
      <c r="G530" s="9">
        <v>76.05</v>
      </c>
      <c r="H530" s="9">
        <v>884</v>
      </c>
      <c r="I530" s="9">
        <v>942</v>
      </c>
      <c r="J530" s="7" t="s">
        <v>325</v>
      </c>
    </row>
    <row r="531" spans="1:10" x14ac:dyDescent="0.35">
      <c r="A531" s="7" t="s">
        <v>31</v>
      </c>
      <c r="B531" s="7" t="s">
        <v>192</v>
      </c>
      <c r="C531" s="7" t="s">
        <v>102</v>
      </c>
      <c r="D531" s="9">
        <v>1.92</v>
      </c>
      <c r="E531" s="9">
        <v>2.85</v>
      </c>
      <c r="F531" s="9">
        <v>0.99</v>
      </c>
      <c r="G531" s="8">
        <v>1874.39</v>
      </c>
      <c r="H531" s="8">
        <v>2865.74</v>
      </c>
      <c r="I531" s="8">
        <v>1039.3699999999999</v>
      </c>
      <c r="J531" s="7" t="s">
        <v>325</v>
      </c>
    </row>
    <row r="532" spans="1:10" x14ac:dyDescent="0.35">
      <c r="A532" s="7" t="s">
        <v>79</v>
      </c>
      <c r="B532" s="7" t="s">
        <v>80</v>
      </c>
      <c r="C532" s="7" t="s">
        <v>65</v>
      </c>
      <c r="D532" s="9">
        <v>1.5</v>
      </c>
      <c r="E532" s="9">
        <v>2.48</v>
      </c>
      <c r="F532" s="9">
        <v>0.97</v>
      </c>
      <c r="G532" s="8">
        <v>1944.04</v>
      </c>
      <c r="H532" s="8">
        <v>3011.56</v>
      </c>
      <c r="I532" s="8">
        <v>1175.6300000000001</v>
      </c>
      <c r="J532" s="7" t="s">
        <v>325</v>
      </c>
    </row>
    <row r="533" spans="1:10" x14ac:dyDescent="0.35">
      <c r="A533" s="7" t="s">
        <v>35</v>
      </c>
      <c r="B533" s="7" t="s">
        <v>47</v>
      </c>
      <c r="C533" s="7" t="s">
        <v>46</v>
      </c>
      <c r="D533" s="9">
        <v>11.44</v>
      </c>
      <c r="E533" s="9">
        <v>2.59</v>
      </c>
      <c r="F533" s="9">
        <v>0.97</v>
      </c>
      <c r="G533" s="8">
        <v>5807.54</v>
      </c>
      <c r="H533" s="8">
        <v>1459.28</v>
      </c>
      <c r="I533" s="9">
        <v>667.96</v>
      </c>
      <c r="J533" s="7" t="s">
        <v>325</v>
      </c>
    </row>
    <row r="534" spans="1:10" x14ac:dyDescent="0.35">
      <c r="A534" s="7" t="s">
        <v>189</v>
      </c>
      <c r="B534" s="7" t="s">
        <v>193</v>
      </c>
      <c r="C534" s="7" t="s">
        <v>48</v>
      </c>
      <c r="D534" s="9">
        <v>0.52</v>
      </c>
      <c r="E534" s="9">
        <v>2.1</v>
      </c>
      <c r="F534" s="9">
        <v>0.97</v>
      </c>
      <c r="G534" s="9">
        <v>464.83</v>
      </c>
      <c r="H534" s="8">
        <v>1167.22</v>
      </c>
      <c r="I534" s="9">
        <v>477.48</v>
      </c>
      <c r="J534" s="7" t="s">
        <v>325</v>
      </c>
    </row>
    <row r="535" spans="1:10" x14ac:dyDescent="0.35">
      <c r="A535" s="7" t="s">
        <v>16</v>
      </c>
      <c r="B535" s="7" t="s">
        <v>28</v>
      </c>
      <c r="C535" s="7" t="s">
        <v>54</v>
      </c>
      <c r="D535" s="9">
        <v>2.94</v>
      </c>
      <c r="E535" s="9">
        <v>5.8</v>
      </c>
      <c r="F535" s="9">
        <v>0.97</v>
      </c>
      <c r="G535" s="8">
        <v>2041.16</v>
      </c>
      <c r="H535" s="8">
        <v>5439.42</v>
      </c>
      <c r="I535" s="9">
        <v>759.1</v>
      </c>
      <c r="J535" s="7" t="s">
        <v>325</v>
      </c>
    </row>
    <row r="536" spans="1:10" x14ac:dyDescent="0.35">
      <c r="A536" s="7" t="s">
        <v>20</v>
      </c>
      <c r="B536" s="7" t="s">
        <v>134</v>
      </c>
      <c r="C536" s="7" t="s">
        <v>83</v>
      </c>
      <c r="D536" s="9">
        <v>0</v>
      </c>
      <c r="E536" s="9">
        <v>8.9499999999999993</v>
      </c>
      <c r="F536" s="9">
        <v>0.96</v>
      </c>
      <c r="G536" s="9">
        <v>0</v>
      </c>
      <c r="H536" s="8">
        <v>4433.51</v>
      </c>
      <c r="I536" s="9">
        <v>455.85</v>
      </c>
      <c r="J536" s="7" t="s">
        <v>325</v>
      </c>
    </row>
    <row r="537" spans="1:10" x14ac:dyDescent="0.35">
      <c r="A537" s="7" t="s">
        <v>94</v>
      </c>
      <c r="B537" s="7" t="s">
        <v>95</v>
      </c>
      <c r="C537" s="7" t="s">
        <v>84</v>
      </c>
      <c r="D537" s="9">
        <v>1.44</v>
      </c>
      <c r="E537" s="9">
        <v>1.88</v>
      </c>
      <c r="F537" s="9">
        <v>0.96</v>
      </c>
      <c r="G537" s="9">
        <v>210.54</v>
      </c>
      <c r="H537" s="9">
        <v>267.93</v>
      </c>
      <c r="I537" s="9">
        <v>148.88999999999999</v>
      </c>
      <c r="J537" s="7" t="s">
        <v>325</v>
      </c>
    </row>
    <row r="538" spans="1:10" x14ac:dyDescent="0.35">
      <c r="A538" s="7" t="s">
        <v>66</v>
      </c>
      <c r="B538" s="7" t="s">
        <v>108</v>
      </c>
      <c r="C538" s="7" t="s">
        <v>60</v>
      </c>
      <c r="D538" s="9">
        <v>1.1299999999999999</v>
      </c>
      <c r="E538" s="9">
        <v>2.14</v>
      </c>
      <c r="F538" s="9">
        <v>0.95</v>
      </c>
      <c r="G538" s="9">
        <v>891.08</v>
      </c>
      <c r="H538" s="8">
        <v>1908.98</v>
      </c>
      <c r="I538" s="9">
        <v>784.68</v>
      </c>
      <c r="J538" s="7" t="s">
        <v>325</v>
      </c>
    </row>
    <row r="539" spans="1:10" x14ac:dyDescent="0.35">
      <c r="A539" s="7" t="s">
        <v>94</v>
      </c>
      <c r="B539" s="7" t="s">
        <v>184</v>
      </c>
      <c r="C539" s="7" t="s">
        <v>55</v>
      </c>
      <c r="D539" s="9">
        <v>1.79</v>
      </c>
      <c r="E539" s="9">
        <v>2.13</v>
      </c>
      <c r="F539" s="9">
        <v>0.95</v>
      </c>
      <c r="G539" s="8">
        <v>7785.44</v>
      </c>
      <c r="H539" s="8">
        <v>12037.56</v>
      </c>
      <c r="I539" s="8">
        <v>5731.6</v>
      </c>
      <c r="J539" s="7" t="s">
        <v>325</v>
      </c>
    </row>
    <row r="540" spans="1:10" x14ac:dyDescent="0.35">
      <c r="A540" s="7" t="s">
        <v>40</v>
      </c>
      <c r="B540" s="7" t="s">
        <v>117</v>
      </c>
      <c r="C540" s="7" t="s">
        <v>151</v>
      </c>
      <c r="D540" s="9">
        <v>0.92</v>
      </c>
      <c r="E540" s="9">
        <v>4.3899999999999997</v>
      </c>
      <c r="F540" s="9">
        <v>0.95</v>
      </c>
      <c r="G540" s="9">
        <v>882.77</v>
      </c>
      <c r="H540" s="8">
        <v>5876.9</v>
      </c>
      <c r="I540" s="8">
        <v>1632.67</v>
      </c>
      <c r="J540" s="7" t="s">
        <v>325</v>
      </c>
    </row>
    <row r="541" spans="1:10" x14ac:dyDescent="0.35">
      <c r="A541" s="7" t="s">
        <v>23</v>
      </c>
      <c r="B541" s="7" t="s">
        <v>123</v>
      </c>
      <c r="C541" s="7" t="s">
        <v>18</v>
      </c>
      <c r="D541" s="9">
        <v>5.07</v>
      </c>
      <c r="E541" s="9">
        <v>7.33</v>
      </c>
      <c r="F541" s="9">
        <v>0.95</v>
      </c>
      <c r="G541" s="8">
        <v>5152.97</v>
      </c>
      <c r="H541" s="8">
        <v>9643.7000000000007</v>
      </c>
      <c r="I541" s="8">
        <v>1131.56</v>
      </c>
      <c r="J541" s="7" t="s">
        <v>325</v>
      </c>
    </row>
    <row r="542" spans="1:10" x14ac:dyDescent="0.35">
      <c r="A542" s="7" t="s">
        <v>23</v>
      </c>
      <c r="B542" s="7" t="s">
        <v>123</v>
      </c>
      <c r="C542" s="7" t="s">
        <v>62</v>
      </c>
      <c r="D542" s="9">
        <v>9.49</v>
      </c>
      <c r="E542" s="9">
        <v>6.27</v>
      </c>
      <c r="F542" s="9">
        <v>0.95</v>
      </c>
      <c r="G542" s="8">
        <v>35220.89</v>
      </c>
      <c r="H542" s="8">
        <v>24606.78</v>
      </c>
      <c r="I542" s="8">
        <v>3996.59</v>
      </c>
      <c r="J542" s="7" t="s">
        <v>325</v>
      </c>
    </row>
    <row r="543" spans="1:10" x14ac:dyDescent="0.35">
      <c r="A543" s="7" t="s">
        <v>189</v>
      </c>
      <c r="B543" s="7" t="s">
        <v>193</v>
      </c>
      <c r="C543" s="7" t="s">
        <v>46</v>
      </c>
      <c r="D543" s="9">
        <v>4.5999999999999996</v>
      </c>
      <c r="E543" s="9">
        <v>2.96</v>
      </c>
      <c r="F543" s="9">
        <v>0.94</v>
      </c>
      <c r="G543" s="8">
        <v>1317.81</v>
      </c>
      <c r="H543" s="9">
        <v>924.71</v>
      </c>
      <c r="I543" s="9">
        <v>319.23</v>
      </c>
      <c r="J543" s="7" t="s">
        <v>325</v>
      </c>
    </row>
    <row r="544" spans="1:10" x14ac:dyDescent="0.35">
      <c r="A544" s="7" t="s">
        <v>35</v>
      </c>
      <c r="B544" s="7" t="s">
        <v>88</v>
      </c>
      <c r="C544" s="7" t="s">
        <v>27</v>
      </c>
      <c r="D544" s="9">
        <v>0.98</v>
      </c>
      <c r="E544" s="9">
        <v>4.49</v>
      </c>
      <c r="F544" s="9">
        <v>0.94</v>
      </c>
      <c r="G544" s="8">
        <v>1593.1</v>
      </c>
      <c r="H544" s="8">
        <v>8047.82</v>
      </c>
      <c r="I544" s="8">
        <v>1883</v>
      </c>
      <c r="J544" s="7" t="s">
        <v>325</v>
      </c>
    </row>
    <row r="545" spans="1:10" x14ac:dyDescent="0.35">
      <c r="A545" s="7" t="s">
        <v>31</v>
      </c>
      <c r="B545" s="7" t="s">
        <v>141</v>
      </c>
      <c r="C545" s="7" t="s">
        <v>118</v>
      </c>
      <c r="D545" s="9">
        <v>1.02</v>
      </c>
      <c r="E545" s="9">
        <v>1.79</v>
      </c>
      <c r="F545" s="9">
        <v>0.94</v>
      </c>
      <c r="G545" s="9">
        <v>609</v>
      </c>
      <c r="H545" s="8">
        <v>1031.7</v>
      </c>
      <c r="I545" s="9">
        <v>627</v>
      </c>
      <c r="J545" s="7" t="s">
        <v>325</v>
      </c>
    </row>
    <row r="546" spans="1:10" x14ac:dyDescent="0.35">
      <c r="A546" s="7" t="s">
        <v>20</v>
      </c>
      <c r="B546" s="7" t="s">
        <v>21</v>
      </c>
      <c r="C546" s="7" t="s">
        <v>51</v>
      </c>
      <c r="D546" s="9">
        <v>15.85</v>
      </c>
      <c r="E546" s="9">
        <v>11.37</v>
      </c>
      <c r="F546" s="9">
        <v>0.93</v>
      </c>
      <c r="G546" s="8">
        <v>12119.47</v>
      </c>
      <c r="H546" s="8">
        <v>10181.549999999999</v>
      </c>
      <c r="I546" s="9">
        <v>649.37</v>
      </c>
      <c r="J546" s="7" t="s">
        <v>325</v>
      </c>
    </row>
    <row r="547" spans="1:10" x14ac:dyDescent="0.35">
      <c r="A547" s="7" t="s">
        <v>40</v>
      </c>
      <c r="B547" s="7" t="s">
        <v>194</v>
      </c>
      <c r="C547" s="7" t="s">
        <v>102</v>
      </c>
      <c r="D547" s="9">
        <v>2.63</v>
      </c>
      <c r="E547" s="9">
        <v>2.41</v>
      </c>
      <c r="F547" s="9">
        <v>0.93</v>
      </c>
      <c r="G547" s="8">
        <v>3504.09</v>
      </c>
      <c r="H547" s="8">
        <v>3264.21</v>
      </c>
      <c r="I547" s="8">
        <v>1103.1300000000001</v>
      </c>
      <c r="J547" s="7" t="s">
        <v>325</v>
      </c>
    </row>
    <row r="548" spans="1:10" x14ac:dyDescent="0.35">
      <c r="A548" s="7" t="s">
        <v>20</v>
      </c>
      <c r="B548" s="7" t="s">
        <v>21</v>
      </c>
      <c r="C548" s="7" t="s">
        <v>128</v>
      </c>
      <c r="D548" s="9">
        <v>4.0199999999999996</v>
      </c>
      <c r="E548" s="9">
        <v>6.27</v>
      </c>
      <c r="F548" s="9">
        <v>0.93</v>
      </c>
      <c r="G548" s="8">
        <v>1074.73</v>
      </c>
      <c r="H548" s="8">
        <v>2138.19</v>
      </c>
      <c r="I548" s="9">
        <v>474.2</v>
      </c>
      <c r="J548" s="7" t="s">
        <v>325</v>
      </c>
    </row>
    <row r="549" spans="1:10" x14ac:dyDescent="0.35">
      <c r="A549" s="7" t="s">
        <v>189</v>
      </c>
      <c r="B549" s="7" t="s">
        <v>193</v>
      </c>
      <c r="C549" s="7" t="s">
        <v>53</v>
      </c>
      <c r="D549" s="9">
        <v>0.6</v>
      </c>
      <c r="E549" s="9">
        <v>2.08</v>
      </c>
      <c r="F549" s="9">
        <v>0.93</v>
      </c>
      <c r="G549" s="8">
        <v>1108.26</v>
      </c>
      <c r="H549" s="8">
        <v>3425.77</v>
      </c>
      <c r="I549" s="8">
        <v>1479.78</v>
      </c>
      <c r="J549" s="7" t="s">
        <v>325</v>
      </c>
    </row>
    <row r="550" spans="1:10" ht="26.25" customHeight="1" x14ac:dyDescent="0.35">
      <c r="A550" s="7" t="s">
        <v>31</v>
      </c>
      <c r="B550" s="7" t="s">
        <v>146</v>
      </c>
      <c r="C550" s="7" t="s">
        <v>48</v>
      </c>
      <c r="D550" s="9">
        <v>1.18</v>
      </c>
      <c r="E550" s="9">
        <v>1.86</v>
      </c>
      <c r="F550" s="9">
        <v>0.93</v>
      </c>
      <c r="G550" s="8">
        <v>1908.91</v>
      </c>
      <c r="H550" s="8">
        <v>3294.39</v>
      </c>
      <c r="I550" s="8">
        <v>1574.1</v>
      </c>
      <c r="J550" s="7" t="s">
        <v>325</v>
      </c>
    </row>
    <row r="551" spans="1:10" x14ac:dyDescent="0.35">
      <c r="A551" s="7" t="s">
        <v>40</v>
      </c>
      <c r="B551" s="7" t="s">
        <v>164</v>
      </c>
      <c r="C551" s="7" t="s">
        <v>122</v>
      </c>
      <c r="D551" s="9">
        <v>2.82</v>
      </c>
      <c r="E551" s="9">
        <v>2.81</v>
      </c>
      <c r="F551" s="9">
        <v>0.92</v>
      </c>
      <c r="G551" s="8">
        <v>1675.84</v>
      </c>
      <c r="H551" s="8">
        <v>1507.46</v>
      </c>
      <c r="I551" s="9">
        <v>473.06</v>
      </c>
      <c r="J551" s="7" t="s">
        <v>325</v>
      </c>
    </row>
    <row r="552" spans="1:10" x14ac:dyDescent="0.35">
      <c r="A552" s="7" t="s">
        <v>35</v>
      </c>
      <c r="B552" s="7" t="s">
        <v>38</v>
      </c>
      <c r="C552" s="7" t="s">
        <v>33</v>
      </c>
      <c r="D552" s="9">
        <v>4.33</v>
      </c>
      <c r="E552" s="9">
        <v>3.6</v>
      </c>
      <c r="F552" s="9">
        <v>0.92</v>
      </c>
      <c r="G552" s="8">
        <v>3440.74</v>
      </c>
      <c r="H552" s="8">
        <v>2922.43</v>
      </c>
      <c r="I552" s="9">
        <v>745.42</v>
      </c>
      <c r="J552" s="7" t="s">
        <v>325</v>
      </c>
    </row>
    <row r="553" spans="1:10" x14ac:dyDescent="0.35">
      <c r="A553" s="7" t="s">
        <v>16</v>
      </c>
      <c r="B553" s="7" t="s">
        <v>90</v>
      </c>
      <c r="C553" s="7" t="s">
        <v>46</v>
      </c>
      <c r="D553" s="9">
        <v>3.87</v>
      </c>
      <c r="E553" s="9">
        <v>1.98</v>
      </c>
      <c r="F553" s="9">
        <v>0.91</v>
      </c>
      <c r="G553" s="8">
        <v>2101.52</v>
      </c>
      <c r="H553" s="8">
        <v>1094.99</v>
      </c>
      <c r="I553" s="9">
        <v>492.94</v>
      </c>
      <c r="J553" s="7" t="s">
        <v>325</v>
      </c>
    </row>
    <row r="554" spans="1:10" x14ac:dyDescent="0.35">
      <c r="A554" s="7" t="s">
        <v>25</v>
      </c>
      <c r="B554" s="7" t="s">
        <v>195</v>
      </c>
      <c r="C554" s="7" t="s">
        <v>84</v>
      </c>
      <c r="D554" s="9">
        <v>0</v>
      </c>
      <c r="E554" s="9">
        <v>1.68</v>
      </c>
      <c r="F554" s="9">
        <v>0.91</v>
      </c>
      <c r="G554" s="9">
        <v>0</v>
      </c>
      <c r="H554" s="9">
        <v>191.39</v>
      </c>
      <c r="I554" s="9">
        <v>96.39</v>
      </c>
      <c r="J554" s="7" t="s">
        <v>325</v>
      </c>
    </row>
    <row r="555" spans="1:10" x14ac:dyDescent="0.35">
      <c r="A555" s="7" t="s">
        <v>129</v>
      </c>
      <c r="B555" s="7" t="s">
        <v>147</v>
      </c>
      <c r="C555" s="7" t="s">
        <v>45</v>
      </c>
      <c r="D555" s="9">
        <v>4.3499999999999996</v>
      </c>
      <c r="E555" s="9">
        <v>3.65</v>
      </c>
      <c r="F555" s="9">
        <v>0.91</v>
      </c>
      <c r="G555" s="8">
        <v>17168.05</v>
      </c>
      <c r="H555" s="8">
        <v>15064.63</v>
      </c>
      <c r="I555" s="8">
        <v>3832.46</v>
      </c>
      <c r="J555" s="7" t="s">
        <v>325</v>
      </c>
    </row>
    <row r="556" spans="1:10" x14ac:dyDescent="0.35">
      <c r="A556" s="7" t="s">
        <v>23</v>
      </c>
      <c r="B556" s="7" t="s">
        <v>30</v>
      </c>
      <c r="C556" s="7" t="s">
        <v>18</v>
      </c>
      <c r="D556" s="9">
        <v>13.44</v>
      </c>
      <c r="E556" s="9">
        <v>2.71</v>
      </c>
      <c r="F556" s="9">
        <v>0.9</v>
      </c>
      <c r="G556" s="8">
        <v>11782.68</v>
      </c>
      <c r="H556" s="8">
        <v>2593.84</v>
      </c>
      <c r="I556" s="9">
        <v>842.66</v>
      </c>
      <c r="J556" s="7" t="s">
        <v>325</v>
      </c>
    </row>
    <row r="557" spans="1:10" x14ac:dyDescent="0.35">
      <c r="A557" s="7" t="s">
        <v>23</v>
      </c>
      <c r="B557" s="7" t="s">
        <v>34</v>
      </c>
      <c r="C557" s="7" t="s">
        <v>125</v>
      </c>
      <c r="D557" s="9">
        <v>4.84</v>
      </c>
      <c r="E557" s="9">
        <v>4.57</v>
      </c>
      <c r="F557" s="9">
        <v>0.89</v>
      </c>
      <c r="G557" s="8">
        <v>1374.55</v>
      </c>
      <c r="H557" s="9">
        <v>857</v>
      </c>
      <c r="I557" s="9">
        <v>145.5</v>
      </c>
      <c r="J557" s="7" t="s">
        <v>325</v>
      </c>
    </row>
    <row r="558" spans="1:10" x14ac:dyDescent="0.35">
      <c r="A558" s="7" t="s">
        <v>20</v>
      </c>
      <c r="B558" s="7" t="s">
        <v>134</v>
      </c>
      <c r="C558" s="7" t="s">
        <v>42</v>
      </c>
      <c r="D558" s="9">
        <v>0</v>
      </c>
      <c r="E558" s="9">
        <v>1.27</v>
      </c>
      <c r="F558" s="9">
        <v>0.89</v>
      </c>
      <c r="G558" s="9">
        <v>0</v>
      </c>
      <c r="H558" s="9">
        <v>964.85</v>
      </c>
      <c r="I558" s="9">
        <v>811.4</v>
      </c>
      <c r="J558" s="7" t="s">
        <v>325</v>
      </c>
    </row>
    <row r="559" spans="1:10" x14ac:dyDescent="0.35">
      <c r="A559" s="7" t="s">
        <v>77</v>
      </c>
      <c r="B559" s="7" t="s">
        <v>78</v>
      </c>
      <c r="C559" s="7" t="s">
        <v>33</v>
      </c>
      <c r="D559" s="9">
        <v>3.16</v>
      </c>
      <c r="E559" s="9">
        <v>3.72</v>
      </c>
      <c r="F559" s="9">
        <v>0.89</v>
      </c>
      <c r="G559" s="8">
        <v>2413.87</v>
      </c>
      <c r="H559" s="8">
        <v>2481.77</v>
      </c>
      <c r="I559" s="9">
        <v>611.29</v>
      </c>
      <c r="J559" s="7" t="s">
        <v>325</v>
      </c>
    </row>
    <row r="560" spans="1:10" x14ac:dyDescent="0.35">
      <c r="A560" s="7" t="s">
        <v>20</v>
      </c>
      <c r="B560" s="7" t="s">
        <v>134</v>
      </c>
      <c r="C560" s="7" t="s">
        <v>102</v>
      </c>
      <c r="D560" s="9">
        <v>0</v>
      </c>
      <c r="E560" s="9">
        <v>1.3</v>
      </c>
      <c r="F560" s="9">
        <v>0.88</v>
      </c>
      <c r="G560" s="9">
        <v>0</v>
      </c>
      <c r="H560" s="8">
        <v>1882.53</v>
      </c>
      <c r="I560" s="8">
        <v>1113.58</v>
      </c>
      <c r="J560" s="7" t="s">
        <v>325</v>
      </c>
    </row>
    <row r="561" spans="1:10" x14ac:dyDescent="0.35">
      <c r="A561" s="7" t="s">
        <v>40</v>
      </c>
      <c r="B561" s="7" t="s">
        <v>107</v>
      </c>
      <c r="C561" s="7" t="s">
        <v>53</v>
      </c>
      <c r="D561" s="9">
        <v>2.19</v>
      </c>
      <c r="E561" s="9">
        <v>0.85</v>
      </c>
      <c r="F561" s="9">
        <v>0.87</v>
      </c>
      <c r="G561" s="9">
        <v>805.78</v>
      </c>
      <c r="H561" s="9">
        <v>350.24</v>
      </c>
      <c r="I561" s="9">
        <v>311.94</v>
      </c>
      <c r="J561" s="7" t="s">
        <v>325</v>
      </c>
    </row>
    <row r="562" spans="1:10" x14ac:dyDescent="0.35">
      <c r="A562" s="7" t="s">
        <v>23</v>
      </c>
      <c r="B562" s="7" t="s">
        <v>123</v>
      </c>
      <c r="C562" s="7" t="s">
        <v>83</v>
      </c>
      <c r="D562" s="9">
        <v>2.52</v>
      </c>
      <c r="E562" s="9">
        <v>2.41</v>
      </c>
      <c r="F562" s="9">
        <v>0.87</v>
      </c>
      <c r="G562" s="8">
        <v>7116.28</v>
      </c>
      <c r="H562" s="8">
        <v>4730.72</v>
      </c>
      <c r="I562" s="8">
        <v>1967.81</v>
      </c>
      <c r="J562" s="7" t="s">
        <v>325</v>
      </c>
    </row>
    <row r="563" spans="1:10" x14ac:dyDescent="0.35">
      <c r="A563" s="7" t="s">
        <v>77</v>
      </c>
      <c r="B563" s="7" t="s">
        <v>78</v>
      </c>
      <c r="C563" s="7" t="s">
        <v>69</v>
      </c>
      <c r="D563" s="9">
        <v>2.1</v>
      </c>
      <c r="E563" s="9">
        <v>3.75</v>
      </c>
      <c r="F563" s="9">
        <v>0.87</v>
      </c>
      <c r="G563" s="9">
        <v>224.86</v>
      </c>
      <c r="H563" s="9">
        <v>220.11</v>
      </c>
      <c r="I563" s="9">
        <v>66.44</v>
      </c>
      <c r="J563" s="7" t="s">
        <v>325</v>
      </c>
    </row>
    <row r="564" spans="1:10" x14ac:dyDescent="0.35">
      <c r="A564" s="7" t="s">
        <v>74</v>
      </c>
      <c r="B564" s="7" t="s">
        <v>75</v>
      </c>
      <c r="C564" s="7" t="s">
        <v>42</v>
      </c>
      <c r="D564" s="9">
        <v>2.42</v>
      </c>
      <c r="E564" s="9">
        <v>1.99</v>
      </c>
      <c r="F564" s="9">
        <v>0.87</v>
      </c>
      <c r="G564" s="9">
        <v>678.98</v>
      </c>
      <c r="H564" s="9">
        <v>511.15</v>
      </c>
      <c r="I564" s="9">
        <v>215.86</v>
      </c>
      <c r="J564" s="7" t="s">
        <v>325</v>
      </c>
    </row>
    <row r="565" spans="1:10" x14ac:dyDescent="0.35">
      <c r="A565" s="7" t="s">
        <v>40</v>
      </c>
      <c r="B565" s="7" t="s">
        <v>85</v>
      </c>
      <c r="C565" s="7" t="s">
        <v>53</v>
      </c>
      <c r="D565" s="9">
        <v>2</v>
      </c>
      <c r="E565" s="9">
        <v>2.42</v>
      </c>
      <c r="F565" s="9">
        <v>0.85</v>
      </c>
      <c r="G565" s="8">
        <v>1874.6</v>
      </c>
      <c r="H565" s="8">
        <v>2110.02</v>
      </c>
      <c r="I565" s="9">
        <v>601.37</v>
      </c>
      <c r="J565" s="7" t="s">
        <v>325</v>
      </c>
    </row>
    <row r="566" spans="1:10" x14ac:dyDescent="0.35">
      <c r="A566" s="7" t="s">
        <v>49</v>
      </c>
      <c r="B566" s="7" t="s">
        <v>176</v>
      </c>
      <c r="C566" s="7" t="s">
        <v>39</v>
      </c>
      <c r="D566" s="9">
        <v>0.19</v>
      </c>
      <c r="E566" s="9">
        <v>1.29</v>
      </c>
      <c r="F566" s="9">
        <v>0.85</v>
      </c>
      <c r="G566" s="9">
        <v>81.510000000000005</v>
      </c>
      <c r="H566" s="9">
        <v>736.66</v>
      </c>
      <c r="I566" s="9">
        <v>594.79999999999995</v>
      </c>
      <c r="J566" s="7" t="s">
        <v>325</v>
      </c>
    </row>
    <row r="567" spans="1:10" x14ac:dyDescent="0.35">
      <c r="A567" s="7" t="s">
        <v>49</v>
      </c>
      <c r="B567" s="7" t="s">
        <v>121</v>
      </c>
      <c r="C567" s="7" t="s">
        <v>39</v>
      </c>
      <c r="D567" s="9">
        <v>0.25</v>
      </c>
      <c r="E567" s="9">
        <v>2.71</v>
      </c>
      <c r="F567" s="9">
        <v>0.85</v>
      </c>
      <c r="G567" s="9">
        <v>119.54</v>
      </c>
      <c r="H567" s="8">
        <v>1436.62</v>
      </c>
      <c r="I567" s="9">
        <v>487.22</v>
      </c>
      <c r="J567" s="7" t="s">
        <v>325</v>
      </c>
    </row>
    <row r="568" spans="1:10" x14ac:dyDescent="0.35">
      <c r="A568" s="7" t="s">
        <v>40</v>
      </c>
      <c r="B568" s="7" t="s">
        <v>64</v>
      </c>
      <c r="C568" s="7" t="s">
        <v>151</v>
      </c>
      <c r="D568" s="9">
        <v>0.21</v>
      </c>
      <c r="E568" s="9">
        <v>0.23</v>
      </c>
      <c r="F568" s="9">
        <v>0.84</v>
      </c>
      <c r="G568" s="9">
        <v>172.99</v>
      </c>
      <c r="H568" s="9">
        <v>556.61</v>
      </c>
      <c r="I568" s="8">
        <v>2064</v>
      </c>
      <c r="J568" s="7" t="s">
        <v>325</v>
      </c>
    </row>
    <row r="569" spans="1:10" x14ac:dyDescent="0.35">
      <c r="A569" s="7" t="s">
        <v>23</v>
      </c>
      <c r="B569" s="7" t="s">
        <v>123</v>
      </c>
      <c r="C569" s="7" t="s">
        <v>42</v>
      </c>
      <c r="D569" s="9">
        <v>1.55</v>
      </c>
      <c r="E569" s="9">
        <v>1.82</v>
      </c>
      <c r="F569" s="9">
        <v>0.84</v>
      </c>
      <c r="G569" s="8">
        <v>1455.76</v>
      </c>
      <c r="H569" s="8">
        <v>1816.41</v>
      </c>
      <c r="I569" s="9">
        <v>593.65</v>
      </c>
      <c r="J569" s="7" t="s">
        <v>325</v>
      </c>
    </row>
    <row r="570" spans="1:10" x14ac:dyDescent="0.35">
      <c r="A570" s="7" t="s">
        <v>23</v>
      </c>
      <c r="B570" s="7" t="s">
        <v>182</v>
      </c>
      <c r="C570" s="7" t="s">
        <v>93</v>
      </c>
      <c r="D570" s="9">
        <v>2.14</v>
      </c>
      <c r="E570" s="9">
        <v>2.85</v>
      </c>
      <c r="F570" s="9">
        <v>0.84</v>
      </c>
      <c r="G570" s="9">
        <v>310.5</v>
      </c>
      <c r="H570" s="9">
        <v>379.83</v>
      </c>
      <c r="I570" s="9">
        <v>115.74</v>
      </c>
      <c r="J570" s="7" t="s">
        <v>325</v>
      </c>
    </row>
    <row r="571" spans="1:10" x14ac:dyDescent="0.35">
      <c r="A571" s="7" t="s">
        <v>20</v>
      </c>
      <c r="B571" s="7" t="s">
        <v>145</v>
      </c>
      <c r="C571" s="7" t="s">
        <v>27</v>
      </c>
      <c r="D571" s="9">
        <v>0</v>
      </c>
      <c r="E571" s="9">
        <v>1.22</v>
      </c>
      <c r="F571" s="9">
        <v>0.83</v>
      </c>
      <c r="G571" s="9">
        <v>0</v>
      </c>
      <c r="H571" s="8">
        <v>1586.48</v>
      </c>
      <c r="I571" s="8">
        <v>1009.6</v>
      </c>
      <c r="J571" s="7" t="s">
        <v>325</v>
      </c>
    </row>
    <row r="572" spans="1:10" x14ac:dyDescent="0.35">
      <c r="A572" s="7" t="s">
        <v>40</v>
      </c>
      <c r="B572" s="7" t="s">
        <v>183</v>
      </c>
      <c r="C572" s="7" t="s">
        <v>174</v>
      </c>
      <c r="D572" s="9">
        <v>0.16</v>
      </c>
      <c r="E572" s="9">
        <v>3.84</v>
      </c>
      <c r="F572" s="9">
        <v>0.82</v>
      </c>
      <c r="G572" s="9">
        <v>18</v>
      </c>
      <c r="H572" s="9">
        <v>552.79999999999995</v>
      </c>
      <c r="I572" s="9">
        <v>131</v>
      </c>
      <c r="J572" s="7" t="s">
        <v>325</v>
      </c>
    </row>
    <row r="573" spans="1:10" x14ac:dyDescent="0.35">
      <c r="A573" s="7" t="s">
        <v>40</v>
      </c>
      <c r="B573" s="7" t="s">
        <v>196</v>
      </c>
      <c r="C573" s="7" t="s">
        <v>39</v>
      </c>
      <c r="D573" s="9">
        <v>8.31</v>
      </c>
      <c r="E573" s="9">
        <v>4.84</v>
      </c>
      <c r="F573" s="9">
        <v>0.82</v>
      </c>
      <c r="G573" s="8">
        <v>1368.52</v>
      </c>
      <c r="H573" s="8">
        <v>1598.73</v>
      </c>
      <c r="I573" s="9">
        <v>337.27</v>
      </c>
      <c r="J573" s="7" t="s">
        <v>325</v>
      </c>
    </row>
    <row r="574" spans="1:10" x14ac:dyDescent="0.35">
      <c r="A574" s="7" t="s">
        <v>31</v>
      </c>
      <c r="B574" s="7" t="s">
        <v>139</v>
      </c>
      <c r="C574" s="7" t="s">
        <v>55</v>
      </c>
      <c r="D574" s="9">
        <v>1.1499999999999999</v>
      </c>
      <c r="E574" s="9">
        <v>1.6</v>
      </c>
      <c r="F574" s="9">
        <v>0.82</v>
      </c>
      <c r="G574" s="8">
        <v>4349.4799999999996</v>
      </c>
      <c r="H574" s="8">
        <v>5986.54</v>
      </c>
      <c r="I574" s="8">
        <v>3271.45</v>
      </c>
      <c r="J574" s="7" t="s">
        <v>325</v>
      </c>
    </row>
    <row r="575" spans="1:10" x14ac:dyDescent="0.35">
      <c r="A575" s="7" t="s">
        <v>16</v>
      </c>
      <c r="B575" s="7" t="s">
        <v>89</v>
      </c>
      <c r="C575" s="7" t="s">
        <v>54</v>
      </c>
      <c r="D575" s="9">
        <v>8.08</v>
      </c>
      <c r="E575" s="9">
        <v>6.36</v>
      </c>
      <c r="F575" s="9">
        <v>0.81</v>
      </c>
      <c r="G575" s="8">
        <v>4754.42</v>
      </c>
      <c r="H575" s="8">
        <v>3788.7</v>
      </c>
      <c r="I575" s="9">
        <v>369.59</v>
      </c>
      <c r="J575" s="7" t="s">
        <v>325</v>
      </c>
    </row>
    <row r="576" spans="1:10" x14ac:dyDescent="0.35">
      <c r="A576" s="7" t="s">
        <v>94</v>
      </c>
      <c r="B576" s="7" t="s">
        <v>188</v>
      </c>
      <c r="C576" s="7" t="s">
        <v>45</v>
      </c>
      <c r="D576" s="9">
        <v>2.78</v>
      </c>
      <c r="E576" s="9">
        <v>2.79</v>
      </c>
      <c r="F576" s="9">
        <v>0.81</v>
      </c>
      <c r="G576" s="8">
        <v>8456.64</v>
      </c>
      <c r="H576" s="8">
        <v>9879.43</v>
      </c>
      <c r="I576" s="8">
        <v>4279.38</v>
      </c>
      <c r="J576" s="7" t="s">
        <v>325</v>
      </c>
    </row>
    <row r="577" spans="1:10" x14ac:dyDescent="0.35">
      <c r="A577" s="7" t="s">
        <v>35</v>
      </c>
      <c r="B577" s="7" t="s">
        <v>38</v>
      </c>
      <c r="C577" s="7" t="s">
        <v>42</v>
      </c>
      <c r="D577" s="9">
        <v>3.6</v>
      </c>
      <c r="E577" s="9">
        <v>2.78</v>
      </c>
      <c r="F577" s="9">
        <v>0.81</v>
      </c>
      <c r="G577" s="8">
        <v>2042.85</v>
      </c>
      <c r="H577" s="8">
        <v>1654.7</v>
      </c>
      <c r="I577" s="9">
        <v>422.38</v>
      </c>
      <c r="J577" s="7" t="s">
        <v>325</v>
      </c>
    </row>
    <row r="578" spans="1:10" x14ac:dyDescent="0.35">
      <c r="A578" s="7" t="s">
        <v>31</v>
      </c>
      <c r="B578" s="7" t="s">
        <v>171</v>
      </c>
      <c r="C578" s="7" t="s">
        <v>33</v>
      </c>
      <c r="D578" s="9">
        <v>1.84</v>
      </c>
      <c r="E578" s="9">
        <v>2.2599999999999998</v>
      </c>
      <c r="F578" s="9">
        <v>0.81</v>
      </c>
      <c r="G578" s="8">
        <v>2192.25</v>
      </c>
      <c r="H578" s="8">
        <v>3259.35</v>
      </c>
      <c r="I578" s="8">
        <v>1195.2</v>
      </c>
      <c r="J578" s="7" t="s">
        <v>325</v>
      </c>
    </row>
    <row r="579" spans="1:10" x14ac:dyDescent="0.35">
      <c r="A579" s="7" t="s">
        <v>40</v>
      </c>
      <c r="B579" s="7" t="s">
        <v>41</v>
      </c>
      <c r="C579" s="7" t="s">
        <v>174</v>
      </c>
      <c r="D579" s="9">
        <v>0.24</v>
      </c>
      <c r="E579" s="9">
        <v>1.24</v>
      </c>
      <c r="F579" s="9">
        <v>0.8</v>
      </c>
      <c r="G579" s="9">
        <v>54.3</v>
      </c>
      <c r="H579" s="9">
        <v>208.07</v>
      </c>
      <c r="I579" s="9">
        <v>133.44999999999999</v>
      </c>
      <c r="J579" s="7" t="s">
        <v>325</v>
      </c>
    </row>
    <row r="580" spans="1:10" x14ac:dyDescent="0.35">
      <c r="A580" s="7" t="s">
        <v>74</v>
      </c>
      <c r="B580" s="7" t="s">
        <v>137</v>
      </c>
      <c r="C580" s="7" t="s">
        <v>102</v>
      </c>
      <c r="D580" s="9">
        <v>1.1499999999999999</v>
      </c>
      <c r="E580" s="9">
        <v>1</v>
      </c>
      <c r="F580" s="9">
        <v>0.8</v>
      </c>
      <c r="G580" s="8">
        <v>1118.75</v>
      </c>
      <c r="H580" s="9">
        <v>469.54</v>
      </c>
      <c r="I580" s="9">
        <v>266.86</v>
      </c>
      <c r="J580" s="7" t="s">
        <v>325</v>
      </c>
    </row>
    <row r="581" spans="1:10" x14ac:dyDescent="0.35">
      <c r="A581" s="7" t="s">
        <v>23</v>
      </c>
      <c r="B581" s="7" t="s">
        <v>185</v>
      </c>
      <c r="C581" s="7" t="s">
        <v>42</v>
      </c>
      <c r="D581" s="9">
        <v>0.37</v>
      </c>
      <c r="E581" s="9">
        <v>2.94</v>
      </c>
      <c r="F581" s="9">
        <v>0.79</v>
      </c>
      <c r="G581" s="8">
        <v>3055.85</v>
      </c>
      <c r="H581" s="8">
        <v>17366</v>
      </c>
      <c r="I581" s="8">
        <v>5033.6000000000004</v>
      </c>
      <c r="J581" s="7" t="s">
        <v>325</v>
      </c>
    </row>
    <row r="582" spans="1:10" x14ac:dyDescent="0.35">
      <c r="A582" s="7" t="s">
        <v>23</v>
      </c>
      <c r="B582" s="7" t="s">
        <v>124</v>
      </c>
      <c r="C582" s="7" t="s">
        <v>33</v>
      </c>
      <c r="D582" s="9">
        <v>0</v>
      </c>
      <c r="E582" s="9">
        <v>1.53</v>
      </c>
      <c r="F582" s="9">
        <v>0.79</v>
      </c>
      <c r="G582" s="9">
        <v>0</v>
      </c>
      <c r="H582" s="8">
        <v>2057.5300000000002</v>
      </c>
      <c r="I582" s="8">
        <v>1065.68</v>
      </c>
      <c r="J582" s="7" t="s">
        <v>325</v>
      </c>
    </row>
    <row r="583" spans="1:10" x14ac:dyDescent="0.35">
      <c r="A583" s="7" t="s">
        <v>23</v>
      </c>
      <c r="B583" s="7" t="s">
        <v>44</v>
      </c>
      <c r="C583" s="7" t="s">
        <v>42</v>
      </c>
      <c r="D583" s="9">
        <v>2.29</v>
      </c>
      <c r="E583" s="9">
        <v>2.11</v>
      </c>
      <c r="F583" s="9">
        <v>0.79</v>
      </c>
      <c r="G583" s="8">
        <v>1908.3</v>
      </c>
      <c r="H583" s="8">
        <v>2153.4299999999998</v>
      </c>
      <c r="I583" s="9">
        <v>885.02</v>
      </c>
      <c r="J583" s="7" t="s">
        <v>325</v>
      </c>
    </row>
    <row r="584" spans="1:10" x14ac:dyDescent="0.35">
      <c r="A584" s="7" t="s">
        <v>25</v>
      </c>
      <c r="B584" s="7" t="s">
        <v>29</v>
      </c>
      <c r="C584" s="7" t="s">
        <v>18</v>
      </c>
      <c r="D584" s="9">
        <v>0.27</v>
      </c>
      <c r="E584" s="9">
        <v>0.05</v>
      </c>
      <c r="F584" s="9">
        <v>0.79</v>
      </c>
      <c r="G584" s="9">
        <v>800.99</v>
      </c>
      <c r="H584" s="9">
        <v>75.25</v>
      </c>
      <c r="I584" s="8">
        <v>1400</v>
      </c>
      <c r="J584" s="7" t="s">
        <v>325</v>
      </c>
    </row>
    <row r="585" spans="1:10" x14ac:dyDescent="0.35">
      <c r="A585" s="7" t="s">
        <v>35</v>
      </c>
      <c r="B585" s="7" t="s">
        <v>38</v>
      </c>
      <c r="C585" s="7" t="s">
        <v>125</v>
      </c>
      <c r="D585" s="9">
        <v>1.23</v>
      </c>
      <c r="E585" s="9">
        <v>1.77</v>
      </c>
      <c r="F585" s="9">
        <v>0.79</v>
      </c>
      <c r="G585" s="9">
        <v>511.05</v>
      </c>
      <c r="H585" s="9">
        <v>387</v>
      </c>
      <c r="I585" s="9">
        <v>232.5</v>
      </c>
      <c r="J585" s="7" t="s">
        <v>325</v>
      </c>
    </row>
    <row r="586" spans="1:10" x14ac:dyDescent="0.35">
      <c r="A586" s="7" t="s">
        <v>57</v>
      </c>
      <c r="B586" s="7" t="s">
        <v>197</v>
      </c>
      <c r="C586" s="7" t="s">
        <v>39</v>
      </c>
      <c r="D586" s="9">
        <v>1.91</v>
      </c>
      <c r="E586" s="9">
        <v>1.72</v>
      </c>
      <c r="F586" s="9">
        <v>0.78</v>
      </c>
      <c r="G586" s="9">
        <v>47.72</v>
      </c>
      <c r="H586" s="9">
        <v>43.27</v>
      </c>
      <c r="I586" s="9">
        <v>9.84</v>
      </c>
      <c r="J586" s="7" t="s">
        <v>325</v>
      </c>
    </row>
    <row r="587" spans="1:10" x14ac:dyDescent="0.35">
      <c r="A587" s="7" t="s">
        <v>23</v>
      </c>
      <c r="B587" s="7" t="s">
        <v>191</v>
      </c>
      <c r="C587" s="7" t="s">
        <v>102</v>
      </c>
      <c r="D587" s="9">
        <v>0</v>
      </c>
      <c r="E587" s="9">
        <v>3.72</v>
      </c>
      <c r="F587" s="9">
        <v>0.77</v>
      </c>
      <c r="G587" s="9">
        <v>0</v>
      </c>
      <c r="H587" s="8">
        <v>21915.21</v>
      </c>
      <c r="I587" s="8">
        <v>4728.09</v>
      </c>
      <c r="J587" s="7" t="s">
        <v>325</v>
      </c>
    </row>
    <row r="588" spans="1:10" x14ac:dyDescent="0.35">
      <c r="A588" s="7" t="s">
        <v>94</v>
      </c>
      <c r="B588" s="7" t="s">
        <v>95</v>
      </c>
      <c r="C588" s="7" t="s">
        <v>55</v>
      </c>
      <c r="D588" s="9">
        <v>0.56000000000000005</v>
      </c>
      <c r="E588" s="9">
        <v>2.13</v>
      </c>
      <c r="F588" s="9">
        <v>0.77</v>
      </c>
      <c r="G588" s="8">
        <v>2566.61</v>
      </c>
      <c r="H588" s="8">
        <v>7836.92</v>
      </c>
      <c r="I588" s="8">
        <v>2936.75</v>
      </c>
      <c r="J588" s="7" t="s">
        <v>325</v>
      </c>
    </row>
    <row r="589" spans="1:10" x14ac:dyDescent="0.35">
      <c r="A589" s="7" t="s">
        <v>49</v>
      </c>
      <c r="B589" s="7" t="s">
        <v>176</v>
      </c>
      <c r="C589" s="7" t="s">
        <v>46</v>
      </c>
      <c r="D589" s="9">
        <v>5.03</v>
      </c>
      <c r="E589" s="9">
        <v>3.01</v>
      </c>
      <c r="F589" s="9">
        <v>0.77</v>
      </c>
      <c r="G589" s="8">
        <v>2783.3</v>
      </c>
      <c r="H589" s="8">
        <v>1966.41</v>
      </c>
      <c r="I589" s="9">
        <v>421.76</v>
      </c>
      <c r="J589" s="7" t="s">
        <v>325</v>
      </c>
    </row>
    <row r="590" spans="1:10" x14ac:dyDescent="0.35">
      <c r="A590" s="7" t="s">
        <v>31</v>
      </c>
      <c r="B590" s="7" t="s">
        <v>101</v>
      </c>
      <c r="C590" s="7" t="s">
        <v>27</v>
      </c>
      <c r="D590" s="9">
        <v>0</v>
      </c>
      <c r="E590" s="9">
        <v>172.61</v>
      </c>
      <c r="F590" s="9">
        <v>0.76</v>
      </c>
      <c r="G590" s="9">
        <v>0</v>
      </c>
      <c r="H590" s="8">
        <v>379534.13</v>
      </c>
      <c r="I590" s="8">
        <v>1737.14</v>
      </c>
      <c r="J590" s="7" t="s">
        <v>325</v>
      </c>
    </row>
    <row r="591" spans="1:10" x14ac:dyDescent="0.35">
      <c r="A591" s="7" t="s">
        <v>40</v>
      </c>
      <c r="B591" s="7" t="s">
        <v>183</v>
      </c>
      <c r="C591" s="7" t="s">
        <v>39</v>
      </c>
      <c r="D591" s="9">
        <v>0.15</v>
      </c>
      <c r="E591" s="9">
        <v>1.17</v>
      </c>
      <c r="F591" s="9">
        <v>0.76</v>
      </c>
      <c r="G591" s="9">
        <v>67.84</v>
      </c>
      <c r="H591" s="9">
        <v>253.87</v>
      </c>
      <c r="I591" s="9">
        <v>471.5</v>
      </c>
      <c r="J591" s="7" t="s">
        <v>325</v>
      </c>
    </row>
    <row r="592" spans="1:10" x14ac:dyDescent="0.35">
      <c r="A592" s="7" t="s">
        <v>16</v>
      </c>
      <c r="B592" s="7" t="s">
        <v>109</v>
      </c>
      <c r="C592" s="7" t="s">
        <v>62</v>
      </c>
      <c r="D592" s="9">
        <v>0.3</v>
      </c>
      <c r="E592" s="9">
        <v>0.82</v>
      </c>
      <c r="F592" s="9">
        <v>0.76</v>
      </c>
      <c r="G592" s="8">
        <v>1053.6099999999999</v>
      </c>
      <c r="H592" s="8">
        <v>2860.66</v>
      </c>
      <c r="I592" s="8">
        <v>3314.17</v>
      </c>
      <c r="J592" s="7" t="s">
        <v>325</v>
      </c>
    </row>
    <row r="593" spans="1:10" x14ac:dyDescent="0.35">
      <c r="A593" s="7" t="s">
        <v>159</v>
      </c>
      <c r="B593" s="7" t="s">
        <v>160</v>
      </c>
      <c r="C593" s="7" t="s">
        <v>62</v>
      </c>
      <c r="D593" s="9">
        <v>0.93</v>
      </c>
      <c r="E593" s="9">
        <v>1.65</v>
      </c>
      <c r="F593" s="9">
        <v>0.76</v>
      </c>
      <c r="G593" s="8">
        <v>3150.07</v>
      </c>
      <c r="H593" s="8">
        <v>6749.96</v>
      </c>
      <c r="I593" s="8">
        <v>3404.8</v>
      </c>
      <c r="J593" s="7" t="s">
        <v>325</v>
      </c>
    </row>
    <row r="594" spans="1:10" x14ac:dyDescent="0.35">
      <c r="A594" s="7" t="s">
        <v>94</v>
      </c>
      <c r="B594" s="7" t="s">
        <v>95</v>
      </c>
      <c r="C594" s="7" t="s">
        <v>116</v>
      </c>
      <c r="D594" s="9">
        <v>0.61</v>
      </c>
      <c r="E594" s="9">
        <v>1.85</v>
      </c>
      <c r="F594" s="9">
        <v>0.75</v>
      </c>
      <c r="G594" s="8">
        <v>2782.99</v>
      </c>
      <c r="H594" s="8">
        <v>13049.51</v>
      </c>
      <c r="I594" s="8">
        <v>4346.43</v>
      </c>
      <c r="J594" s="7" t="s">
        <v>325</v>
      </c>
    </row>
    <row r="595" spans="1:10" x14ac:dyDescent="0.35">
      <c r="A595" s="7" t="s">
        <v>16</v>
      </c>
      <c r="B595" s="7" t="s">
        <v>143</v>
      </c>
      <c r="C595" s="7" t="s">
        <v>51</v>
      </c>
      <c r="D595" s="9">
        <v>0.73</v>
      </c>
      <c r="E595" s="9">
        <v>0.23</v>
      </c>
      <c r="F595" s="9">
        <v>0.75</v>
      </c>
      <c r="G595" s="9">
        <v>610</v>
      </c>
      <c r="H595" s="9">
        <v>230</v>
      </c>
      <c r="I595" s="9">
        <v>675</v>
      </c>
      <c r="J595" s="7" t="s">
        <v>325</v>
      </c>
    </row>
    <row r="596" spans="1:10" x14ac:dyDescent="0.35">
      <c r="A596" s="7" t="s">
        <v>23</v>
      </c>
      <c r="B596" s="7" t="s">
        <v>24</v>
      </c>
      <c r="C596" s="7" t="s">
        <v>93</v>
      </c>
      <c r="D596" s="9">
        <v>1.63</v>
      </c>
      <c r="E596" s="9">
        <v>0.89</v>
      </c>
      <c r="F596" s="9">
        <v>0.75</v>
      </c>
      <c r="G596" s="9">
        <v>219.83</v>
      </c>
      <c r="H596" s="9">
        <v>134.55000000000001</v>
      </c>
      <c r="I596" s="9">
        <v>112.7</v>
      </c>
      <c r="J596" s="7" t="s">
        <v>325</v>
      </c>
    </row>
    <row r="597" spans="1:10" x14ac:dyDescent="0.35">
      <c r="A597" s="7" t="s">
        <v>23</v>
      </c>
      <c r="B597" s="7" t="s">
        <v>148</v>
      </c>
      <c r="C597" s="7" t="s">
        <v>33</v>
      </c>
      <c r="D597" s="9">
        <v>0.56999999999999995</v>
      </c>
      <c r="E597" s="9">
        <v>1.28</v>
      </c>
      <c r="F597" s="9">
        <v>0.75</v>
      </c>
      <c r="G597" s="9">
        <v>81.12</v>
      </c>
      <c r="H597" s="9">
        <v>172.09</v>
      </c>
      <c r="I597" s="9">
        <v>102.09</v>
      </c>
      <c r="J597" s="7" t="s">
        <v>325</v>
      </c>
    </row>
    <row r="598" spans="1:10" x14ac:dyDescent="0.35">
      <c r="A598" s="7" t="s">
        <v>16</v>
      </c>
      <c r="B598" s="7" t="s">
        <v>105</v>
      </c>
      <c r="C598" s="7" t="s">
        <v>39</v>
      </c>
      <c r="D598" s="9">
        <v>0.69</v>
      </c>
      <c r="E598" s="9">
        <v>0.69</v>
      </c>
      <c r="F598" s="9">
        <v>0.75</v>
      </c>
      <c r="G598" s="9">
        <v>172.69</v>
      </c>
      <c r="H598" s="9">
        <v>268.24</v>
      </c>
      <c r="I598" s="9">
        <v>83.81</v>
      </c>
      <c r="J598" s="7" t="s">
        <v>325</v>
      </c>
    </row>
    <row r="599" spans="1:10" x14ac:dyDescent="0.35">
      <c r="A599" s="7" t="s">
        <v>159</v>
      </c>
      <c r="B599" s="7" t="s">
        <v>160</v>
      </c>
      <c r="C599" s="7" t="s">
        <v>72</v>
      </c>
      <c r="D599" s="9">
        <v>0.21</v>
      </c>
      <c r="E599" s="9">
        <v>2.59</v>
      </c>
      <c r="F599" s="9">
        <v>0.74</v>
      </c>
      <c r="G599" s="9">
        <v>114.58</v>
      </c>
      <c r="H599" s="8">
        <v>2346.0700000000002</v>
      </c>
      <c r="I599" s="9">
        <v>684.38</v>
      </c>
      <c r="J599" s="7" t="s">
        <v>325</v>
      </c>
    </row>
    <row r="600" spans="1:10" x14ac:dyDescent="0.35">
      <c r="A600" s="7" t="s">
        <v>23</v>
      </c>
      <c r="B600" s="7" t="s">
        <v>148</v>
      </c>
      <c r="C600" s="7" t="s">
        <v>60</v>
      </c>
      <c r="D600" s="9">
        <v>0</v>
      </c>
      <c r="E600" s="9">
        <v>0.11</v>
      </c>
      <c r="F600" s="9">
        <v>0.73</v>
      </c>
      <c r="G600" s="9">
        <v>0</v>
      </c>
      <c r="H600" s="9">
        <v>55.17</v>
      </c>
      <c r="I600" s="9">
        <v>318.66000000000003</v>
      </c>
      <c r="J600" s="7" t="s">
        <v>325</v>
      </c>
    </row>
    <row r="601" spans="1:10" x14ac:dyDescent="0.35">
      <c r="A601" s="7" t="s">
        <v>35</v>
      </c>
      <c r="B601" s="7" t="s">
        <v>198</v>
      </c>
      <c r="C601" s="7" t="s">
        <v>48</v>
      </c>
      <c r="D601" s="9">
        <v>1.72</v>
      </c>
      <c r="E601" s="9">
        <v>2.4700000000000002</v>
      </c>
      <c r="F601" s="9">
        <v>0.73</v>
      </c>
      <c r="G601" s="8">
        <v>2427.65</v>
      </c>
      <c r="H601" s="8">
        <v>2951.91</v>
      </c>
      <c r="I601" s="9">
        <v>973.71</v>
      </c>
      <c r="J601" s="7" t="s">
        <v>325</v>
      </c>
    </row>
    <row r="602" spans="1:10" x14ac:dyDescent="0.35">
      <c r="A602" s="7" t="s">
        <v>16</v>
      </c>
      <c r="B602" s="7" t="s">
        <v>28</v>
      </c>
      <c r="C602" s="7" t="s">
        <v>53</v>
      </c>
      <c r="D602" s="9">
        <v>0.72</v>
      </c>
      <c r="E602" s="9">
        <v>3.59</v>
      </c>
      <c r="F602" s="9">
        <v>0.73</v>
      </c>
      <c r="G602" s="8">
        <v>1413.06</v>
      </c>
      <c r="H602" s="8">
        <v>7820.18</v>
      </c>
      <c r="I602" s="8">
        <v>1598.18</v>
      </c>
      <c r="J602" s="7" t="s">
        <v>325</v>
      </c>
    </row>
    <row r="603" spans="1:10" x14ac:dyDescent="0.35">
      <c r="A603" s="7" t="s">
        <v>20</v>
      </c>
      <c r="B603" s="7" t="s">
        <v>82</v>
      </c>
      <c r="C603" s="7" t="s">
        <v>102</v>
      </c>
      <c r="D603" s="9">
        <v>8.0299999999999994</v>
      </c>
      <c r="E603" s="9">
        <v>5.0199999999999996</v>
      </c>
      <c r="F603" s="9">
        <v>0.72</v>
      </c>
      <c r="G603" s="8">
        <v>11673.64</v>
      </c>
      <c r="H603" s="8">
        <v>7619.47</v>
      </c>
      <c r="I603" s="8">
        <v>1047.8599999999999</v>
      </c>
      <c r="J603" s="7" t="s">
        <v>325</v>
      </c>
    </row>
    <row r="604" spans="1:10" x14ac:dyDescent="0.35">
      <c r="A604" s="7" t="s">
        <v>66</v>
      </c>
      <c r="B604" s="7" t="s">
        <v>71</v>
      </c>
      <c r="C604" s="7" t="s">
        <v>39</v>
      </c>
      <c r="D604" s="9">
        <v>6.09</v>
      </c>
      <c r="E604" s="9">
        <v>7.91</v>
      </c>
      <c r="F604" s="9">
        <v>0.72</v>
      </c>
      <c r="G604" s="8">
        <v>3021.56</v>
      </c>
      <c r="H604" s="8">
        <v>3808.3</v>
      </c>
      <c r="I604" s="9">
        <v>358.09</v>
      </c>
      <c r="J604" s="7" t="s">
        <v>325</v>
      </c>
    </row>
    <row r="605" spans="1:10" x14ac:dyDescent="0.35">
      <c r="A605" s="7" t="s">
        <v>20</v>
      </c>
      <c r="B605" s="7" t="s">
        <v>21</v>
      </c>
      <c r="C605" s="7" t="s">
        <v>142</v>
      </c>
      <c r="D605" s="9">
        <v>0.55000000000000004</v>
      </c>
      <c r="E605" s="9">
        <v>1.84</v>
      </c>
      <c r="F605" s="9">
        <v>0.72</v>
      </c>
      <c r="G605" s="9">
        <v>763.89</v>
      </c>
      <c r="H605" s="8">
        <v>2078.52</v>
      </c>
      <c r="I605" s="9">
        <v>778.94</v>
      </c>
      <c r="J605" s="7" t="s">
        <v>325</v>
      </c>
    </row>
    <row r="606" spans="1:10" x14ac:dyDescent="0.35">
      <c r="A606" s="7" t="s">
        <v>23</v>
      </c>
      <c r="B606" s="7" t="s">
        <v>24</v>
      </c>
      <c r="C606" s="7" t="s">
        <v>60</v>
      </c>
      <c r="D606" s="9">
        <v>1.91</v>
      </c>
      <c r="E606" s="9">
        <v>5.91</v>
      </c>
      <c r="F606" s="9">
        <v>0.72</v>
      </c>
      <c r="G606" s="9">
        <v>724.24</v>
      </c>
      <c r="H606" s="8">
        <v>2878.39</v>
      </c>
      <c r="I606" s="9">
        <v>363.72</v>
      </c>
      <c r="J606" s="7" t="s">
        <v>325</v>
      </c>
    </row>
    <row r="607" spans="1:10" x14ac:dyDescent="0.35">
      <c r="A607" s="7" t="s">
        <v>31</v>
      </c>
      <c r="B607" s="7" t="s">
        <v>171</v>
      </c>
      <c r="C607" s="7" t="s">
        <v>102</v>
      </c>
      <c r="D607" s="9">
        <v>2.04</v>
      </c>
      <c r="E607" s="9">
        <v>0.82</v>
      </c>
      <c r="F607" s="9">
        <v>0.72</v>
      </c>
      <c r="G607" s="8">
        <v>11380.48</v>
      </c>
      <c r="H607" s="8">
        <v>6902.9</v>
      </c>
      <c r="I607" s="8">
        <v>8259.1</v>
      </c>
      <c r="J607" s="7" t="s">
        <v>325</v>
      </c>
    </row>
    <row r="608" spans="1:10" x14ac:dyDescent="0.35">
      <c r="A608" s="7" t="s">
        <v>40</v>
      </c>
      <c r="B608" s="7" t="s">
        <v>117</v>
      </c>
      <c r="C608" s="7" t="s">
        <v>62</v>
      </c>
      <c r="D608" s="9">
        <v>2.25</v>
      </c>
      <c r="E608" s="9">
        <v>0</v>
      </c>
      <c r="F608" s="9">
        <v>0.72</v>
      </c>
      <c r="G608" s="8">
        <v>8150.54</v>
      </c>
      <c r="H608" s="9">
        <v>3.1</v>
      </c>
      <c r="I608" s="8">
        <v>3091.03</v>
      </c>
      <c r="J608" s="7" t="s">
        <v>325</v>
      </c>
    </row>
    <row r="609" spans="1:10" x14ac:dyDescent="0.35">
      <c r="A609" s="7" t="s">
        <v>23</v>
      </c>
      <c r="B609" s="7" t="s">
        <v>191</v>
      </c>
      <c r="C609" s="7" t="s">
        <v>55</v>
      </c>
      <c r="D609" s="9">
        <v>0</v>
      </c>
      <c r="E609" s="9">
        <v>1.54</v>
      </c>
      <c r="F609" s="9">
        <v>0.71</v>
      </c>
      <c r="G609" s="9">
        <v>0</v>
      </c>
      <c r="H609" s="8">
        <v>5511.98</v>
      </c>
      <c r="I609" s="8">
        <v>2719.32</v>
      </c>
      <c r="J609" s="7" t="s">
        <v>325</v>
      </c>
    </row>
    <row r="610" spans="1:10" x14ac:dyDescent="0.35">
      <c r="A610" s="7" t="s">
        <v>159</v>
      </c>
      <c r="B610" s="7" t="s">
        <v>186</v>
      </c>
      <c r="C610" s="7" t="s">
        <v>72</v>
      </c>
      <c r="D610" s="9">
        <v>2.39</v>
      </c>
      <c r="E610" s="9">
        <v>1.9</v>
      </c>
      <c r="F610" s="9">
        <v>0.71</v>
      </c>
      <c r="G610" s="8">
        <v>1129.8900000000001</v>
      </c>
      <c r="H610" s="8">
        <v>1274.3800000000001</v>
      </c>
      <c r="I610" s="9">
        <v>570.24</v>
      </c>
      <c r="J610" s="7" t="s">
        <v>325</v>
      </c>
    </row>
    <row r="611" spans="1:10" x14ac:dyDescent="0.35">
      <c r="A611" s="7" t="s">
        <v>94</v>
      </c>
      <c r="B611" s="7" t="s">
        <v>188</v>
      </c>
      <c r="C611" s="7" t="s">
        <v>27</v>
      </c>
      <c r="D611" s="9">
        <v>0.28000000000000003</v>
      </c>
      <c r="E611" s="9">
        <v>1.43</v>
      </c>
      <c r="F611" s="9">
        <v>0.71</v>
      </c>
      <c r="G611" s="9">
        <v>758.08</v>
      </c>
      <c r="H611" s="8">
        <v>3453.99</v>
      </c>
      <c r="I611" s="8">
        <v>1734.44</v>
      </c>
      <c r="J611" s="7" t="s">
        <v>325</v>
      </c>
    </row>
    <row r="612" spans="1:10" x14ac:dyDescent="0.35">
      <c r="A612" s="7" t="s">
        <v>166</v>
      </c>
      <c r="B612" s="7" t="s">
        <v>167</v>
      </c>
      <c r="C612" s="7" t="s">
        <v>84</v>
      </c>
      <c r="D612" s="9">
        <v>1.82</v>
      </c>
      <c r="E612" s="9">
        <v>2.12</v>
      </c>
      <c r="F612" s="9">
        <v>0.7</v>
      </c>
      <c r="G612" s="9">
        <v>231</v>
      </c>
      <c r="H612" s="9">
        <v>214.33</v>
      </c>
      <c r="I612" s="9">
        <v>68.040000000000006</v>
      </c>
      <c r="J612" s="7" t="s">
        <v>325</v>
      </c>
    </row>
    <row r="613" spans="1:10" x14ac:dyDescent="0.35">
      <c r="A613" s="7" t="s">
        <v>31</v>
      </c>
      <c r="B613" s="7" t="s">
        <v>101</v>
      </c>
      <c r="C613" s="7" t="s">
        <v>48</v>
      </c>
      <c r="D613" s="9">
        <v>2.08</v>
      </c>
      <c r="E613" s="9">
        <v>1.71</v>
      </c>
      <c r="F613" s="9">
        <v>0.7</v>
      </c>
      <c r="G613" s="8">
        <v>3501.6</v>
      </c>
      <c r="H613" s="8">
        <v>3424.49</v>
      </c>
      <c r="I613" s="8">
        <v>1205.95</v>
      </c>
      <c r="J613" s="7" t="s">
        <v>325</v>
      </c>
    </row>
    <row r="614" spans="1:10" x14ac:dyDescent="0.35">
      <c r="A614" s="7" t="s">
        <v>40</v>
      </c>
      <c r="B614" s="7" t="s">
        <v>117</v>
      </c>
      <c r="C614" s="7" t="s">
        <v>33</v>
      </c>
      <c r="D614" s="9">
        <v>0.64</v>
      </c>
      <c r="E614" s="9">
        <v>1</v>
      </c>
      <c r="F614" s="9">
        <v>0.7</v>
      </c>
      <c r="G614" s="9">
        <v>453.19</v>
      </c>
      <c r="H614" s="9">
        <v>867.13</v>
      </c>
      <c r="I614" s="9">
        <v>641.54999999999995</v>
      </c>
      <c r="J614" s="7" t="s">
        <v>325</v>
      </c>
    </row>
    <row r="615" spans="1:10" x14ac:dyDescent="0.35">
      <c r="A615" s="7" t="s">
        <v>16</v>
      </c>
      <c r="B615" s="7" t="s">
        <v>140</v>
      </c>
      <c r="C615" s="7" t="s">
        <v>33</v>
      </c>
      <c r="D615" s="9">
        <v>3.26</v>
      </c>
      <c r="E615" s="9">
        <v>3.09</v>
      </c>
      <c r="F615" s="9">
        <v>0.69</v>
      </c>
      <c r="G615" s="8">
        <v>2611.1799999999998</v>
      </c>
      <c r="H615" s="8">
        <v>2322.15</v>
      </c>
      <c r="I615" s="9">
        <v>540.13</v>
      </c>
      <c r="J615" s="7" t="s">
        <v>325</v>
      </c>
    </row>
    <row r="616" spans="1:10" x14ac:dyDescent="0.35">
      <c r="A616" s="7" t="s">
        <v>16</v>
      </c>
      <c r="B616" s="7" t="s">
        <v>89</v>
      </c>
      <c r="C616" s="7" t="s">
        <v>53</v>
      </c>
      <c r="D616" s="9">
        <v>3.23</v>
      </c>
      <c r="E616" s="9">
        <v>3.58</v>
      </c>
      <c r="F616" s="9">
        <v>0.69</v>
      </c>
      <c r="G616" s="8">
        <v>5712.54</v>
      </c>
      <c r="H616" s="8">
        <v>7149.16</v>
      </c>
      <c r="I616" s="8">
        <v>1302.9100000000001</v>
      </c>
      <c r="J616" s="7" t="s">
        <v>325</v>
      </c>
    </row>
    <row r="617" spans="1:10" x14ac:dyDescent="0.35">
      <c r="A617" s="7" t="s">
        <v>25</v>
      </c>
      <c r="B617" s="7" t="s">
        <v>195</v>
      </c>
      <c r="C617" s="7" t="s">
        <v>27</v>
      </c>
      <c r="D617" s="9">
        <v>17.62</v>
      </c>
      <c r="E617" s="9">
        <v>9.57</v>
      </c>
      <c r="F617" s="9">
        <v>0.68</v>
      </c>
      <c r="G617" s="8">
        <v>47250</v>
      </c>
      <c r="H617" s="8">
        <v>24384.75</v>
      </c>
      <c r="I617" s="8">
        <v>1986.42</v>
      </c>
      <c r="J617" s="7" t="s">
        <v>325</v>
      </c>
    </row>
    <row r="618" spans="1:10" x14ac:dyDescent="0.35">
      <c r="A618" s="7" t="s">
        <v>16</v>
      </c>
      <c r="B618" s="7" t="s">
        <v>52</v>
      </c>
      <c r="C618" s="7" t="s">
        <v>151</v>
      </c>
      <c r="D618" s="9">
        <v>2.82</v>
      </c>
      <c r="E618" s="9">
        <v>2.78</v>
      </c>
      <c r="F618" s="9">
        <v>0.68</v>
      </c>
      <c r="G618" s="8">
        <v>1875.34</v>
      </c>
      <c r="H618" s="8">
        <v>1754.84</v>
      </c>
      <c r="I618" s="9">
        <v>492.28</v>
      </c>
      <c r="J618" s="7" t="s">
        <v>325</v>
      </c>
    </row>
    <row r="619" spans="1:10" x14ac:dyDescent="0.35">
      <c r="A619" s="7" t="s">
        <v>129</v>
      </c>
      <c r="B619" s="7" t="s">
        <v>199</v>
      </c>
      <c r="C619" s="7" t="s">
        <v>142</v>
      </c>
      <c r="D619" s="9">
        <v>0</v>
      </c>
      <c r="E619" s="9">
        <v>0.69</v>
      </c>
      <c r="F619" s="9">
        <v>0.67</v>
      </c>
      <c r="G619" s="9">
        <v>0</v>
      </c>
      <c r="H619" s="8">
        <v>1488.86</v>
      </c>
      <c r="I619" s="8">
        <v>1121.96</v>
      </c>
      <c r="J619" s="7" t="s">
        <v>325</v>
      </c>
    </row>
    <row r="620" spans="1:10" x14ac:dyDescent="0.35">
      <c r="A620" s="7" t="s">
        <v>94</v>
      </c>
      <c r="B620" s="7" t="s">
        <v>184</v>
      </c>
      <c r="C620" s="7" t="s">
        <v>102</v>
      </c>
      <c r="D620" s="9">
        <v>4.05</v>
      </c>
      <c r="E620" s="9">
        <v>3.38</v>
      </c>
      <c r="F620" s="9">
        <v>0.67</v>
      </c>
      <c r="G620" s="8">
        <v>33721.1</v>
      </c>
      <c r="H620" s="8">
        <v>25379.08</v>
      </c>
      <c r="I620" s="8">
        <v>5743.16</v>
      </c>
      <c r="J620" s="7" t="s">
        <v>325</v>
      </c>
    </row>
    <row r="621" spans="1:10" x14ac:dyDescent="0.35">
      <c r="A621" s="7" t="s">
        <v>66</v>
      </c>
      <c r="B621" s="7" t="s">
        <v>73</v>
      </c>
      <c r="C621" s="7" t="s">
        <v>42</v>
      </c>
      <c r="D621" s="9">
        <v>3.56</v>
      </c>
      <c r="E621" s="9">
        <v>3.68</v>
      </c>
      <c r="F621" s="9">
        <v>0.66</v>
      </c>
      <c r="G621" s="8">
        <v>2410.64</v>
      </c>
      <c r="H621" s="8">
        <v>3005.53</v>
      </c>
      <c r="I621" s="9">
        <v>544.09</v>
      </c>
      <c r="J621" s="7" t="s">
        <v>325</v>
      </c>
    </row>
    <row r="622" spans="1:10" x14ac:dyDescent="0.35">
      <c r="A622" s="7" t="s">
        <v>23</v>
      </c>
      <c r="B622" s="7" t="s">
        <v>124</v>
      </c>
      <c r="C622" s="7" t="s">
        <v>102</v>
      </c>
      <c r="D622" s="9">
        <v>0</v>
      </c>
      <c r="E622" s="9">
        <v>3.19</v>
      </c>
      <c r="F622" s="9">
        <v>0.66</v>
      </c>
      <c r="G622" s="9">
        <v>0</v>
      </c>
      <c r="H622" s="8">
        <v>21215.34</v>
      </c>
      <c r="I622" s="8">
        <v>4794.6099999999997</v>
      </c>
      <c r="J622" s="7" t="s">
        <v>325</v>
      </c>
    </row>
    <row r="623" spans="1:10" x14ac:dyDescent="0.35">
      <c r="A623" s="7" t="s">
        <v>31</v>
      </c>
      <c r="B623" s="7" t="s">
        <v>171</v>
      </c>
      <c r="C623" s="7" t="s">
        <v>55</v>
      </c>
      <c r="D623" s="9">
        <v>1.04</v>
      </c>
      <c r="E623" s="9">
        <v>0.79</v>
      </c>
      <c r="F623" s="9">
        <v>0.66</v>
      </c>
      <c r="G623" s="8">
        <v>3556.76</v>
      </c>
      <c r="H623" s="8">
        <v>4386.28</v>
      </c>
      <c r="I623" s="8">
        <v>4538.1499999999996</v>
      </c>
      <c r="J623" s="7" t="s">
        <v>325</v>
      </c>
    </row>
    <row r="624" spans="1:10" x14ac:dyDescent="0.35">
      <c r="A624" s="7" t="s">
        <v>79</v>
      </c>
      <c r="B624" s="7" t="s">
        <v>80</v>
      </c>
      <c r="C624" s="7" t="s">
        <v>27</v>
      </c>
      <c r="D624" s="9">
        <v>2.9</v>
      </c>
      <c r="E624" s="9">
        <v>2.65</v>
      </c>
      <c r="F624" s="9">
        <v>0.66</v>
      </c>
      <c r="G624" s="8">
        <v>3977.91</v>
      </c>
      <c r="H624" s="8">
        <v>3909.82</v>
      </c>
      <c r="I624" s="9">
        <v>940.77</v>
      </c>
      <c r="J624" s="7" t="s">
        <v>325</v>
      </c>
    </row>
    <row r="625" spans="1:10" x14ac:dyDescent="0.35">
      <c r="A625" s="7" t="s">
        <v>31</v>
      </c>
      <c r="B625" s="7" t="s">
        <v>152</v>
      </c>
      <c r="C625" s="7" t="s">
        <v>62</v>
      </c>
      <c r="D625" s="9">
        <v>0.66</v>
      </c>
      <c r="E625" s="9">
        <v>1.24</v>
      </c>
      <c r="F625" s="9">
        <v>0.65</v>
      </c>
      <c r="G625" s="8">
        <v>2809.13</v>
      </c>
      <c r="H625" s="8">
        <v>5792.05</v>
      </c>
      <c r="I625" s="8">
        <v>3093.33</v>
      </c>
      <c r="J625" s="7" t="s">
        <v>325</v>
      </c>
    </row>
    <row r="626" spans="1:10" x14ac:dyDescent="0.35">
      <c r="A626" s="7" t="s">
        <v>166</v>
      </c>
      <c r="B626" s="7" t="s">
        <v>200</v>
      </c>
      <c r="C626" s="7" t="s">
        <v>102</v>
      </c>
      <c r="D626" s="9">
        <v>3.07</v>
      </c>
      <c r="E626" s="9">
        <v>3.7</v>
      </c>
      <c r="F626" s="9">
        <v>0.64</v>
      </c>
      <c r="G626" s="9">
        <v>957.65</v>
      </c>
      <c r="H626" s="8">
        <v>1252.9000000000001</v>
      </c>
      <c r="I626" s="9">
        <v>283.36</v>
      </c>
      <c r="J626" s="7" t="s">
        <v>325</v>
      </c>
    </row>
    <row r="627" spans="1:10" x14ac:dyDescent="0.35">
      <c r="A627" s="7" t="s">
        <v>31</v>
      </c>
      <c r="B627" s="7" t="s">
        <v>139</v>
      </c>
      <c r="C627" s="7" t="s">
        <v>45</v>
      </c>
      <c r="D627" s="9">
        <v>3.17</v>
      </c>
      <c r="E627" s="9">
        <v>3.83</v>
      </c>
      <c r="F627" s="9">
        <v>0.64</v>
      </c>
      <c r="G627" s="8">
        <v>14640.44</v>
      </c>
      <c r="H627" s="8">
        <v>11956.76</v>
      </c>
      <c r="I627" s="8">
        <v>3043.5</v>
      </c>
      <c r="J627" s="7" t="s">
        <v>325</v>
      </c>
    </row>
    <row r="628" spans="1:10" x14ac:dyDescent="0.35">
      <c r="A628" s="7" t="s">
        <v>74</v>
      </c>
      <c r="B628" s="7" t="s">
        <v>137</v>
      </c>
      <c r="C628" s="7" t="s">
        <v>76</v>
      </c>
      <c r="D628" s="9">
        <v>0.7</v>
      </c>
      <c r="E628" s="9">
        <v>0.6</v>
      </c>
      <c r="F628" s="9">
        <v>0.63</v>
      </c>
      <c r="G628" s="9">
        <v>279.87</v>
      </c>
      <c r="H628" s="9">
        <v>295.86</v>
      </c>
      <c r="I628" s="9">
        <v>278.37</v>
      </c>
      <c r="J628" s="7" t="s">
        <v>325</v>
      </c>
    </row>
    <row r="629" spans="1:10" x14ac:dyDescent="0.35">
      <c r="A629" s="7" t="s">
        <v>94</v>
      </c>
      <c r="B629" s="7" t="s">
        <v>95</v>
      </c>
      <c r="C629" s="7" t="s">
        <v>102</v>
      </c>
      <c r="D629" s="9">
        <v>1.53</v>
      </c>
      <c r="E629" s="9">
        <v>2.94</v>
      </c>
      <c r="F629" s="9">
        <v>0.63</v>
      </c>
      <c r="G629" s="8">
        <v>6885.51</v>
      </c>
      <c r="H629" s="8">
        <v>15062.74</v>
      </c>
      <c r="I629" s="8">
        <v>3420.39</v>
      </c>
      <c r="J629" s="7" t="s">
        <v>325</v>
      </c>
    </row>
    <row r="630" spans="1:10" x14ac:dyDescent="0.35">
      <c r="A630" s="7" t="s">
        <v>31</v>
      </c>
      <c r="B630" s="7" t="s">
        <v>141</v>
      </c>
      <c r="C630" s="7" t="s">
        <v>48</v>
      </c>
      <c r="D630" s="9">
        <v>0.89</v>
      </c>
      <c r="E630" s="9">
        <v>1.67</v>
      </c>
      <c r="F630" s="9">
        <v>0.63</v>
      </c>
      <c r="G630" s="9">
        <v>585.02</v>
      </c>
      <c r="H630" s="9">
        <v>710.65</v>
      </c>
      <c r="I630" s="9">
        <v>320.08999999999997</v>
      </c>
      <c r="J630" s="7" t="s">
        <v>325</v>
      </c>
    </row>
    <row r="631" spans="1:10" x14ac:dyDescent="0.35">
      <c r="A631" s="7" t="s">
        <v>35</v>
      </c>
      <c r="B631" s="7" t="s">
        <v>201</v>
      </c>
      <c r="C631" s="7" t="s">
        <v>39</v>
      </c>
      <c r="D631" s="9">
        <v>0.43</v>
      </c>
      <c r="E631" s="9">
        <v>0.96</v>
      </c>
      <c r="F631" s="9">
        <v>0.63</v>
      </c>
      <c r="G631" s="9">
        <v>84.56</v>
      </c>
      <c r="H631" s="9">
        <v>202.78</v>
      </c>
      <c r="I631" s="9">
        <v>317.61</v>
      </c>
      <c r="J631" s="7" t="s">
        <v>325</v>
      </c>
    </row>
    <row r="632" spans="1:10" x14ac:dyDescent="0.35">
      <c r="A632" s="7" t="s">
        <v>31</v>
      </c>
      <c r="B632" s="7" t="s">
        <v>192</v>
      </c>
      <c r="C632" s="7" t="s">
        <v>170</v>
      </c>
      <c r="D632" s="9">
        <v>1.98</v>
      </c>
      <c r="E632" s="9">
        <v>1.77</v>
      </c>
      <c r="F632" s="9">
        <v>0.63</v>
      </c>
      <c r="G632" s="9">
        <v>522.79</v>
      </c>
      <c r="H632" s="9">
        <v>604.49</v>
      </c>
      <c r="I632" s="9">
        <v>202.09</v>
      </c>
      <c r="J632" s="7" t="s">
        <v>325</v>
      </c>
    </row>
    <row r="633" spans="1:10" x14ac:dyDescent="0.35">
      <c r="A633" s="7" t="s">
        <v>40</v>
      </c>
      <c r="B633" s="7" t="s">
        <v>41</v>
      </c>
      <c r="C633" s="7" t="s">
        <v>18</v>
      </c>
      <c r="D633" s="9">
        <v>1.29</v>
      </c>
      <c r="E633" s="9">
        <v>1.3</v>
      </c>
      <c r="F633" s="9">
        <v>0.62</v>
      </c>
      <c r="G633" s="8">
        <v>1155.56</v>
      </c>
      <c r="H633" s="8">
        <v>1230.18</v>
      </c>
      <c r="I633" s="9">
        <v>595.46</v>
      </c>
      <c r="J633" s="7" t="s">
        <v>325</v>
      </c>
    </row>
    <row r="634" spans="1:10" x14ac:dyDescent="0.35">
      <c r="A634" s="7" t="s">
        <v>31</v>
      </c>
      <c r="B634" s="7" t="s">
        <v>131</v>
      </c>
      <c r="C634" s="7" t="s">
        <v>110</v>
      </c>
      <c r="D634" s="9">
        <v>0</v>
      </c>
      <c r="E634" s="9">
        <v>0.08</v>
      </c>
      <c r="F634" s="9">
        <v>0.62</v>
      </c>
      <c r="G634" s="9">
        <v>0</v>
      </c>
      <c r="H634" s="9">
        <v>859.32</v>
      </c>
      <c r="I634" s="8">
        <v>6105.98</v>
      </c>
      <c r="J634" s="7" t="s">
        <v>325</v>
      </c>
    </row>
    <row r="635" spans="1:10" x14ac:dyDescent="0.35">
      <c r="A635" s="7" t="s">
        <v>23</v>
      </c>
      <c r="B635" s="7" t="s">
        <v>191</v>
      </c>
      <c r="C635" s="7" t="s">
        <v>45</v>
      </c>
      <c r="D635" s="9">
        <v>0</v>
      </c>
      <c r="E635" s="9">
        <v>4.09</v>
      </c>
      <c r="F635" s="9">
        <v>0.62</v>
      </c>
      <c r="G635" s="9">
        <v>0</v>
      </c>
      <c r="H635" s="8">
        <v>9364.32</v>
      </c>
      <c r="I635" s="8">
        <v>2195.7800000000002</v>
      </c>
      <c r="J635" s="7" t="s">
        <v>325</v>
      </c>
    </row>
    <row r="636" spans="1:10" x14ac:dyDescent="0.35">
      <c r="A636" s="7" t="s">
        <v>31</v>
      </c>
      <c r="B636" s="7" t="s">
        <v>131</v>
      </c>
      <c r="C636" s="7" t="s">
        <v>170</v>
      </c>
      <c r="D636" s="9">
        <v>2.98</v>
      </c>
      <c r="E636" s="9">
        <v>2.0099999999999998</v>
      </c>
      <c r="F636" s="9">
        <v>0.62</v>
      </c>
      <c r="G636" s="9">
        <v>927.48</v>
      </c>
      <c r="H636" s="9">
        <v>694.18</v>
      </c>
      <c r="I636" s="9">
        <v>242.44</v>
      </c>
      <c r="J636" s="7" t="s">
        <v>325</v>
      </c>
    </row>
    <row r="637" spans="1:10" x14ac:dyDescent="0.35">
      <c r="A637" s="7" t="s">
        <v>31</v>
      </c>
      <c r="B637" s="7" t="s">
        <v>131</v>
      </c>
      <c r="C637" s="7" t="s">
        <v>33</v>
      </c>
      <c r="D637" s="9">
        <v>1.85</v>
      </c>
      <c r="E637" s="9">
        <v>1.63</v>
      </c>
      <c r="F637" s="9">
        <v>0.61</v>
      </c>
      <c r="G637" s="8">
        <v>1777.53</v>
      </c>
      <c r="H637" s="8">
        <v>1682.1</v>
      </c>
      <c r="I637" s="9">
        <v>735.5</v>
      </c>
      <c r="J637" s="7" t="s">
        <v>325</v>
      </c>
    </row>
    <row r="638" spans="1:10" x14ac:dyDescent="0.35">
      <c r="A638" s="7" t="s">
        <v>66</v>
      </c>
      <c r="B638" s="7" t="s">
        <v>100</v>
      </c>
      <c r="C638" s="7" t="s">
        <v>39</v>
      </c>
      <c r="D638" s="9">
        <v>0</v>
      </c>
      <c r="E638" s="9">
        <v>0.28000000000000003</v>
      </c>
      <c r="F638" s="9">
        <v>0.61</v>
      </c>
      <c r="G638" s="9">
        <v>0</v>
      </c>
      <c r="H638" s="9">
        <v>88.92</v>
      </c>
      <c r="I638" s="9">
        <v>224.46</v>
      </c>
      <c r="J638" s="7" t="s">
        <v>325</v>
      </c>
    </row>
    <row r="639" spans="1:10" x14ac:dyDescent="0.35">
      <c r="A639" s="7" t="s">
        <v>16</v>
      </c>
      <c r="B639" s="7" t="s">
        <v>140</v>
      </c>
      <c r="C639" s="7" t="s">
        <v>42</v>
      </c>
      <c r="D639" s="9">
        <v>6.1</v>
      </c>
      <c r="E639" s="9">
        <v>1.29</v>
      </c>
      <c r="F639" s="9">
        <v>0.6</v>
      </c>
      <c r="G639" s="8">
        <v>1074.71</v>
      </c>
      <c r="H639" s="9">
        <v>368.06</v>
      </c>
      <c r="I639" s="9">
        <v>169.35</v>
      </c>
      <c r="J639" s="7" t="s">
        <v>325</v>
      </c>
    </row>
    <row r="640" spans="1:10" x14ac:dyDescent="0.35">
      <c r="A640" s="7" t="s">
        <v>40</v>
      </c>
      <c r="B640" s="7" t="s">
        <v>107</v>
      </c>
      <c r="C640" s="7" t="s">
        <v>122</v>
      </c>
      <c r="D640" s="9">
        <v>3.22</v>
      </c>
      <c r="E640" s="9">
        <v>1.97</v>
      </c>
      <c r="F640" s="9">
        <v>0.59</v>
      </c>
      <c r="G640" s="9">
        <v>429.34</v>
      </c>
      <c r="H640" s="9">
        <v>258.52</v>
      </c>
      <c r="I640" s="9">
        <v>106.52</v>
      </c>
      <c r="J640" s="7" t="s">
        <v>325</v>
      </c>
    </row>
    <row r="641" spans="1:10" x14ac:dyDescent="0.35">
      <c r="A641" s="7" t="s">
        <v>16</v>
      </c>
      <c r="B641" s="7" t="s">
        <v>90</v>
      </c>
      <c r="C641" s="7" t="s">
        <v>65</v>
      </c>
      <c r="D641" s="9">
        <v>1.2</v>
      </c>
      <c r="E641" s="9">
        <v>2.2999999999999998</v>
      </c>
      <c r="F641" s="9">
        <v>0.59</v>
      </c>
      <c r="G641" s="8">
        <v>1199.83</v>
      </c>
      <c r="H641" s="8">
        <v>2974.27</v>
      </c>
      <c r="I641" s="9">
        <v>675.85</v>
      </c>
      <c r="J641" s="7" t="s">
        <v>325</v>
      </c>
    </row>
    <row r="642" spans="1:10" x14ac:dyDescent="0.35">
      <c r="A642" s="7" t="s">
        <v>31</v>
      </c>
      <c r="B642" s="7" t="s">
        <v>131</v>
      </c>
      <c r="C642" s="7" t="s">
        <v>53</v>
      </c>
      <c r="D642" s="9">
        <v>1.29</v>
      </c>
      <c r="E642" s="9">
        <v>1.54</v>
      </c>
      <c r="F642" s="9">
        <v>0.59</v>
      </c>
      <c r="G642" s="9">
        <v>865.86</v>
      </c>
      <c r="H642" s="8">
        <v>1648.7</v>
      </c>
      <c r="I642" s="9">
        <v>541.62</v>
      </c>
      <c r="J642" s="7" t="s">
        <v>325</v>
      </c>
    </row>
    <row r="643" spans="1:10" x14ac:dyDescent="0.35">
      <c r="A643" s="7" t="s">
        <v>94</v>
      </c>
      <c r="B643" s="7" t="s">
        <v>95</v>
      </c>
      <c r="C643" s="7" t="s">
        <v>144</v>
      </c>
      <c r="D643" s="9">
        <v>3.34</v>
      </c>
      <c r="E643" s="9">
        <v>2.5</v>
      </c>
      <c r="F643" s="9">
        <v>0.59</v>
      </c>
      <c r="G643" s="8">
        <v>9301.11</v>
      </c>
      <c r="H643" s="8">
        <v>7128.39</v>
      </c>
      <c r="I643" s="8">
        <v>1682.46</v>
      </c>
      <c r="J643" s="7" t="s">
        <v>325</v>
      </c>
    </row>
    <row r="644" spans="1:10" x14ac:dyDescent="0.35">
      <c r="A644" s="7" t="s">
        <v>16</v>
      </c>
      <c r="B644" s="7" t="s">
        <v>109</v>
      </c>
      <c r="C644" s="7" t="s">
        <v>46</v>
      </c>
      <c r="D644" s="9">
        <v>2.71</v>
      </c>
      <c r="E644" s="9">
        <v>1.26</v>
      </c>
      <c r="F644" s="9">
        <v>0.59</v>
      </c>
      <c r="G644" s="8">
        <v>1416.9</v>
      </c>
      <c r="H644" s="9">
        <v>737.23</v>
      </c>
      <c r="I644" s="9">
        <v>322.27</v>
      </c>
      <c r="J644" s="7" t="s">
        <v>325</v>
      </c>
    </row>
    <row r="645" spans="1:10" x14ac:dyDescent="0.35">
      <c r="A645" s="7" t="s">
        <v>20</v>
      </c>
      <c r="B645" s="7" t="s">
        <v>154</v>
      </c>
      <c r="C645" s="7" t="s">
        <v>62</v>
      </c>
      <c r="D645" s="9">
        <v>0</v>
      </c>
      <c r="E645" s="9">
        <v>0.5</v>
      </c>
      <c r="F645" s="9">
        <v>0.57999999999999996</v>
      </c>
      <c r="G645" s="9">
        <v>0</v>
      </c>
      <c r="H645" s="8">
        <v>2132.5700000000002</v>
      </c>
      <c r="I645" s="8">
        <v>2608.9499999999998</v>
      </c>
      <c r="J645" s="7" t="s">
        <v>325</v>
      </c>
    </row>
    <row r="646" spans="1:10" x14ac:dyDescent="0.35">
      <c r="A646" s="7" t="s">
        <v>79</v>
      </c>
      <c r="B646" s="7" t="s">
        <v>202</v>
      </c>
      <c r="C646" s="7" t="s">
        <v>142</v>
      </c>
      <c r="D646" s="9">
        <v>2.09</v>
      </c>
      <c r="E646" s="9">
        <v>1.19</v>
      </c>
      <c r="F646" s="9">
        <v>0.57999999999999996</v>
      </c>
      <c r="G646" s="8">
        <v>1543.46</v>
      </c>
      <c r="H646" s="8">
        <v>1202.05</v>
      </c>
      <c r="I646" s="9">
        <v>852.17</v>
      </c>
      <c r="J646" s="7" t="s">
        <v>325</v>
      </c>
    </row>
    <row r="647" spans="1:10" x14ac:dyDescent="0.35">
      <c r="A647" s="7" t="s">
        <v>16</v>
      </c>
      <c r="B647" s="7" t="s">
        <v>90</v>
      </c>
      <c r="C647" s="7" t="s">
        <v>42</v>
      </c>
      <c r="D647" s="9">
        <v>1.44</v>
      </c>
      <c r="E647" s="9">
        <v>1.87</v>
      </c>
      <c r="F647" s="9">
        <v>0.56999999999999995</v>
      </c>
      <c r="G647" s="9">
        <v>573.80999999999995</v>
      </c>
      <c r="H647" s="9">
        <v>814.07</v>
      </c>
      <c r="I647" s="9">
        <v>255.03</v>
      </c>
      <c r="J647" s="7" t="s">
        <v>325</v>
      </c>
    </row>
    <row r="648" spans="1:10" x14ac:dyDescent="0.35">
      <c r="A648" s="7" t="s">
        <v>94</v>
      </c>
      <c r="B648" s="7" t="s">
        <v>112</v>
      </c>
      <c r="C648" s="7" t="s">
        <v>116</v>
      </c>
      <c r="D648" s="9">
        <v>0.31</v>
      </c>
      <c r="E648" s="9">
        <v>0.74</v>
      </c>
      <c r="F648" s="9">
        <v>0.56999999999999995</v>
      </c>
      <c r="G648" s="8">
        <v>1714.38</v>
      </c>
      <c r="H648" s="8">
        <v>5742.41</v>
      </c>
      <c r="I648" s="8">
        <v>4064.54</v>
      </c>
      <c r="J648" s="7" t="s">
        <v>325</v>
      </c>
    </row>
    <row r="649" spans="1:10" x14ac:dyDescent="0.35">
      <c r="A649" s="7" t="s">
        <v>23</v>
      </c>
      <c r="B649" s="7" t="s">
        <v>191</v>
      </c>
      <c r="C649" s="7" t="s">
        <v>27</v>
      </c>
      <c r="D649" s="9">
        <v>0</v>
      </c>
      <c r="E649" s="9">
        <v>4.3600000000000003</v>
      </c>
      <c r="F649" s="9">
        <v>0.56000000000000005</v>
      </c>
      <c r="G649" s="9">
        <v>0</v>
      </c>
      <c r="H649" s="8">
        <v>10856.72</v>
      </c>
      <c r="I649" s="8">
        <v>1270.8800000000001</v>
      </c>
      <c r="J649" s="7" t="s">
        <v>325</v>
      </c>
    </row>
    <row r="650" spans="1:10" x14ac:dyDescent="0.35">
      <c r="A650" s="7" t="s">
        <v>86</v>
      </c>
      <c r="B650" s="7" t="s">
        <v>87</v>
      </c>
      <c r="C650" s="7" t="s">
        <v>102</v>
      </c>
      <c r="D650" s="9">
        <v>2.23</v>
      </c>
      <c r="E650" s="9">
        <v>2.29</v>
      </c>
      <c r="F650" s="9">
        <v>0.56000000000000005</v>
      </c>
      <c r="G650" s="9">
        <v>736.29</v>
      </c>
      <c r="H650" s="9">
        <v>627.91</v>
      </c>
      <c r="I650" s="9">
        <v>213.72</v>
      </c>
      <c r="J650" s="7" t="s">
        <v>325</v>
      </c>
    </row>
    <row r="651" spans="1:10" x14ac:dyDescent="0.35">
      <c r="A651" s="7" t="s">
        <v>35</v>
      </c>
      <c r="B651" s="7" t="s">
        <v>47</v>
      </c>
      <c r="C651" s="7" t="s">
        <v>54</v>
      </c>
      <c r="D651" s="9">
        <v>32.31</v>
      </c>
      <c r="E651" s="9">
        <v>2.52</v>
      </c>
      <c r="F651" s="9">
        <v>0.56000000000000005</v>
      </c>
      <c r="G651" s="8">
        <v>10303.65</v>
      </c>
      <c r="H651" s="9">
        <v>893.37</v>
      </c>
      <c r="I651" s="9">
        <v>239.67</v>
      </c>
      <c r="J651" s="7" t="s">
        <v>325</v>
      </c>
    </row>
    <row r="652" spans="1:10" x14ac:dyDescent="0.35">
      <c r="A652" s="7" t="s">
        <v>23</v>
      </c>
      <c r="B652" s="7" t="s">
        <v>191</v>
      </c>
      <c r="C652" s="7" t="s">
        <v>113</v>
      </c>
      <c r="D652" s="9">
        <v>0</v>
      </c>
      <c r="E652" s="9">
        <v>1.53</v>
      </c>
      <c r="F652" s="9">
        <v>0.56000000000000005</v>
      </c>
      <c r="G652" s="9">
        <v>0</v>
      </c>
      <c r="H652" s="8">
        <v>5200.83</v>
      </c>
      <c r="I652" s="8">
        <v>2050.21</v>
      </c>
      <c r="J652" s="7" t="s">
        <v>325</v>
      </c>
    </row>
    <row r="653" spans="1:10" x14ac:dyDescent="0.35">
      <c r="A653" s="7" t="s">
        <v>129</v>
      </c>
      <c r="B653" s="7" t="s">
        <v>147</v>
      </c>
      <c r="C653" s="7" t="s">
        <v>84</v>
      </c>
      <c r="D653" s="9">
        <v>0.32</v>
      </c>
      <c r="E653" s="9">
        <v>1.38</v>
      </c>
      <c r="F653" s="9">
        <v>0.55000000000000004</v>
      </c>
      <c r="G653" s="9">
        <v>55.26</v>
      </c>
      <c r="H653" s="9">
        <v>189.82</v>
      </c>
      <c r="I653" s="9">
        <v>75.55</v>
      </c>
      <c r="J653" s="7" t="s">
        <v>325</v>
      </c>
    </row>
    <row r="654" spans="1:10" x14ac:dyDescent="0.35">
      <c r="A654" s="7" t="s">
        <v>94</v>
      </c>
      <c r="B654" s="7" t="s">
        <v>203</v>
      </c>
      <c r="C654" s="7" t="s">
        <v>53</v>
      </c>
      <c r="D654" s="9">
        <v>3.05</v>
      </c>
      <c r="E654" s="9">
        <v>1.93</v>
      </c>
      <c r="F654" s="9">
        <v>0.55000000000000004</v>
      </c>
      <c r="G654" s="8">
        <v>9416.58</v>
      </c>
      <c r="H654" s="8">
        <v>5335.85</v>
      </c>
      <c r="I654" s="8">
        <v>1518.64</v>
      </c>
      <c r="J654" s="7" t="s">
        <v>325</v>
      </c>
    </row>
    <row r="655" spans="1:10" x14ac:dyDescent="0.35">
      <c r="A655" s="7" t="s">
        <v>31</v>
      </c>
      <c r="B655" s="7" t="s">
        <v>171</v>
      </c>
      <c r="C655" s="7" t="s">
        <v>53</v>
      </c>
      <c r="D655" s="9">
        <v>1.69</v>
      </c>
      <c r="E655" s="9">
        <v>1.28</v>
      </c>
      <c r="F655" s="9">
        <v>0.55000000000000004</v>
      </c>
      <c r="G655" s="8">
        <v>7007.25</v>
      </c>
      <c r="H655" s="8">
        <v>4517.3900000000003</v>
      </c>
      <c r="I655" s="8">
        <v>2097.37</v>
      </c>
      <c r="J655" s="7" t="s">
        <v>325</v>
      </c>
    </row>
    <row r="656" spans="1:10" x14ac:dyDescent="0.35">
      <c r="A656" s="7" t="s">
        <v>31</v>
      </c>
      <c r="B656" s="7" t="s">
        <v>192</v>
      </c>
      <c r="C656" s="7" t="s">
        <v>45</v>
      </c>
      <c r="D656" s="9">
        <v>0.19</v>
      </c>
      <c r="E656" s="9">
        <v>0.83</v>
      </c>
      <c r="F656" s="9">
        <v>0.55000000000000004</v>
      </c>
      <c r="G656" s="9">
        <v>242.46</v>
      </c>
      <c r="H656" s="8">
        <v>1037.24</v>
      </c>
      <c r="I656" s="9">
        <v>523.89</v>
      </c>
      <c r="J656" s="7" t="s">
        <v>325</v>
      </c>
    </row>
    <row r="657" spans="1:10" x14ac:dyDescent="0.35">
      <c r="A657" s="7" t="s">
        <v>40</v>
      </c>
      <c r="B657" s="7" t="s">
        <v>85</v>
      </c>
      <c r="C657" s="7" t="s">
        <v>151</v>
      </c>
      <c r="D657" s="9">
        <v>8.69</v>
      </c>
      <c r="E657" s="9">
        <v>3.18</v>
      </c>
      <c r="F657" s="9">
        <v>0.54</v>
      </c>
      <c r="G657" s="8">
        <v>9584.4500000000007</v>
      </c>
      <c r="H657" s="8">
        <v>5672.36</v>
      </c>
      <c r="I657" s="8">
        <v>1204.1600000000001</v>
      </c>
      <c r="J657" s="7" t="s">
        <v>325</v>
      </c>
    </row>
    <row r="658" spans="1:10" x14ac:dyDescent="0.35">
      <c r="A658" s="7" t="s">
        <v>40</v>
      </c>
      <c r="B658" s="7" t="s">
        <v>41</v>
      </c>
      <c r="C658" s="7" t="s">
        <v>122</v>
      </c>
      <c r="D658" s="9">
        <v>3.17</v>
      </c>
      <c r="E658" s="9">
        <v>2.37</v>
      </c>
      <c r="F658" s="9">
        <v>0.54</v>
      </c>
      <c r="G658" s="9">
        <v>929.5</v>
      </c>
      <c r="H658" s="9">
        <v>444.58</v>
      </c>
      <c r="I658" s="9">
        <v>81.209999999999994</v>
      </c>
      <c r="J658" s="7" t="s">
        <v>325</v>
      </c>
    </row>
    <row r="659" spans="1:10" x14ac:dyDescent="0.35">
      <c r="A659" s="7" t="s">
        <v>20</v>
      </c>
      <c r="B659" s="7" t="s">
        <v>145</v>
      </c>
      <c r="C659" s="7" t="s">
        <v>42</v>
      </c>
      <c r="D659" s="9">
        <v>0</v>
      </c>
      <c r="E659" s="9">
        <v>0.92</v>
      </c>
      <c r="F659" s="9">
        <v>0.54</v>
      </c>
      <c r="G659" s="9">
        <v>0</v>
      </c>
      <c r="H659" s="8">
        <v>1170.55</v>
      </c>
      <c r="I659" s="9">
        <v>779.95</v>
      </c>
      <c r="J659" s="7" t="s">
        <v>325</v>
      </c>
    </row>
    <row r="660" spans="1:10" x14ac:dyDescent="0.35">
      <c r="A660" s="7" t="s">
        <v>16</v>
      </c>
      <c r="B660" s="7" t="s">
        <v>28</v>
      </c>
      <c r="C660" s="7" t="s">
        <v>42</v>
      </c>
      <c r="D660" s="9">
        <v>0.39</v>
      </c>
      <c r="E660" s="9">
        <v>5.96</v>
      </c>
      <c r="F660" s="9">
        <v>0.54</v>
      </c>
      <c r="G660" s="9">
        <v>356.87</v>
      </c>
      <c r="H660" s="8">
        <v>6426.59</v>
      </c>
      <c r="I660" s="9">
        <v>262.62</v>
      </c>
      <c r="J660" s="7" t="s">
        <v>325</v>
      </c>
    </row>
    <row r="661" spans="1:10" ht="26.25" customHeight="1" x14ac:dyDescent="0.35">
      <c r="A661" s="7" t="s">
        <v>31</v>
      </c>
      <c r="B661" s="7" t="s">
        <v>146</v>
      </c>
      <c r="C661" s="7" t="s">
        <v>84</v>
      </c>
      <c r="D661" s="9">
        <v>0.93</v>
      </c>
      <c r="E661" s="9">
        <v>1.98</v>
      </c>
      <c r="F661" s="9">
        <v>0.53</v>
      </c>
      <c r="G661" s="9">
        <v>259</v>
      </c>
      <c r="H661" s="9">
        <v>478.8</v>
      </c>
      <c r="I661" s="9">
        <v>112.3</v>
      </c>
      <c r="J661" s="7" t="s">
        <v>325</v>
      </c>
    </row>
    <row r="662" spans="1:10" x14ac:dyDescent="0.35">
      <c r="A662" s="7" t="s">
        <v>129</v>
      </c>
      <c r="B662" s="7" t="s">
        <v>147</v>
      </c>
      <c r="C662" s="7" t="s">
        <v>102</v>
      </c>
      <c r="D662" s="9">
        <v>2.06</v>
      </c>
      <c r="E662" s="9">
        <v>2.88</v>
      </c>
      <c r="F662" s="9">
        <v>0.53</v>
      </c>
      <c r="G662" s="8">
        <v>17365.88</v>
      </c>
      <c r="H662" s="8">
        <v>22746.31</v>
      </c>
      <c r="I662" s="8">
        <v>3864.59</v>
      </c>
      <c r="J662" s="7" t="s">
        <v>325</v>
      </c>
    </row>
    <row r="663" spans="1:10" x14ac:dyDescent="0.35">
      <c r="A663" s="7" t="s">
        <v>189</v>
      </c>
      <c r="B663" s="7" t="s">
        <v>193</v>
      </c>
      <c r="C663" s="7" t="s">
        <v>60</v>
      </c>
      <c r="D663" s="9">
        <v>2.31</v>
      </c>
      <c r="E663" s="9">
        <v>0.47</v>
      </c>
      <c r="F663" s="9">
        <v>0.53</v>
      </c>
      <c r="G663" s="8">
        <v>2087.1999999999998</v>
      </c>
      <c r="H663" s="9">
        <v>441.4</v>
      </c>
      <c r="I663" s="9">
        <v>539.70000000000005</v>
      </c>
      <c r="J663" s="7" t="s">
        <v>325</v>
      </c>
    </row>
    <row r="664" spans="1:10" x14ac:dyDescent="0.35">
      <c r="A664" s="7" t="s">
        <v>40</v>
      </c>
      <c r="B664" s="7" t="s">
        <v>194</v>
      </c>
      <c r="C664" s="7" t="s">
        <v>122</v>
      </c>
      <c r="D664" s="9">
        <v>1.55</v>
      </c>
      <c r="E664" s="9">
        <v>2.19</v>
      </c>
      <c r="F664" s="9">
        <v>0.53</v>
      </c>
      <c r="G664" s="8">
        <v>1028.6300000000001</v>
      </c>
      <c r="H664" s="8">
        <v>1068.3699999999999</v>
      </c>
      <c r="I664" s="9">
        <v>275.44</v>
      </c>
      <c r="J664" s="7" t="s">
        <v>325</v>
      </c>
    </row>
    <row r="665" spans="1:10" x14ac:dyDescent="0.35">
      <c r="A665" s="7" t="s">
        <v>35</v>
      </c>
      <c r="B665" s="7" t="s">
        <v>37</v>
      </c>
      <c r="C665" s="7" t="s">
        <v>42</v>
      </c>
      <c r="D665" s="9">
        <v>1.05</v>
      </c>
      <c r="E665" s="9">
        <v>1.75</v>
      </c>
      <c r="F665" s="9">
        <v>0.51</v>
      </c>
      <c r="G665" s="8">
        <v>1210.8</v>
      </c>
      <c r="H665" s="8">
        <v>2048.7199999999998</v>
      </c>
      <c r="I665" s="9">
        <v>714.05</v>
      </c>
      <c r="J665" s="7" t="s">
        <v>325</v>
      </c>
    </row>
    <row r="666" spans="1:10" x14ac:dyDescent="0.35">
      <c r="A666" s="7" t="s">
        <v>31</v>
      </c>
      <c r="B666" s="7" t="s">
        <v>32</v>
      </c>
      <c r="C666" s="7" t="s">
        <v>128</v>
      </c>
      <c r="D666" s="9">
        <v>0.15</v>
      </c>
      <c r="E666" s="9">
        <v>0.77</v>
      </c>
      <c r="F666" s="9">
        <v>0.51</v>
      </c>
      <c r="G666" s="9">
        <v>80.37</v>
      </c>
      <c r="H666" s="9">
        <v>456.94</v>
      </c>
      <c r="I666" s="9">
        <v>280.14999999999998</v>
      </c>
      <c r="J666" s="7" t="s">
        <v>325</v>
      </c>
    </row>
    <row r="667" spans="1:10" x14ac:dyDescent="0.35">
      <c r="A667" s="7" t="s">
        <v>79</v>
      </c>
      <c r="B667" s="7" t="s">
        <v>91</v>
      </c>
      <c r="C667" s="7" t="s">
        <v>54</v>
      </c>
      <c r="D667" s="9">
        <v>8.35</v>
      </c>
      <c r="E667" s="9">
        <v>1.55</v>
      </c>
      <c r="F667" s="9">
        <v>0.51</v>
      </c>
      <c r="G667" s="8">
        <v>5726.01</v>
      </c>
      <c r="H667" s="9">
        <v>751.33</v>
      </c>
      <c r="I667" s="9">
        <v>296.43</v>
      </c>
      <c r="J667" s="7" t="s">
        <v>325</v>
      </c>
    </row>
    <row r="668" spans="1:10" x14ac:dyDescent="0.35">
      <c r="A668" s="7" t="s">
        <v>31</v>
      </c>
      <c r="B668" s="7" t="s">
        <v>204</v>
      </c>
      <c r="C668" s="7" t="s">
        <v>27</v>
      </c>
      <c r="D668" s="9">
        <v>0</v>
      </c>
      <c r="E668" s="9">
        <v>0</v>
      </c>
      <c r="F668" s="9">
        <v>0.51</v>
      </c>
      <c r="G668" s="9">
        <v>0</v>
      </c>
      <c r="H668" s="9">
        <v>0</v>
      </c>
      <c r="I668" s="8">
        <v>1500</v>
      </c>
      <c r="J668" s="7" t="s">
        <v>325</v>
      </c>
    </row>
    <row r="669" spans="1:10" x14ac:dyDescent="0.35">
      <c r="A669" s="7" t="s">
        <v>20</v>
      </c>
      <c r="B669" s="7" t="s">
        <v>56</v>
      </c>
      <c r="C669" s="7" t="s">
        <v>33</v>
      </c>
      <c r="D669" s="9">
        <v>2.0699999999999998</v>
      </c>
      <c r="E669" s="9">
        <v>2.4500000000000002</v>
      </c>
      <c r="F669" s="9">
        <v>0.5</v>
      </c>
      <c r="G669" s="8">
        <v>1312.14</v>
      </c>
      <c r="H669" s="8">
        <v>1955.53</v>
      </c>
      <c r="I669" s="9">
        <v>403.5</v>
      </c>
      <c r="J669" s="7" t="s">
        <v>325</v>
      </c>
    </row>
    <row r="670" spans="1:10" x14ac:dyDescent="0.35">
      <c r="A670" s="7" t="s">
        <v>159</v>
      </c>
      <c r="B670" s="7" t="s">
        <v>160</v>
      </c>
      <c r="C670" s="7" t="s">
        <v>18</v>
      </c>
      <c r="D670" s="9">
        <v>0.1</v>
      </c>
      <c r="E670" s="9">
        <v>1.8</v>
      </c>
      <c r="F670" s="9">
        <v>0.5</v>
      </c>
      <c r="G670" s="9">
        <v>107.74</v>
      </c>
      <c r="H670" s="8">
        <v>2960.27</v>
      </c>
      <c r="I670" s="9">
        <v>890.49</v>
      </c>
      <c r="J670" s="7" t="s">
        <v>325</v>
      </c>
    </row>
    <row r="671" spans="1:10" x14ac:dyDescent="0.35">
      <c r="A671" s="7" t="s">
        <v>94</v>
      </c>
      <c r="B671" s="7" t="s">
        <v>112</v>
      </c>
      <c r="C671" s="7" t="s">
        <v>42</v>
      </c>
      <c r="D671" s="9">
        <v>1.1299999999999999</v>
      </c>
      <c r="E671" s="9">
        <v>1.48</v>
      </c>
      <c r="F671" s="9">
        <v>0.5</v>
      </c>
      <c r="G671" s="8">
        <v>1178.3800000000001</v>
      </c>
      <c r="H671" s="8">
        <v>1269.81</v>
      </c>
      <c r="I671" s="9">
        <v>406.81</v>
      </c>
      <c r="J671" s="7" t="s">
        <v>325</v>
      </c>
    </row>
    <row r="672" spans="1:10" x14ac:dyDescent="0.35">
      <c r="A672" s="7" t="s">
        <v>94</v>
      </c>
      <c r="B672" s="7" t="s">
        <v>95</v>
      </c>
      <c r="C672" s="7" t="s">
        <v>83</v>
      </c>
      <c r="D672" s="9">
        <v>2.5299999999999998</v>
      </c>
      <c r="E672" s="9">
        <v>1.1499999999999999</v>
      </c>
      <c r="F672" s="9">
        <v>0.5</v>
      </c>
      <c r="G672" s="8">
        <v>6338.21</v>
      </c>
      <c r="H672" s="8">
        <v>2859.07</v>
      </c>
      <c r="I672" s="8">
        <v>1099.33</v>
      </c>
      <c r="J672" s="7" t="s">
        <v>325</v>
      </c>
    </row>
    <row r="673" spans="1:10" x14ac:dyDescent="0.35">
      <c r="A673" s="7" t="s">
        <v>40</v>
      </c>
      <c r="B673" s="7" t="s">
        <v>205</v>
      </c>
      <c r="C673" s="7" t="s">
        <v>151</v>
      </c>
      <c r="D673" s="9">
        <v>0</v>
      </c>
      <c r="E673" s="9">
        <v>3.94</v>
      </c>
      <c r="F673" s="9">
        <v>0.49</v>
      </c>
      <c r="G673" s="9">
        <v>0</v>
      </c>
      <c r="H673" s="8">
        <v>4654.5600000000004</v>
      </c>
      <c r="I673" s="9">
        <v>690.76</v>
      </c>
      <c r="J673" s="7" t="s">
        <v>325</v>
      </c>
    </row>
    <row r="674" spans="1:10" x14ac:dyDescent="0.35">
      <c r="A674" s="7" t="s">
        <v>40</v>
      </c>
      <c r="B674" s="7" t="s">
        <v>117</v>
      </c>
      <c r="C674" s="7" t="s">
        <v>65</v>
      </c>
      <c r="D674" s="9">
        <v>1.07</v>
      </c>
      <c r="E674" s="9">
        <v>1.36</v>
      </c>
      <c r="F674" s="9">
        <v>0.49</v>
      </c>
      <c r="G674" s="8">
        <v>2323.3200000000002</v>
      </c>
      <c r="H674" s="8">
        <v>3097.03</v>
      </c>
      <c r="I674" s="8">
        <v>1200.54</v>
      </c>
      <c r="J674" s="7" t="s">
        <v>325</v>
      </c>
    </row>
    <row r="675" spans="1:10" x14ac:dyDescent="0.35">
      <c r="A675" s="7" t="s">
        <v>20</v>
      </c>
      <c r="B675" s="7" t="s">
        <v>111</v>
      </c>
      <c r="C675" s="7" t="s">
        <v>33</v>
      </c>
      <c r="D675" s="9">
        <v>0</v>
      </c>
      <c r="E675" s="9">
        <v>0.25</v>
      </c>
      <c r="F675" s="9">
        <v>0.49</v>
      </c>
      <c r="G675" s="9">
        <v>0</v>
      </c>
      <c r="H675" s="9">
        <v>193.5</v>
      </c>
      <c r="I675" s="9">
        <v>389.5</v>
      </c>
      <c r="J675" s="7" t="s">
        <v>325</v>
      </c>
    </row>
    <row r="676" spans="1:10" x14ac:dyDescent="0.35">
      <c r="A676" s="7" t="s">
        <v>31</v>
      </c>
      <c r="B676" s="7" t="s">
        <v>204</v>
      </c>
      <c r="C676" s="7" t="s">
        <v>62</v>
      </c>
      <c r="D676" s="9">
        <v>4.01</v>
      </c>
      <c r="E676" s="9">
        <v>1.36</v>
      </c>
      <c r="F676" s="9">
        <v>0.49</v>
      </c>
      <c r="G676" s="8">
        <v>14897.8</v>
      </c>
      <c r="H676" s="8">
        <v>6212.52</v>
      </c>
      <c r="I676" s="8">
        <v>2161.09</v>
      </c>
      <c r="J676" s="7" t="s">
        <v>325</v>
      </c>
    </row>
    <row r="677" spans="1:10" x14ac:dyDescent="0.35">
      <c r="A677" s="7" t="s">
        <v>31</v>
      </c>
      <c r="B677" s="7" t="s">
        <v>171</v>
      </c>
      <c r="C677" s="7" t="s">
        <v>45</v>
      </c>
      <c r="D677" s="9">
        <v>2.69</v>
      </c>
      <c r="E677" s="9">
        <v>3.72</v>
      </c>
      <c r="F677" s="9">
        <v>0.48</v>
      </c>
      <c r="G677" s="8">
        <v>5052.34</v>
      </c>
      <c r="H677" s="8">
        <v>8599.66</v>
      </c>
      <c r="I677" s="8">
        <v>1332.39</v>
      </c>
      <c r="J677" s="7" t="s">
        <v>325</v>
      </c>
    </row>
    <row r="678" spans="1:10" x14ac:dyDescent="0.35">
      <c r="A678" s="7" t="s">
        <v>23</v>
      </c>
      <c r="B678" s="7" t="s">
        <v>124</v>
      </c>
      <c r="C678" s="7" t="s">
        <v>55</v>
      </c>
      <c r="D678" s="9">
        <v>0</v>
      </c>
      <c r="E678" s="9">
        <v>1.73</v>
      </c>
      <c r="F678" s="9">
        <v>0.48</v>
      </c>
      <c r="G678" s="9">
        <v>0</v>
      </c>
      <c r="H678" s="8">
        <v>8683.2900000000009</v>
      </c>
      <c r="I678" s="8">
        <v>2272.34</v>
      </c>
      <c r="J678" s="7" t="s">
        <v>325</v>
      </c>
    </row>
    <row r="679" spans="1:10" x14ac:dyDescent="0.35">
      <c r="A679" s="7" t="s">
        <v>25</v>
      </c>
      <c r="B679" s="7" t="s">
        <v>206</v>
      </c>
      <c r="C679" s="7" t="s">
        <v>122</v>
      </c>
      <c r="D679" s="9">
        <v>0.84</v>
      </c>
      <c r="E679" s="9">
        <v>1.07</v>
      </c>
      <c r="F679" s="9">
        <v>0.48</v>
      </c>
      <c r="G679" s="9">
        <v>230.15</v>
      </c>
      <c r="H679" s="9">
        <v>419.42</v>
      </c>
      <c r="I679" s="9">
        <v>177.67</v>
      </c>
      <c r="J679" s="7" t="s">
        <v>325</v>
      </c>
    </row>
    <row r="680" spans="1:10" x14ac:dyDescent="0.35">
      <c r="A680" s="7" t="s">
        <v>94</v>
      </c>
      <c r="B680" s="7" t="s">
        <v>95</v>
      </c>
      <c r="C680" s="7" t="s">
        <v>72</v>
      </c>
      <c r="D680" s="9">
        <v>3.51</v>
      </c>
      <c r="E680" s="9">
        <v>2.23</v>
      </c>
      <c r="F680" s="9">
        <v>0.48</v>
      </c>
      <c r="G680" s="9">
        <v>381.91</v>
      </c>
      <c r="H680" s="9">
        <v>442.15</v>
      </c>
      <c r="I680" s="9">
        <v>108.33</v>
      </c>
      <c r="J680" s="7" t="s">
        <v>325</v>
      </c>
    </row>
    <row r="681" spans="1:10" x14ac:dyDescent="0.35">
      <c r="A681" s="7" t="s">
        <v>74</v>
      </c>
      <c r="B681" s="7" t="s">
        <v>98</v>
      </c>
      <c r="C681" s="7" t="s">
        <v>33</v>
      </c>
      <c r="D681" s="9">
        <v>0</v>
      </c>
      <c r="E681" s="9">
        <v>2.9</v>
      </c>
      <c r="F681" s="9">
        <v>0.47</v>
      </c>
      <c r="G681" s="9">
        <v>0</v>
      </c>
      <c r="H681" s="8">
        <v>1170.58</v>
      </c>
      <c r="I681" s="9">
        <v>203.23</v>
      </c>
      <c r="J681" s="7" t="s">
        <v>325</v>
      </c>
    </row>
    <row r="682" spans="1:10" x14ac:dyDescent="0.35">
      <c r="A682" s="7" t="s">
        <v>31</v>
      </c>
      <c r="B682" s="7" t="s">
        <v>32</v>
      </c>
      <c r="C682" s="7" t="s">
        <v>69</v>
      </c>
      <c r="D682" s="9">
        <v>0.77</v>
      </c>
      <c r="E682" s="9">
        <v>1.08</v>
      </c>
      <c r="F682" s="9">
        <v>0.47</v>
      </c>
      <c r="G682" s="9">
        <v>146.54</v>
      </c>
      <c r="H682" s="9">
        <v>86.02</v>
      </c>
      <c r="I682" s="9">
        <v>88.5</v>
      </c>
      <c r="J682" s="7" t="s">
        <v>325</v>
      </c>
    </row>
    <row r="683" spans="1:10" x14ac:dyDescent="0.35">
      <c r="A683" s="7" t="s">
        <v>16</v>
      </c>
      <c r="B683" s="7" t="s">
        <v>172</v>
      </c>
      <c r="C683" s="7" t="s">
        <v>33</v>
      </c>
      <c r="D683" s="9">
        <v>1.02</v>
      </c>
      <c r="E683" s="9">
        <v>0.04</v>
      </c>
      <c r="F683" s="9">
        <v>0.47</v>
      </c>
      <c r="G683" s="8">
        <v>1095.0999999999999</v>
      </c>
      <c r="H683" s="9">
        <v>35</v>
      </c>
      <c r="I683" s="9">
        <v>520</v>
      </c>
      <c r="J683" s="7" t="s">
        <v>325</v>
      </c>
    </row>
    <row r="684" spans="1:10" ht="26.25" customHeight="1" x14ac:dyDescent="0.35">
      <c r="A684" s="7" t="s">
        <v>74</v>
      </c>
      <c r="B684" s="7" t="s">
        <v>98</v>
      </c>
      <c r="C684" s="7" t="s">
        <v>81</v>
      </c>
      <c r="D684" s="9">
        <v>0.5</v>
      </c>
      <c r="E684" s="9">
        <v>1.55</v>
      </c>
      <c r="F684" s="9">
        <v>0.47</v>
      </c>
      <c r="G684" s="9">
        <v>411.44</v>
      </c>
      <c r="H684" s="8">
        <v>1458.77</v>
      </c>
      <c r="I684" s="9">
        <v>576.55999999999995</v>
      </c>
      <c r="J684" s="7" t="s">
        <v>325</v>
      </c>
    </row>
    <row r="685" spans="1:10" x14ac:dyDescent="0.35">
      <c r="A685" s="7" t="s">
        <v>40</v>
      </c>
      <c r="B685" s="7" t="s">
        <v>85</v>
      </c>
      <c r="C685" s="7" t="s">
        <v>144</v>
      </c>
      <c r="D685" s="9">
        <v>0.43</v>
      </c>
      <c r="E685" s="9">
        <v>1.27</v>
      </c>
      <c r="F685" s="9">
        <v>0.47</v>
      </c>
      <c r="G685" s="9">
        <v>478.56</v>
      </c>
      <c r="H685" s="8">
        <v>2011.63</v>
      </c>
      <c r="I685" s="9">
        <v>786.2</v>
      </c>
      <c r="J685" s="7" t="s">
        <v>325</v>
      </c>
    </row>
    <row r="686" spans="1:10" x14ac:dyDescent="0.35">
      <c r="A686" s="7" t="s">
        <v>35</v>
      </c>
      <c r="B686" s="7" t="s">
        <v>165</v>
      </c>
      <c r="C686" s="7" t="s">
        <v>118</v>
      </c>
      <c r="D686" s="9">
        <v>0</v>
      </c>
      <c r="E686" s="9">
        <v>2.23</v>
      </c>
      <c r="F686" s="9">
        <v>0.47</v>
      </c>
      <c r="G686" s="9">
        <v>0.01</v>
      </c>
      <c r="H686" s="9">
        <v>632.62</v>
      </c>
      <c r="I686" s="9">
        <v>140.02000000000001</v>
      </c>
      <c r="J686" s="7" t="s">
        <v>325</v>
      </c>
    </row>
    <row r="687" spans="1:10" x14ac:dyDescent="0.35">
      <c r="A687" s="7" t="s">
        <v>31</v>
      </c>
      <c r="B687" s="7" t="s">
        <v>131</v>
      </c>
      <c r="C687" s="7" t="s">
        <v>54</v>
      </c>
      <c r="D687" s="9">
        <v>1.34</v>
      </c>
      <c r="E687" s="9">
        <v>0.98</v>
      </c>
      <c r="F687" s="9">
        <v>0.47</v>
      </c>
      <c r="G687" s="8">
        <v>1084.56</v>
      </c>
      <c r="H687" s="9">
        <v>833.21</v>
      </c>
      <c r="I687" s="9">
        <v>420.98</v>
      </c>
      <c r="J687" s="7" t="s">
        <v>325</v>
      </c>
    </row>
    <row r="688" spans="1:10" x14ac:dyDescent="0.35">
      <c r="A688" s="7" t="s">
        <v>23</v>
      </c>
      <c r="B688" s="7" t="s">
        <v>138</v>
      </c>
      <c r="C688" s="7" t="s">
        <v>125</v>
      </c>
      <c r="D688" s="9">
        <v>0</v>
      </c>
      <c r="E688" s="9">
        <v>4.0999999999999996</v>
      </c>
      <c r="F688" s="9">
        <v>0.46</v>
      </c>
      <c r="G688" s="9">
        <v>0</v>
      </c>
      <c r="H688" s="8">
        <v>1123.8</v>
      </c>
      <c r="I688" s="9">
        <v>182</v>
      </c>
      <c r="J688" s="7" t="s">
        <v>325</v>
      </c>
    </row>
    <row r="689" spans="1:10" x14ac:dyDescent="0.35">
      <c r="A689" s="7" t="s">
        <v>66</v>
      </c>
      <c r="B689" s="7" t="s">
        <v>71</v>
      </c>
      <c r="C689" s="7" t="s">
        <v>27</v>
      </c>
      <c r="D689" s="9">
        <v>1.87</v>
      </c>
      <c r="E689" s="9">
        <v>2.5099999999999998</v>
      </c>
      <c r="F689" s="9">
        <v>0.46</v>
      </c>
      <c r="G689" s="8">
        <v>3192.66</v>
      </c>
      <c r="H689" s="8">
        <v>4762.68</v>
      </c>
      <c r="I689" s="9">
        <v>620.85</v>
      </c>
      <c r="J689" s="7" t="s">
        <v>325</v>
      </c>
    </row>
    <row r="690" spans="1:10" x14ac:dyDescent="0.35">
      <c r="A690" s="7" t="s">
        <v>66</v>
      </c>
      <c r="B690" s="7" t="s">
        <v>67</v>
      </c>
      <c r="C690" s="7" t="s">
        <v>48</v>
      </c>
      <c r="D690" s="9">
        <v>0.06</v>
      </c>
      <c r="E690" s="9">
        <v>1.24</v>
      </c>
      <c r="F690" s="9">
        <v>0.46</v>
      </c>
      <c r="G690" s="9">
        <v>40.69</v>
      </c>
      <c r="H690" s="9">
        <v>687.52</v>
      </c>
      <c r="I690" s="9">
        <v>224</v>
      </c>
      <c r="J690" s="7" t="s">
        <v>325</v>
      </c>
    </row>
    <row r="691" spans="1:10" x14ac:dyDescent="0.35">
      <c r="A691" s="7" t="s">
        <v>94</v>
      </c>
      <c r="B691" s="7" t="s">
        <v>112</v>
      </c>
      <c r="C691" s="7" t="s">
        <v>48</v>
      </c>
      <c r="D691" s="9">
        <v>1.55</v>
      </c>
      <c r="E691" s="9">
        <v>1.22</v>
      </c>
      <c r="F691" s="9">
        <v>0.46</v>
      </c>
      <c r="G691" s="8">
        <v>1910.44</v>
      </c>
      <c r="H691" s="8">
        <v>1134.8499999999999</v>
      </c>
      <c r="I691" s="9">
        <v>483.41</v>
      </c>
      <c r="J691" s="7" t="s">
        <v>325</v>
      </c>
    </row>
    <row r="692" spans="1:10" x14ac:dyDescent="0.35">
      <c r="A692" s="7" t="s">
        <v>40</v>
      </c>
      <c r="B692" s="7" t="s">
        <v>85</v>
      </c>
      <c r="C692" s="7" t="s">
        <v>59</v>
      </c>
      <c r="D692" s="9">
        <v>0.26</v>
      </c>
      <c r="E692" s="9">
        <v>0.46</v>
      </c>
      <c r="F692" s="9">
        <v>0.46</v>
      </c>
      <c r="G692" s="9">
        <v>34.65</v>
      </c>
      <c r="H692" s="9">
        <v>98.69</v>
      </c>
      <c r="I692" s="9">
        <v>102.59</v>
      </c>
      <c r="J692" s="7" t="s">
        <v>325</v>
      </c>
    </row>
    <row r="693" spans="1:10" x14ac:dyDescent="0.35">
      <c r="A693" s="7" t="s">
        <v>159</v>
      </c>
      <c r="B693" s="7" t="s">
        <v>186</v>
      </c>
      <c r="C693" s="7" t="s">
        <v>48</v>
      </c>
      <c r="D693" s="9">
        <v>1.58</v>
      </c>
      <c r="E693" s="9">
        <v>1.21</v>
      </c>
      <c r="F693" s="9">
        <v>0.46</v>
      </c>
      <c r="G693" s="8">
        <v>1197.1199999999999</v>
      </c>
      <c r="H693" s="9">
        <v>773.68</v>
      </c>
      <c r="I693" s="9">
        <v>284.23</v>
      </c>
      <c r="J693" s="7" t="s">
        <v>325</v>
      </c>
    </row>
    <row r="694" spans="1:10" x14ac:dyDescent="0.35">
      <c r="A694" s="7" t="s">
        <v>94</v>
      </c>
      <c r="B694" s="7" t="s">
        <v>112</v>
      </c>
      <c r="C694" s="7" t="s">
        <v>60</v>
      </c>
      <c r="D694" s="9">
        <v>1.25</v>
      </c>
      <c r="E694" s="9">
        <v>1.38</v>
      </c>
      <c r="F694" s="9">
        <v>0.46</v>
      </c>
      <c r="G694" s="9">
        <v>105.55</v>
      </c>
      <c r="H694" s="9">
        <v>132.80000000000001</v>
      </c>
      <c r="I694" s="9">
        <v>65</v>
      </c>
      <c r="J694" s="7" t="s">
        <v>325</v>
      </c>
    </row>
    <row r="695" spans="1:10" x14ac:dyDescent="0.35">
      <c r="A695" s="7" t="s">
        <v>20</v>
      </c>
      <c r="B695" s="7" t="s">
        <v>21</v>
      </c>
      <c r="C695" s="7" t="s">
        <v>93</v>
      </c>
      <c r="D695" s="9">
        <v>0.18</v>
      </c>
      <c r="E695" s="9">
        <v>0.71</v>
      </c>
      <c r="F695" s="9">
        <v>0.46</v>
      </c>
      <c r="G695" s="9">
        <v>31.64</v>
      </c>
      <c r="H695" s="9">
        <v>110.17</v>
      </c>
      <c r="I695" s="9">
        <v>60.35</v>
      </c>
      <c r="J695" s="7" t="s">
        <v>325</v>
      </c>
    </row>
    <row r="696" spans="1:10" x14ac:dyDescent="0.35">
      <c r="A696" s="7" t="s">
        <v>86</v>
      </c>
      <c r="B696" s="7" t="s">
        <v>106</v>
      </c>
      <c r="C696" s="7" t="s">
        <v>59</v>
      </c>
      <c r="D696" s="9">
        <v>1.97</v>
      </c>
      <c r="E696" s="9">
        <v>1.32</v>
      </c>
      <c r="F696" s="9">
        <v>0.45</v>
      </c>
      <c r="G696" s="9">
        <v>198.42</v>
      </c>
      <c r="H696" s="9">
        <v>85.46</v>
      </c>
      <c r="I696" s="9">
        <v>22.16</v>
      </c>
      <c r="J696" s="7" t="s">
        <v>325</v>
      </c>
    </row>
    <row r="697" spans="1:10" x14ac:dyDescent="0.35">
      <c r="A697" s="7" t="s">
        <v>16</v>
      </c>
      <c r="B697" s="7" t="s">
        <v>17</v>
      </c>
      <c r="C697" s="7" t="s">
        <v>118</v>
      </c>
      <c r="D697" s="9">
        <v>0.97</v>
      </c>
      <c r="E697" s="9">
        <v>3.58</v>
      </c>
      <c r="F697" s="9">
        <v>0.45</v>
      </c>
      <c r="G697" s="9">
        <v>513.21</v>
      </c>
      <c r="H697" s="8">
        <v>1938.1</v>
      </c>
      <c r="I697" s="9">
        <v>221.16</v>
      </c>
      <c r="J697" s="7" t="s">
        <v>325</v>
      </c>
    </row>
    <row r="698" spans="1:10" x14ac:dyDescent="0.35">
      <c r="A698" s="7" t="s">
        <v>159</v>
      </c>
      <c r="B698" s="7" t="s">
        <v>186</v>
      </c>
      <c r="C698" s="7" t="s">
        <v>39</v>
      </c>
      <c r="D698" s="9">
        <v>0.85</v>
      </c>
      <c r="E698" s="9">
        <v>0.49</v>
      </c>
      <c r="F698" s="9">
        <v>0.45</v>
      </c>
      <c r="G698" s="9">
        <v>549.77</v>
      </c>
      <c r="H698" s="9">
        <v>701.25</v>
      </c>
      <c r="I698" s="9">
        <v>843.66</v>
      </c>
      <c r="J698" s="7" t="s">
        <v>325</v>
      </c>
    </row>
    <row r="699" spans="1:10" x14ac:dyDescent="0.35">
      <c r="A699" s="7" t="s">
        <v>86</v>
      </c>
      <c r="B699" s="7" t="s">
        <v>87</v>
      </c>
      <c r="C699" s="7" t="s">
        <v>54</v>
      </c>
      <c r="D699" s="9">
        <v>0.64</v>
      </c>
      <c r="E699" s="9">
        <v>0.52</v>
      </c>
      <c r="F699" s="9">
        <v>0.45</v>
      </c>
      <c r="G699" s="9">
        <v>93.89</v>
      </c>
      <c r="H699" s="9">
        <v>132.69</v>
      </c>
      <c r="I699" s="9">
        <v>104.66</v>
      </c>
      <c r="J699" s="7" t="s">
        <v>325</v>
      </c>
    </row>
    <row r="700" spans="1:10" x14ac:dyDescent="0.35">
      <c r="A700" s="7" t="s">
        <v>20</v>
      </c>
      <c r="B700" s="7" t="s">
        <v>68</v>
      </c>
      <c r="C700" s="7" t="s">
        <v>46</v>
      </c>
      <c r="D700" s="9">
        <v>0.25</v>
      </c>
      <c r="E700" s="9">
        <v>0.52</v>
      </c>
      <c r="F700" s="9">
        <v>0.45</v>
      </c>
      <c r="G700" s="9">
        <v>54.93</v>
      </c>
      <c r="H700" s="9">
        <v>104.66</v>
      </c>
      <c r="I700" s="9">
        <v>74.14</v>
      </c>
      <c r="J700" s="7" t="s">
        <v>325</v>
      </c>
    </row>
    <row r="701" spans="1:10" x14ac:dyDescent="0.35">
      <c r="A701" s="7" t="s">
        <v>40</v>
      </c>
      <c r="B701" s="7" t="s">
        <v>85</v>
      </c>
      <c r="C701" s="7" t="s">
        <v>170</v>
      </c>
      <c r="D701" s="9">
        <v>1.67</v>
      </c>
      <c r="E701" s="9">
        <v>1.63</v>
      </c>
      <c r="F701" s="9">
        <v>0.44</v>
      </c>
      <c r="G701" s="9">
        <v>325.70999999999998</v>
      </c>
      <c r="H701" s="9">
        <v>277.18</v>
      </c>
      <c r="I701" s="9">
        <v>81.069999999999993</v>
      </c>
      <c r="J701" s="7" t="s">
        <v>325</v>
      </c>
    </row>
    <row r="702" spans="1:10" x14ac:dyDescent="0.35">
      <c r="A702" s="7" t="s">
        <v>16</v>
      </c>
      <c r="B702" s="7" t="s">
        <v>52</v>
      </c>
      <c r="C702" s="7" t="s">
        <v>39</v>
      </c>
      <c r="D702" s="9">
        <v>1.82</v>
      </c>
      <c r="E702" s="9">
        <v>1.62</v>
      </c>
      <c r="F702" s="9">
        <v>0.44</v>
      </c>
      <c r="G702" s="8">
        <v>1160.02</v>
      </c>
      <c r="H702" s="9">
        <v>912.36</v>
      </c>
      <c r="I702" s="9">
        <v>289.04000000000002</v>
      </c>
      <c r="J702" s="7" t="s">
        <v>325</v>
      </c>
    </row>
    <row r="703" spans="1:10" x14ac:dyDescent="0.35">
      <c r="A703" s="7" t="s">
        <v>86</v>
      </c>
      <c r="B703" s="7" t="s">
        <v>207</v>
      </c>
      <c r="C703" s="7" t="s">
        <v>39</v>
      </c>
      <c r="D703" s="9">
        <v>1.62</v>
      </c>
      <c r="E703" s="9">
        <v>1.93</v>
      </c>
      <c r="F703" s="9">
        <v>0.44</v>
      </c>
      <c r="G703" s="9">
        <v>255.39</v>
      </c>
      <c r="H703" s="8">
        <v>2403.0500000000002</v>
      </c>
      <c r="I703" s="9">
        <v>760.25</v>
      </c>
      <c r="J703" s="7" t="s">
        <v>325</v>
      </c>
    </row>
    <row r="704" spans="1:10" x14ac:dyDescent="0.35">
      <c r="A704" s="7" t="s">
        <v>31</v>
      </c>
      <c r="B704" s="7" t="s">
        <v>131</v>
      </c>
      <c r="C704" s="7" t="s">
        <v>59</v>
      </c>
      <c r="D704" s="9">
        <v>0.92</v>
      </c>
      <c r="E704" s="9">
        <v>1.19</v>
      </c>
      <c r="F704" s="9">
        <v>0.44</v>
      </c>
      <c r="G704" s="9">
        <v>179.11</v>
      </c>
      <c r="H704" s="9">
        <v>188.3</v>
      </c>
      <c r="I704" s="9">
        <v>75.25</v>
      </c>
      <c r="J704" s="7" t="s">
        <v>325</v>
      </c>
    </row>
    <row r="705" spans="1:10" x14ac:dyDescent="0.35">
      <c r="A705" s="7" t="s">
        <v>16</v>
      </c>
      <c r="B705" s="7" t="s">
        <v>90</v>
      </c>
      <c r="C705" s="7" t="s">
        <v>59</v>
      </c>
      <c r="D705" s="9">
        <v>0.38</v>
      </c>
      <c r="E705" s="9">
        <v>1.88</v>
      </c>
      <c r="F705" s="9">
        <v>0.44</v>
      </c>
      <c r="G705" s="9">
        <v>61.29</v>
      </c>
      <c r="H705" s="9">
        <v>276.95</v>
      </c>
      <c r="I705" s="9">
        <v>96.73</v>
      </c>
      <c r="J705" s="7" t="s">
        <v>325</v>
      </c>
    </row>
    <row r="706" spans="1:10" x14ac:dyDescent="0.35">
      <c r="A706" s="7" t="s">
        <v>74</v>
      </c>
      <c r="B706" s="7" t="s">
        <v>98</v>
      </c>
      <c r="C706" s="7" t="s">
        <v>39</v>
      </c>
      <c r="D706" s="9">
        <v>1.05</v>
      </c>
      <c r="E706" s="9">
        <v>0.6</v>
      </c>
      <c r="F706" s="9">
        <v>0.44</v>
      </c>
      <c r="G706" s="9">
        <v>333.44</v>
      </c>
      <c r="H706" s="9">
        <v>225.09</v>
      </c>
      <c r="I706" s="9">
        <v>135.5</v>
      </c>
      <c r="J706" s="7" t="s">
        <v>325</v>
      </c>
    </row>
    <row r="707" spans="1:10" x14ac:dyDescent="0.35">
      <c r="A707" s="7" t="s">
        <v>23</v>
      </c>
      <c r="B707" s="7" t="s">
        <v>34</v>
      </c>
      <c r="C707" s="7" t="s">
        <v>48</v>
      </c>
      <c r="D707" s="9">
        <v>0.2</v>
      </c>
      <c r="E707" s="9">
        <v>1.75</v>
      </c>
      <c r="F707" s="9">
        <v>0.44</v>
      </c>
      <c r="G707" s="9">
        <v>190.27</v>
      </c>
      <c r="H707" s="8">
        <v>1586.78</v>
      </c>
      <c r="I707" s="9">
        <v>415.68</v>
      </c>
      <c r="J707" s="7" t="s">
        <v>325</v>
      </c>
    </row>
    <row r="708" spans="1:10" x14ac:dyDescent="0.35">
      <c r="A708" s="7" t="s">
        <v>66</v>
      </c>
      <c r="B708" s="7" t="s">
        <v>108</v>
      </c>
      <c r="C708" s="7" t="s">
        <v>42</v>
      </c>
      <c r="D708" s="9">
        <v>1.1299999999999999</v>
      </c>
      <c r="E708" s="9">
        <v>0.96</v>
      </c>
      <c r="F708" s="9">
        <v>0.44</v>
      </c>
      <c r="G708" s="9">
        <v>763.68</v>
      </c>
      <c r="H708" s="9">
        <v>627.16999999999996</v>
      </c>
      <c r="I708" s="9">
        <v>299.7</v>
      </c>
      <c r="J708" s="7" t="s">
        <v>325</v>
      </c>
    </row>
    <row r="709" spans="1:10" x14ac:dyDescent="0.35">
      <c r="A709" s="7" t="s">
        <v>40</v>
      </c>
      <c r="B709" s="7" t="s">
        <v>178</v>
      </c>
      <c r="C709" s="7" t="s">
        <v>39</v>
      </c>
      <c r="D709" s="9">
        <v>1.3</v>
      </c>
      <c r="E709" s="9">
        <v>0.55000000000000004</v>
      </c>
      <c r="F709" s="9">
        <v>0.44</v>
      </c>
      <c r="G709" s="9">
        <v>298.60000000000002</v>
      </c>
      <c r="H709" s="9">
        <v>123.66</v>
      </c>
      <c r="I709" s="9">
        <v>118.47</v>
      </c>
      <c r="J709" s="7" t="s">
        <v>325</v>
      </c>
    </row>
    <row r="710" spans="1:10" x14ac:dyDescent="0.35">
      <c r="A710" s="7" t="s">
        <v>77</v>
      </c>
      <c r="B710" s="7" t="s">
        <v>149</v>
      </c>
      <c r="C710" s="7" t="s">
        <v>54</v>
      </c>
      <c r="D710" s="9">
        <v>0.62</v>
      </c>
      <c r="E710" s="9">
        <v>1.52</v>
      </c>
      <c r="F710" s="9">
        <v>0.43</v>
      </c>
      <c r="G710" s="9">
        <v>103.18</v>
      </c>
      <c r="H710" s="9">
        <v>124.45</v>
      </c>
      <c r="I710" s="9">
        <v>55.42</v>
      </c>
      <c r="J710" s="7" t="s">
        <v>325</v>
      </c>
    </row>
    <row r="711" spans="1:10" x14ac:dyDescent="0.35">
      <c r="A711" s="7" t="s">
        <v>77</v>
      </c>
      <c r="B711" s="7" t="s">
        <v>168</v>
      </c>
      <c r="C711" s="7" t="s">
        <v>122</v>
      </c>
      <c r="D711" s="9">
        <v>1.05</v>
      </c>
      <c r="E711" s="9">
        <v>1.32</v>
      </c>
      <c r="F711" s="9">
        <v>0.43</v>
      </c>
      <c r="G711" s="9">
        <v>372.27</v>
      </c>
      <c r="H711" s="9">
        <v>376.45</v>
      </c>
      <c r="I711" s="9">
        <v>129.29</v>
      </c>
      <c r="J711" s="7" t="s">
        <v>325</v>
      </c>
    </row>
    <row r="712" spans="1:10" x14ac:dyDescent="0.35">
      <c r="A712" s="7" t="s">
        <v>23</v>
      </c>
      <c r="B712" s="7" t="s">
        <v>24</v>
      </c>
      <c r="C712" s="7" t="s">
        <v>48</v>
      </c>
      <c r="D712" s="9">
        <v>1.1499999999999999</v>
      </c>
      <c r="E712" s="9">
        <v>1.49</v>
      </c>
      <c r="F712" s="9">
        <v>0.43</v>
      </c>
      <c r="G712" s="9">
        <v>529.32000000000005</v>
      </c>
      <c r="H712" s="9">
        <v>624.70000000000005</v>
      </c>
      <c r="I712" s="9">
        <v>166.05</v>
      </c>
      <c r="J712" s="7" t="s">
        <v>325</v>
      </c>
    </row>
    <row r="713" spans="1:10" x14ac:dyDescent="0.35">
      <c r="A713" s="7" t="s">
        <v>35</v>
      </c>
      <c r="B713" s="7" t="s">
        <v>36</v>
      </c>
      <c r="C713" s="7" t="s">
        <v>53</v>
      </c>
      <c r="D713" s="9">
        <v>2.17</v>
      </c>
      <c r="E713" s="9">
        <v>1.52</v>
      </c>
      <c r="F713" s="9">
        <v>0.43</v>
      </c>
      <c r="G713" s="8">
        <v>3503.97</v>
      </c>
      <c r="H713" s="8">
        <v>2522.12</v>
      </c>
      <c r="I713" s="9">
        <v>613.59</v>
      </c>
      <c r="J713" s="7" t="s">
        <v>325</v>
      </c>
    </row>
    <row r="714" spans="1:10" x14ac:dyDescent="0.35">
      <c r="A714" s="7" t="s">
        <v>40</v>
      </c>
      <c r="B714" s="7" t="s">
        <v>194</v>
      </c>
      <c r="C714" s="7" t="s">
        <v>72</v>
      </c>
      <c r="D714" s="9">
        <v>0.8</v>
      </c>
      <c r="E714" s="9">
        <v>1.07</v>
      </c>
      <c r="F714" s="9">
        <v>0.43</v>
      </c>
      <c r="G714" s="9">
        <v>165.34</v>
      </c>
      <c r="H714" s="9">
        <v>215.42</v>
      </c>
      <c r="I714" s="9">
        <v>78.3</v>
      </c>
      <c r="J714" s="7" t="s">
        <v>325</v>
      </c>
    </row>
    <row r="715" spans="1:10" x14ac:dyDescent="0.35">
      <c r="A715" s="7" t="s">
        <v>79</v>
      </c>
      <c r="B715" s="7" t="s">
        <v>80</v>
      </c>
      <c r="C715" s="7" t="s">
        <v>33</v>
      </c>
      <c r="D715" s="9">
        <v>0.83</v>
      </c>
      <c r="E715" s="9">
        <v>1.07</v>
      </c>
      <c r="F715" s="9">
        <v>0.43</v>
      </c>
      <c r="G715" s="9">
        <v>435.78</v>
      </c>
      <c r="H715" s="9">
        <v>519.54999999999995</v>
      </c>
      <c r="I715" s="9">
        <v>197.92</v>
      </c>
      <c r="J715" s="7" t="s">
        <v>325</v>
      </c>
    </row>
    <row r="716" spans="1:10" x14ac:dyDescent="0.35">
      <c r="A716" s="7" t="s">
        <v>66</v>
      </c>
      <c r="B716" s="7" t="s">
        <v>208</v>
      </c>
      <c r="C716" s="7" t="s">
        <v>39</v>
      </c>
      <c r="D716" s="9">
        <v>1.44</v>
      </c>
      <c r="E716" s="9">
        <v>1.1200000000000001</v>
      </c>
      <c r="F716" s="9">
        <v>0.43</v>
      </c>
      <c r="G716" s="9">
        <v>644.32000000000005</v>
      </c>
      <c r="H716" s="9">
        <v>478.26</v>
      </c>
      <c r="I716" s="9">
        <v>196.41</v>
      </c>
      <c r="J716" s="7" t="s">
        <v>325</v>
      </c>
    </row>
    <row r="717" spans="1:10" x14ac:dyDescent="0.35">
      <c r="A717" s="7" t="s">
        <v>23</v>
      </c>
      <c r="B717" s="7" t="s">
        <v>30</v>
      </c>
      <c r="C717" s="7" t="s">
        <v>60</v>
      </c>
      <c r="D717" s="9">
        <v>0.18</v>
      </c>
      <c r="E717" s="9">
        <v>0</v>
      </c>
      <c r="F717" s="9">
        <v>0.43</v>
      </c>
      <c r="G717" s="9">
        <v>4.8600000000000003</v>
      </c>
      <c r="H717" s="9">
        <v>0</v>
      </c>
      <c r="I717" s="9">
        <v>182.56</v>
      </c>
      <c r="J717" s="7" t="s">
        <v>325</v>
      </c>
    </row>
    <row r="718" spans="1:10" x14ac:dyDescent="0.35">
      <c r="A718" s="7" t="s">
        <v>23</v>
      </c>
      <c r="B718" s="7" t="s">
        <v>123</v>
      </c>
      <c r="C718" s="7" t="s">
        <v>116</v>
      </c>
      <c r="D718" s="9">
        <v>0.94</v>
      </c>
      <c r="E718" s="9">
        <v>1.62</v>
      </c>
      <c r="F718" s="9">
        <v>0.43</v>
      </c>
      <c r="G718" s="8">
        <v>4544.78</v>
      </c>
      <c r="H718" s="8">
        <v>11250.48</v>
      </c>
      <c r="I718" s="8">
        <v>2482.37</v>
      </c>
      <c r="J718" s="7" t="s">
        <v>325</v>
      </c>
    </row>
    <row r="719" spans="1:10" x14ac:dyDescent="0.35">
      <c r="A719" s="7" t="s">
        <v>57</v>
      </c>
      <c r="B719" s="7" t="s">
        <v>175</v>
      </c>
      <c r="C719" s="7" t="s">
        <v>59</v>
      </c>
      <c r="D719" s="9">
        <v>0.17</v>
      </c>
      <c r="E719" s="9">
        <v>5.87</v>
      </c>
      <c r="F719" s="9">
        <v>0.43</v>
      </c>
      <c r="G719" s="9">
        <v>95.06</v>
      </c>
      <c r="H719" s="8">
        <v>3735.29</v>
      </c>
      <c r="I719" s="9">
        <v>253.57</v>
      </c>
      <c r="J719" s="7" t="s">
        <v>325</v>
      </c>
    </row>
    <row r="720" spans="1:10" x14ac:dyDescent="0.35">
      <c r="A720" s="7" t="s">
        <v>57</v>
      </c>
      <c r="B720" s="7" t="s">
        <v>58</v>
      </c>
      <c r="C720" s="7" t="s">
        <v>33</v>
      </c>
      <c r="D720" s="9">
        <v>0</v>
      </c>
      <c r="E720" s="9">
        <v>0.21</v>
      </c>
      <c r="F720" s="9">
        <v>0.42</v>
      </c>
      <c r="G720" s="9">
        <v>0</v>
      </c>
      <c r="H720" s="9">
        <v>151.06</v>
      </c>
      <c r="I720" s="9">
        <v>400</v>
      </c>
      <c r="J720" s="7" t="s">
        <v>325</v>
      </c>
    </row>
    <row r="721" spans="1:10" x14ac:dyDescent="0.35">
      <c r="A721" s="7" t="s">
        <v>35</v>
      </c>
      <c r="B721" s="7" t="s">
        <v>88</v>
      </c>
      <c r="C721" s="7" t="s">
        <v>125</v>
      </c>
      <c r="D721" s="9">
        <v>2.06</v>
      </c>
      <c r="E721" s="9">
        <v>0</v>
      </c>
      <c r="F721" s="9">
        <v>0.42</v>
      </c>
      <c r="G721" s="9">
        <v>934.88</v>
      </c>
      <c r="H721" s="9">
        <v>0</v>
      </c>
      <c r="I721" s="9">
        <v>56</v>
      </c>
      <c r="J721" s="7" t="s">
        <v>325</v>
      </c>
    </row>
    <row r="722" spans="1:10" x14ac:dyDescent="0.35">
      <c r="A722" s="7" t="s">
        <v>40</v>
      </c>
      <c r="B722" s="7" t="s">
        <v>117</v>
      </c>
      <c r="C722" s="7" t="s">
        <v>55</v>
      </c>
      <c r="D722" s="9">
        <v>5.15</v>
      </c>
      <c r="E722" s="9">
        <v>4.1100000000000003</v>
      </c>
      <c r="F722" s="9">
        <v>0.41</v>
      </c>
      <c r="G722" s="8">
        <v>9433.0300000000007</v>
      </c>
      <c r="H722" s="8">
        <v>8984.5</v>
      </c>
      <c r="I722" s="8">
        <v>1706.74</v>
      </c>
      <c r="J722" s="7" t="s">
        <v>325</v>
      </c>
    </row>
    <row r="723" spans="1:10" x14ac:dyDescent="0.35">
      <c r="A723" s="7" t="s">
        <v>77</v>
      </c>
      <c r="B723" s="7" t="s">
        <v>149</v>
      </c>
      <c r="C723" s="7" t="s">
        <v>122</v>
      </c>
      <c r="D723" s="9">
        <v>1.2</v>
      </c>
      <c r="E723" s="9">
        <v>1.26</v>
      </c>
      <c r="F723" s="9">
        <v>0.41</v>
      </c>
      <c r="G723" s="9">
        <v>10.91</v>
      </c>
      <c r="H723" s="9">
        <v>4.28</v>
      </c>
      <c r="I723" s="9">
        <v>1.36</v>
      </c>
      <c r="J723" s="7" t="s">
        <v>325</v>
      </c>
    </row>
    <row r="724" spans="1:10" x14ac:dyDescent="0.35">
      <c r="A724" s="7" t="s">
        <v>74</v>
      </c>
      <c r="B724" s="7" t="s">
        <v>75</v>
      </c>
      <c r="C724" s="7" t="s">
        <v>69</v>
      </c>
      <c r="D724" s="9">
        <v>2.38</v>
      </c>
      <c r="E724" s="9">
        <v>1.81</v>
      </c>
      <c r="F724" s="9">
        <v>0.41</v>
      </c>
      <c r="G724" s="9">
        <v>244.43</v>
      </c>
      <c r="H724" s="9">
        <v>290.97000000000003</v>
      </c>
      <c r="I724" s="9">
        <v>51.75</v>
      </c>
      <c r="J724" s="7" t="s">
        <v>325</v>
      </c>
    </row>
    <row r="725" spans="1:10" x14ac:dyDescent="0.35">
      <c r="A725" s="7" t="s">
        <v>20</v>
      </c>
      <c r="B725" s="7" t="s">
        <v>56</v>
      </c>
      <c r="C725" s="7" t="s">
        <v>54</v>
      </c>
      <c r="D725" s="9">
        <v>1.1599999999999999</v>
      </c>
      <c r="E725" s="9">
        <v>1.0900000000000001</v>
      </c>
      <c r="F725" s="9">
        <v>0.41</v>
      </c>
      <c r="G725" s="9">
        <v>888.26</v>
      </c>
      <c r="H725" s="9">
        <v>685.45</v>
      </c>
      <c r="I725" s="9">
        <v>307.51</v>
      </c>
      <c r="J725" s="7" t="s">
        <v>325</v>
      </c>
    </row>
    <row r="726" spans="1:10" x14ac:dyDescent="0.35">
      <c r="A726" s="7" t="s">
        <v>94</v>
      </c>
      <c r="B726" s="7" t="s">
        <v>112</v>
      </c>
      <c r="C726" s="7" t="s">
        <v>45</v>
      </c>
      <c r="D726" s="9">
        <v>0.67</v>
      </c>
      <c r="E726" s="9">
        <v>1.23</v>
      </c>
      <c r="F726" s="9">
        <v>0.41</v>
      </c>
      <c r="G726" s="8">
        <v>1645.65</v>
      </c>
      <c r="H726" s="8">
        <v>2606.67</v>
      </c>
      <c r="I726" s="8">
        <v>1549.44</v>
      </c>
      <c r="J726" s="7" t="s">
        <v>325</v>
      </c>
    </row>
    <row r="727" spans="1:10" x14ac:dyDescent="0.35">
      <c r="A727" s="7" t="s">
        <v>16</v>
      </c>
      <c r="B727" s="7" t="s">
        <v>155</v>
      </c>
      <c r="C727" s="7" t="s">
        <v>39</v>
      </c>
      <c r="D727" s="9">
        <v>0.54</v>
      </c>
      <c r="E727" s="9">
        <v>0.35</v>
      </c>
      <c r="F727" s="9">
        <v>0.41</v>
      </c>
      <c r="G727" s="9">
        <v>277.3</v>
      </c>
      <c r="H727" s="9">
        <v>926.68</v>
      </c>
      <c r="I727" s="9">
        <v>951.03</v>
      </c>
      <c r="J727" s="7" t="s">
        <v>325</v>
      </c>
    </row>
    <row r="728" spans="1:10" x14ac:dyDescent="0.35">
      <c r="A728" s="7" t="s">
        <v>31</v>
      </c>
      <c r="B728" s="7" t="s">
        <v>139</v>
      </c>
      <c r="C728" s="7" t="s">
        <v>39</v>
      </c>
      <c r="D728" s="9">
        <v>0.56000000000000005</v>
      </c>
      <c r="E728" s="9">
        <v>1.45</v>
      </c>
      <c r="F728" s="9">
        <v>0.41</v>
      </c>
      <c r="G728" s="9">
        <v>372.62</v>
      </c>
      <c r="H728" s="9">
        <v>900.13</v>
      </c>
      <c r="I728" s="9">
        <v>255.47</v>
      </c>
      <c r="J728" s="7" t="s">
        <v>325</v>
      </c>
    </row>
    <row r="729" spans="1:10" x14ac:dyDescent="0.35">
      <c r="A729" s="7" t="s">
        <v>31</v>
      </c>
      <c r="B729" s="7" t="s">
        <v>139</v>
      </c>
      <c r="C729" s="7" t="s">
        <v>83</v>
      </c>
      <c r="D729" s="9">
        <v>1.07</v>
      </c>
      <c r="E729" s="9">
        <v>0.77</v>
      </c>
      <c r="F729" s="9">
        <v>0.41</v>
      </c>
      <c r="G729" s="8">
        <v>2617.8200000000002</v>
      </c>
      <c r="H729" s="8">
        <v>1367.99</v>
      </c>
      <c r="I729" s="9">
        <v>769.17</v>
      </c>
      <c r="J729" s="7" t="s">
        <v>325</v>
      </c>
    </row>
    <row r="730" spans="1:10" x14ac:dyDescent="0.35">
      <c r="A730" s="7" t="s">
        <v>35</v>
      </c>
      <c r="B730" s="7" t="s">
        <v>38</v>
      </c>
      <c r="C730" s="7" t="s">
        <v>59</v>
      </c>
      <c r="D730" s="9">
        <v>0.28000000000000003</v>
      </c>
      <c r="E730" s="9">
        <v>1.9</v>
      </c>
      <c r="F730" s="9">
        <v>0.41</v>
      </c>
      <c r="G730" s="9">
        <v>85.3</v>
      </c>
      <c r="H730" s="9">
        <v>492.27</v>
      </c>
      <c r="I730" s="9">
        <v>124.46</v>
      </c>
      <c r="J730" s="7" t="s">
        <v>325</v>
      </c>
    </row>
    <row r="731" spans="1:10" x14ac:dyDescent="0.35">
      <c r="A731" s="7" t="s">
        <v>31</v>
      </c>
      <c r="B731" s="7" t="s">
        <v>131</v>
      </c>
      <c r="C731" s="7" t="s">
        <v>76</v>
      </c>
      <c r="D731" s="9">
        <v>0.46</v>
      </c>
      <c r="E731" s="9">
        <v>0.55000000000000004</v>
      </c>
      <c r="F731" s="9">
        <v>0.41</v>
      </c>
      <c r="G731" s="9">
        <v>535.82000000000005</v>
      </c>
      <c r="H731" s="9">
        <v>654.54</v>
      </c>
      <c r="I731" s="9">
        <v>556.49</v>
      </c>
      <c r="J731" s="7" t="s">
        <v>325</v>
      </c>
    </row>
    <row r="732" spans="1:10" x14ac:dyDescent="0.35">
      <c r="A732" s="7" t="s">
        <v>86</v>
      </c>
      <c r="B732" s="7" t="s">
        <v>87</v>
      </c>
      <c r="C732" s="7" t="s">
        <v>42</v>
      </c>
      <c r="D732" s="9">
        <v>1.64</v>
      </c>
      <c r="E732" s="9">
        <v>1.59</v>
      </c>
      <c r="F732" s="9">
        <v>0.41</v>
      </c>
      <c r="G732" s="9">
        <v>51.03</v>
      </c>
      <c r="H732" s="9">
        <v>50.31</v>
      </c>
      <c r="I732" s="9">
        <v>27.63</v>
      </c>
      <c r="J732" s="7" t="s">
        <v>325</v>
      </c>
    </row>
    <row r="733" spans="1:10" x14ac:dyDescent="0.35">
      <c r="A733" s="7" t="s">
        <v>16</v>
      </c>
      <c r="B733" s="7" t="s">
        <v>115</v>
      </c>
      <c r="C733" s="7" t="s">
        <v>46</v>
      </c>
      <c r="D733" s="9">
        <v>3.76</v>
      </c>
      <c r="E733" s="9">
        <v>3.61</v>
      </c>
      <c r="F733" s="9">
        <v>0.4</v>
      </c>
      <c r="G733" s="8">
        <v>5645.33</v>
      </c>
      <c r="H733" s="8">
        <v>3595.62</v>
      </c>
      <c r="I733" s="9">
        <v>206.21</v>
      </c>
      <c r="J733" s="7" t="s">
        <v>325</v>
      </c>
    </row>
    <row r="734" spans="1:10" x14ac:dyDescent="0.35">
      <c r="A734" s="7" t="s">
        <v>40</v>
      </c>
      <c r="B734" s="7" t="s">
        <v>117</v>
      </c>
      <c r="C734" s="7" t="s">
        <v>72</v>
      </c>
      <c r="D734" s="9">
        <v>0.6</v>
      </c>
      <c r="E734" s="9">
        <v>1.54</v>
      </c>
      <c r="F734" s="9">
        <v>0.4</v>
      </c>
      <c r="G734" s="9">
        <v>87.14</v>
      </c>
      <c r="H734" s="9">
        <v>195.25</v>
      </c>
      <c r="I734" s="9">
        <v>46.93</v>
      </c>
      <c r="J734" s="7" t="s">
        <v>325</v>
      </c>
    </row>
    <row r="735" spans="1:10" x14ac:dyDescent="0.35">
      <c r="A735" s="7" t="s">
        <v>77</v>
      </c>
      <c r="B735" s="7" t="s">
        <v>78</v>
      </c>
      <c r="C735" s="7" t="s">
        <v>59</v>
      </c>
      <c r="D735" s="9">
        <v>1.1399999999999999</v>
      </c>
      <c r="E735" s="9">
        <v>3.38</v>
      </c>
      <c r="F735" s="9">
        <v>0.4</v>
      </c>
      <c r="G735" s="9">
        <v>190.53</v>
      </c>
      <c r="H735" s="9">
        <v>461.79</v>
      </c>
      <c r="I735" s="9">
        <v>49.97</v>
      </c>
      <c r="J735" s="7" t="s">
        <v>325</v>
      </c>
    </row>
    <row r="736" spans="1:10" x14ac:dyDescent="0.35">
      <c r="A736" s="7" t="s">
        <v>35</v>
      </c>
      <c r="B736" s="7" t="s">
        <v>38</v>
      </c>
      <c r="C736" s="7" t="s">
        <v>65</v>
      </c>
      <c r="D736" s="9">
        <v>0.94</v>
      </c>
      <c r="E736" s="9">
        <v>3.51</v>
      </c>
      <c r="F736" s="9">
        <v>0.39</v>
      </c>
      <c r="G736" s="8">
        <v>1498.78</v>
      </c>
      <c r="H736" s="8">
        <v>5281.08</v>
      </c>
      <c r="I736" s="9">
        <v>611.08000000000004</v>
      </c>
      <c r="J736" s="7" t="s">
        <v>325</v>
      </c>
    </row>
    <row r="737" spans="1:10" x14ac:dyDescent="0.35">
      <c r="A737" s="7" t="s">
        <v>31</v>
      </c>
      <c r="B737" s="7" t="s">
        <v>141</v>
      </c>
      <c r="C737" s="7" t="s">
        <v>33</v>
      </c>
      <c r="D737" s="9">
        <v>72.84</v>
      </c>
      <c r="E737" s="9">
        <v>2.42</v>
      </c>
      <c r="F737" s="9">
        <v>0.38</v>
      </c>
      <c r="G737" s="8">
        <v>89288.98</v>
      </c>
      <c r="H737" s="8">
        <v>3104.65</v>
      </c>
      <c r="I737" s="9">
        <v>468.98</v>
      </c>
      <c r="J737" s="7" t="s">
        <v>325</v>
      </c>
    </row>
    <row r="738" spans="1:10" x14ac:dyDescent="0.35">
      <c r="A738" s="7" t="s">
        <v>16</v>
      </c>
      <c r="B738" s="7" t="s">
        <v>90</v>
      </c>
      <c r="C738" s="7" t="s">
        <v>144</v>
      </c>
      <c r="D738" s="9">
        <v>0.54</v>
      </c>
      <c r="E738" s="9">
        <v>0.91</v>
      </c>
      <c r="F738" s="9">
        <v>0.38</v>
      </c>
      <c r="G738" s="9">
        <v>539.57000000000005</v>
      </c>
      <c r="H738" s="8">
        <v>1222.6500000000001</v>
      </c>
      <c r="I738" s="9">
        <v>731.32</v>
      </c>
      <c r="J738" s="7" t="s">
        <v>325</v>
      </c>
    </row>
    <row r="739" spans="1:10" x14ac:dyDescent="0.35">
      <c r="A739" s="7" t="s">
        <v>86</v>
      </c>
      <c r="B739" s="7" t="s">
        <v>106</v>
      </c>
      <c r="C739" s="7" t="s">
        <v>72</v>
      </c>
      <c r="D739" s="9">
        <v>1.92</v>
      </c>
      <c r="E739" s="9">
        <v>1.52</v>
      </c>
      <c r="F739" s="9">
        <v>0.38</v>
      </c>
      <c r="G739" s="9">
        <v>270.24</v>
      </c>
      <c r="H739" s="9">
        <v>218.83</v>
      </c>
      <c r="I739" s="9">
        <v>69.37</v>
      </c>
      <c r="J739" s="7" t="s">
        <v>325</v>
      </c>
    </row>
    <row r="740" spans="1:10" x14ac:dyDescent="0.35">
      <c r="A740" s="7" t="s">
        <v>16</v>
      </c>
      <c r="B740" s="7" t="s">
        <v>89</v>
      </c>
      <c r="C740" s="7" t="s">
        <v>33</v>
      </c>
      <c r="D740" s="9">
        <v>2.74</v>
      </c>
      <c r="E740" s="9">
        <v>1.1399999999999999</v>
      </c>
      <c r="F740" s="9">
        <v>0.38</v>
      </c>
      <c r="G740" s="8">
        <v>1489.16</v>
      </c>
      <c r="H740" s="9">
        <v>724.5</v>
      </c>
      <c r="I740" s="9">
        <v>252.22</v>
      </c>
      <c r="J740" s="7" t="s">
        <v>325</v>
      </c>
    </row>
    <row r="741" spans="1:10" x14ac:dyDescent="0.35">
      <c r="A741" s="7" t="s">
        <v>40</v>
      </c>
      <c r="B741" s="7" t="s">
        <v>209</v>
      </c>
      <c r="C741" s="7" t="s">
        <v>48</v>
      </c>
      <c r="D741" s="9">
        <v>0.2</v>
      </c>
      <c r="E741" s="9">
        <v>1</v>
      </c>
      <c r="F741" s="9">
        <v>0.37</v>
      </c>
      <c r="G741" s="9">
        <v>104</v>
      </c>
      <c r="H741" s="9">
        <v>552.79</v>
      </c>
      <c r="I741" s="9">
        <v>232.72</v>
      </c>
      <c r="J741" s="7" t="s">
        <v>325</v>
      </c>
    </row>
    <row r="742" spans="1:10" x14ac:dyDescent="0.35">
      <c r="A742" s="7" t="s">
        <v>40</v>
      </c>
      <c r="B742" s="7" t="s">
        <v>41</v>
      </c>
      <c r="C742" s="7" t="s">
        <v>144</v>
      </c>
      <c r="D742" s="9">
        <v>0.98</v>
      </c>
      <c r="E742" s="9">
        <v>1.64</v>
      </c>
      <c r="F742" s="9">
        <v>0.37</v>
      </c>
      <c r="G742" s="8">
        <v>1330.14</v>
      </c>
      <c r="H742" s="8">
        <v>2311.6799999999998</v>
      </c>
      <c r="I742" s="9">
        <v>448.3</v>
      </c>
      <c r="J742" s="7" t="s">
        <v>325</v>
      </c>
    </row>
    <row r="743" spans="1:10" x14ac:dyDescent="0.35">
      <c r="A743" s="7" t="s">
        <v>23</v>
      </c>
      <c r="B743" s="7" t="s">
        <v>191</v>
      </c>
      <c r="C743" s="7" t="s">
        <v>83</v>
      </c>
      <c r="D743" s="9">
        <v>0</v>
      </c>
      <c r="E743" s="9">
        <v>1.06</v>
      </c>
      <c r="F743" s="9">
        <v>0.37</v>
      </c>
      <c r="G743" s="9">
        <v>0</v>
      </c>
      <c r="H743" s="8">
        <v>1858.4</v>
      </c>
      <c r="I743" s="9">
        <v>705.22</v>
      </c>
      <c r="J743" s="7" t="s">
        <v>325</v>
      </c>
    </row>
    <row r="744" spans="1:10" x14ac:dyDescent="0.35">
      <c r="A744" s="7" t="s">
        <v>25</v>
      </c>
      <c r="B744" s="7" t="s">
        <v>29</v>
      </c>
      <c r="C744" s="7" t="s">
        <v>54</v>
      </c>
      <c r="D744" s="9">
        <v>0.72</v>
      </c>
      <c r="E744" s="9">
        <v>5.23</v>
      </c>
      <c r="F744" s="9">
        <v>0.37</v>
      </c>
      <c r="G744" s="8">
        <v>1249.51</v>
      </c>
      <c r="H744" s="8">
        <v>6477.95</v>
      </c>
      <c r="I744" s="9">
        <v>431.2</v>
      </c>
      <c r="J744" s="7" t="s">
        <v>325</v>
      </c>
    </row>
    <row r="745" spans="1:10" x14ac:dyDescent="0.35">
      <c r="A745" s="7" t="s">
        <v>94</v>
      </c>
      <c r="B745" s="7" t="s">
        <v>188</v>
      </c>
      <c r="C745" s="7" t="s">
        <v>144</v>
      </c>
      <c r="D745" s="9">
        <v>2.04</v>
      </c>
      <c r="E745" s="9">
        <v>1.62</v>
      </c>
      <c r="F745" s="9">
        <v>0.37</v>
      </c>
      <c r="G745" s="8">
        <v>5614.26</v>
      </c>
      <c r="H745" s="8">
        <v>4669.46</v>
      </c>
      <c r="I745" s="8">
        <v>1120.1400000000001</v>
      </c>
      <c r="J745" s="7" t="s">
        <v>325</v>
      </c>
    </row>
    <row r="746" spans="1:10" x14ac:dyDescent="0.35">
      <c r="A746" s="7" t="s">
        <v>20</v>
      </c>
      <c r="B746" s="7" t="s">
        <v>156</v>
      </c>
      <c r="C746" s="7" t="s">
        <v>62</v>
      </c>
      <c r="D746" s="9">
        <v>0.28000000000000003</v>
      </c>
      <c r="E746" s="9">
        <v>1.02</v>
      </c>
      <c r="F746" s="9">
        <v>0.37</v>
      </c>
      <c r="G746" s="9">
        <v>802.6</v>
      </c>
      <c r="H746" s="8">
        <v>2637.5</v>
      </c>
      <c r="I746" s="8">
        <v>1086.5</v>
      </c>
      <c r="J746" s="7" t="s">
        <v>325</v>
      </c>
    </row>
    <row r="747" spans="1:10" x14ac:dyDescent="0.35">
      <c r="A747" s="7" t="s">
        <v>31</v>
      </c>
      <c r="B747" s="7" t="s">
        <v>131</v>
      </c>
      <c r="C747" s="7" t="s">
        <v>55</v>
      </c>
      <c r="D747" s="9">
        <v>0.96</v>
      </c>
      <c r="E747" s="9">
        <v>1.06</v>
      </c>
      <c r="F747" s="9">
        <v>0.37</v>
      </c>
      <c r="G747" s="8">
        <v>2603.91</v>
      </c>
      <c r="H747" s="8">
        <v>4180.6000000000004</v>
      </c>
      <c r="I747" s="8">
        <v>1597.56</v>
      </c>
      <c r="J747" s="7" t="s">
        <v>325</v>
      </c>
    </row>
    <row r="748" spans="1:10" x14ac:dyDescent="0.35">
      <c r="A748" s="7" t="s">
        <v>49</v>
      </c>
      <c r="B748" s="7" t="s">
        <v>121</v>
      </c>
      <c r="C748" s="7" t="s">
        <v>102</v>
      </c>
      <c r="D748" s="9">
        <v>0.06</v>
      </c>
      <c r="E748" s="9">
        <v>0.17</v>
      </c>
      <c r="F748" s="9">
        <v>0.37</v>
      </c>
      <c r="G748" s="9">
        <v>26</v>
      </c>
      <c r="H748" s="9">
        <v>157.72</v>
      </c>
      <c r="I748" s="9">
        <v>334.13</v>
      </c>
      <c r="J748" s="7" t="s">
        <v>325</v>
      </c>
    </row>
    <row r="749" spans="1:10" ht="26.25" customHeight="1" x14ac:dyDescent="0.35">
      <c r="A749" s="7" t="s">
        <v>31</v>
      </c>
      <c r="B749" s="7" t="s">
        <v>146</v>
      </c>
      <c r="C749" s="7" t="s">
        <v>54</v>
      </c>
      <c r="D749" s="9">
        <v>7.0000000000000007E-2</v>
      </c>
      <c r="E749" s="9">
        <v>0.28999999999999998</v>
      </c>
      <c r="F749" s="9">
        <v>0.37</v>
      </c>
      <c r="G749" s="9">
        <v>58.01</v>
      </c>
      <c r="H749" s="9">
        <v>532.15</v>
      </c>
      <c r="I749" s="9">
        <v>266.44</v>
      </c>
      <c r="J749" s="7" t="s">
        <v>325</v>
      </c>
    </row>
    <row r="750" spans="1:10" x14ac:dyDescent="0.35">
      <c r="A750" s="7" t="s">
        <v>23</v>
      </c>
      <c r="B750" s="7" t="s">
        <v>182</v>
      </c>
      <c r="C750" s="7" t="s">
        <v>102</v>
      </c>
      <c r="D750" s="9">
        <v>0.19</v>
      </c>
      <c r="E750" s="9">
        <v>0.48</v>
      </c>
      <c r="F750" s="9">
        <v>0.37</v>
      </c>
      <c r="G750" s="9">
        <v>294.72000000000003</v>
      </c>
      <c r="H750" s="9">
        <v>833.72</v>
      </c>
      <c r="I750" s="9">
        <v>496.66</v>
      </c>
      <c r="J750" s="7" t="s">
        <v>325</v>
      </c>
    </row>
    <row r="751" spans="1:10" x14ac:dyDescent="0.35">
      <c r="A751" s="7" t="s">
        <v>77</v>
      </c>
      <c r="B751" s="7" t="s">
        <v>132</v>
      </c>
      <c r="C751" s="7" t="s">
        <v>54</v>
      </c>
      <c r="D751" s="9">
        <v>0.57999999999999996</v>
      </c>
      <c r="E751" s="9">
        <v>1.42</v>
      </c>
      <c r="F751" s="9">
        <v>0.37</v>
      </c>
      <c r="G751" s="9">
        <v>447.13</v>
      </c>
      <c r="H751" s="9">
        <v>404.31</v>
      </c>
      <c r="I751" s="9">
        <v>223.14</v>
      </c>
      <c r="J751" s="7" t="s">
        <v>325</v>
      </c>
    </row>
    <row r="752" spans="1:10" x14ac:dyDescent="0.35">
      <c r="A752" s="7" t="s">
        <v>86</v>
      </c>
      <c r="B752" s="7" t="s">
        <v>87</v>
      </c>
      <c r="C752" s="7" t="s">
        <v>46</v>
      </c>
      <c r="D752" s="9">
        <v>0.38</v>
      </c>
      <c r="E752" s="9">
        <v>0.25</v>
      </c>
      <c r="F752" s="9">
        <v>0.36</v>
      </c>
      <c r="G752" s="9">
        <v>92.93</v>
      </c>
      <c r="H752" s="9">
        <v>75.31</v>
      </c>
      <c r="I752" s="9">
        <v>94.31</v>
      </c>
      <c r="J752" s="7" t="s">
        <v>325</v>
      </c>
    </row>
    <row r="753" spans="1:10" x14ac:dyDescent="0.35">
      <c r="A753" s="7" t="s">
        <v>159</v>
      </c>
      <c r="B753" s="7" t="s">
        <v>160</v>
      </c>
      <c r="C753" s="7" t="s">
        <v>48</v>
      </c>
      <c r="D753" s="9">
        <v>0.11</v>
      </c>
      <c r="E753" s="9">
        <v>1.27</v>
      </c>
      <c r="F753" s="9">
        <v>0.36</v>
      </c>
      <c r="G753" s="9">
        <v>26.8</v>
      </c>
      <c r="H753" s="9">
        <v>439.73</v>
      </c>
      <c r="I753" s="9">
        <v>141.25</v>
      </c>
      <c r="J753" s="7" t="s">
        <v>325</v>
      </c>
    </row>
    <row r="754" spans="1:10" x14ac:dyDescent="0.35">
      <c r="A754" s="7" t="s">
        <v>23</v>
      </c>
      <c r="B754" s="7" t="s">
        <v>44</v>
      </c>
      <c r="C754" s="7" t="s">
        <v>65</v>
      </c>
      <c r="D754" s="9">
        <v>0.63</v>
      </c>
      <c r="E754" s="9">
        <v>0.7</v>
      </c>
      <c r="F754" s="9">
        <v>0.36</v>
      </c>
      <c r="G754" s="9">
        <v>863.55</v>
      </c>
      <c r="H754" s="9">
        <v>960.41</v>
      </c>
      <c r="I754" s="9">
        <v>496.38</v>
      </c>
      <c r="J754" s="7" t="s">
        <v>325</v>
      </c>
    </row>
    <row r="755" spans="1:10" x14ac:dyDescent="0.35">
      <c r="A755" s="7" t="s">
        <v>74</v>
      </c>
      <c r="B755" s="7" t="s">
        <v>75</v>
      </c>
      <c r="C755" s="7" t="s">
        <v>33</v>
      </c>
      <c r="D755" s="9">
        <v>3.3</v>
      </c>
      <c r="E755" s="9">
        <v>1.05</v>
      </c>
      <c r="F755" s="9">
        <v>0.35</v>
      </c>
      <c r="G755" s="8">
        <v>1433.68</v>
      </c>
      <c r="H755" s="9">
        <v>600.03</v>
      </c>
      <c r="I755" s="9">
        <v>252.3</v>
      </c>
      <c r="J755" s="7" t="s">
        <v>325</v>
      </c>
    </row>
    <row r="756" spans="1:10" x14ac:dyDescent="0.35">
      <c r="A756" s="7" t="s">
        <v>40</v>
      </c>
      <c r="B756" s="7" t="s">
        <v>41</v>
      </c>
      <c r="C756" s="7" t="s">
        <v>69</v>
      </c>
      <c r="D756" s="9">
        <v>1.84</v>
      </c>
      <c r="E756" s="9">
        <v>0.08</v>
      </c>
      <c r="F756" s="9">
        <v>0.35</v>
      </c>
      <c r="G756" s="8">
        <v>1351.05</v>
      </c>
      <c r="H756" s="9">
        <v>40.72</v>
      </c>
      <c r="I756" s="9">
        <v>54.05</v>
      </c>
      <c r="J756" s="7" t="s">
        <v>325</v>
      </c>
    </row>
    <row r="757" spans="1:10" ht="26.25" customHeight="1" x14ac:dyDescent="0.35">
      <c r="A757" s="7" t="s">
        <v>79</v>
      </c>
      <c r="B757" s="7" t="s">
        <v>210</v>
      </c>
      <c r="C757" s="7" t="s">
        <v>126</v>
      </c>
      <c r="D757" s="9">
        <v>0</v>
      </c>
      <c r="E757" s="9">
        <v>0.01</v>
      </c>
      <c r="F757" s="9">
        <v>0.35</v>
      </c>
      <c r="G757" s="9">
        <v>0</v>
      </c>
      <c r="H757" s="9">
        <v>5.33</v>
      </c>
      <c r="I757" s="9">
        <v>161</v>
      </c>
      <c r="J757" s="7" t="s">
        <v>325</v>
      </c>
    </row>
    <row r="758" spans="1:10" x14ac:dyDescent="0.35">
      <c r="A758" s="7" t="s">
        <v>25</v>
      </c>
      <c r="B758" s="7" t="s">
        <v>29</v>
      </c>
      <c r="C758" s="7" t="s">
        <v>128</v>
      </c>
      <c r="D758" s="9">
        <v>7.0000000000000007E-2</v>
      </c>
      <c r="E758" s="9">
        <v>1.4</v>
      </c>
      <c r="F758" s="9">
        <v>0.35</v>
      </c>
      <c r="G758" s="9">
        <v>64.59</v>
      </c>
      <c r="H758" s="9">
        <v>210.4</v>
      </c>
      <c r="I758" s="9">
        <v>56.1</v>
      </c>
      <c r="J758" s="7" t="s">
        <v>325</v>
      </c>
    </row>
    <row r="759" spans="1:10" x14ac:dyDescent="0.35">
      <c r="A759" s="7" t="s">
        <v>31</v>
      </c>
      <c r="B759" s="7" t="s">
        <v>141</v>
      </c>
      <c r="C759" s="7" t="s">
        <v>42</v>
      </c>
      <c r="D759" s="9">
        <v>0.02</v>
      </c>
      <c r="E759" s="9">
        <v>0.39</v>
      </c>
      <c r="F759" s="9">
        <v>0.35</v>
      </c>
      <c r="G759" s="9">
        <v>15.03</v>
      </c>
      <c r="H759" s="9">
        <v>435.76</v>
      </c>
      <c r="I759" s="9">
        <v>288.31</v>
      </c>
      <c r="J759" s="7" t="s">
        <v>325</v>
      </c>
    </row>
    <row r="760" spans="1:10" x14ac:dyDescent="0.35">
      <c r="A760" s="7" t="s">
        <v>74</v>
      </c>
      <c r="B760" s="7" t="s">
        <v>75</v>
      </c>
      <c r="C760" s="7" t="s">
        <v>65</v>
      </c>
      <c r="D760" s="9">
        <v>18.97</v>
      </c>
      <c r="E760" s="9">
        <v>1.17</v>
      </c>
      <c r="F760" s="9">
        <v>0.35</v>
      </c>
      <c r="G760" s="8">
        <v>5503.44</v>
      </c>
      <c r="H760" s="8">
        <v>1433.12</v>
      </c>
      <c r="I760" s="9">
        <v>425.13</v>
      </c>
      <c r="J760" s="7" t="s">
        <v>325</v>
      </c>
    </row>
    <row r="761" spans="1:10" x14ac:dyDescent="0.35">
      <c r="A761" s="7" t="s">
        <v>86</v>
      </c>
      <c r="B761" s="7" t="s">
        <v>87</v>
      </c>
      <c r="C761" s="7" t="s">
        <v>72</v>
      </c>
      <c r="D761" s="9">
        <v>0.98</v>
      </c>
      <c r="E761" s="9">
        <v>1.37</v>
      </c>
      <c r="F761" s="9">
        <v>0.34</v>
      </c>
      <c r="G761" s="9">
        <v>152.63</v>
      </c>
      <c r="H761" s="9">
        <v>185.08</v>
      </c>
      <c r="I761" s="9">
        <v>64.11</v>
      </c>
      <c r="J761" s="7" t="s">
        <v>325</v>
      </c>
    </row>
    <row r="762" spans="1:10" x14ac:dyDescent="0.35">
      <c r="A762" s="7" t="s">
        <v>57</v>
      </c>
      <c r="B762" s="7" t="s">
        <v>58</v>
      </c>
      <c r="C762" s="7" t="s">
        <v>27</v>
      </c>
      <c r="D762" s="9">
        <v>0.76</v>
      </c>
      <c r="E762" s="9">
        <v>1.61</v>
      </c>
      <c r="F762" s="9">
        <v>0.34</v>
      </c>
      <c r="G762" s="8">
        <v>1408.74</v>
      </c>
      <c r="H762" s="8">
        <v>2541.04</v>
      </c>
      <c r="I762" s="9">
        <v>515.03</v>
      </c>
      <c r="J762" s="7" t="s">
        <v>325</v>
      </c>
    </row>
    <row r="763" spans="1:10" x14ac:dyDescent="0.35">
      <c r="A763" s="7" t="s">
        <v>40</v>
      </c>
      <c r="B763" s="7" t="s">
        <v>211</v>
      </c>
      <c r="C763" s="7" t="s">
        <v>102</v>
      </c>
      <c r="D763" s="9">
        <v>0.45</v>
      </c>
      <c r="E763" s="9">
        <v>1.08</v>
      </c>
      <c r="F763" s="9">
        <v>0.34</v>
      </c>
      <c r="G763" s="9">
        <v>443.86</v>
      </c>
      <c r="H763" s="8">
        <v>1085.6400000000001</v>
      </c>
      <c r="I763" s="9">
        <v>351.04</v>
      </c>
      <c r="J763" s="7" t="s">
        <v>325</v>
      </c>
    </row>
    <row r="764" spans="1:10" ht="26.5" x14ac:dyDescent="0.35">
      <c r="A764" s="7" t="s">
        <v>212</v>
      </c>
      <c r="B764" s="7" t="s">
        <v>213</v>
      </c>
      <c r="C764" s="7" t="s">
        <v>39</v>
      </c>
      <c r="D764" s="9">
        <v>0.87</v>
      </c>
      <c r="E764" s="9">
        <v>0.08</v>
      </c>
      <c r="F764" s="9">
        <v>0.34</v>
      </c>
      <c r="G764" s="9">
        <v>448.72</v>
      </c>
      <c r="H764" s="9">
        <v>52.14</v>
      </c>
      <c r="I764" s="9">
        <v>63.41</v>
      </c>
      <c r="J764" s="7" t="s">
        <v>325</v>
      </c>
    </row>
    <row r="765" spans="1:10" x14ac:dyDescent="0.35">
      <c r="A765" s="7" t="s">
        <v>77</v>
      </c>
      <c r="B765" s="7" t="s">
        <v>214</v>
      </c>
      <c r="C765" s="7" t="s">
        <v>48</v>
      </c>
      <c r="D765" s="9">
        <v>0</v>
      </c>
      <c r="E765" s="9">
        <v>1.08</v>
      </c>
      <c r="F765" s="9">
        <v>0.34</v>
      </c>
      <c r="G765" s="9">
        <v>0</v>
      </c>
      <c r="H765" s="9">
        <v>444.98</v>
      </c>
      <c r="I765" s="9">
        <v>138.47</v>
      </c>
      <c r="J765" s="7" t="s">
        <v>325</v>
      </c>
    </row>
    <row r="766" spans="1:10" x14ac:dyDescent="0.35">
      <c r="A766" s="7" t="s">
        <v>31</v>
      </c>
      <c r="B766" s="7" t="s">
        <v>141</v>
      </c>
      <c r="C766" s="7" t="s">
        <v>53</v>
      </c>
      <c r="D766" s="9">
        <v>0.53</v>
      </c>
      <c r="E766" s="9">
        <v>0.92</v>
      </c>
      <c r="F766" s="9">
        <v>0.34</v>
      </c>
      <c r="G766" s="9">
        <v>624.53</v>
      </c>
      <c r="H766" s="8">
        <v>1167.8599999999999</v>
      </c>
      <c r="I766" s="9">
        <v>425.56</v>
      </c>
      <c r="J766" s="7" t="s">
        <v>325</v>
      </c>
    </row>
    <row r="767" spans="1:10" x14ac:dyDescent="0.35">
      <c r="A767" s="7" t="s">
        <v>86</v>
      </c>
      <c r="B767" s="7" t="s">
        <v>106</v>
      </c>
      <c r="C767" s="7" t="s">
        <v>42</v>
      </c>
      <c r="D767" s="9">
        <v>1.0900000000000001</v>
      </c>
      <c r="E767" s="9">
        <v>0.88</v>
      </c>
      <c r="F767" s="9">
        <v>0.34</v>
      </c>
      <c r="G767" s="9">
        <v>660.88</v>
      </c>
      <c r="H767" s="9">
        <v>547.74</v>
      </c>
      <c r="I767" s="9">
        <v>215.42</v>
      </c>
      <c r="J767" s="7" t="s">
        <v>325</v>
      </c>
    </row>
    <row r="768" spans="1:10" x14ac:dyDescent="0.35">
      <c r="A768" s="7" t="s">
        <v>40</v>
      </c>
      <c r="B768" s="7" t="s">
        <v>107</v>
      </c>
      <c r="C768" s="7" t="s">
        <v>65</v>
      </c>
      <c r="D768" s="9">
        <v>1.1299999999999999</v>
      </c>
      <c r="E768" s="9">
        <v>1.03</v>
      </c>
      <c r="F768" s="9">
        <v>0.34</v>
      </c>
      <c r="G768" s="8">
        <v>1067.22</v>
      </c>
      <c r="H768" s="9">
        <v>785.73</v>
      </c>
      <c r="I768" s="9">
        <v>279.83</v>
      </c>
      <c r="J768" s="7" t="s">
        <v>325</v>
      </c>
    </row>
    <row r="769" spans="1:10" x14ac:dyDescent="0.35">
      <c r="A769" s="7" t="s">
        <v>86</v>
      </c>
      <c r="B769" s="7" t="s">
        <v>106</v>
      </c>
      <c r="C769" s="7" t="s">
        <v>53</v>
      </c>
      <c r="D769" s="9">
        <v>3.42</v>
      </c>
      <c r="E769" s="9">
        <v>1.44</v>
      </c>
      <c r="F769" s="9">
        <v>0.34</v>
      </c>
      <c r="G769" s="8">
        <v>2603.3200000000002</v>
      </c>
      <c r="H769" s="9">
        <v>925.16</v>
      </c>
      <c r="I769" s="9">
        <v>261.72000000000003</v>
      </c>
      <c r="J769" s="7" t="s">
        <v>325</v>
      </c>
    </row>
    <row r="770" spans="1:10" x14ac:dyDescent="0.35">
      <c r="A770" s="7" t="s">
        <v>86</v>
      </c>
      <c r="B770" s="7" t="s">
        <v>106</v>
      </c>
      <c r="C770" s="7" t="s">
        <v>54</v>
      </c>
      <c r="D770" s="9">
        <v>1.55</v>
      </c>
      <c r="E770" s="9">
        <v>1.68</v>
      </c>
      <c r="F770" s="9">
        <v>0.34</v>
      </c>
      <c r="G770" s="9">
        <v>419.44</v>
      </c>
      <c r="H770" s="9">
        <v>402.72</v>
      </c>
      <c r="I770" s="9">
        <v>75.989999999999995</v>
      </c>
      <c r="J770" s="7" t="s">
        <v>325</v>
      </c>
    </row>
    <row r="771" spans="1:10" x14ac:dyDescent="0.35">
      <c r="A771" s="7" t="s">
        <v>20</v>
      </c>
      <c r="B771" s="7" t="s">
        <v>156</v>
      </c>
      <c r="C771" s="7" t="s">
        <v>65</v>
      </c>
      <c r="D771" s="9">
        <v>0</v>
      </c>
      <c r="E771" s="9">
        <v>0.36</v>
      </c>
      <c r="F771" s="9">
        <v>0.34</v>
      </c>
      <c r="G771" s="9">
        <v>0</v>
      </c>
      <c r="H771" s="8">
        <v>1207.2</v>
      </c>
      <c r="I771" s="8">
        <v>1176</v>
      </c>
      <c r="J771" s="7" t="s">
        <v>325</v>
      </c>
    </row>
    <row r="772" spans="1:10" x14ac:dyDescent="0.35">
      <c r="A772" s="7" t="s">
        <v>16</v>
      </c>
      <c r="B772" s="7" t="s">
        <v>89</v>
      </c>
      <c r="C772" s="7" t="s">
        <v>144</v>
      </c>
      <c r="D772" s="9">
        <v>0.5</v>
      </c>
      <c r="E772" s="9">
        <v>0.54</v>
      </c>
      <c r="F772" s="9">
        <v>0.34</v>
      </c>
      <c r="G772" s="9">
        <v>306.81</v>
      </c>
      <c r="H772" s="9">
        <v>476.4</v>
      </c>
      <c r="I772" s="9">
        <v>294.5</v>
      </c>
      <c r="J772" s="7" t="s">
        <v>325</v>
      </c>
    </row>
    <row r="773" spans="1:10" x14ac:dyDescent="0.35">
      <c r="A773" s="7" t="s">
        <v>23</v>
      </c>
      <c r="B773" s="7" t="s">
        <v>30</v>
      </c>
      <c r="C773" s="7" t="s">
        <v>84</v>
      </c>
      <c r="D773" s="9">
        <v>0.06</v>
      </c>
      <c r="E773" s="9">
        <v>0.33</v>
      </c>
      <c r="F773" s="9">
        <v>0.34</v>
      </c>
      <c r="G773" s="9">
        <v>8</v>
      </c>
      <c r="H773" s="9">
        <v>34.58</v>
      </c>
      <c r="I773" s="9">
        <v>38.15</v>
      </c>
      <c r="J773" s="7" t="s">
        <v>325</v>
      </c>
    </row>
    <row r="774" spans="1:10" x14ac:dyDescent="0.35">
      <c r="A774" s="7" t="s">
        <v>20</v>
      </c>
      <c r="B774" s="7" t="s">
        <v>156</v>
      </c>
      <c r="C774" s="7" t="s">
        <v>126</v>
      </c>
      <c r="D774" s="9">
        <v>0.42</v>
      </c>
      <c r="E774" s="9">
        <v>0.59</v>
      </c>
      <c r="F774" s="9">
        <v>0.33</v>
      </c>
      <c r="G774" s="9">
        <v>783.96</v>
      </c>
      <c r="H774" s="8">
        <v>1369.47</v>
      </c>
      <c r="I774" s="9">
        <v>783</v>
      </c>
      <c r="J774" s="7" t="s">
        <v>325</v>
      </c>
    </row>
    <row r="775" spans="1:10" x14ac:dyDescent="0.35">
      <c r="A775" s="7" t="s">
        <v>23</v>
      </c>
      <c r="B775" s="7" t="s">
        <v>123</v>
      </c>
      <c r="C775" s="7" t="s">
        <v>54</v>
      </c>
      <c r="D775" s="9">
        <v>1.73</v>
      </c>
      <c r="E775" s="9">
        <v>1.42</v>
      </c>
      <c r="F775" s="9">
        <v>0.33</v>
      </c>
      <c r="G775" s="8">
        <v>1237.99</v>
      </c>
      <c r="H775" s="9">
        <v>944.72</v>
      </c>
      <c r="I775" s="9">
        <v>146.12</v>
      </c>
      <c r="J775" s="7" t="s">
        <v>325</v>
      </c>
    </row>
    <row r="776" spans="1:10" x14ac:dyDescent="0.35">
      <c r="A776" s="7" t="s">
        <v>20</v>
      </c>
      <c r="B776" s="7" t="s">
        <v>56</v>
      </c>
      <c r="C776" s="7" t="s">
        <v>72</v>
      </c>
      <c r="D776" s="9">
        <v>0.66</v>
      </c>
      <c r="E776" s="9">
        <v>2.46</v>
      </c>
      <c r="F776" s="9">
        <v>0.33</v>
      </c>
      <c r="G776" s="9">
        <v>133.24</v>
      </c>
      <c r="H776" s="9">
        <v>503.64</v>
      </c>
      <c r="I776" s="9">
        <v>57.71</v>
      </c>
      <c r="J776" s="7" t="s">
        <v>325</v>
      </c>
    </row>
    <row r="777" spans="1:10" x14ac:dyDescent="0.35">
      <c r="A777" s="7" t="s">
        <v>20</v>
      </c>
      <c r="B777" s="7" t="s">
        <v>21</v>
      </c>
      <c r="C777" s="7" t="s">
        <v>122</v>
      </c>
      <c r="D777" s="9">
        <v>2.37</v>
      </c>
      <c r="E777" s="9">
        <v>1.03</v>
      </c>
      <c r="F777" s="9">
        <v>0.33</v>
      </c>
      <c r="G777" s="9">
        <v>407.87</v>
      </c>
      <c r="H777" s="9">
        <v>424.07</v>
      </c>
      <c r="I777" s="9">
        <v>89.76</v>
      </c>
      <c r="J777" s="7" t="s">
        <v>325</v>
      </c>
    </row>
    <row r="778" spans="1:10" ht="26.25" customHeight="1" x14ac:dyDescent="0.35">
      <c r="A778" s="7" t="s">
        <v>31</v>
      </c>
      <c r="B778" s="7" t="s">
        <v>146</v>
      </c>
      <c r="C778" s="7" t="s">
        <v>27</v>
      </c>
      <c r="D778" s="9">
        <v>0</v>
      </c>
      <c r="E778" s="9">
        <v>32.200000000000003</v>
      </c>
      <c r="F778" s="9">
        <v>0.33</v>
      </c>
      <c r="G778" s="9">
        <v>0</v>
      </c>
      <c r="H778" s="8">
        <v>83887.64</v>
      </c>
      <c r="I778" s="9">
        <v>769.61</v>
      </c>
      <c r="J778" s="7" t="s">
        <v>325</v>
      </c>
    </row>
    <row r="779" spans="1:10" x14ac:dyDescent="0.35">
      <c r="A779" s="7" t="s">
        <v>23</v>
      </c>
      <c r="B779" s="7" t="s">
        <v>44</v>
      </c>
      <c r="C779" s="7" t="s">
        <v>33</v>
      </c>
      <c r="D779" s="9">
        <v>0.69</v>
      </c>
      <c r="E779" s="9">
        <v>0.87</v>
      </c>
      <c r="F779" s="9">
        <v>0.33</v>
      </c>
      <c r="G779" s="9">
        <v>481.2</v>
      </c>
      <c r="H779" s="9">
        <v>626.16999999999996</v>
      </c>
      <c r="I779" s="9">
        <v>249.79</v>
      </c>
      <c r="J779" s="7" t="s">
        <v>325</v>
      </c>
    </row>
    <row r="780" spans="1:10" x14ac:dyDescent="0.35">
      <c r="A780" s="7" t="s">
        <v>94</v>
      </c>
      <c r="B780" s="7" t="s">
        <v>112</v>
      </c>
      <c r="C780" s="7" t="s">
        <v>53</v>
      </c>
      <c r="D780" s="9">
        <v>0.98</v>
      </c>
      <c r="E780" s="9">
        <v>0.88</v>
      </c>
      <c r="F780" s="9">
        <v>0.33</v>
      </c>
      <c r="G780" s="8">
        <v>2062.2199999999998</v>
      </c>
      <c r="H780" s="8">
        <v>2222.85</v>
      </c>
      <c r="I780" s="9">
        <v>796.8</v>
      </c>
      <c r="J780" s="7" t="s">
        <v>325</v>
      </c>
    </row>
    <row r="781" spans="1:10" x14ac:dyDescent="0.35">
      <c r="A781" s="7" t="s">
        <v>40</v>
      </c>
      <c r="B781" s="7" t="s">
        <v>85</v>
      </c>
      <c r="C781" s="7" t="s">
        <v>69</v>
      </c>
      <c r="D781" s="9">
        <v>1.25</v>
      </c>
      <c r="E781" s="9">
        <v>0.1</v>
      </c>
      <c r="F781" s="9">
        <v>0.33</v>
      </c>
      <c r="G781" s="9">
        <v>98.49</v>
      </c>
      <c r="H781" s="9">
        <v>18.72</v>
      </c>
      <c r="I781" s="9">
        <v>22.91</v>
      </c>
      <c r="J781" s="7" t="s">
        <v>325</v>
      </c>
    </row>
    <row r="782" spans="1:10" x14ac:dyDescent="0.35">
      <c r="A782" s="7" t="s">
        <v>86</v>
      </c>
      <c r="B782" s="7" t="s">
        <v>106</v>
      </c>
      <c r="C782" s="7" t="s">
        <v>69</v>
      </c>
      <c r="D782" s="9">
        <v>2.0099999999999998</v>
      </c>
      <c r="E782" s="9">
        <v>2</v>
      </c>
      <c r="F782" s="9">
        <v>0.33</v>
      </c>
      <c r="G782" s="9">
        <v>690.65</v>
      </c>
      <c r="H782" s="9">
        <v>783.96</v>
      </c>
      <c r="I782" s="9">
        <v>123.64</v>
      </c>
      <c r="J782" s="7" t="s">
        <v>325</v>
      </c>
    </row>
    <row r="783" spans="1:10" x14ac:dyDescent="0.35">
      <c r="A783" s="7" t="s">
        <v>86</v>
      </c>
      <c r="B783" s="7" t="s">
        <v>106</v>
      </c>
      <c r="C783" s="7" t="s">
        <v>60</v>
      </c>
      <c r="D783" s="9">
        <v>1.8</v>
      </c>
      <c r="E783" s="9">
        <v>3.06</v>
      </c>
      <c r="F783" s="9">
        <v>0.33</v>
      </c>
      <c r="G783" s="9">
        <v>188.88</v>
      </c>
      <c r="H783" s="9">
        <v>181.33</v>
      </c>
      <c r="I783" s="9">
        <v>45.96</v>
      </c>
      <c r="J783" s="7" t="s">
        <v>325</v>
      </c>
    </row>
    <row r="784" spans="1:10" x14ac:dyDescent="0.35">
      <c r="A784" s="7" t="s">
        <v>23</v>
      </c>
      <c r="B784" s="7" t="s">
        <v>30</v>
      </c>
      <c r="C784" s="7" t="s">
        <v>65</v>
      </c>
      <c r="D784" s="9">
        <v>0.05</v>
      </c>
      <c r="E784" s="9">
        <v>0.15</v>
      </c>
      <c r="F784" s="9">
        <v>0.33</v>
      </c>
      <c r="G784" s="9">
        <v>33.369999999999997</v>
      </c>
      <c r="H784" s="9">
        <v>157.16</v>
      </c>
      <c r="I784" s="9">
        <v>406.3</v>
      </c>
      <c r="J784" s="7" t="s">
        <v>325</v>
      </c>
    </row>
    <row r="785" spans="1:10" x14ac:dyDescent="0.35">
      <c r="A785" s="7" t="s">
        <v>66</v>
      </c>
      <c r="B785" s="7" t="s">
        <v>73</v>
      </c>
      <c r="C785" s="7" t="s">
        <v>69</v>
      </c>
      <c r="D785" s="9">
        <v>0.28999999999999998</v>
      </c>
      <c r="E785" s="9">
        <v>0.42</v>
      </c>
      <c r="F785" s="9">
        <v>0.33</v>
      </c>
      <c r="G785" s="9">
        <v>27.59</v>
      </c>
      <c r="H785" s="9">
        <v>51.12</v>
      </c>
      <c r="I785" s="9">
        <v>18.7</v>
      </c>
      <c r="J785" s="7" t="s">
        <v>325</v>
      </c>
    </row>
    <row r="786" spans="1:10" x14ac:dyDescent="0.35">
      <c r="A786" s="7" t="s">
        <v>31</v>
      </c>
      <c r="B786" s="7" t="s">
        <v>215</v>
      </c>
      <c r="C786" s="7" t="s">
        <v>18</v>
      </c>
      <c r="D786" s="9">
        <v>0</v>
      </c>
      <c r="E786" s="9">
        <v>0.37</v>
      </c>
      <c r="F786" s="9">
        <v>0.33</v>
      </c>
      <c r="G786" s="9">
        <v>3</v>
      </c>
      <c r="H786" s="9">
        <v>710.39</v>
      </c>
      <c r="I786" s="9">
        <v>569.73</v>
      </c>
      <c r="J786" s="7" t="s">
        <v>325</v>
      </c>
    </row>
    <row r="787" spans="1:10" x14ac:dyDescent="0.35">
      <c r="A787" s="7" t="s">
        <v>35</v>
      </c>
      <c r="B787" s="7" t="s">
        <v>38</v>
      </c>
      <c r="C787" s="7" t="s">
        <v>72</v>
      </c>
      <c r="D787" s="9">
        <v>3.02</v>
      </c>
      <c r="E787" s="9">
        <v>2.04</v>
      </c>
      <c r="F787" s="9">
        <v>0.32</v>
      </c>
      <c r="G787" s="9">
        <v>509.03</v>
      </c>
      <c r="H787" s="9">
        <v>490.94</v>
      </c>
      <c r="I787" s="9">
        <v>44.34</v>
      </c>
      <c r="J787" s="7" t="s">
        <v>325</v>
      </c>
    </row>
    <row r="788" spans="1:10" x14ac:dyDescent="0.35">
      <c r="A788" s="7" t="s">
        <v>77</v>
      </c>
      <c r="B788" s="7" t="s">
        <v>78</v>
      </c>
      <c r="C788" s="7" t="s">
        <v>116</v>
      </c>
      <c r="D788" s="9">
        <v>0.46</v>
      </c>
      <c r="E788" s="9">
        <v>0.89</v>
      </c>
      <c r="F788" s="9">
        <v>0.32</v>
      </c>
      <c r="G788" s="9">
        <v>991.8</v>
      </c>
      <c r="H788" s="8">
        <v>1555.24</v>
      </c>
      <c r="I788" s="9">
        <v>458.06</v>
      </c>
      <c r="J788" s="7" t="s">
        <v>325</v>
      </c>
    </row>
    <row r="789" spans="1:10" x14ac:dyDescent="0.35">
      <c r="A789" s="7" t="s">
        <v>66</v>
      </c>
      <c r="B789" s="7" t="s">
        <v>100</v>
      </c>
      <c r="C789" s="7" t="s">
        <v>27</v>
      </c>
      <c r="D789" s="9">
        <v>0</v>
      </c>
      <c r="E789" s="9">
        <v>2.06</v>
      </c>
      <c r="F789" s="9">
        <v>0.32</v>
      </c>
      <c r="G789" s="9">
        <v>0</v>
      </c>
      <c r="H789" s="8">
        <v>3625.2</v>
      </c>
      <c r="I789" s="9">
        <v>488.25</v>
      </c>
      <c r="J789" s="7" t="s">
        <v>325</v>
      </c>
    </row>
    <row r="790" spans="1:10" x14ac:dyDescent="0.35">
      <c r="A790" s="7" t="s">
        <v>16</v>
      </c>
      <c r="B790" s="7" t="s">
        <v>135</v>
      </c>
      <c r="C790" s="7" t="s">
        <v>69</v>
      </c>
      <c r="D790" s="9">
        <v>0.56000000000000005</v>
      </c>
      <c r="E790" s="9">
        <v>0.8</v>
      </c>
      <c r="F790" s="9">
        <v>0.32</v>
      </c>
      <c r="G790" s="9">
        <v>16.55</v>
      </c>
      <c r="H790" s="9">
        <v>22.01</v>
      </c>
      <c r="I790" s="9">
        <v>7.47</v>
      </c>
      <c r="J790" s="7" t="s">
        <v>325</v>
      </c>
    </row>
    <row r="791" spans="1:10" x14ac:dyDescent="0.35">
      <c r="A791" s="7" t="s">
        <v>31</v>
      </c>
      <c r="B791" s="7" t="s">
        <v>131</v>
      </c>
      <c r="C791" s="7" t="s">
        <v>42</v>
      </c>
      <c r="D791" s="9">
        <v>1.1299999999999999</v>
      </c>
      <c r="E791" s="9">
        <v>1.03</v>
      </c>
      <c r="F791" s="9">
        <v>0.32</v>
      </c>
      <c r="G791" s="9">
        <v>791.09</v>
      </c>
      <c r="H791" s="9">
        <v>767.43</v>
      </c>
      <c r="I791" s="9">
        <v>265.45999999999998</v>
      </c>
      <c r="J791" s="7" t="s">
        <v>325</v>
      </c>
    </row>
    <row r="792" spans="1:10" x14ac:dyDescent="0.35">
      <c r="A792" s="7" t="s">
        <v>35</v>
      </c>
      <c r="B792" s="7" t="s">
        <v>165</v>
      </c>
      <c r="C792" s="7" t="s">
        <v>46</v>
      </c>
      <c r="D792" s="9">
        <v>0</v>
      </c>
      <c r="E792" s="9">
        <v>0.84</v>
      </c>
      <c r="F792" s="9">
        <v>0.32</v>
      </c>
      <c r="G792" s="9">
        <v>0</v>
      </c>
      <c r="H792" s="9">
        <v>587.41</v>
      </c>
      <c r="I792" s="9">
        <v>217.75</v>
      </c>
      <c r="J792" s="7" t="s">
        <v>325</v>
      </c>
    </row>
    <row r="793" spans="1:10" x14ac:dyDescent="0.35">
      <c r="A793" s="7" t="s">
        <v>16</v>
      </c>
      <c r="B793" s="7" t="s">
        <v>143</v>
      </c>
      <c r="C793" s="7" t="s">
        <v>144</v>
      </c>
      <c r="D793" s="9">
        <v>0.85</v>
      </c>
      <c r="E793" s="9">
        <v>0.53</v>
      </c>
      <c r="F793" s="9">
        <v>0.32</v>
      </c>
      <c r="G793" s="8">
        <v>2653</v>
      </c>
      <c r="H793" s="8">
        <v>1695</v>
      </c>
      <c r="I793" s="8">
        <v>1060</v>
      </c>
      <c r="J793" s="7" t="s">
        <v>325</v>
      </c>
    </row>
    <row r="794" spans="1:10" x14ac:dyDescent="0.35">
      <c r="A794" s="7" t="s">
        <v>23</v>
      </c>
      <c r="B794" s="7" t="s">
        <v>148</v>
      </c>
      <c r="C794" s="7" t="s">
        <v>22</v>
      </c>
      <c r="D794" s="9">
        <v>0.71</v>
      </c>
      <c r="E794" s="9">
        <v>39.06</v>
      </c>
      <c r="F794" s="9">
        <v>0.31</v>
      </c>
      <c r="G794" s="9">
        <v>618</v>
      </c>
      <c r="H794" s="8">
        <v>10541.06</v>
      </c>
      <c r="I794" s="9">
        <v>137.01</v>
      </c>
      <c r="J794" s="7" t="s">
        <v>325</v>
      </c>
    </row>
    <row r="795" spans="1:10" x14ac:dyDescent="0.35">
      <c r="A795" s="7" t="s">
        <v>94</v>
      </c>
      <c r="B795" s="7" t="s">
        <v>112</v>
      </c>
      <c r="C795" s="7" t="s">
        <v>33</v>
      </c>
      <c r="D795" s="9">
        <v>1.41</v>
      </c>
      <c r="E795" s="9">
        <v>1.61</v>
      </c>
      <c r="F795" s="9">
        <v>0.31</v>
      </c>
      <c r="G795" s="8">
        <v>1751</v>
      </c>
      <c r="H795" s="8">
        <v>2309.19</v>
      </c>
      <c r="I795" s="9">
        <v>446.78</v>
      </c>
      <c r="J795" s="7" t="s">
        <v>325</v>
      </c>
    </row>
    <row r="796" spans="1:10" x14ac:dyDescent="0.35">
      <c r="A796" s="7" t="s">
        <v>35</v>
      </c>
      <c r="B796" s="7" t="s">
        <v>38</v>
      </c>
      <c r="C796" s="7" t="s">
        <v>54</v>
      </c>
      <c r="D796" s="9">
        <v>0.79</v>
      </c>
      <c r="E796" s="9">
        <v>2.0299999999999998</v>
      </c>
      <c r="F796" s="9">
        <v>0.31</v>
      </c>
      <c r="G796" s="9">
        <v>284.43</v>
      </c>
      <c r="H796" s="9">
        <v>881.34</v>
      </c>
      <c r="I796" s="9">
        <v>154.69</v>
      </c>
      <c r="J796" s="7" t="s">
        <v>325</v>
      </c>
    </row>
    <row r="797" spans="1:10" x14ac:dyDescent="0.35">
      <c r="A797" s="7" t="s">
        <v>40</v>
      </c>
      <c r="B797" s="7" t="s">
        <v>183</v>
      </c>
      <c r="C797" s="7" t="s">
        <v>84</v>
      </c>
      <c r="D797" s="9">
        <v>0</v>
      </c>
      <c r="E797" s="9">
        <v>0</v>
      </c>
      <c r="F797" s="9">
        <v>0.31</v>
      </c>
      <c r="G797" s="9">
        <v>1.25</v>
      </c>
      <c r="H797" s="9">
        <v>0.05</v>
      </c>
      <c r="I797" s="9">
        <v>32.76</v>
      </c>
      <c r="J797" s="7" t="s">
        <v>325</v>
      </c>
    </row>
    <row r="798" spans="1:10" x14ac:dyDescent="0.35">
      <c r="A798" s="7" t="s">
        <v>16</v>
      </c>
      <c r="B798" s="7" t="s">
        <v>172</v>
      </c>
      <c r="C798" s="7" t="s">
        <v>18</v>
      </c>
      <c r="D798" s="9">
        <v>0.38</v>
      </c>
      <c r="E798" s="9">
        <v>2.4</v>
      </c>
      <c r="F798" s="9">
        <v>0.31</v>
      </c>
      <c r="G798" s="9">
        <v>400</v>
      </c>
      <c r="H798" s="8">
        <v>3267.79</v>
      </c>
      <c r="I798" s="9">
        <v>352</v>
      </c>
      <c r="J798" s="7" t="s">
        <v>325</v>
      </c>
    </row>
    <row r="799" spans="1:10" x14ac:dyDescent="0.35">
      <c r="A799" s="7" t="s">
        <v>49</v>
      </c>
      <c r="B799" s="7" t="s">
        <v>121</v>
      </c>
      <c r="C799" s="7" t="s">
        <v>33</v>
      </c>
      <c r="D799" s="9">
        <v>0.51</v>
      </c>
      <c r="E799" s="9">
        <v>1.68</v>
      </c>
      <c r="F799" s="9">
        <v>0.31</v>
      </c>
      <c r="G799" s="9">
        <v>244.62</v>
      </c>
      <c r="H799" s="8">
        <v>1076.28</v>
      </c>
      <c r="I799" s="9">
        <v>193.7</v>
      </c>
      <c r="J799" s="7" t="s">
        <v>325</v>
      </c>
    </row>
    <row r="800" spans="1:10" x14ac:dyDescent="0.35">
      <c r="A800" s="7" t="s">
        <v>77</v>
      </c>
      <c r="B800" s="7" t="s">
        <v>216</v>
      </c>
      <c r="C800" s="7" t="s">
        <v>102</v>
      </c>
      <c r="D800" s="9">
        <v>1.39</v>
      </c>
      <c r="E800" s="9">
        <v>2.19</v>
      </c>
      <c r="F800" s="9">
        <v>0.3</v>
      </c>
      <c r="G800" s="8">
        <v>1520.61</v>
      </c>
      <c r="H800" s="8">
        <v>2222.02</v>
      </c>
      <c r="I800" s="9">
        <v>278.82</v>
      </c>
      <c r="J800" s="7" t="s">
        <v>325</v>
      </c>
    </row>
    <row r="801" spans="1:10" x14ac:dyDescent="0.35">
      <c r="A801" s="7" t="s">
        <v>16</v>
      </c>
      <c r="B801" s="7" t="s">
        <v>109</v>
      </c>
      <c r="C801" s="7" t="s">
        <v>65</v>
      </c>
      <c r="D801" s="9">
        <v>0.6</v>
      </c>
      <c r="E801" s="9">
        <v>1.08</v>
      </c>
      <c r="F801" s="9">
        <v>0.3</v>
      </c>
      <c r="G801" s="9">
        <v>652.21</v>
      </c>
      <c r="H801" s="8">
        <v>1571.75</v>
      </c>
      <c r="I801" s="9">
        <v>387.55</v>
      </c>
      <c r="J801" s="7" t="s">
        <v>325</v>
      </c>
    </row>
    <row r="802" spans="1:10" x14ac:dyDescent="0.35">
      <c r="A802" s="7" t="s">
        <v>35</v>
      </c>
      <c r="B802" s="7" t="s">
        <v>38</v>
      </c>
      <c r="C802" s="7" t="s">
        <v>53</v>
      </c>
      <c r="D802" s="9">
        <v>2.5099999999999998</v>
      </c>
      <c r="E802" s="9">
        <v>1.78</v>
      </c>
      <c r="F802" s="9">
        <v>0.3</v>
      </c>
      <c r="G802" s="8">
        <v>1729.47</v>
      </c>
      <c r="H802" s="8">
        <v>1348.78</v>
      </c>
      <c r="I802" s="9">
        <v>235.29</v>
      </c>
      <c r="J802" s="7" t="s">
        <v>325</v>
      </c>
    </row>
    <row r="803" spans="1:10" ht="26.25" customHeight="1" x14ac:dyDescent="0.35">
      <c r="A803" s="7" t="s">
        <v>20</v>
      </c>
      <c r="B803" s="7" t="s">
        <v>82</v>
      </c>
      <c r="C803" s="7" t="s">
        <v>81</v>
      </c>
      <c r="D803" s="9">
        <v>0.14000000000000001</v>
      </c>
      <c r="E803" s="9">
        <v>0.84</v>
      </c>
      <c r="F803" s="9">
        <v>0.3</v>
      </c>
      <c r="G803" s="9">
        <v>153.13999999999999</v>
      </c>
      <c r="H803" s="8">
        <v>1280.29</v>
      </c>
      <c r="I803" s="9">
        <v>415.6</v>
      </c>
      <c r="J803" s="7" t="s">
        <v>325</v>
      </c>
    </row>
    <row r="804" spans="1:10" x14ac:dyDescent="0.35">
      <c r="A804" s="7" t="s">
        <v>40</v>
      </c>
      <c r="B804" s="7" t="s">
        <v>183</v>
      </c>
      <c r="C804" s="7" t="s">
        <v>27</v>
      </c>
      <c r="D804" s="9">
        <v>0.03</v>
      </c>
      <c r="E804" s="9">
        <v>0.4</v>
      </c>
      <c r="F804" s="9">
        <v>0.3</v>
      </c>
      <c r="G804" s="9">
        <v>36.26</v>
      </c>
      <c r="H804" s="9">
        <v>683.59</v>
      </c>
      <c r="I804" s="9">
        <v>549.91</v>
      </c>
      <c r="J804" s="7" t="s">
        <v>325</v>
      </c>
    </row>
    <row r="805" spans="1:10" x14ac:dyDescent="0.35">
      <c r="A805" s="7" t="s">
        <v>23</v>
      </c>
      <c r="B805" s="7" t="s">
        <v>34</v>
      </c>
      <c r="C805" s="7" t="s">
        <v>59</v>
      </c>
      <c r="D805" s="9">
        <v>0</v>
      </c>
      <c r="E805" s="9">
        <v>0.19</v>
      </c>
      <c r="F805" s="9">
        <v>0.28999999999999998</v>
      </c>
      <c r="G805" s="9">
        <v>0</v>
      </c>
      <c r="H805" s="9">
        <v>53.09</v>
      </c>
      <c r="I805" s="9">
        <v>144.79</v>
      </c>
      <c r="J805" s="7" t="s">
        <v>325</v>
      </c>
    </row>
    <row r="806" spans="1:10" x14ac:dyDescent="0.35">
      <c r="A806" s="7" t="s">
        <v>16</v>
      </c>
      <c r="B806" s="7" t="s">
        <v>105</v>
      </c>
      <c r="C806" s="7" t="s">
        <v>83</v>
      </c>
      <c r="D806" s="9">
        <v>0</v>
      </c>
      <c r="E806" s="9">
        <v>0</v>
      </c>
      <c r="F806" s="9">
        <v>0.28000000000000003</v>
      </c>
      <c r="G806" s="9">
        <v>0</v>
      </c>
      <c r="H806" s="9">
        <v>0</v>
      </c>
      <c r="I806" s="9">
        <v>108.77</v>
      </c>
      <c r="J806" s="7" t="s">
        <v>325</v>
      </c>
    </row>
    <row r="807" spans="1:10" x14ac:dyDescent="0.35">
      <c r="A807" s="7" t="s">
        <v>23</v>
      </c>
      <c r="B807" s="7" t="s">
        <v>44</v>
      </c>
      <c r="C807" s="7" t="s">
        <v>53</v>
      </c>
      <c r="D807" s="9">
        <v>0.7</v>
      </c>
      <c r="E807" s="9">
        <v>2.89</v>
      </c>
      <c r="F807" s="9">
        <v>0.28000000000000003</v>
      </c>
      <c r="G807" s="9">
        <v>376.15</v>
      </c>
      <c r="H807" s="8">
        <v>3625.15</v>
      </c>
      <c r="I807" s="9">
        <v>215.03</v>
      </c>
      <c r="J807" s="7" t="s">
        <v>325</v>
      </c>
    </row>
    <row r="808" spans="1:10" x14ac:dyDescent="0.35">
      <c r="A808" s="7" t="s">
        <v>86</v>
      </c>
      <c r="B808" s="7" t="s">
        <v>87</v>
      </c>
      <c r="C808" s="7" t="s">
        <v>48</v>
      </c>
      <c r="D808" s="9">
        <v>1.08</v>
      </c>
      <c r="E808" s="9">
        <v>0.64</v>
      </c>
      <c r="F808" s="9">
        <v>0.28000000000000003</v>
      </c>
      <c r="G808" s="9">
        <v>396.86</v>
      </c>
      <c r="H808" s="9">
        <v>162.58000000000001</v>
      </c>
      <c r="I808" s="9">
        <v>97.47</v>
      </c>
      <c r="J808" s="7" t="s">
        <v>325</v>
      </c>
    </row>
    <row r="809" spans="1:10" x14ac:dyDescent="0.35">
      <c r="A809" s="7" t="s">
        <v>40</v>
      </c>
      <c r="B809" s="7" t="s">
        <v>64</v>
      </c>
      <c r="C809" s="7" t="s">
        <v>48</v>
      </c>
      <c r="D809" s="9">
        <v>0.13</v>
      </c>
      <c r="E809" s="9">
        <v>1.36</v>
      </c>
      <c r="F809" s="9">
        <v>0.28000000000000003</v>
      </c>
      <c r="G809" s="9">
        <v>57.34</v>
      </c>
      <c r="H809" s="9">
        <v>821.93</v>
      </c>
      <c r="I809" s="9">
        <v>184.4</v>
      </c>
      <c r="J809" s="7" t="s">
        <v>325</v>
      </c>
    </row>
    <row r="810" spans="1:10" x14ac:dyDescent="0.35">
      <c r="A810" s="7" t="s">
        <v>49</v>
      </c>
      <c r="B810" s="7" t="s">
        <v>176</v>
      </c>
      <c r="C810" s="7" t="s">
        <v>48</v>
      </c>
      <c r="D810" s="9">
        <v>0.42</v>
      </c>
      <c r="E810" s="9">
        <v>0.47</v>
      </c>
      <c r="F810" s="9">
        <v>0.28000000000000003</v>
      </c>
      <c r="G810" s="9">
        <v>357.22</v>
      </c>
      <c r="H810" s="9">
        <v>304.95</v>
      </c>
      <c r="I810" s="9">
        <v>222.63</v>
      </c>
      <c r="J810" s="7" t="s">
        <v>325</v>
      </c>
    </row>
    <row r="811" spans="1:10" x14ac:dyDescent="0.35">
      <c r="A811" s="7" t="s">
        <v>35</v>
      </c>
      <c r="B811" s="7" t="s">
        <v>198</v>
      </c>
      <c r="C811" s="7" t="s">
        <v>72</v>
      </c>
      <c r="D811" s="9">
        <v>0.81</v>
      </c>
      <c r="E811" s="9">
        <v>0.7</v>
      </c>
      <c r="F811" s="9">
        <v>0.27</v>
      </c>
      <c r="G811" s="9">
        <v>200</v>
      </c>
      <c r="H811" s="9">
        <v>230.81</v>
      </c>
      <c r="I811" s="9">
        <v>100</v>
      </c>
      <c r="J811" s="7" t="s">
        <v>325</v>
      </c>
    </row>
    <row r="812" spans="1:10" ht="26.25" customHeight="1" x14ac:dyDescent="0.35">
      <c r="A812" s="7" t="s">
        <v>31</v>
      </c>
      <c r="B812" s="7" t="s">
        <v>146</v>
      </c>
      <c r="C812" s="7" t="s">
        <v>53</v>
      </c>
      <c r="D812" s="9">
        <v>0.81</v>
      </c>
      <c r="E812" s="9">
        <v>0.56000000000000005</v>
      </c>
      <c r="F812" s="9">
        <v>0.27</v>
      </c>
      <c r="G812" s="8">
        <v>1399.11</v>
      </c>
      <c r="H812" s="9">
        <v>917.45</v>
      </c>
      <c r="I812" s="9">
        <v>485.23</v>
      </c>
      <c r="J812" s="7" t="s">
        <v>325</v>
      </c>
    </row>
    <row r="813" spans="1:10" x14ac:dyDescent="0.35">
      <c r="A813" s="7" t="s">
        <v>40</v>
      </c>
      <c r="B813" s="7" t="s">
        <v>164</v>
      </c>
      <c r="C813" s="7" t="s">
        <v>42</v>
      </c>
      <c r="D813" s="9">
        <v>0.45</v>
      </c>
      <c r="E813" s="9">
        <v>0.26</v>
      </c>
      <c r="F813" s="9">
        <v>0.27</v>
      </c>
      <c r="G813" s="9">
        <v>317.74</v>
      </c>
      <c r="H813" s="9">
        <v>438.83</v>
      </c>
      <c r="I813" s="9">
        <v>208.28</v>
      </c>
      <c r="J813" s="7" t="s">
        <v>325</v>
      </c>
    </row>
    <row r="814" spans="1:10" x14ac:dyDescent="0.35">
      <c r="A814" s="7" t="s">
        <v>40</v>
      </c>
      <c r="B814" s="7" t="s">
        <v>64</v>
      </c>
      <c r="C814" s="7" t="s">
        <v>39</v>
      </c>
      <c r="D814" s="9">
        <v>0.88</v>
      </c>
      <c r="E814" s="9">
        <v>0.21</v>
      </c>
      <c r="F814" s="9">
        <v>0.27</v>
      </c>
      <c r="G814" s="9">
        <v>430.81</v>
      </c>
      <c r="H814" s="9">
        <v>163.57</v>
      </c>
      <c r="I814" s="9">
        <v>97.61</v>
      </c>
      <c r="J814" s="7" t="s">
        <v>325</v>
      </c>
    </row>
    <row r="815" spans="1:10" x14ac:dyDescent="0.35">
      <c r="A815" s="7" t="s">
        <v>94</v>
      </c>
      <c r="B815" s="7" t="s">
        <v>95</v>
      </c>
      <c r="C815" s="7" t="s">
        <v>69</v>
      </c>
      <c r="D815" s="9">
        <v>0.78</v>
      </c>
      <c r="E815" s="9">
        <v>0.53</v>
      </c>
      <c r="F815" s="9">
        <v>0.26</v>
      </c>
      <c r="G815" s="9">
        <v>154.74</v>
      </c>
      <c r="H815" s="9">
        <v>251.33</v>
      </c>
      <c r="I815" s="9">
        <v>114.74</v>
      </c>
      <c r="J815" s="7" t="s">
        <v>325</v>
      </c>
    </row>
    <row r="816" spans="1:10" x14ac:dyDescent="0.35">
      <c r="A816" s="7" t="s">
        <v>16</v>
      </c>
      <c r="B816" s="7" t="s">
        <v>89</v>
      </c>
      <c r="C816" s="7" t="s">
        <v>27</v>
      </c>
      <c r="D816" s="9">
        <v>0.24</v>
      </c>
      <c r="E816" s="9">
        <v>0.08</v>
      </c>
      <c r="F816" s="9">
        <v>0.26</v>
      </c>
      <c r="G816" s="9">
        <v>367.46</v>
      </c>
      <c r="H816" s="9">
        <v>79.45</v>
      </c>
      <c r="I816" s="9">
        <v>582.66999999999996</v>
      </c>
      <c r="J816" s="7" t="s">
        <v>325</v>
      </c>
    </row>
    <row r="817" spans="1:10" x14ac:dyDescent="0.35">
      <c r="A817" s="7" t="s">
        <v>40</v>
      </c>
      <c r="B817" s="7" t="s">
        <v>194</v>
      </c>
      <c r="C817" s="7" t="s">
        <v>45</v>
      </c>
      <c r="D817" s="9">
        <v>0.19</v>
      </c>
      <c r="E817" s="9">
        <v>0.47</v>
      </c>
      <c r="F817" s="9">
        <v>0.26</v>
      </c>
      <c r="G817" s="9">
        <v>121.72</v>
      </c>
      <c r="H817" s="9">
        <v>481.75</v>
      </c>
      <c r="I817" s="9">
        <v>234.83</v>
      </c>
      <c r="J817" s="7" t="s">
        <v>325</v>
      </c>
    </row>
    <row r="818" spans="1:10" x14ac:dyDescent="0.35">
      <c r="A818" s="7" t="s">
        <v>16</v>
      </c>
      <c r="B818" s="7" t="s">
        <v>17</v>
      </c>
      <c r="C818" s="7" t="s">
        <v>84</v>
      </c>
      <c r="D818" s="9">
        <v>0.35</v>
      </c>
      <c r="E818" s="9">
        <v>0.45</v>
      </c>
      <c r="F818" s="9">
        <v>0.26</v>
      </c>
      <c r="G818" s="9">
        <v>35.99</v>
      </c>
      <c r="H818" s="9">
        <v>47.68</v>
      </c>
      <c r="I818" s="9">
        <v>31.04</v>
      </c>
      <c r="J818" s="7" t="s">
        <v>325</v>
      </c>
    </row>
    <row r="819" spans="1:10" x14ac:dyDescent="0.35">
      <c r="A819" s="7" t="s">
        <v>20</v>
      </c>
      <c r="B819" s="7" t="s">
        <v>156</v>
      </c>
      <c r="C819" s="7" t="s">
        <v>144</v>
      </c>
      <c r="D819" s="9">
        <v>0</v>
      </c>
      <c r="E819" s="9">
        <v>1.1200000000000001</v>
      </c>
      <c r="F819" s="9">
        <v>0.26</v>
      </c>
      <c r="G819" s="9">
        <v>0</v>
      </c>
      <c r="H819" s="8">
        <v>2874.32</v>
      </c>
      <c r="I819" s="9">
        <v>692</v>
      </c>
      <c r="J819" s="7" t="s">
        <v>325</v>
      </c>
    </row>
    <row r="820" spans="1:10" x14ac:dyDescent="0.35">
      <c r="A820" s="7" t="s">
        <v>23</v>
      </c>
      <c r="B820" s="7" t="s">
        <v>30</v>
      </c>
      <c r="C820" s="7" t="s">
        <v>114</v>
      </c>
      <c r="D820" s="9">
        <v>0</v>
      </c>
      <c r="E820" s="9">
        <v>0</v>
      </c>
      <c r="F820" s="9">
        <v>0.26</v>
      </c>
      <c r="G820" s="9">
        <v>0</v>
      </c>
      <c r="H820" s="9">
        <v>0</v>
      </c>
      <c r="I820" s="9">
        <v>33</v>
      </c>
      <c r="J820" s="7" t="s">
        <v>325</v>
      </c>
    </row>
    <row r="821" spans="1:10" x14ac:dyDescent="0.35">
      <c r="A821" s="7" t="s">
        <v>57</v>
      </c>
      <c r="B821" s="7" t="s">
        <v>161</v>
      </c>
      <c r="C821" s="7" t="s">
        <v>42</v>
      </c>
      <c r="D821" s="9">
        <v>0.74</v>
      </c>
      <c r="E821" s="9">
        <v>0.65</v>
      </c>
      <c r="F821" s="9">
        <v>0.26</v>
      </c>
      <c r="G821" s="9">
        <v>343.06</v>
      </c>
      <c r="H821" s="9">
        <v>811.89</v>
      </c>
      <c r="I821" s="9">
        <v>280.69</v>
      </c>
      <c r="J821" s="7" t="s">
        <v>325</v>
      </c>
    </row>
    <row r="822" spans="1:10" x14ac:dyDescent="0.35">
      <c r="A822" s="7" t="s">
        <v>40</v>
      </c>
      <c r="B822" s="7" t="s">
        <v>194</v>
      </c>
      <c r="C822" s="7" t="s">
        <v>39</v>
      </c>
      <c r="D822" s="9">
        <v>0.48</v>
      </c>
      <c r="E822" s="9">
        <v>0.99</v>
      </c>
      <c r="F822" s="9">
        <v>0.25</v>
      </c>
      <c r="G822" s="9">
        <v>133.22999999999999</v>
      </c>
      <c r="H822" s="9">
        <v>265.92</v>
      </c>
      <c r="I822" s="9">
        <v>71.12</v>
      </c>
      <c r="J822" s="7" t="s">
        <v>325</v>
      </c>
    </row>
    <row r="823" spans="1:10" x14ac:dyDescent="0.35">
      <c r="A823" s="7" t="s">
        <v>31</v>
      </c>
      <c r="B823" s="7" t="s">
        <v>192</v>
      </c>
      <c r="C823" s="7" t="s">
        <v>76</v>
      </c>
      <c r="D823" s="9">
        <v>0.01</v>
      </c>
      <c r="E823" s="9">
        <v>0.34</v>
      </c>
      <c r="F823" s="9">
        <v>0.25</v>
      </c>
      <c r="G823" s="9">
        <v>12.27</v>
      </c>
      <c r="H823" s="9">
        <v>239.53</v>
      </c>
      <c r="I823" s="9">
        <v>155.63</v>
      </c>
      <c r="J823" s="7" t="s">
        <v>325</v>
      </c>
    </row>
    <row r="824" spans="1:10" x14ac:dyDescent="0.35">
      <c r="A824" s="7" t="s">
        <v>35</v>
      </c>
      <c r="B824" s="7" t="s">
        <v>36</v>
      </c>
      <c r="C824" s="7" t="s">
        <v>60</v>
      </c>
      <c r="D824" s="9">
        <v>0.04</v>
      </c>
      <c r="E824" s="9">
        <v>0.28000000000000003</v>
      </c>
      <c r="F824" s="9">
        <v>0.25</v>
      </c>
      <c r="G824" s="9">
        <v>28.81</v>
      </c>
      <c r="H824" s="9">
        <v>155.58000000000001</v>
      </c>
      <c r="I824" s="9">
        <v>168.22</v>
      </c>
      <c r="J824" s="7" t="s">
        <v>325</v>
      </c>
    </row>
    <row r="825" spans="1:10" x14ac:dyDescent="0.35">
      <c r="A825" s="7" t="s">
        <v>94</v>
      </c>
      <c r="B825" s="7" t="s">
        <v>188</v>
      </c>
      <c r="C825" s="7" t="s">
        <v>55</v>
      </c>
      <c r="D825" s="9">
        <v>0.34</v>
      </c>
      <c r="E825" s="9">
        <v>0.61</v>
      </c>
      <c r="F825" s="9">
        <v>0.25</v>
      </c>
      <c r="G825" s="8">
        <v>1778.42</v>
      </c>
      <c r="H825" s="8">
        <v>3263.67</v>
      </c>
      <c r="I825" s="8">
        <v>1474.66</v>
      </c>
      <c r="J825" s="7" t="s">
        <v>325</v>
      </c>
    </row>
    <row r="826" spans="1:10" x14ac:dyDescent="0.35">
      <c r="A826" s="7" t="s">
        <v>31</v>
      </c>
      <c r="B826" s="7" t="s">
        <v>217</v>
      </c>
      <c r="C826" s="7" t="s">
        <v>39</v>
      </c>
      <c r="D826" s="9">
        <v>0</v>
      </c>
      <c r="E826" s="9">
        <v>0.33</v>
      </c>
      <c r="F826" s="9">
        <v>0.25</v>
      </c>
      <c r="G826" s="9">
        <v>0</v>
      </c>
      <c r="H826" s="9">
        <v>14.63</v>
      </c>
      <c r="I826" s="9">
        <v>12.03</v>
      </c>
      <c r="J826" s="7" t="s">
        <v>325</v>
      </c>
    </row>
    <row r="827" spans="1:10" x14ac:dyDescent="0.35">
      <c r="A827" s="7" t="s">
        <v>35</v>
      </c>
      <c r="B827" s="7" t="s">
        <v>165</v>
      </c>
      <c r="C827" s="7" t="s">
        <v>18</v>
      </c>
      <c r="D827" s="9">
        <v>0.08</v>
      </c>
      <c r="E827" s="9">
        <v>1.02</v>
      </c>
      <c r="F827" s="9">
        <v>0.25</v>
      </c>
      <c r="G827" s="9">
        <v>65.94</v>
      </c>
      <c r="H827" s="9">
        <v>963.74</v>
      </c>
      <c r="I827" s="9">
        <v>208.96</v>
      </c>
      <c r="J827" s="7" t="s">
        <v>325</v>
      </c>
    </row>
    <row r="828" spans="1:10" x14ac:dyDescent="0.35">
      <c r="A828" s="7" t="s">
        <v>159</v>
      </c>
      <c r="B828" s="7" t="s">
        <v>218</v>
      </c>
      <c r="C828" s="7" t="s">
        <v>72</v>
      </c>
      <c r="D828" s="9">
        <v>0.01</v>
      </c>
      <c r="E828" s="9">
        <v>0.17</v>
      </c>
      <c r="F828" s="9">
        <v>0.25</v>
      </c>
      <c r="G828" s="9">
        <v>7.67</v>
      </c>
      <c r="H828" s="9">
        <v>133.47999999999999</v>
      </c>
      <c r="I828" s="9">
        <v>216.8</v>
      </c>
      <c r="J828" s="7" t="s">
        <v>325</v>
      </c>
    </row>
    <row r="829" spans="1:10" x14ac:dyDescent="0.35">
      <c r="A829" s="7" t="s">
        <v>40</v>
      </c>
      <c r="B829" s="7" t="s">
        <v>41</v>
      </c>
      <c r="C829" s="7" t="s">
        <v>126</v>
      </c>
      <c r="D829" s="9">
        <v>0.67</v>
      </c>
      <c r="E829" s="9">
        <v>0.62</v>
      </c>
      <c r="F829" s="9">
        <v>0.25</v>
      </c>
      <c r="G829" s="9">
        <v>415.83</v>
      </c>
      <c r="H829" s="9">
        <v>727.52</v>
      </c>
      <c r="I829" s="9">
        <v>273.39</v>
      </c>
      <c r="J829" s="7" t="s">
        <v>325</v>
      </c>
    </row>
    <row r="830" spans="1:10" x14ac:dyDescent="0.35">
      <c r="A830" s="7" t="s">
        <v>23</v>
      </c>
      <c r="B830" s="7" t="s">
        <v>124</v>
      </c>
      <c r="C830" s="7" t="s">
        <v>76</v>
      </c>
      <c r="D830" s="9">
        <v>0</v>
      </c>
      <c r="E830" s="9">
        <v>0.55000000000000004</v>
      </c>
      <c r="F830" s="9">
        <v>0.25</v>
      </c>
      <c r="G830" s="9">
        <v>0</v>
      </c>
      <c r="H830" s="8">
        <v>1384.73</v>
      </c>
      <c r="I830" s="9">
        <v>845.55</v>
      </c>
      <c r="J830" s="7" t="s">
        <v>325</v>
      </c>
    </row>
    <row r="831" spans="1:10" x14ac:dyDescent="0.35">
      <c r="A831" s="7" t="s">
        <v>40</v>
      </c>
      <c r="B831" s="7" t="s">
        <v>117</v>
      </c>
      <c r="C831" s="7" t="s">
        <v>45</v>
      </c>
      <c r="D831" s="9">
        <v>0.68</v>
      </c>
      <c r="E831" s="9">
        <v>1.91</v>
      </c>
      <c r="F831" s="9">
        <v>0.25</v>
      </c>
      <c r="G831" s="9">
        <v>505.16</v>
      </c>
      <c r="H831" s="8">
        <v>1798.97</v>
      </c>
      <c r="I831" s="9">
        <v>229.72</v>
      </c>
      <c r="J831" s="7" t="s">
        <v>325</v>
      </c>
    </row>
    <row r="832" spans="1:10" x14ac:dyDescent="0.35">
      <c r="A832" s="7" t="s">
        <v>74</v>
      </c>
      <c r="B832" s="7" t="s">
        <v>75</v>
      </c>
      <c r="C832" s="7" t="s">
        <v>54</v>
      </c>
      <c r="D832" s="9">
        <v>0.17</v>
      </c>
      <c r="E832" s="9">
        <v>0.53</v>
      </c>
      <c r="F832" s="9">
        <v>0.24</v>
      </c>
      <c r="G832" s="9">
        <v>46.69</v>
      </c>
      <c r="H832" s="9">
        <v>143.30000000000001</v>
      </c>
      <c r="I832" s="9">
        <v>48.38</v>
      </c>
      <c r="J832" s="7" t="s">
        <v>325</v>
      </c>
    </row>
    <row r="833" spans="1:10" x14ac:dyDescent="0.35">
      <c r="A833" s="7" t="s">
        <v>16</v>
      </c>
      <c r="B833" s="7" t="s">
        <v>17</v>
      </c>
      <c r="C833" s="7" t="s">
        <v>170</v>
      </c>
      <c r="D833" s="9">
        <v>0.66</v>
      </c>
      <c r="E833" s="9">
        <v>0.97</v>
      </c>
      <c r="F833" s="9">
        <v>0.24</v>
      </c>
      <c r="G833" s="9">
        <v>91.45</v>
      </c>
      <c r="H833" s="9">
        <v>113.62</v>
      </c>
      <c r="I833" s="9">
        <v>34.630000000000003</v>
      </c>
      <c r="J833" s="7" t="s">
        <v>325</v>
      </c>
    </row>
    <row r="834" spans="1:10" x14ac:dyDescent="0.35">
      <c r="A834" s="7" t="s">
        <v>129</v>
      </c>
      <c r="B834" s="7" t="s">
        <v>147</v>
      </c>
      <c r="C834" s="7" t="s">
        <v>53</v>
      </c>
      <c r="D834" s="9">
        <v>0.89</v>
      </c>
      <c r="E834" s="9">
        <v>0.96</v>
      </c>
      <c r="F834" s="9">
        <v>0.24</v>
      </c>
      <c r="G834" s="8">
        <v>1792.87</v>
      </c>
      <c r="H834" s="8">
        <v>2180.8000000000002</v>
      </c>
      <c r="I834" s="9">
        <v>556.62</v>
      </c>
      <c r="J834" s="7" t="s">
        <v>325</v>
      </c>
    </row>
    <row r="835" spans="1:10" x14ac:dyDescent="0.35">
      <c r="A835" s="7" t="s">
        <v>20</v>
      </c>
      <c r="B835" s="7" t="s">
        <v>56</v>
      </c>
      <c r="C835" s="7" t="s">
        <v>42</v>
      </c>
      <c r="D835" s="9">
        <v>1.49</v>
      </c>
      <c r="E835" s="9">
        <v>1.17</v>
      </c>
      <c r="F835" s="9">
        <v>0.24</v>
      </c>
      <c r="G835" s="9">
        <v>637.45000000000005</v>
      </c>
      <c r="H835" s="9">
        <v>609.61</v>
      </c>
      <c r="I835" s="9">
        <v>52.32</v>
      </c>
      <c r="J835" s="7" t="s">
        <v>325</v>
      </c>
    </row>
    <row r="836" spans="1:10" x14ac:dyDescent="0.35">
      <c r="A836" s="7" t="s">
        <v>20</v>
      </c>
      <c r="B836" s="7" t="s">
        <v>134</v>
      </c>
      <c r="C836" s="7" t="s">
        <v>62</v>
      </c>
      <c r="D836" s="9">
        <v>0</v>
      </c>
      <c r="E836" s="9">
        <v>0.64</v>
      </c>
      <c r="F836" s="9">
        <v>0.24</v>
      </c>
      <c r="G836" s="9">
        <v>0</v>
      </c>
      <c r="H836" s="8">
        <v>2840.03</v>
      </c>
      <c r="I836" s="8">
        <v>1016.55</v>
      </c>
      <c r="J836" s="7" t="s">
        <v>325</v>
      </c>
    </row>
    <row r="837" spans="1:10" x14ac:dyDescent="0.35">
      <c r="A837" s="7" t="s">
        <v>31</v>
      </c>
      <c r="B837" s="7" t="s">
        <v>139</v>
      </c>
      <c r="C837" s="7" t="s">
        <v>116</v>
      </c>
      <c r="D837" s="9">
        <v>0.65</v>
      </c>
      <c r="E837" s="9">
        <v>0.69</v>
      </c>
      <c r="F837" s="9">
        <v>0.24</v>
      </c>
      <c r="G837" s="8">
        <v>3292.07</v>
      </c>
      <c r="H837" s="8">
        <v>4696.34</v>
      </c>
      <c r="I837" s="8">
        <v>1185.03</v>
      </c>
      <c r="J837" s="7" t="s">
        <v>325</v>
      </c>
    </row>
    <row r="838" spans="1:10" x14ac:dyDescent="0.35">
      <c r="A838" s="7" t="s">
        <v>66</v>
      </c>
      <c r="B838" s="7" t="s">
        <v>73</v>
      </c>
      <c r="C838" s="7" t="s">
        <v>27</v>
      </c>
      <c r="D838" s="9">
        <v>1.57</v>
      </c>
      <c r="E838" s="9">
        <v>0.96</v>
      </c>
      <c r="F838" s="9">
        <v>0.24</v>
      </c>
      <c r="G838" s="8">
        <v>2602.12</v>
      </c>
      <c r="H838" s="8">
        <v>1183.3599999999999</v>
      </c>
      <c r="I838" s="9">
        <v>255.12</v>
      </c>
      <c r="J838" s="7" t="s">
        <v>325</v>
      </c>
    </row>
    <row r="839" spans="1:10" x14ac:dyDescent="0.35">
      <c r="A839" s="7" t="s">
        <v>31</v>
      </c>
      <c r="B839" s="7" t="s">
        <v>171</v>
      </c>
      <c r="C839" s="7" t="s">
        <v>83</v>
      </c>
      <c r="D839" s="9">
        <v>0.94</v>
      </c>
      <c r="E839" s="9">
        <v>0.77</v>
      </c>
      <c r="F839" s="9">
        <v>0.24</v>
      </c>
      <c r="G839" s="8">
        <v>1862.58</v>
      </c>
      <c r="H839" s="8">
        <v>1554.27</v>
      </c>
      <c r="I839" s="9">
        <v>443.35</v>
      </c>
      <c r="J839" s="7" t="s">
        <v>325</v>
      </c>
    </row>
    <row r="840" spans="1:10" x14ac:dyDescent="0.35">
      <c r="A840" s="7" t="s">
        <v>40</v>
      </c>
      <c r="B840" s="7" t="s">
        <v>85</v>
      </c>
      <c r="C840" s="7" t="s">
        <v>18</v>
      </c>
      <c r="D840" s="9">
        <v>0.56000000000000005</v>
      </c>
      <c r="E840" s="9">
        <v>0.65</v>
      </c>
      <c r="F840" s="9">
        <v>0.23</v>
      </c>
      <c r="G840" s="9">
        <v>302.36</v>
      </c>
      <c r="H840" s="9">
        <v>563.27</v>
      </c>
      <c r="I840" s="9">
        <v>271.44</v>
      </c>
      <c r="J840" s="7" t="s">
        <v>325</v>
      </c>
    </row>
    <row r="841" spans="1:10" x14ac:dyDescent="0.35">
      <c r="A841" s="7" t="s">
        <v>31</v>
      </c>
      <c r="B841" s="7" t="s">
        <v>171</v>
      </c>
      <c r="C841" s="7" t="s">
        <v>39</v>
      </c>
      <c r="D841" s="9">
        <v>0.34</v>
      </c>
      <c r="E841" s="9">
        <v>0.67</v>
      </c>
      <c r="F841" s="9">
        <v>0.23</v>
      </c>
      <c r="G841" s="9">
        <v>118.52</v>
      </c>
      <c r="H841" s="9">
        <v>320.51</v>
      </c>
      <c r="I841" s="9">
        <v>91.47</v>
      </c>
      <c r="J841" s="7" t="s">
        <v>325</v>
      </c>
    </row>
    <row r="842" spans="1:10" x14ac:dyDescent="0.35">
      <c r="A842" s="7" t="s">
        <v>40</v>
      </c>
      <c r="B842" s="7" t="s">
        <v>107</v>
      </c>
      <c r="C842" s="7" t="s">
        <v>33</v>
      </c>
      <c r="D842" s="9">
        <v>0.37</v>
      </c>
      <c r="E842" s="9">
        <v>0.59</v>
      </c>
      <c r="F842" s="9">
        <v>0.23</v>
      </c>
      <c r="G842" s="9">
        <v>200.5</v>
      </c>
      <c r="H842" s="9">
        <v>391.64</v>
      </c>
      <c r="I842" s="9">
        <v>169.16</v>
      </c>
      <c r="J842" s="7" t="s">
        <v>325</v>
      </c>
    </row>
    <row r="843" spans="1:10" x14ac:dyDescent="0.35">
      <c r="A843" s="7" t="s">
        <v>94</v>
      </c>
      <c r="B843" s="7" t="s">
        <v>95</v>
      </c>
      <c r="C843" s="7" t="s">
        <v>76</v>
      </c>
      <c r="D843" s="9">
        <v>0.35</v>
      </c>
      <c r="E843" s="9">
        <v>0.46</v>
      </c>
      <c r="F843" s="9">
        <v>0.23</v>
      </c>
      <c r="G843" s="8">
        <v>1138.95</v>
      </c>
      <c r="H843" s="8">
        <v>1339.66</v>
      </c>
      <c r="I843" s="9">
        <v>717.5</v>
      </c>
      <c r="J843" s="7" t="s">
        <v>325</v>
      </c>
    </row>
    <row r="844" spans="1:10" x14ac:dyDescent="0.35">
      <c r="A844" s="7" t="s">
        <v>129</v>
      </c>
      <c r="B844" s="7" t="s">
        <v>147</v>
      </c>
      <c r="C844" s="7" t="s">
        <v>55</v>
      </c>
      <c r="D844" s="9">
        <v>0.32</v>
      </c>
      <c r="E844" s="9">
        <v>0.53</v>
      </c>
      <c r="F844" s="9">
        <v>0.23</v>
      </c>
      <c r="G844" s="8">
        <v>1277.4100000000001</v>
      </c>
      <c r="H844" s="8">
        <v>3143.51</v>
      </c>
      <c r="I844" s="8">
        <v>1316.34</v>
      </c>
      <c r="J844" s="7" t="s">
        <v>325</v>
      </c>
    </row>
    <row r="845" spans="1:10" x14ac:dyDescent="0.35">
      <c r="A845" s="7" t="s">
        <v>66</v>
      </c>
      <c r="B845" s="7" t="s">
        <v>73</v>
      </c>
      <c r="C845" s="7" t="s">
        <v>128</v>
      </c>
      <c r="D845" s="9">
        <v>0.42</v>
      </c>
      <c r="E845" s="9">
        <v>0.56000000000000005</v>
      </c>
      <c r="F845" s="9">
        <v>0.23</v>
      </c>
      <c r="G845" s="9">
        <v>98.81</v>
      </c>
      <c r="H845" s="9">
        <v>122.8</v>
      </c>
      <c r="I845" s="9">
        <v>40.770000000000003</v>
      </c>
      <c r="J845" s="7" t="s">
        <v>325</v>
      </c>
    </row>
    <row r="846" spans="1:10" x14ac:dyDescent="0.35">
      <c r="A846" s="7" t="s">
        <v>16</v>
      </c>
      <c r="B846" s="7" t="s">
        <v>135</v>
      </c>
      <c r="C846" s="7" t="s">
        <v>46</v>
      </c>
      <c r="D846" s="9">
        <v>0.15</v>
      </c>
      <c r="E846" s="9">
        <v>0.08</v>
      </c>
      <c r="F846" s="9">
        <v>0.23</v>
      </c>
      <c r="G846" s="9">
        <v>51.87</v>
      </c>
      <c r="H846" s="9">
        <v>26.12</v>
      </c>
      <c r="I846" s="9">
        <v>42.8</v>
      </c>
      <c r="J846" s="7" t="s">
        <v>325</v>
      </c>
    </row>
    <row r="847" spans="1:10" x14ac:dyDescent="0.35">
      <c r="A847" s="7" t="s">
        <v>20</v>
      </c>
      <c r="B847" s="7" t="s">
        <v>173</v>
      </c>
      <c r="C847" s="7" t="s">
        <v>48</v>
      </c>
      <c r="D847" s="9">
        <v>0.61</v>
      </c>
      <c r="E847" s="9">
        <v>0.47</v>
      </c>
      <c r="F847" s="9">
        <v>0.23</v>
      </c>
      <c r="G847" s="9">
        <v>308.45999999999998</v>
      </c>
      <c r="H847" s="9">
        <v>175.49</v>
      </c>
      <c r="I847" s="9">
        <v>85.45</v>
      </c>
      <c r="J847" s="7" t="s">
        <v>325</v>
      </c>
    </row>
    <row r="848" spans="1:10" x14ac:dyDescent="0.35">
      <c r="A848" s="7" t="s">
        <v>40</v>
      </c>
      <c r="B848" s="7" t="s">
        <v>164</v>
      </c>
      <c r="C848" s="7" t="s">
        <v>128</v>
      </c>
      <c r="D848" s="9">
        <v>0.23</v>
      </c>
      <c r="E848" s="9">
        <v>0.11</v>
      </c>
      <c r="F848" s="9">
        <v>0.23</v>
      </c>
      <c r="G848" s="9">
        <v>28.04</v>
      </c>
      <c r="H848" s="9">
        <v>13.03</v>
      </c>
      <c r="I848" s="9">
        <v>61.63</v>
      </c>
      <c r="J848" s="7" t="s">
        <v>325</v>
      </c>
    </row>
    <row r="849" spans="1:10" x14ac:dyDescent="0.35">
      <c r="A849" s="7" t="s">
        <v>31</v>
      </c>
      <c r="B849" s="7" t="s">
        <v>141</v>
      </c>
      <c r="C849" s="7" t="s">
        <v>144</v>
      </c>
      <c r="D849" s="9">
        <v>0.56000000000000005</v>
      </c>
      <c r="E849" s="9">
        <v>0.87</v>
      </c>
      <c r="F849" s="9">
        <v>0.23</v>
      </c>
      <c r="G849" s="8">
        <v>2021.57</v>
      </c>
      <c r="H849" s="8">
        <v>3212.95</v>
      </c>
      <c r="I849" s="9">
        <v>980.91</v>
      </c>
      <c r="J849" s="7" t="s">
        <v>325</v>
      </c>
    </row>
    <row r="850" spans="1:10" x14ac:dyDescent="0.35">
      <c r="A850" s="7" t="s">
        <v>40</v>
      </c>
      <c r="B850" s="7" t="s">
        <v>64</v>
      </c>
      <c r="C850" s="7" t="s">
        <v>33</v>
      </c>
      <c r="D850" s="9">
        <v>2.59</v>
      </c>
      <c r="E850" s="9">
        <v>0.56999999999999995</v>
      </c>
      <c r="F850" s="9">
        <v>0.22</v>
      </c>
      <c r="G850" s="9">
        <v>104.62</v>
      </c>
      <c r="H850" s="9">
        <v>451.03</v>
      </c>
      <c r="I850" s="9">
        <v>182.32</v>
      </c>
      <c r="J850" s="7" t="s">
        <v>325</v>
      </c>
    </row>
    <row r="851" spans="1:10" x14ac:dyDescent="0.35">
      <c r="A851" s="7" t="s">
        <v>40</v>
      </c>
      <c r="B851" s="7" t="s">
        <v>117</v>
      </c>
      <c r="C851" s="7" t="s">
        <v>174</v>
      </c>
      <c r="D851" s="9">
        <v>0</v>
      </c>
      <c r="E851" s="9">
        <v>0.1</v>
      </c>
      <c r="F851" s="9">
        <v>0.22</v>
      </c>
      <c r="G851" s="9">
        <v>0</v>
      </c>
      <c r="H851" s="9">
        <v>11</v>
      </c>
      <c r="I851" s="9">
        <v>36</v>
      </c>
      <c r="J851" s="7" t="s">
        <v>325</v>
      </c>
    </row>
    <row r="852" spans="1:10" x14ac:dyDescent="0.35">
      <c r="A852" s="7" t="s">
        <v>86</v>
      </c>
      <c r="B852" s="7" t="s">
        <v>106</v>
      </c>
      <c r="C852" s="7" t="s">
        <v>118</v>
      </c>
      <c r="D852" s="9">
        <v>7.35</v>
      </c>
      <c r="E852" s="9">
        <v>0.06</v>
      </c>
      <c r="F852" s="9">
        <v>0.22</v>
      </c>
      <c r="G852" s="8">
        <v>4936.71</v>
      </c>
      <c r="H852" s="9">
        <v>16.170000000000002</v>
      </c>
      <c r="I852" s="9">
        <v>97.76</v>
      </c>
      <c r="J852" s="7" t="s">
        <v>325</v>
      </c>
    </row>
    <row r="853" spans="1:10" x14ac:dyDescent="0.35">
      <c r="A853" s="7" t="s">
        <v>66</v>
      </c>
      <c r="B853" s="7" t="s">
        <v>219</v>
      </c>
      <c r="C853" s="7" t="s">
        <v>102</v>
      </c>
      <c r="D853" s="9">
        <v>0.11</v>
      </c>
      <c r="E853" s="9">
        <v>0.33</v>
      </c>
      <c r="F853" s="9">
        <v>0.22</v>
      </c>
      <c r="G853" s="9">
        <v>74.010000000000005</v>
      </c>
      <c r="H853" s="9">
        <v>150.41</v>
      </c>
      <c r="I853" s="9">
        <v>100.22</v>
      </c>
      <c r="J853" s="7" t="s">
        <v>325</v>
      </c>
    </row>
    <row r="854" spans="1:10" x14ac:dyDescent="0.35">
      <c r="A854" s="7" t="s">
        <v>20</v>
      </c>
      <c r="B854" s="7" t="s">
        <v>173</v>
      </c>
      <c r="C854" s="7" t="s">
        <v>110</v>
      </c>
      <c r="D854" s="9">
        <v>0</v>
      </c>
      <c r="E854" s="9">
        <v>2.84</v>
      </c>
      <c r="F854" s="9">
        <v>0.22</v>
      </c>
      <c r="G854" s="9">
        <v>0</v>
      </c>
      <c r="H854" s="8">
        <v>34674</v>
      </c>
      <c r="I854" s="8">
        <v>2833.92</v>
      </c>
      <c r="J854" s="7" t="s">
        <v>325</v>
      </c>
    </row>
    <row r="855" spans="1:10" x14ac:dyDescent="0.35">
      <c r="A855" s="7" t="s">
        <v>77</v>
      </c>
      <c r="B855" s="7" t="s">
        <v>78</v>
      </c>
      <c r="C855" s="7" t="s">
        <v>150</v>
      </c>
      <c r="D855" s="9">
        <v>1.8</v>
      </c>
      <c r="E855" s="9">
        <v>2.4300000000000002</v>
      </c>
      <c r="F855" s="9">
        <v>0.22</v>
      </c>
      <c r="G855" s="9">
        <v>176.77</v>
      </c>
      <c r="H855" s="9">
        <v>239.99</v>
      </c>
      <c r="I855" s="9">
        <v>21.63</v>
      </c>
      <c r="J855" s="7" t="s">
        <v>325</v>
      </c>
    </row>
    <row r="856" spans="1:10" x14ac:dyDescent="0.35">
      <c r="A856" s="7" t="s">
        <v>66</v>
      </c>
      <c r="B856" s="7" t="s">
        <v>219</v>
      </c>
      <c r="C856" s="7" t="s">
        <v>76</v>
      </c>
      <c r="D856" s="9">
        <v>0</v>
      </c>
      <c r="E856" s="9">
        <v>0.16</v>
      </c>
      <c r="F856" s="9">
        <v>0.22</v>
      </c>
      <c r="G856" s="9">
        <v>0</v>
      </c>
      <c r="H856" s="9">
        <v>88.69</v>
      </c>
      <c r="I856" s="9">
        <v>85.36</v>
      </c>
      <c r="J856" s="7" t="s">
        <v>325</v>
      </c>
    </row>
    <row r="857" spans="1:10" x14ac:dyDescent="0.35">
      <c r="A857" s="7" t="s">
        <v>129</v>
      </c>
      <c r="B857" s="7" t="s">
        <v>147</v>
      </c>
      <c r="C857" s="7" t="s">
        <v>54</v>
      </c>
      <c r="D857" s="9">
        <v>0.37</v>
      </c>
      <c r="E857" s="9">
        <v>0.57999999999999996</v>
      </c>
      <c r="F857" s="9">
        <v>0.22</v>
      </c>
      <c r="G857" s="8">
        <v>1432.56</v>
      </c>
      <c r="H857" s="8">
        <v>1689.41</v>
      </c>
      <c r="I857" s="9">
        <v>863.18</v>
      </c>
      <c r="J857" s="7" t="s">
        <v>325</v>
      </c>
    </row>
    <row r="858" spans="1:10" x14ac:dyDescent="0.35">
      <c r="A858" s="7" t="s">
        <v>40</v>
      </c>
      <c r="B858" s="7" t="s">
        <v>64</v>
      </c>
      <c r="C858" s="7" t="s">
        <v>42</v>
      </c>
      <c r="D858" s="9">
        <v>2.13</v>
      </c>
      <c r="E858" s="9">
        <v>2.08</v>
      </c>
      <c r="F858" s="9">
        <v>0.22</v>
      </c>
      <c r="G858" s="8">
        <v>1687.25</v>
      </c>
      <c r="H858" s="8">
        <v>1290.25</v>
      </c>
      <c r="I858" s="9">
        <v>132.69</v>
      </c>
      <c r="J858" s="7" t="s">
        <v>325</v>
      </c>
    </row>
    <row r="859" spans="1:10" x14ac:dyDescent="0.35">
      <c r="A859" s="7" t="s">
        <v>20</v>
      </c>
      <c r="B859" s="7" t="s">
        <v>21</v>
      </c>
      <c r="C859" s="7" t="s">
        <v>174</v>
      </c>
      <c r="D859" s="9">
        <v>0.04</v>
      </c>
      <c r="E859" s="9">
        <v>0.02</v>
      </c>
      <c r="F859" s="9">
        <v>0.22</v>
      </c>
      <c r="G859" s="9">
        <v>6.7</v>
      </c>
      <c r="H859" s="9">
        <v>2.41</v>
      </c>
      <c r="I859" s="9">
        <v>15.92</v>
      </c>
      <c r="J859" s="7" t="s">
        <v>325</v>
      </c>
    </row>
    <row r="860" spans="1:10" x14ac:dyDescent="0.35">
      <c r="A860" s="7" t="s">
        <v>23</v>
      </c>
      <c r="B860" s="7" t="s">
        <v>120</v>
      </c>
      <c r="C860" s="7" t="s">
        <v>53</v>
      </c>
      <c r="D860" s="9">
        <v>0.81</v>
      </c>
      <c r="E860" s="9">
        <v>0.46</v>
      </c>
      <c r="F860" s="9">
        <v>0.22</v>
      </c>
      <c r="G860" s="8">
        <v>1226.06</v>
      </c>
      <c r="H860" s="9">
        <v>844.55</v>
      </c>
      <c r="I860" s="9">
        <v>389.11</v>
      </c>
      <c r="J860" s="7" t="s">
        <v>325</v>
      </c>
    </row>
    <row r="861" spans="1:10" x14ac:dyDescent="0.35">
      <c r="A861" s="7" t="s">
        <v>66</v>
      </c>
      <c r="B861" s="7" t="s">
        <v>100</v>
      </c>
      <c r="C861" s="7" t="s">
        <v>60</v>
      </c>
      <c r="D861" s="9">
        <v>0</v>
      </c>
      <c r="E861" s="9">
        <v>1.84</v>
      </c>
      <c r="F861" s="9">
        <v>0.21</v>
      </c>
      <c r="G861" s="9">
        <v>0</v>
      </c>
      <c r="H861" s="8">
        <v>1088.1400000000001</v>
      </c>
      <c r="I861" s="9">
        <v>130.38999999999999</v>
      </c>
      <c r="J861" s="7" t="s">
        <v>325</v>
      </c>
    </row>
    <row r="862" spans="1:10" x14ac:dyDescent="0.35">
      <c r="A862" s="7" t="s">
        <v>20</v>
      </c>
      <c r="B862" s="7" t="s">
        <v>21</v>
      </c>
      <c r="C862" s="7" t="s">
        <v>113</v>
      </c>
      <c r="D862" s="9">
        <v>0.32</v>
      </c>
      <c r="E862" s="9">
        <v>0.62</v>
      </c>
      <c r="F862" s="9">
        <v>0.21</v>
      </c>
      <c r="G862" s="9">
        <v>485.03</v>
      </c>
      <c r="H862" s="8">
        <v>1281.76</v>
      </c>
      <c r="I862" s="9">
        <v>600</v>
      </c>
      <c r="J862" s="7" t="s">
        <v>325</v>
      </c>
    </row>
    <row r="863" spans="1:10" x14ac:dyDescent="0.35">
      <c r="A863" s="7" t="s">
        <v>77</v>
      </c>
      <c r="B863" s="7" t="s">
        <v>214</v>
      </c>
      <c r="C863" s="7" t="s">
        <v>54</v>
      </c>
      <c r="D863" s="9">
        <v>0.01</v>
      </c>
      <c r="E863" s="9">
        <v>0.39</v>
      </c>
      <c r="F863" s="9">
        <v>0.21</v>
      </c>
      <c r="G863" s="9">
        <v>9.01</v>
      </c>
      <c r="H863" s="9">
        <v>94.61</v>
      </c>
      <c r="I863" s="9">
        <v>55.65</v>
      </c>
      <c r="J863" s="7" t="s">
        <v>325</v>
      </c>
    </row>
    <row r="864" spans="1:10" x14ac:dyDescent="0.35">
      <c r="A864" s="7" t="s">
        <v>86</v>
      </c>
      <c r="B864" s="7" t="s">
        <v>87</v>
      </c>
      <c r="C864" s="7" t="s">
        <v>53</v>
      </c>
      <c r="D864" s="9">
        <v>0.24</v>
      </c>
      <c r="E864" s="9">
        <v>0.2</v>
      </c>
      <c r="F864" s="9">
        <v>0.21</v>
      </c>
      <c r="G864" s="9">
        <v>45.68</v>
      </c>
      <c r="H864" s="9">
        <v>63.24</v>
      </c>
      <c r="I864" s="9">
        <v>26.88</v>
      </c>
      <c r="J864" s="7" t="s">
        <v>325</v>
      </c>
    </row>
    <row r="865" spans="1:10" x14ac:dyDescent="0.35">
      <c r="A865" s="7" t="s">
        <v>23</v>
      </c>
      <c r="B865" s="7" t="s">
        <v>34</v>
      </c>
      <c r="C865" s="7" t="s">
        <v>27</v>
      </c>
      <c r="D865" s="9">
        <v>0.44</v>
      </c>
      <c r="E865" s="9">
        <v>1.92</v>
      </c>
      <c r="F865" s="9">
        <v>0.21</v>
      </c>
      <c r="G865" s="9">
        <v>937.2</v>
      </c>
      <c r="H865" s="8">
        <v>4067.71</v>
      </c>
      <c r="I865" s="9">
        <v>486</v>
      </c>
      <c r="J865" s="7" t="s">
        <v>325</v>
      </c>
    </row>
    <row r="866" spans="1:10" x14ac:dyDescent="0.35">
      <c r="A866" s="7" t="s">
        <v>16</v>
      </c>
      <c r="B866" s="7" t="s">
        <v>52</v>
      </c>
      <c r="C866" s="7" t="s">
        <v>48</v>
      </c>
      <c r="D866" s="9">
        <v>0.11</v>
      </c>
      <c r="E866" s="9">
        <v>0.86</v>
      </c>
      <c r="F866" s="9">
        <v>0.21</v>
      </c>
      <c r="G866" s="9">
        <v>44.1</v>
      </c>
      <c r="H866" s="9">
        <v>392.43</v>
      </c>
      <c r="I866" s="9">
        <v>97.55</v>
      </c>
      <c r="J866" s="7" t="s">
        <v>325</v>
      </c>
    </row>
    <row r="867" spans="1:10" x14ac:dyDescent="0.35">
      <c r="A867" s="7" t="s">
        <v>35</v>
      </c>
      <c r="B867" s="7" t="s">
        <v>201</v>
      </c>
      <c r="C867" s="7" t="s">
        <v>54</v>
      </c>
      <c r="D867" s="9">
        <v>0.09</v>
      </c>
      <c r="E867" s="9">
        <v>0.28999999999999998</v>
      </c>
      <c r="F867" s="9">
        <v>0.21</v>
      </c>
      <c r="G867" s="9">
        <v>12.13</v>
      </c>
      <c r="H867" s="9">
        <v>37.130000000000003</v>
      </c>
      <c r="I867" s="9">
        <v>28.14</v>
      </c>
      <c r="J867" s="7" t="s">
        <v>325</v>
      </c>
    </row>
    <row r="868" spans="1:10" x14ac:dyDescent="0.35">
      <c r="A868" s="7" t="s">
        <v>16</v>
      </c>
      <c r="B868" s="7" t="s">
        <v>172</v>
      </c>
      <c r="C868" s="7" t="s">
        <v>144</v>
      </c>
      <c r="D868" s="9">
        <v>0.25</v>
      </c>
      <c r="E868" s="9">
        <v>0.34</v>
      </c>
      <c r="F868" s="9">
        <v>0.21</v>
      </c>
      <c r="G868" s="9">
        <v>715</v>
      </c>
      <c r="H868" s="8">
        <v>1008</v>
      </c>
      <c r="I868" s="9">
        <v>672</v>
      </c>
      <c r="J868" s="7" t="s">
        <v>325</v>
      </c>
    </row>
    <row r="869" spans="1:10" x14ac:dyDescent="0.35">
      <c r="A869" s="7" t="s">
        <v>79</v>
      </c>
      <c r="B869" s="7" t="s">
        <v>92</v>
      </c>
      <c r="C869" s="7" t="s">
        <v>54</v>
      </c>
      <c r="D869" s="9">
        <v>0.45</v>
      </c>
      <c r="E869" s="9">
        <v>0.23</v>
      </c>
      <c r="F869" s="9">
        <v>0.21</v>
      </c>
      <c r="G869" s="9">
        <v>52.28</v>
      </c>
      <c r="H869" s="9">
        <v>60.1</v>
      </c>
      <c r="I869" s="9">
        <v>65.64</v>
      </c>
      <c r="J869" s="7" t="s">
        <v>325</v>
      </c>
    </row>
    <row r="870" spans="1:10" x14ac:dyDescent="0.35">
      <c r="A870" s="7" t="s">
        <v>31</v>
      </c>
      <c r="B870" s="7" t="s">
        <v>139</v>
      </c>
      <c r="C870" s="7" t="s">
        <v>84</v>
      </c>
      <c r="D870" s="9">
        <v>0.11</v>
      </c>
      <c r="E870" s="9">
        <v>0.2</v>
      </c>
      <c r="F870" s="9">
        <v>0.21</v>
      </c>
      <c r="G870" s="9">
        <v>383.42</v>
      </c>
      <c r="H870" s="9">
        <v>608.37</v>
      </c>
      <c r="I870" s="9">
        <v>683.94</v>
      </c>
      <c r="J870" s="7" t="s">
        <v>325</v>
      </c>
    </row>
    <row r="871" spans="1:10" x14ac:dyDescent="0.35">
      <c r="A871" s="7" t="s">
        <v>77</v>
      </c>
      <c r="B871" s="7" t="s">
        <v>157</v>
      </c>
      <c r="C871" s="7" t="s">
        <v>54</v>
      </c>
      <c r="D871" s="9">
        <v>0.27</v>
      </c>
      <c r="E871" s="9">
        <v>0.28000000000000003</v>
      </c>
      <c r="F871" s="9">
        <v>0.21</v>
      </c>
      <c r="G871" s="9">
        <v>170.7</v>
      </c>
      <c r="H871" s="9">
        <v>199.62</v>
      </c>
      <c r="I871" s="9">
        <v>99</v>
      </c>
      <c r="J871" s="7" t="s">
        <v>325</v>
      </c>
    </row>
    <row r="872" spans="1:10" x14ac:dyDescent="0.35">
      <c r="A872" s="7" t="s">
        <v>79</v>
      </c>
      <c r="B872" s="7" t="s">
        <v>92</v>
      </c>
      <c r="C872" s="7" t="s">
        <v>42</v>
      </c>
      <c r="D872" s="9">
        <v>0.69</v>
      </c>
      <c r="E872" s="9">
        <v>0.87</v>
      </c>
      <c r="F872" s="9">
        <v>0.21</v>
      </c>
      <c r="G872" s="9">
        <v>135.41</v>
      </c>
      <c r="H872" s="9">
        <v>168.9</v>
      </c>
      <c r="I872" s="9">
        <v>30.66</v>
      </c>
      <c r="J872" s="7" t="s">
        <v>325</v>
      </c>
    </row>
    <row r="873" spans="1:10" ht="26.25" customHeight="1" x14ac:dyDescent="0.35">
      <c r="A873" s="7" t="s">
        <v>31</v>
      </c>
      <c r="B873" s="7" t="s">
        <v>146</v>
      </c>
      <c r="C873" s="7" t="s">
        <v>45</v>
      </c>
      <c r="D873" s="9">
        <v>0</v>
      </c>
      <c r="E873" s="9">
        <v>0.01</v>
      </c>
      <c r="F873" s="9">
        <v>0.21</v>
      </c>
      <c r="G873" s="9">
        <v>0.5</v>
      </c>
      <c r="H873" s="9">
        <v>52.06</v>
      </c>
      <c r="I873" s="9">
        <v>57.86</v>
      </c>
      <c r="J873" s="7" t="s">
        <v>325</v>
      </c>
    </row>
    <row r="874" spans="1:10" x14ac:dyDescent="0.35">
      <c r="A874" s="7" t="s">
        <v>20</v>
      </c>
      <c r="B874" s="7" t="s">
        <v>68</v>
      </c>
      <c r="C874" s="7" t="s">
        <v>54</v>
      </c>
      <c r="D874" s="9">
        <v>0.82</v>
      </c>
      <c r="E874" s="9">
        <v>0.61</v>
      </c>
      <c r="F874" s="9">
        <v>0.21</v>
      </c>
      <c r="G874" s="9">
        <v>127.91</v>
      </c>
      <c r="H874" s="9">
        <v>105.41</v>
      </c>
      <c r="I874" s="9">
        <v>35.729999999999997</v>
      </c>
      <c r="J874" s="7" t="s">
        <v>325</v>
      </c>
    </row>
    <row r="875" spans="1:10" x14ac:dyDescent="0.35">
      <c r="A875" s="7" t="s">
        <v>66</v>
      </c>
      <c r="B875" s="7" t="s">
        <v>127</v>
      </c>
      <c r="C875" s="7" t="s">
        <v>53</v>
      </c>
      <c r="D875" s="9">
        <v>0.74</v>
      </c>
      <c r="E875" s="9">
        <v>0.91</v>
      </c>
      <c r="F875" s="9">
        <v>0.21</v>
      </c>
      <c r="G875" s="9">
        <v>523.63</v>
      </c>
      <c r="H875" s="9">
        <v>651.38</v>
      </c>
      <c r="I875" s="9">
        <v>127.72</v>
      </c>
      <c r="J875" s="7" t="s">
        <v>325</v>
      </c>
    </row>
    <row r="876" spans="1:10" x14ac:dyDescent="0.35">
      <c r="A876" s="7" t="s">
        <v>129</v>
      </c>
      <c r="B876" s="7" t="s">
        <v>147</v>
      </c>
      <c r="C876" s="7" t="s">
        <v>33</v>
      </c>
      <c r="D876" s="9">
        <v>1.5</v>
      </c>
      <c r="E876" s="9">
        <v>1.02</v>
      </c>
      <c r="F876" s="9">
        <v>0.21</v>
      </c>
      <c r="G876" s="8">
        <v>1808.07</v>
      </c>
      <c r="H876" s="8">
        <v>1429.37</v>
      </c>
      <c r="I876" s="9">
        <v>309.63</v>
      </c>
      <c r="J876" s="7" t="s">
        <v>325</v>
      </c>
    </row>
    <row r="877" spans="1:10" x14ac:dyDescent="0.35">
      <c r="A877" s="7" t="s">
        <v>189</v>
      </c>
      <c r="B877" s="7" t="s">
        <v>193</v>
      </c>
      <c r="C877" s="7" t="s">
        <v>39</v>
      </c>
      <c r="D877" s="9">
        <v>1.06</v>
      </c>
      <c r="E877" s="9">
        <v>0.82</v>
      </c>
      <c r="F877" s="9">
        <v>0.2</v>
      </c>
      <c r="G877" s="9">
        <v>208.34</v>
      </c>
      <c r="H877" s="9">
        <v>235.92</v>
      </c>
      <c r="I877" s="9">
        <v>41.4</v>
      </c>
      <c r="J877" s="7" t="s">
        <v>325</v>
      </c>
    </row>
    <row r="878" spans="1:10" x14ac:dyDescent="0.35">
      <c r="A878" s="7" t="s">
        <v>23</v>
      </c>
      <c r="B878" s="7" t="s">
        <v>24</v>
      </c>
      <c r="C878" s="7" t="s">
        <v>42</v>
      </c>
      <c r="D878" s="9">
        <v>0.39</v>
      </c>
      <c r="E878" s="9">
        <v>0.4</v>
      </c>
      <c r="F878" s="9">
        <v>0.2</v>
      </c>
      <c r="G878" s="9">
        <v>180.8</v>
      </c>
      <c r="H878" s="9">
        <v>131.88999999999999</v>
      </c>
      <c r="I878" s="9">
        <v>67.489999999999995</v>
      </c>
      <c r="J878" s="7" t="s">
        <v>325</v>
      </c>
    </row>
    <row r="879" spans="1:10" x14ac:dyDescent="0.35">
      <c r="A879" s="7" t="s">
        <v>16</v>
      </c>
      <c r="B879" s="7" t="s">
        <v>17</v>
      </c>
      <c r="C879" s="7" t="s">
        <v>122</v>
      </c>
      <c r="D879" s="9">
        <v>0.34</v>
      </c>
      <c r="E879" s="9">
        <v>0.38</v>
      </c>
      <c r="F879" s="9">
        <v>0.2</v>
      </c>
      <c r="G879" s="9">
        <v>169.25</v>
      </c>
      <c r="H879" s="9">
        <v>110.66</v>
      </c>
      <c r="I879" s="9">
        <v>34.06</v>
      </c>
      <c r="J879" s="7" t="s">
        <v>325</v>
      </c>
    </row>
    <row r="880" spans="1:10" x14ac:dyDescent="0.35">
      <c r="A880" s="7" t="s">
        <v>77</v>
      </c>
      <c r="B880" s="7" t="s">
        <v>149</v>
      </c>
      <c r="C880" s="7" t="s">
        <v>48</v>
      </c>
      <c r="D880" s="9">
        <v>0.32</v>
      </c>
      <c r="E880" s="9">
        <v>0.55000000000000004</v>
      </c>
      <c r="F880" s="9">
        <v>0.2</v>
      </c>
      <c r="G880" s="9">
        <v>236.04</v>
      </c>
      <c r="H880" s="9">
        <v>215.17</v>
      </c>
      <c r="I880" s="9">
        <v>72.819999999999993</v>
      </c>
      <c r="J880" s="7" t="s">
        <v>325</v>
      </c>
    </row>
    <row r="881" spans="1:10" x14ac:dyDescent="0.35">
      <c r="A881" s="7" t="s">
        <v>16</v>
      </c>
      <c r="B881" s="7" t="s">
        <v>109</v>
      </c>
      <c r="C881" s="7" t="s">
        <v>18</v>
      </c>
      <c r="D881" s="9">
        <v>0.83</v>
      </c>
      <c r="E881" s="9">
        <v>0.62</v>
      </c>
      <c r="F881" s="9">
        <v>0.2</v>
      </c>
      <c r="G881" s="9">
        <v>700.8</v>
      </c>
      <c r="H881" s="9">
        <v>509.7</v>
      </c>
      <c r="I881" s="9">
        <v>175.67</v>
      </c>
      <c r="J881" s="7" t="s">
        <v>325</v>
      </c>
    </row>
    <row r="882" spans="1:10" x14ac:dyDescent="0.35">
      <c r="A882" s="7" t="s">
        <v>20</v>
      </c>
      <c r="B882" s="7" t="s">
        <v>82</v>
      </c>
      <c r="C882" s="7" t="s">
        <v>151</v>
      </c>
      <c r="D882" s="9">
        <v>4.08</v>
      </c>
      <c r="E882" s="9">
        <v>0.4</v>
      </c>
      <c r="F882" s="9">
        <v>0.2</v>
      </c>
      <c r="G882" s="8">
        <v>3215.47</v>
      </c>
      <c r="H882" s="9">
        <v>237.69</v>
      </c>
      <c r="I882" s="9">
        <v>242.94</v>
      </c>
      <c r="J882" s="7" t="s">
        <v>325</v>
      </c>
    </row>
    <row r="883" spans="1:10" x14ac:dyDescent="0.35">
      <c r="A883" s="7" t="s">
        <v>57</v>
      </c>
      <c r="B883" s="7" t="s">
        <v>97</v>
      </c>
      <c r="C883" s="7" t="s">
        <v>59</v>
      </c>
      <c r="D883" s="9">
        <v>0.02</v>
      </c>
      <c r="E883" s="9">
        <v>0.64</v>
      </c>
      <c r="F883" s="9">
        <v>0.2</v>
      </c>
      <c r="G883" s="9">
        <v>12.81</v>
      </c>
      <c r="H883" s="9">
        <v>559.49</v>
      </c>
      <c r="I883" s="9">
        <v>148.88999999999999</v>
      </c>
      <c r="J883" s="7" t="s">
        <v>325</v>
      </c>
    </row>
    <row r="884" spans="1:10" x14ac:dyDescent="0.35">
      <c r="A884" s="7" t="s">
        <v>77</v>
      </c>
      <c r="B884" s="7" t="s">
        <v>157</v>
      </c>
      <c r="C884" s="7" t="s">
        <v>122</v>
      </c>
      <c r="D884" s="9">
        <v>0.24</v>
      </c>
      <c r="E884" s="9">
        <v>0.46</v>
      </c>
      <c r="F884" s="9">
        <v>0.2</v>
      </c>
      <c r="G884" s="9">
        <v>171.34</v>
      </c>
      <c r="H884" s="9">
        <v>348.47</v>
      </c>
      <c r="I884" s="9">
        <v>119.63</v>
      </c>
      <c r="J884" s="7" t="s">
        <v>325</v>
      </c>
    </row>
    <row r="885" spans="1:10" x14ac:dyDescent="0.35">
      <c r="A885" s="7" t="s">
        <v>16</v>
      </c>
      <c r="B885" s="7" t="s">
        <v>109</v>
      </c>
      <c r="C885" s="7" t="s">
        <v>51</v>
      </c>
      <c r="D885" s="9">
        <v>4.16</v>
      </c>
      <c r="E885" s="9">
        <v>0.91</v>
      </c>
      <c r="F885" s="9">
        <v>0.2</v>
      </c>
      <c r="G885" s="8">
        <v>3067.85</v>
      </c>
      <c r="H885" s="9">
        <v>772.11</v>
      </c>
      <c r="I885" s="9">
        <v>147.34</v>
      </c>
      <c r="J885" s="7" t="s">
        <v>325</v>
      </c>
    </row>
    <row r="886" spans="1:10" x14ac:dyDescent="0.35">
      <c r="A886" s="7" t="s">
        <v>159</v>
      </c>
      <c r="B886" s="7" t="s">
        <v>218</v>
      </c>
      <c r="C886" s="7" t="s">
        <v>27</v>
      </c>
      <c r="D886" s="9">
        <v>0</v>
      </c>
      <c r="E886" s="9">
        <v>0.27</v>
      </c>
      <c r="F886" s="9">
        <v>0.2</v>
      </c>
      <c r="G886" s="9">
        <v>0</v>
      </c>
      <c r="H886" s="9">
        <v>662.77</v>
      </c>
      <c r="I886" s="9">
        <v>505.04</v>
      </c>
      <c r="J886" s="7" t="s">
        <v>325</v>
      </c>
    </row>
    <row r="887" spans="1:10" x14ac:dyDescent="0.35">
      <c r="A887" s="7" t="s">
        <v>40</v>
      </c>
      <c r="B887" s="7" t="s">
        <v>220</v>
      </c>
      <c r="C887" s="7" t="s">
        <v>72</v>
      </c>
      <c r="D887" s="9">
        <v>7.0000000000000007E-2</v>
      </c>
      <c r="E887" s="9">
        <v>0.57999999999999996</v>
      </c>
      <c r="F887" s="9">
        <v>0.2</v>
      </c>
      <c r="G887" s="9">
        <v>8.65</v>
      </c>
      <c r="H887" s="9">
        <v>82.66</v>
      </c>
      <c r="I887" s="9">
        <v>35.65</v>
      </c>
      <c r="J887" s="7" t="s">
        <v>325</v>
      </c>
    </row>
    <row r="888" spans="1:10" x14ac:dyDescent="0.35">
      <c r="A888" s="7" t="s">
        <v>31</v>
      </c>
      <c r="B888" s="7" t="s">
        <v>131</v>
      </c>
      <c r="C888" s="7" t="s">
        <v>221</v>
      </c>
      <c r="D888" s="9">
        <v>0.49</v>
      </c>
      <c r="E888" s="9">
        <v>0.55000000000000004</v>
      </c>
      <c r="F888" s="9">
        <v>0.2</v>
      </c>
      <c r="G888" s="9">
        <v>141.44</v>
      </c>
      <c r="H888" s="9">
        <v>173.84</v>
      </c>
      <c r="I888" s="9">
        <v>64.8</v>
      </c>
      <c r="J888" s="7" t="s">
        <v>325</v>
      </c>
    </row>
    <row r="889" spans="1:10" x14ac:dyDescent="0.35">
      <c r="A889" s="7" t="s">
        <v>129</v>
      </c>
      <c r="B889" s="7" t="s">
        <v>147</v>
      </c>
      <c r="C889" s="7" t="s">
        <v>83</v>
      </c>
      <c r="D889" s="9">
        <v>2.08</v>
      </c>
      <c r="E889" s="9">
        <v>1.42</v>
      </c>
      <c r="F889" s="9">
        <v>0.2</v>
      </c>
      <c r="G889" s="8">
        <v>4630.46</v>
      </c>
      <c r="H889" s="8">
        <v>3244.76</v>
      </c>
      <c r="I889" s="9">
        <v>842.12</v>
      </c>
      <c r="J889" s="7" t="s">
        <v>325</v>
      </c>
    </row>
    <row r="890" spans="1:10" x14ac:dyDescent="0.35">
      <c r="A890" s="7" t="s">
        <v>31</v>
      </c>
      <c r="B890" s="7" t="s">
        <v>152</v>
      </c>
      <c r="C890" s="7" t="s">
        <v>39</v>
      </c>
      <c r="D890" s="9">
        <v>0</v>
      </c>
      <c r="E890" s="9">
        <v>0.14000000000000001</v>
      </c>
      <c r="F890" s="9">
        <v>0.2</v>
      </c>
      <c r="G890" s="9">
        <v>0</v>
      </c>
      <c r="H890" s="9">
        <v>191.2</v>
      </c>
      <c r="I890" s="9">
        <v>218.93</v>
      </c>
      <c r="J890" s="7" t="s">
        <v>325</v>
      </c>
    </row>
    <row r="891" spans="1:10" x14ac:dyDescent="0.35">
      <c r="A891" s="7" t="s">
        <v>86</v>
      </c>
      <c r="B891" s="7" t="s">
        <v>106</v>
      </c>
      <c r="C891" s="7" t="s">
        <v>46</v>
      </c>
      <c r="D891" s="9">
        <v>0.41</v>
      </c>
      <c r="E891" s="9">
        <v>0.59</v>
      </c>
      <c r="F891" s="9">
        <v>0.2</v>
      </c>
      <c r="G891" s="9">
        <v>121.79</v>
      </c>
      <c r="H891" s="9">
        <v>195.59</v>
      </c>
      <c r="I891" s="9">
        <v>84.1</v>
      </c>
      <c r="J891" s="7" t="s">
        <v>325</v>
      </c>
    </row>
    <row r="892" spans="1:10" x14ac:dyDescent="0.35">
      <c r="A892" s="7" t="s">
        <v>16</v>
      </c>
      <c r="B892" s="7" t="s">
        <v>90</v>
      </c>
      <c r="C892" s="7" t="s">
        <v>170</v>
      </c>
      <c r="D892" s="9">
        <v>0.15</v>
      </c>
      <c r="E892" s="9">
        <v>0.19</v>
      </c>
      <c r="F892" s="9">
        <v>0.19</v>
      </c>
      <c r="G892" s="9">
        <v>27.32</v>
      </c>
      <c r="H892" s="9">
        <v>24.7</v>
      </c>
      <c r="I892" s="9">
        <v>19.68</v>
      </c>
      <c r="J892" s="7" t="s">
        <v>325</v>
      </c>
    </row>
    <row r="893" spans="1:10" x14ac:dyDescent="0.35">
      <c r="A893" s="7" t="s">
        <v>23</v>
      </c>
      <c r="B893" s="7" t="s">
        <v>191</v>
      </c>
      <c r="C893" s="7" t="s">
        <v>33</v>
      </c>
      <c r="D893" s="9">
        <v>0</v>
      </c>
      <c r="E893" s="9">
        <v>0.73</v>
      </c>
      <c r="F893" s="9">
        <v>0.19</v>
      </c>
      <c r="G893" s="9">
        <v>0</v>
      </c>
      <c r="H893" s="9">
        <v>975.44</v>
      </c>
      <c r="I893" s="9">
        <v>269.33</v>
      </c>
      <c r="J893" s="7" t="s">
        <v>325</v>
      </c>
    </row>
    <row r="894" spans="1:10" x14ac:dyDescent="0.35">
      <c r="A894" s="7" t="s">
        <v>40</v>
      </c>
      <c r="B894" s="7" t="s">
        <v>164</v>
      </c>
      <c r="C894" s="7" t="s">
        <v>170</v>
      </c>
      <c r="D894" s="9">
        <v>0.33</v>
      </c>
      <c r="E894" s="9">
        <v>0.57999999999999996</v>
      </c>
      <c r="F894" s="9">
        <v>0.19</v>
      </c>
      <c r="G894" s="9">
        <v>25.41</v>
      </c>
      <c r="H894" s="9">
        <v>47.6</v>
      </c>
      <c r="I894" s="9">
        <v>13.1</v>
      </c>
      <c r="J894" s="7" t="s">
        <v>325</v>
      </c>
    </row>
    <row r="895" spans="1:10" x14ac:dyDescent="0.35">
      <c r="A895" s="7" t="s">
        <v>20</v>
      </c>
      <c r="B895" s="7" t="s">
        <v>68</v>
      </c>
      <c r="C895" s="7" t="s">
        <v>55</v>
      </c>
      <c r="D895" s="9">
        <v>0.34</v>
      </c>
      <c r="E895" s="9">
        <v>0.62</v>
      </c>
      <c r="F895" s="9">
        <v>0.19</v>
      </c>
      <c r="G895" s="9">
        <v>216.71</v>
      </c>
      <c r="H895" s="9">
        <v>342.47</v>
      </c>
      <c r="I895" s="9">
        <v>109.42</v>
      </c>
      <c r="J895" s="7" t="s">
        <v>325</v>
      </c>
    </row>
    <row r="896" spans="1:10" x14ac:dyDescent="0.35">
      <c r="A896" s="7" t="s">
        <v>79</v>
      </c>
      <c r="B896" s="7" t="s">
        <v>91</v>
      </c>
      <c r="C896" s="7" t="s">
        <v>142</v>
      </c>
      <c r="D896" s="9">
        <v>0.23</v>
      </c>
      <c r="E896" s="9">
        <v>0.13</v>
      </c>
      <c r="F896" s="9">
        <v>0.19</v>
      </c>
      <c r="G896" s="9">
        <v>449.46</v>
      </c>
      <c r="H896" s="9">
        <v>252.48</v>
      </c>
      <c r="I896" s="9">
        <v>279.94</v>
      </c>
      <c r="J896" s="7" t="s">
        <v>325</v>
      </c>
    </row>
    <row r="897" spans="1:10" x14ac:dyDescent="0.35">
      <c r="A897" s="7" t="s">
        <v>20</v>
      </c>
      <c r="B897" s="7" t="s">
        <v>68</v>
      </c>
      <c r="C897" s="7" t="s">
        <v>53</v>
      </c>
      <c r="D897" s="9">
        <v>0.56000000000000005</v>
      </c>
      <c r="E897" s="9">
        <v>1.71</v>
      </c>
      <c r="F897" s="9">
        <v>0.19</v>
      </c>
      <c r="G897" s="9">
        <v>97.83</v>
      </c>
      <c r="H897" s="9">
        <v>222.31</v>
      </c>
      <c r="I897" s="9">
        <v>33.380000000000003</v>
      </c>
      <c r="J897" s="7" t="s">
        <v>325</v>
      </c>
    </row>
    <row r="898" spans="1:10" x14ac:dyDescent="0.35">
      <c r="A898" s="7" t="s">
        <v>16</v>
      </c>
      <c r="B898" s="7" t="s">
        <v>90</v>
      </c>
      <c r="C898" s="7" t="s">
        <v>18</v>
      </c>
      <c r="D898" s="9">
        <v>0.34</v>
      </c>
      <c r="E898" s="9">
        <v>0.83</v>
      </c>
      <c r="F898" s="9">
        <v>0.19</v>
      </c>
      <c r="G898" s="9">
        <v>253.66</v>
      </c>
      <c r="H898" s="9">
        <v>745.53</v>
      </c>
      <c r="I898" s="9">
        <v>174.76</v>
      </c>
      <c r="J898" s="7" t="s">
        <v>325</v>
      </c>
    </row>
    <row r="899" spans="1:10" x14ac:dyDescent="0.35">
      <c r="A899" s="7" t="s">
        <v>66</v>
      </c>
      <c r="B899" s="7" t="s">
        <v>73</v>
      </c>
      <c r="C899" s="7" t="s">
        <v>54</v>
      </c>
      <c r="D899" s="9">
        <v>0.28000000000000003</v>
      </c>
      <c r="E899" s="9">
        <v>0.41</v>
      </c>
      <c r="F899" s="9">
        <v>0.19</v>
      </c>
      <c r="G899" s="9">
        <v>83.35</v>
      </c>
      <c r="H899" s="9">
        <v>104.93</v>
      </c>
      <c r="I899" s="9">
        <v>84.48</v>
      </c>
      <c r="J899" s="7" t="s">
        <v>325</v>
      </c>
    </row>
    <row r="900" spans="1:10" x14ac:dyDescent="0.35">
      <c r="A900" s="7" t="s">
        <v>20</v>
      </c>
      <c r="B900" s="7" t="s">
        <v>68</v>
      </c>
      <c r="C900" s="7" t="s">
        <v>59</v>
      </c>
      <c r="D900" s="9">
        <v>0.54</v>
      </c>
      <c r="E900" s="9">
        <v>0.3</v>
      </c>
      <c r="F900" s="9">
        <v>0.19</v>
      </c>
      <c r="G900" s="9">
        <v>58.99</v>
      </c>
      <c r="H900" s="9">
        <v>31.22</v>
      </c>
      <c r="I900" s="9">
        <v>34.99</v>
      </c>
      <c r="J900" s="7" t="s">
        <v>325</v>
      </c>
    </row>
    <row r="901" spans="1:10" x14ac:dyDescent="0.35">
      <c r="A901" s="7" t="s">
        <v>20</v>
      </c>
      <c r="B901" s="7" t="s">
        <v>21</v>
      </c>
      <c r="C901" s="7" t="s">
        <v>150</v>
      </c>
      <c r="D901" s="9">
        <v>7.0000000000000007E-2</v>
      </c>
      <c r="E901" s="9">
        <v>0.6</v>
      </c>
      <c r="F901" s="9">
        <v>0.19</v>
      </c>
      <c r="G901" s="9">
        <v>7.03</v>
      </c>
      <c r="H901" s="9">
        <v>181.12</v>
      </c>
      <c r="I901" s="9">
        <v>43.35</v>
      </c>
      <c r="J901" s="7" t="s">
        <v>325</v>
      </c>
    </row>
    <row r="902" spans="1:10" x14ac:dyDescent="0.35">
      <c r="A902" s="7" t="s">
        <v>40</v>
      </c>
      <c r="B902" s="7" t="s">
        <v>164</v>
      </c>
      <c r="C902" s="7" t="s">
        <v>48</v>
      </c>
      <c r="D902" s="9">
        <v>0.78</v>
      </c>
      <c r="E902" s="9">
        <v>0.43</v>
      </c>
      <c r="F902" s="9">
        <v>0.19</v>
      </c>
      <c r="G902" s="9">
        <v>156.04</v>
      </c>
      <c r="H902" s="9">
        <v>88.81</v>
      </c>
      <c r="I902" s="9">
        <v>37.39</v>
      </c>
      <c r="J902" s="7" t="s">
        <v>325</v>
      </c>
    </row>
    <row r="903" spans="1:10" x14ac:dyDescent="0.35">
      <c r="A903" s="7" t="s">
        <v>159</v>
      </c>
      <c r="B903" s="7" t="s">
        <v>160</v>
      </c>
      <c r="C903" s="7" t="s">
        <v>39</v>
      </c>
      <c r="D903" s="9">
        <v>0.09</v>
      </c>
      <c r="E903" s="9">
        <v>0.82</v>
      </c>
      <c r="F903" s="9">
        <v>0.19</v>
      </c>
      <c r="G903" s="9">
        <v>41.25</v>
      </c>
      <c r="H903" s="9">
        <v>407.12</v>
      </c>
      <c r="I903" s="9">
        <v>145.96</v>
      </c>
      <c r="J903" s="7" t="s">
        <v>325</v>
      </c>
    </row>
    <row r="904" spans="1:10" x14ac:dyDescent="0.35">
      <c r="A904" s="7" t="s">
        <v>31</v>
      </c>
      <c r="B904" s="7" t="s">
        <v>171</v>
      </c>
      <c r="C904" s="7" t="s">
        <v>18</v>
      </c>
      <c r="D904" s="9">
        <v>0.27</v>
      </c>
      <c r="E904" s="9">
        <v>0.44</v>
      </c>
      <c r="F904" s="9">
        <v>0.19</v>
      </c>
      <c r="G904" s="9">
        <v>252.43</v>
      </c>
      <c r="H904" s="9">
        <v>668.15</v>
      </c>
      <c r="I904" s="9">
        <v>285.02999999999997</v>
      </c>
      <c r="J904" s="7" t="s">
        <v>325</v>
      </c>
    </row>
    <row r="905" spans="1:10" x14ac:dyDescent="0.35">
      <c r="A905" s="7" t="s">
        <v>16</v>
      </c>
      <c r="B905" s="7" t="s">
        <v>105</v>
      </c>
      <c r="C905" s="7" t="s">
        <v>27</v>
      </c>
      <c r="D905" s="9">
        <v>0</v>
      </c>
      <c r="E905" s="9">
        <v>0</v>
      </c>
      <c r="F905" s="9">
        <v>0.18</v>
      </c>
      <c r="G905" s="9">
        <v>0</v>
      </c>
      <c r="H905" s="9">
        <v>0</v>
      </c>
      <c r="I905" s="9">
        <v>400</v>
      </c>
      <c r="J905" s="7" t="s">
        <v>325</v>
      </c>
    </row>
    <row r="906" spans="1:10" x14ac:dyDescent="0.35">
      <c r="A906" s="7" t="s">
        <v>40</v>
      </c>
      <c r="B906" s="7" t="s">
        <v>117</v>
      </c>
      <c r="C906" s="7" t="s">
        <v>126</v>
      </c>
      <c r="D906" s="9">
        <v>0.06</v>
      </c>
      <c r="E906" s="9">
        <v>0.12</v>
      </c>
      <c r="F906" s="9">
        <v>0.18</v>
      </c>
      <c r="G906" s="9">
        <v>57.53</v>
      </c>
      <c r="H906" s="9">
        <v>171.79</v>
      </c>
      <c r="I906" s="9">
        <v>258.01</v>
      </c>
      <c r="J906" s="7" t="s">
        <v>325</v>
      </c>
    </row>
    <row r="907" spans="1:10" x14ac:dyDescent="0.35">
      <c r="A907" s="7" t="s">
        <v>16</v>
      </c>
      <c r="B907" s="7" t="s">
        <v>115</v>
      </c>
      <c r="C907" s="7" t="s">
        <v>33</v>
      </c>
      <c r="D907" s="9">
        <v>0</v>
      </c>
      <c r="E907" s="9">
        <v>0.36</v>
      </c>
      <c r="F907" s="9">
        <v>0.18</v>
      </c>
      <c r="G907" s="9">
        <v>8.9</v>
      </c>
      <c r="H907" s="9">
        <v>272.43</v>
      </c>
      <c r="I907" s="9">
        <v>134.94999999999999</v>
      </c>
      <c r="J907" s="7" t="s">
        <v>325</v>
      </c>
    </row>
    <row r="908" spans="1:10" x14ac:dyDescent="0.35">
      <c r="A908" s="7" t="s">
        <v>20</v>
      </c>
      <c r="B908" s="7" t="s">
        <v>173</v>
      </c>
      <c r="C908" s="7" t="s">
        <v>65</v>
      </c>
      <c r="D908" s="9">
        <v>0.34</v>
      </c>
      <c r="E908" s="9">
        <v>0.74</v>
      </c>
      <c r="F908" s="9">
        <v>0.18</v>
      </c>
      <c r="G908" s="9">
        <v>301.8</v>
      </c>
      <c r="H908" s="9">
        <v>593.80999999999995</v>
      </c>
      <c r="I908" s="9">
        <v>130.43</v>
      </c>
      <c r="J908" s="7" t="s">
        <v>325</v>
      </c>
    </row>
    <row r="909" spans="1:10" x14ac:dyDescent="0.35">
      <c r="A909" s="7" t="s">
        <v>159</v>
      </c>
      <c r="B909" s="7" t="s">
        <v>160</v>
      </c>
      <c r="C909" s="7" t="s">
        <v>65</v>
      </c>
      <c r="D909" s="9">
        <v>0</v>
      </c>
      <c r="E909" s="9">
        <v>0.32</v>
      </c>
      <c r="F909" s="9">
        <v>0.18</v>
      </c>
      <c r="G909" s="9">
        <v>0</v>
      </c>
      <c r="H909" s="9">
        <v>674.8</v>
      </c>
      <c r="I909" s="9">
        <v>381.16</v>
      </c>
      <c r="J909" s="7" t="s">
        <v>325</v>
      </c>
    </row>
    <row r="910" spans="1:10" x14ac:dyDescent="0.35">
      <c r="A910" s="7" t="s">
        <v>31</v>
      </c>
      <c r="B910" s="7" t="s">
        <v>131</v>
      </c>
      <c r="C910" s="7" t="s">
        <v>113</v>
      </c>
      <c r="D910" s="9">
        <v>0.01</v>
      </c>
      <c r="E910" s="9">
        <v>0.26</v>
      </c>
      <c r="F910" s="9">
        <v>0.18</v>
      </c>
      <c r="G910" s="9">
        <v>25</v>
      </c>
      <c r="H910" s="9">
        <v>685.1</v>
      </c>
      <c r="I910" s="9">
        <v>550.01</v>
      </c>
      <c r="J910" s="7" t="s">
        <v>325</v>
      </c>
    </row>
    <row r="911" spans="1:10" x14ac:dyDescent="0.35">
      <c r="A911" s="7" t="s">
        <v>16</v>
      </c>
      <c r="B911" s="7" t="s">
        <v>172</v>
      </c>
      <c r="C911" s="7" t="s">
        <v>54</v>
      </c>
      <c r="D911" s="9">
        <v>0</v>
      </c>
      <c r="E911" s="9">
        <v>0.12</v>
      </c>
      <c r="F911" s="9">
        <v>0.18</v>
      </c>
      <c r="G911" s="9">
        <v>0</v>
      </c>
      <c r="H911" s="9">
        <v>154.5</v>
      </c>
      <c r="I911" s="9">
        <v>194.27</v>
      </c>
      <c r="J911" s="7" t="s">
        <v>325</v>
      </c>
    </row>
    <row r="912" spans="1:10" x14ac:dyDescent="0.35">
      <c r="A912" s="7" t="s">
        <v>66</v>
      </c>
      <c r="B912" s="7" t="s">
        <v>73</v>
      </c>
      <c r="C912" s="7" t="s">
        <v>53</v>
      </c>
      <c r="D912" s="9">
        <v>1.41</v>
      </c>
      <c r="E912" s="9">
        <v>2.88</v>
      </c>
      <c r="F912" s="9">
        <v>0.18</v>
      </c>
      <c r="G912" s="9">
        <v>388.73</v>
      </c>
      <c r="H912" s="8">
        <v>1269.3</v>
      </c>
      <c r="I912" s="9">
        <v>135.04</v>
      </c>
      <c r="J912" s="7" t="s">
        <v>325</v>
      </c>
    </row>
    <row r="913" spans="1:10" x14ac:dyDescent="0.35">
      <c r="A913" s="7" t="s">
        <v>77</v>
      </c>
      <c r="B913" s="7" t="s">
        <v>157</v>
      </c>
      <c r="C913" s="7" t="s">
        <v>76</v>
      </c>
      <c r="D913" s="9">
        <v>0.35</v>
      </c>
      <c r="E913" s="9">
        <v>0.59</v>
      </c>
      <c r="F913" s="9">
        <v>0.18</v>
      </c>
      <c r="G913" s="9">
        <v>193.81</v>
      </c>
      <c r="H913" s="9">
        <v>349.84</v>
      </c>
      <c r="I913" s="9">
        <v>87.68</v>
      </c>
      <c r="J913" s="7" t="s">
        <v>325</v>
      </c>
    </row>
    <row r="914" spans="1:10" x14ac:dyDescent="0.35">
      <c r="A914" s="7" t="s">
        <v>31</v>
      </c>
      <c r="B914" s="7" t="s">
        <v>169</v>
      </c>
      <c r="C914" s="7" t="s">
        <v>69</v>
      </c>
      <c r="D914" s="9">
        <v>0.69</v>
      </c>
      <c r="E914" s="9">
        <v>0.42</v>
      </c>
      <c r="F914" s="9">
        <v>0.18</v>
      </c>
      <c r="G914" s="9">
        <v>126.54</v>
      </c>
      <c r="H914" s="9">
        <v>66.900000000000006</v>
      </c>
      <c r="I914" s="9">
        <v>5.0199999999999996</v>
      </c>
      <c r="J914" s="7" t="s">
        <v>325</v>
      </c>
    </row>
    <row r="915" spans="1:10" x14ac:dyDescent="0.35">
      <c r="A915" s="7" t="s">
        <v>86</v>
      </c>
      <c r="B915" s="7" t="s">
        <v>87</v>
      </c>
      <c r="C915" s="7" t="s">
        <v>128</v>
      </c>
      <c r="D915" s="9">
        <v>0.46</v>
      </c>
      <c r="E915" s="9">
        <v>0.36</v>
      </c>
      <c r="F915" s="9">
        <v>0.18</v>
      </c>
      <c r="G915" s="9">
        <v>204.47</v>
      </c>
      <c r="H915" s="9">
        <v>154.01</v>
      </c>
      <c r="I915" s="9">
        <v>86.58</v>
      </c>
      <c r="J915" s="7" t="s">
        <v>325</v>
      </c>
    </row>
    <row r="916" spans="1:10" x14ac:dyDescent="0.35">
      <c r="A916" s="7" t="s">
        <v>20</v>
      </c>
      <c r="B916" s="7" t="s">
        <v>68</v>
      </c>
      <c r="C916" s="7" t="s">
        <v>125</v>
      </c>
      <c r="D916" s="9">
        <v>0.78</v>
      </c>
      <c r="E916" s="9">
        <v>0.49</v>
      </c>
      <c r="F916" s="9">
        <v>0.18</v>
      </c>
      <c r="G916" s="9">
        <v>76.14</v>
      </c>
      <c r="H916" s="9">
        <v>62.33</v>
      </c>
      <c r="I916" s="9">
        <v>25.29</v>
      </c>
      <c r="J916" s="7" t="s">
        <v>325</v>
      </c>
    </row>
    <row r="917" spans="1:10" x14ac:dyDescent="0.35">
      <c r="A917" s="7" t="s">
        <v>20</v>
      </c>
      <c r="B917" s="7" t="s">
        <v>222</v>
      </c>
      <c r="C917" s="7" t="s">
        <v>45</v>
      </c>
      <c r="D917" s="9">
        <v>0</v>
      </c>
      <c r="E917" s="9">
        <v>0.32</v>
      </c>
      <c r="F917" s="9">
        <v>0.18</v>
      </c>
      <c r="G917" s="9">
        <v>0.66</v>
      </c>
      <c r="H917" s="9">
        <v>60.13</v>
      </c>
      <c r="I917" s="9">
        <v>31.83</v>
      </c>
      <c r="J917" s="7" t="s">
        <v>325</v>
      </c>
    </row>
    <row r="918" spans="1:10" x14ac:dyDescent="0.35">
      <c r="A918" s="7" t="s">
        <v>23</v>
      </c>
      <c r="B918" s="7" t="s">
        <v>191</v>
      </c>
      <c r="C918" s="7" t="s">
        <v>48</v>
      </c>
      <c r="D918" s="9">
        <v>0.14000000000000001</v>
      </c>
      <c r="E918" s="9">
        <v>0.82</v>
      </c>
      <c r="F918" s="9">
        <v>0.18</v>
      </c>
      <c r="G918" s="9">
        <v>75.61</v>
      </c>
      <c r="H918" s="9">
        <v>187.38</v>
      </c>
      <c r="I918" s="9">
        <v>35.35</v>
      </c>
      <c r="J918" s="7" t="s">
        <v>325</v>
      </c>
    </row>
    <row r="919" spans="1:10" x14ac:dyDescent="0.35">
      <c r="A919" s="7" t="s">
        <v>16</v>
      </c>
      <c r="B919" s="7" t="s">
        <v>172</v>
      </c>
      <c r="C919" s="7" t="s">
        <v>62</v>
      </c>
      <c r="D919" s="9">
        <v>0.28000000000000003</v>
      </c>
      <c r="E919" s="9">
        <v>0.39</v>
      </c>
      <c r="F919" s="9">
        <v>0.18</v>
      </c>
      <c r="G919" s="9">
        <v>750</v>
      </c>
      <c r="H919" s="8">
        <v>1160</v>
      </c>
      <c r="I919" s="9">
        <v>590</v>
      </c>
      <c r="J919" s="7" t="s">
        <v>325</v>
      </c>
    </row>
    <row r="920" spans="1:10" x14ac:dyDescent="0.35">
      <c r="A920" s="7" t="s">
        <v>16</v>
      </c>
      <c r="B920" s="7" t="s">
        <v>90</v>
      </c>
      <c r="C920" s="7" t="s">
        <v>151</v>
      </c>
      <c r="D920" s="9">
        <v>0.94</v>
      </c>
      <c r="E920" s="9">
        <v>0.76</v>
      </c>
      <c r="F920" s="9">
        <v>0.18</v>
      </c>
      <c r="G920" s="9">
        <v>546.76</v>
      </c>
      <c r="H920" s="9">
        <v>396.3</v>
      </c>
      <c r="I920" s="9">
        <v>116.69</v>
      </c>
      <c r="J920" s="7" t="s">
        <v>325</v>
      </c>
    </row>
    <row r="921" spans="1:10" x14ac:dyDescent="0.35">
      <c r="A921" s="7" t="s">
        <v>74</v>
      </c>
      <c r="B921" s="7" t="s">
        <v>75</v>
      </c>
      <c r="C921" s="7" t="s">
        <v>60</v>
      </c>
      <c r="D921" s="9">
        <v>10.23</v>
      </c>
      <c r="E921" s="9">
        <v>1.06</v>
      </c>
      <c r="F921" s="9">
        <v>0.18</v>
      </c>
      <c r="G921" s="8">
        <v>7422.97</v>
      </c>
      <c r="H921" s="9">
        <v>821.7</v>
      </c>
      <c r="I921" s="9">
        <v>103.78</v>
      </c>
      <c r="J921" s="7" t="s">
        <v>325</v>
      </c>
    </row>
    <row r="922" spans="1:10" x14ac:dyDescent="0.35">
      <c r="A922" s="7" t="s">
        <v>40</v>
      </c>
      <c r="B922" s="7" t="s">
        <v>164</v>
      </c>
      <c r="C922" s="7" t="s">
        <v>54</v>
      </c>
      <c r="D922" s="9">
        <v>0.22</v>
      </c>
      <c r="E922" s="9">
        <v>7.0000000000000007E-2</v>
      </c>
      <c r="F922" s="9">
        <v>0.18</v>
      </c>
      <c r="G922" s="9">
        <v>130.61000000000001</v>
      </c>
      <c r="H922" s="9">
        <v>19.309999999999999</v>
      </c>
      <c r="I922" s="9">
        <v>80.27</v>
      </c>
      <c r="J922" s="7" t="s">
        <v>325</v>
      </c>
    </row>
    <row r="923" spans="1:10" x14ac:dyDescent="0.35">
      <c r="A923" s="7" t="s">
        <v>159</v>
      </c>
      <c r="B923" s="7" t="s">
        <v>160</v>
      </c>
      <c r="C923" s="7" t="s">
        <v>102</v>
      </c>
      <c r="D923" s="9">
        <v>0.13</v>
      </c>
      <c r="E923" s="9">
        <v>0.57999999999999996</v>
      </c>
      <c r="F923" s="9">
        <v>0.18</v>
      </c>
      <c r="G923" s="9">
        <v>400.73</v>
      </c>
      <c r="H923" s="8">
        <v>1812.65</v>
      </c>
      <c r="I923" s="9">
        <v>580.86</v>
      </c>
      <c r="J923" s="7" t="s">
        <v>325</v>
      </c>
    </row>
    <row r="924" spans="1:10" x14ac:dyDescent="0.35">
      <c r="A924" s="7" t="s">
        <v>74</v>
      </c>
      <c r="B924" s="7" t="s">
        <v>98</v>
      </c>
      <c r="C924" s="7" t="s">
        <v>65</v>
      </c>
      <c r="D924" s="9">
        <v>1.03</v>
      </c>
      <c r="E924" s="9">
        <v>0.37</v>
      </c>
      <c r="F924" s="9">
        <v>0.18</v>
      </c>
      <c r="G924" s="9">
        <v>331.04</v>
      </c>
      <c r="H924" s="9">
        <v>367.88</v>
      </c>
      <c r="I924" s="9">
        <v>200.85</v>
      </c>
      <c r="J924" s="7" t="s">
        <v>325</v>
      </c>
    </row>
    <row r="925" spans="1:10" x14ac:dyDescent="0.35">
      <c r="A925" s="7" t="s">
        <v>77</v>
      </c>
      <c r="B925" s="7" t="s">
        <v>78</v>
      </c>
      <c r="C925" s="7" t="s">
        <v>55</v>
      </c>
      <c r="D925" s="9">
        <v>0.23</v>
      </c>
      <c r="E925" s="9">
        <v>0.23</v>
      </c>
      <c r="F925" s="9">
        <v>0.17</v>
      </c>
      <c r="G925" s="9">
        <v>259.16000000000003</v>
      </c>
      <c r="H925" s="9">
        <v>143.91999999999999</v>
      </c>
      <c r="I925" s="9">
        <v>65.3</v>
      </c>
      <c r="J925" s="7" t="s">
        <v>325</v>
      </c>
    </row>
    <row r="926" spans="1:10" x14ac:dyDescent="0.35">
      <c r="A926" s="7" t="s">
        <v>94</v>
      </c>
      <c r="B926" s="7" t="s">
        <v>112</v>
      </c>
      <c r="C926" s="7" t="s">
        <v>69</v>
      </c>
      <c r="D926" s="9">
        <v>0.3</v>
      </c>
      <c r="E926" s="9">
        <v>0.56999999999999995</v>
      </c>
      <c r="F926" s="9">
        <v>0.17</v>
      </c>
      <c r="G926" s="9">
        <v>8.7799999999999994</v>
      </c>
      <c r="H926" s="9">
        <v>157.08000000000001</v>
      </c>
      <c r="I926" s="9">
        <v>1.32</v>
      </c>
      <c r="J926" s="7" t="s">
        <v>325</v>
      </c>
    </row>
    <row r="927" spans="1:10" x14ac:dyDescent="0.35">
      <c r="A927" s="7" t="s">
        <v>23</v>
      </c>
      <c r="B927" s="7" t="s">
        <v>123</v>
      </c>
      <c r="C927" s="7" t="s">
        <v>60</v>
      </c>
      <c r="D927" s="9">
        <v>0.19</v>
      </c>
      <c r="E927" s="9">
        <v>0.14000000000000001</v>
      </c>
      <c r="F927" s="9">
        <v>0.17</v>
      </c>
      <c r="G927" s="9">
        <v>76.38</v>
      </c>
      <c r="H927" s="9">
        <v>76.47</v>
      </c>
      <c r="I927" s="9">
        <v>23.19</v>
      </c>
      <c r="J927" s="7" t="s">
        <v>325</v>
      </c>
    </row>
    <row r="928" spans="1:10" x14ac:dyDescent="0.35">
      <c r="A928" s="7" t="s">
        <v>20</v>
      </c>
      <c r="B928" s="7" t="s">
        <v>156</v>
      </c>
      <c r="C928" s="7" t="s">
        <v>60</v>
      </c>
      <c r="D928" s="9">
        <v>2.37</v>
      </c>
      <c r="E928" s="9">
        <v>2.3199999999999998</v>
      </c>
      <c r="F928" s="9">
        <v>0.17</v>
      </c>
      <c r="G928" s="9">
        <v>148.41999999999999</v>
      </c>
      <c r="H928" s="9">
        <v>182.65</v>
      </c>
      <c r="I928" s="9">
        <v>36.21</v>
      </c>
      <c r="J928" s="7" t="s">
        <v>325</v>
      </c>
    </row>
    <row r="929" spans="1:10" x14ac:dyDescent="0.35">
      <c r="A929" s="7" t="s">
        <v>20</v>
      </c>
      <c r="B929" s="7" t="s">
        <v>119</v>
      </c>
      <c r="C929" s="7" t="s">
        <v>48</v>
      </c>
      <c r="D929" s="9">
        <v>0</v>
      </c>
      <c r="E929" s="9">
        <v>0.38</v>
      </c>
      <c r="F929" s="9">
        <v>0.17</v>
      </c>
      <c r="G929" s="9">
        <v>0</v>
      </c>
      <c r="H929" s="9">
        <v>100.8</v>
      </c>
      <c r="I929" s="9">
        <v>45.6</v>
      </c>
      <c r="J929" s="7" t="s">
        <v>325</v>
      </c>
    </row>
    <row r="930" spans="1:10" x14ac:dyDescent="0.35">
      <c r="A930" s="7" t="s">
        <v>16</v>
      </c>
      <c r="B930" s="7" t="s">
        <v>90</v>
      </c>
      <c r="C930" s="7" t="s">
        <v>27</v>
      </c>
      <c r="D930" s="9">
        <v>0.21</v>
      </c>
      <c r="E930" s="9">
        <v>0.34</v>
      </c>
      <c r="F930" s="9">
        <v>0.17</v>
      </c>
      <c r="G930" s="9">
        <v>379.82</v>
      </c>
      <c r="H930" s="9">
        <v>396.22</v>
      </c>
      <c r="I930" s="9">
        <v>171.18</v>
      </c>
      <c r="J930" s="7" t="s">
        <v>325</v>
      </c>
    </row>
    <row r="931" spans="1:10" x14ac:dyDescent="0.35">
      <c r="A931" s="7" t="s">
        <v>31</v>
      </c>
      <c r="B931" s="7" t="s">
        <v>101</v>
      </c>
      <c r="C931" s="7" t="s">
        <v>144</v>
      </c>
      <c r="D931" s="9">
        <v>1.1100000000000001</v>
      </c>
      <c r="E931" s="9">
        <v>1.07</v>
      </c>
      <c r="F931" s="9">
        <v>0.17</v>
      </c>
      <c r="G931" s="8">
        <v>4021.85</v>
      </c>
      <c r="H931" s="8">
        <v>3419.18</v>
      </c>
      <c r="I931" s="9">
        <v>553</v>
      </c>
      <c r="J931" s="7" t="s">
        <v>325</v>
      </c>
    </row>
    <row r="932" spans="1:10" x14ac:dyDescent="0.35">
      <c r="A932" s="7" t="s">
        <v>66</v>
      </c>
      <c r="B932" s="7" t="s">
        <v>127</v>
      </c>
      <c r="C932" s="7" t="s">
        <v>69</v>
      </c>
      <c r="D932" s="9">
        <v>1.78</v>
      </c>
      <c r="E932" s="9">
        <v>1.02</v>
      </c>
      <c r="F932" s="9">
        <v>0.17</v>
      </c>
      <c r="G932" s="9">
        <v>199.57</v>
      </c>
      <c r="H932" s="9">
        <v>76.88</v>
      </c>
      <c r="I932" s="9">
        <v>13.08</v>
      </c>
      <c r="J932" s="7" t="s">
        <v>325</v>
      </c>
    </row>
    <row r="933" spans="1:10" x14ac:dyDescent="0.35">
      <c r="A933" s="7" t="s">
        <v>35</v>
      </c>
      <c r="B933" s="7" t="s">
        <v>47</v>
      </c>
      <c r="C933" s="7" t="s">
        <v>53</v>
      </c>
      <c r="D933" s="9">
        <v>0.9</v>
      </c>
      <c r="E933" s="9">
        <v>0.47</v>
      </c>
      <c r="F933" s="9">
        <v>0.17</v>
      </c>
      <c r="G933" s="9">
        <v>471.12</v>
      </c>
      <c r="H933" s="9">
        <v>249.31</v>
      </c>
      <c r="I933" s="9">
        <v>108.27</v>
      </c>
      <c r="J933" s="7" t="s">
        <v>325</v>
      </c>
    </row>
    <row r="934" spans="1:10" x14ac:dyDescent="0.35">
      <c r="A934" s="7" t="s">
        <v>94</v>
      </c>
      <c r="B934" s="7" t="s">
        <v>95</v>
      </c>
      <c r="C934" s="7" t="s">
        <v>118</v>
      </c>
      <c r="D934" s="9">
        <v>0.73</v>
      </c>
      <c r="E934" s="9">
        <v>1.1499999999999999</v>
      </c>
      <c r="F934" s="9">
        <v>0.17</v>
      </c>
      <c r="G934" s="9">
        <v>550.76</v>
      </c>
      <c r="H934" s="9">
        <v>680.16</v>
      </c>
      <c r="I934" s="9">
        <v>124.54</v>
      </c>
      <c r="J934" s="7" t="s">
        <v>325</v>
      </c>
    </row>
    <row r="935" spans="1:10" x14ac:dyDescent="0.35">
      <c r="A935" s="7" t="s">
        <v>20</v>
      </c>
      <c r="B935" s="7" t="s">
        <v>145</v>
      </c>
      <c r="C935" s="7" t="s">
        <v>33</v>
      </c>
      <c r="D935" s="9">
        <v>0</v>
      </c>
      <c r="E935" s="9">
        <v>0.15</v>
      </c>
      <c r="F935" s="9">
        <v>0.16</v>
      </c>
      <c r="G935" s="9">
        <v>0</v>
      </c>
      <c r="H935" s="9">
        <v>103.97</v>
      </c>
      <c r="I935" s="9">
        <v>129.01</v>
      </c>
      <c r="J935" s="7" t="s">
        <v>325</v>
      </c>
    </row>
    <row r="936" spans="1:10" x14ac:dyDescent="0.35">
      <c r="A936" s="7" t="s">
        <v>23</v>
      </c>
      <c r="B936" s="7" t="s">
        <v>191</v>
      </c>
      <c r="C936" s="7" t="s">
        <v>54</v>
      </c>
      <c r="D936" s="9">
        <v>0.02</v>
      </c>
      <c r="E936" s="9">
        <v>0.17</v>
      </c>
      <c r="F936" s="9">
        <v>0.16</v>
      </c>
      <c r="G936" s="9">
        <v>8.64</v>
      </c>
      <c r="H936" s="9">
        <v>8.99</v>
      </c>
      <c r="I936" s="9">
        <v>0.3</v>
      </c>
      <c r="J936" s="7" t="s">
        <v>325</v>
      </c>
    </row>
    <row r="937" spans="1:10" x14ac:dyDescent="0.35">
      <c r="A937" s="7" t="s">
        <v>94</v>
      </c>
      <c r="B937" s="7" t="s">
        <v>112</v>
      </c>
      <c r="C937" s="7" t="s">
        <v>144</v>
      </c>
      <c r="D937" s="9">
        <v>0.6</v>
      </c>
      <c r="E937" s="9">
        <v>0.6</v>
      </c>
      <c r="F937" s="9">
        <v>0.16</v>
      </c>
      <c r="G937" s="8">
        <v>1680.13</v>
      </c>
      <c r="H937" s="8">
        <v>1674.48</v>
      </c>
      <c r="I937" s="9">
        <v>503</v>
      </c>
      <c r="J937" s="7" t="s">
        <v>325</v>
      </c>
    </row>
    <row r="938" spans="1:10" x14ac:dyDescent="0.35">
      <c r="A938" s="7" t="s">
        <v>74</v>
      </c>
      <c r="B938" s="7" t="s">
        <v>137</v>
      </c>
      <c r="C938" s="7" t="s">
        <v>27</v>
      </c>
      <c r="D938" s="9">
        <v>0</v>
      </c>
      <c r="E938" s="9">
        <v>0.08</v>
      </c>
      <c r="F938" s="9">
        <v>0.16</v>
      </c>
      <c r="G938" s="9">
        <v>1.21</v>
      </c>
      <c r="H938" s="9">
        <v>16.87</v>
      </c>
      <c r="I938" s="9">
        <v>155.53</v>
      </c>
      <c r="J938" s="7" t="s">
        <v>325</v>
      </c>
    </row>
    <row r="939" spans="1:10" x14ac:dyDescent="0.35">
      <c r="A939" s="7" t="s">
        <v>77</v>
      </c>
      <c r="B939" s="7" t="s">
        <v>132</v>
      </c>
      <c r="C939" s="7" t="s">
        <v>110</v>
      </c>
      <c r="D939" s="9">
        <v>0.68</v>
      </c>
      <c r="E939" s="9">
        <v>0.01</v>
      </c>
      <c r="F939" s="9">
        <v>0.16</v>
      </c>
      <c r="G939" s="8">
        <v>2466.54</v>
      </c>
      <c r="H939" s="9">
        <v>37.979999999999997</v>
      </c>
      <c r="I939" s="9">
        <v>577.79999999999995</v>
      </c>
      <c r="J939" s="7" t="s">
        <v>325</v>
      </c>
    </row>
    <row r="940" spans="1:10" x14ac:dyDescent="0.35">
      <c r="A940" s="7" t="s">
        <v>86</v>
      </c>
      <c r="B940" s="7" t="s">
        <v>106</v>
      </c>
      <c r="C940" s="7" t="s">
        <v>170</v>
      </c>
      <c r="D940" s="9">
        <v>0.36</v>
      </c>
      <c r="E940" s="9">
        <v>0.12</v>
      </c>
      <c r="F940" s="9">
        <v>0.16</v>
      </c>
      <c r="G940" s="9">
        <v>81.38</v>
      </c>
      <c r="H940" s="9">
        <v>13.78</v>
      </c>
      <c r="I940" s="9">
        <v>19.59</v>
      </c>
      <c r="J940" s="7" t="s">
        <v>325</v>
      </c>
    </row>
    <row r="941" spans="1:10" x14ac:dyDescent="0.35">
      <c r="A941" s="7" t="s">
        <v>20</v>
      </c>
      <c r="B941" s="7" t="s">
        <v>134</v>
      </c>
      <c r="C941" s="7" t="s">
        <v>151</v>
      </c>
      <c r="D941" s="9">
        <v>0</v>
      </c>
      <c r="E941" s="9">
        <v>0.03</v>
      </c>
      <c r="F941" s="9">
        <v>0.16</v>
      </c>
      <c r="G941" s="9">
        <v>0</v>
      </c>
      <c r="H941" s="9">
        <v>17.14</v>
      </c>
      <c r="I941" s="9">
        <v>89.61</v>
      </c>
      <c r="J941" s="7" t="s">
        <v>325</v>
      </c>
    </row>
    <row r="942" spans="1:10" x14ac:dyDescent="0.35">
      <c r="A942" s="7" t="s">
        <v>35</v>
      </c>
      <c r="B942" s="7" t="s">
        <v>38</v>
      </c>
      <c r="C942" s="7" t="s">
        <v>144</v>
      </c>
      <c r="D942" s="9">
        <v>0.11</v>
      </c>
      <c r="E942" s="9">
        <v>0.33</v>
      </c>
      <c r="F942" s="9">
        <v>0.16</v>
      </c>
      <c r="G942" s="9">
        <v>132.47</v>
      </c>
      <c r="H942" s="9">
        <v>274.10000000000002</v>
      </c>
      <c r="I942" s="9">
        <v>156.52000000000001</v>
      </c>
      <c r="J942" s="7" t="s">
        <v>325</v>
      </c>
    </row>
    <row r="943" spans="1:10" x14ac:dyDescent="0.35">
      <c r="A943" s="7" t="s">
        <v>79</v>
      </c>
      <c r="B943" s="7" t="s">
        <v>92</v>
      </c>
      <c r="C943" s="7" t="s">
        <v>48</v>
      </c>
      <c r="D943" s="9">
        <v>0.06</v>
      </c>
      <c r="E943" s="9">
        <v>0.36</v>
      </c>
      <c r="F943" s="9">
        <v>0.16</v>
      </c>
      <c r="G943" s="9">
        <v>13.55</v>
      </c>
      <c r="H943" s="9">
        <v>44.53</v>
      </c>
      <c r="I943" s="9">
        <v>20.91</v>
      </c>
      <c r="J943" s="7" t="s">
        <v>325</v>
      </c>
    </row>
    <row r="944" spans="1:10" x14ac:dyDescent="0.35">
      <c r="A944" s="7" t="s">
        <v>66</v>
      </c>
      <c r="B944" s="7" t="s">
        <v>108</v>
      </c>
      <c r="C944" s="7" t="s">
        <v>27</v>
      </c>
      <c r="D944" s="9">
        <v>2.2400000000000002</v>
      </c>
      <c r="E944" s="9">
        <v>1.98</v>
      </c>
      <c r="F944" s="9">
        <v>0.16</v>
      </c>
      <c r="G944" s="8">
        <v>3539.36</v>
      </c>
      <c r="H944" s="8">
        <v>3172.95</v>
      </c>
      <c r="I944" s="9">
        <v>228.84</v>
      </c>
      <c r="J944" s="7" t="s">
        <v>325</v>
      </c>
    </row>
    <row r="945" spans="1:10" x14ac:dyDescent="0.35">
      <c r="A945" s="7" t="s">
        <v>31</v>
      </c>
      <c r="B945" s="7" t="s">
        <v>131</v>
      </c>
      <c r="C945" s="7" t="s">
        <v>60</v>
      </c>
      <c r="D945" s="9">
        <v>0.57999999999999996</v>
      </c>
      <c r="E945" s="9">
        <v>0.67</v>
      </c>
      <c r="F945" s="9">
        <v>0.15</v>
      </c>
      <c r="G945" s="9">
        <v>353.45</v>
      </c>
      <c r="H945" s="9">
        <v>171.02</v>
      </c>
      <c r="I945" s="9">
        <v>125.63</v>
      </c>
      <c r="J945" s="7" t="s">
        <v>325</v>
      </c>
    </row>
    <row r="946" spans="1:10" x14ac:dyDescent="0.35">
      <c r="A946" s="7" t="s">
        <v>23</v>
      </c>
      <c r="B946" s="7" t="s">
        <v>34</v>
      </c>
      <c r="C946" s="7" t="s">
        <v>54</v>
      </c>
      <c r="D946" s="9">
        <v>0.69</v>
      </c>
      <c r="E946" s="9">
        <v>0.15</v>
      </c>
      <c r="F946" s="9">
        <v>0.15</v>
      </c>
      <c r="G946" s="9">
        <v>109.26</v>
      </c>
      <c r="H946" s="9">
        <v>40.15</v>
      </c>
      <c r="I946" s="9">
        <v>27.66</v>
      </c>
      <c r="J946" s="7" t="s">
        <v>325</v>
      </c>
    </row>
    <row r="947" spans="1:10" ht="26.25" customHeight="1" x14ac:dyDescent="0.35">
      <c r="A947" s="7" t="s">
        <v>31</v>
      </c>
      <c r="B947" s="7" t="s">
        <v>146</v>
      </c>
      <c r="C947" s="7" t="s">
        <v>42</v>
      </c>
      <c r="D947" s="9">
        <v>1.67</v>
      </c>
      <c r="E947" s="9">
        <v>0.03</v>
      </c>
      <c r="F947" s="9">
        <v>0.15</v>
      </c>
      <c r="G947" s="8">
        <v>10336.59</v>
      </c>
      <c r="H947" s="9">
        <v>34.369999999999997</v>
      </c>
      <c r="I947" s="9">
        <v>234.06</v>
      </c>
      <c r="J947" s="7" t="s">
        <v>325</v>
      </c>
    </row>
    <row r="948" spans="1:10" ht="26.25" customHeight="1" x14ac:dyDescent="0.35">
      <c r="A948" s="7" t="s">
        <v>79</v>
      </c>
      <c r="B948" s="7" t="s">
        <v>223</v>
      </c>
      <c r="C948" s="7" t="s">
        <v>81</v>
      </c>
      <c r="D948" s="9">
        <v>0</v>
      </c>
      <c r="E948" s="9">
        <v>0</v>
      </c>
      <c r="F948" s="9">
        <v>0.15</v>
      </c>
      <c r="G948" s="9">
        <v>0</v>
      </c>
      <c r="H948" s="9">
        <v>0</v>
      </c>
      <c r="I948" s="9">
        <v>137.79</v>
      </c>
      <c r="J948" s="7" t="s">
        <v>325</v>
      </c>
    </row>
    <row r="949" spans="1:10" x14ac:dyDescent="0.35">
      <c r="A949" s="7" t="s">
        <v>40</v>
      </c>
      <c r="B949" s="7" t="s">
        <v>85</v>
      </c>
      <c r="C949" s="7" t="s">
        <v>150</v>
      </c>
      <c r="D949" s="9">
        <v>0.35</v>
      </c>
      <c r="E949" s="9">
        <v>0.67</v>
      </c>
      <c r="F949" s="9">
        <v>0.15</v>
      </c>
      <c r="G949" s="9">
        <v>66.27</v>
      </c>
      <c r="H949" s="9">
        <v>74.69</v>
      </c>
      <c r="I949" s="9">
        <v>17.28</v>
      </c>
      <c r="J949" s="7" t="s">
        <v>325</v>
      </c>
    </row>
    <row r="950" spans="1:10" x14ac:dyDescent="0.35">
      <c r="A950" s="7" t="s">
        <v>16</v>
      </c>
      <c r="B950" s="7" t="s">
        <v>28</v>
      </c>
      <c r="C950" s="7" t="s">
        <v>39</v>
      </c>
      <c r="D950" s="9">
        <v>0.54</v>
      </c>
      <c r="E950" s="9">
        <v>4.2300000000000004</v>
      </c>
      <c r="F950" s="9">
        <v>0.15</v>
      </c>
      <c r="G950" s="9">
        <v>816.18</v>
      </c>
      <c r="H950" s="8">
        <v>2143.19</v>
      </c>
      <c r="I950" s="9">
        <v>313.93</v>
      </c>
      <c r="J950" s="7" t="s">
        <v>325</v>
      </c>
    </row>
    <row r="951" spans="1:10" x14ac:dyDescent="0.35">
      <c r="A951" s="7" t="s">
        <v>23</v>
      </c>
      <c r="B951" s="7" t="s">
        <v>30</v>
      </c>
      <c r="C951" s="7" t="s">
        <v>54</v>
      </c>
      <c r="D951" s="9">
        <v>0.27</v>
      </c>
      <c r="E951" s="9">
        <v>0.63</v>
      </c>
      <c r="F951" s="9">
        <v>0.15</v>
      </c>
      <c r="G951" s="9">
        <v>68.44</v>
      </c>
      <c r="H951" s="9">
        <v>192.63</v>
      </c>
      <c r="I951" s="9">
        <v>50.3</v>
      </c>
      <c r="J951" s="7" t="s">
        <v>325</v>
      </c>
    </row>
    <row r="952" spans="1:10" x14ac:dyDescent="0.35">
      <c r="A952" s="7" t="s">
        <v>23</v>
      </c>
      <c r="B952" s="7" t="s">
        <v>24</v>
      </c>
      <c r="C952" s="7" t="s">
        <v>54</v>
      </c>
      <c r="D952" s="9">
        <v>0.19</v>
      </c>
      <c r="E952" s="9">
        <v>0.61</v>
      </c>
      <c r="F952" s="9">
        <v>0.15</v>
      </c>
      <c r="G952" s="9">
        <v>85.54</v>
      </c>
      <c r="H952" s="9">
        <v>176.04</v>
      </c>
      <c r="I952" s="9">
        <v>37.86</v>
      </c>
      <c r="J952" s="7" t="s">
        <v>325</v>
      </c>
    </row>
    <row r="953" spans="1:10" x14ac:dyDescent="0.35">
      <c r="A953" s="7" t="s">
        <v>20</v>
      </c>
      <c r="B953" s="7" t="s">
        <v>21</v>
      </c>
      <c r="C953" s="7" t="s">
        <v>179</v>
      </c>
      <c r="D953" s="9">
        <v>0.27</v>
      </c>
      <c r="E953" s="9">
        <v>0.24</v>
      </c>
      <c r="F953" s="9">
        <v>0.15</v>
      </c>
      <c r="G953" s="9">
        <v>29.9</v>
      </c>
      <c r="H953" s="9">
        <v>18.47</v>
      </c>
      <c r="I953" s="9">
        <v>11.79</v>
      </c>
      <c r="J953" s="7" t="s">
        <v>325</v>
      </c>
    </row>
    <row r="954" spans="1:10" x14ac:dyDescent="0.35">
      <c r="A954" s="7" t="s">
        <v>166</v>
      </c>
      <c r="B954" s="7" t="s">
        <v>167</v>
      </c>
      <c r="C954" s="7" t="s">
        <v>39</v>
      </c>
      <c r="D954" s="9">
        <v>0</v>
      </c>
      <c r="E954" s="9">
        <v>0</v>
      </c>
      <c r="F954" s="9">
        <v>0.15</v>
      </c>
      <c r="G954" s="9">
        <v>1.63</v>
      </c>
      <c r="H954" s="9">
        <v>0</v>
      </c>
      <c r="I954" s="9">
        <v>112.19</v>
      </c>
      <c r="J954" s="7" t="s">
        <v>325</v>
      </c>
    </row>
    <row r="955" spans="1:10" x14ac:dyDescent="0.35">
      <c r="A955" s="7" t="s">
        <v>49</v>
      </c>
      <c r="B955" s="7" t="s">
        <v>176</v>
      </c>
      <c r="C955" s="7" t="s">
        <v>33</v>
      </c>
      <c r="D955" s="9">
        <v>0.4</v>
      </c>
      <c r="E955" s="9">
        <v>0.63</v>
      </c>
      <c r="F955" s="9">
        <v>0.15</v>
      </c>
      <c r="G955" s="9">
        <v>257.81</v>
      </c>
      <c r="H955" s="9">
        <v>607.42999999999995</v>
      </c>
      <c r="I955" s="9">
        <v>121.3</v>
      </c>
      <c r="J955" s="7" t="s">
        <v>325</v>
      </c>
    </row>
    <row r="956" spans="1:10" x14ac:dyDescent="0.35">
      <c r="A956" s="7" t="s">
        <v>94</v>
      </c>
      <c r="B956" s="7" t="s">
        <v>184</v>
      </c>
      <c r="C956" s="7" t="s">
        <v>113</v>
      </c>
      <c r="D956" s="9">
        <v>0.15</v>
      </c>
      <c r="E956" s="9">
        <v>0</v>
      </c>
      <c r="F956" s="9">
        <v>0.15</v>
      </c>
      <c r="G956" s="9">
        <v>500.99</v>
      </c>
      <c r="H956" s="9">
        <v>0</v>
      </c>
      <c r="I956" s="9">
        <v>578.92999999999995</v>
      </c>
      <c r="J956" s="7" t="s">
        <v>325</v>
      </c>
    </row>
    <row r="957" spans="1:10" x14ac:dyDescent="0.35">
      <c r="A957" s="7" t="s">
        <v>94</v>
      </c>
      <c r="B957" s="7" t="s">
        <v>188</v>
      </c>
      <c r="C957" s="7" t="s">
        <v>54</v>
      </c>
      <c r="D957" s="9">
        <v>0.25</v>
      </c>
      <c r="E957" s="9">
        <v>0.27</v>
      </c>
      <c r="F957" s="9">
        <v>0.15</v>
      </c>
      <c r="G957" s="9">
        <v>281.19</v>
      </c>
      <c r="H957" s="9">
        <v>534.84</v>
      </c>
      <c r="I957" s="9">
        <v>267.52</v>
      </c>
      <c r="J957" s="7" t="s">
        <v>325</v>
      </c>
    </row>
    <row r="958" spans="1:10" x14ac:dyDescent="0.35">
      <c r="A958" s="7" t="s">
        <v>66</v>
      </c>
      <c r="B958" s="7" t="s">
        <v>224</v>
      </c>
      <c r="C958" s="7" t="s">
        <v>18</v>
      </c>
      <c r="D958" s="9">
        <v>14.92</v>
      </c>
      <c r="E958" s="9">
        <v>7.78</v>
      </c>
      <c r="F958" s="9">
        <v>0.15</v>
      </c>
      <c r="G958" s="8">
        <v>11488.11</v>
      </c>
      <c r="H958" s="8">
        <v>7220.83</v>
      </c>
      <c r="I958" s="9">
        <v>133.24</v>
      </c>
      <c r="J958" s="7" t="s">
        <v>325</v>
      </c>
    </row>
    <row r="959" spans="1:10" x14ac:dyDescent="0.35">
      <c r="A959" s="7" t="s">
        <v>86</v>
      </c>
      <c r="B959" s="7" t="s">
        <v>106</v>
      </c>
      <c r="C959" s="7" t="s">
        <v>33</v>
      </c>
      <c r="D959" s="9">
        <v>0.62</v>
      </c>
      <c r="E959" s="9">
        <v>0.23</v>
      </c>
      <c r="F959" s="9">
        <v>0.15</v>
      </c>
      <c r="G959" s="9">
        <v>383.11</v>
      </c>
      <c r="H959" s="9">
        <v>161.03</v>
      </c>
      <c r="I959" s="9">
        <v>97.01</v>
      </c>
      <c r="J959" s="7" t="s">
        <v>325</v>
      </c>
    </row>
    <row r="960" spans="1:10" x14ac:dyDescent="0.35">
      <c r="A960" s="7" t="s">
        <v>159</v>
      </c>
      <c r="B960" s="7" t="s">
        <v>186</v>
      </c>
      <c r="C960" s="7" t="s">
        <v>18</v>
      </c>
      <c r="D960" s="9">
        <v>0.91</v>
      </c>
      <c r="E960" s="9">
        <v>0.36</v>
      </c>
      <c r="F960" s="9">
        <v>0.14000000000000001</v>
      </c>
      <c r="G960" s="8">
        <v>1215.57</v>
      </c>
      <c r="H960" s="9">
        <v>489.33</v>
      </c>
      <c r="I960" s="9">
        <v>235.27</v>
      </c>
      <c r="J960" s="7" t="s">
        <v>325</v>
      </c>
    </row>
    <row r="961" spans="1:10" x14ac:dyDescent="0.35">
      <c r="A961" s="7" t="s">
        <v>20</v>
      </c>
      <c r="B961" s="7" t="s">
        <v>56</v>
      </c>
      <c r="C961" s="7" t="s">
        <v>53</v>
      </c>
      <c r="D961" s="9">
        <v>0.17</v>
      </c>
      <c r="E961" s="9">
        <v>0.37</v>
      </c>
      <c r="F961" s="9">
        <v>0.14000000000000001</v>
      </c>
      <c r="G961" s="9">
        <v>59.47</v>
      </c>
      <c r="H961" s="9">
        <v>41.36</v>
      </c>
      <c r="I961" s="9">
        <v>29.59</v>
      </c>
      <c r="J961" s="7" t="s">
        <v>325</v>
      </c>
    </row>
    <row r="962" spans="1:10" x14ac:dyDescent="0.35">
      <c r="A962" s="7" t="s">
        <v>31</v>
      </c>
      <c r="B962" s="7" t="s">
        <v>133</v>
      </c>
      <c r="C962" s="7" t="s">
        <v>116</v>
      </c>
      <c r="D962" s="9">
        <v>0.87</v>
      </c>
      <c r="E962" s="9">
        <v>0</v>
      </c>
      <c r="F962" s="9">
        <v>0.14000000000000001</v>
      </c>
      <c r="G962" s="8">
        <v>4173.83</v>
      </c>
      <c r="H962" s="9">
        <v>0</v>
      </c>
      <c r="I962" s="9">
        <v>910.5</v>
      </c>
      <c r="J962" s="7" t="s">
        <v>325</v>
      </c>
    </row>
    <row r="963" spans="1:10" x14ac:dyDescent="0.35">
      <c r="A963" s="7" t="s">
        <v>40</v>
      </c>
      <c r="B963" s="7" t="s">
        <v>117</v>
      </c>
      <c r="C963" s="7" t="s">
        <v>144</v>
      </c>
      <c r="D963" s="9">
        <v>0.16</v>
      </c>
      <c r="E963" s="9">
        <v>0.16</v>
      </c>
      <c r="F963" s="9">
        <v>0.14000000000000001</v>
      </c>
      <c r="G963" s="9">
        <v>207.74</v>
      </c>
      <c r="H963" s="9">
        <v>256.47000000000003</v>
      </c>
      <c r="I963" s="9">
        <v>264.14999999999998</v>
      </c>
      <c r="J963" s="7" t="s">
        <v>325</v>
      </c>
    </row>
    <row r="964" spans="1:10" x14ac:dyDescent="0.35">
      <c r="A964" s="7" t="s">
        <v>77</v>
      </c>
      <c r="B964" s="7" t="s">
        <v>216</v>
      </c>
      <c r="C964" s="7" t="s">
        <v>45</v>
      </c>
      <c r="D964" s="9">
        <v>0.45</v>
      </c>
      <c r="E964" s="9">
        <v>0.61</v>
      </c>
      <c r="F964" s="9">
        <v>0.14000000000000001</v>
      </c>
      <c r="G964" s="9">
        <v>484.58</v>
      </c>
      <c r="H964" s="9">
        <v>620.32000000000005</v>
      </c>
      <c r="I964" s="9">
        <v>126.35</v>
      </c>
      <c r="J964" s="7" t="s">
        <v>325</v>
      </c>
    </row>
    <row r="965" spans="1:10" x14ac:dyDescent="0.35">
      <c r="A965" s="7" t="s">
        <v>86</v>
      </c>
      <c r="B965" s="7" t="s">
        <v>87</v>
      </c>
      <c r="C965" s="7" t="s">
        <v>59</v>
      </c>
      <c r="D965" s="9">
        <v>0.35</v>
      </c>
      <c r="E965" s="9">
        <v>0.34</v>
      </c>
      <c r="F965" s="9">
        <v>0.14000000000000001</v>
      </c>
      <c r="G965" s="9">
        <v>23.88</v>
      </c>
      <c r="H965" s="9">
        <v>27.16</v>
      </c>
      <c r="I965" s="9">
        <v>12.65</v>
      </c>
      <c r="J965" s="7" t="s">
        <v>325</v>
      </c>
    </row>
    <row r="966" spans="1:10" x14ac:dyDescent="0.35">
      <c r="A966" s="7" t="s">
        <v>31</v>
      </c>
      <c r="B966" s="7" t="s">
        <v>139</v>
      </c>
      <c r="C966" s="7" t="s">
        <v>42</v>
      </c>
      <c r="D966" s="9">
        <v>0.84</v>
      </c>
      <c r="E966" s="9">
        <v>0.33</v>
      </c>
      <c r="F966" s="9">
        <v>0.14000000000000001</v>
      </c>
      <c r="G966" s="8">
        <v>1030.68</v>
      </c>
      <c r="H966" s="9">
        <v>347.38</v>
      </c>
      <c r="I966" s="9">
        <v>108.09</v>
      </c>
      <c r="J966" s="7" t="s">
        <v>325</v>
      </c>
    </row>
    <row r="967" spans="1:10" x14ac:dyDescent="0.35">
      <c r="A967" s="7" t="s">
        <v>40</v>
      </c>
      <c r="B967" s="7" t="s">
        <v>164</v>
      </c>
      <c r="C967" s="7" t="s">
        <v>76</v>
      </c>
      <c r="D967" s="9">
        <v>0.32</v>
      </c>
      <c r="E967" s="9">
        <v>0.45</v>
      </c>
      <c r="F967" s="9">
        <v>0.14000000000000001</v>
      </c>
      <c r="G967" s="9">
        <v>105.29</v>
      </c>
      <c r="H967" s="9">
        <v>242.43</v>
      </c>
      <c r="I967" s="9">
        <v>38.71</v>
      </c>
      <c r="J967" s="7" t="s">
        <v>325</v>
      </c>
    </row>
    <row r="968" spans="1:10" x14ac:dyDescent="0.35">
      <c r="A968" s="7" t="s">
        <v>40</v>
      </c>
      <c r="B968" s="7" t="s">
        <v>211</v>
      </c>
      <c r="C968" s="7" t="s">
        <v>122</v>
      </c>
      <c r="D968" s="9">
        <v>0.22</v>
      </c>
      <c r="E968" s="9">
        <v>0.5</v>
      </c>
      <c r="F968" s="9">
        <v>0.14000000000000001</v>
      </c>
      <c r="G968" s="9">
        <v>97.16</v>
      </c>
      <c r="H968" s="9">
        <v>135.55000000000001</v>
      </c>
      <c r="I968" s="9">
        <v>43.51</v>
      </c>
      <c r="J968" s="7" t="s">
        <v>325</v>
      </c>
    </row>
    <row r="969" spans="1:10" x14ac:dyDescent="0.35">
      <c r="A969" s="7" t="s">
        <v>86</v>
      </c>
      <c r="B969" s="7" t="s">
        <v>87</v>
      </c>
      <c r="C969" s="7" t="s">
        <v>45</v>
      </c>
      <c r="D969" s="9">
        <v>0.43</v>
      </c>
      <c r="E969" s="9">
        <v>0.2</v>
      </c>
      <c r="F969" s="9">
        <v>0.14000000000000001</v>
      </c>
      <c r="G969" s="9">
        <v>126.14</v>
      </c>
      <c r="H969" s="9">
        <v>61.88</v>
      </c>
      <c r="I969" s="9">
        <v>34.090000000000003</v>
      </c>
      <c r="J969" s="7" t="s">
        <v>325</v>
      </c>
    </row>
    <row r="970" spans="1:10" x14ac:dyDescent="0.35">
      <c r="A970" s="7" t="s">
        <v>20</v>
      </c>
      <c r="B970" s="7" t="s">
        <v>134</v>
      </c>
      <c r="C970" s="7" t="s">
        <v>39</v>
      </c>
      <c r="D970" s="9">
        <v>0</v>
      </c>
      <c r="E970" s="9">
        <v>0.16</v>
      </c>
      <c r="F970" s="9">
        <v>0.14000000000000001</v>
      </c>
      <c r="G970" s="9">
        <v>0</v>
      </c>
      <c r="H970" s="9">
        <v>56.63</v>
      </c>
      <c r="I970" s="9">
        <v>68.540000000000006</v>
      </c>
      <c r="J970" s="7" t="s">
        <v>325</v>
      </c>
    </row>
    <row r="971" spans="1:10" x14ac:dyDescent="0.35">
      <c r="A971" s="7" t="s">
        <v>20</v>
      </c>
      <c r="B971" s="7" t="s">
        <v>173</v>
      </c>
      <c r="C971" s="7" t="s">
        <v>53</v>
      </c>
      <c r="D971" s="9">
        <v>0.05</v>
      </c>
      <c r="E971" s="9">
        <v>0.09</v>
      </c>
      <c r="F971" s="9">
        <v>0.14000000000000001</v>
      </c>
      <c r="G971" s="9">
        <v>30.2</v>
      </c>
      <c r="H971" s="9">
        <v>50.48</v>
      </c>
      <c r="I971" s="9">
        <v>61.52</v>
      </c>
      <c r="J971" s="7" t="s">
        <v>325</v>
      </c>
    </row>
    <row r="972" spans="1:10" x14ac:dyDescent="0.35">
      <c r="A972" s="7" t="s">
        <v>159</v>
      </c>
      <c r="B972" s="7" t="s">
        <v>186</v>
      </c>
      <c r="C972" s="7" t="s">
        <v>33</v>
      </c>
      <c r="D972" s="9">
        <v>0.37</v>
      </c>
      <c r="E972" s="9">
        <v>0.27</v>
      </c>
      <c r="F972" s="9">
        <v>0.14000000000000001</v>
      </c>
      <c r="G972" s="9">
        <v>418.56</v>
      </c>
      <c r="H972" s="9">
        <v>322.02999999999997</v>
      </c>
      <c r="I972" s="9">
        <v>181.59</v>
      </c>
      <c r="J972" s="7" t="s">
        <v>325</v>
      </c>
    </row>
    <row r="973" spans="1:10" x14ac:dyDescent="0.35">
      <c r="A973" s="7" t="s">
        <v>57</v>
      </c>
      <c r="B973" s="7" t="s">
        <v>162</v>
      </c>
      <c r="C973" s="7" t="s">
        <v>53</v>
      </c>
      <c r="D973" s="9">
        <v>0.38</v>
      </c>
      <c r="E973" s="9">
        <v>0.24</v>
      </c>
      <c r="F973" s="9">
        <v>0.14000000000000001</v>
      </c>
      <c r="G973" s="9">
        <v>310.31</v>
      </c>
      <c r="H973" s="9">
        <v>201.92</v>
      </c>
      <c r="I973" s="9">
        <v>115.16</v>
      </c>
      <c r="J973" s="7" t="s">
        <v>325</v>
      </c>
    </row>
    <row r="974" spans="1:10" x14ac:dyDescent="0.35">
      <c r="A974" s="7" t="s">
        <v>94</v>
      </c>
      <c r="B974" s="7" t="s">
        <v>112</v>
      </c>
      <c r="C974" s="7" t="s">
        <v>59</v>
      </c>
      <c r="D974" s="9">
        <v>0.18</v>
      </c>
      <c r="E974" s="9">
        <v>0.28000000000000003</v>
      </c>
      <c r="F974" s="9">
        <v>0.14000000000000001</v>
      </c>
      <c r="G974" s="9">
        <v>87.02</v>
      </c>
      <c r="H974" s="9">
        <v>112.11</v>
      </c>
      <c r="I974" s="9">
        <v>52.02</v>
      </c>
      <c r="J974" s="7" t="s">
        <v>325</v>
      </c>
    </row>
    <row r="975" spans="1:10" x14ac:dyDescent="0.35">
      <c r="A975" s="7" t="s">
        <v>25</v>
      </c>
      <c r="B975" s="7" t="s">
        <v>195</v>
      </c>
      <c r="C975" s="7" t="s">
        <v>39</v>
      </c>
      <c r="D975" s="9">
        <v>0</v>
      </c>
      <c r="E975" s="9">
        <v>0.28000000000000003</v>
      </c>
      <c r="F975" s="9">
        <v>0.14000000000000001</v>
      </c>
      <c r="G975" s="9">
        <v>0</v>
      </c>
      <c r="H975" s="9">
        <v>426.65</v>
      </c>
      <c r="I975" s="9">
        <v>219.35</v>
      </c>
      <c r="J975" s="7" t="s">
        <v>325</v>
      </c>
    </row>
    <row r="976" spans="1:10" x14ac:dyDescent="0.35">
      <c r="A976" s="7" t="s">
        <v>20</v>
      </c>
      <c r="B976" s="7" t="s">
        <v>68</v>
      </c>
      <c r="C976" s="7" t="s">
        <v>114</v>
      </c>
      <c r="D976" s="9">
        <v>0.09</v>
      </c>
      <c r="E976" s="9">
        <v>0.26</v>
      </c>
      <c r="F976" s="9">
        <v>0.14000000000000001</v>
      </c>
      <c r="G976" s="9">
        <v>11.48</v>
      </c>
      <c r="H976" s="9">
        <v>4.6900000000000004</v>
      </c>
      <c r="I976" s="9">
        <v>2.09</v>
      </c>
      <c r="J976" s="7" t="s">
        <v>325</v>
      </c>
    </row>
    <row r="977" spans="1:10" x14ac:dyDescent="0.35">
      <c r="A977" s="7" t="s">
        <v>35</v>
      </c>
      <c r="B977" s="7" t="s">
        <v>165</v>
      </c>
      <c r="C977" s="7" t="s">
        <v>59</v>
      </c>
      <c r="D977" s="9">
        <v>0.15</v>
      </c>
      <c r="E977" s="9">
        <v>1.52</v>
      </c>
      <c r="F977" s="9">
        <v>0.14000000000000001</v>
      </c>
      <c r="G977" s="9">
        <v>7.18</v>
      </c>
      <c r="H977" s="9">
        <v>75.72</v>
      </c>
      <c r="I977" s="9">
        <v>7.79</v>
      </c>
      <c r="J977" s="7" t="s">
        <v>325</v>
      </c>
    </row>
    <row r="978" spans="1:10" x14ac:dyDescent="0.35">
      <c r="A978" s="7" t="s">
        <v>57</v>
      </c>
      <c r="B978" s="7" t="s">
        <v>161</v>
      </c>
      <c r="C978" s="7" t="s">
        <v>60</v>
      </c>
      <c r="D978" s="9">
        <v>1.1100000000000001</v>
      </c>
      <c r="E978" s="9">
        <v>0.72</v>
      </c>
      <c r="F978" s="9">
        <v>0.14000000000000001</v>
      </c>
      <c r="G978" s="8">
        <v>1087.0899999999999</v>
      </c>
      <c r="H978" s="9">
        <v>660.6</v>
      </c>
      <c r="I978" s="9">
        <v>98.78</v>
      </c>
      <c r="J978" s="7" t="s">
        <v>325</v>
      </c>
    </row>
    <row r="979" spans="1:10" x14ac:dyDescent="0.35">
      <c r="A979" s="7" t="s">
        <v>77</v>
      </c>
      <c r="B979" s="7" t="s">
        <v>132</v>
      </c>
      <c r="C979" s="7" t="s">
        <v>42</v>
      </c>
      <c r="D979" s="9">
        <v>2</v>
      </c>
      <c r="E979" s="9">
        <v>0.39</v>
      </c>
      <c r="F979" s="9">
        <v>0.14000000000000001</v>
      </c>
      <c r="G979" s="8">
        <v>1729.38</v>
      </c>
      <c r="H979" s="9">
        <v>405.6</v>
      </c>
      <c r="I979" s="9">
        <v>107.56</v>
      </c>
      <c r="J979" s="7" t="s">
        <v>325</v>
      </c>
    </row>
    <row r="980" spans="1:10" x14ac:dyDescent="0.35">
      <c r="A980" s="7" t="s">
        <v>35</v>
      </c>
      <c r="B980" s="7" t="s">
        <v>165</v>
      </c>
      <c r="C980" s="7" t="s">
        <v>42</v>
      </c>
      <c r="D980" s="9">
        <v>0.01</v>
      </c>
      <c r="E980" s="9">
        <v>0.26</v>
      </c>
      <c r="F980" s="9">
        <v>0.14000000000000001</v>
      </c>
      <c r="G980" s="9">
        <v>8.74</v>
      </c>
      <c r="H980" s="9">
        <v>118.66</v>
      </c>
      <c r="I980" s="9">
        <v>58.49</v>
      </c>
      <c r="J980" s="7" t="s">
        <v>325</v>
      </c>
    </row>
    <row r="981" spans="1:10" x14ac:dyDescent="0.35">
      <c r="A981" s="7" t="s">
        <v>16</v>
      </c>
      <c r="B981" s="7" t="s">
        <v>90</v>
      </c>
      <c r="C981" s="7" t="s">
        <v>45</v>
      </c>
      <c r="D981" s="9">
        <v>0.56999999999999995</v>
      </c>
      <c r="E981" s="9">
        <v>0.54</v>
      </c>
      <c r="F981" s="9">
        <v>0.14000000000000001</v>
      </c>
      <c r="G981" s="9">
        <v>100.99</v>
      </c>
      <c r="H981" s="9">
        <v>118.75</v>
      </c>
      <c r="I981" s="9">
        <v>29.23</v>
      </c>
      <c r="J981" s="7" t="s">
        <v>325</v>
      </c>
    </row>
    <row r="982" spans="1:10" ht="26.25" customHeight="1" x14ac:dyDescent="0.35">
      <c r="A982" s="7" t="s">
        <v>31</v>
      </c>
      <c r="B982" s="7" t="s">
        <v>146</v>
      </c>
      <c r="C982" s="7" t="s">
        <v>113</v>
      </c>
      <c r="D982" s="9">
        <v>0</v>
      </c>
      <c r="E982" s="9">
        <v>0</v>
      </c>
      <c r="F982" s="9">
        <v>0.14000000000000001</v>
      </c>
      <c r="G982" s="9">
        <v>0</v>
      </c>
      <c r="H982" s="9">
        <v>0</v>
      </c>
      <c r="I982" s="9">
        <v>477.6</v>
      </c>
      <c r="J982" s="7" t="s">
        <v>325</v>
      </c>
    </row>
    <row r="983" spans="1:10" x14ac:dyDescent="0.35">
      <c r="A983" s="7" t="s">
        <v>57</v>
      </c>
      <c r="B983" s="7" t="s">
        <v>225</v>
      </c>
      <c r="C983" s="7" t="s">
        <v>42</v>
      </c>
      <c r="D983" s="9">
        <v>0.3</v>
      </c>
      <c r="E983" s="9">
        <v>0.76</v>
      </c>
      <c r="F983" s="9">
        <v>0.14000000000000001</v>
      </c>
      <c r="G983" s="9">
        <v>70.599999999999994</v>
      </c>
      <c r="H983" s="9">
        <v>176.44</v>
      </c>
      <c r="I983" s="9">
        <v>32.42</v>
      </c>
      <c r="J983" s="7" t="s">
        <v>325</v>
      </c>
    </row>
    <row r="984" spans="1:10" x14ac:dyDescent="0.35">
      <c r="A984" s="7" t="s">
        <v>94</v>
      </c>
      <c r="B984" s="7" t="s">
        <v>188</v>
      </c>
      <c r="C984" s="7" t="s">
        <v>33</v>
      </c>
      <c r="D984" s="9">
        <v>1.27</v>
      </c>
      <c r="E984" s="9">
        <v>0.56000000000000005</v>
      </c>
      <c r="F984" s="9">
        <v>0.14000000000000001</v>
      </c>
      <c r="G984" s="8">
        <v>1584.89</v>
      </c>
      <c r="H984" s="9">
        <v>781.67</v>
      </c>
      <c r="I984" s="9">
        <v>193.7</v>
      </c>
      <c r="J984" s="7" t="s">
        <v>325</v>
      </c>
    </row>
    <row r="985" spans="1:10" x14ac:dyDescent="0.35">
      <c r="A985" s="7" t="s">
        <v>31</v>
      </c>
      <c r="B985" s="7" t="s">
        <v>171</v>
      </c>
      <c r="C985" s="7" t="s">
        <v>42</v>
      </c>
      <c r="D985" s="9">
        <v>2.68</v>
      </c>
      <c r="E985" s="9">
        <v>3.84</v>
      </c>
      <c r="F985" s="9">
        <v>0.13</v>
      </c>
      <c r="G985" s="8">
        <v>13582.62</v>
      </c>
      <c r="H985" s="8">
        <v>34103.49</v>
      </c>
      <c r="I985" s="9">
        <v>855.03</v>
      </c>
      <c r="J985" s="7" t="s">
        <v>325</v>
      </c>
    </row>
    <row r="986" spans="1:10" x14ac:dyDescent="0.35">
      <c r="A986" s="7" t="s">
        <v>79</v>
      </c>
      <c r="B986" s="7" t="s">
        <v>226</v>
      </c>
      <c r="C986" s="7" t="s">
        <v>102</v>
      </c>
      <c r="D986" s="9">
        <v>0.82</v>
      </c>
      <c r="E986" s="9">
        <v>1.17</v>
      </c>
      <c r="F986" s="9">
        <v>0.13</v>
      </c>
      <c r="G986" s="9">
        <v>904.36</v>
      </c>
      <c r="H986" s="8">
        <v>1190.33</v>
      </c>
      <c r="I986" s="9">
        <v>118.08</v>
      </c>
      <c r="J986" s="7" t="s">
        <v>325</v>
      </c>
    </row>
    <row r="987" spans="1:10" x14ac:dyDescent="0.35">
      <c r="A987" s="7" t="s">
        <v>77</v>
      </c>
      <c r="B987" s="7" t="s">
        <v>149</v>
      </c>
      <c r="C987" s="7" t="s">
        <v>59</v>
      </c>
      <c r="D987" s="9">
        <v>0.24</v>
      </c>
      <c r="E987" s="9">
        <v>0.5</v>
      </c>
      <c r="F987" s="9">
        <v>0.13</v>
      </c>
      <c r="G987" s="9">
        <v>12.38</v>
      </c>
      <c r="H987" s="9">
        <v>17.64</v>
      </c>
      <c r="I987" s="9">
        <v>5.25</v>
      </c>
      <c r="J987" s="7" t="s">
        <v>325</v>
      </c>
    </row>
    <row r="988" spans="1:10" x14ac:dyDescent="0.35">
      <c r="A988" s="7" t="s">
        <v>86</v>
      </c>
      <c r="B988" s="7" t="s">
        <v>87</v>
      </c>
      <c r="C988" s="7" t="s">
        <v>76</v>
      </c>
      <c r="D988" s="9">
        <v>0.73</v>
      </c>
      <c r="E988" s="9">
        <v>0.34</v>
      </c>
      <c r="F988" s="9">
        <v>0.13</v>
      </c>
      <c r="G988" s="9">
        <v>206.18</v>
      </c>
      <c r="H988" s="9">
        <v>133.27000000000001</v>
      </c>
      <c r="I988" s="9">
        <v>46.55</v>
      </c>
      <c r="J988" s="7" t="s">
        <v>325</v>
      </c>
    </row>
    <row r="989" spans="1:10" x14ac:dyDescent="0.35">
      <c r="A989" s="7" t="s">
        <v>49</v>
      </c>
      <c r="B989" s="7" t="s">
        <v>176</v>
      </c>
      <c r="C989" s="7" t="s">
        <v>60</v>
      </c>
      <c r="D989" s="9">
        <v>0</v>
      </c>
      <c r="E989" s="9">
        <v>0.33</v>
      </c>
      <c r="F989" s="9">
        <v>0.13</v>
      </c>
      <c r="G989" s="9">
        <v>0</v>
      </c>
      <c r="H989" s="9">
        <v>168.54</v>
      </c>
      <c r="I989" s="9">
        <v>69.349999999999994</v>
      </c>
      <c r="J989" s="7" t="s">
        <v>325</v>
      </c>
    </row>
    <row r="990" spans="1:10" x14ac:dyDescent="0.35">
      <c r="A990" s="7" t="s">
        <v>16</v>
      </c>
      <c r="B990" s="7" t="s">
        <v>28</v>
      </c>
      <c r="C990" s="7" t="s">
        <v>72</v>
      </c>
      <c r="D990" s="9">
        <v>0.01</v>
      </c>
      <c r="E990" s="9">
        <v>0</v>
      </c>
      <c r="F990" s="9">
        <v>0.13</v>
      </c>
      <c r="G990" s="9">
        <v>1.08</v>
      </c>
      <c r="H990" s="9">
        <v>2.7</v>
      </c>
      <c r="I990" s="9">
        <v>34.86</v>
      </c>
      <c r="J990" s="7" t="s">
        <v>325</v>
      </c>
    </row>
    <row r="991" spans="1:10" x14ac:dyDescent="0.35">
      <c r="A991" s="7" t="s">
        <v>74</v>
      </c>
      <c r="B991" s="7" t="s">
        <v>75</v>
      </c>
      <c r="C991" s="7" t="s">
        <v>72</v>
      </c>
      <c r="D991" s="9">
        <v>0.32</v>
      </c>
      <c r="E991" s="9">
        <v>0.28000000000000003</v>
      </c>
      <c r="F991" s="9">
        <v>0.13</v>
      </c>
      <c r="G991" s="9">
        <v>52.85</v>
      </c>
      <c r="H991" s="9">
        <v>67.239999999999995</v>
      </c>
      <c r="I991" s="9">
        <v>43.34</v>
      </c>
      <c r="J991" s="7" t="s">
        <v>325</v>
      </c>
    </row>
    <row r="992" spans="1:10" x14ac:dyDescent="0.35">
      <c r="A992" s="7" t="s">
        <v>189</v>
      </c>
      <c r="B992" s="7" t="s">
        <v>227</v>
      </c>
      <c r="C992" s="7" t="s">
        <v>39</v>
      </c>
      <c r="D992" s="9">
        <v>0.15</v>
      </c>
      <c r="E992" s="9">
        <v>0.19</v>
      </c>
      <c r="F992" s="9">
        <v>0.13</v>
      </c>
      <c r="G992" s="9">
        <v>20.51</v>
      </c>
      <c r="H992" s="9">
        <v>18.62</v>
      </c>
      <c r="I992" s="9">
        <v>12.61</v>
      </c>
      <c r="J992" s="7" t="s">
        <v>325</v>
      </c>
    </row>
    <row r="993" spans="1:10" x14ac:dyDescent="0.35">
      <c r="A993" s="7" t="s">
        <v>31</v>
      </c>
      <c r="B993" s="7" t="s">
        <v>139</v>
      </c>
      <c r="C993" s="7" t="s">
        <v>53</v>
      </c>
      <c r="D993" s="9">
        <v>0.3</v>
      </c>
      <c r="E993" s="9">
        <v>0.64</v>
      </c>
      <c r="F993" s="9">
        <v>0.13</v>
      </c>
      <c r="G993" s="8">
        <v>1128.53</v>
      </c>
      <c r="H993" s="8">
        <v>1787.56</v>
      </c>
      <c r="I993" s="9">
        <v>364.38</v>
      </c>
      <c r="J993" s="7" t="s">
        <v>325</v>
      </c>
    </row>
    <row r="994" spans="1:10" x14ac:dyDescent="0.35">
      <c r="A994" s="7" t="s">
        <v>20</v>
      </c>
      <c r="B994" s="7" t="s">
        <v>21</v>
      </c>
      <c r="C994" s="7" t="s">
        <v>221</v>
      </c>
      <c r="D994" s="9">
        <v>0.59</v>
      </c>
      <c r="E994" s="9">
        <v>0.36</v>
      </c>
      <c r="F994" s="9">
        <v>0.13</v>
      </c>
      <c r="G994" s="9">
        <v>242.72</v>
      </c>
      <c r="H994" s="9">
        <v>73.94</v>
      </c>
      <c r="I994" s="9">
        <v>28</v>
      </c>
      <c r="J994" s="7" t="s">
        <v>325</v>
      </c>
    </row>
    <row r="995" spans="1:10" x14ac:dyDescent="0.35">
      <c r="A995" s="7" t="s">
        <v>31</v>
      </c>
      <c r="B995" s="7" t="s">
        <v>169</v>
      </c>
      <c r="C995" s="7" t="s">
        <v>54</v>
      </c>
      <c r="D995" s="9">
        <v>0.02</v>
      </c>
      <c r="E995" s="9">
        <v>0.24</v>
      </c>
      <c r="F995" s="9">
        <v>0.13</v>
      </c>
      <c r="G995" s="9">
        <v>33.6</v>
      </c>
      <c r="H995" s="9">
        <v>420</v>
      </c>
      <c r="I995" s="9">
        <v>175.4</v>
      </c>
      <c r="J995" s="7" t="s">
        <v>325</v>
      </c>
    </row>
    <row r="996" spans="1:10" x14ac:dyDescent="0.35">
      <c r="A996" s="7" t="s">
        <v>20</v>
      </c>
      <c r="B996" s="7" t="s">
        <v>21</v>
      </c>
      <c r="C996" s="7" t="s">
        <v>118</v>
      </c>
      <c r="D996" s="9">
        <v>0.38</v>
      </c>
      <c r="E996" s="9">
        <v>0.27</v>
      </c>
      <c r="F996" s="9">
        <v>0.13</v>
      </c>
      <c r="G996" s="9">
        <v>125.03</v>
      </c>
      <c r="H996" s="9">
        <v>85.17</v>
      </c>
      <c r="I996" s="9">
        <v>53.55</v>
      </c>
      <c r="J996" s="7" t="s">
        <v>325</v>
      </c>
    </row>
    <row r="997" spans="1:10" x14ac:dyDescent="0.35">
      <c r="A997" s="7" t="s">
        <v>31</v>
      </c>
      <c r="B997" s="7" t="s">
        <v>139</v>
      </c>
      <c r="C997" s="7" t="s">
        <v>48</v>
      </c>
      <c r="D997" s="9">
        <v>0.21</v>
      </c>
      <c r="E997" s="9">
        <v>0.28000000000000003</v>
      </c>
      <c r="F997" s="9">
        <v>0.13</v>
      </c>
      <c r="G997" s="9">
        <v>176.75</v>
      </c>
      <c r="H997" s="9">
        <v>125.37</v>
      </c>
      <c r="I997" s="9">
        <v>79.08</v>
      </c>
      <c r="J997" s="7" t="s">
        <v>325</v>
      </c>
    </row>
    <row r="998" spans="1:10" x14ac:dyDescent="0.35">
      <c r="A998" s="7" t="s">
        <v>35</v>
      </c>
      <c r="B998" s="7" t="s">
        <v>38</v>
      </c>
      <c r="C998" s="7" t="s">
        <v>69</v>
      </c>
      <c r="D998" s="9">
        <v>0.12</v>
      </c>
      <c r="E998" s="9">
        <v>7.0000000000000007E-2</v>
      </c>
      <c r="F998" s="9">
        <v>0.13</v>
      </c>
      <c r="G998" s="9">
        <v>76.77</v>
      </c>
      <c r="H998" s="9">
        <v>8.11</v>
      </c>
      <c r="I998" s="9">
        <v>79.53</v>
      </c>
      <c r="J998" s="7" t="s">
        <v>325</v>
      </c>
    </row>
    <row r="999" spans="1:10" x14ac:dyDescent="0.35">
      <c r="A999" s="7" t="s">
        <v>40</v>
      </c>
      <c r="B999" s="7" t="s">
        <v>107</v>
      </c>
      <c r="C999" s="7" t="s">
        <v>72</v>
      </c>
      <c r="D999" s="9">
        <v>0.78</v>
      </c>
      <c r="E999" s="9">
        <v>0.18</v>
      </c>
      <c r="F999" s="9">
        <v>0.12</v>
      </c>
      <c r="G999" s="9">
        <v>108.35</v>
      </c>
      <c r="H999" s="9">
        <v>26.14</v>
      </c>
      <c r="I999" s="9">
        <v>14.9</v>
      </c>
      <c r="J999" s="7" t="s">
        <v>325</v>
      </c>
    </row>
    <row r="1000" spans="1:10" x14ac:dyDescent="0.35">
      <c r="A1000" s="7" t="s">
        <v>16</v>
      </c>
      <c r="B1000" s="7" t="s">
        <v>115</v>
      </c>
      <c r="C1000" s="7" t="s">
        <v>48</v>
      </c>
      <c r="D1000" s="9">
        <v>0.06</v>
      </c>
      <c r="E1000" s="9">
        <v>0.35</v>
      </c>
      <c r="F1000" s="9">
        <v>0.12</v>
      </c>
      <c r="G1000" s="9">
        <v>37.06</v>
      </c>
      <c r="H1000" s="9">
        <v>277.89999999999998</v>
      </c>
      <c r="I1000" s="9">
        <v>119.77</v>
      </c>
      <c r="J1000" s="7" t="s">
        <v>325</v>
      </c>
    </row>
    <row r="1001" spans="1:10" x14ac:dyDescent="0.35">
      <c r="A1001" s="7" t="s">
        <v>23</v>
      </c>
      <c r="B1001" s="7" t="s">
        <v>228</v>
      </c>
      <c r="C1001" s="7" t="s">
        <v>60</v>
      </c>
      <c r="D1001" s="9">
        <v>0</v>
      </c>
      <c r="E1001" s="9">
        <v>0</v>
      </c>
      <c r="F1001" s="9">
        <v>0.12</v>
      </c>
      <c r="G1001" s="9">
        <v>0</v>
      </c>
      <c r="H1001" s="9">
        <v>0</v>
      </c>
      <c r="I1001" s="9">
        <v>12.6</v>
      </c>
      <c r="J1001" s="7" t="s">
        <v>325</v>
      </c>
    </row>
    <row r="1002" spans="1:10" x14ac:dyDescent="0.35">
      <c r="A1002" s="7" t="s">
        <v>35</v>
      </c>
      <c r="B1002" s="7" t="s">
        <v>38</v>
      </c>
      <c r="C1002" s="7" t="s">
        <v>142</v>
      </c>
      <c r="D1002" s="9">
        <v>0</v>
      </c>
      <c r="E1002" s="9">
        <v>0</v>
      </c>
      <c r="F1002" s="9">
        <v>0.12</v>
      </c>
      <c r="G1002" s="9">
        <v>0</v>
      </c>
      <c r="H1002" s="9">
        <v>0</v>
      </c>
      <c r="I1002" s="9">
        <v>158.51</v>
      </c>
      <c r="J1002" s="7" t="s">
        <v>325</v>
      </c>
    </row>
    <row r="1003" spans="1:10" x14ac:dyDescent="0.35">
      <c r="A1003" s="7" t="s">
        <v>94</v>
      </c>
      <c r="B1003" s="7" t="s">
        <v>112</v>
      </c>
      <c r="C1003" s="7" t="s">
        <v>65</v>
      </c>
      <c r="D1003" s="9">
        <v>0.34</v>
      </c>
      <c r="E1003" s="9">
        <v>0.37</v>
      </c>
      <c r="F1003" s="9">
        <v>0.12</v>
      </c>
      <c r="G1003" s="9">
        <v>939.14</v>
      </c>
      <c r="H1003" s="8">
        <v>1107</v>
      </c>
      <c r="I1003" s="9">
        <v>410</v>
      </c>
      <c r="J1003" s="7" t="s">
        <v>325</v>
      </c>
    </row>
    <row r="1004" spans="1:10" x14ac:dyDescent="0.35">
      <c r="A1004" s="7" t="s">
        <v>31</v>
      </c>
      <c r="B1004" s="7" t="s">
        <v>152</v>
      </c>
      <c r="C1004" s="7" t="s">
        <v>48</v>
      </c>
      <c r="D1004" s="9">
        <v>0</v>
      </c>
      <c r="E1004" s="9">
        <v>0</v>
      </c>
      <c r="F1004" s="9">
        <v>0.12</v>
      </c>
      <c r="G1004" s="9">
        <v>0</v>
      </c>
      <c r="H1004" s="9">
        <v>0</v>
      </c>
      <c r="I1004" s="9">
        <v>210.03</v>
      </c>
      <c r="J1004" s="7" t="s">
        <v>325</v>
      </c>
    </row>
    <row r="1005" spans="1:10" x14ac:dyDescent="0.35">
      <c r="A1005" s="7" t="s">
        <v>159</v>
      </c>
      <c r="B1005" s="7" t="s">
        <v>160</v>
      </c>
      <c r="C1005" s="7" t="s">
        <v>33</v>
      </c>
      <c r="D1005" s="9">
        <v>0</v>
      </c>
      <c r="E1005" s="9">
        <v>0.28000000000000003</v>
      </c>
      <c r="F1005" s="9">
        <v>0.12</v>
      </c>
      <c r="G1005" s="9">
        <v>4.93</v>
      </c>
      <c r="H1005" s="9">
        <v>313.48</v>
      </c>
      <c r="I1005" s="9">
        <v>154.97</v>
      </c>
      <c r="J1005" s="7" t="s">
        <v>325</v>
      </c>
    </row>
    <row r="1006" spans="1:10" ht="26.25" customHeight="1" x14ac:dyDescent="0.35">
      <c r="A1006" s="7" t="s">
        <v>31</v>
      </c>
      <c r="B1006" s="7" t="s">
        <v>146</v>
      </c>
      <c r="C1006" s="7" t="s">
        <v>118</v>
      </c>
      <c r="D1006" s="9">
        <v>0</v>
      </c>
      <c r="E1006" s="9">
        <v>0.17</v>
      </c>
      <c r="F1006" s="9">
        <v>0.12</v>
      </c>
      <c r="G1006" s="9">
        <v>0</v>
      </c>
      <c r="H1006" s="9">
        <v>85.2</v>
      </c>
      <c r="I1006" s="9">
        <v>60</v>
      </c>
      <c r="J1006" s="7" t="s">
        <v>325</v>
      </c>
    </row>
    <row r="1007" spans="1:10" x14ac:dyDescent="0.35">
      <c r="A1007" s="7" t="s">
        <v>16</v>
      </c>
      <c r="B1007" s="7" t="s">
        <v>89</v>
      </c>
      <c r="C1007" s="7" t="s">
        <v>18</v>
      </c>
      <c r="D1007" s="9">
        <v>2.2400000000000002</v>
      </c>
      <c r="E1007" s="9">
        <v>1.1499999999999999</v>
      </c>
      <c r="F1007" s="9">
        <v>0.12</v>
      </c>
      <c r="G1007" s="8">
        <v>1710.76</v>
      </c>
      <c r="H1007" s="8">
        <v>1140.83</v>
      </c>
      <c r="I1007" s="9">
        <v>90.57</v>
      </c>
      <c r="J1007" s="7" t="s">
        <v>325</v>
      </c>
    </row>
    <row r="1008" spans="1:10" x14ac:dyDescent="0.35">
      <c r="A1008" s="7" t="s">
        <v>40</v>
      </c>
      <c r="B1008" s="7" t="s">
        <v>205</v>
      </c>
      <c r="C1008" s="7" t="s">
        <v>45</v>
      </c>
      <c r="D1008" s="9">
        <v>0</v>
      </c>
      <c r="E1008" s="9">
        <v>1.19</v>
      </c>
      <c r="F1008" s="9">
        <v>0.12</v>
      </c>
      <c r="G1008" s="9">
        <v>0.02</v>
      </c>
      <c r="H1008" s="8">
        <v>1327.49</v>
      </c>
      <c r="I1008" s="9">
        <v>183.19</v>
      </c>
      <c r="J1008" s="7" t="s">
        <v>325</v>
      </c>
    </row>
    <row r="1009" spans="1:10" x14ac:dyDescent="0.35">
      <c r="A1009" s="7" t="s">
        <v>16</v>
      </c>
      <c r="B1009" s="7" t="s">
        <v>90</v>
      </c>
      <c r="C1009" s="7" t="s">
        <v>126</v>
      </c>
      <c r="D1009" s="9">
        <v>0.39</v>
      </c>
      <c r="E1009" s="9">
        <v>0.31</v>
      </c>
      <c r="F1009" s="9">
        <v>0.12</v>
      </c>
      <c r="G1009" s="9">
        <v>208.51</v>
      </c>
      <c r="H1009" s="9">
        <v>271.77999999999997</v>
      </c>
      <c r="I1009" s="9">
        <v>89.91</v>
      </c>
      <c r="J1009" s="7" t="s">
        <v>325</v>
      </c>
    </row>
    <row r="1010" spans="1:10" x14ac:dyDescent="0.35">
      <c r="A1010" s="7" t="s">
        <v>94</v>
      </c>
      <c r="B1010" s="7" t="s">
        <v>112</v>
      </c>
      <c r="C1010" s="7" t="s">
        <v>54</v>
      </c>
      <c r="D1010" s="9">
        <v>0.55000000000000004</v>
      </c>
      <c r="E1010" s="9">
        <v>0.57999999999999996</v>
      </c>
      <c r="F1010" s="9">
        <v>0.12</v>
      </c>
      <c r="G1010" s="9">
        <v>507.37</v>
      </c>
      <c r="H1010" s="9">
        <v>433.23</v>
      </c>
      <c r="I1010" s="9">
        <v>167.61</v>
      </c>
      <c r="J1010" s="7" t="s">
        <v>325</v>
      </c>
    </row>
    <row r="1011" spans="1:10" x14ac:dyDescent="0.35">
      <c r="A1011" s="7" t="s">
        <v>79</v>
      </c>
      <c r="B1011" s="7" t="s">
        <v>91</v>
      </c>
      <c r="C1011" s="7" t="s">
        <v>62</v>
      </c>
      <c r="D1011" s="9">
        <v>0</v>
      </c>
      <c r="E1011" s="9">
        <v>0.15</v>
      </c>
      <c r="F1011" s="9">
        <v>0.12</v>
      </c>
      <c r="G1011" s="9">
        <v>0</v>
      </c>
      <c r="H1011" s="9">
        <v>556.5</v>
      </c>
      <c r="I1011" s="9">
        <v>443.5</v>
      </c>
      <c r="J1011" s="7" t="s">
        <v>325</v>
      </c>
    </row>
    <row r="1012" spans="1:10" x14ac:dyDescent="0.35">
      <c r="A1012" s="7" t="s">
        <v>66</v>
      </c>
      <c r="B1012" s="7" t="s">
        <v>127</v>
      </c>
      <c r="C1012" s="7" t="s">
        <v>54</v>
      </c>
      <c r="D1012" s="9">
        <v>0.16</v>
      </c>
      <c r="E1012" s="9">
        <v>0.28000000000000003</v>
      </c>
      <c r="F1012" s="9">
        <v>0.12</v>
      </c>
      <c r="G1012" s="9">
        <v>68.23</v>
      </c>
      <c r="H1012" s="9">
        <v>128.25</v>
      </c>
      <c r="I1012" s="9">
        <v>47.99</v>
      </c>
      <c r="J1012" s="7" t="s">
        <v>325</v>
      </c>
    </row>
    <row r="1013" spans="1:10" x14ac:dyDescent="0.35">
      <c r="A1013" s="7" t="s">
        <v>20</v>
      </c>
      <c r="B1013" s="7" t="s">
        <v>68</v>
      </c>
      <c r="C1013" s="7" t="s">
        <v>48</v>
      </c>
      <c r="D1013" s="9">
        <v>0.32</v>
      </c>
      <c r="E1013" s="9">
        <v>1.31</v>
      </c>
      <c r="F1013" s="9">
        <v>0.12</v>
      </c>
      <c r="G1013" s="9">
        <v>53.97</v>
      </c>
      <c r="H1013" s="9">
        <v>293.29000000000002</v>
      </c>
      <c r="I1013" s="9">
        <v>34.340000000000003</v>
      </c>
      <c r="J1013" s="7" t="s">
        <v>325</v>
      </c>
    </row>
    <row r="1014" spans="1:10" x14ac:dyDescent="0.35">
      <c r="A1014" s="7" t="s">
        <v>35</v>
      </c>
      <c r="B1014" s="7" t="s">
        <v>37</v>
      </c>
      <c r="C1014" s="7" t="s">
        <v>125</v>
      </c>
      <c r="D1014" s="9">
        <v>0.06</v>
      </c>
      <c r="E1014" s="9">
        <v>2.4500000000000002</v>
      </c>
      <c r="F1014" s="9">
        <v>0.12</v>
      </c>
      <c r="G1014" s="9">
        <v>35.4</v>
      </c>
      <c r="H1014" s="9">
        <v>514</v>
      </c>
      <c r="I1014" s="9">
        <v>54</v>
      </c>
      <c r="J1014" s="7" t="s">
        <v>325</v>
      </c>
    </row>
    <row r="1015" spans="1:10" x14ac:dyDescent="0.35">
      <c r="A1015" s="7" t="s">
        <v>23</v>
      </c>
      <c r="B1015" s="7" t="s">
        <v>124</v>
      </c>
      <c r="C1015" s="7" t="s">
        <v>53</v>
      </c>
      <c r="D1015" s="9">
        <v>0</v>
      </c>
      <c r="E1015" s="9">
        <v>0.54</v>
      </c>
      <c r="F1015" s="9">
        <v>0.12</v>
      </c>
      <c r="G1015" s="9">
        <v>0</v>
      </c>
      <c r="H1015" s="8">
        <v>1893.96</v>
      </c>
      <c r="I1015" s="9">
        <v>440.28</v>
      </c>
      <c r="J1015" s="7" t="s">
        <v>325</v>
      </c>
    </row>
    <row r="1016" spans="1:10" x14ac:dyDescent="0.35">
      <c r="A1016" s="7" t="s">
        <v>23</v>
      </c>
      <c r="B1016" s="7" t="s">
        <v>34</v>
      </c>
      <c r="C1016" s="7" t="s">
        <v>53</v>
      </c>
      <c r="D1016" s="9">
        <v>0.01</v>
      </c>
      <c r="E1016" s="9">
        <v>0.59</v>
      </c>
      <c r="F1016" s="9">
        <v>0.12</v>
      </c>
      <c r="G1016" s="9">
        <v>28.73</v>
      </c>
      <c r="H1016" s="8">
        <v>1210.94</v>
      </c>
      <c r="I1016" s="9">
        <v>268.93</v>
      </c>
      <c r="J1016" s="7" t="s">
        <v>325</v>
      </c>
    </row>
    <row r="1017" spans="1:10" x14ac:dyDescent="0.35">
      <c r="A1017" s="7" t="s">
        <v>31</v>
      </c>
      <c r="B1017" s="7" t="s">
        <v>32</v>
      </c>
      <c r="C1017" s="7" t="s">
        <v>18</v>
      </c>
      <c r="D1017" s="9">
        <v>0.06</v>
      </c>
      <c r="E1017" s="9">
        <v>0.6</v>
      </c>
      <c r="F1017" s="9">
        <v>0.12</v>
      </c>
      <c r="G1017" s="9">
        <v>59.27</v>
      </c>
      <c r="H1017" s="9">
        <v>452.54</v>
      </c>
      <c r="I1017" s="9">
        <v>91.37</v>
      </c>
      <c r="J1017" s="7" t="s">
        <v>325</v>
      </c>
    </row>
    <row r="1018" spans="1:10" x14ac:dyDescent="0.35">
      <c r="A1018" s="7" t="s">
        <v>94</v>
      </c>
      <c r="B1018" s="7" t="s">
        <v>188</v>
      </c>
      <c r="C1018" s="7" t="s">
        <v>53</v>
      </c>
      <c r="D1018" s="9">
        <v>0.34</v>
      </c>
      <c r="E1018" s="9">
        <v>0.4</v>
      </c>
      <c r="F1018" s="9">
        <v>0.12</v>
      </c>
      <c r="G1018" s="9">
        <v>436.75</v>
      </c>
      <c r="H1018" s="9">
        <v>642.07000000000005</v>
      </c>
      <c r="I1018" s="9">
        <v>175.5</v>
      </c>
      <c r="J1018" s="7" t="s">
        <v>325</v>
      </c>
    </row>
    <row r="1019" spans="1:10" x14ac:dyDescent="0.35">
      <c r="A1019" s="7" t="s">
        <v>35</v>
      </c>
      <c r="B1019" s="7" t="s">
        <v>165</v>
      </c>
      <c r="C1019" s="7" t="s">
        <v>53</v>
      </c>
      <c r="D1019" s="9">
        <v>0.01</v>
      </c>
      <c r="E1019" s="9">
        <v>0.45</v>
      </c>
      <c r="F1019" s="9">
        <v>0.12</v>
      </c>
      <c r="G1019" s="9">
        <v>7.05</v>
      </c>
      <c r="H1019" s="9">
        <v>334.15</v>
      </c>
      <c r="I1019" s="9">
        <v>77.67</v>
      </c>
      <c r="J1019" s="7" t="s">
        <v>325</v>
      </c>
    </row>
    <row r="1020" spans="1:10" x14ac:dyDescent="0.35">
      <c r="A1020" s="7" t="s">
        <v>57</v>
      </c>
      <c r="B1020" s="7" t="s">
        <v>175</v>
      </c>
      <c r="C1020" s="7" t="s">
        <v>42</v>
      </c>
      <c r="D1020" s="9">
        <v>0.04</v>
      </c>
      <c r="E1020" s="9">
        <v>0.43</v>
      </c>
      <c r="F1020" s="9">
        <v>0.12</v>
      </c>
      <c r="G1020" s="9">
        <v>12.16</v>
      </c>
      <c r="H1020" s="9">
        <v>122.72</v>
      </c>
      <c r="I1020" s="9">
        <v>33.94</v>
      </c>
      <c r="J1020" s="7" t="s">
        <v>325</v>
      </c>
    </row>
    <row r="1021" spans="1:10" x14ac:dyDescent="0.35">
      <c r="A1021" s="7" t="s">
        <v>94</v>
      </c>
      <c r="B1021" s="7" t="s">
        <v>188</v>
      </c>
      <c r="C1021" s="7" t="s">
        <v>83</v>
      </c>
      <c r="D1021" s="9">
        <v>0.27</v>
      </c>
      <c r="E1021" s="9">
        <v>0.17</v>
      </c>
      <c r="F1021" s="9">
        <v>0.12</v>
      </c>
      <c r="G1021" s="9">
        <v>345.16</v>
      </c>
      <c r="H1021" s="9">
        <v>318.77</v>
      </c>
      <c r="I1021" s="9">
        <v>239.8</v>
      </c>
      <c r="J1021" s="7" t="s">
        <v>325</v>
      </c>
    </row>
    <row r="1022" spans="1:10" x14ac:dyDescent="0.35">
      <c r="A1022" s="7" t="s">
        <v>159</v>
      </c>
      <c r="B1022" s="7" t="s">
        <v>160</v>
      </c>
      <c r="C1022" s="7" t="s">
        <v>45</v>
      </c>
      <c r="D1022" s="9">
        <v>0.04</v>
      </c>
      <c r="E1022" s="9">
        <v>0.35</v>
      </c>
      <c r="F1022" s="9">
        <v>0.11</v>
      </c>
      <c r="G1022" s="9">
        <v>49.88</v>
      </c>
      <c r="H1022" s="9">
        <v>498.06</v>
      </c>
      <c r="I1022" s="9">
        <v>190.1</v>
      </c>
      <c r="J1022" s="7" t="s">
        <v>325</v>
      </c>
    </row>
    <row r="1023" spans="1:10" x14ac:dyDescent="0.35">
      <c r="A1023" s="7" t="s">
        <v>31</v>
      </c>
      <c r="B1023" s="7" t="s">
        <v>215</v>
      </c>
      <c r="C1023" s="7" t="s">
        <v>62</v>
      </c>
      <c r="D1023" s="9">
        <v>0.47</v>
      </c>
      <c r="E1023" s="9">
        <v>0.24</v>
      </c>
      <c r="F1023" s="9">
        <v>0.11</v>
      </c>
      <c r="G1023" s="8">
        <v>1368.84</v>
      </c>
      <c r="H1023" s="9">
        <v>926.13</v>
      </c>
      <c r="I1023" s="9">
        <v>451.86</v>
      </c>
      <c r="J1023" s="7" t="s">
        <v>325</v>
      </c>
    </row>
    <row r="1024" spans="1:10" ht="26.25" customHeight="1" x14ac:dyDescent="0.35">
      <c r="A1024" s="7" t="s">
        <v>79</v>
      </c>
      <c r="B1024" s="7" t="s">
        <v>210</v>
      </c>
      <c r="C1024" s="7" t="s">
        <v>54</v>
      </c>
      <c r="D1024" s="9">
        <v>0</v>
      </c>
      <c r="E1024" s="9">
        <v>2.92</v>
      </c>
      <c r="F1024" s="9">
        <v>0.11</v>
      </c>
      <c r="G1024" s="9">
        <v>0</v>
      </c>
      <c r="H1024" s="8">
        <v>2940.6</v>
      </c>
      <c r="I1024" s="9">
        <v>69.64</v>
      </c>
      <c r="J1024" s="7" t="s">
        <v>325</v>
      </c>
    </row>
    <row r="1025" spans="1:10" x14ac:dyDescent="0.35">
      <c r="A1025" s="7" t="s">
        <v>20</v>
      </c>
      <c r="B1025" s="7" t="s">
        <v>145</v>
      </c>
      <c r="C1025" s="7" t="s">
        <v>76</v>
      </c>
      <c r="D1025" s="9">
        <v>0</v>
      </c>
      <c r="E1025" s="9">
        <v>0.22</v>
      </c>
      <c r="F1025" s="9">
        <v>0.11</v>
      </c>
      <c r="G1025" s="9">
        <v>0</v>
      </c>
      <c r="H1025" s="9">
        <v>169.84</v>
      </c>
      <c r="I1025" s="9">
        <v>100.63</v>
      </c>
      <c r="J1025" s="7" t="s">
        <v>325</v>
      </c>
    </row>
    <row r="1026" spans="1:10" x14ac:dyDescent="0.35">
      <c r="A1026" s="7" t="s">
        <v>189</v>
      </c>
      <c r="B1026" s="7" t="s">
        <v>193</v>
      </c>
      <c r="C1026" s="7" t="s">
        <v>72</v>
      </c>
      <c r="D1026" s="9">
        <v>0</v>
      </c>
      <c r="E1026" s="9">
        <v>0.05</v>
      </c>
      <c r="F1026" s="9">
        <v>0.11</v>
      </c>
      <c r="G1026" s="9">
        <v>0.05</v>
      </c>
      <c r="H1026" s="9">
        <v>7.54</v>
      </c>
      <c r="I1026" s="9">
        <v>14.71</v>
      </c>
      <c r="J1026" s="7" t="s">
        <v>325</v>
      </c>
    </row>
    <row r="1027" spans="1:10" x14ac:dyDescent="0.35">
      <c r="A1027" s="7" t="s">
        <v>166</v>
      </c>
      <c r="B1027" s="7" t="s">
        <v>200</v>
      </c>
      <c r="C1027" s="7" t="s">
        <v>76</v>
      </c>
      <c r="D1027" s="9">
        <v>0</v>
      </c>
      <c r="E1027" s="9">
        <v>0.06</v>
      </c>
      <c r="F1027" s="9">
        <v>0.11</v>
      </c>
      <c r="G1027" s="9">
        <v>0</v>
      </c>
      <c r="H1027" s="9">
        <v>22.52</v>
      </c>
      <c r="I1027" s="9">
        <v>50.15</v>
      </c>
      <c r="J1027" s="7" t="s">
        <v>325</v>
      </c>
    </row>
    <row r="1028" spans="1:10" x14ac:dyDescent="0.35">
      <c r="A1028" s="7" t="s">
        <v>35</v>
      </c>
      <c r="B1028" s="7" t="s">
        <v>165</v>
      </c>
      <c r="C1028" s="7" t="s">
        <v>65</v>
      </c>
      <c r="D1028" s="9">
        <v>0.02</v>
      </c>
      <c r="E1028" s="9">
        <v>0.17</v>
      </c>
      <c r="F1028" s="9">
        <v>0.11</v>
      </c>
      <c r="G1028" s="9">
        <v>12.95</v>
      </c>
      <c r="H1028" s="9">
        <v>190.62</v>
      </c>
      <c r="I1028" s="9">
        <v>165.48</v>
      </c>
      <c r="J1028" s="7" t="s">
        <v>325</v>
      </c>
    </row>
    <row r="1029" spans="1:10" x14ac:dyDescent="0.35">
      <c r="A1029" s="7" t="s">
        <v>189</v>
      </c>
      <c r="B1029" s="7" t="s">
        <v>227</v>
      </c>
      <c r="C1029" s="7" t="s">
        <v>33</v>
      </c>
      <c r="D1029" s="9">
        <v>0.16</v>
      </c>
      <c r="E1029" s="9">
        <v>0.15</v>
      </c>
      <c r="F1029" s="9">
        <v>0.11</v>
      </c>
      <c r="G1029" s="9">
        <v>192.38</v>
      </c>
      <c r="H1029" s="9">
        <v>200.82</v>
      </c>
      <c r="I1029" s="9">
        <v>193.02</v>
      </c>
      <c r="J1029" s="7" t="s">
        <v>325</v>
      </c>
    </row>
    <row r="1030" spans="1:10" x14ac:dyDescent="0.35">
      <c r="A1030" s="7" t="s">
        <v>23</v>
      </c>
      <c r="B1030" s="7" t="s">
        <v>124</v>
      </c>
      <c r="C1030" s="7" t="s">
        <v>83</v>
      </c>
      <c r="D1030" s="9">
        <v>0</v>
      </c>
      <c r="E1030" s="9">
        <v>0.45</v>
      </c>
      <c r="F1030" s="9">
        <v>0.11</v>
      </c>
      <c r="G1030" s="9">
        <v>0</v>
      </c>
      <c r="H1030" s="9">
        <v>829.44</v>
      </c>
      <c r="I1030" s="9">
        <v>256.67</v>
      </c>
      <c r="J1030" s="7" t="s">
        <v>325</v>
      </c>
    </row>
    <row r="1031" spans="1:10" x14ac:dyDescent="0.35">
      <c r="A1031" s="7" t="s">
        <v>66</v>
      </c>
      <c r="B1031" s="7" t="s">
        <v>219</v>
      </c>
      <c r="C1031" s="7" t="s">
        <v>42</v>
      </c>
      <c r="D1031" s="9">
        <v>1.04</v>
      </c>
      <c r="E1031" s="9">
        <v>0.56999999999999995</v>
      </c>
      <c r="F1031" s="9">
        <v>0.11</v>
      </c>
      <c r="G1031" s="9">
        <v>8.07</v>
      </c>
      <c r="H1031" s="9">
        <v>5.82</v>
      </c>
      <c r="I1031" s="9">
        <v>1.1399999999999999</v>
      </c>
      <c r="J1031" s="7" t="s">
        <v>325</v>
      </c>
    </row>
    <row r="1032" spans="1:10" x14ac:dyDescent="0.35">
      <c r="A1032" s="7" t="s">
        <v>16</v>
      </c>
      <c r="B1032" s="7" t="s">
        <v>109</v>
      </c>
      <c r="C1032" s="7" t="s">
        <v>144</v>
      </c>
      <c r="D1032" s="9">
        <v>0.48</v>
      </c>
      <c r="E1032" s="9">
        <v>1.77</v>
      </c>
      <c r="F1032" s="9">
        <v>0.11</v>
      </c>
      <c r="G1032" s="8">
        <v>1034.67</v>
      </c>
      <c r="H1032" s="8">
        <v>4864.76</v>
      </c>
      <c r="I1032" s="9">
        <v>257.36</v>
      </c>
      <c r="J1032" s="7" t="s">
        <v>325</v>
      </c>
    </row>
    <row r="1033" spans="1:10" x14ac:dyDescent="0.35">
      <c r="A1033" s="7" t="s">
        <v>20</v>
      </c>
      <c r="B1033" s="7" t="s">
        <v>222</v>
      </c>
      <c r="C1033" s="7" t="s">
        <v>102</v>
      </c>
      <c r="D1033" s="9">
        <v>0.01</v>
      </c>
      <c r="E1033" s="9">
        <v>7.0000000000000007E-2</v>
      </c>
      <c r="F1033" s="9">
        <v>0.11</v>
      </c>
      <c r="G1033" s="9">
        <v>5.99</v>
      </c>
      <c r="H1033" s="9">
        <v>28.72</v>
      </c>
      <c r="I1033" s="9">
        <v>38.76</v>
      </c>
      <c r="J1033" s="7" t="s">
        <v>325</v>
      </c>
    </row>
    <row r="1034" spans="1:10" x14ac:dyDescent="0.35">
      <c r="A1034" s="7" t="s">
        <v>16</v>
      </c>
      <c r="B1034" s="7" t="s">
        <v>153</v>
      </c>
      <c r="C1034" s="7" t="s">
        <v>53</v>
      </c>
      <c r="D1034" s="9">
        <v>0</v>
      </c>
      <c r="E1034" s="9">
        <v>0</v>
      </c>
      <c r="F1034" s="9">
        <v>0.11</v>
      </c>
      <c r="G1034" s="9">
        <v>0</v>
      </c>
      <c r="H1034" s="9">
        <v>0</v>
      </c>
      <c r="I1034" s="9">
        <v>19.5</v>
      </c>
      <c r="J1034" s="7" t="s">
        <v>325</v>
      </c>
    </row>
    <row r="1035" spans="1:10" x14ac:dyDescent="0.35">
      <c r="A1035" s="7" t="s">
        <v>86</v>
      </c>
      <c r="B1035" s="7" t="s">
        <v>87</v>
      </c>
      <c r="C1035" s="7" t="s">
        <v>60</v>
      </c>
      <c r="D1035" s="9">
        <v>0.13</v>
      </c>
      <c r="E1035" s="9">
        <v>0.08</v>
      </c>
      <c r="F1035" s="9">
        <v>0.11</v>
      </c>
      <c r="G1035" s="9">
        <v>8.7100000000000009</v>
      </c>
      <c r="H1035" s="9">
        <v>3.08</v>
      </c>
      <c r="I1035" s="9">
        <v>1.87</v>
      </c>
      <c r="J1035" s="7" t="s">
        <v>325</v>
      </c>
    </row>
    <row r="1036" spans="1:10" x14ac:dyDescent="0.35">
      <c r="A1036" s="7" t="s">
        <v>23</v>
      </c>
      <c r="B1036" s="7" t="s">
        <v>191</v>
      </c>
      <c r="C1036" s="7" t="s">
        <v>18</v>
      </c>
      <c r="D1036" s="9">
        <v>0</v>
      </c>
      <c r="E1036" s="9">
        <v>0.5</v>
      </c>
      <c r="F1036" s="9">
        <v>0.11</v>
      </c>
      <c r="G1036" s="9">
        <v>0</v>
      </c>
      <c r="H1036" s="9">
        <v>613.5</v>
      </c>
      <c r="I1036" s="9">
        <v>100</v>
      </c>
      <c r="J1036" s="7" t="s">
        <v>325</v>
      </c>
    </row>
    <row r="1037" spans="1:10" x14ac:dyDescent="0.35">
      <c r="A1037" s="7" t="s">
        <v>77</v>
      </c>
      <c r="B1037" s="7" t="s">
        <v>78</v>
      </c>
      <c r="C1037" s="7" t="s">
        <v>144</v>
      </c>
      <c r="D1037" s="9">
        <v>0.38</v>
      </c>
      <c r="E1037" s="9">
        <v>0.41</v>
      </c>
      <c r="F1037" s="9">
        <v>0.11</v>
      </c>
      <c r="G1037" s="9">
        <v>414.29</v>
      </c>
      <c r="H1037" s="9">
        <v>385.01</v>
      </c>
      <c r="I1037" s="9">
        <v>133.72999999999999</v>
      </c>
      <c r="J1037" s="7" t="s">
        <v>325</v>
      </c>
    </row>
    <row r="1038" spans="1:10" x14ac:dyDescent="0.35">
      <c r="A1038" s="7" t="s">
        <v>40</v>
      </c>
      <c r="B1038" s="7" t="s">
        <v>229</v>
      </c>
      <c r="C1038" s="7" t="s">
        <v>39</v>
      </c>
      <c r="D1038" s="9">
        <v>7.0000000000000007E-2</v>
      </c>
      <c r="E1038" s="9">
        <v>0.96</v>
      </c>
      <c r="F1038" s="9">
        <v>0.11</v>
      </c>
      <c r="G1038" s="9">
        <v>33.799999999999997</v>
      </c>
      <c r="H1038" s="9">
        <v>315.58</v>
      </c>
      <c r="I1038" s="9">
        <v>7.45</v>
      </c>
      <c r="J1038" s="7" t="s">
        <v>325</v>
      </c>
    </row>
    <row r="1039" spans="1:10" x14ac:dyDescent="0.35">
      <c r="A1039" s="7" t="s">
        <v>20</v>
      </c>
      <c r="B1039" s="7" t="s">
        <v>145</v>
      </c>
      <c r="C1039" s="7" t="s">
        <v>54</v>
      </c>
      <c r="D1039" s="9">
        <v>0</v>
      </c>
      <c r="E1039" s="9">
        <v>2.4500000000000002</v>
      </c>
      <c r="F1039" s="9">
        <v>0.11</v>
      </c>
      <c r="G1039" s="9">
        <v>0</v>
      </c>
      <c r="H1039" s="8">
        <v>2404.9699999999998</v>
      </c>
      <c r="I1039" s="9">
        <v>54.59</v>
      </c>
      <c r="J1039" s="7" t="s">
        <v>325</v>
      </c>
    </row>
    <row r="1040" spans="1:10" x14ac:dyDescent="0.35">
      <c r="A1040" s="7" t="s">
        <v>16</v>
      </c>
      <c r="B1040" s="7" t="s">
        <v>28</v>
      </c>
      <c r="C1040" s="7" t="s">
        <v>144</v>
      </c>
      <c r="D1040" s="9">
        <v>0.25</v>
      </c>
      <c r="E1040" s="9">
        <v>0.7</v>
      </c>
      <c r="F1040" s="9">
        <v>0.1</v>
      </c>
      <c r="G1040" s="9">
        <v>746.05</v>
      </c>
      <c r="H1040" s="8">
        <v>2073.6999999999998</v>
      </c>
      <c r="I1040" s="9">
        <v>311.69</v>
      </c>
      <c r="J1040" s="7" t="s">
        <v>325</v>
      </c>
    </row>
    <row r="1041" spans="1:10" x14ac:dyDescent="0.35">
      <c r="A1041" s="7" t="s">
        <v>23</v>
      </c>
      <c r="B1041" s="7" t="s">
        <v>230</v>
      </c>
      <c r="C1041" s="7" t="s">
        <v>102</v>
      </c>
      <c r="D1041" s="9">
        <v>0.42</v>
      </c>
      <c r="E1041" s="9">
        <v>0.38</v>
      </c>
      <c r="F1041" s="9">
        <v>0.1</v>
      </c>
      <c r="G1041" s="9">
        <v>654.05999999999995</v>
      </c>
      <c r="H1041" s="9">
        <v>938.38</v>
      </c>
      <c r="I1041" s="9">
        <v>242.15</v>
      </c>
      <c r="J1041" s="7" t="s">
        <v>325</v>
      </c>
    </row>
    <row r="1042" spans="1:10" x14ac:dyDescent="0.35">
      <c r="A1042" s="7" t="s">
        <v>20</v>
      </c>
      <c r="B1042" s="7" t="s">
        <v>154</v>
      </c>
      <c r="C1042" s="7" t="s">
        <v>22</v>
      </c>
      <c r="D1042" s="9">
        <v>0</v>
      </c>
      <c r="E1042" s="9">
        <v>0.12</v>
      </c>
      <c r="F1042" s="9">
        <v>0.1</v>
      </c>
      <c r="G1042" s="9">
        <v>0</v>
      </c>
      <c r="H1042" s="9">
        <v>28.5</v>
      </c>
      <c r="I1042" s="9">
        <v>28.49</v>
      </c>
      <c r="J1042" s="7" t="s">
        <v>325</v>
      </c>
    </row>
    <row r="1043" spans="1:10" x14ac:dyDescent="0.35">
      <c r="A1043" s="7" t="s">
        <v>16</v>
      </c>
      <c r="B1043" s="7" t="s">
        <v>17</v>
      </c>
      <c r="C1043" s="7" t="s">
        <v>179</v>
      </c>
      <c r="D1043" s="9">
        <v>0.18</v>
      </c>
      <c r="E1043" s="9">
        <v>0.67</v>
      </c>
      <c r="F1043" s="9">
        <v>0.1</v>
      </c>
      <c r="G1043" s="9">
        <v>24.66</v>
      </c>
      <c r="H1043" s="9">
        <v>317.88</v>
      </c>
      <c r="I1043" s="9">
        <v>7.46</v>
      </c>
      <c r="J1043" s="7" t="s">
        <v>325</v>
      </c>
    </row>
    <row r="1044" spans="1:10" x14ac:dyDescent="0.35">
      <c r="A1044" s="7" t="s">
        <v>16</v>
      </c>
      <c r="B1044" s="7" t="s">
        <v>28</v>
      </c>
      <c r="C1044" s="7" t="s">
        <v>102</v>
      </c>
      <c r="D1044" s="9">
        <v>2.71</v>
      </c>
      <c r="E1044" s="9">
        <v>3.34</v>
      </c>
      <c r="F1044" s="9">
        <v>0.1</v>
      </c>
      <c r="G1044" s="8">
        <v>8415.9</v>
      </c>
      <c r="H1044" s="8">
        <v>11833</v>
      </c>
      <c r="I1044" s="9">
        <v>493</v>
      </c>
      <c r="J1044" s="7" t="s">
        <v>325</v>
      </c>
    </row>
    <row r="1045" spans="1:10" x14ac:dyDescent="0.35">
      <c r="A1045" s="7" t="s">
        <v>23</v>
      </c>
      <c r="B1045" s="7" t="s">
        <v>44</v>
      </c>
      <c r="C1045" s="7" t="s">
        <v>54</v>
      </c>
      <c r="D1045" s="9">
        <v>0.77</v>
      </c>
      <c r="E1045" s="9">
        <v>0.76</v>
      </c>
      <c r="F1045" s="9">
        <v>0.1</v>
      </c>
      <c r="G1045" s="9">
        <v>251.07</v>
      </c>
      <c r="H1045" s="9">
        <v>186.84</v>
      </c>
      <c r="I1045" s="9">
        <v>23.98</v>
      </c>
      <c r="J1045" s="7" t="s">
        <v>325</v>
      </c>
    </row>
    <row r="1046" spans="1:10" x14ac:dyDescent="0.35">
      <c r="A1046" s="7" t="s">
        <v>23</v>
      </c>
      <c r="B1046" s="7" t="s">
        <v>123</v>
      </c>
      <c r="C1046" s="7" t="s">
        <v>84</v>
      </c>
      <c r="D1046" s="9">
        <v>0</v>
      </c>
      <c r="E1046" s="9">
        <v>0.01</v>
      </c>
      <c r="F1046" s="9">
        <v>0.1</v>
      </c>
      <c r="G1046" s="9">
        <v>3.15</v>
      </c>
      <c r="H1046" s="9">
        <v>2.1800000000000002</v>
      </c>
      <c r="I1046" s="9">
        <v>177.5</v>
      </c>
      <c r="J1046" s="7" t="s">
        <v>325</v>
      </c>
    </row>
    <row r="1047" spans="1:10" x14ac:dyDescent="0.35">
      <c r="A1047" s="7" t="s">
        <v>20</v>
      </c>
      <c r="B1047" s="7" t="s">
        <v>119</v>
      </c>
      <c r="C1047" s="7" t="s">
        <v>59</v>
      </c>
      <c r="D1047" s="9">
        <v>0</v>
      </c>
      <c r="E1047" s="9">
        <v>0</v>
      </c>
      <c r="F1047" s="9">
        <v>0.1</v>
      </c>
      <c r="G1047" s="9">
        <v>0</v>
      </c>
      <c r="H1047" s="9">
        <v>0</v>
      </c>
      <c r="I1047" s="9">
        <v>46.89</v>
      </c>
      <c r="J1047" s="7" t="s">
        <v>325</v>
      </c>
    </row>
    <row r="1048" spans="1:10" x14ac:dyDescent="0.35">
      <c r="A1048" s="7" t="s">
        <v>66</v>
      </c>
      <c r="B1048" s="7" t="s">
        <v>108</v>
      </c>
      <c r="C1048" s="7" t="s">
        <v>72</v>
      </c>
      <c r="D1048" s="9">
        <v>0.22</v>
      </c>
      <c r="E1048" s="9">
        <v>0.13</v>
      </c>
      <c r="F1048" s="9">
        <v>0.1</v>
      </c>
      <c r="G1048" s="9">
        <v>30.7</v>
      </c>
      <c r="H1048" s="9">
        <v>16.760000000000002</v>
      </c>
      <c r="I1048" s="9">
        <v>16.46</v>
      </c>
      <c r="J1048" s="7" t="s">
        <v>325</v>
      </c>
    </row>
    <row r="1049" spans="1:10" x14ac:dyDescent="0.35">
      <c r="A1049" s="7" t="s">
        <v>231</v>
      </c>
      <c r="B1049" s="7" t="s">
        <v>232</v>
      </c>
      <c r="C1049" s="7" t="s">
        <v>62</v>
      </c>
      <c r="D1049" s="9">
        <v>0.21</v>
      </c>
      <c r="E1049" s="9">
        <v>0.21</v>
      </c>
      <c r="F1049" s="9">
        <v>0.1</v>
      </c>
      <c r="G1049" s="9">
        <v>740.1</v>
      </c>
      <c r="H1049" s="9">
        <v>785.95</v>
      </c>
      <c r="I1049" s="9">
        <v>399.7</v>
      </c>
      <c r="J1049" s="7" t="s">
        <v>325</v>
      </c>
    </row>
    <row r="1050" spans="1:10" x14ac:dyDescent="0.35">
      <c r="A1050" s="7" t="s">
        <v>49</v>
      </c>
      <c r="B1050" s="7" t="s">
        <v>233</v>
      </c>
      <c r="C1050" s="7" t="s">
        <v>42</v>
      </c>
      <c r="D1050" s="9">
        <v>2.19</v>
      </c>
      <c r="E1050" s="9">
        <v>0.1</v>
      </c>
      <c r="F1050" s="9">
        <v>0.1</v>
      </c>
      <c r="G1050" s="8">
        <v>1036.49</v>
      </c>
      <c r="H1050" s="9">
        <v>46.15</v>
      </c>
      <c r="I1050" s="9">
        <v>54.9</v>
      </c>
      <c r="J1050" s="7" t="s">
        <v>325</v>
      </c>
    </row>
    <row r="1051" spans="1:10" x14ac:dyDescent="0.35">
      <c r="A1051" s="7" t="s">
        <v>20</v>
      </c>
      <c r="B1051" s="7" t="s">
        <v>145</v>
      </c>
      <c r="C1051" s="7" t="s">
        <v>39</v>
      </c>
      <c r="D1051" s="9">
        <v>0</v>
      </c>
      <c r="E1051" s="9">
        <v>1.95</v>
      </c>
      <c r="F1051" s="9">
        <v>0.1</v>
      </c>
      <c r="G1051" s="9">
        <v>0</v>
      </c>
      <c r="H1051" s="9">
        <v>569.13</v>
      </c>
      <c r="I1051" s="9">
        <v>34.86</v>
      </c>
      <c r="J1051" s="7" t="s">
        <v>325</v>
      </c>
    </row>
    <row r="1052" spans="1:10" x14ac:dyDescent="0.35">
      <c r="A1052" s="7" t="s">
        <v>31</v>
      </c>
      <c r="B1052" s="7" t="s">
        <v>139</v>
      </c>
      <c r="C1052" s="7" t="s">
        <v>76</v>
      </c>
      <c r="D1052" s="9">
        <v>0.31</v>
      </c>
      <c r="E1052" s="9">
        <v>0.31</v>
      </c>
      <c r="F1052" s="9">
        <v>0.1</v>
      </c>
      <c r="G1052" s="9">
        <v>773.28</v>
      </c>
      <c r="H1052" s="9">
        <v>588.07000000000005</v>
      </c>
      <c r="I1052" s="9">
        <v>232.21</v>
      </c>
      <c r="J1052" s="7" t="s">
        <v>325</v>
      </c>
    </row>
    <row r="1053" spans="1:10" x14ac:dyDescent="0.35">
      <c r="A1053" s="7" t="s">
        <v>23</v>
      </c>
      <c r="B1053" s="7" t="s">
        <v>138</v>
      </c>
      <c r="C1053" s="7" t="s">
        <v>27</v>
      </c>
      <c r="D1053" s="9">
        <v>0</v>
      </c>
      <c r="E1053" s="9">
        <v>0.61</v>
      </c>
      <c r="F1053" s="9">
        <v>0.1</v>
      </c>
      <c r="G1053" s="9">
        <v>0</v>
      </c>
      <c r="H1053" s="8">
        <v>1196</v>
      </c>
      <c r="I1053" s="9">
        <v>174.02</v>
      </c>
      <c r="J1053" s="7" t="s">
        <v>325</v>
      </c>
    </row>
    <row r="1054" spans="1:10" x14ac:dyDescent="0.35">
      <c r="A1054" s="7" t="s">
        <v>86</v>
      </c>
      <c r="B1054" s="7" t="s">
        <v>207</v>
      </c>
      <c r="C1054" s="7" t="s">
        <v>48</v>
      </c>
      <c r="D1054" s="9">
        <v>0.65</v>
      </c>
      <c r="E1054" s="9">
        <v>1.1599999999999999</v>
      </c>
      <c r="F1054" s="9">
        <v>0.1</v>
      </c>
      <c r="G1054" s="9">
        <v>112.55</v>
      </c>
      <c r="H1054" s="9">
        <v>322.45</v>
      </c>
      <c r="I1054" s="9">
        <v>38.24</v>
      </c>
      <c r="J1054" s="7" t="s">
        <v>325</v>
      </c>
    </row>
    <row r="1055" spans="1:10" x14ac:dyDescent="0.35">
      <c r="A1055" s="7" t="s">
        <v>16</v>
      </c>
      <c r="B1055" s="7" t="s">
        <v>17</v>
      </c>
      <c r="C1055" s="7" t="s">
        <v>142</v>
      </c>
      <c r="D1055" s="9">
        <v>0</v>
      </c>
      <c r="E1055" s="9">
        <v>0</v>
      </c>
      <c r="F1055" s="9">
        <v>0.1</v>
      </c>
      <c r="G1055" s="9">
        <v>0</v>
      </c>
      <c r="H1055" s="9">
        <v>0</v>
      </c>
      <c r="I1055" s="9">
        <v>115.12</v>
      </c>
      <c r="J1055" s="7" t="s">
        <v>325</v>
      </c>
    </row>
    <row r="1056" spans="1:10" x14ac:dyDescent="0.35">
      <c r="A1056" s="7" t="s">
        <v>23</v>
      </c>
      <c r="B1056" s="7" t="s">
        <v>44</v>
      </c>
      <c r="C1056" s="7" t="s">
        <v>59</v>
      </c>
      <c r="D1056" s="9">
        <v>0.2</v>
      </c>
      <c r="E1056" s="9">
        <v>0.83</v>
      </c>
      <c r="F1056" s="9">
        <v>0.1</v>
      </c>
      <c r="G1056" s="9">
        <v>34.75</v>
      </c>
      <c r="H1056" s="9">
        <v>264.10000000000002</v>
      </c>
      <c r="I1056" s="9">
        <v>42.72</v>
      </c>
      <c r="J1056" s="7" t="s">
        <v>325</v>
      </c>
    </row>
    <row r="1057" spans="1:10" x14ac:dyDescent="0.35">
      <c r="A1057" s="7" t="s">
        <v>31</v>
      </c>
      <c r="B1057" s="7" t="s">
        <v>131</v>
      </c>
      <c r="C1057" s="7" t="s">
        <v>83</v>
      </c>
      <c r="D1057" s="9">
        <v>0.46</v>
      </c>
      <c r="E1057" s="9">
        <v>0.41</v>
      </c>
      <c r="F1057" s="9">
        <v>0.1</v>
      </c>
      <c r="G1057" s="9">
        <v>279.94</v>
      </c>
      <c r="H1057" s="9">
        <v>298.64</v>
      </c>
      <c r="I1057" s="9">
        <v>91.86</v>
      </c>
      <c r="J1057" s="7" t="s">
        <v>325</v>
      </c>
    </row>
    <row r="1058" spans="1:10" x14ac:dyDescent="0.35">
      <c r="A1058" s="7" t="s">
        <v>40</v>
      </c>
      <c r="B1058" s="7" t="s">
        <v>205</v>
      </c>
      <c r="C1058" s="7" t="s">
        <v>54</v>
      </c>
      <c r="D1058" s="9">
        <v>0</v>
      </c>
      <c r="E1058" s="9">
        <v>1.5</v>
      </c>
      <c r="F1058" s="9">
        <v>0.1</v>
      </c>
      <c r="G1058" s="9">
        <v>0</v>
      </c>
      <c r="H1058" s="8">
        <v>1181.1099999999999</v>
      </c>
      <c r="I1058" s="9">
        <v>68.09</v>
      </c>
      <c r="J1058" s="7" t="s">
        <v>325</v>
      </c>
    </row>
    <row r="1059" spans="1:10" x14ac:dyDescent="0.35">
      <c r="A1059" s="7" t="s">
        <v>49</v>
      </c>
      <c r="B1059" s="7" t="s">
        <v>234</v>
      </c>
      <c r="C1059" s="7" t="s">
        <v>39</v>
      </c>
      <c r="D1059" s="9">
        <v>0.02</v>
      </c>
      <c r="E1059" s="9">
        <v>0.16</v>
      </c>
      <c r="F1059" s="9">
        <v>0.1</v>
      </c>
      <c r="G1059" s="9">
        <v>45</v>
      </c>
      <c r="H1059" s="9">
        <v>36.07</v>
      </c>
      <c r="I1059" s="9">
        <v>31.21</v>
      </c>
      <c r="J1059" s="7" t="s">
        <v>325</v>
      </c>
    </row>
    <row r="1060" spans="1:10" x14ac:dyDescent="0.35">
      <c r="A1060" s="7" t="s">
        <v>31</v>
      </c>
      <c r="B1060" s="7" t="s">
        <v>171</v>
      </c>
      <c r="C1060" s="7" t="s">
        <v>48</v>
      </c>
      <c r="D1060" s="9">
        <v>0.06</v>
      </c>
      <c r="E1060" s="9">
        <v>0.23</v>
      </c>
      <c r="F1060" s="9">
        <v>0.09</v>
      </c>
      <c r="G1060" s="9">
        <v>201.15</v>
      </c>
      <c r="H1060" s="9">
        <v>341.74</v>
      </c>
      <c r="I1060" s="9">
        <v>120.7</v>
      </c>
      <c r="J1060" s="7" t="s">
        <v>325</v>
      </c>
    </row>
    <row r="1061" spans="1:10" x14ac:dyDescent="0.35">
      <c r="A1061" s="7" t="s">
        <v>20</v>
      </c>
      <c r="B1061" s="7" t="s">
        <v>119</v>
      </c>
      <c r="C1061" s="7" t="s">
        <v>45</v>
      </c>
      <c r="D1061" s="9">
        <v>0</v>
      </c>
      <c r="E1061" s="9">
        <v>0</v>
      </c>
      <c r="F1061" s="9">
        <v>0.09</v>
      </c>
      <c r="G1061" s="9">
        <v>0</v>
      </c>
      <c r="H1061" s="9">
        <v>0</v>
      </c>
      <c r="I1061" s="9">
        <v>73.84</v>
      </c>
      <c r="J1061" s="7" t="s">
        <v>325</v>
      </c>
    </row>
    <row r="1062" spans="1:10" x14ac:dyDescent="0.35">
      <c r="A1062" s="7" t="s">
        <v>20</v>
      </c>
      <c r="B1062" s="7" t="s">
        <v>82</v>
      </c>
      <c r="C1062" s="7" t="s">
        <v>62</v>
      </c>
      <c r="D1062" s="9">
        <v>0</v>
      </c>
      <c r="E1062" s="9">
        <v>0.35</v>
      </c>
      <c r="F1062" s="9">
        <v>0.09</v>
      </c>
      <c r="G1062" s="9">
        <v>22</v>
      </c>
      <c r="H1062" s="8">
        <v>1484.09</v>
      </c>
      <c r="I1062" s="9">
        <v>394.32</v>
      </c>
      <c r="J1062" s="7" t="s">
        <v>325</v>
      </c>
    </row>
    <row r="1063" spans="1:10" x14ac:dyDescent="0.35">
      <c r="A1063" s="7" t="s">
        <v>57</v>
      </c>
      <c r="B1063" s="7" t="s">
        <v>162</v>
      </c>
      <c r="C1063" s="7" t="s">
        <v>59</v>
      </c>
      <c r="D1063" s="9">
        <v>0.19</v>
      </c>
      <c r="E1063" s="9">
        <v>0.21</v>
      </c>
      <c r="F1063" s="9">
        <v>0.09</v>
      </c>
      <c r="G1063" s="9">
        <v>150.47</v>
      </c>
      <c r="H1063" s="9">
        <v>148.09</v>
      </c>
      <c r="I1063" s="9">
        <v>60.1</v>
      </c>
      <c r="J1063" s="7" t="s">
        <v>325</v>
      </c>
    </row>
    <row r="1064" spans="1:10" x14ac:dyDescent="0.35">
      <c r="A1064" s="7" t="s">
        <v>23</v>
      </c>
      <c r="B1064" s="7" t="s">
        <v>148</v>
      </c>
      <c r="C1064" s="7" t="s">
        <v>53</v>
      </c>
      <c r="D1064" s="9">
        <v>0.03</v>
      </c>
      <c r="E1064" s="9">
        <v>0</v>
      </c>
      <c r="F1064" s="9">
        <v>0.09</v>
      </c>
      <c r="G1064" s="9">
        <v>13.15</v>
      </c>
      <c r="H1064" s="9">
        <v>0</v>
      </c>
      <c r="I1064" s="9">
        <v>56.47</v>
      </c>
      <c r="J1064" s="7" t="s">
        <v>325</v>
      </c>
    </row>
    <row r="1065" spans="1:10" x14ac:dyDescent="0.35">
      <c r="A1065" s="7" t="s">
        <v>49</v>
      </c>
      <c r="B1065" s="7" t="s">
        <v>176</v>
      </c>
      <c r="C1065" s="7" t="s">
        <v>54</v>
      </c>
      <c r="D1065" s="9">
        <v>0.49</v>
      </c>
      <c r="E1065" s="9">
        <v>0.5</v>
      </c>
      <c r="F1065" s="9">
        <v>0.09</v>
      </c>
      <c r="G1065" s="9">
        <v>192.06</v>
      </c>
      <c r="H1065" s="9">
        <v>177.83</v>
      </c>
      <c r="I1065" s="9">
        <v>31.82</v>
      </c>
      <c r="J1065" s="7" t="s">
        <v>325</v>
      </c>
    </row>
    <row r="1066" spans="1:10" x14ac:dyDescent="0.35">
      <c r="A1066" s="7" t="s">
        <v>159</v>
      </c>
      <c r="B1066" s="7" t="s">
        <v>218</v>
      </c>
      <c r="C1066" s="7" t="s">
        <v>48</v>
      </c>
      <c r="D1066" s="9">
        <v>0.02</v>
      </c>
      <c r="E1066" s="9">
        <v>0.1</v>
      </c>
      <c r="F1066" s="9">
        <v>0.09</v>
      </c>
      <c r="G1066" s="9">
        <v>9.6999999999999993</v>
      </c>
      <c r="H1066" s="9">
        <v>61.15</v>
      </c>
      <c r="I1066" s="9">
        <v>62.05</v>
      </c>
      <c r="J1066" s="7" t="s">
        <v>325</v>
      </c>
    </row>
    <row r="1067" spans="1:10" x14ac:dyDescent="0.35">
      <c r="A1067" s="7" t="s">
        <v>66</v>
      </c>
      <c r="B1067" s="7" t="s">
        <v>127</v>
      </c>
      <c r="C1067" s="7" t="s">
        <v>42</v>
      </c>
      <c r="D1067" s="9">
        <v>0.37</v>
      </c>
      <c r="E1067" s="9">
        <v>0.49</v>
      </c>
      <c r="F1067" s="9">
        <v>0.09</v>
      </c>
      <c r="G1067" s="9">
        <v>223.01</v>
      </c>
      <c r="H1067" s="9">
        <v>313.06</v>
      </c>
      <c r="I1067" s="9">
        <v>59.14</v>
      </c>
      <c r="J1067" s="7" t="s">
        <v>325</v>
      </c>
    </row>
    <row r="1068" spans="1:10" x14ac:dyDescent="0.35">
      <c r="A1068" s="7" t="s">
        <v>20</v>
      </c>
      <c r="B1068" s="7" t="s">
        <v>156</v>
      </c>
      <c r="C1068" s="7" t="s">
        <v>48</v>
      </c>
      <c r="D1068" s="9">
        <v>0.1</v>
      </c>
      <c r="E1068" s="9">
        <v>0.01</v>
      </c>
      <c r="F1068" s="9">
        <v>0.09</v>
      </c>
      <c r="G1068" s="9">
        <v>107.62</v>
      </c>
      <c r="H1068" s="9">
        <v>20</v>
      </c>
      <c r="I1068" s="9">
        <v>15.35</v>
      </c>
      <c r="J1068" s="7" t="s">
        <v>325</v>
      </c>
    </row>
    <row r="1069" spans="1:10" x14ac:dyDescent="0.35">
      <c r="A1069" s="7" t="s">
        <v>35</v>
      </c>
      <c r="B1069" s="7" t="s">
        <v>198</v>
      </c>
      <c r="C1069" s="7" t="s">
        <v>53</v>
      </c>
      <c r="D1069" s="9">
        <v>0</v>
      </c>
      <c r="E1069" s="9">
        <v>0</v>
      </c>
      <c r="F1069" s="9">
        <v>0.09</v>
      </c>
      <c r="G1069" s="9">
        <v>0</v>
      </c>
      <c r="H1069" s="9">
        <v>0.11</v>
      </c>
      <c r="I1069" s="9">
        <v>150</v>
      </c>
      <c r="J1069" s="7" t="s">
        <v>325</v>
      </c>
    </row>
    <row r="1070" spans="1:10" x14ac:dyDescent="0.35">
      <c r="A1070" s="7" t="s">
        <v>20</v>
      </c>
      <c r="B1070" s="7" t="s">
        <v>235</v>
      </c>
      <c r="C1070" s="7" t="s">
        <v>53</v>
      </c>
      <c r="D1070" s="9">
        <v>7.0000000000000007E-2</v>
      </c>
      <c r="E1070" s="9">
        <v>0.04</v>
      </c>
      <c r="F1070" s="9">
        <v>0.09</v>
      </c>
      <c r="G1070" s="9">
        <v>40</v>
      </c>
      <c r="H1070" s="9">
        <v>20.99</v>
      </c>
      <c r="I1070" s="9">
        <v>41.23</v>
      </c>
      <c r="J1070" s="7" t="s">
        <v>325</v>
      </c>
    </row>
    <row r="1071" spans="1:10" x14ac:dyDescent="0.35">
      <c r="A1071" s="7" t="s">
        <v>40</v>
      </c>
      <c r="B1071" s="7" t="s">
        <v>107</v>
      </c>
      <c r="C1071" s="7" t="s">
        <v>126</v>
      </c>
      <c r="D1071" s="9">
        <v>0.21</v>
      </c>
      <c r="E1071" s="9">
        <v>0.09</v>
      </c>
      <c r="F1071" s="9">
        <v>0.09</v>
      </c>
      <c r="G1071" s="9">
        <v>135.96</v>
      </c>
      <c r="H1071" s="9">
        <v>69.2</v>
      </c>
      <c r="I1071" s="9">
        <v>63.3</v>
      </c>
      <c r="J1071" s="7" t="s">
        <v>325</v>
      </c>
    </row>
    <row r="1072" spans="1:10" x14ac:dyDescent="0.35">
      <c r="A1072" s="7" t="s">
        <v>35</v>
      </c>
      <c r="B1072" s="7" t="s">
        <v>47</v>
      </c>
      <c r="C1072" s="7" t="s">
        <v>59</v>
      </c>
      <c r="D1072" s="9">
        <v>0.12</v>
      </c>
      <c r="E1072" s="9">
        <v>0.34</v>
      </c>
      <c r="F1072" s="9">
        <v>0.09</v>
      </c>
      <c r="G1072" s="9">
        <v>59.4</v>
      </c>
      <c r="H1072" s="9">
        <v>119.28</v>
      </c>
      <c r="I1072" s="9">
        <v>39.520000000000003</v>
      </c>
      <c r="J1072" s="7" t="s">
        <v>325</v>
      </c>
    </row>
    <row r="1073" spans="1:10" x14ac:dyDescent="0.35">
      <c r="A1073" s="7" t="s">
        <v>25</v>
      </c>
      <c r="B1073" s="7" t="s">
        <v>29</v>
      </c>
      <c r="C1073" s="7" t="s">
        <v>48</v>
      </c>
      <c r="D1073" s="9">
        <v>0.08</v>
      </c>
      <c r="E1073" s="9">
        <v>0.3</v>
      </c>
      <c r="F1073" s="9">
        <v>0.09</v>
      </c>
      <c r="G1073" s="9">
        <v>194.86</v>
      </c>
      <c r="H1073" s="9">
        <v>232.64</v>
      </c>
      <c r="I1073" s="9">
        <v>84.22</v>
      </c>
      <c r="J1073" s="7" t="s">
        <v>325</v>
      </c>
    </row>
    <row r="1074" spans="1:10" x14ac:dyDescent="0.35">
      <c r="A1074" s="7" t="s">
        <v>77</v>
      </c>
      <c r="B1074" s="7" t="s">
        <v>214</v>
      </c>
      <c r="C1074" s="7" t="s">
        <v>53</v>
      </c>
      <c r="D1074" s="9">
        <v>0</v>
      </c>
      <c r="E1074" s="9">
        <v>0.11</v>
      </c>
      <c r="F1074" s="9">
        <v>0.09</v>
      </c>
      <c r="G1074" s="9">
        <v>0</v>
      </c>
      <c r="H1074" s="9">
        <v>52.67</v>
      </c>
      <c r="I1074" s="9">
        <v>37.950000000000003</v>
      </c>
      <c r="J1074" s="7" t="s">
        <v>325</v>
      </c>
    </row>
    <row r="1075" spans="1:10" x14ac:dyDescent="0.35">
      <c r="A1075" s="7" t="s">
        <v>35</v>
      </c>
      <c r="B1075" s="7" t="s">
        <v>165</v>
      </c>
      <c r="C1075" s="7" t="s">
        <v>33</v>
      </c>
      <c r="D1075" s="9">
        <v>0.04</v>
      </c>
      <c r="E1075" s="9">
        <v>0.21</v>
      </c>
      <c r="F1075" s="9">
        <v>0.09</v>
      </c>
      <c r="G1075" s="9">
        <v>24.88</v>
      </c>
      <c r="H1075" s="9">
        <v>153.01</v>
      </c>
      <c r="I1075" s="9">
        <v>61.45</v>
      </c>
      <c r="J1075" s="7" t="s">
        <v>325</v>
      </c>
    </row>
    <row r="1076" spans="1:10" x14ac:dyDescent="0.35">
      <c r="A1076" s="7" t="s">
        <v>16</v>
      </c>
      <c r="B1076" s="7" t="s">
        <v>135</v>
      </c>
      <c r="C1076" s="7" t="s">
        <v>72</v>
      </c>
      <c r="D1076" s="9">
        <v>0.13</v>
      </c>
      <c r="E1076" s="9">
        <v>0.61</v>
      </c>
      <c r="F1076" s="9">
        <v>0.09</v>
      </c>
      <c r="G1076" s="9">
        <v>23.06</v>
      </c>
      <c r="H1076" s="9">
        <v>41.91</v>
      </c>
      <c r="I1076" s="9">
        <v>7.27</v>
      </c>
      <c r="J1076" s="7" t="s">
        <v>325</v>
      </c>
    </row>
    <row r="1077" spans="1:10" x14ac:dyDescent="0.35">
      <c r="A1077" s="7" t="s">
        <v>86</v>
      </c>
      <c r="B1077" s="7" t="s">
        <v>87</v>
      </c>
      <c r="C1077" s="7" t="s">
        <v>18</v>
      </c>
      <c r="D1077" s="9">
        <v>0.67</v>
      </c>
      <c r="E1077" s="9">
        <v>0.48</v>
      </c>
      <c r="F1077" s="9">
        <v>0.09</v>
      </c>
      <c r="G1077" s="9">
        <v>654.29</v>
      </c>
      <c r="H1077" s="9">
        <v>558.80999999999995</v>
      </c>
      <c r="I1077" s="9">
        <v>105.12</v>
      </c>
      <c r="J1077" s="7" t="s">
        <v>325</v>
      </c>
    </row>
    <row r="1078" spans="1:10" x14ac:dyDescent="0.35">
      <c r="A1078" s="7" t="s">
        <v>23</v>
      </c>
      <c r="B1078" s="7" t="s">
        <v>228</v>
      </c>
      <c r="C1078" s="7" t="s">
        <v>39</v>
      </c>
      <c r="D1078" s="9">
        <v>0.06</v>
      </c>
      <c r="E1078" s="9">
        <v>0.35</v>
      </c>
      <c r="F1078" s="9">
        <v>0.09</v>
      </c>
      <c r="G1078" s="9">
        <v>6.47</v>
      </c>
      <c r="H1078" s="9">
        <v>241.04</v>
      </c>
      <c r="I1078" s="9">
        <v>56.13</v>
      </c>
      <c r="J1078" s="7" t="s">
        <v>325</v>
      </c>
    </row>
    <row r="1079" spans="1:10" x14ac:dyDescent="0.35">
      <c r="A1079" s="7" t="s">
        <v>31</v>
      </c>
      <c r="B1079" s="7" t="s">
        <v>215</v>
      </c>
      <c r="C1079" s="7" t="s">
        <v>27</v>
      </c>
      <c r="D1079" s="9">
        <v>0.18</v>
      </c>
      <c r="E1079" s="9">
        <v>0.26</v>
      </c>
      <c r="F1079" s="9">
        <v>0.09</v>
      </c>
      <c r="G1079" s="9">
        <v>423.87</v>
      </c>
      <c r="H1079" s="9">
        <v>555.08000000000004</v>
      </c>
      <c r="I1079" s="9">
        <v>203.05</v>
      </c>
      <c r="J1079" s="7" t="s">
        <v>325</v>
      </c>
    </row>
    <row r="1080" spans="1:10" x14ac:dyDescent="0.35">
      <c r="A1080" s="7" t="s">
        <v>49</v>
      </c>
      <c r="B1080" s="7" t="s">
        <v>233</v>
      </c>
      <c r="C1080" s="7" t="s">
        <v>39</v>
      </c>
      <c r="D1080" s="9">
        <v>0.09</v>
      </c>
      <c r="E1080" s="9">
        <v>0</v>
      </c>
      <c r="F1080" s="9">
        <v>0.09</v>
      </c>
      <c r="G1080" s="9">
        <v>31.02</v>
      </c>
      <c r="H1080" s="9">
        <v>1.1499999999999999</v>
      </c>
      <c r="I1080" s="9">
        <v>45.45</v>
      </c>
      <c r="J1080" s="7" t="s">
        <v>325</v>
      </c>
    </row>
    <row r="1081" spans="1:10" x14ac:dyDescent="0.35">
      <c r="A1081" s="7" t="s">
        <v>31</v>
      </c>
      <c r="B1081" s="7" t="s">
        <v>131</v>
      </c>
      <c r="C1081" s="7" t="s">
        <v>84</v>
      </c>
      <c r="D1081" s="9">
        <v>0.13</v>
      </c>
      <c r="E1081" s="9">
        <v>0.21</v>
      </c>
      <c r="F1081" s="9">
        <v>0.09</v>
      </c>
      <c r="G1081" s="9">
        <v>14.79</v>
      </c>
      <c r="H1081" s="9">
        <v>21.7</v>
      </c>
      <c r="I1081" s="9">
        <v>9.35</v>
      </c>
      <c r="J1081" s="7" t="s">
        <v>325</v>
      </c>
    </row>
    <row r="1082" spans="1:10" x14ac:dyDescent="0.35">
      <c r="A1082" s="7" t="s">
        <v>77</v>
      </c>
      <c r="B1082" s="7" t="s">
        <v>216</v>
      </c>
      <c r="C1082" s="7" t="s">
        <v>122</v>
      </c>
      <c r="D1082" s="9">
        <v>0.74</v>
      </c>
      <c r="E1082" s="9">
        <v>0.12</v>
      </c>
      <c r="F1082" s="9">
        <v>0.09</v>
      </c>
      <c r="G1082" s="9">
        <v>494.66</v>
      </c>
      <c r="H1082" s="9">
        <v>60.47</v>
      </c>
      <c r="I1082" s="9">
        <v>31.55</v>
      </c>
      <c r="J1082" s="7" t="s">
        <v>325</v>
      </c>
    </row>
    <row r="1083" spans="1:10" x14ac:dyDescent="0.35">
      <c r="A1083" s="7" t="s">
        <v>20</v>
      </c>
      <c r="B1083" s="7" t="s">
        <v>145</v>
      </c>
      <c r="C1083" s="7" t="s">
        <v>48</v>
      </c>
      <c r="D1083" s="9">
        <v>0</v>
      </c>
      <c r="E1083" s="9">
        <v>0.01</v>
      </c>
      <c r="F1083" s="9">
        <v>0.09</v>
      </c>
      <c r="G1083" s="9">
        <v>0</v>
      </c>
      <c r="H1083" s="9">
        <v>3.61</v>
      </c>
      <c r="I1083" s="9">
        <v>36.97</v>
      </c>
      <c r="J1083" s="7" t="s">
        <v>325</v>
      </c>
    </row>
    <row r="1084" spans="1:10" x14ac:dyDescent="0.35">
      <c r="A1084" s="7" t="s">
        <v>25</v>
      </c>
      <c r="B1084" s="7" t="s">
        <v>29</v>
      </c>
      <c r="C1084" s="7" t="s">
        <v>122</v>
      </c>
      <c r="D1084" s="9">
        <v>0.14000000000000001</v>
      </c>
      <c r="E1084" s="9">
        <v>0.1</v>
      </c>
      <c r="F1084" s="9">
        <v>0.08</v>
      </c>
      <c r="G1084" s="9">
        <v>53.36</v>
      </c>
      <c r="H1084" s="9">
        <v>237.15</v>
      </c>
      <c r="I1084" s="9">
        <v>194.01</v>
      </c>
      <c r="J1084" s="7" t="s">
        <v>325</v>
      </c>
    </row>
    <row r="1085" spans="1:10" x14ac:dyDescent="0.35">
      <c r="A1085" s="7" t="s">
        <v>35</v>
      </c>
      <c r="B1085" s="7" t="s">
        <v>37</v>
      </c>
      <c r="C1085" s="7" t="s">
        <v>59</v>
      </c>
      <c r="D1085" s="9">
        <v>0.04</v>
      </c>
      <c r="E1085" s="9">
        <v>0.14000000000000001</v>
      </c>
      <c r="F1085" s="9">
        <v>0.08</v>
      </c>
      <c r="G1085" s="9">
        <v>5.92</v>
      </c>
      <c r="H1085" s="9">
        <v>11.93</v>
      </c>
      <c r="I1085" s="9">
        <v>8.19</v>
      </c>
      <c r="J1085" s="7" t="s">
        <v>325</v>
      </c>
    </row>
    <row r="1086" spans="1:10" x14ac:dyDescent="0.35">
      <c r="A1086" s="7" t="s">
        <v>49</v>
      </c>
      <c r="B1086" s="7" t="s">
        <v>121</v>
      </c>
      <c r="C1086" s="7" t="s">
        <v>54</v>
      </c>
      <c r="D1086" s="9">
        <v>0.17</v>
      </c>
      <c r="E1086" s="9">
        <v>0.18</v>
      </c>
      <c r="F1086" s="9">
        <v>0.08</v>
      </c>
      <c r="G1086" s="9">
        <v>35.51</v>
      </c>
      <c r="H1086" s="9">
        <v>32.869999999999997</v>
      </c>
      <c r="I1086" s="9">
        <v>13.44</v>
      </c>
      <c r="J1086" s="7" t="s">
        <v>325</v>
      </c>
    </row>
    <row r="1087" spans="1:10" x14ac:dyDescent="0.35">
      <c r="A1087" s="7" t="s">
        <v>23</v>
      </c>
      <c r="B1087" s="7" t="s">
        <v>191</v>
      </c>
      <c r="C1087" s="7" t="s">
        <v>62</v>
      </c>
      <c r="D1087" s="9">
        <v>0</v>
      </c>
      <c r="E1087" s="9">
        <v>1.05</v>
      </c>
      <c r="F1087" s="9">
        <v>0.08</v>
      </c>
      <c r="G1087" s="9">
        <v>0</v>
      </c>
      <c r="H1087" s="8">
        <v>4314.07</v>
      </c>
      <c r="I1087" s="9">
        <v>361.5</v>
      </c>
      <c r="J1087" s="7" t="s">
        <v>325</v>
      </c>
    </row>
    <row r="1088" spans="1:10" x14ac:dyDescent="0.35">
      <c r="A1088" s="7" t="s">
        <v>20</v>
      </c>
      <c r="B1088" s="7" t="s">
        <v>173</v>
      </c>
      <c r="C1088" s="7" t="s">
        <v>27</v>
      </c>
      <c r="D1088" s="9">
        <v>7.0000000000000007E-2</v>
      </c>
      <c r="E1088" s="9">
        <v>0.2</v>
      </c>
      <c r="F1088" s="9">
        <v>0.08</v>
      </c>
      <c r="G1088" s="9">
        <v>75.64</v>
      </c>
      <c r="H1088" s="9">
        <v>156.43</v>
      </c>
      <c r="I1088" s="9">
        <v>67.62</v>
      </c>
      <c r="J1088" s="7" t="s">
        <v>325</v>
      </c>
    </row>
    <row r="1089" spans="1:10" x14ac:dyDescent="0.35">
      <c r="A1089" s="7" t="s">
        <v>231</v>
      </c>
      <c r="B1089" s="7" t="s">
        <v>236</v>
      </c>
      <c r="C1089" s="7" t="s">
        <v>62</v>
      </c>
      <c r="D1089" s="9">
        <v>0.01</v>
      </c>
      <c r="E1089" s="9">
        <v>0.27</v>
      </c>
      <c r="F1089" s="9">
        <v>0.08</v>
      </c>
      <c r="G1089" s="9">
        <v>45.96</v>
      </c>
      <c r="H1089" s="8">
        <v>1074.1400000000001</v>
      </c>
      <c r="I1089" s="9">
        <v>372.57</v>
      </c>
      <c r="J1089" s="7" t="s">
        <v>325</v>
      </c>
    </row>
    <row r="1090" spans="1:10" x14ac:dyDescent="0.35">
      <c r="A1090" s="7" t="s">
        <v>86</v>
      </c>
      <c r="B1090" s="7" t="s">
        <v>207</v>
      </c>
      <c r="C1090" s="7" t="s">
        <v>72</v>
      </c>
      <c r="D1090" s="9">
        <v>0.1</v>
      </c>
      <c r="E1090" s="9">
        <v>0.24</v>
      </c>
      <c r="F1090" s="9">
        <v>0.08</v>
      </c>
      <c r="G1090" s="9">
        <v>9.83</v>
      </c>
      <c r="H1090" s="9">
        <v>69.08</v>
      </c>
      <c r="I1090" s="9">
        <v>36.21</v>
      </c>
      <c r="J1090" s="7" t="s">
        <v>325</v>
      </c>
    </row>
    <row r="1091" spans="1:10" x14ac:dyDescent="0.35">
      <c r="A1091" s="7" t="s">
        <v>86</v>
      </c>
      <c r="B1091" s="7" t="s">
        <v>207</v>
      </c>
      <c r="C1091" s="7" t="s">
        <v>53</v>
      </c>
      <c r="D1091" s="9">
        <v>0.08</v>
      </c>
      <c r="E1091" s="9">
        <v>0.17</v>
      </c>
      <c r="F1091" s="9">
        <v>0.08</v>
      </c>
      <c r="G1091" s="9">
        <v>52.99</v>
      </c>
      <c r="H1091" s="9">
        <v>68.23</v>
      </c>
      <c r="I1091" s="9">
        <v>11.73</v>
      </c>
      <c r="J1091" s="7" t="s">
        <v>325</v>
      </c>
    </row>
    <row r="1092" spans="1:10" x14ac:dyDescent="0.35">
      <c r="A1092" s="7" t="s">
        <v>74</v>
      </c>
      <c r="B1092" s="7" t="s">
        <v>137</v>
      </c>
      <c r="C1092" s="7" t="s">
        <v>122</v>
      </c>
      <c r="D1092" s="9">
        <v>0.19</v>
      </c>
      <c r="E1092" s="9">
        <v>0.19</v>
      </c>
      <c r="F1092" s="9">
        <v>0.08</v>
      </c>
      <c r="G1092" s="9">
        <v>54.18</v>
      </c>
      <c r="H1092" s="9">
        <v>58.35</v>
      </c>
      <c r="I1092" s="9">
        <v>18.97</v>
      </c>
      <c r="J1092" s="7" t="s">
        <v>325</v>
      </c>
    </row>
    <row r="1093" spans="1:10" x14ac:dyDescent="0.35">
      <c r="A1093" s="7" t="s">
        <v>16</v>
      </c>
      <c r="B1093" s="7" t="s">
        <v>28</v>
      </c>
      <c r="C1093" s="7" t="s">
        <v>60</v>
      </c>
      <c r="D1093" s="9">
        <v>0</v>
      </c>
      <c r="E1093" s="9">
        <v>0</v>
      </c>
      <c r="F1093" s="9">
        <v>0.08</v>
      </c>
      <c r="G1093" s="9">
        <v>0</v>
      </c>
      <c r="H1093" s="9">
        <v>0</v>
      </c>
      <c r="I1093" s="9">
        <v>99</v>
      </c>
      <c r="J1093" s="7" t="s">
        <v>325</v>
      </c>
    </row>
    <row r="1094" spans="1:10" x14ac:dyDescent="0.35">
      <c r="A1094" s="7" t="s">
        <v>129</v>
      </c>
      <c r="B1094" s="7" t="s">
        <v>147</v>
      </c>
      <c r="C1094" s="7" t="s">
        <v>116</v>
      </c>
      <c r="D1094" s="9">
        <v>0</v>
      </c>
      <c r="E1094" s="9">
        <v>0</v>
      </c>
      <c r="F1094" s="9">
        <v>0.08</v>
      </c>
      <c r="G1094" s="9">
        <v>0</v>
      </c>
      <c r="H1094" s="9">
        <v>0</v>
      </c>
      <c r="I1094" s="9">
        <v>556.98</v>
      </c>
      <c r="J1094" s="7" t="s">
        <v>325</v>
      </c>
    </row>
    <row r="1095" spans="1:10" x14ac:dyDescent="0.35">
      <c r="A1095" s="7" t="s">
        <v>16</v>
      </c>
      <c r="B1095" s="7" t="s">
        <v>140</v>
      </c>
      <c r="C1095" s="7" t="s">
        <v>60</v>
      </c>
      <c r="D1095" s="9">
        <v>0.05</v>
      </c>
      <c r="E1095" s="9">
        <v>0.06</v>
      </c>
      <c r="F1095" s="9">
        <v>0.08</v>
      </c>
      <c r="G1095" s="9">
        <v>7.16</v>
      </c>
      <c r="H1095" s="9">
        <v>3.78</v>
      </c>
      <c r="I1095" s="9">
        <v>4.33</v>
      </c>
      <c r="J1095" s="7" t="s">
        <v>325</v>
      </c>
    </row>
    <row r="1096" spans="1:10" x14ac:dyDescent="0.35">
      <c r="A1096" s="7" t="s">
        <v>79</v>
      </c>
      <c r="B1096" s="7" t="s">
        <v>226</v>
      </c>
      <c r="C1096" s="7" t="s">
        <v>76</v>
      </c>
      <c r="D1096" s="9">
        <v>0.01</v>
      </c>
      <c r="E1096" s="9">
        <v>0.13</v>
      </c>
      <c r="F1096" s="9">
        <v>0.08</v>
      </c>
      <c r="G1096" s="9">
        <v>8.43</v>
      </c>
      <c r="H1096" s="9">
        <v>92.95</v>
      </c>
      <c r="I1096" s="9">
        <v>54.19</v>
      </c>
      <c r="J1096" s="7" t="s">
        <v>325</v>
      </c>
    </row>
    <row r="1097" spans="1:10" x14ac:dyDescent="0.35">
      <c r="A1097" s="7" t="s">
        <v>16</v>
      </c>
      <c r="B1097" s="7" t="s">
        <v>135</v>
      </c>
      <c r="C1097" s="7" t="s">
        <v>48</v>
      </c>
      <c r="D1097" s="9">
        <v>0.24</v>
      </c>
      <c r="E1097" s="9">
        <v>0.21</v>
      </c>
      <c r="F1097" s="9">
        <v>0.08</v>
      </c>
      <c r="G1097" s="9">
        <v>45.89</v>
      </c>
      <c r="H1097" s="9">
        <v>34.42</v>
      </c>
      <c r="I1097" s="9">
        <v>14.72</v>
      </c>
      <c r="J1097" s="7" t="s">
        <v>325</v>
      </c>
    </row>
    <row r="1098" spans="1:10" x14ac:dyDescent="0.35">
      <c r="A1098" s="7" t="s">
        <v>79</v>
      </c>
      <c r="B1098" s="7" t="s">
        <v>80</v>
      </c>
      <c r="C1098" s="7" t="s">
        <v>45</v>
      </c>
      <c r="D1098" s="9">
        <v>0.37</v>
      </c>
      <c r="E1098" s="9">
        <v>0.28999999999999998</v>
      </c>
      <c r="F1098" s="9">
        <v>0.08</v>
      </c>
      <c r="G1098" s="9">
        <v>60.25</v>
      </c>
      <c r="H1098" s="9">
        <v>36.659999999999997</v>
      </c>
      <c r="I1098" s="9">
        <v>25.23</v>
      </c>
      <c r="J1098" s="7" t="s">
        <v>325</v>
      </c>
    </row>
    <row r="1099" spans="1:10" ht="26.25" customHeight="1" x14ac:dyDescent="0.35">
      <c r="A1099" s="7" t="s">
        <v>31</v>
      </c>
      <c r="B1099" s="7" t="s">
        <v>146</v>
      </c>
      <c r="C1099" s="7" t="s">
        <v>126</v>
      </c>
      <c r="D1099" s="9">
        <v>0.73</v>
      </c>
      <c r="E1099" s="9">
        <v>0.28999999999999998</v>
      </c>
      <c r="F1099" s="9">
        <v>0.08</v>
      </c>
      <c r="G1099" s="8">
        <v>2336.02</v>
      </c>
      <c r="H1099" s="9">
        <v>927.09</v>
      </c>
      <c r="I1099" s="9">
        <v>272.22000000000003</v>
      </c>
      <c r="J1099" s="7" t="s">
        <v>325</v>
      </c>
    </row>
    <row r="1100" spans="1:10" x14ac:dyDescent="0.35">
      <c r="A1100" s="7" t="s">
        <v>23</v>
      </c>
      <c r="B1100" s="7" t="s">
        <v>136</v>
      </c>
      <c r="C1100" s="7" t="s">
        <v>18</v>
      </c>
      <c r="D1100" s="9">
        <v>0.05</v>
      </c>
      <c r="E1100" s="9">
        <v>0.04</v>
      </c>
      <c r="F1100" s="9">
        <v>0.08</v>
      </c>
      <c r="G1100" s="9">
        <v>37.380000000000003</v>
      </c>
      <c r="H1100" s="9">
        <v>16.75</v>
      </c>
      <c r="I1100" s="9">
        <v>77.67</v>
      </c>
      <c r="J1100" s="7" t="s">
        <v>325</v>
      </c>
    </row>
    <row r="1101" spans="1:10" x14ac:dyDescent="0.35">
      <c r="A1101" s="7" t="s">
        <v>77</v>
      </c>
      <c r="B1101" s="7" t="s">
        <v>149</v>
      </c>
      <c r="C1101" s="7" t="s">
        <v>102</v>
      </c>
      <c r="D1101" s="9">
        <v>0.18</v>
      </c>
      <c r="E1101" s="9">
        <v>0.2</v>
      </c>
      <c r="F1101" s="9">
        <v>0.08</v>
      </c>
      <c r="G1101" s="9">
        <v>203.22</v>
      </c>
      <c r="H1101" s="9">
        <v>233.94</v>
      </c>
      <c r="I1101" s="9">
        <v>94.05</v>
      </c>
      <c r="J1101" s="7" t="s">
        <v>325</v>
      </c>
    </row>
    <row r="1102" spans="1:10" x14ac:dyDescent="0.35">
      <c r="A1102" s="7" t="s">
        <v>23</v>
      </c>
      <c r="B1102" s="7" t="s">
        <v>44</v>
      </c>
      <c r="C1102" s="7" t="s">
        <v>221</v>
      </c>
      <c r="D1102" s="9">
        <v>0.24</v>
      </c>
      <c r="E1102" s="9">
        <v>7.0000000000000007E-2</v>
      </c>
      <c r="F1102" s="9">
        <v>0.08</v>
      </c>
      <c r="G1102" s="9">
        <v>55.28</v>
      </c>
      <c r="H1102" s="9">
        <v>13.45</v>
      </c>
      <c r="I1102" s="9">
        <v>18.84</v>
      </c>
      <c r="J1102" s="7" t="s">
        <v>325</v>
      </c>
    </row>
    <row r="1103" spans="1:10" x14ac:dyDescent="0.35">
      <c r="A1103" s="7" t="s">
        <v>20</v>
      </c>
      <c r="B1103" s="7" t="s">
        <v>154</v>
      </c>
      <c r="C1103" s="7" t="s">
        <v>39</v>
      </c>
      <c r="D1103" s="9">
        <v>0.3</v>
      </c>
      <c r="E1103" s="9">
        <v>0.86</v>
      </c>
      <c r="F1103" s="9">
        <v>0.08</v>
      </c>
      <c r="G1103" s="9">
        <v>92.4</v>
      </c>
      <c r="H1103" s="9">
        <v>226.9</v>
      </c>
      <c r="I1103" s="9">
        <v>21.6</v>
      </c>
      <c r="J1103" s="7" t="s">
        <v>325</v>
      </c>
    </row>
    <row r="1104" spans="1:10" x14ac:dyDescent="0.35">
      <c r="A1104" s="7" t="s">
        <v>23</v>
      </c>
      <c r="B1104" s="7" t="s">
        <v>182</v>
      </c>
      <c r="C1104" s="7" t="s">
        <v>76</v>
      </c>
      <c r="D1104" s="9">
        <v>7.0000000000000007E-2</v>
      </c>
      <c r="E1104" s="9">
        <v>0.19</v>
      </c>
      <c r="F1104" s="9">
        <v>0.08</v>
      </c>
      <c r="G1104" s="9">
        <v>50.71</v>
      </c>
      <c r="H1104" s="9">
        <v>136.22999999999999</v>
      </c>
      <c r="I1104" s="9">
        <v>49.02</v>
      </c>
      <c r="J1104" s="7" t="s">
        <v>325</v>
      </c>
    </row>
    <row r="1105" spans="1:10" x14ac:dyDescent="0.35">
      <c r="A1105" s="7" t="s">
        <v>40</v>
      </c>
      <c r="B1105" s="7" t="s">
        <v>229</v>
      </c>
      <c r="C1105" s="7" t="s">
        <v>72</v>
      </c>
      <c r="D1105" s="9">
        <v>0</v>
      </c>
      <c r="E1105" s="9">
        <v>2.13</v>
      </c>
      <c r="F1105" s="9">
        <v>0.08</v>
      </c>
      <c r="G1105" s="9">
        <v>0</v>
      </c>
      <c r="H1105" s="9">
        <v>246.01</v>
      </c>
      <c r="I1105" s="9">
        <v>9.25</v>
      </c>
      <c r="J1105" s="7" t="s">
        <v>325</v>
      </c>
    </row>
    <row r="1106" spans="1:10" x14ac:dyDescent="0.35">
      <c r="A1106" s="7" t="s">
        <v>16</v>
      </c>
      <c r="B1106" s="7" t="s">
        <v>135</v>
      </c>
      <c r="C1106" s="7" t="s">
        <v>122</v>
      </c>
      <c r="D1106" s="9">
        <v>0.09</v>
      </c>
      <c r="E1106" s="9">
        <v>0.22</v>
      </c>
      <c r="F1106" s="9">
        <v>0.08</v>
      </c>
      <c r="G1106" s="9">
        <v>3.42</v>
      </c>
      <c r="H1106" s="9">
        <v>9.34</v>
      </c>
      <c r="I1106" s="9">
        <v>2.2200000000000002</v>
      </c>
      <c r="J1106" s="7" t="s">
        <v>325</v>
      </c>
    </row>
    <row r="1107" spans="1:10" x14ac:dyDescent="0.35">
      <c r="A1107" s="7" t="s">
        <v>40</v>
      </c>
      <c r="B1107" s="7" t="s">
        <v>107</v>
      </c>
      <c r="C1107" s="7" t="s">
        <v>142</v>
      </c>
      <c r="D1107" s="9">
        <v>1.02</v>
      </c>
      <c r="E1107" s="9">
        <v>1.04</v>
      </c>
      <c r="F1107" s="9">
        <v>0.08</v>
      </c>
      <c r="G1107" s="8">
        <v>1635.82</v>
      </c>
      <c r="H1107" s="8">
        <v>1281.77</v>
      </c>
      <c r="I1107" s="9">
        <v>93.02</v>
      </c>
      <c r="J1107" s="7" t="s">
        <v>325</v>
      </c>
    </row>
    <row r="1108" spans="1:10" x14ac:dyDescent="0.35">
      <c r="A1108" s="7" t="s">
        <v>35</v>
      </c>
      <c r="B1108" s="7" t="s">
        <v>165</v>
      </c>
      <c r="C1108" s="7" t="s">
        <v>54</v>
      </c>
      <c r="D1108" s="9">
        <v>0</v>
      </c>
      <c r="E1108" s="9">
        <v>0.34</v>
      </c>
      <c r="F1108" s="9">
        <v>0.08</v>
      </c>
      <c r="G1108" s="9">
        <v>0.37</v>
      </c>
      <c r="H1108" s="9">
        <v>67.319999999999993</v>
      </c>
      <c r="I1108" s="9">
        <v>20.5</v>
      </c>
      <c r="J1108" s="7" t="s">
        <v>325</v>
      </c>
    </row>
    <row r="1109" spans="1:10" x14ac:dyDescent="0.35">
      <c r="A1109" s="7" t="s">
        <v>23</v>
      </c>
      <c r="B1109" s="7" t="s">
        <v>123</v>
      </c>
      <c r="C1109" s="7" t="s">
        <v>33</v>
      </c>
      <c r="D1109" s="9">
        <v>0.83</v>
      </c>
      <c r="E1109" s="9">
        <v>0.83</v>
      </c>
      <c r="F1109" s="9">
        <v>0.08</v>
      </c>
      <c r="G1109" s="8">
        <v>1007.43</v>
      </c>
      <c r="H1109" s="8">
        <v>1049.1500000000001</v>
      </c>
      <c r="I1109" s="9">
        <v>76.52</v>
      </c>
      <c r="J1109" s="7" t="s">
        <v>325</v>
      </c>
    </row>
    <row r="1110" spans="1:10" x14ac:dyDescent="0.35">
      <c r="A1110" s="7" t="s">
        <v>86</v>
      </c>
      <c r="B1110" s="7" t="s">
        <v>106</v>
      </c>
      <c r="C1110" s="7" t="s">
        <v>27</v>
      </c>
      <c r="D1110" s="9">
        <v>0.05</v>
      </c>
      <c r="E1110" s="9">
        <v>0.12</v>
      </c>
      <c r="F1110" s="9">
        <v>0.08</v>
      </c>
      <c r="G1110" s="9">
        <v>74.8</v>
      </c>
      <c r="H1110" s="9">
        <v>129.03</v>
      </c>
      <c r="I1110" s="9">
        <v>111.14</v>
      </c>
      <c r="J1110" s="7" t="s">
        <v>325</v>
      </c>
    </row>
    <row r="1111" spans="1:10" x14ac:dyDescent="0.35">
      <c r="A1111" s="7" t="s">
        <v>20</v>
      </c>
      <c r="B1111" s="7" t="s">
        <v>56</v>
      </c>
      <c r="C1111" s="7" t="s">
        <v>62</v>
      </c>
      <c r="D1111" s="9">
        <v>0</v>
      </c>
      <c r="E1111" s="9">
        <v>0</v>
      </c>
      <c r="F1111" s="9">
        <v>0.08</v>
      </c>
      <c r="G1111" s="9">
        <v>0</v>
      </c>
      <c r="H1111" s="9">
        <v>0</v>
      </c>
      <c r="I1111" s="9">
        <v>200</v>
      </c>
      <c r="J1111" s="7" t="s">
        <v>325</v>
      </c>
    </row>
    <row r="1112" spans="1:10" x14ac:dyDescent="0.35">
      <c r="A1112" s="7" t="s">
        <v>35</v>
      </c>
      <c r="B1112" s="7" t="s">
        <v>36</v>
      </c>
      <c r="C1112" s="7" t="s">
        <v>42</v>
      </c>
      <c r="D1112" s="9">
        <v>0.35</v>
      </c>
      <c r="E1112" s="9">
        <v>0.22</v>
      </c>
      <c r="F1112" s="9">
        <v>7.0000000000000007E-2</v>
      </c>
      <c r="G1112" s="9">
        <v>211.97</v>
      </c>
      <c r="H1112" s="9">
        <v>115.1</v>
      </c>
      <c r="I1112" s="9">
        <v>53.44</v>
      </c>
      <c r="J1112" s="7" t="s">
        <v>325</v>
      </c>
    </row>
    <row r="1113" spans="1:10" x14ac:dyDescent="0.35">
      <c r="A1113" s="7" t="s">
        <v>16</v>
      </c>
      <c r="B1113" s="7" t="s">
        <v>89</v>
      </c>
      <c r="C1113" s="7" t="s">
        <v>102</v>
      </c>
      <c r="D1113" s="9">
        <v>1.03</v>
      </c>
      <c r="E1113" s="9">
        <v>0.62</v>
      </c>
      <c r="F1113" s="9">
        <v>7.0000000000000007E-2</v>
      </c>
      <c r="G1113" s="9">
        <v>462.19</v>
      </c>
      <c r="H1113" s="9">
        <v>328.54</v>
      </c>
      <c r="I1113" s="9">
        <v>45.79</v>
      </c>
      <c r="J1113" s="7" t="s">
        <v>325</v>
      </c>
    </row>
    <row r="1114" spans="1:10" x14ac:dyDescent="0.35">
      <c r="A1114" s="7" t="s">
        <v>23</v>
      </c>
      <c r="B1114" s="7" t="s">
        <v>30</v>
      </c>
      <c r="C1114" s="7" t="s">
        <v>69</v>
      </c>
      <c r="D1114" s="9">
        <v>0</v>
      </c>
      <c r="E1114" s="9">
        <v>0</v>
      </c>
      <c r="F1114" s="9">
        <v>7.0000000000000007E-2</v>
      </c>
      <c r="G1114" s="9">
        <v>0</v>
      </c>
      <c r="H1114" s="9">
        <v>0</v>
      </c>
      <c r="I1114" s="9">
        <v>8.51</v>
      </c>
      <c r="J1114" s="7" t="s">
        <v>325</v>
      </c>
    </row>
    <row r="1115" spans="1:10" x14ac:dyDescent="0.35">
      <c r="A1115" s="7" t="s">
        <v>66</v>
      </c>
      <c r="B1115" s="7" t="s">
        <v>127</v>
      </c>
      <c r="C1115" s="7" t="s">
        <v>33</v>
      </c>
      <c r="D1115" s="9">
        <v>0.1</v>
      </c>
      <c r="E1115" s="9">
        <v>0.13</v>
      </c>
      <c r="F1115" s="9">
        <v>7.0000000000000007E-2</v>
      </c>
      <c r="G1115" s="9">
        <v>85.33</v>
      </c>
      <c r="H1115" s="9">
        <v>98.56</v>
      </c>
      <c r="I1115" s="9">
        <v>65.12</v>
      </c>
      <c r="J1115" s="7" t="s">
        <v>325</v>
      </c>
    </row>
    <row r="1116" spans="1:10" x14ac:dyDescent="0.35">
      <c r="A1116" s="7" t="s">
        <v>16</v>
      </c>
      <c r="B1116" s="7" t="s">
        <v>109</v>
      </c>
      <c r="C1116" s="7" t="s">
        <v>45</v>
      </c>
      <c r="D1116" s="9">
        <v>0.24</v>
      </c>
      <c r="E1116" s="9">
        <v>0.1</v>
      </c>
      <c r="F1116" s="9">
        <v>7.0000000000000007E-2</v>
      </c>
      <c r="G1116" s="9">
        <v>266.39</v>
      </c>
      <c r="H1116" s="9">
        <v>13.95</v>
      </c>
      <c r="I1116" s="9">
        <v>24.61</v>
      </c>
      <c r="J1116" s="7" t="s">
        <v>325</v>
      </c>
    </row>
    <row r="1117" spans="1:10" x14ac:dyDescent="0.35">
      <c r="A1117" s="7" t="s">
        <v>189</v>
      </c>
      <c r="B1117" s="7" t="s">
        <v>227</v>
      </c>
      <c r="C1117" s="7" t="s">
        <v>27</v>
      </c>
      <c r="D1117" s="9">
        <v>0</v>
      </c>
      <c r="E1117" s="9">
        <v>0.04</v>
      </c>
      <c r="F1117" s="9">
        <v>7.0000000000000007E-2</v>
      </c>
      <c r="G1117" s="9">
        <v>0</v>
      </c>
      <c r="H1117" s="9">
        <v>97.08</v>
      </c>
      <c r="I1117" s="9">
        <v>186</v>
      </c>
      <c r="J1117" s="7" t="s">
        <v>325</v>
      </c>
    </row>
    <row r="1118" spans="1:10" x14ac:dyDescent="0.35">
      <c r="A1118" s="7" t="s">
        <v>49</v>
      </c>
      <c r="B1118" s="7" t="s">
        <v>237</v>
      </c>
      <c r="C1118" s="7" t="s">
        <v>102</v>
      </c>
      <c r="D1118" s="9">
        <v>0.36</v>
      </c>
      <c r="E1118" s="9">
        <v>0.86</v>
      </c>
      <c r="F1118" s="9">
        <v>7.0000000000000007E-2</v>
      </c>
      <c r="G1118" s="9">
        <v>676.09</v>
      </c>
      <c r="H1118" s="9">
        <v>891.34</v>
      </c>
      <c r="I1118" s="9">
        <v>101.59</v>
      </c>
      <c r="J1118" s="7" t="s">
        <v>325</v>
      </c>
    </row>
    <row r="1119" spans="1:10" x14ac:dyDescent="0.35">
      <c r="A1119" s="7" t="s">
        <v>23</v>
      </c>
      <c r="B1119" s="7" t="s">
        <v>123</v>
      </c>
      <c r="C1119" s="7" t="s">
        <v>142</v>
      </c>
      <c r="D1119" s="9">
        <v>0.18</v>
      </c>
      <c r="E1119" s="9">
        <v>0.11</v>
      </c>
      <c r="F1119" s="9">
        <v>7.0000000000000007E-2</v>
      </c>
      <c r="G1119" s="9">
        <v>265.93</v>
      </c>
      <c r="H1119" s="9">
        <v>171.24</v>
      </c>
      <c r="I1119" s="9">
        <v>83.99</v>
      </c>
      <c r="J1119" s="7" t="s">
        <v>325</v>
      </c>
    </row>
    <row r="1120" spans="1:10" x14ac:dyDescent="0.35">
      <c r="A1120" s="7" t="s">
        <v>23</v>
      </c>
      <c r="B1120" s="7" t="s">
        <v>191</v>
      </c>
      <c r="C1120" s="7" t="s">
        <v>116</v>
      </c>
      <c r="D1120" s="9">
        <v>0</v>
      </c>
      <c r="E1120" s="9">
        <v>0.03</v>
      </c>
      <c r="F1120" s="9">
        <v>7.0000000000000007E-2</v>
      </c>
      <c r="G1120" s="9">
        <v>0</v>
      </c>
      <c r="H1120" s="9">
        <v>223.82</v>
      </c>
      <c r="I1120" s="9">
        <v>352.54</v>
      </c>
      <c r="J1120" s="7" t="s">
        <v>325</v>
      </c>
    </row>
    <row r="1121" spans="1:10" x14ac:dyDescent="0.35">
      <c r="A1121" s="7" t="s">
        <v>16</v>
      </c>
      <c r="B1121" s="7" t="s">
        <v>115</v>
      </c>
      <c r="C1121" s="7" t="s">
        <v>27</v>
      </c>
      <c r="D1121" s="9">
        <v>0</v>
      </c>
      <c r="E1121" s="9">
        <v>0.18</v>
      </c>
      <c r="F1121" s="9">
        <v>7.0000000000000007E-2</v>
      </c>
      <c r="G1121" s="9">
        <v>0</v>
      </c>
      <c r="H1121" s="9">
        <v>219.39</v>
      </c>
      <c r="I1121" s="9">
        <v>92.9</v>
      </c>
      <c r="J1121" s="7" t="s">
        <v>325</v>
      </c>
    </row>
    <row r="1122" spans="1:10" x14ac:dyDescent="0.35">
      <c r="A1122" s="7" t="s">
        <v>74</v>
      </c>
      <c r="B1122" s="7" t="s">
        <v>137</v>
      </c>
      <c r="C1122" s="7" t="s">
        <v>48</v>
      </c>
      <c r="D1122" s="9">
        <v>0.03</v>
      </c>
      <c r="E1122" s="9">
        <v>0.04</v>
      </c>
      <c r="F1122" s="9">
        <v>7.0000000000000007E-2</v>
      </c>
      <c r="G1122" s="9">
        <v>4.4000000000000004</v>
      </c>
      <c r="H1122" s="9">
        <v>10.69</v>
      </c>
      <c r="I1122" s="9">
        <v>25.9</v>
      </c>
      <c r="J1122" s="7" t="s">
        <v>325</v>
      </c>
    </row>
    <row r="1123" spans="1:10" x14ac:dyDescent="0.35">
      <c r="A1123" s="7" t="s">
        <v>35</v>
      </c>
      <c r="B1123" s="7" t="s">
        <v>165</v>
      </c>
      <c r="C1123" s="7" t="s">
        <v>72</v>
      </c>
      <c r="D1123" s="9">
        <v>0.46</v>
      </c>
      <c r="E1123" s="9">
        <v>0.36</v>
      </c>
      <c r="F1123" s="9">
        <v>7.0000000000000007E-2</v>
      </c>
      <c r="G1123" s="9">
        <v>65.75</v>
      </c>
      <c r="H1123" s="9">
        <v>68.59</v>
      </c>
      <c r="I1123" s="9">
        <v>20.52</v>
      </c>
      <c r="J1123" s="7" t="s">
        <v>325</v>
      </c>
    </row>
    <row r="1124" spans="1:10" x14ac:dyDescent="0.35">
      <c r="A1124" s="7" t="s">
        <v>31</v>
      </c>
      <c r="B1124" s="7" t="s">
        <v>192</v>
      </c>
      <c r="C1124" s="7" t="s">
        <v>39</v>
      </c>
      <c r="D1124" s="9">
        <v>0.14000000000000001</v>
      </c>
      <c r="E1124" s="9">
        <v>0.24</v>
      </c>
      <c r="F1124" s="9">
        <v>7.0000000000000007E-2</v>
      </c>
      <c r="G1124" s="9">
        <v>11.73</v>
      </c>
      <c r="H1124" s="9">
        <v>50.47</v>
      </c>
      <c r="I1124" s="9">
        <v>12.73</v>
      </c>
      <c r="J1124" s="7" t="s">
        <v>325</v>
      </c>
    </row>
    <row r="1125" spans="1:10" x14ac:dyDescent="0.35">
      <c r="A1125" s="7" t="s">
        <v>20</v>
      </c>
      <c r="B1125" s="7" t="s">
        <v>82</v>
      </c>
      <c r="C1125" s="7" t="s">
        <v>39</v>
      </c>
      <c r="D1125" s="9">
        <v>0.46</v>
      </c>
      <c r="E1125" s="9">
        <v>0.43</v>
      </c>
      <c r="F1125" s="9">
        <v>7.0000000000000007E-2</v>
      </c>
      <c r="G1125" s="9">
        <v>234.51</v>
      </c>
      <c r="H1125" s="9">
        <v>239.16</v>
      </c>
      <c r="I1125" s="9">
        <v>36.880000000000003</v>
      </c>
      <c r="J1125" s="7" t="s">
        <v>325</v>
      </c>
    </row>
    <row r="1126" spans="1:10" x14ac:dyDescent="0.35">
      <c r="A1126" s="7" t="s">
        <v>66</v>
      </c>
      <c r="B1126" s="7" t="s">
        <v>108</v>
      </c>
      <c r="C1126" s="7" t="s">
        <v>54</v>
      </c>
      <c r="D1126" s="9">
        <v>0.15</v>
      </c>
      <c r="E1126" s="9">
        <v>0.23</v>
      </c>
      <c r="F1126" s="9">
        <v>7.0000000000000007E-2</v>
      </c>
      <c r="G1126" s="9">
        <v>64.38</v>
      </c>
      <c r="H1126" s="9">
        <v>87.59</v>
      </c>
      <c r="I1126" s="9">
        <v>28.68</v>
      </c>
      <c r="J1126" s="7" t="s">
        <v>325</v>
      </c>
    </row>
    <row r="1127" spans="1:10" x14ac:dyDescent="0.35">
      <c r="A1127" s="7" t="s">
        <v>35</v>
      </c>
      <c r="B1127" s="7" t="s">
        <v>36</v>
      </c>
      <c r="C1127" s="7" t="s">
        <v>54</v>
      </c>
      <c r="D1127" s="9">
        <v>0.15</v>
      </c>
      <c r="E1127" s="9">
        <v>0.16</v>
      </c>
      <c r="F1127" s="9">
        <v>7.0000000000000007E-2</v>
      </c>
      <c r="G1127" s="9">
        <v>131.62</v>
      </c>
      <c r="H1127" s="9">
        <v>52.31</v>
      </c>
      <c r="I1127" s="9">
        <v>29.66</v>
      </c>
      <c r="J1127" s="7" t="s">
        <v>325</v>
      </c>
    </row>
    <row r="1128" spans="1:10" x14ac:dyDescent="0.35">
      <c r="A1128" s="7" t="s">
        <v>57</v>
      </c>
      <c r="B1128" s="7" t="s">
        <v>175</v>
      </c>
      <c r="C1128" s="7" t="s">
        <v>65</v>
      </c>
      <c r="D1128" s="9">
        <v>0</v>
      </c>
      <c r="E1128" s="9">
        <v>0.01</v>
      </c>
      <c r="F1128" s="9">
        <v>7.0000000000000007E-2</v>
      </c>
      <c r="G1128" s="9">
        <v>0</v>
      </c>
      <c r="H1128" s="9">
        <v>17</v>
      </c>
      <c r="I1128" s="9">
        <v>134.49</v>
      </c>
      <c r="J1128" s="7" t="s">
        <v>325</v>
      </c>
    </row>
    <row r="1129" spans="1:10" x14ac:dyDescent="0.35">
      <c r="A1129" s="7" t="s">
        <v>40</v>
      </c>
      <c r="B1129" s="7" t="s">
        <v>41</v>
      </c>
      <c r="C1129" s="7" t="s">
        <v>118</v>
      </c>
      <c r="D1129" s="9">
        <v>0.15</v>
      </c>
      <c r="E1129" s="9">
        <v>0.15</v>
      </c>
      <c r="F1129" s="9">
        <v>7.0000000000000007E-2</v>
      </c>
      <c r="G1129" s="9">
        <v>31.53</v>
      </c>
      <c r="H1129" s="9">
        <v>35.17</v>
      </c>
      <c r="I1129" s="9">
        <v>19.75</v>
      </c>
      <c r="J1129" s="7" t="s">
        <v>325</v>
      </c>
    </row>
    <row r="1130" spans="1:10" x14ac:dyDescent="0.35">
      <c r="A1130" s="7" t="s">
        <v>16</v>
      </c>
      <c r="B1130" s="7" t="s">
        <v>109</v>
      </c>
      <c r="C1130" s="7" t="s">
        <v>72</v>
      </c>
      <c r="D1130" s="9">
        <v>0.25</v>
      </c>
      <c r="E1130" s="9">
        <v>0.55000000000000004</v>
      </c>
      <c r="F1130" s="9">
        <v>7.0000000000000007E-2</v>
      </c>
      <c r="G1130" s="9">
        <v>51.08</v>
      </c>
      <c r="H1130" s="9">
        <v>121.78</v>
      </c>
      <c r="I1130" s="9">
        <v>13.3</v>
      </c>
      <c r="J1130" s="7" t="s">
        <v>325</v>
      </c>
    </row>
    <row r="1131" spans="1:10" x14ac:dyDescent="0.35">
      <c r="A1131" s="7" t="s">
        <v>86</v>
      </c>
      <c r="B1131" s="7" t="s">
        <v>87</v>
      </c>
      <c r="C1131" s="7" t="s">
        <v>125</v>
      </c>
      <c r="D1131" s="9">
        <v>0.13</v>
      </c>
      <c r="E1131" s="9">
        <v>0.18</v>
      </c>
      <c r="F1131" s="9">
        <v>7.0000000000000007E-2</v>
      </c>
      <c r="G1131" s="9">
        <v>35.159999999999997</v>
      </c>
      <c r="H1131" s="9">
        <v>27.1</v>
      </c>
      <c r="I1131" s="9">
        <v>10.42</v>
      </c>
      <c r="J1131" s="7" t="s">
        <v>325</v>
      </c>
    </row>
    <row r="1132" spans="1:10" x14ac:dyDescent="0.35">
      <c r="A1132" s="7" t="s">
        <v>57</v>
      </c>
      <c r="B1132" s="7" t="s">
        <v>225</v>
      </c>
      <c r="C1132" s="7" t="s">
        <v>126</v>
      </c>
      <c r="D1132" s="9">
        <v>0</v>
      </c>
      <c r="E1132" s="9">
        <v>0</v>
      </c>
      <c r="F1132" s="9">
        <v>7.0000000000000007E-2</v>
      </c>
      <c r="G1132" s="9">
        <v>0</v>
      </c>
      <c r="H1132" s="9">
        <v>0</v>
      </c>
      <c r="I1132" s="9">
        <v>42.69</v>
      </c>
      <c r="J1132" s="7" t="s">
        <v>325</v>
      </c>
    </row>
    <row r="1133" spans="1:10" x14ac:dyDescent="0.35">
      <c r="A1133" s="7" t="s">
        <v>23</v>
      </c>
      <c r="B1133" s="7" t="s">
        <v>136</v>
      </c>
      <c r="C1133" s="7" t="s">
        <v>48</v>
      </c>
      <c r="D1133" s="9">
        <v>0.08</v>
      </c>
      <c r="E1133" s="9">
        <v>0.31</v>
      </c>
      <c r="F1133" s="9">
        <v>7.0000000000000007E-2</v>
      </c>
      <c r="G1133" s="9">
        <v>35.36</v>
      </c>
      <c r="H1133" s="9">
        <v>124.4</v>
      </c>
      <c r="I1133" s="9">
        <v>34.770000000000003</v>
      </c>
      <c r="J1133" s="7" t="s">
        <v>325</v>
      </c>
    </row>
    <row r="1134" spans="1:10" x14ac:dyDescent="0.35">
      <c r="A1134" s="7" t="s">
        <v>77</v>
      </c>
      <c r="B1134" s="7" t="s">
        <v>132</v>
      </c>
      <c r="C1134" s="7" t="s">
        <v>72</v>
      </c>
      <c r="D1134" s="9">
        <v>0</v>
      </c>
      <c r="E1134" s="9">
        <v>0.17</v>
      </c>
      <c r="F1134" s="9">
        <v>7.0000000000000007E-2</v>
      </c>
      <c r="G1134" s="9">
        <v>0</v>
      </c>
      <c r="H1134" s="9">
        <v>60.82</v>
      </c>
      <c r="I1134" s="9">
        <v>28.07</v>
      </c>
      <c r="J1134" s="7" t="s">
        <v>325</v>
      </c>
    </row>
    <row r="1135" spans="1:10" x14ac:dyDescent="0.35">
      <c r="A1135" s="7" t="s">
        <v>79</v>
      </c>
      <c r="B1135" s="7" t="s">
        <v>80</v>
      </c>
      <c r="C1135" s="7" t="s">
        <v>84</v>
      </c>
      <c r="D1135" s="9">
        <v>0.23</v>
      </c>
      <c r="E1135" s="9">
        <v>0.25</v>
      </c>
      <c r="F1135" s="9">
        <v>7.0000000000000007E-2</v>
      </c>
      <c r="G1135" s="9">
        <v>18.95</v>
      </c>
      <c r="H1135" s="9">
        <v>20.28</v>
      </c>
      <c r="I1135" s="9">
        <v>5.4</v>
      </c>
      <c r="J1135" s="7" t="s">
        <v>325</v>
      </c>
    </row>
    <row r="1136" spans="1:10" x14ac:dyDescent="0.35">
      <c r="A1136" s="7" t="s">
        <v>23</v>
      </c>
      <c r="B1136" s="7" t="s">
        <v>136</v>
      </c>
      <c r="C1136" s="7" t="s">
        <v>33</v>
      </c>
      <c r="D1136" s="9">
        <v>0.09</v>
      </c>
      <c r="E1136" s="9">
        <v>0.16</v>
      </c>
      <c r="F1136" s="9">
        <v>7.0000000000000007E-2</v>
      </c>
      <c r="G1136" s="9">
        <v>37.35</v>
      </c>
      <c r="H1136" s="9">
        <v>70.2</v>
      </c>
      <c r="I1136" s="9">
        <v>38.200000000000003</v>
      </c>
      <c r="J1136" s="7" t="s">
        <v>325</v>
      </c>
    </row>
    <row r="1137" spans="1:10" x14ac:dyDescent="0.35">
      <c r="A1137" s="7" t="s">
        <v>40</v>
      </c>
      <c r="B1137" s="7" t="s">
        <v>220</v>
      </c>
      <c r="C1137" s="7" t="s">
        <v>39</v>
      </c>
      <c r="D1137" s="9">
        <v>0.01</v>
      </c>
      <c r="E1137" s="9">
        <v>0.17</v>
      </c>
      <c r="F1137" s="9">
        <v>7.0000000000000007E-2</v>
      </c>
      <c r="G1137" s="9">
        <v>1.62</v>
      </c>
      <c r="H1137" s="9">
        <v>88.8</v>
      </c>
      <c r="I1137" s="9">
        <v>37.369999999999997</v>
      </c>
      <c r="J1137" s="7" t="s">
        <v>325</v>
      </c>
    </row>
    <row r="1138" spans="1:10" x14ac:dyDescent="0.35">
      <c r="A1138" s="7" t="s">
        <v>20</v>
      </c>
      <c r="B1138" s="7" t="s">
        <v>222</v>
      </c>
      <c r="C1138" s="7" t="s">
        <v>76</v>
      </c>
      <c r="D1138" s="9">
        <v>0</v>
      </c>
      <c r="E1138" s="9">
        <v>0.09</v>
      </c>
      <c r="F1138" s="9">
        <v>7.0000000000000007E-2</v>
      </c>
      <c r="G1138" s="9">
        <v>0</v>
      </c>
      <c r="H1138" s="9">
        <v>21.4</v>
      </c>
      <c r="I1138" s="9">
        <v>16.43</v>
      </c>
      <c r="J1138" s="7" t="s">
        <v>325</v>
      </c>
    </row>
    <row r="1139" spans="1:10" x14ac:dyDescent="0.35">
      <c r="A1139" s="7" t="s">
        <v>31</v>
      </c>
      <c r="B1139" s="7" t="s">
        <v>141</v>
      </c>
      <c r="C1139" s="7" t="s">
        <v>122</v>
      </c>
      <c r="D1139" s="9">
        <v>0.5</v>
      </c>
      <c r="E1139" s="9">
        <v>0.28999999999999998</v>
      </c>
      <c r="F1139" s="9">
        <v>7.0000000000000007E-2</v>
      </c>
      <c r="G1139" s="8">
        <v>1241.68</v>
      </c>
      <c r="H1139" s="9">
        <v>842.03</v>
      </c>
      <c r="I1139" s="9">
        <v>220.09</v>
      </c>
      <c r="J1139" s="7" t="s">
        <v>325</v>
      </c>
    </row>
    <row r="1140" spans="1:10" x14ac:dyDescent="0.35">
      <c r="A1140" s="7" t="s">
        <v>31</v>
      </c>
      <c r="B1140" s="7" t="s">
        <v>152</v>
      </c>
      <c r="C1140" s="7" t="s">
        <v>83</v>
      </c>
      <c r="D1140" s="9">
        <v>3.79</v>
      </c>
      <c r="E1140" s="9">
        <v>2.41</v>
      </c>
      <c r="F1140" s="9">
        <v>7.0000000000000007E-2</v>
      </c>
      <c r="G1140" s="8">
        <v>9995.4500000000007</v>
      </c>
      <c r="H1140" s="8">
        <v>5912.37</v>
      </c>
      <c r="I1140" s="9">
        <v>189.3</v>
      </c>
      <c r="J1140" s="7" t="s">
        <v>325</v>
      </c>
    </row>
    <row r="1141" spans="1:10" x14ac:dyDescent="0.35">
      <c r="A1141" s="7" t="s">
        <v>86</v>
      </c>
      <c r="B1141" s="7" t="s">
        <v>207</v>
      </c>
      <c r="C1141" s="7" t="s">
        <v>18</v>
      </c>
      <c r="D1141" s="9">
        <v>0</v>
      </c>
      <c r="E1141" s="9">
        <v>0.26</v>
      </c>
      <c r="F1141" s="9">
        <v>7.0000000000000007E-2</v>
      </c>
      <c r="G1141" s="9">
        <v>0</v>
      </c>
      <c r="H1141" s="9">
        <v>212.9</v>
      </c>
      <c r="I1141" s="9">
        <v>45.15</v>
      </c>
      <c r="J1141" s="7" t="s">
        <v>325</v>
      </c>
    </row>
    <row r="1142" spans="1:10" x14ac:dyDescent="0.35">
      <c r="A1142" s="7" t="s">
        <v>23</v>
      </c>
      <c r="B1142" s="7" t="s">
        <v>44</v>
      </c>
      <c r="C1142" s="7" t="s">
        <v>46</v>
      </c>
      <c r="D1142" s="9">
        <v>0.03</v>
      </c>
      <c r="E1142" s="9">
        <v>0.03</v>
      </c>
      <c r="F1142" s="9">
        <v>7.0000000000000007E-2</v>
      </c>
      <c r="G1142" s="9">
        <v>6.97</v>
      </c>
      <c r="H1142" s="9">
        <v>10.84</v>
      </c>
      <c r="I1142" s="9">
        <v>18.82</v>
      </c>
      <c r="J1142" s="7" t="s">
        <v>325</v>
      </c>
    </row>
    <row r="1143" spans="1:10" x14ac:dyDescent="0.35">
      <c r="A1143" s="7" t="s">
        <v>31</v>
      </c>
      <c r="B1143" s="7" t="s">
        <v>192</v>
      </c>
      <c r="C1143" s="7" t="s">
        <v>122</v>
      </c>
      <c r="D1143" s="9">
        <v>0.53</v>
      </c>
      <c r="E1143" s="9">
        <v>0.42</v>
      </c>
      <c r="F1143" s="9">
        <v>7.0000000000000007E-2</v>
      </c>
      <c r="G1143" s="9">
        <v>44.12</v>
      </c>
      <c r="H1143" s="9">
        <v>36.590000000000003</v>
      </c>
      <c r="I1143" s="9">
        <v>5.51</v>
      </c>
      <c r="J1143" s="7" t="s">
        <v>325</v>
      </c>
    </row>
    <row r="1144" spans="1:10" x14ac:dyDescent="0.35">
      <c r="A1144" s="7" t="s">
        <v>74</v>
      </c>
      <c r="B1144" s="7" t="s">
        <v>137</v>
      </c>
      <c r="C1144" s="7" t="s">
        <v>128</v>
      </c>
      <c r="D1144" s="9">
        <v>0.16</v>
      </c>
      <c r="E1144" s="9">
        <v>0.11</v>
      </c>
      <c r="F1144" s="9">
        <v>7.0000000000000007E-2</v>
      </c>
      <c r="G1144" s="9">
        <v>15.86</v>
      </c>
      <c r="H1144" s="9">
        <v>10.210000000000001</v>
      </c>
      <c r="I1144" s="9">
        <v>7.14</v>
      </c>
      <c r="J1144" s="7" t="s">
        <v>325</v>
      </c>
    </row>
    <row r="1145" spans="1:10" x14ac:dyDescent="0.35">
      <c r="A1145" s="7" t="s">
        <v>31</v>
      </c>
      <c r="B1145" s="7" t="s">
        <v>32</v>
      </c>
      <c r="C1145" s="7" t="s">
        <v>72</v>
      </c>
      <c r="D1145" s="9">
        <v>0.22</v>
      </c>
      <c r="E1145" s="9">
        <v>0.28000000000000003</v>
      </c>
      <c r="F1145" s="9">
        <v>0.06</v>
      </c>
      <c r="G1145" s="9">
        <v>90.28</v>
      </c>
      <c r="H1145" s="9">
        <v>90.85</v>
      </c>
      <c r="I1145" s="9">
        <v>23.65</v>
      </c>
      <c r="J1145" s="7" t="s">
        <v>325</v>
      </c>
    </row>
    <row r="1146" spans="1:10" x14ac:dyDescent="0.35">
      <c r="A1146" s="7" t="s">
        <v>20</v>
      </c>
      <c r="B1146" s="7" t="s">
        <v>68</v>
      </c>
      <c r="C1146" s="7" t="s">
        <v>83</v>
      </c>
      <c r="D1146" s="9">
        <v>0.15</v>
      </c>
      <c r="E1146" s="9">
        <v>0.35</v>
      </c>
      <c r="F1146" s="9">
        <v>0.06</v>
      </c>
      <c r="G1146" s="9">
        <v>69.819999999999993</v>
      </c>
      <c r="H1146" s="9">
        <v>116.38</v>
      </c>
      <c r="I1146" s="9">
        <v>13.88</v>
      </c>
      <c r="J1146" s="7" t="s">
        <v>325</v>
      </c>
    </row>
    <row r="1147" spans="1:10" x14ac:dyDescent="0.35">
      <c r="A1147" s="7" t="s">
        <v>94</v>
      </c>
      <c r="B1147" s="7" t="s">
        <v>238</v>
      </c>
      <c r="C1147" s="7" t="s">
        <v>39</v>
      </c>
      <c r="D1147" s="9">
        <v>0.08</v>
      </c>
      <c r="E1147" s="9">
        <v>0.27</v>
      </c>
      <c r="F1147" s="9">
        <v>0.06</v>
      </c>
      <c r="G1147" s="9">
        <v>31.4</v>
      </c>
      <c r="H1147" s="9">
        <v>77.260000000000005</v>
      </c>
      <c r="I1147" s="9">
        <v>1.1499999999999999</v>
      </c>
      <c r="J1147" s="7" t="s">
        <v>325</v>
      </c>
    </row>
    <row r="1148" spans="1:10" x14ac:dyDescent="0.35">
      <c r="A1148" s="7" t="s">
        <v>159</v>
      </c>
      <c r="B1148" s="7" t="s">
        <v>218</v>
      </c>
      <c r="C1148" s="7" t="s">
        <v>18</v>
      </c>
      <c r="D1148" s="9">
        <v>0</v>
      </c>
      <c r="E1148" s="9">
        <v>0.12</v>
      </c>
      <c r="F1148" s="9">
        <v>0.06</v>
      </c>
      <c r="G1148" s="9">
        <v>0</v>
      </c>
      <c r="H1148" s="9">
        <v>181.2</v>
      </c>
      <c r="I1148" s="9">
        <v>91</v>
      </c>
      <c r="J1148" s="7" t="s">
        <v>325</v>
      </c>
    </row>
    <row r="1149" spans="1:10" x14ac:dyDescent="0.35">
      <c r="A1149" s="7" t="s">
        <v>20</v>
      </c>
      <c r="B1149" s="7" t="s">
        <v>173</v>
      </c>
      <c r="C1149" s="7" t="s">
        <v>54</v>
      </c>
      <c r="D1149" s="9">
        <v>0.1</v>
      </c>
      <c r="E1149" s="9">
        <v>0.12</v>
      </c>
      <c r="F1149" s="9">
        <v>0.06</v>
      </c>
      <c r="G1149" s="9">
        <v>33.69</v>
      </c>
      <c r="H1149" s="9">
        <v>39.25</v>
      </c>
      <c r="I1149" s="9">
        <v>15.91</v>
      </c>
      <c r="J1149" s="7" t="s">
        <v>325</v>
      </c>
    </row>
    <row r="1150" spans="1:10" x14ac:dyDescent="0.35">
      <c r="A1150" s="7" t="s">
        <v>40</v>
      </c>
      <c r="B1150" s="7" t="s">
        <v>85</v>
      </c>
      <c r="C1150" s="7" t="s">
        <v>118</v>
      </c>
      <c r="D1150" s="9">
        <v>0.03</v>
      </c>
      <c r="E1150" s="9">
        <v>0.05</v>
      </c>
      <c r="F1150" s="9">
        <v>0.06</v>
      </c>
      <c r="G1150" s="9">
        <v>5.26</v>
      </c>
      <c r="H1150" s="9">
        <v>15.4</v>
      </c>
      <c r="I1150" s="9">
        <v>31.65</v>
      </c>
      <c r="J1150" s="7" t="s">
        <v>325</v>
      </c>
    </row>
    <row r="1151" spans="1:10" x14ac:dyDescent="0.35">
      <c r="A1151" s="7" t="s">
        <v>40</v>
      </c>
      <c r="B1151" s="7" t="s">
        <v>220</v>
      </c>
      <c r="C1151" s="7" t="s">
        <v>54</v>
      </c>
      <c r="D1151" s="9">
        <v>0.02</v>
      </c>
      <c r="E1151" s="9">
        <v>0.12</v>
      </c>
      <c r="F1151" s="9">
        <v>0.06</v>
      </c>
      <c r="G1151" s="9">
        <v>10.199999999999999</v>
      </c>
      <c r="H1151" s="9">
        <v>57.53</v>
      </c>
      <c r="I1151" s="9">
        <v>28.9</v>
      </c>
      <c r="J1151" s="7" t="s">
        <v>325</v>
      </c>
    </row>
    <row r="1152" spans="1:10" x14ac:dyDescent="0.35">
      <c r="A1152" s="7" t="s">
        <v>129</v>
      </c>
      <c r="B1152" s="7" t="s">
        <v>147</v>
      </c>
      <c r="C1152" s="7" t="s">
        <v>48</v>
      </c>
      <c r="D1152" s="9">
        <v>0.16</v>
      </c>
      <c r="E1152" s="9">
        <v>0.19</v>
      </c>
      <c r="F1152" s="9">
        <v>0.06</v>
      </c>
      <c r="G1152" s="9">
        <v>230.05</v>
      </c>
      <c r="H1152" s="9">
        <v>286.63</v>
      </c>
      <c r="I1152" s="9">
        <v>114.26</v>
      </c>
      <c r="J1152" s="7" t="s">
        <v>325</v>
      </c>
    </row>
    <row r="1153" spans="1:10" x14ac:dyDescent="0.35">
      <c r="A1153" s="7" t="s">
        <v>189</v>
      </c>
      <c r="B1153" s="7" t="s">
        <v>193</v>
      </c>
      <c r="C1153" s="7" t="s">
        <v>59</v>
      </c>
      <c r="D1153" s="9">
        <v>0.1</v>
      </c>
      <c r="E1153" s="9">
        <v>0.49</v>
      </c>
      <c r="F1153" s="9">
        <v>0.06</v>
      </c>
      <c r="G1153" s="9">
        <v>53.79</v>
      </c>
      <c r="H1153" s="9">
        <v>218.45</v>
      </c>
      <c r="I1153" s="9">
        <v>31.45</v>
      </c>
      <c r="J1153" s="7" t="s">
        <v>325</v>
      </c>
    </row>
    <row r="1154" spans="1:10" x14ac:dyDescent="0.35">
      <c r="A1154" s="7" t="s">
        <v>20</v>
      </c>
      <c r="B1154" s="7" t="s">
        <v>68</v>
      </c>
      <c r="C1154" s="7" t="s">
        <v>170</v>
      </c>
      <c r="D1154" s="9">
        <v>0.21</v>
      </c>
      <c r="E1154" s="9">
        <v>0.24</v>
      </c>
      <c r="F1154" s="9">
        <v>0.06</v>
      </c>
      <c r="G1154" s="9">
        <v>79.180000000000007</v>
      </c>
      <c r="H1154" s="9">
        <v>77.05</v>
      </c>
      <c r="I1154" s="9">
        <v>20.46</v>
      </c>
      <c r="J1154" s="7" t="s">
        <v>325</v>
      </c>
    </row>
    <row r="1155" spans="1:10" x14ac:dyDescent="0.35">
      <c r="A1155" s="7" t="s">
        <v>20</v>
      </c>
      <c r="B1155" s="7" t="s">
        <v>56</v>
      </c>
      <c r="C1155" s="7" t="s">
        <v>60</v>
      </c>
      <c r="D1155" s="9">
        <v>0</v>
      </c>
      <c r="E1155" s="9">
        <v>0.09</v>
      </c>
      <c r="F1155" s="9">
        <v>0.06</v>
      </c>
      <c r="G1155" s="9">
        <v>0</v>
      </c>
      <c r="H1155" s="9">
        <v>49.41</v>
      </c>
      <c r="I1155" s="9">
        <v>40.799999999999997</v>
      </c>
      <c r="J1155" s="7" t="s">
        <v>325</v>
      </c>
    </row>
    <row r="1156" spans="1:10" x14ac:dyDescent="0.35">
      <c r="A1156" s="7" t="s">
        <v>40</v>
      </c>
      <c r="B1156" s="7" t="s">
        <v>117</v>
      </c>
      <c r="C1156" s="7" t="s">
        <v>122</v>
      </c>
      <c r="D1156" s="9">
        <v>0.24</v>
      </c>
      <c r="E1156" s="9">
        <v>0.36</v>
      </c>
      <c r="F1156" s="9">
        <v>0.06</v>
      </c>
      <c r="G1156" s="9">
        <v>55.17</v>
      </c>
      <c r="H1156" s="9">
        <v>81.010000000000005</v>
      </c>
      <c r="I1156" s="9">
        <v>12.05</v>
      </c>
      <c r="J1156" s="7" t="s">
        <v>325</v>
      </c>
    </row>
    <row r="1157" spans="1:10" x14ac:dyDescent="0.35">
      <c r="A1157" s="7" t="s">
        <v>40</v>
      </c>
      <c r="B1157" s="7" t="s">
        <v>164</v>
      </c>
      <c r="C1157" s="7" t="s">
        <v>72</v>
      </c>
      <c r="D1157" s="9">
        <v>0.2</v>
      </c>
      <c r="E1157" s="9">
        <v>0.24</v>
      </c>
      <c r="F1157" s="9">
        <v>0.06</v>
      </c>
      <c r="G1157" s="9">
        <v>30</v>
      </c>
      <c r="H1157" s="9">
        <v>55.38</v>
      </c>
      <c r="I1157" s="9">
        <v>13.36</v>
      </c>
      <c r="J1157" s="7" t="s">
        <v>325</v>
      </c>
    </row>
    <row r="1158" spans="1:10" x14ac:dyDescent="0.35">
      <c r="A1158" s="7" t="s">
        <v>74</v>
      </c>
      <c r="B1158" s="7" t="s">
        <v>75</v>
      </c>
      <c r="C1158" s="7" t="s">
        <v>126</v>
      </c>
      <c r="D1158" s="9">
        <v>0.22</v>
      </c>
      <c r="E1158" s="9">
        <v>0.02</v>
      </c>
      <c r="F1158" s="9">
        <v>0.06</v>
      </c>
      <c r="G1158" s="9">
        <v>100.43</v>
      </c>
      <c r="H1158" s="9">
        <v>10.68</v>
      </c>
      <c r="I1158" s="9">
        <v>29.66</v>
      </c>
      <c r="J1158" s="7" t="s">
        <v>325</v>
      </c>
    </row>
    <row r="1159" spans="1:10" x14ac:dyDescent="0.35">
      <c r="A1159" s="7" t="s">
        <v>94</v>
      </c>
      <c r="B1159" s="7" t="s">
        <v>112</v>
      </c>
      <c r="C1159" s="7" t="s">
        <v>51</v>
      </c>
      <c r="D1159" s="9">
        <v>0.62</v>
      </c>
      <c r="E1159" s="9">
        <v>0.5</v>
      </c>
      <c r="F1159" s="9">
        <v>0.06</v>
      </c>
      <c r="G1159" s="9">
        <v>691.17</v>
      </c>
      <c r="H1159" s="9">
        <v>560.72</v>
      </c>
      <c r="I1159" s="9">
        <v>62.02</v>
      </c>
      <c r="J1159" s="7" t="s">
        <v>325</v>
      </c>
    </row>
    <row r="1160" spans="1:10" x14ac:dyDescent="0.35">
      <c r="A1160" s="7" t="s">
        <v>77</v>
      </c>
      <c r="B1160" s="7" t="s">
        <v>132</v>
      </c>
      <c r="C1160" s="7" t="s">
        <v>59</v>
      </c>
      <c r="D1160" s="9">
        <v>0.05</v>
      </c>
      <c r="E1160" s="9">
        <v>0.16</v>
      </c>
      <c r="F1160" s="9">
        <v>0.06</v>
      </c>
      <c r="G1160" s="9">
        <v>2.69</v>
      </c>
      <c r="H1160" s="9">
        <v>7.52</v>
      </c>
      <c r="I1160" s="9">
        <v>3.13</v>
      </c>
      <c r="J1160" s="7" t="s">
        <v>325</v>
      </c>
    </row>
    <row r="1161" spans="1:10" x14ac:dyDescent="0.35">
      <c r="A1161" s="7" t="s">
        <v>231</v>
      </c>
      <c r="B1161" s="7" t="s">
        <v>232</v>
      </c>
      <c r="C1161" s="7" t="s">
        <v>54</v>
      </c>
      <c r="D1161" s="9">
        <v>0.15</v>
      </c>
      <c r="E1161" s="9">
        <v>0.13</v>
      </c>
      <c r="F1161" s="9">
        <v>0.06</v>
      </c>
      <c r="G1161" s="9">
        <v>323.92</v>
      </c>
      <c r="H1161" s="9">
        <v>300.04000000000002</v>
      </c>
      <c r="I1161" s="9">
        <v>175.51</v>
      </c>
      <c r="J1161" s="7" t="s">
        <v>325</v>
      </c>
    </row>
    <row r="1162" spans="1:10" x14ac:dyDescent="0.35">
      <c r="A1162" s="7" t="s">
        <v>16</v>
      </c>
      <c r="B1162" s="7" t="s">
        <v>135</v>
      </c>
      <c r="C1162" s="7" t="s">
        <v>42</v>
      </c>
      <c r="D1162" s="9">
        <v>0.14000000000000001</v>
      </c>
      <c r="E1162" s="9">
        <v>0.16</v>
      </c>
      <c r="F1162" s="9">
        <v>0.06</v>
      </c>
      <c r="G1162" s="9">
        <v>45.06</v>
      </c>
      <c r="H1162" s="9">
        <v>58.37</v>
      </c>
      <c r="I1162" s="9">
        <v>16.32</v>
      </c>
      <c r="J1162" s="7" t="s">
        <v>325</v>
      </c>
    </row>
    <row r="1163" spans="1:10" x14ac:dyDescent="0.35">
      <c r="A1163" s="7" t="s">
        <v>49</v>
      </c>
      <c r="B1163" s="7" t="s">
        <v>176</v>
      </c>
      <c r="C1163" s="7" t="s">
        <v>53</v>
      </c>
      <c r="D1163" s="9">
        <v>0.03</v>
      </c>
      <c r="E1163" s="9">
        <v>0.26</v>
      </c>
      <c r="F1163" s="9">
        <v>0.06</v>
      </c>
      <c r="G1163" s="9">
        <v>27.62</v>
      </c>
      <c r="H1163" s="9">
        <v>201.21</v>
      </c>
      <c r="I1163" s="9">
        <v>52.16</v>
      </c>
      <c r="J1163" s="7" t="s">
        <v>325</v>
      </c>
    </row>
    <row r="1164" spans="1:10" x14ac:dyDescent="0.35">
      <c r="A1164" s="7" t="s">
        <v>16</v>
      </c>
      <c r="B1164" s="7" t="s">
        <v>115</v>
      </c>
      <c r="C1164" s="7" t="s">
        <v>65</v>
      </c>
      <c r="D1164" s="9">
        <v>0.02</v>
      </c>
      <c r="E1164" s="9">
        <v>0.24</v>
      </c>
      <c r="F1164" s="9">
        <v>0.06</v>
      </c>
      <c r="G1164" s="9">
        <v>23.93</v>
      </c>
      <c r="H1164" s="9">
        <v>321.74</v>
      </c>
      <c r="I1164" s="9">
        <v>114.29</v>
      </c>
      <c r="J1164" s="7" t="s">
        <v>325</v>
      </c>
    </row>
    <row r="1165" spans="1:10" x14ac:dyDescent="0.35">
      <c r="A1165" s="7" t="s">
        <v>20</v>
      </c>
      <c r="B1165" s="7" t="s">
        <v>235</v>
      </c>
      <c r="C1165" s="7" t="s">
        <v>42</v>
      </c>
      <c r="D1165" s="9">
        <v>2.12</v>
      </c>
      <c r="E1165" s="9">
        <v>1.6</v>
      </c>
      <c r="F1165" s="9">
        <v>0.06</v>
      </c>
      <c r="G1165" s="9">
        <v>346.81</v>
      </c>
      <c r="H1165" s="9">
        <v>263.91000000000003</v>
      </c>
      <c r="I1165" s="9">
        <v>7.88</v>
      </c>
      <c r="J1165" s="7" t="s">
        <v>325</v>
      </c>
    </row>
    <row r="1166" spans="1:10" x14ac:dyDescent="0.35">
      <c r="A1166" s="7" t="s">
        <v>86</v>
      </c>
      <c r="B1166" s="7" t="s">
        <v>106</v>
      </c>
      <c r="C1166" s="7" t="s">
        <v>65</v>
      </c>
      <c r="D1166" s="9">
        <v>0.05</v>
      </c>
      <c r="E1166" s="9">
        <v>7.0000000000000007E-2</v>
      </c>
      <c r="F1166" s="9">
        <v>0.06</v>
      </c>
      <c r="G1166" s="9">
        <v>43.1</v>
      </c>
      <c r="H1166" s="9">
        <v>80.459999999999994</v>
      </c>
      <c r="I1166" s="9">
        <v>72.099999999999994</v>
      </c>
      <c r="J1166" s="7" t="s">
        <v>325</v>
      </c>
    </row>
    <row r="1167" spans="1:10" x14ac:dyDescent="0.35">
      <c r="A1167" s="7" t="s">
        <v>79</v>
      </c>
      <c r="B1167" s="7" t="s">
        <v>80</v>
      </c>
      <c r="C1167" s="7" t="s">
        <v>102</v>
      </c>
      <c r="D1167" s="9">
        <v>0.05</v>
      </c>
      <c r="E1167" s="9">
        <v>0.24</v>
      </c>
      <c r="F1167" s="9">
        <v>0.06</v>
      </c>
      <c r="G1167" s="9">
        <v>20.91</v>
      </c>
      <c r="H1167" s="9">
        <v>66.540000000000006</v>
      </c>
      <c r="I1167" s="9">
        <v>57.73</v>
      </c>
      <c r="J1167" s="7" t="s">
        <v>325</v>
      </c>
    </row>
    <row r="1168" spans="1:10" x14ac:dyDescent="0.35">
      <c r="A1168" s="7" t="s">
        <v>31</v>
      </c>
      <c r="B1168" s="7" t="s">
        <v>131</v>
      </c>
      <c r="C1168" s="7" t="s">
        <v>122</v>
      </c>
      <c r="D1168" s="9">
        <v>0.16</v>
      </c>
      <c r="E1168" s="9">
        <v>0.19</v>
      </c>
      <c r="F1168" s="9">
        <v>0.06</v>
      </c>
      <c r="G1168" s="9">
        <v>12.28</v>
      </c>
      <c r="H1168" s="9">
        <v>35.85</v>
      </c>
      <c r="I1168" s="9">
        <v>6.23</v>
      </c>
      <c r="J1168" s="7" t="s">
        <v>325</v>
      </c>
    </row>
    <row r="1169" spans="1:10" x14ac:dyDescent="0.35">
      <c r="A1169" s="7" t="s">
        <v>20</v>
      </c>
      <c r="B1169" s="7" t="s">
        <v>173</v>
      </c>
      <c r="C1169" s="7" t="s">
        <v>151</v>
      </c>
      <c r="D1169" s="9">
        <v>0.03</v>
      </c>
      <c r="E1169" s="9">
        <v>0.1</v>
      </c>
      <c r="F1169" s="9">
        <v>0.06</v>
      </c>
      <c r="G1169" s="9">
        <v>10.07</v>
      </c>
      <c r="H1169" s="9">
        <v>55.16</v>
      </c>
      <c r="I1169" s="9">
        <v>24.92</v>
      </c>
      <c r="J1169" s="7" t="s">
        <v>325</v>
      </c>
    </row>
    <row r="1170" spans="1:10" x14ac:dyDescent="0.35">
      <c r="A1170" s="7" t="s">
        <v>25</v>
      </c>
      <c r="B1170" s="7" t="s">
        <v>206</v>
      </c>
      <c r="C1170" s="7" t="s">
        <v>60</v>
      </c>
      <c r="D1170" s="9">
        <v>0.19</v>
      </c>
      <c r="E1170" s="9">
        <v>0.01</v>
      </c>
      <c r="F1170" s="9">
        <v>0.06</v>
      </c>
      <c r="G1170" s="9">
        <v>9.3800000000000008</v>
      </c>
      <c r="H1170" s="9">
        <v>0.1</v>
      </c>
      <c r="I1170" s="9">
        <v>2.1800000000000002</v>
      </c>
      <c r="J1170" s="7" t="s">
        <v>325</v>
      </c>
    </row>
    <row r="1171" spans="1:10" x14ac:dyDescent="0.35">
      <c r="A1171" s="7" t="s">
        <v>40</v>
      </c>
      <c r="B1171" s="7" t="s">
        <v>85</v>
      </c>
      <c r="C1171" s="7" t="s">
        <v>114</v>
      </c>
      <c r="D1171" s="9">
        <v>0</v>
      </c>
      <c r="E1171" s="9">
        <v>0</v>
      </c>
      <c r="F1171" s="9">
        <v>0.06</v>
      </c>
      <c r="G1171" s="9">
        <v>0.03</v>
      </c>
      <c r="H1171" s="9">
        <v>0</v>
      </c>
      <c r="I1171" s="9">
        <v>20</v>
      </c>
      <c r="J1171" s="7" t="s">
        <v>325</v>
      </c>
    </row>
    <row r="1172" spans="1:10" x14ac:dyDescent="0.35">
      <c r="A1172" s="7" t="s">
        <v>40</v>
      </c>
      <c r="B1172" s="7" t="s">
        <v>64</v>
      </c>
      <c r="C1172" s="7" t="s">
        <v>55</v>
      </c>
      <c r="D1172" s="9">
        <v>0.54</v>
      </c>
      <c r="E1172" s="9">
        <v>0.06</v>
      </c>
      <c r="F1172" s="9">
        <v>0.06</v>
      </c>
      <c r="G1172" s="8">
        <v>1147.28</v>
      </c>
      <c r="H1172" s="9">
        <v>128.74</v>
      </c>
      <c r="I1172" s="9">
        <v>94.41</v>
      </c>
      <c r="J1172" s="7" t="s">
        <v>325</v>
      </c>
    </row>
    <row r="1173" spans="1:10" x14ac:dyDescent="0.35">
      <c r="A1173" s="7" t="s">
        <v>129</v>
      </c>
      <c r="B1173" s="7" t="s">
        <v>147</v>
      </c>
      <c r="C1173" s="7" t="s">
        <v>76</v>
      </c>
      <c r="D1173" s="9">
        <v>0</v>
      </c>
      <c r="E1173" s="9">
        <v>0.06</v>
      </c>
      <c r="F1173" s="9">
        <v>0.06</v>
      </c>
      <c r="G1173" s="9">
        <v>0</v>
      </c>
      <c r="H1173" s="9">
        <v>232.47</v>
      </c>
      <c r="I1173" s="9">
        <v>235.5</v>
      </c>
      <c r="J1173" s="7" t="s">
        <v>325</v>
      </c>
    </row>
    <row r="1174" spans="1:10" x14ac:dyDescent="0.35">
      <c r="A1174" s="7" t="s">
        <v>23</v>
      </c>
      <c r="B1174" s="7" t="s">
        <v>124</v>
      </c>
      <c r="C1174" s="7" t="s">
        <v>116</v>
      </c>
      <c r="D1174" s="9">
        <v>0</v>
      </c>
      <c r="E1174" s="9">
        <v>0.75</v>
      </c>
      <c r="F1174" s="9">
        <v>0.06</v>
      </c>
      <c r="G1174" s="9">
        <v>0</v>
      </c>
      <c r="H1174" s="8">
        <v>5156.83</v>
      </c>
      <c r="I1174" s="9">
        <v>305.08</v>
      </c>
      <c r="J1174" s="7" t="s">
        <v>325</v>
      </c>
    </row>
    <row r="1175" spans="1:10" x14ac:dyDescent="0.35">
      <c r="A1175" s="7" t="s">
        <v>57</v>
      </c>
      <c r="B1175" s="7" t="s">
        <v>161</v>
      </c>
      <c r="C1175" s="7" t="s">
        <v>54</v>
      </c>
      <c r="D1175" s="9">
        <v>0.05</v>
      </c>
      <c r="E1175" s="9">
        <v>0.15</v>
      </c>
      <c r="F1175" s="9">
        <v>0.06</v>
      </c>
      <c r="G1175" s="9">
        <v>12.72</v>
      </c>
      <c r="H1175" s="9">
        <v>95.98</v>
      </c>
      <c r="I1175" s="9">
        <v>29.16</v>
      </c>
      <c r="J1175" s="7" t="s">
        <v>325</v>
      </c>
    </row>
    <row r="1176" spans="1:10" x14ac:dyDescent="0.35">
      <c r="A1176" s="7" t="s">
        <v>20</v>
      </c>
      <c r="B1176" s="7" t="s">
        <v>134</v>
      </c>
      <c r="C1176" s="7" t="s">
        <v>72</v>
      </c>
      <c r="D1176" s="9">
        <v>0</v>
      </c>
      <c r="E1176" s="9">
        <v>1.83</v>
      </c>
      <c r="F1176" s="9">
        <v>0.06</v>
      </c>
      <c r="G1176" s="9">
        <v>0</v>
      </c>
      <c r="H1176" s="9">
        <v>467.01</v>
      </c>
      <c r="I1176" s="9">
        <v>15.54</v>
      </c>
      <c r="J1176" s="7" t="s">
        <v>325</v>
      </c>
    </row>
    <row r="1177" spans="1:10" x14ac:dyDescent="0.35">
      <c r="A1177" s="7" t="s">
        <v>31</v>
      </c>
      <c r="B1177" s="7" t="s">
        <v>131</v>
      </c>
      <c r="C1177" s="7" t="s">
        <v>69</v>
      </c>
      <c r="D1177" s="9">
        <v>0.15</v>
      </c>
      <c r="E1177" s="9">
        <v>0.12</v>
      </c>
      <c r="F1177" s="9">
        <v>0.06</v>
      </c>
      <c r="G1177" s="9">
        <v>8.8800000000000008</v>
      </c>
      <c r="H1177" s="9">
        <v>4.41</v>
      </c>
      <c r="I1177" s="9">
        <v>1.81</v>
      </c>
      <c r="J1177" s="7" t="s">
        <v>325</v>
      </c>
    </row>
    <row r="1178" spans="1:10" x14ac:dyDescent="0.35">
      <c r="A1178" s="7" t="s">
        <v>40</v>
      </c>
      <c r="B1178" s="7" t="s">
        <v>85</v>
      </c>
      <c r="C1178" s="7" t="s">
        <v>126</v>
      </c>
      <c r="D1178" s="9">
        <v>0.55000000000000004</v>
      </c>
      <c r="E1178" s="9">
        <v>0.2</v>
      </c>
      <c r="F1178" s="9">
        <v>0.06</v>
      </c>
      <c r="G1178" s="9">
        <v>386.36</v>
      </c>
      <c r="H1178" s="9">
        <v>194.79</v>
      </c>
      <c r="I1178" s="9">
        <v>64.459999999999994</v>
      </c>
      <c r="J1178" s="7" t="s">
        <v>325</v>
      </c>
    </row>
    <row r="1179" spans="1:10" x14ac:dyDescent="0.35">
      <c r="A1179" s="7" t="s">
        <v>231</v>
      </c>
      <c r="B1179" s="7" t="s">
        <v>232</v>
      </c>
      <c r="C1179" s="7" t="s">
        <v>102</v>
      </c>
      <c r="D1179" s="9">
        <v>0.19</v>
      </c>
      <c r="E1179" s="9">
        <v>0.22</v>
      </c>
      <c r="F1179" s="9">
        <v>0.05</v>
      </c>
      <c r="G1179" s="9">
        <v>557.07000000000005</v>
      </c>
      <c r="H1179" s="9">
        <v>766.21</v>
      </c>
      <c r="I1179" s="9">
        <v>202.45</v>
      </c>
      <c r="J1179" s="7" t="s">
        <v>325</v>
      </c>
    </row>
    <row r="1180" spans="1:10" x14ac:dyDescent="0.35">
      <c r="A1180" s="7" t="s">
        <v>189</v>
      </c>
      <c r="B1180" s="7" t="s">
        <v>190</v>
      </c>
      <c r="C1180" s="7" t="s">
        <v>53</v>
      </c>
      <c r="D1180" s="9">
        <v>7.63</v>
      </c>
      <c r="E1180" s="9">
        <v>8.52</v>
      </c>
      <c r="F1180" s="9">
        <v>0.05</v>
      </c>
      <c r="G1180" s="8">
        <v>11007.15</v>
      </c>
      <c r="H1180" s="8">
        <v>11842.83</v>
      </c>
      <c r="I1180" s="9">
        <v>66.569999999999993</v>
      </c>
      <c r="J1180" s="7" t="s">
        <v>325</v>
      </c>
    </row>
    <row r="1181" spans="1:10" x14ac:dyDescent="0.35">
      <c r="A1181" s="7" t="s">
        <v>23</v>
      </c>
      <c r="B1181" s="7" t="s">
        <v>34</v>
      </c>
      <c r="C1181" s="7" t="s">
        <v>45</v>
      </c>
      <c r="D1181" s="9">
        <v>0</v>
      </c>
      <c r="E1181" s="9">
        <v>0</v>
      </c>
      <c r="F1181" s="9">
        <v>0.05</v>
      </c>
      <c r="G1181" s="9">
        <v>0</v>
      </c>
      <c r="H1181" s="9">
        <v>0</v>
      </c>
      <c r="I1181" s="9">
        <v>23.93</v>
      </c>
      <c r="J1181" s="7" t="s">
        <v>325</v>
      </c>
    </row>
    <row r="1182" spans="1:10" x14ac:dyDescent="0.35">
      <c r="A1182" s="7" t="s">
        <v>77</v>
      </c>
      <c r="B1182" s="7" t="s">
        <v>132</v>
      </c>
      <c r="C1182" s="7" t="s">
        <v>27</v>
      </c>
      <c r="D1182" s="9">
        <v>0</v>
      </c>
      <c r="E1182" s="9">
        <v>0.01</v>
      </c>
      <c r="F1182" s="9">
        <v>0.05</v>
      </c>
      <c r="G1182" s="9">
        <v>0.03</v>
      </c>
      <c r="H1182" s="9">
        <v>20.11</v>
      </c>
      <c r="I1182" s="9">
        <v>44.03</v>
      </c>
      <c r="J1182" s="7" t="s">
        <v>325</v>
      </c>
    </row>
    <row r="1183" spans="1:10" x14ac:dyDescent="0.35">
      <c r="A1183" s="7" t="s">
        <v>66</v>
      </c>
      <c r="B1183" s="7" t="s">
        <v>108</v>
      </c>
      <c r="C1183" s="7" t="s">
        <v>33</v>
      </c>
      <c r="D1183" s="9">
        <v>0.06</v>
      </c>
      <c r="E1183" s="9">
        <v>0.05</v>
      </c>
      <c r="F1183" s="9">
        <v>0.05</v>
      </c>
      <c r="G1183" s="9">
        <v>52.82</v>
      </c>
      <c r="H1183" s="9">
        <v>34.700000000000003</v>
      </c>
      <c r="I1183" s="9">
        <v>48.76</v>
      </c>
      <c r="J1183" s="7" t="s">
        <v>325</v>
      </c>
    </row>
    <row r="1184" spans="1:10" x14ac:dyDescent="0.35">
      <c r="A1184" s="7" t="s">
        <v>16</v>
      </c>
      <c r="B1184" s="7" t="s">
        <v>239</v>
      </c>
      <c r="C1184" s="7" t="s">
        <v>51</v>
      </c>
      <c r="D1184" s="9">
        <v>0.4</v>
      </c>
      <c r="E1184" s="9">
        <v>0.34</v>
      </c>
      <c r="F1184" s="9">
        <v>0.05</v>
      </c>
      <c r="G1184" s="9">
        <v>308.36</v>
      </c>
      <c r="H1184" s="9">
        <v>303</v>
      </c>
      <c r="I1184" s="9">
        <v>42.38</v>
      </c>
      <c r="J1184" s="7" t="s">
        <v>325</v>
      </c>
    </row>
    <row r="1185" spans="1:10" x14ac:dyDescent="0.35">
      <c r="A1185" s="7" t="s">
        <v>40</v>
      </c>
      <c r="B1185" s="7" t="s">
        <v>164</v>
      </c>
      <c r="C1185" s="7" t="s">
        <v>53</v>
      </c>
      <c r="D1185" s="9">
        <v>0.2</v>
      </c>
      <c r="E1185" s="9">
        <v>0.19</v>
      </c>
      <c r="F1185" s="9">
        <v>0.05</v>
      </c>
      <c r="G1185" s="9">
        <v>53.13</v>
      </c>
      <c r="H1185" s="9">
        <v>35.15</v>
      </c>
      <c r="I1185" s="9">
        <v>11.25</v>
      </c>
      <c r="J1185" s="7" t="s">
        <v>325</v>
      </c>
    </row>
    <row r="1186" spans="1:10" x14ac:dyDescent="0.35">
      <c r="A1186" s="7" t="s">
        <v>40</v>
      </c>
      <c r="B1186" s="7" t="s">
        <v>183</v>
      </c>
      <c r="C1186" s="7" t="s">
        <v>48</v>
      </c>
      <c r="D1186" s="9">
        <v>0.21</v>
      </c>
      <c r="E1186" s="9">
        <v>0.22</v>
      </c>
      <c r="F1186" s="9">
        <v>0.05</v>
      </c>
      <c r="G1186" s="9">
        <v>103.01</v>
      </c>
      <c r="H1186" s="9">
        <v>101.79</v>
      </c>
      <c r="I1186" s="9">
        <v>18.350000000000001</v>
      </c>
      <c r="J1186" s="7" t="s">
        <v>325</v>
      </c>
    </row>
    <row r="1187" spans="1:10" x14ac:dyDescent="0.35">
      <c r="A1187" s="7" t="s">
        <v>16</v>
      </c>
      <c r="B1187" s="7" t="s">
        <v>89</v>
      </c>
      <c r="C1187" s="7" t="s">
        <v>151</v>
      </c>
      <c r="D1187" s="9">
        <v>0.34</v>
      </c>
      <c r="E1187" s="9">
        <v>0.22</v>
      </c>
      <c r="F1187" s="9">
        <v>0.05</v>
      </c>
      <c r="G1187" s="9">
        <v>119.51</v>
      </c>
      <c r="H1187" s="9">
        <v>65.03</v>
      </c>
      <c r="I1187" s="9">
        <v>15.28</v>
      </c>
      <c r="J1187" s="7" t="s">
        <v>325</v>
      </c>
    </row>
    <row r="1188" spans="1:10" x14ac:dyDescent="0.35">
      <c r="A1188" s="7" t="s">
        <v>40</v>
      </c>
      <c r="B1188" s="7" t="s">
        <v>85</v>
      </c>
      <c r="C1188" s="7" t="s">
        <v>181</v>
      </c>
      <c r="D1188" s="9">
        <v>0</v>
      </c>
      <c r="E1188" s="9">
        <v>0</v>
      </c>
      <c r="F1188" s="9">
        <v>0.05</v>
      </c>
      <c r="G1188" s="9">
        <v>0.12</v>
      </c>
      <c r="H1188" s="9">
        <v>0.05</v>
      </c>
      <c r="I1188" s="9">
        <v>4.08</v>
      </c>
      <c r="J1188" s="7" t="s">
        <v>325</v>
      </c>
    </row>
    <row r="1189" spans="1:10" x14ac:dyDescent="0.35">
      <c r="A1189" s="7" t="s">
        <v>31</v>
      </c>
      <c r="B1189" s="7" t="s">
        <v>141</v>
      </c>
      <c r="C1189" s="7" t="s">
        <v>46</v>
      </c>
      <c r="D1189" s="9">
        <v>0.03</v>
      </c>
      <c r="E1189" s="9">
        <v>0.14000000000000001</v>
      </c>
      <c r="F1189" s="9">
        <v>0.05</v>
      </c>
      <c r="G1189" s="9">
        <v>12.1</v>
      </c>
      <c r="H1189" s="9">
        <v>35.380000000000003</v>
      </c>
      <c r="I1189" s="9">
        <v>18.52</v>
      </c>
      <c r="J1189" s="7" t="s">
        <v>325</v>
      </c>
    </row>
    <row r="1190" spans="1:10" x14ac:dyDescent="0.35">
      <c r="A1190" s="7" t="s">
        <v>35</v>
      </c>
      <c r="B1190" s="7" t="s">
        <v>201</v>
      </c>
      <c r="C1190" s="7" t="s">
        <v>48</v>
      </c>
      <c r="D1190" s="9">
        <v>0</v>
      </c>
      <c r="E1190" s="9">
        <v>7.0000000000000007E-2</v>
      </c>
      <c r="F1190" s="9">
        <v>0.05</v>
      </c>
      <c r="G1190" s="9">
        <v>0.01</v>
      </c>
      <c r="H1190" s="9">
        <v>16</v>
      </c>
      <c r="I1190" s="9">
        <v>13.31</v>
      </c>
      <c r="J1190" s="7" t="s">
        <v>325</v>
      </c>
    </row>
    <row r="1191" spans="1:10" x14ac:dyDescent="0.35">
      <c r="A1191" s="7" t="s">
        <v>31</v>
      </c>
      <c r="B1191" s="7" t="s">
        <v>152</v>
      </c>
      <c r="C1191" s="7" t="s">
        <v>113</v>
      </c>
      <c r="D1191" s="9">
        <v>0</v>
      </c>
      <c r="E1191" s="9">
        <v>0</v>
      </c>
      <c r="F1191" s="9">
        <v>0.05</v>
      </c>
      <c r="G1191" s="9">
        <v>0</v>
      </c>
      <c r="H1191" s="9">
        <v>0</v>
      </c>
      <c r="I1191" s="9">
        <v>200.75</v>
      </c>
      <c r="J1191" s="7" t="s">
        <v>325</v>
      </c>
    </row>
    <row r="1192" spans="1:10" x14ac:dyDescent="0.35">
      <c r="A1192" s="7" t="s">
        <v>23</v>
      </c>
      <c r="B1192" s="7" t="s">
        <v>30</v>
      </c>
      <c r="C1192" s="7" t="s">
        <v>53</v>
      </c>
      <c r="D1192" s="9">
        <v>0.35</v>
      </c>
      <c r="E1192" s="9">
        <v>0.32</v>
      </c>
      <c r="F1192" s="9">
        <v>0.05</v>
      </c>
      <c r="G1192" s="9">
        <v>104.39</v>
      </c>
      <c r="H1192" s="9">
        <v>173.22</v>
      </c>
      <c r="I1192" s="9">
        <v>30.43</v>
      </c>
      <c r="J1192" s="7" t="s">
        <v>325</v>
      </c>
    </row>
    <row r="1193" spans="1:10" x14ac:dyDescent="0.35">
      <c r="A1193" s="7" t="s">
        <v>16</v>
      </c>
      <c r="B1193" s="7" t="s">
        <v>28</v>
      </c>
      <c r="C1193" s="7" t="s">
        <v>48</v>
      </c>
      <c r="D1193" s="9">
        <v>0.11</v>
      </c>
      <c r="E1193" s="9">
        <v>0.12</v>
      </c>
      <c r="F1193" s="9">
        <v>0.05</v>
      </c>
      <c r="G1193" s="9">
        <v>113.91</v>
      </c>
      <c r="H1193" s="9">
        <v>138.28</v>
      </c>
      <c r="I1193" s="9">
        <v>73.78</v>
      </c>
      <c r="J1193" s="7" t="s">
        <v>325</v>
      </c>
    </row>
    <row r="1194" spans="1:10" x14ac:dyDescent="0.35">
      <c r="A1194" s="7" t="s">
        <v>86</v>
      </c>
      <c r="B1194" s="7" t="s">
        <v>87</v>
      </c>
      <c r="C1194" s="7" t="s">
        <v>170</v>
      </c>
      <c r="D1194" s="9">
        <v>0.04</v>
      </c>
      <c r="E1194" s="9">
        <v>0.11</v>
      </c>
      <c r="F1194" s="9">
        <v>0.05</v>
      </c>
      <c r="G1194" s="9">
        <v>11.05</v>
      </c>
      <c r="H1194" s="9">
        <v>12.88</v>
      </c>
      <c r="I1194" s="9">
        <v>6.04</v>
      </c>
      <c r="J1194" s="7" t="s">
        <v>325</v>
      </c>
    </row>
    <row r="1195" spans="1:10" x14ac:dyDescent="0.35">
      <c r="A1195" s="7" t="s">
        <v>77</v>
      </c>
      <c r="B1195" s="7" t="s">
        <v>132</v>
      </c>
      <c r="C1195" s="7" t="s">
        <v>69</v>
      </c>
      <c r="D1195" s="9">
        <v>0.32</v>
      </c>
      <c r="E1195" s="9">
        <v>0.27</v>
      </c>
      <c r="F1195" s="9">
        <v>0.05</v>
      </c>
      <c r="G1195" s="9">
        <v>10.5</v>
      </c>
      <c r="H1195" s="9">
        <v>7.73</v>
      </c>
      <c r="I1195" s="9">
        <v>1.41</v>
      </c>
      <c r="J1195" s="7" t="s">
        <v>325</v>
      </c>
    </row>
    <row r="1196" spans="1:10" x14ac:dyDescent="0.35">
      <c r="A1196" s="7" t="s">
        <v>23</v>
      </c>
      <c r="B1196" s="7" t="s">
        <v>191</v>
      </c>
      <c r="C1196" s="7" t="s">
        <v>53</v>
      </c>
      <c r="D1196" s="9">
        <v>0</v>
      </c>
      <c r="E1196" s="9">
        <v>0.31</v>
      </c>
      <c r="F1196" s="9">
        <v>0.05</v>
      </c>
      <c r="G1196" s="9">
        <v>15</v>
      </c>
      <c r="H1196" s="8">
        <v>1052.79</v>
      </c>
      <c r="I1196" s="9">
        <v>194.28</v>
      </c>
      <c r="J1196" s="7" t="s">
        <v>325</v>
      </c>
    </row>
    <row r="1197" spans="1:10" x14ac:dyDescent="0.35">
      <c r="A1197" s="7" t="s">
        <v>189</v>
      </c>
      <c r="B1197" s="7" t="s">
        <v>227</v>
      </c>
      <c r="C1197" s="7" t="s">
        <v>102</v>
      </c>
      <c r="D1197" s="9">
        <v>0.24</v>
      </c>
      <c r="E1197" s="9">
        <v>0.1</v>
      </c>
      <c r="F1197" s="9">
        <v>0.05</v>
      </c>
      <c r="G1197" s="8">
        <v>1244.72</v>
      </c>
      <c r="H1197" s="9">
        <v>595.83000000000004</v>
      </c>
      <c r="I1197" s="9">
        <v>307.79000000000002</v>
      </c>
      <c r="J1197" s="7" t="s">
        <v>325</v>
      </c>
    </row>
    <row r="1198" spans="1:10" x14ac:dyDescent="0.35">
      <c r="A1198" s="7" t="s">
        <v>57</v>
      </c>
      <c r="B1198" s="7" t="s">
        <v>161</v>
      </c>
      <c r="C1198" s="7" t="s">
        <v>45</v>
      </c>
      <c r="D1198" s="9">
        <v>0</v>
      </c>
      <c r="E1198" s="9">
        <v>0</v>
      </c>
      <c r="F1198" s="9">
        <v>0.05</v>
      </c>
      <c r="G1198" s="9">
        <v>0.52</v>
      </c>
      <c r="H1198" s="9">
        <v>0.36</v>
      </c>
      <c r="I1198" s="9">
        <v>51.64</v>
      </c>
      <c r="J1198" s="7" t="s">
        <v>325</v>
      </c>
    </row>
    <row r="1199" spans="1:10" x14ac:dyDescent="0.35">
      <c r="A1199" s="7" t="s">
        <v>23</v>
      </c>
      <c r="B1199" s="7" t="s">
        <v>123</v>
      </c>
      <c r="C1199" s="7" t="s">
        <v>51</v>
      </c>
      <c r="D1199" s="9">
        <v>1.17</v>
      </c>
      <c r="E1199" s="9">
        <v>0.8</v>
      </c>
      <c r="F1199" s="9">
        <v>0.05</v>
      </c>
      <c r="G1199" s="8">
        <v>1411.59</v>
      </c>
      <c r="H1199" s="8">
        <v>1014.19</v>
      </c>
      <c r="I1199" s="9">
        <v>58.04</v>
      </c>
      <c r="J1199" s="7" t="s">
        <v>325</v>
      </c>
    </row>
    <row r="1200" spans="1:10" x14ac:dyDescent="0.35">
      <c r="A1200" s="7" t="s">
        <v>31</v>
      </c>
      <c r="B1200" s="7" t="s">
        <v>215</v>
      </c>
      <c r="C1200" s="7" t="s">
        <v>102</v>
      </c>
      <c r="D1200" s="9">
        <v>0.2</v>
      </c>
      <c r="E1200" s="9">
        <v>0.13</v>
      </c>
      <c r="F1200" s="9">
        <v>0.05</v>
      </c>
      <c r="G1200" s="9">
        <v>495.8</v>
      </c>
      <c r="H1200" s="9">
        <v>364.68</v>
      </c>
      <c r="I1200" s="9">
        <v>150.57</v>
      </c>
      <c r="J1200" s="7" t="s">
        <v>325</v>
      </c>
    </row>
    <row r="1201" spans="1:10" x14ac:dyDescent="0.35">
      <c r="A1201" s="7" t="s">
        <v>66</v>
      </c>
      <c r="B1201" s="7" t="s">
        <v>73</v>
      </c>
      <c r="C1201" s="7" t="s">
        <v>33</v>
      </c>
      <c r="D1201" s="9">
        <v>0.17</v>
      </c>
      <c r="E1201" s="9">
        <v>0.06</v>
      </c>
      <c r="F1201" s="9">
        <v>0.05</v>
      </c>
      <c r="G1201" s="9">
        <v>139.91</v>
      </c>
      <c r="H1201" s="9">
        <v>46.07</v>
      </c>
      <c r="I1201" s="9">
        <v>39.22</v>
      </c>
      <c r="J1201" s="7" t="s">
        <v>325</v>
      </c>
    </row>
    <row r="1202" spans="1:10" x14ac:dyDescent="0.35">
      <c r="A1202" s="7" t="s">
        <v>40</v>
      </c>
      <c r="B1202" s="7" t="s">
        <v>41</v>
      </c>
      <c r="C1202" s="7" t="s">
        <v>76</v>
      </c>
      <c r="D1202" s="9">
        <v>0.01</v>
      </c>
      <c r="E1202" s="9">
        <v>0</v>
      </c>
      <c r="F1202" s="9">
        <v>0.05</v>
      </c>
      <c r="G1202" s="9">
        <v>6.9</v>
      </c>
      <c r="H1202" s="9">
        <v>6.97</v>
      </c>
      <c r="I1202" s="9">
        <v>34.159999999999997</v>
      </c>
      <c r="J1202" s="7" t="s">
        <v>325</v>
      </c>
    </row>
    <row r="1203" spans="1:10" x14ac:dyDescent="0.35">
      <c r="A1203" s="7" t="s">
        <v>66</v>
      </c>
      <c r="B1203" s="7" t="s">
        <v>127</v>
      </c>
      <c r="C1203" s="7" t="s">
        <v>27</v>
      </c>
      <c r="D1203" s="9">
        <v>1.27</v>
      </c>
      <c r="E1203" s="9">
        <v>1.34</v>
      </c>
      <c r="F1203" s="9">
        <v>0.05</v>
      </c>
      <c r="G1203" s="8">
        <v>2188.69</v>
      </c>
      <c r="H1203" s="8">
        <v>2298.41</v>
      </c>
      <c r="I1203" s="9">
        <v>47.75</v>
      </c>
      <c r="J1203" s="7" t="s">
        <v>325</v>
      </c>
    </row>
    <row r="1204" spans="1:10" x14ac:dyDescent="0.35">
      <c r="A1204" s="7" t="s">
        <v>16</v>
      </c>
      <c r="B1204" s="7" t="s">
        <v>135</v>
      </c>
      <c r="C1204" s="7" t="s">
        <v>54</v>
      </c>
      <c r="D1204" s="9">
        <v>0.09</v>
      </c>
      <c r="E1204" s="9">
        <v>0.18</v>
      </c>
      <c r="F1204" s="9">
        <v>0.05</v>
      </c>
      <c r="G1204" s="9">
        <v>15.32</v>
      </c>
      <c r="H1204" s="9">
        <v>44.51</v>
      </c>
      <c r="I1204" s="9">
        <v>5.82</v>
      </c>
      <c r="J1204" s="7" t="s">
        <v>325</v>
      </c>
    </row>
    <row r="1205" spans="1:10" x14ac:dyDescent="0.35">
      <c r="A1205" s="7" t="s">
        <v>166</v>
      </c>
      <c r="B1205" s="7" t="s">
        <v>200</v>
      </c>
      <c r="C1205" s="7" t="s">
        <v>45</v>
      </c>
      <c r="D1205" s="9">
        <v>0</v>
      </c>
      <c r="E1205" s="9">
        <v>0.2</v>
      </c>
      <c r="F1205" s="9">
        <v>0.05</v>
      </c>
      <c r="G1205" s="9">
        <v>3.71</v>
      </c>
      <c r="H1205" s="9">
        <v>87.98</v>
      </c>
      <c r="I1205" s="9">
        <v>20.99</v>
      </c>
      <c r="J1205" s="7" t="s">
        <v>325</v>
      </c>
    </row>
    <row r="1206" spans="1:10" x14ac:dyDescent="0.35">
      <c r="A1206" s="7" t="s">
        <v>16</v>
      </c>
      <c r="B1206" s="7" t="s">
        <v>90</v>
      </c>
      <c r="C1206" s="7" t="s">
        <v>84</v>
      </c>
      <c r="D1206" s="9">
        <v>0.04</v>
      </c>
      <c r="E1206" s="9">
        <v>0.23</v>
      </c>
      <c r="F1206" s="9">
        <v>0.05</v>
      </c>
      <c r="G1206" s="9">
        <v>5.36</v>
      </c>
      <c r="H1206" s="9">
        <v>20.52</v>
      </c>
      <c r="I1206" s="9">
        <v>3.18</v>
      </c>
      <c r="J1206" s="7" t="s">
        <v>325</v>
      </c>
    </row>
    <row r="1207" spans="1:10" x14ac:dyDescent="0.35">
      <c r="A1207" s="7" t="s">
        <v>16</v>
      </c>
      <c r="B1207" s="7" t="s">
        <v>115</v>
      </c>
      <c r="C1207" s="7" t="s">
        <v>54</v>
      </c>
      <c r="D1207" s="9">
        <v>0.01</v>
      </c>
      <c r="E1207" s="9">
        <v>0.14000000000000001</v>
      </c>
      <c r="F1207" s="9">
        <v>0.05</v>
      </c>
      <c r="G1207" s="9">
        <v>3.95</v>
      </c>
      <c r="H1207" s="9">
        <v>31.55</v>
      </c>
      <c r="I1207" s="9">
        <v>23.41</v>
      </c>
      <c r="J1207" s="7" t="s">
        <v>325</v>
      </c>
    </row>
    <row r="1208" spans="1:10" x14ac:dyDescent="0.35">
      <c r="A1208" s="7" t="s">
        <v>23</v>
      </c>
      <c r="B1208" s="7" t="s">
        <v>44</v>
      </c>
      <c r="C1208" s="7" t="s">
        <v>62</v>
      </c>
      <c r="D1208" s="9">
        <v>0</v>
      </c>
      <c r="E1208" s="9">
        <v>0</v>
      </c>
      <c r="F1208" s="9">
        <v>0.05</v>
      </c>
      <c r="G1208" s="9">
        <v>0</v>
      </c>
      <c r="H1208" s="9">
        <v>0.78</v>
      </c>
      <c r="I1208" s="9">
        <v>65.89</v>
      </c>
      <c r="J1208" s="7" t="s">
        <v>325</v>
      </c>
    </row>
    <row r="1209" spans="1:10" x14ac:dyDescent="0.35">
      <c r="A1209" s="7" t="s">
        <v>23</v>
      </c>
      <c r="B1209" s="7" t="s">
        <v>34</v>
      </c>
      <c r="C1209" s="7" t="s">
        <v>51</v>
      </c>
      <c r="D1209" s="9">
        <v>0</v>
      </c>
      <c r="E1209" s="9">
        <v>0.39</v>
      </c>
      <c r="F1209" s="9">
        <v>0.05</v>
      </c>
      <c r="G1209" s="9">
        <v>0</v>
      </c>
      <c r="H1209" s="9">
        <v>400</v>
      </c>
      <c r="I1209" s="9">
        <v>40</v>
      </c>
      <c r="J1209" s="7" t="s">
        <v>325</v>
      </c>
    </row>
    <row r="1210" spans="1:10" x14ac:dyDescent="0.35">
      <c r="A1210" s="7" t="s">
        <v>23</v>
      </c>
      <c r="B1210" s="7" t="s">
        <v>123</v>
      </c>
      <c r="C1210" s="7" t="s">
        <v>65</v>
      </c>
      <c r="D1210" s="9">
        <v>0.13</v>
      </c>
      <c r="E1210" s="9">
        <v>0.23</v>
      </c>
      <c r="F1210" s="9">
        <v>0.05</v>
      </c>
      <c r="G1210" s="9">
        <v>363.54</v>
      </c>
      <c r="H1210" s="9">
        <v>689.22</v>
      </c>
      <c r="I1210" s="9">
        <v>172.86</v>
      </c>
      <c r="J1210" s="7" t="s">
        <v>325</v>
      </c>
    </row>
    <row r="1211" spans="1:10" x14ac:dyDescent="0.35">
      <c r="A1211" s="7" t="s">
        <v>23</v>
      </c>
      <c r="B1211" s="7" t="s">
        <v>43</v>
      </c>
      <c r="C1211" s="7" t="s">
        <v>39</v>
      </c>
      <c r="D1211" s="9">
        <v>0.02</v>
      </c>
      <c r="E1211" s="9">
        <v>0.12</v>
      </c>
      <c r="F1211" s="9">
        <v>0.05</v>
      </c>
      <c r="G1211" s="9">
        <v>57</v>
      </c>
      <c r="H1211" s="9">
        <v>250</v>
      </c>
      <c r="I1211" s="9">
        <v>130.04</v>
      </c>
      <c r="J1211" s="7" t="s">
        <v>325</v>
      </c>
    </row>
    <row r="1212" spans="1:10" x14ac:dyDescent="0.35">
      <c r="A1212" s="7" t="s">
        <v>40</v>
      </c>
      <c r="B1212" s="7" t="s">
        <v>41</v>
      </c>
      <c r="C1212" s="7" t="s">
        <v>170</v>
      </c>
      <c r="D1212" s="9">
        <v>0.15</v>
      </c>
      <c r="E1212" s="9">
        <v>0.34</v>
      </c>
      <c r="F1212" s="9">
        <v>0.05</v>
      </c>
      <c r="G1212" s="9">
        <v>16.73</v>
      </c>
      <c r="H1212" s="9">
        <v>69.05</v>
      </c>
      <c r="I1212" s="9">
        <v>4.88</v>
      </c>
      <c r="J1212" s="7" t="s">
        <v>325</v>
      </c>
    </row>
    <row r="1213" spans="1:10" x14ac:dyDescent="0.35">
      <c r="A1213" s="7" t="s">
        <v>66</v>
      </c>
      <c r="B1213" s="7" t="s">
        <v>73</v>
      </c>
      <c r="C1213" s="7" t="s">
        <v>65</v>
      </c>
      <c r="D1213" s="9">
        <v>0.03</v>
      </c>
      <c r="E1213" s="9">
        <v>0.21</v>
      </c>
      <c r="F1213" s="9">
        <v>0.05</v>
      </c>
      <c r="G1213" s="9">
        <v>40.22</v>
      </c>
      <c r="H1213" s="9">
        <v>276.60000000000002</v>
      </c>
      <c r="I1213" s="9">
        <v>57.19</v>
      </c>
      <c r="J1213" s="7" t="s">
        <v>325</v>
      </c>
    </row>
    <row r="1214" spans="1:10" x14ac:dyDescent="0.35">
      <c r="A1214" s="7" t="s">
        <v>66</v>
      </c>
      <c r="B1214" s="7" t="s">
        <v>127</v>
      </c>
      <c r="C1214" s="7" t="s">
        <v>72</v>
      </c>
      <c r="D1214" s="9">
        <v>0.56999999999999995</v>
      </c>
      <c r="E1214" s="9">
        <v>0.01</v>
      </c>
      <c r="F1214" s="9">
        <v>0.05</v>
      </c>
      <c r="G1214" s="9">
        <v>85.3</v>
      </c>
      <c r="H1214" s="9">
        <v>1.24</v>
      </c>
      <c r="I1214" s="9">
        <v>8.93</v>
      </c>
      <c r="J1214" s="7" t="s">
        <v>325</v>
      </c>
    </row>
    <row r="1215" spans="1:10" x14ac:dyDescent="0.35">
      <c r="A1215" s="7" t="s">
        <v>77</v>
      </c>
      <c r="B1215" s="7" t="s">
        <v>78</v>
      </c>
      <c r="C1215" s="7" t="s">
        <v>170</v>
      </c>
      <c r="D1215" s="9">
        <v>7.0000000000000007E-2</v>
      </c>
      <c r="E1215" s="9">
        <v>0.13</v>
      </c>
      <c r="F1215" s="9">
        <v>0.05</v>
      </c>
      <c r="G1215" s="9">
        <v>23.04</v>
      </c>
      <c r="H1215" s="9">
        <v>34.11</v>
      </c>
      <c r="I1215" s="9">
        <v>8.1</v>
      </c>
      <c r="J1215" s="7" t="s">
        <v>325</v>
      </c>
    </row>
    <row r="1216" spans="1:10" x14ac:dyDescent="0.35">
      <c r="A1216" s="7" t="s">
        <v>35</v>
      </c>
      <c r="B1216" s="7" t="s">
        <v>36</v>
      </c>
      <c r="C1216" s="7" t="s">
        <v>65</v>
      </c>
      <c r="D1216" s="9">
        <v>0.03</v>
      </c>
      <c r="E1216" s="9">
        <v>0.01</v>
      </c>
      <c r="F1216" s="9">
        <v>0.05</v>
      </c>
      <c r="G1216" s="9">
        <v>24.81</v>
      </c>
      <c r="H1216" s="9">
        <v>16.29</v>
      </c>
      <c r="I1216" s="9">
        <v>98.23</v>
      </c>
      <c r="J1216" s="7" t="s">
        <v>325</v>
      </c>
    </row>
    <row r="1217" spans="1:10" x14ac:dyDescent="0.35">
      <c r="A1217" s="7" t="s">
        <v>35</v>
      </c>
      <c r="B1217" s="7" t="s">
        <v>37</v>
      </c>
      <c r="C1217" s="7" t="s">
        <v>93</v>
      </c>
      <c r="D1217" s="9">
        <v>0.01</v>
      </c>
      <c r="E1217" s="9">
        <v>0.44</v>
      </c>
      <c r="F1217" s="9">
        <v>0.05</v>
      </c>
      <c r="G1217" s="9">
        <v>1.8</v>
      </c>
      <c r="H1217" s="9">
        <v>54.58</v>
      </c>
      <c r="I1217" s="9">
        <v>9</v>
      </c>
      <c r="J1217" s="7" t="s">
        <v>325</v>
      </c>
    </row>
    <row r="1218" spans="1:10" x14ac:dyDescent="0.35">
      <c r="A1218" s="7" t="s">
        <v>16</v>
      </c>
      <c r="B1218" s="7" t="s">
        <v>90</v>
      </c>
      <c r="C1218" s="7" t="s">
        <v>69</v>
      </c>
      <c r="D1218" s="9">
        <v>0.24</v>
      </c>
      <c r="E1218" s="9">
        <v>0.3</v>
      </c>
      <c r="F1218" s="9">
        <v>0.05</v>
      </c>
      <c r="G1218" s="9">
        <v>72.55</v>
      </c>
      <c r="H1218" s="9">
        <v>29.42</v>
      </c>
      <c r="I1218" s="9">
        <v>10.66</v>
      </c>
      <c r="J1218" s="7" t="s">
        <v>325</v>
      </c>
    </row>
    <row r="1219" spans="1:10" x14ac:dyDescent="0.35">
      <c r="A1219" s="7" t="s">
        <v>94</v>
      </c>
      <c r="B1219" s="7" t="s">
        <v>112</v>
      </c>
      <c r="C1219" s="7" t="s">
        <v>83</v>
      </c>
      <c r="D1219" s="9">
        <v>0.24</v>
      </c>
      <c r="E1219" s="9">
        <v>0.22</v>
      </c>
      <c r="F1219" s="9">
        <v>0.05</v>
      </c>
      <c r="G1219" s="9">
        <v>440.04</v>
      </c>
      <c r="H1219" s="9">
        <v>387.02</v>
      </c>
      <c r="I1219" s="9">
        <v>87.48</v>
      </c>
      <c r="J1219" s="7" t="s">
        <v>325</v>
      </c>
    </row>
    <row r="1220" spans="1:10" x14ac:dyDescent="0.35">
      <c r="A1220" s="7" t="s">
        <v>20</v>
      </c>
      <c r="B1220" s="7" t="s">
        <v>235</v>
      </c>
      <c r="C1220" s="7" t="s">
        <v>48</v>
      </c>
      <c r="D1220" s="9">
        <v>0.01</v>
      </c>
      <c r="E1220" s="9">
        <v>0.03</v>
      </c>
      <c r="F1220" s="9">
        <v>0.05</v>
      </c>
      <c r="G1220" s="9">
        <v>3.96</v>
      </c>
      <c r="H1220" s="9">
        <v>12.74</v>
      </c>
      <c r="I1220" s="9">
        <v>41.98</v>
      </c>
      <c r="J1220" s="7" t="s">
        <v>325</v>
      </c>
    </row>
    <row r="1221" spans="1:10" x14ac:dyDescent="0.35">
      <c r="A1221" s="7" t="s">
        <v>23</v>
      </c>
      <c r="B1221" s="7" t="s">
        <v>44</v>
      </c>
      <c r="C1221" s="7" t="s">
        <v>128</v>
      </c>
      <c r="D1221" s="9">
        <v>0</v>
      </c>
      <c r="E1221" s="9">
        <v>0.14000000000000001</v>
      </c>
      <c r="F1221" s="9">
        <v>0.05</v>
      </c>
      <c r="G1221" s="9">
        <v>0</v>
      </c>
      <c r="H1221" s="9">
        <v>93.2</v>
      </c>
      <c r="I1221" s="9">
        <v>30.72</v>
      </c>
      <c r="J1221" s="7" t="s">
        <v>325</v>
      </c>
    </row>
    <row r="1222" spans="1:10" x14ac:dyDescent="0.35">
      <c r="A1222" s="7" t="s">
        <v>40</v>
      </c>
      <c r="B1222" s="7" t="s">
        <v>64</v>
      </c>
      <c r="C1222" s="7" t="s">
        <v>53</v>
      </c>
      <c r="D1222" s="9">
        <v>4.87</v>
      </c>
      <c r="E1222" s="9">
        <v>1.78</v>
      </c>
      <c r="F1222" s="9">
        <v>0.05</v>
      </c>
      <c r="G1222" s="8">
        <v>6704.97</v>
      </c>
      <c r="H1222" s="8">
        <v>2818.77</v>
      </c>
      <c r="I1222" s="9">
        <v>33.83</v>
      </c>
      <c r="J1222" s="7" t="s">
        <v>325</v>
      </c>
    </row>
    <row r="1223" spans="1:10" x14ac:dyDescent="0.35">
      <c r="A1223" s="7" t="s">
        <v>231</v>
      </c>
      <c r="B1223" s="7" t="s">
        <v>232</v>
      </c>
      <c r="C1223" s="7" t="s">
        <v>48</v>
      </c>
      <c r="D1223" s="9">
        <v>0.25</v>
      </c>
      <c r="E1223" s="9">
        <v>0.13</v>
      </c>
      <c r="F1223" s="9">
        <v>0.04</v>
      </c>
      <c r="G1223" s="9">
        <v>160.22999999999999</v>
      </c>
      <c r="H1223" s="9">
        <v>108.87</v>
      </c>
      <c r="I1223" s="9">
        <v>41.17</v>
      </c>
      <c r="J1223" s="7" t="s">
        <v>325</v>
      </c>
    </row>
    <row r="1224" spans="1:10" ht="26.25" customHeight="1" x14ac:dyDescent="0.35">
      <c r="A1224" s="7" t="s">
        <v>31</v>
      </c>
      <c r="B1224" s="7" t="s">
        <v>146</v>
      </c>
      <c r="C1224" s="7" t="s">
        <v>102</v>
      </c>
      <c r="D1224" s="9">
        <v>8.09</v>
      </c>
      <c r="E1224" s="9">
        <v>2.2400000000000002</v>
      </c>
      <c r="F1224" s="9">
        <v>0.04</v>
      </c>
      <c r="G1224" s="8">
        <v>40630.47</v>
      </c>
      <c r="H1224" s="8">
        <v>6095.47</v>
      </c>
      <c r="I1224" s="9">
        <v>104.1</v>
      </c>
      <c r="J1224" s="7" t="s">
        <v>325</v>
      </c>
    </row>
    <row r="1225" spans="1:10" x14ac:dyDescent="0.35">
      <c r="A1225" s="7" t="s">
        <v>231</v>
      </c>
      <c r="B1225" s="7" t="s">
        <v>236</v>
      </c>
      <c r="C1225" s="7" t="s">
        <v>72</v>
      </c>
      <c r="D1225" s="9">
        <v>0</v>
      </c>
      <c r="E1225" s="9">
        <v>0.15</v>
      </c>
      <c r="F1225" s="9">
        <v>0.04</v>
      </c>
      <c r="G1225" s="9">
        <v>0</v>
      </c>
      <c r="H1225" s="9">
        <v>191.34</v>
      </c>
      <c r="I1225" s="9">
        <v>55.87</v>
      </c>
      <c r="J1225" s="7" t="s">
        <v>325</v>
      </c>
    </row>
    <row r="1226" spans="1:10" x14ac:dyDescent="0.35">
      <c r="A1226" s="7" t="s">
        <v>40</v>
      </c>
      <c r="B1226" s="7" t="s">
        <v>117</v>
      </c>
      <c r="C1226" s="7" t="s">
        <v>84</v>
      </c>
      <c r="D1226" s="9">
        <v>7.0000000000000007E-2</v>
      </c>
      <c r="E1226" s="9">
        <v>0.04</v>
      </c>
      <c r="F1226" s="9">
        <v>0.04</v>
      </c>
      <c r="G1226" s="9">
        <v>9.61</v>
      </c>
      <c r="H1226" s="9">
        <v>3.4</v>
      </c>
      <c r="I1226" s="9">
        <v>3.52</v>
      </c>
      <c r="J1226" s="7" t="s">
        <v>325</v>
      </c>
    </row>
    <row r="1227" spans="1:10" x14ac:dyDescent="0.35">
      <c r="A1227" s="7" t="s">
        <v>49</v>
      </c>
      <c r="B1227" s="7" t="s">
        <v>121</v>
      </c>
      <c r="C1227" s="7" t="s">
        <v>27</v>
      </c>
      <c r="D1227" s="9">
        <v>0.26</v>
      </c>
      <c r="E1227" s="9">
        <v>0.08</v>
      </c>
      <c r="F1227" s="9">
        <v>0.04</v>
      </c>
      <c r="G1227" s="9">
        <v>206.68</v>
      </c>
      <c r="H1227" s="9">
        <v>52.96</v>
      </c>
      <c r="I1227" s="9">
        <v>27.35</v>
      </c>
      <c r="J1227" s="7" t="s">
        <v>325</v>
      </c>
    </row>
    <row r="1228" spans="1:10" x14ac:dyDescent="0.35">
      <c r="A1228" s="7" t="s">
        <v>66</v>
      </c>
      <c r="B1228" s="7" t="s">
        <v>208</v>
      </c>
      <c r="C1228" s="7" t="s">
        <v>48</v>
      </c>
      <c r="D1228" s="9">
        <v>0.54</v>
      </c>
      <c r="E1228" s="9">
        <v>0.14000000000000001</v>
      </c>
      <c r="F1228" s="9">
        <v>0.04</v>
      </c>
      <c r="G1228" s="9">
        <v>233.05</v>
      </c>
      <c r="H1228" s="9">
        <v>60.52</v>
      </c>
      <c r="I1228" s="9">
        <v>19.88</v>
      </c>
      <c r="J1228" s="7" t="s">
        <v>325</v>
      </c>
    </row>
    <row r="1229" spans="1:10" x14ac:dyDescent="0.35">
      <c r="A1229" s="7" t="s">
        <v>159</v>
      </c>
      <c r="B1229" s="7" t="s">
        <v>186</v>
      </c>
      <c r="C1229" s="7" t="s">
        <v>65</v>
      </c>
      <c r="D1229" s="9">
        <v>0.01</v>
      </c>
      <c r="E1229" s="9">
        <v>7.0000000000000007E-2</v>
      </c>
      <c r="F1229" s="9">
        <v>0.04</v>
      </c>
      <c r="G1229" s="9">
        <v>30.06</v>
      </c>
      <c r="H1229" s="9">
        <v>144.35</v>
      </c>
      <c r="I1229" s="9">
        <v>101.77</v>
      </c>
      <c r="J1229" s="7" t="s">
        <v>325</v>
      </c>
    </row>
    <row r="1230" spans="1:10" x14ac:dyDescent="0.35">
      <c r="A1230" s="7" t="s">
        <v>77</v>
      </c>
      <c r="B1230" s="7" t="s">
        <v>132</v>
      </c>
      <c r="C1230" s="7" t="s">
        <v>84</v>
      </c>
      <c r="D1230" s="9">
        <v>0.02</v>
      </c>
      <c r="E1230" s="9">
        <v>0.3</v>
      </c>
      <c r="F1230" s="9">
        <v>0.04</v>
      </c>
      <c r="G1230" s="9">
        <v>3.11</v>
      </c>
      <c r="H1230" s="9">
        <v>34.65</v>
      </c>
      <c r="I1230" s="9">
        <v>5.48</v>
      </c>
      <c r="J1230" s="7" t="s">
        <v>325</v>
      </c>
    </row>
    <row r="1231" spans="1:10" x14ac:dyDescent="0.35">
      <c r="A1231" s="7" t="s">
        <v>16</v>
      </c>
      <c r="B1231" s="7" t="s">
        <v>17</v>
      </c>
      <c r="C1231" s="7" t="s">
        <v>55</v>
      </c>
      <c r="D1231" s="9">
        <v>0.27</v>
      </c>
      <c r="E1231" s="9">
        <v>0.83</v>
      </c>
      <c r="F1231" s="9">
        <v>0.04</v>
      </c>
      <c r="G1231" s="9">
        <v>682.02</v>
      </c>
      <c r="H1231" s="8">
        <v>2370.9299999999998</v>
      </c>
      <c r="I1231" s="9">
        <v>114.56</v>
      </c>
      <c r="J1231" s="7" t="s">
        <v>325</v>
      </c>
    </row>
    <row r="1232" spans="1:10" x14ac:dyDescent="0.35">
      <c r="A1232" s="7" t="s">
        <v>16</v>
      </c>
      <c r="B1232" s="7" t="s">
        <v>109</v>
      </c>
      <c r="C1232" s="7" t="s">
        <v>84</v>
      </c>
      <c r="D1232" s="9">
        <v>0.02</v>
      </c>
      <c r="E1232" s="9">
        <v>0.04</v>
      </c>
      <c r="F1232" s="9">
        <v>0.04</v>
      </c>
      <c r="G1232" s="9">
        <v>1.66</v>
      </c>
      <c r="H1232" s="9">
        <v>4.1100000000000003</v>
      </c>
      <c r="I1232" s="9">
        <v>7.22</v>
      </c>
      <c r="J1232" s="7" t="s">
        <v>325</v>
      </c>
    </row>
    <row r="1233" spans="1:10" x14ac:dyDescent="0.35">
      <c r="A1233" s="7" t="s">
        <v>20</v>
      </c>
      <c r="B1233" s="7" t="s">
        <v>156</v>
      </c>
      <c r="C1233" s="7" t="s">
        <v>39</v>
      </c>
      <c r="D1233" s="9">
        <v>0.03</v>
      </c>
      <c r="E1233" s="9">
        <v>0.06</v>
      </c>
      <c r="F1233" s="9">
        <v>0.04</v>
      </c>
      <c r="G1233" s="9">
        <v>12.47</v>
      </c>
      <c r="H1233" s="9">
        <v>22.59</v>
      </c>
      <c r="I1233" s="9">
        <v>28</v>
      </c>
      <c r="J1233" s="7" t="s">
        <v>325</v>
      </c>
    </row>
    <row r="1234" spans="1:10" x14ac:dyDescent="0.35">
      <c r="A1234" s="7" t="s">
        <v>159</v>
      </c>
      <c r="B1234" s="7" t="s">
        <v>160</v>
      </c>
      <c r="C1234" s="7" t="s">
        <v>55</v>
      </c>
      <c r="D1234" s="9">
        <v>0</v>
      </c>
      <c r="E1234" s="9">
        <v>0.18</v>
      </c>
      <c r="F1234" s="9">
        <v>0.04</v>
      </c>
      <c r="G1234" s="9">
        <v>0</v>
      </c>
      <c r="H1234" s="9">
        <v>617.82000000000005</v>
      </c>
      <c r="I1234" s="9">
        <v>200.62</v>
      </c>
      <c r="J1234" s="7" t="s">
        <v>325</v>
      </c>
    </row>
    <row r="1235" spans="1:10" x14ac:dyDescent="0.35">
      <c r="A1235" s="7" t="s">
        <v>40</v>
      </c>
      <c r="B1235" s="7" t="s">
        <v>85</v>
      </c>
      <c r="C1235" s="7" t="s">
        <v>76</v>
      </c>
      <c r="D1235" s="9">
        <v>0.13</v>
      </c>
      <c r="E1235" s="9">
        <v>0.11</v>
      </c>
      <c r="F1235" s="9">
        <v>0.04</v>
      </c>
      <c r="G1235" s="9">
        <v>68.03</v>
      </c>
      <c r="H1235" s="9">
        <v>56.61</v>
      </c>
      <c r="I1235" s="9">
        <v>26.13</v>
      </c>
      <c r="J1235" s="7" t="s">
        <v>325</v>
      </c>
    </row>
    <row r="1236" spans="1:10" x14ac:dyDescent="0.35">
      <c r="A1236" s="7" t="s">
        <v>159</v>
      </c>
      <c r="B1236" s="7" t="s">
        <v>160</v>
      </c>
      <c r="C1236" s="7" t="s">
        <v>116</v>
      </c>
      <c r="D1236" s="9">
        <v>0</v>
      </c>
      <c r="E1236" s="9">
        <v>0.05</v>
      </c>
      <c r="F1236" s="9">
        <v>0.04</v>
      </c>
      <c r="G1236" s="9">
        <v>0</v>
      </c>
      <c r="H1236" s="9">
        <v>253.86</v>
      </c>
      <c r="I1236" s="9">
        <v>221.18</v>
      </c>
      <c r="J1236" s="7" t="s">
        <v>325</v>
      </c>
    </row>
    <row r="1237" spans="1:10" x14ac:dyDescent="0.35">
      <c r="A1237" s="7" t="s">
        <v>23</v>
      </c>
      <c r="B1237" s="7" t="s">
        <v>187</v>
      </c>
      <c r="C1237" s="7" t="s">
        <v>53</v>
      </c>
      <c r="D1237" s="9">
        <v>0.03</v>
      </c>
      <c r="E1237" s="9">
        <v>0.14000000000000001</v>
      </c>
      <c r="F1237" s="9">
        <v>0.04</v>
      </c>
      <c r="G1237" s="9">
        <v>103.74</v>
      </c>
      <c r="H1237" s="9">
        <v>484.14</v>
      </c>
      <c r="I1237" s="9">
        <v>161</v>
      </c>
      <c r="J1237" s="7" t="s">
        <v>325</v>
      </c>
    </row>
    <row r="1238" spans="1:10" x14ac:dyDescent="0.35">
      <c r="A1238" s="7" t="s">
        <v>66</v>
      </c>
      <c r="B1238" s="7" t="s">
        <v>127</v>
      </c>
      <c r="C1238" s="7" t="s">
        <v>128</v>
      </c>
      <c r="D1238" s="9">
        <v>0.37</v>
      </c>
      <c r="E1238" s="9">
        <v>0.1</v>
      </c>
      <c r="F1238" s="9">
        <v>0.04</v>
      </c>
      <c r="G1238" s="9">
        <v>52.8</v>
      </c>
      <c r="H1238" s="9">
        <v>15.9</v>
      </c>
      <c r="I1238" s="9">
        <v>6.3</v>
      </c>
      <c r="J1238" s="7" t="s">
        <v>325</v>
      </c>
    </row>
    <row r="1239" spans="1:10" x14ac:dyDescent="0.35">
      <c r="A1239" s="7" t="s">
        <v>40</v>
      </c>
      <c r="B1239" s="7" t="s">
        <v>183</v>
      </c>
      <c r="C1239" s="7" t="s">
        <v>33</v>
      </c>
      <c r="D1239" s="9">
        <v>0.03</v>
      </c>
      <c r="E1239" s="9">
        <v>0.16</v>
      </c>
      <c r="F1239" s="9">
        <v>0.04</v>
      </c>
      <c r="G1239" s="9">
        <v>11.7</v>
      </c>
      <c r="H1239" s="9">
        <v>130.84</v>
      </c>
      <c r="I1239" s="9">
        <v>30.58</v>
      </c>
      <c r="J1239" s="7" t="s">
        <v>325</v>
      </c>
    </row>
    <row r="1240" spans="1:10" x14ac:dyDescent="0.35">
      <c r="A1240" s="7" t="s">
        <v>159</v>
      </c>
      <c r="B1240" s="7" t="s">
        <v>160</v>
      </c>
      <c r="C1240" s="7" t="s">
        <v>53</v>
      </c>
      <c r="D1240" s="9">
        <v>0.02</v>
      </c>
      <c r="E1240" s="9">
        <v>0.13</v>
      </c>
      <c r="F1240" s="9">
        <v>0.04</v>
      </c>
      <c r="G1240" s="9">
        <v>6.46</v>
      </c>
      <c r="H1240" s="9">
        <v>50.57</v>
      </c>
      <c r="I1240" s="9">
        <v>17.02</v>
      </c>
      <c r="J1240" s="7" t="s">
        <v>325</v>
      </c>
    </row>
    <row r="1241" spans="1:10" x14ac:dyDescent="0.35">
      <c r="A1241" s="7" t="s">
        <v>35</v>
      </c>
      <c r="B1241" s="7" t="s">
        <v>37</v>
      </c>
      <c r="C1241" s="7" t="s">
        <v>48</v>
      </c>
      <c r="D1241" s="9">
        <v>0.35</v>
      </c>
      <c r="E1241" s="9">
        <v>0.27</v>
      </c>
      <c r="F1241" s="9">
        <v>0.04</v>
      </c>
      <c r="G1241" s="9">
        <v>128.6</v>
      </c>
      <c r="H1241" s="9">
        <v>104.21</v>
      </c>
      <c r="I1241" s="9">
        <v>3.07</v>
      </c>
      <c r="J1241" s="7" t="s">
        <v>325</v>
      </c>
    </row>
    <row r="1242" spans="1:10" x14ac:dyDescent="0.35">
      <c r="A1242" s="7" t="s">
        <v>35</v>
      </c>
      <c r="B1242" s="7" t="s">
        <v>47</v>
      </c>
      <c r="C1242" s="7" t="s">
        <v>18</v>
      </c>
      <c r="D1242" s="9">
        <v>1.26</v>
      </c>
      <c r="E1242" s="9">
        <v>0.05</v>
      </c>
      <c r="F1242" s="9">
        <v>0.04</v>
      </c>
      <c r="G1242" s="8">
        <v>1180.54</v>
      </c>
      <c r="H1242" s="9">
        <v>51.42</v>
      </c>
      <c r="I1242" s="9">
        <v>24.5</v>
      </c>
      <c r="J1242" s="7" t="s">
        <v>325</v>
      </c>
    </row>
    <row r="1243" spans="1:10" x14ac:dyDescent="0.35">
      <c r="A1243" s="7" t="s">
        <v>23</v>
      </c>
      <c r="B1243" s="7" t="s">
        <v>44</v>
      </c>
      <c r="C1243" s="7" t="s">
        <v>125</v>
      </c>
      <c r="D1243" s="9">
        <v>3.81</v>
      </c>
      <c r="E1243" s="9">
        <v>0.59</v>
      </c>
      <c r="F1243" s="9">
        <v>0.04</v>
      </c>
      <c r="G1243" s="8">
        <v>1074.78</v>
      </c>
      <c r="H1243" s="9">
        <v>257.18</v>
      </c>
      <c r="I1243" s="9">
        <v>60</v>
      </c>
      <c r="J1243" s="7" t="s">
        <v>325</v>
      </c>
    </row>
    <row r="1244" spans="1:10" x14ac:dyDescent="0.35">
      <c r="A1244" s="7" t="s">
        <v>20</v>
      </c>
      <c r="B1244" s="7" t="s">
        <v>235</v>
      </c>
      <c r="C1244" s="7" t="s">
        <v>22</v>
      </c>
      <c r="D1244" s="9">
        <v>0.11</v>
      </c>
      <c r="E1244" s="9">
        <v>0.17</v>
      </c>
      <c r="F1244" s="9">
        <v>0.04</v>
      </c>
      <c r="G1244" s="9">
        <v>3.4</v>
      </c>
      <c r="H1244" s="9">
        <v>4.2</v>
      </c>
      <c r="I1244" s="9">
        <v>1</v>
      </c>
      <c r="J1244" s="7" t="s">
        <v>325</v>
      </c>
    </row>
    <row r="1245" spans="1:10" x14ac:dyDescent="0.35">
      <c r="A1245" s="7" t="s">
        <v>77</v>
      </c>
      <c r="B1245" s="7" t="s">
        <v>214</v>
      </c>
      <c r="C1245" s="7" t="s">
        <v>42</v>
      </c>
      <c r="D1245" s="9">
        <v>0</v>
      </c>
      <c r="E1245" s="9">
        <v>0.1</v>
      </c>
      <c r="F1245" s="9">
        <v>0.04</v>
      </c>
      <c r="G1245" s="9">
        <v>0</v>
      </c>
      <c r="H1245" s="9">
        <v>34.44</v>
      </c>
      <c r="I1245" s="9">
        <v>13.54</v>
      </c>
      <c r="J1245" s="7" t="s">
        <v>325</v>
      </c>
    </row>
    <row r="1246" spans="1:10" x14ac:dyDescent="0.35">
      <c r="A1246" s="7" t="s">
        <v>66</v>
      </c>
      <c r="B1246" s="7" t="s">
        <v>108</v>
      </c>
      <c r="C1246" s="7" t="s">
        <v>65</v>
      </c>
      <c r="D1246" s="9">
        <v>0.01</v>
      </c>
      <c r="E1246" s="9">
        <v>0.04</v>
      </c>
      <c r="F1246" s="9">
        <v>0.04</v>
      </c>
      <c r="G1246" s="9">
        <v>3.15</v>
      </c>
      <c r="H1246" s="9">
        <v>42.37</v>
      </c>
      <c r="I1246" s="9">
        <v>46.83</v>
      </c>
      <c r="J1246" s="7" t="s">
        <v>325</v>
      </c>
    </row>
    <row r="1247" spans="1:10" x14ac:dyDescent="0.35">
      <c r="A1247" s="7" t="s">
        <v>16</v>
      </c>
      <c r="B1247" s="7" t="s">
        <v>143</v>
      </c>
      <c r="C1247" s="7" t="s">
        <v>62</v>
      </c>
      <c r="D1247" s="9">
        <v>0.56000000000000005</v>
      </c>
      <c r="E1247" s="9">
        <v>7.0000000000000007E-2</v>
      </c>
      <c r="F1247" s="9">
        <v>0.04</v>
      </c>
      <c r="G1247" s="8">
        <v>1559</v>
      </c>
      <c r="H1247" s="9">
        <v>260</v>
      </c>
      <c r="I1247" s="9">
        <v>160</v>
      </c>
      <c r="J1247" s="7" t="s">
        <v>325</v>
      </c>
    </row>
    <row r="1248" spans="1:10" x14ac:dyDescent="0.35">
      <c r="A1248" s="7" t="s">
        <v>49</v>
      </c>
      <c r="B1248" s="7" t="s">
        <v>121</v>
      </c>
      <c r="C1248" s="7" t="s">
        <v>65</v>
      </c>
      <c r="D1248" s="9">
        <v>0.11</v>
      </c>
      <c r="E1248" s="9">
        <v>0.1</v>
      </c>
      <c r="F1248" s="9">
        <v>0.04</v>
      </c>
      <c r="G1248" s="9">
        <v>54.85</v>
      </c>
      <c r="H1248" s="9">
        <v>77.47</v>
      </c>
      <c r="I1248" s="9">
        <v>28.99</v>
      </c>
      <c r="J1248" s="7" t="s">
        <v>325</v>
      </c>
    </row>
    <row r="1249" spans="1:10" x14ac:dyDescent="0.35">
      <c r="A1249" s="7" t="s">
        <v>23</v>
      </c>
      <c r="B1249" s="7" t="s">
        <v>30</v>
      </c>
      <c r="C1249" s="7" t="s">
        <v>27</v>
      </c>
      <c r="D1249" s="9">
        <v>1.35</v>
      </c>
      <c r="E1249" s="9">
        <v>0.98</v>
      </c>
      <c r="F1249" s="9">
        <v>0.04</v>
      </c>
      <c r="G1249" s="8">
        <v>1478.79</v>
      </c>
      <c r="H1249" s="8">
        <v>1033.25</v>
      </c>
      <c r="I1249" s="9">
        <v>42.76</v>
      </c>
      <c r="J1249" s="7" t="s">
        <v>325</v>
      </c>
    </row>
    <row r="1250" spans="1:10" x14ac:dyDescent="0.35">
      <c r="A1250" s="7" t="s">
        <v>49</v>
      </c>
      <c r="B1250" s="7" t="s">
        <v>176</v>
      </c>
      <c r="C1250" s="7" t="s">
        <v>59</v>
      </c>
      <c r="D1250" s="9">
        <v>0.01</v>
      </c>
      <c r="E1250" s="9">
        <v>0.01</v>
      </c>
      <c r="F1250" s="9">
        <v>0.04</v>
      </c>
      <c r="G1250" s="9">
        <v>0.93</v>
      </c>
      <c r="H1250" s="9">
        <v>0.81</v>
      </c>
      <c r="I1250" s="9">
        <v>4.68</v>
      </c>
      <c r="J1250" s="7" t="s">
        <v>325</v>
      </c>
    </row>
    <row r="1251" spans="1:10" x14ac:dyDescent="0.35">
      <c r="A1251" s="7" t="s">
        <v>31</v>
      </c>
      <c r="B1251" s="7" t="s">
        <v>192</v>
      </c>
      <c r="C1251" s="7" t="s">
        <v>69</v>
      </c>
      <c r="D1251" s="9">
        <v>0.1</v>
      </c>
      <c r="E1251" s="9">
        <v>0.06</v>
      </c>
      <c r="F1251" s="9">
        <v>0.04</v>
      </c>
      <c r="G1251" s="9">
        <v>0.73</v>
      </c>
      <c r="H1251" s="9">
        <v>0.78</v>
      </c>
      <c r="I1251" s="9">
        <v>1.28</v>
      </c>
      <c r="J1251" s="7" t="s">
        <v>325</v>
      </c>
    </row>
    <row r="1252" spans="1:10" x14ac:dyDescent="0.35">
      <c r="A1252" s="7" t="s">
        <v>86</v>
      </c>
      <c r="B1252" s="7" t="s">
        <v>106</v>
      </c>
      <c r="C1252" s="7" t="s">
        <v>45</v>
      </c>
      <c r="D1252" s="9">
        <v>0.13</v>
      </c>
      <c r="E1252" s="9">
        <v>0.13</v>
      </c>
      <c r="F1252" s="9">
        <v>0.04</v>
      </c>
      <c r="G1252" s="9">
        <v>28.88</v>
      </c>
      <c r="H1252" s="9">
        <v>39.020000000000003</v>
      </c>
      <c r="I1252" s="9">
        <v>6.41</v>
      </c>
      <c r="J1252" s="7" t="s">
        <v>325</v>
      </c>
    </row>
    <row r="1253" spans="1:10" x14ac:dyDescent="0.35">
      <c r="A1253" s="7" t="s">
        <v>23</v>
      </c>
      <c r="B1253" s="7" t="s">
        <v>124</v>
      </c>
      <c r="C1253" s="7" t="s">
        <v>42</v>
      </c>
      <c r="D1253" s="9">
        <v>0</v>
      </c>
      <c r="E1253" s="9">
        <v>0.17</v>
      </c>
      <c r="F1253" s="9">
        <v>0.04</v>
      </c>
      <c r="G1253" s="9">
        <v>0</v>
      </c>
      <c r="H1253" s="9">
        <v>285.74</v>
      </c>
      <c r="I1253" s="9">
        <v>79.33</v>
      </c>
      <c r="J1253" s="7" t="s">
        <v>325</v>
      </c>
    </row>
    <row r="1254" spans="1:10" x14ac:dyDescent="0.35">
      <c r="A1254" s="7" t="s">
        <v>49</v>
      </c>
      <c r="B1254" s="7" t="s">
        <v>121</v>
      </c>
      <c r="C1254" s="7" t="s">
        <v>18</v>
      </c>
      <c r="D1254" s="9">
        <v>0.17</v>
      </c>
      <c r="E1254" s="9">
        <v>0.11</v>
      </c>
      <c r="F1254" s="9">
        <v>0.04</v>
      </c>
      <c r="G1254" s="9">
        <v>107.67</v>
      </c>
      <c r="H1254" s="9">
        <v>35.130000000000003</v>
      </c>
      <c r="I1254" s="9">
        <v>17.39</v>
      </c>
      <c r="J1254" s="7" t="s">
        <v>325</v>
      </c>
    </row>
    <row r="1255" spans="1:10" x14ac:dyDescent="0.35">
      <c r="A1255" s="7" t="s">
        <v>23</v>
      </c>
      <c r="B1255" s="7" t="s">
        <v>44</v>
      </c>
      <c r="C1255" s="7" t="s">
        <v>102</v>
      </c>
      <c r="D1255" s="9">
        <v>0.01</v>
      </c>
      <c r="E1255" s="9">
        <v>0.15</v>
      </c>
      <c r="F1255" s="9">
        <v>0.04</v>
      </c>
      <c r="G1255" s="9">
        <v>27.44</v>
      </c>
      <c r="H1255" s="9">
        <v>336.56</v>
      </c>
      <c r="I1255" s="9">
        <v>56</v>
      </c>
      <c r="J1255" s="7" t="s">
        <v>325</v>
      </c>
    </row>
    <row r="1256" spans="1:10" x14ac:dyDescent="0.35">
      <c r="A1256" s="7" t="s">
        <v>23</v>
      </c>
      <c r="B1256" s="7" t="s">
        <v>43</v>
      </c>
      <c r="C1256" s="7" t="s">
        <v>53</v>
      </c>
      <c r="D1256" s="9">
        <v>0</v>
      </c>
      <c r="E1256" s="9">
        <v>0.01</v>
      </c>
      <c r="F1256" s="9">
        <v>0.04</v>
      </c>
      <c r="G1256" s="9">
        <v>0</v>
      </c>
      <c r="H1256" s="9">
        <v>21.6</v>
      </c>
      <c r="I1256" s="9">
        <v>96</v>
      </c>
      <c r="J1256" s="7" t="s">
        <v>325</v>
      </c>
    </row>
    <row r="1257" spans="1:10" x14ac:dyDescent="0.35">
      <c r="A1257" s="7" t="s">
        <v>94</v>
      </c>
      <c r="B1257" s="7" t="s">
        <v>95</v>
      </c>
      <c r="C1257" s="7" t="s">
        <v>65</v>
      </c>
      <c r="D1257" s="9">
        <v>0.26</v>
      </c>
      <c r="E1257" s="9">
        <v>0.23</v>
      </c>
      <c r="F1257" s="9">
        <v>0.04</v>
      </c>
      <c r="G1257" s="9">
        <v>635.88</v>
      </c>
      <c r="H1257" s="9">
        <v>412.57</v>
      </c>
      <c r="I1257" s="9">
        <v>34.4</v>
      </c>
      <c r="J1257" s="7" t="s">
        <v>325</v>
      </c>
    </row>
    <row r="1258" spans="1:10" x14ac:dyDescent="0.35">
      <c r="A1258" s="7" t="s">
        <v>129</v>
      </c>
      <c r="B1258" s="7" t="s">
        <v>147</v>
      </c>
      <c r="C1258" s="7" t="s">
        <v>62</v>
      </c>
      <c r="D1258" s="9">
        <v>0.88</v>
      </c>
      <c r="E1258" s="9">
        <v>0.36</v>
      </c>
      <c r="F1258" s="9">
        <v>0.04</v>
      </c>
      <c r="G1258" s="8">
        <v>3521.83</v>
      </c>
      <c r="H1258" s="8">
        <v>1399.14</v>
      </c>
      <c r="I1258" s="9">
        <v>170.84</v>
      </c>
      <c r="J1258" s="7" t="s">
        <v>325</v>
      </c>
    </row>
    <row r="1259" spans="1:10" x14ac:dyDescent="0.35">
      <c r="A1259" s="7" t="s">
        <v>16</v>
      </c>
      <c r="B1259" s="7" t="s">
        <v>135</v>
      </c>
      <c r="C1259" s="7" t="s">
        <v>53</v>
      </c>
      <c r="D1259" s="9">
        <v>0.14000000000000001</v>
      </c>
      <c r="E1259" s="9">
        <v>0.22</v>
      </c>
      <c r="F1259" s="9">
        <v>0.04</v>
      </c>
      <c r="G1259" s="9">
        <v>25.21</v>
      </c>
      <c r="H1259" s="9">
        <v>52</v>
      </c>
      <c r="I1259" s="9">
        <v>7.98</v>
      </c>
      <c r="J1259" s="7" t="s">
        <v>325</v>
      </c>
    </row>
    <row r="1260" spans="1:10" x14ac:dyDescent="0.35">
      <c r="A1260" s="7" t="s">
        <v>31</v>
      </c>
      <c r="B1260" s="7" t="s">
        <v>101</v>
      </c>
      <c r="C1260" s="7" t="s">
        <v>102</v>
      </c>
      <c r="D1260" s="9">
        <v>8.1</v>
      </c>
      <c r="E1260" s="9">
        <v>2.35</v>
      </c>
      <c r="F1260" s="9">
        <v>0.04</v>
      </c>
      <c r="G1260" s="8">
        <v>45168.78</v>
      </c>
      <c r="H1260" s="8">
        <v>8456.58</v>
      </c>
      <c r="I1260" s="9">
        <v>181.8</v>
      </c>
      <c r="J1260" s="7" t="s">
        <v>325</v>
      </c>
    </row>
    <row r="1261" spans="1:10" x14ac:dyDescent="0.35">
      <c r="A1261" s="7" t="s">
        <v>94</v>
      </c>
      <c r="B1261" s="7" t="s">
        <v>95</v>
      </c>
      <c r="C1261" s="7" t="s">
        <v>126</v>
      </c>
      <c r="D1261" s="9">
        <v>0.06</v>
      </c>
      <c r="E1261" s="9">
        <v>7.0000000000000007E-2</v>
      </c>
      <c r="F1261" s="9">
        <v>0.04</v>
      </c>
      <c r="G1261" s="9">
        <v>37.340000000000003</v>
      </c>
      <c r="H1261" s="9">
        <v>95.08</v>
      </c>
      <c r="I1261" s="9">
        <v>46.89</v>
      </c>
      <c r="J1261" s="7" t="s">
        <v>325</v>
      </c>
    </row>
    <row r="1262" spans="1:10" x14ac:dyDescent="0.35">
      <c r="A1262" s="7" t="s">
        <v>23</v>
      </c>
      <c r="B1262" s="7" t="s">
        <v>34</v>
      </c>
      <c r="C1262" s="7" t="s">
        <v>93</v>
      </c>
      <c r="D1262" s="9">
        <v>0.2</v>
      </c>
      <c r="E1262" s="9">
        <v>0</v>
      </c>
      <c r="F1262" s="9">
        <v>0.04</v>
      </c>
      <c r="G1262" s="9">
        <v>40.380000000000003</v>
      </c>
      <c r="H1262" s="9">
        <v>0</v>
      </c>
      <c r="I1262" s="9">
        <v>5.4</v>
      </c>
      <c r="J1262" s="7" t="s">
        <v>325</v>
      </c>
    </row>
    <row r="1263" spans="1:10" x14ac:dyDescent="0.35">
      <c r="A1263" s="7" t="s">
        <v>16</v>
      </c>
      <c r="B1263" s="7" t="s">
        <v>143</v>
      </c>
      <c r="C1263" s="7" t="s">
        <v>54</v>
      </c>
      <c r="D1263" s="9">
        <v>0.03</v>
      </c>
      <c r="E1263" s="9">
        <v>0.01</v>
      </c>
      <c r="F1263" s="9">
        <v>0.04</v>
      </c>
      <c r="G1263" s="9">
        <v>40</v>
      </c>
      <c r="H1263" s="9">
        <v>15</v>
      </c>
      <c r="I1263" s="9">
        <v>71</v>
      </c>
      <c r="J1263" s="7" t="s">
        <v>325</v>
      </c>
    </row>
    <row r="1264" spans="1:10" x14ac:dyDescent="0.35">
      <c r="A1264" s="7" t="s">
        <v>159</v>
      </c>
      <c r="B1264" s="7" t="s">
        <v>186</v>
      </c>
      <c r="C1264" s="7" t="s">
        <v>53</v>
      </c>
      <c r="D1264" s="9">
        <v>0.17</v>
      </c>
      <c r="E1264" s="9">
        <v>0.11</v>
      </c>
      <c r="F1264" s="9">
        <v>0.04</v>
      </c>
      <c r="G1264" s="9">
        <v>67.569999999999993</v>
      </c>
      <c r="H1264" s="9">
        <v>44.77</v>
      </c>
      <c r="I1264" s="9">
        <v>16.36</v>
      </c>
      <c r="J1264" s="7" t="s">
        <v>325</v>
      </c>
    </row>
    <row r="1265" spans="1:10" x14ac:dyDescent="0.35">
      <c r="A1265" s="7" t="s">
        <v>66</v>
      </c>
      <c r="B1265" s="7" t="s">
        <v>127</v>
      </c>
      <c r="C1265" s="7" t="s">
        <v>65</v>
      </c>
      <c r="D1265" s="9">
        <v>0.13</v>
      </c>
      <c r="E1265" s="9">
        <v>0.13</v>
      </c>
      <c r="F1265" s="9">
        <v>0.04</v>
      </c>
      <c r="G1265" s="9">
        <v>103.02</v>
      </c>
      <c r="H1265" s="9">
        <v>179.65</v>
      </c>
      <c r="I1265" s="9">
        <v>37.590000000000003</v>
      </c>
      <c r="J1265" s="7" t="s">
        <v>325</v>
      </c>
    </row>
    <row r="1266" spans="1:10" x14ac:dyDescent="0.35">
      <c r="A1266" s="7" t="s">
        <v>189</v>
      </c>
      <c r="B1266" s="7" t="s">
        <v>227</v>
      </c>
      <c r="C1266" s="7" t="s">
        <v>53</v>
      </c>
      <c r="D1266" s="9">
        <v>0.5</v>
      </c>
      <c r="E1266" s="9">
        <v>0.2</v>
      </c>
      <c r="F1266" s="9">
        <v>0.04</v>
      </c>
      <c r="G1266" s="8">
        <v>2049.0100000000002</v>
      </c>
      <c r="H1266" s="9">
        <v>720.44</v>
      </c>
      <c r="I1266" s="9">
        <v>124.76</v>
      </c>
      <c r="J1266" s="7" t="s">
        <v>325</v>
      </c>
    </row>
    <row r="1267" spans="1:10" x14ac:dyDescent="0.35">
      <c r="A1267" s="7" t="s">
        <v>31</v>
      </c>
      <c r="B1267" s="7" t="s">
        <v>215</v>
      </c>
      <c r="C1267" s="7" t="s">
        <v>65</v>
      </c>
      <c r="D1267" s="9">
        <v>0</v>
      </c>
      <c r="E1267" s="9">
        <v>0.05</v>
      </c>
      <c r="F1267" s="9">
        <v>0.04</v>
      </c>
      <c r="G1267" s="9">
        <v>3.26</v>
      </c>
      <c r="H1267" s="9">
        <v>117.87</v>
      </c>
      <c r="I1267" s="9">
        <v>66.89</v>
      </c>
      <c r="J1267" s="7" t="s">
        <v>325</v>
      </c>
    </row>
    <row r="1268" spans="1:10" x14ac:dyDescent="0.35">
      <c r="A1268" s="7" t="s">
        <v>159</v>
      </c>
      <c r="B1268" s="7" t="s">
        <v>160</v>
      </c>
      <c r="C1268" s="7" t="s">
        <v>128</v>
      </c>
      <c r="D1268" s="9">
        <v>0</v>
      </c>
      <c r="E1268" s="9">
        <v>0</v>
      </c>
      <c r="F1268" s="9">
        <v>0.04</v>
      </c>
      <c r="G1268" s="9">
        <v>0</v>
      </c>
      <c r="H1268" s="9">
        <v>0</v>
      </c>
      <c r="I1268" s="9">
        <v>20</v>
      </c>
      <c r="J1268" s="7" t="s">
        <v>325</v>
      </c>
    </row>
    <row r="1269" spans="1:10" x14ac:dyDescent="0.35">
      <c r="A1269" s="7" t="s">
        <v>23</v>
      </c>
      <c r="B1269" s="7" t="s">
        <v>44</v>
      </c>
      <c r="C1269" s="7" t="s">
        <v>60</v>
      </c>
      <c r="D1269" s="9">
        <v>10.51</v>
      </c>
      <c r="E1269" s="9">
        <v>0.39</v>
      </c>
      <c r="F1269" s="9">
        <v>0.04</v>
      </c>
      <c r="G1269" s="8">
        <v>6201.1</v>
      </c>
      <c r="H1269" s="9">
        <v>30.64</v>
      </c>
      <c r="I1269" s="9">
        <v>2.23</v>
      </c>
      <c r="J1269" s="7" t="s">
        <v>325</v>
      </c>
    </row>
    <row r="1270" spans="1:10" x14ac:dyDescent="0.35">
      <c r="A1270" s="7" t="s">
        <v>94</v>
      </c>
      <c r="B1270" s="7" t="s">
        <v>188</v>
      </c>
      <c r="C1270" s="7" t="s">
        <v>39</v>
      </c>
      <c r="D1270" s="9">
        <v>0.1</v>
      </c>
      <c r="E1270" s="9">
        <v>0.09</v>
      </c>
      <c r="F1270" s="9">
        <v>0.04</v>
      </c>
      <c r="G1270" s="9">
        <v>39.450000000000003</v>
      </c>
      <c r="H1270" s="9">
        <v>13.74</v>
      </c>
      <c r="I1270" s="9">
        <v>5.69</v>
      </c>
      <c r="J1270" s="7" t="s">
        <v>325</v>
      </c>
    </row>
    <row r="1271" spans="1:10" x14ac:dyDescent="0.35">
      <c r="A1271" s="7" t="s">
        <v>40</v>
      </c>
      <c r="B1271" s="7" t="s">
        <v>211</v>
      </c>
      <c r="C1271" s="7" t="s">
        <v>39</v>
      </c>
      <c r="D1271" s="9">
        <v>0.11</v>
      </c>
      <c r="E1271" s="9">
        <v>0.24</v>
      </c>
      <c r="F1271" s="9">
        <v>0.04</v>
      </c>
      <c r="G1271" s="9">
        <v>44.87</v>
      </c>
      <c r="H1271" s="9">
        <v>49.89</v>
      </c>
      <c r="I1271" s="9">
        <v>8.36</v>
      </c>
      <c r="J1271" s="7" t="s">
        <v>325</v>
      </c>
    </row>
    <row r="1272" spans="1:10" x14ac:dyDescent="0.35">
      <c r="A1272" s="7" t="s">
        <v>23</v>
      </c>
      <c r="B1272" s="7" t="s">
        <v>123</v>
      </c>
      <c r="C1272" s="7" t="s">
        <v>126</v>
      </c>
      <c r="D1272" s="9">
        <v>0.09</v>
      </c>
      <c r="E1272" s="9">
        <v>0.23</v>
      </c>
      <c r="F1272" s="9">
        <v>0.04</v>
      </c>
      <c r="G1272" s="9">
        <v>257.94</v>
      </c>
      <c r="H1272" s="9">
        <v>753.72</v>
      </c>
      <c r="I1272" s="9">
        <v>141.04</v>
      </c>
      <c r="J1272" s="7" t="s">
        <v>325</v>
      </c>
    </row>
    <row r="1273" spans="1:10" x14ac:dyDescent="0.35">
      <c r="A1273" s="7" t="s">
        <v>20</v>
      </c>
      <c r="B1273" s="7" t="s">
        <v>134</v>
      </c>
      <c r="C1273" s="7" t="s">
        <v>48</v>
      </c>
      <c r="D1273" s="9">
        <v>0</v>
      </c>
      <c r="E1273" s="9">
        <v>0.12</v>
      </c>
      <c r="F1273" s="9">
        <v>0.04</v>
      </c>
      <c r="G1273" s="9">
        <v>0</v>
      </c>
      <c r="H1273" s="9">
        <v>79.430000000000007</v>
      </c>
      <c r="I1273" s="9">
        <v>28.75</v>
      </c>
      <c r="J1273" s="7" t="s">
        <v>325</v>
      </c>
    </row>
    <row r="1274" spans="1:10" x14ac:dyDescent="0.35">
      <c r="A1274" s="7" t="s">
        <v>16</v>
      </c>
      <c r="B1274" s="7" t="s">
        <v>105</v>
      </c>
      <c r="C1274" s="7" t="s">
        <v>102</v>
      </c>
      <c r="D1274" s="9">
        <v>0.03</v>
      </c>
      <c r="E1274" s="9">
        <v>0</v>
      </c>
      <c r="F1274" s="9">
        <v>0.04</v>
      </c>
      <c r="G1274" s="9">
        <v>104.64</v>
      </c>
      <c r="H1274" s="9">
        <v>0</v>
      </c>
      <c r="I1274" s="9">
        <v>45.19</v>
      </c>
      <c r="J1274" s="7" t="s">
        <v>325</v>
      </c>
    </row>
    <row r="1275" spans="1:10" x14ac:dyDescent="0.35">
      <c r="A1275" s="7" t="s">
        <v>77</v>
      </c>
      <c r="B1275" s="7" t="s">
        <v>78</v>
      </c>
      <c r="C1275" s="7" t="s">
        <v>18</v>
      </c>
      <c r="D1275" s="9">
        <v>0.26</v>
      </c>
      <c r="E1275" s="9">
        <v>0.09</v>
      </c>
      <c r="F1275" s="9">
        <v>0.04</v>
      </c>
      <c r="G1275" s="9">
        <v>202.25</v>
      </c>
      <c r="H1275" s="9">
        <v>80.67</v>
      </c>
      <c r="I1275" s="9">
        <v>28.03</v>
      </c>
      <c r="J1275" s="7" t="s">
        <v>325</v>
      </c>
    </row>
    <row r="1276" spans="1:10" x14ac:dyDescent="0.35">
      <c r="A1276" s="7" t="s">
        <v>40</v>
      </c>
      <c r="B1276" s="7" t="s">
        <v>64</v>
      </c>
      <c r="C1276" s="7" t="s">
        <v>65</v>
      </c>
      <c r="D1276" s="9">
        <v>0.01</v>
      </c>
      <c r="E1276" s="9">
        <v>0.11</v>
      </c>
      <c r="F1276" s="9">
        <v>0.04</v>
      </c>
      <c r="G1276" s="9">
        <v>5.81</v>
      </c>
      <c r="H1276" s="9">
        <v>92.42</v>
      </c>
      <c r="I1276" s="9">
        <v>37.1</v>
      </c>
      <c r="J1276" s="7" t="s">
        <v>325</v>
      </c>
    </row>
    <row r="1277" spans="1:10" x14ac:dyDescent="0.35">
      <c r="A1277" s="7" t="s">
        <v>66</v>
      </c>
      <c r="B1277" s="7" t="s">
        <v>108</v>
      </c>
      <c r="C1277" s="7" t="s">
        <v>53</v>
      </c>
      <c r="D1277" s="9">
        <v>1.22</v>
      </c>
      <c r="E1277" s="9">
        <v>0.6</v>
      </c>
      <c r="F1277" s="9">
        <v>0.04</v>
      </c>
      <c r="G1277" s="8">
        <v>1099.98</v>
      </c>
      <c r="H1277" s="9">
        <v>510.25</v>
      </c>
      <c r="I1277" s="9">
        <v>57.67</v>
      </c>
      <c r="J1277" s="7" t="s">
        <v>325</v>
      </c>
    </row>
    <row r="1278" spans="1:10" x14ac:dyDescent="0.35">
      <c r="A1278" s="7" t="s">
        <v>86</v>
      </c>
      <c r="B1278" s="7" t="s">
        <v>207</v>
      </c>
      <c r="C1278" s="7" t="s">
        <v>27</v>
      </c>
      <c r="D1278" s="9">
        <v>0</v>
      </c>
      <c r="E1278" s="9">
        <v>0.01</v>
      </c>
      <c r="F1278" s="9">
        <v>0.04</v>
      </c>
      <c r="G1278" s="9">
        <v>0.1</v>
      </c>
      <c r="H1278" s="9">
        <v>5.63</v>
      </c>
      <c r="I1278" s="9">
        <v>30.22</v>
      </c>
      <c r="J1278" s="7" t="s">
        <v>325</v>
      </c>
    </row>
    <row r="1279" spans="1:10" x14ac:dyDescent="0.35">
      <c r="A1279" s="7" t="s">
        <v>189</v>
      </c>
      <c r="B1279" s="7" t="s">
        <v>190</v>
      </c>
      <c r="C1279" s="7" t="s">
        <v>59</v>
      </c>
      <c r="D1279" s="9">
        <v>0.51</v>
      </c>
      <c r="E1279" s="9">
        <v>0.13</v>
      </c>
      <c r="F1279" s="9">
        <v>0.04</v>
      </c>
      <c r="G1279" s="9">
        <v>294.83</v>
      </c>
      <c r="H1279" s="9">
        <v>77.61</v>
      </c>
      <c r="I1279" s="9">
        <v>20.94</v>
      </c>
      <c r="J1279" s="7" t="s">
        <v>325</v>
      </c>
    </row>
    <row r="1280" spans="1:10" x14ac:dyDescent="0.35">
      <c r="A1280" s="7" t="s">
        <v>77</v>
      </c>
      <c r="B1280" s="7" t="s">
        <v>149</v>
      </c>
      <c r="C1280" s="7" t="s">
        <v>39</v>
      </c>
      <c r="D1280" s="9">
        <v>0.14000000000000001</v>
      </c>
      <c r="E1280" s="9">
        <v>0.11</v>
      </c>
      <c r="F1280" s="9">
        <v>0.04</v>
      </c>
      <c r="G1280" s="9">
        <v>44.47</v>
      </c>
      <c r="H1280" s="9">
        <v>38.729999999999997</v>
      </c>
      <c r="I1280" s="9">
        <v>11.14</v>
      </c>
      <c r="J1280" s="7" t="s">
        <v>325</v>
      </c>
    </row>
    <row r="1281" spans="1:10" x14ac:dyDescent="0.35">
      <c r="A1281" s="7" t="s">
        <v>40</v>
      </c>
      <c r="B1281" s="7" t="s">
        <v>41</v>
      </c>
      <c r="C1281" s="7" t="s">
        <v>179</v>
      </c>
      <c r="D1281" s="9">
        <v>0.01</v>
      </c>
      <c r="E1281" s="9">
        <v>0.01</v>
      </c>
      <c r="F1281" s="9">
        <v>0.04</v>
      </c>
      <c r="G1281" s="9">
        <v>1.61</v>
      </c>
      <c r="H1281" s="9">
        <v>0.56999999999999995</v>
      </c>
      <c r="I1281" s="9">
        <v>3.74</v>
      </c>
      <c r="J1281" s="7" t="s">
        <v>325</v>
      </c>
    </row>
    <row r="1282" spans="1:10" x14ac:dyDescent="0.35">
      <c r="A1282" s="7" t="s">
        <v>31</v>
      </c>
      <c r="B1282" s="7" t="s">
        <v>215</v>
      </c>
      <c r="C1282" s="7" t="s">
        <v>48</v>
      </c>
      <c r="D1282" s="9">
        <v>0.14000000000000001</v>
      </c>
      <c r="E1282" s="9">
        <v>0.09</v>
      </c>
      <c r="F1282" s="9">
        <v>0.04</v>
      </c>
      <c r="G1282" s="9">
        <v>65.89</v>
      </c>
      <c r="H1282" s="9">
        <v>31.45</v>
      </c>
      <c r="I1282" s="9">
        <v>11.84</v>
      </c>
      <c r="J1282" s="7" t="s">
        <v>325</v>
      </c>
    </row>
    <row r="1283" spans="1:10" x14ac:dyDescent="0.35">
      <c r="A1283" s="7" t="s">
        <v>16</v>
      </c>
      <c r="B1283" s="7" t="s">
        <v>52</v>
      </c>
      <c r="C1283" s="7" t="s">
        <v>126</v>
      </c>
      <c r="D1283" s="9">
        <v>0.12</v>
      </c>
      <c r="E1283" s="9">
        <v>0.01</v>
      </c>
      <c r="F1283" s="9">
        <v>0.04</v>
      </c>
      <c r="G1283" s="9">
        <v>14.56</v>
      </c>
      <c r="H1283" s="9">
        <v>8</v>
      </c>
      <c r="I1283" s="9">
        <v>16</v>
      </c>
      <c r="J1283" s="7" t="s">
        <v>325</v>
      </c>
    </row>
    <row r="1284" spans="1:10" x14ac:dyDescent="0.35">
      <c r="A1284" s="7" t="s">
        <v>79</v>
      </c>
      <c r="B1284" s="7" t="s">
        <v>80</v>
      </c>
      <c r="C1284" s="7" t="s">
        <v>126</v>
      </c>
      <c r="D1284" s="9">
        <v>1.19</v>
      </c>
      <c r="E1284" s="9">
        <v>0.24</v>
      </c>
      <c r="F1284" s="9">
        <v>0.04</v>
      </c>
      <c r="G1284" s="8">
        <v>1417.3</v>
      </c>
      <c r="H1284" s="9">
        <v>272.08</v>
      </c>
      <c r="I1284" s="9">
        <v>41.67</v>
      </c>
      <c r="J1284" s="7" t="s">
        <v>325</v>
      </c>
    </row>
    <row r="1285" spans="1:10" x14ac:dyDescent="0.35">
      <c r="A1285" s="7" t="s">
        <v>31</v>
      </c>
      <c r="B1285" s="7" t="s">
        <v>131</v>
      </c>
      <c r="C1285" s="7" t="s">
        <v>51</v>
      </c>
      <c r="D1285" s="9">
        <v>0.05</v>
      </c>
      <c r="E1285" s="9">
        <v>0.08</v>
      </c>
      <c r="F1285" s="9">
        <v>0.04</v>
      </c>
      <c r="G1285" s="9">
        <v>34.409999999999997</v>
      </c>
      <c r="H1285" s="9">
        <v>68.84</v>
      </c>
      <c r="I1285" s="9">
        <v>25.54</v>
      </c>
      <c r="J1285" s="7" t="s">
        <v>325</v>
      </c>
    </row>
    <row r="1286" spans="1:10" x14ac:dyDescent="0.35">
      <c r="A1286" s="7" t="s">
        <v>86</v>
      </c>
      <c r="B1286" s="7" t="s">
        <v>87</v>
      </c>
      <c r="C1286" s="7" t="s">
        <v>84</v>
      </c>
      <c r="D1286" s="9">
        <v>0</v>
      </c>
      <c r="E1286" s="9">
        <v>0</v>
      </c>
      <c r="F1286" s="9">
        <v>0.04</v>
      </c>
      <c r="G1286" s="9">
        <v>0.05</v>
      </c>
      <c r="H1286" s="9">
        <v>0.04</v>
      </c>
      <c r="I1286" s="9">
        <v>3.01</v>
      </c>
      <c r="J1286" s="7" t="s">
        <v>325</v>
      </c>
    </row>
    <row r="1287" spans="1:10" x14ac:dyDescent="0.35">
      <c r="A1287" s="7" t="s">
        <v>129</v>
      </c>
      <c r="B1287" s="7" t="s">
        <v>147</v>
      </c>
      <c r="C1287" s="7" t="s">
        <v>126</v>
      </c>
      <c r="D1287" s="9">
        <v>0.09</v>
      </c>
      <c r="E1287" s="9">
        <v>0.06</v>
      </c>
      <c r="F1287" s="9">
        <v>0.03</v>
      </c>
      <c r="G1287" s="9">
        <v>339.09</v>
      </c>
      <c r="H1287" s="9">
        <v>210.38</v>
      </c>
      <c r="I1287" s="9">
        <v>123</v>
      </c>
      <c r="J1287" s="7" t="s">
        <v>325</v>
      </c>
    </row>
    <row r="1288" spans="1:10" x14ac:dyDescent="0.35">
      <c r="A1288" s="7" t="s">
        <v>66</v>
      </c>
      <c r="B1288" s="7" t="s">
        <v>67</v>
      </c>
      <c r="C1288" s="7" t="s">
        <v>42</v>
      </c>
      <c r="D1288" s="9">
        <v>0</v>
      </c>
      <c r="E1288" s="9">
        <v>0.59</v>
      </c>
      <c r="F1288" s="9">
        <v>0.03</v>
      </c>
      <c r="G1288" s="9">
        <v>0</v>
      </c>
      <c r="H1288" s="9">
        <v>131.09</v>
      </c>
      <c r="I1288" s="9">
        <v>8</v>
      </c>
      <c r="J1288" s="7" t="s">
        <v>325</v>
      </c>
    </row>
    <row r="1289" spans="1:10" x14ac:dyDescent="0.35">
      <c r="A1289" s="7" t="s">
        <v>49</v>
      </c>
      <c r="B1289" s="7" t="s">
        <v>163</v>
      </c>
      <c r="C1289" s="7" t="s">
        <v>39</v>
      </c>
      <c r="D1289" s="9">
        <v>0</v>
      </c>
      <c r="E1289" s="9">
        <v>0</v>
      </c>
      <c r="F1289" s="9">
        <v>0.03</v>
      </c>
      <c r="G1289" s="9">
        <v>0</v>
      </c>
      <c r="H1289" s="9">
        <v>0</v>
      </c>
      <c r="I1289" s="9">
        <v>19.670000000000002</v>
      </c>
      <c r="J1289" s="7" t="s">
        <v>325</v>
      </c>
    </row>
    <row r="1290" spans="1:10" x14ac:dyDescent="0.35">
      <c r="A1290" s="7" t="s">
        <v>20</v>
      </c>
      <c r="B1290" s="7" t="s">
        <v>134</v>
      </c>
      <c r="C1290" s="7" t="s">
        <v>170</v>
      </c>
      <c r="D1290" s="9">
        <v>0</v>
      </c>
      <c r="E1290" s="9">
        <v>0.02</v>
      </c>
      <c r="F1290" s="9">
        <v>0.03</v>
      </c>
      <c r="G1290" s="9">
        <v>0</v>
      </c>
      <c r="H1290" s="9">
        <v>2.73</v>
      </c>
      <c r="I1290" s="9">
        <v>3.87</v>
      </c>
      <c r="J1290" s="7" t="s">
        <v>325</v>
      </c>
    </row>
    <row r="1291" spans="1:10" x14ac:dyDescent="0.35">
      <c r="A1291" s="7" t="s">
        <v>35</v>
      </c>
      <c r="B1291" s="7" t="s">
        <v>47</v>
      </c>
      <c r="C1291" s="7" t="s">
        <v>69</v>
      </c>
      <c r="D1291" s="9">
        <v>0.02</v>
      </c>
      <c r="E1291" s="9">
        <v>0</v>
      </c>
      <c r="F1291" s="9">
        <v>0.03</v>
      </c>
      <c r="G1291" s="9">
        <v>2.91</v>
      </c>
      <c r="H1291" s="9">
        <v>0.01</v>
      </c>
      <c r="I1291" s="9">
        <v>15.06</v>
      </c>
      <c r="J1291" s="7" t="s">
        <v>325</v>
      </c>
    </row>
    <row r="1292" spans="1:10" x14ac:dyDescent="0.35">
      <c r="A1292" s="7" t="s">
        <v>79</v>
      </c>
      <c r="B1292" s="7" t="s">
        <v>226</v>
      </c>
      <c r="C1292" s="7" t="s">
        <v>45</v>
      </c>
      <c r="D1292" s="9">
        <v>0.48</v>
      </c>
      <c r="E1292" s="9">
        <v>0.5</v>
      </c>
      <c r="F1292" s="9">
        <v>0.03</v>
      </c>
      <c r="G1292" s="9">
        <v>476.61</v>
      </c>
      <c r="H1292" s="9">
        <v>442.63</v>
      </c>
      <c r="I1292" s="9">
        <v>21.77</v>
      </c>
      <c r="J1292" s="7" t="s">
        <v>325</v>
      </c>
    </row>
    <row r="1293" spans="1:10" x14ac:dyDescent="0.35">
      <c r="A1293" s="7" t="s">
        <v>16</v>
      </c>
      <c r="B1293" s="7" t="s">
        <v>240</v>
      </c>
      <c r="C1293" s="7" t="s">
        <v>42</v>
      </c>
      <c r="D1293" s="9">
        <v>0</v>
      </c>
      <c r="E1293" s="9">
        <v>0</v>
      </c>
      <c r="F1293" s="9">
        <v>0.03</v>
      </c>
      <c r="G1293" s="9">
        <v>0</v>
      </c>
      <c r="H1293" s="9">
        <v>0</v>
      </c>
      <c r="I1293" s="9">
        <v>5.33</v>
      </c>
      <c r="J1293" s="7" t="s">
        <v>325</v>
      </c>
    </row>
    <row r="1294" spans="1:10" x14ac:dyDescent="0.35">
      <c r="A1294" s="7" t="s">
        <v>74</v>
      </c>
      <c r="B1294" s="7" t="s">
        <v>98</v>
      </c>
      <c r="C1294" s="7" t="s">
        <v>42</v>
      </c>
      <c r="D1294" s="9">
        <v>0</v>
      </c>
      <c r="E1294" s="9">
        <v>0.79</v>
      </c>
      <c r="F1294" s="9">
        <v>0.03</v>
      </c>
      <c r="G1294" s="9">
        <v>0</v>
      </c>
      <c r="H1294" s="9">
        <v>519.76</v>
      </c>
      <c r="I1294" s="9">
        <v>17.82</v>
      </c>
      <c r="J1294" s="7" t="s">
        <v>325</v>
      </c>
    </row>
    <row r="1295" spans="1:10" x14ac:dyDescent="0.35">
      <c r="A1295" s="7" t="s">
        <v>35</v>
      </c>
      <c r="B1295" s="7" t="s">
        <v>165</v>
      </c>
      <c r="C1295" s="7" t="s">
        <v>27</v>
      </c>
      <c r="D1295" s="9">
        <v>0</v>
      </c>
      <c r="E1295" s="9">
        <v>0.04</v>
      </c>
      <c r="F1295" s="9">
        <v>0.03</v>
      </c>
      <c r="G1295" s="9">
        <v>0.6</v>
      </c>
      <c r="H1295" s="9">
        <v>40.44</v>
      </c>
      <c r="I1295" s="9">
        <v>31.96</v>
      </c>
      <c r="J1295" s="7" t="s">
        <v>325</v>
      </c>
    </row>
    <row r="1296" spans="1:10" x14ac:dyDescent="0.35">
      <c r="A1296" s="7" t="s">
        <v>20</v>
      </c>
      <c r="B1296" s="7" t="s">
        <v>68</v>
      </c>
      <c r="C1296" s="7" t="s">
        <v>84</v>
      </c>
      <c r="D1296" s="9">
        <v>0.03</v>
      </c>
      <c r="E1296" s="9">
        <v>0</v>
      </c>
      <c r="F1296" s="9">
        <v>0.03</v>
      </c>
      <c r="G1296" s="9">
        <v>2.65</v>
      </c>
      <c r="H1296" s="9">
        <v>0.05</v>
      </c>
      <c r="I1296" s="9">
        <v>3.7</v>
      </c>
      <c r="J1296" s="7" t="s">
        <v>325</v>
      </c>
    </row>
    <row r="1297" spans="1:10" x14ac:dyDescent="0.35">
      <c r="A1297" s="7" t="s">
        <v>74</v>
      </c>
      <c r="B1297" s="7" t="s">
        <v>98</v>
      </c>
      <c r="C1297" s="7" t="s">
        <v>18</v>
      </c>
      <c r="D1297" s="9">
        <v>0</v>
      </c>
      <c r="E1297" s="9">
        <v>0.25</v>
      </c>
      <c r="F1297" s="9">
        <v>0.03</v>
      </c>
      <c r="G1297" s="9">
        <v>0</v>
      </c>
      <c r="H1297" s="9">
        <v>106.65</v>
      </c>
      <c r="I1297" s="9">
        <v>14.99</v>
      </c>
      <c r="J1297" s="7" t="s">
        <v>325</v>
      </c>
    </row>
    <row r="1298" spans="1:10" x14ac:dyDescent="0.35">
      <c r="A1298" s="7" t="s">
        <v>77</v>
      </c>
      <c r="B1298" s="7" t="s">
        <v>216</v>
      </c>
      <c r="C1298" s="7" t="s">
        <v>76</v>
      </c>
      <c r="D1298" s="9">
        <v>0.19</v>
      </c>
      <c r="E1298" s="9">
        <v>0.08</v>
      </c>
      <c r="F1298" s="9">
        <v>0.03</v>
      </c>
      <c r="G1298" s="9">
        <v>134.61000000000001</v>
      </c>
      <c r="H1298" s="9">
        <v>52.42</v>
      </c>
      <c r="I1298" s="9">
        <v>20.190000000000001</v>
      </c>
      <c r="J1298" s="7" t="s">
        <v>325</v>
      </c>
    </row>
    <row r="1299" spans="1:10" x14ac:dyDescent="0.35">
      <c r="A1299" s="7" t="s">
        <v>23</v>
      </c>
      <c r="B1299" s="7" t="s">
        <v>120</v>
      </c>
      <c r="C1299" s="7" t="s">
        <v>65</v>
      </c>
      <c r="D1299" s="9">
        <v>0</v>
      </c>
      <c r="E1299" s="9">
        <v>0.01</v>
      </c>
      <c r="F1299" s="9">
        <v>0.03</v>
      </c>
      <c r="G1299" s="9">
        <v>4.3</v>
      </c>
      <c r="H1299" s="9">
        <v>15.32</v>
      </c>
      <c r="I1299" s="9">
        <v>45.72</v>
      </c>
      <c r="J1299" s="7" t="s">
        <v>325</v>
      </c>
    </row>
    <row r="1300" spans="1:10" x14ac:dyDescent="0.35">
      <c r="A1300" s="7" t="s">
        <v>49</v>
      </c>
      <c r="B1300" s="7" t="s">
        <v>121</v>
      </c>
      <c r="C1300" s="7" t="s">
        <v>42</v>
      </c>
      <c r="D1300" s="9">
        <v>0.06</v>
      </c>
      <c r="E1300" s="9">
        <v>0.09</v>
      </c>
      <c r="F1300" s="9">
        <v>0.03</v>
      </c>
      <c r="G1300" s="9">
        <v>19.32</v>
      </c>
      <c r="H1300" s="9">
        <v>17.489999999999998</v>
      </c>
      <c r="I1300" s="9">
        <v>6.71</v>
      </c>
      <c r="J1300" s="7" t="s">
        <v>325</v>
      </c>
    </row>
    <row r="1301" spans="1:10" x14ac:dyDescent="0.35">
      <c r="A1301" s="7" t="s">
        <v>16</v>
      </c>
      <c r="B1301" s="7" t="s">
        <v>52</v>
      </c>
      <c r="C1301" s="7" t="s">
        <v>65</v>
      </c>
      <c r="D1301" s="9">
        <v>0.01</v>
      </c>
      <c r="E1301" s="9">
        <v>0</v>
      </c>
      <c r="F1301" s="9">
        <v>0.03</v>
      </c>
      <c r="G1301" s="9">
        <v>12.79</v>
      </c>
      <c r="H1301" s="9">
        <v>0.14000000000000001</v>
      </c>
      <c r="I1301" s="9">
        <v>47.51</v>
      </c>
      <c r="J1301" s="7" t="s">
        <v>325</v>
      </c>
    </row>
    <row r="1302" spans="1:10" x14ac:dyDescent="0.35">
      <c r="A1302" s="7" t="s">
        <v>159</v>
      </c>
      <c r="B1302" s="7" t="s">
        <v>186</v>
      </c>
      <c r="C1302" s="7" t="s">
        <v>102</v>
      </c>
      <c r="D1302" s="9">
        <v>0</v>
      </c>
      <c r="E1302" s="9">
        <v>0</v>
      </c>
      <c r="F1302" s="9">
        <v>0.03</v>
      </c>
      <c r="G1302" s="9">
        <v>0</v>
      </c>
      <c r="H1302" s="9">
        <v>0</v>
      </c>
      <c r="I1302" s="9">
        <v>108.67</v>
      </c>
      <c r="J1302" s="7" t="s">
        <v>325</v>
      </c>
    </row>
    <row r="1303" spans="1:10" x14ac:dyDescent="0.35">
      <c r="A1303" s="7" t="s">
        <v>40</v>
      </c>
      <c r="B1303" s="7" t="s">
        <v>107</v>
      </c>
      <c r="C1303" s="7" t="s">
        <v>59</v>
      </c>
      <c r="D1303" s="9">
        <v>0</v>
      </c>
      <c r="E1303" s="9">
        <v>0.02</v>
      </c>
      <c r="F1303" s="9">
        <v>0.03</v>
      </c>
      <c r="G1303" s="9">
        <v>0</v>
      </c>
      <c r="H1303" s="9">
        <v>1.28</v>
      </c>
      <c r="I1303" s="9">
        <v>13.92</v>
      </c>
      <c r="J1303" s="7" t="s">
        <v>325</v>
      </c>
    </row>
    <row r="1304" spans="1:10" x14ac:dyDescent="0.35">
      <c r="A1304" s="7" t="s">
        <v>86</v>
      </c>
      <c r="B1304" s="7" t="s">
        <v>87</v>
      </c>
      <c r="C1304" s="7" t="s">
        <v>118</v>
      </c>
      <c r="D1304" s="9">
        <v>0.09</v>
      </c>
      <c r="E1304" s="9">
        <v>7.0000000000000007E-2</v>
      </c>
      <c r="F1304" s="9">
        <v>0.03</v>
      </c>
      <c r="G1304" s="9">
        <v>7.63</v>
      </c>
      <c r="H1304" s="9">
        <v>14.34</v>
      </c>
      <c r="I1304" s="9">
        <v>3.53</v>
      </c>
      <c r="J1304" s="7" t="s">
        <v>325</v>
      </c>
    </row>
    <row r="1305" spans="1:10" x14ac:dyDescent="0.35">
      <c r="A1305" s="7" t="s">
        <v>40</v>
      </c>
      <c r="B1305" s="7" t="s">
        <v>164</v>
      </c>
      <c r="C1305" s="7" t="s">
        <v>59</v>
      </c>
      <c r="D1305" s="9">
        <v>0.1</v>
      </c>
      <c r="E1305" s="9">
        <v>0.06</v>
      </c>
      <c r="F1305" s="9">
        <v>0.03</v>
      </c>
      <c r="G1305" s="9">
        <v>10.14</v>
      </c>
      <c r="H1305" s="9">
        <v>7.4</v>
      </c>
      <c r="I1305" s="9">
        <v>2.92</v>
      </c>
      <c r="J1305" s="7" t="s">
        <v>325</v>
      </c>
    </row>
    <row r="1306" spans="1:10" x14ac:dyDescent="0.35">
      <c r="A1306" s="7" t="s">
        <v>189</v>
      </c>
      <c r="B1306" s="7" t="s">
        <v>227</v>
      </c>
      <c r="C1306" s="7" t="s">
        <v>55</v>
      </c>
      <c r="D1306" s="9">
        <v>7.0000000000000007E-2</v>
      </c>
      <c r="E1306" s="9">
        <v>0.08</v>
      </c>
      <c r="F1306" s="9">
        <v>0.03</v>
      </c>
      <c r="G1306" s="9">
        <v>243.8</v>
      </c>
      <c r="H1306" s="9">
        <v>292.77999999999997</v>
      </c>
      <c r="I1306" s="9">
        <v>118.66</v>
      </c>
      <c r="J1306" s="7" t="s">
        <v>325</v>
      </c>
    </row>
    <row r="1307" spans="1:10" x14ac:dyDescent="0.35">
      <c r="A1307" s="7" t="s">
        <v>31</v>
      </c>
      <c r="B1307" s="7" t="s">
        <v>101</v>
      </c>
      <c r="C1307" s="7" t="s">
        <v>45</v>
      </c>
      <c r="D1307" s="9">
        <v>0.01</v>
      </c>
      <c r="E1307" s="9">
        <v>0.01</v>
      </c>
      <c r="F1307" s="9">
        <v>0.03</v>
      </c>
      <c r="G1307" s="9">
        <v>37.4</v>
      </c>
      <c r="H1307" s="9">
        <v>25.33</v>
      </c>
      <c r="I1307" s="9">
        <v>4</v>
      </c>
      <c r="J1307" s="7" t="s">
        <v>325</v>
      </c>
    </row>
    <row r="1308" spans="1:10" x14ac:dyDescent="0.35">
      <c r="A1308" s="7" t="s">
        <v>16</v>
      </c>
      <c r="B1308" s="7" t="s">
        <v>105</v>
      </c>
      <c r="C1308" s="7" t="s">
        <v>53</v>
      </c>
      <c r="D1308" s="9">
        <v>0</v>
      </c>
      <c r="E1308" s="9">
        <v>0.11</v>
      </c>
      <c r="F1308" s="9">
        <v>0.03</v>
      </c>
      <c r="G1308" s="9">
        <v>0</v>
      </c>
      <c r="H1308" s="9">
        <v>9.5500000000000007</v>
      </c>
      <c r="I1308" s="9">
        <v>2.84</v>
      </c>
      <c r="J1308" s="7" t="s">
        <v>325</v>
      </c>
    </row>
    <row r="1309" spans="1:10" x14ac:dyDescent="0.35">
      <c r="A1309" s="7" t="s">
        <v>40</v>
      </c>
      <c r="B1309" s="7" t="s">
        <v>241</v>
      </c>
      <c r="C1309" s="7" t="s">
        <v>39</v>
      </c>
      <c r="D1309" s="9">
        <v>0.14000000000000001</v>
      </c>
      <c r="E1309" s="9">
        <v>0.1</v>
      </c>
      <c r="F1309" s="9">
        <v>0.03</v>
      </c>
      <c r="G1309" s="9">
        <v>86.06</v>
      </c>
      <c r="H1309" s="9">
        <v>40.69</v>
      </c>
      <c r="I1309" s="9">
        <v>10.99</v>
      </c>
      <c r="J1309" s="7" t="s">
        <v>325</v>
      </c>
    </row>
    <row r="1310" spans="1:10" x14ac:dyDescent="0.35">
      <c r="A1310" s="7" t="s">
        <v>31</v>
      </c>
      <c r="B1310" s="7" t="s">
        <v>32</v>
      </c>
      <c r="C1310" s="7" t="s">
        <v>59</v>
      </c>
      <c r="D1310" s="9">
        <v>0</v>
      </c>
      <c r="E1310" s="9">
        <v>0.06</v>
      </c>
      <c r="F1310" s="9">
        <v>0.03</v>
      </c>
      <c r="G1310" s="9">
        <v>0.06</v>
      </c>
      <c r="H1310" s="9">
        <v>7.13</v>
      </c>
      <c r="I1310" s="9">
        <v>15.03</v>
      </c>
      <c r="J1310" s="7" t="s">
        <v>325</v>
      </c>
    </row>
    <row r="1311" spans="1:10" x14ac:dyDescent="0.35">
      <c r="A1311" s="7" t="s">
        <v>20</v>
      </c>
      <c r="B1311" s="7" t="s">
        <v>68</v>
      </c>
      <c r="C1311" s="7" t="s">
        <v>72</v>
      </c>
      <c r="D1311" s="9">
        <v>7.0000000000000007E-2</v>
      </c>
      <c r="E1311" s="9">
        <v>1.47</v>
      </c>
      <c r="F1311" s="9">
        <v>0.03</v>
      </c>
      <c r="G1311" s="9">
        <v>8.32</v>
      </c>
      <c r="H1311" s="9">
        <v>132.91999999999999</v>
      </c>
      <c r="I1311" s="9">
        <v>2.12</v>
      </c>
      <c r="J1311" s="7" t="s">
        <v>325</v>
      </c>
    </row>
    <row r="1312" spans="1:10" x14ac:dyDescent="0.35">
      <c r="A1312" s="7" t="s">
        <v>40</v>
      </c>
      <c r="B1312" s="7" t="s">
        <v>64</v>
      </c>
      <c r="C1312" s="7" t="s">
        <v>102</v>
      </c>
      <c r="D1312" s="9">
        <v>0.06</v>
      </c>
      <c r="E1312" s="9">
        <v>0.1</v>
      </c>
      <c r="F1312" s="9">
        <v>0.03</v>
      </c>
      <c r="G1312" s="9">
        <v>101.52</v>
      </c>
      <c r="H1312" s="9">
        <v>88.77</v>
      </c>
      <c r="I1312" s="9">
        <v>18.46</v>
      </c>
      <c r="J1312" s="7" t="s">
        <v>325</v>
      </c>
    </row>
    <row r="1313" spans="1:10" x14ac:dyDescent="0.35">
      <c r="A1313" s="7" t="s">
        <v>16</v>
      </c>
      <c r="B1313" s="7" t="s">
        <v>239</v>
      </c>
      <c r="C1313" s="7" t="s">
        <v>42</v>
      </c>
      <c r="D1313" s="9">
        <v>0</v>
      </c>
      <c r="E1313" s="9">
        <v>0.01</v>
      </c>
      <c r="F1313" s="9">
        <v>0.03</v>
      </c>
      <c r="G1313" s="9">
        <v>0</v>
      </c>
      <c r="H1313" s="9">
        <v>7.04</v>
      </c>
      <c r="I1313" s="9">
        <v>14.3</v>
      </c>
      <c r="J1313" s="7" t="s">
        <v>325</v>
      </c>
    </row>
    <row r="1314" spans="1:10" x14ac:dyDescent="0.35">
      <c r="A1314" s="7" t="s">
        <v>49</v>
      </c>
      <c r="B1314" s="7" t="s">
        <v>70</v>
      </c>
      <c r="C1314" s="7" t="s">
        <v>53</v>
      </c>
      <c r="D1314" s="9">
        <v>0</v>
      </c>
      <c r="E1314" s="9">
        <v>0.04</v>
      </c>
      <c r="F1314" s="9">
        <v>0.03</v>
      </c>
      <c r="G1314" s="9">
        <v>0</v>
      </c>
      <c r="H1314" s="9">
        <v>26.25</v>
      </c>
      <c r="I1314" s="9">
        <v>24.84</v>
      </c>
      <c r="J1314" s="7" t="s">
        <v>325</v>
      </c>
    </row>
    <row r="1315" spans="1:10" x14ac:dyDescent="0.35">
      <c r="A1315" s="7" t="s">
        <v>31</v>
      </c>
      <c r="B1315" s="7" t="s">
        <v>215</v>
      </c>
      <c r="C1315" s="7" t="s">
        <v>45</v>
      </c>
      <c r="D1315" s="9">
        <v>0.04</v>
      </c>
      <c r="E1315" s="9">
        <v>0.05</v>
      </c>
      <c r="F1315" s="9">
        <v>0.03</v>
      </c>
      <c r="G1315" s="9">
        <v>41.59</v>
      </c>
      <c r="H1315" s="9">
        <v>57.82</v>
      </c>
      <c r="I1315" s="9">
        <v>40.71</v>
      </c>
      <c r="J1315" s="7" t="s">
        <v>325</v>
      </c>
    </row>
    <row r="1316" spans="1:10" x14ac:dyDescent="0.35">
      <c r="A1316" s="7" t="s">
        <v>94</v>
      </c>
      <c r="B1316" s="7" t="s">
        <v>95</v>
      </c>
      <c r="C1316" s="7" t="s">
        <v>122</v>
      </c>
      <c r="D1316" s="9">
        <v>0.67</v>
      </c>
      <c r="E1316" s="9">
        <v>0.05</v>
      </c>
      <c r="F1316" s="9">
        <v>0.03</v>
      </c>
      <c r="G1316" s="9">
        <v>672.78</v>
      </c>
      <c r="H1316" s="9">
        <v>69.959999999999994</v>
      </c>
      <c r="I1316" s="9">
        <v>54.91</v>
      </c>
      <c r="J1316" s="7" t="s">
        <v>325</v>
      </c>
    </row>
    <row r="1317" spans="1:10" x14ac:dyDescent="0.35">
      <c r="A1317" s="7" t="s">
        <v>23</v>
      </c>
      <c r="B1317" s="7" t="s">
        <v>138</v>
      </c>
      <c r="C1317" s="7" t="s">
        <v>39</v>
      </c>
      <c r="D1317" s="9">
        <v>0</v>
      </c>
      <c r="E1317" s="9">
        <v>0.24</v>
      </c>
      <c r="F1317" s="9">
        <v>0.03</v>
      </c>
      <c r="G1317" s="9">
        <v>0</v>
      </c>
      <c r="H1317" s="9">
        <v>73.05</v>
      </c>
      <c r="I1317" s="9">
        <v>22.02</v>
      </c>
      <c r="J1317" s="7" t="s">
        <v>325</v>
      </c>
    </row>
    <row r="1318" spans="1:10" x14ac:dyDescent="0.35">
      <c r="A1318" s="7" t="s">
        <v>16</v>
      </c>
      <c r="B1318" s="7" t="s">
        <v>172</v>
      </c>
      <c r="C1318" s="7" t="s">
        <v>46</v>
      </c>
      <c r="D1318" s="9">
        <v>0</v>
      </c>
      <c r="E1318" s="9">
        <v>0</v>
      </c>
      <c r="F1318" s="9">
        <v>0.03</v>
      </c>
      <c r="G1318" s="9">
        <v>0</v>
      </c>
      <c r="H1318" s="9">
        <v>0</v>
      </c>
      <c r="I1318" s="9">
        <v>22</v>
      </c>
      <c r="J1318" s="7" t="s">
        <v>325</v>
      </c>
    </row>
    <row r="1319" spans="1:10" x14ac:dyDescent="0.35">
      <c r="A1319" s="7" t="s">
        <v>79</v>
      </c>
      <c r="B1319" s="7" t="s">
        <v>80</v>
      </c>
      <c r="C1319" s="7" t="s">
        <v>144</v>
      </c>
      <c r="D1319" s="9">
        <v>0.06</v>
      </c>
      <c r="E1319" s="9">
        <v>0.27</v>
      </c>
      <c r="F1319" s="9">
        <v>0.03</v>
      </c>
      <c r="G1319" s="9">
        <v>70.23</v>
      </c>
      <c r="H1319" s="9">
        <v>206.08</v>
      </c>
      <c r="I1319" s="9">
        <v>25.53</v>
      </c>
      <c r="J1319" s="7" t="s">
        <v>325</v>
      </c>
    </row>
    <row r="1320" spans="1:10" x14ac:dyDescent="0.35">
      <c r="A1320" s="7" t="s">
        <v>66</v>
      </c>
      <c r="B1320" s="7" t="s">
        <v>73</v>
      </c>
      <c r="C1320" s="7" t="s">
        <v>84</v>
      </c>
      <c r="D1320" s="9">
        <v>0.02</v>
      </c>
      <c r="E1320" s="9">
        <v>0.03</v>
      </c>
      <c r="F1320" s="9">
        <v>0.03</v>
      </c>
      <c r="G1320" s="9">
        <v>2.61</v>
      </c>
      <c r="H1320" s="9">
        <v>3</v>
      </c>
      <c r="I1320" s="9">
        <v>3.5</v>
      </c>
      <c r="J1320" s="7" t="s">
        <v>325</v>
      </c>
    </row>
    <row r="1321" spans="1:10" x14ac:dyDescent="0.35">
      <c r="A1321" s="7" t="s">
        <v>79</v>
      </c>
      <c r="B1321" s="7" t="s">
        <v>202</v>
      </c>
      <c r="C1321" s="7" t="s">
        <v>174</v>
      </c>
      <c r="D1321" s="9">
        <v>0</v>
      </c>
      <c r="E1321" s="9">
        <v>0.11</v>
      </c>
      <c r="F1321" s="9">
        <v>0.03</v>
      </c>
      <c r="G1321" s="9">
        <v>0</v>
      </c>
      <c r="H1321" s="9">
        <v>17.5</v>
      </c>
      <c r="I1321" s="9">
        <v>5</v>
      </c>
      <c r="J1321" s="7" t="s">
        <v>325</v>
      </c>
    </row>
    <row r="1322" spans="1:10" x14ac:dyDescent="0.35">
      <c r="A1322" s="7" t="s">
        <v>94</v>
      </c>
      <c r="B1322" s="7" t="s">
        <v>112</v>
      </c>
      <c r="C1322" s="7" t="s">
        <v>142</v>
      </c>
      <c r="D1322" s="9">
        <v>0</v>
      </c>
      <c r="E1322" s="9">
        <v>0.1</v>
      </c>
      <c r="F1322" s="9">
        <v>0.03</v>
      </c>
      <c r="G1322" s="9">
        <v>5</v>
      </c>
      <c r="H1322" s="9">
        <v>150.06</v>
      </c>
      <c r="I1322" s="9">
        <v>32.65</v>
      </c>
      <c r="J1322" s="7" t="s">
        <v>325</v>
      </c>
    </row>
    <row r="1323" spans="1:10" x14ac:dyDescent="0.35">
      <c r="A1323" s="7" t="s">
        <v>16</v>
      </c>
      <c r="B1323" s="7" t="s">
        <v>143</v>
      </c>
      <c r="C1323" s="7" t="s">
        <v>45</v>
      </c>
      <c r="D1323" s="9">
        <v>0</v>
      </c>
      <c r="E1323" s="9">
        <v>0</v>
      </c>
      <c r="F1323" s="9">
        <v>0.03</v>
      </c>
      <c r="G1323" s="9">
        <v>0</v>
      </c>
      <c r="H1323" s="9">
        <v>0</v>
      </c>
      <c r="I1323" s="9">
        <v>30</v>
      </c>
      <c r="J1323" s="7" t="s">
        <v>325</v>
      </c>
    </row>
    <row r="1324" spans="1:10" x14ac:dyDescent="0.35">
      <c r="A1324" s="7" t="s">
        <v>20</v>
      </c>
      <c r="B1324" s="7" t="s">
        <v>111</v>
      </c>
      <c r="C1324" s="7" t="s">
        <v>42</v>
      </c>
      <c r="D1324" s="9">
        <v>0.09</v>
      </c>
      <c r="E1324" s="9">
        <v>0.3</v>
      </c>
      <c r="F1324" s="9">
        <v>0.03</v>
      </c>
      <c r="G1324" s="9">
        <v>28.17</v>
      </c>
      <c r="H1324" s="9">
        <v>127.02</v>
      </c>
      <c r="I1324" s="9">
        <v>18.54</v>
      </c>
      <c r="J1324" s="7" t="s">
        <v>325</v>
      </c>
    </row>
    <row r="1325" spans="1:10" x14ac:dyDescent="0.35">
      <c r="A1325" s="7" t="s">
        <v>86</v>
      </c>
      <c r="B1325" s="7" t="s">
        <v>87</v>
      </c>
      <c r="C1325" s="7" t="s">
        <v>122</v>
      </c>
      <c r="D1325" s="9">
        <v>1.1100000000000001</v>
      </c>
      <c r="E1325" s="9">
        <v>0.93</v>
      </c>
      <c r="F1325" s="9">
        <v>0.03</v>
      </c>
      <c r="G1325" s="9">
        <v>124.7</v>
      </c>
      <c r="H1325" s="9">
        <v>92.15</v>
      </c>
      <c r="I1325" s="9">
        <v>2.4500000000000002</v>
      </c>
      <c r="J1325" s="7" t="s">
        <v>325</v>
      </c>
    </row>
    <row r="1326" spans="1:10" x14ac:dyDescent="0.35">
      <c r="A1326" s="7" t="s">
        <v>16</v>
      </c>
      <c r="B1326" s="7" t="s">
        <v>109</v>
      </c>
      <c r="C1326" s="7" t="s">
        <v>59</v>
      </c>
      <c r="D1326" s="9">
        <v>7.0000000000000007E-2</v>
      </c>
      <c r="E1326" s="9">
        <v>0.05</v>
      </c>
      <c r="F1326" s="9">
        <v>0.03</v>
      </c>
      <c r="G1326" s="9">
        <v>13.52</v>
      </c>
      <c r="H1326" s="9">
        <v>7.75</v>
      </c>
      <c r="I1326" s="9">
        <v>8.5399999999999991</v>
      </c>
      <c r="J1326" s="7" t="s">
        <v>325</v>
      </c>
    </row>
    <row r="1327" spans="1:10" x14ac:dyDescent="0.35">
      <c r="A1327" s="7" t="s">
        <v>74</v>
      </c>
      <c r="B1327" s="7" t="s">
        <v>75</v>
      </c>
      <c r="C1327" s="7" t="s">
        <v>45</v>
      </c>
      <c r="D1327" s="9">
        <v>0.01</v>
      </c>
      <c r="E1327" s="9">
        <v>0.06</v>
      </c>
      <c r="F1327" s="9">
        <v>0.03</v>
      </c>
      <c r="G1327" s="9">
        <v>1.87</v>
      </c>
      <c r="H1327" s="9">
        <v>10.99</v>
      </c>
      <c r="I1327" s="9">
        <v>6.84</v>
      </c>
      <c r="J1327" s="7" t="s">
        <v>325</v>
      </c>
    </row>
    <row r="1328" spans="1:10" x14ac:dyDescent="0.35">
      <c r="A1328" s="7" t="s">
        <v>40</v>
      </c>
      <c r="B1328" s="7" t="s">
        <v>41</v>
      </c>
      <c r="C1328" s="7" t="s">
        <v>46</v>
      </c>
      <c r="D1328" s="9">
        <v>0.04</v>
      </c>
      <c r="E1328" s="9">
        <v>0.02</v>
      </c>
      <c r="F1328" s="9">
        <v>0.03</v>
      </c>
      <c r="G1328" s="9">
        <v>36.22</v>
      </c>
      <c r="H1328" s="9">
        <v>16.46</v>
      </c>
      <c r="I1328" s="9">
        <v>23.07</v>
      </c>
      <c r="J1328" s="7" t="s">
        <v>325</v>
      </c>
    </row>
    <row r="1329" spans="1:10" x14ac:dyDescent="0.35">
      <c r="A1329" s="7" t="s">
        <v>31</v>
      </c>
      <c r="B1329" s="7" t="s">
        <v>215</v>
      </c>
      <c r="C1329" s="7" t="s">
        <v>39</v>
      </c>
      <c r="D1329" s="9">
        <v>0.09</v>
      </c>
      <c r="E1329" s="9">
        <v>0.04</v>
      </c>
      <c r="F1329" s="9">
        <v>0.03</v>
      </c>
      <c r="G1329" s="9">
        <v>37.22</v>
      </c>
      <c r="H1329" s="9">
        <v>22.59</v>
      </c>
      <c r="I1329" s="9">
        <v>18.5</v>
      </c>
      <c r="J1329" s="7" t="s">
        <v>325</v>
      </c>
    </row>
    <row r="1330" spans="1:10" x14ac:dyDescent="0.35">
      <c r="A1330" s="7" t="s">
        <v>40</v>
      </c>
      <c r="B1330" s="7" t="s">
        <v>220</v>
      </c>
      <c r="C1330" s="7" t="s">
        <v>48</v>
      </c>
      <c r="D1330" s="9">
        <v>0.03</v>
      </c>
      <c r="E1330" s="9">
        <v>0.13</v>
      </c>
      <c r="F1330" s="9">
        <v>0.03</v>
      </c>
      <c r="G1330" s="9">
        <v>9.07</v>
      </c>
      <c r="H1330" s="9">
        <v>58.35</v>
      </c>
      <c r="I1330" s="9">
        <v>15.32</v>
      </c>
      <c r="J1330" s="7" t="s">
        <v>325</v>
      </c>
    </row>
    <row r="1331" spans="1:10" x14ac:dyDescent="0.35">
      <c r="A1331" s="7" t="s">
        <v>31</v>
      </c>
      <c r="B1331" s="7" t="s">
        <v>139</v>
      </c>
      <c r="C1331" s="7" t="s">
        <v>118</v>
      </c>
      <c r="D1331" s="9">
        <v>0</v>
      </c>
      <c r="E1331" s="9">
        <v>0.06</v>
      </c>
      <c r="F1331" s="9">
        <v>0.03</v>
      </c>
      <c r="G1331" s="9">
        <v>0</v>
      </c>
      <c r="H1331" s="9">
        <v>40</v>
      </c>
      <c r="I1331" s="9">
        <v>20</v>
      </c>
      <c r="J1331" s="7" t="s">
        <v>325</v>
      </c>
    </row>
    <row r="1332" spans="1:10" x14ac:dyDescent="0.35">
      <c r="A1332" s="7" t="s">
        <v>35</v>
      </c>
      <c r="B1332" s="7" t="s">
        <v>88</v>
      </c>
      <c r="C1332" s="7" t="s">
        <v>118</v>
      </c>
      <c r="D1332" s="9">
        <v>0.3</v>
      </c>
      <c r="E1332" s="9">
        <v>0.02</v>
      </c>
      <c r="F1332" s="9">
        <v>0.03</v>
      </c>
      <c r="G1332" s="9">
        <v>99.14</v>
      </c>
      <c r="H1332" s="9">
        <v>7.68</v>
      </c>
      <c r="I1332" s="9">
        <v>18.03</v>
      </c>
      <c r="J1332" s="7" t="s">
        <v>325</v>
      </c>
    </row>
    <row r="1333" spans="1:10" x14ac:dyDescent="0.35">
      <c r="A1333" s="7" t="s">
        <v>23</v>
      </c>
      <c r="B1333" s="7" t="s">
        <v>191</v>
      </c>
      <c r="C1333" s="7" t="s">
        <v>76</v>
      </c>
      <c r="D1333" s="9">
        <v>0</v>
      </c>
      <c r="E1333" s="9">
        <v>0.23</v>
      </c>
      <c r="F1333" s="9">
        <v>0.03</v>
      </c>
      <c r="G1333" s="9">
        <v>0</v>
      </c>
      <c r="H1333" s="9">
        <v>495.14</v>
      </c>
      <c r="I1333" s="9">
        <v>58.78</v>
      </c>
      <c r="J1333" s="7" t="s">
        <v>325</v>
      </c>
    </row>
    <row r="1334" spans="1:10" x14ac:dyDescent="0.35">
      <c r="A1334" s="7" t="s">
        <v>77</v>
      </c>
      <c r="B1334" s="7" t="s">
        <v>132</v>
      </c>
      <c r="C1334" s="7" t="s">
        <v>53</v>
      </c>
      <c r="D1334" s="9">
        <v>0.02</v>
      </c>
      <c r="E1334" s="9">
        <v>0.02</v>
      </c>
      <c r="F1334" s="9">
        <v>0.03</v>
      </c>
      <c r="G1334" s="9">
        <v>5.08</v>
      </c>
      <c r="H1334" s="9">
        <v>5.15</v>
      </c>
      <c r="I1334" s="9">
        <v>6.93</v>
      </c>
      <c r="J1334" s="7" t="s">
        <v>325</v>
      </c>
    </row>
    <row r="1335" spans="1:10" x14ac:dyDescent="0.35">
      <c r="A1335" s="7" t="s">
        <v>79</v>
      </c>
      <c r="B1335" s="7" t="s">
        <v>92</v>
      </c>
      <c r="C1335" s="7" t="s">
        <v>59</v>
      </c>
      <c r="D1335" s="9">
        <v>0.02</v>
      </c>
      <c r="E1335" s="9">
        <v>0.08</v>
      </c>
      <c r="F1335" s="9">
        <v>0.03</v>
      </c>
      <c r="G1335" s="9">
        <v>1.41</v>
      </c>
      <c r="H1335" s="9">
        <v>3.27</v>
      </c>
      <c r="I1335" s="9">
        <v>0.82</v>
      </c>
      <c r="J1335" s="7" t="s">
        <v>325</v>
      </c>
    </row>
    <row r="1336" spans="1:10" x14ac:dyDescent="0.35">
      <c r="A1336" s="7" t="s">
        <v>77</v>
      </c>
      <c r="B1336" s="7" t="s">
        <v>132</v>
      </c>
      <c r="C1336" s="7" t="s">
        <v>150</v>
      </c>
      <c r="D1336" s="9">
        <v>0.13</v>
      </c>
      <c r="E1336" s="9">
        <v>0.01</v>
      </c>
      <c r="F1336" s="9">
        <v>0.03</v>
      </c>
      <c r="G1336" s="9">
        <v>19.86</v>
      </c>
      <c r="H1336" s="9">
        <v>2.0499999999999998</v>
      </c>
      <c r="I1336" s="9">
        <v>2.9</v>
      </c>
      <c r="J1336" s="7" t="s">
        <v>325</v>
      </c>
    </row>
    <row r="1337" spans="1:10" x14ac:dyDescent="0.35">
      <c r="A1337" s="7" t="s">
        <v>23</v>
      </c>
      <c r="B1337" s="7" t="s">
        <v>24</v>
      </c>
      <c r="C1337" s="7" t="s">
        <v>118</v>
      </c>
      <c r="D1337" s="9">
        <v>0</v>
      </c>
      <c r="E1337" s="9">
        <v>0</v>
      </c>
      <c r="F1337" s="9">
        <v>0.03</v>
      </c>
      <c r="G1337" s="9">
        <v>0.12</v>
      </c>
      <c r="H1337" s="9">
        <v>0.36</v>
      </c>
      <c r="I1337" s="9">
        <v>13.06</v>
      </c>
      <c r="J1337" s="7" t="s">
        <v>325</v>
      </c>
    </row>
    <row r="1338" spans="1:10" x14ac:dyDescent="0.35">
      <c r="A1338" s="7" t="s">
        <v>16</v>
      </c>
      <c r="B1338" s="7" t="s">
        <v>115</v>
      </c>
      <c r="C1338" s="7" t="s">
        <v>53</v>
      </c>
      <c r="D1338" s="9">
        <v>0.01</v>
      </c>
      <c r="E1338" s="9">
        <v>7.0000000000000007E-2</v>
      </c>
      <c r="F1338" s="9">
        <v>0.03</v>
      </c>
      <c r="G1338" s="9">
        <v>12.78</v>
      </c>
      <c r="H1338" s="9">
        <v>72.88</v>
      </c>
      <c r="I1338" s="9">
        <v>31.1</v>
      </c>
      <c r="J1338" s="7" t="s">
        <v>325</v>
      </c>
    </row>
    <row r="1339" spans="1:10" x14ac:dyDescent="0.35">
      <c r="A1339" s="7" t="s">
        <v>74</v>
      </c>
      <c r="B1339" s="7" t="s">
        <v>137</v>
      </c>
      <c r="C1339" s="7" t="s">
        <v>54</v>
      </c>
      <c r="D1339" s="9">
        <v>0.06</v>
      </c>
      <c r="E1339" s="9">
        <v>0.06</v>
      </c>
      <c r="F1339" s="9">
        <v>0.03</v>
      </c>
      <c r="G1339" s="9">
        <v>9.8699999999999992</v>
      </c>
      <c r="H1339" s="9">
        <v>1.43</v>
      </c>
      <c r="I1339" s="9">
        <v>3.82</v>
      </c>
      <c r="J1339" s="7" t="s">
        <v>325</v>
      </c>
    </row>
    <row r="1340" spans="1:10" x14ac:dyDescent="0.35">
      <c r="A1340" s="7" t="s">
        <v>16</v>
      </c>
      <c r="B1340" s="7" t="s">
        <v>135</v>
      </c>
      <c r="C1340" s="7" t="s">
        <v>59</v>
      </c>
      <c r="D1340" s="9">
        <v>0.16</v>
      </c>
      <c r="E1340" s="9">
        <v>0.1</v>
      </c>
      <c r="F1340" s="9">
        <v>0.03</v>
      </c>
      <c r="G1340" s="9">
        <v>11.17</v>
      </c>
      <c r="H1340" s="9">
        <v>9.61</v>
      </c>
      <c r="I1340" s="9">
        <v>2.4900000000000002</v>
      </c>
      <c r="J1340" s="7" t="s">
        <v>325</v>
      </c>
    </row>
    <row r="1341" spans="1:10" x14ac:dyDescent="0.35">
      <c r="A1341" s="7" t="s">
        <v>79</v>
      </c>
      <c r="B1341" s="7" t="s">
        <v>91</v>
      </c>
      <c r="C1341" s="7" t="s">
        <v>27</v>
      </c>
      <c r="D1341" s="9">
        <v>0.33</v>
      </c>
      <c r="E1341" s="9">
        <v>7.0000000000000007E-2</v>
      </c>
      <c r="F1341" s="9">
        <v>0.03</v>
      </c>
      <c r="G1341" s="9">
        <v>575.01</v>
      </c>
      <c r="H1341" s="9">
        <v>129.12</v>
      </c>
      <c r="I1341" s="9">
        <v>45.39</v>
      </c>
      <c r="J1341" s="7" t="s">
        <v>325</v>
      </c>
    </row>
    <row r="1342" spans="1:10" x14ac:dyDescent="0.35">
      <c r="A1342" s="7" t="s">
        <v>25</v>
      </c>
      <c r="B1342" s="7" t="s">
        <v>29</v>
      </c>
      <c r="C1342" s="7" t="s">
        <v>33</v>
      </c>
      <c r="D1342" s="9">
        <v>0.03</v>
      </c>
      <c r="E1342" s="9">
        <v>0.09</v>
      </c>
      <c r="F1342" s="9">
        <v>0.03</v>
      </c>
      <c r="G1342" s="9">
        <v>22.67</v>
      </c>
      <c r="H1342" s="9">
        <v>76.3</v>
      </c>
      <c r="I1342" s="9">
        <v>30.77</v>
      </c>
      <c r="J1342" s="7" t="s">
        <v>325</v>
      </c>
    </row>
    <row r="1343" spans="1:10" x14ac:dyDescent="0.35">
      <c r="A1343" s="7" t="s">
        <v>31</v>
      </c>
      <c r="B1343" s="7" t="s">
        <v>171</v>
      </c>
      <c r="C1343" s="7" t="s">
        <v>54</v>
      </c>
      <c r="D1343" s="9">
        <v>0.14000000000000001</v>
      </c>
      <c r="E1343" s="9">
        <v>0.17</v>
      </c>
      <c r="F1343" s="9">
        <v>0.03</v>
      </c>
      <c r="G1343" s="9">
        <v>417.26</v>
      </c>
      <c r="H1343" s="9">
        <v>447.29</v>
      </c>
      <c r="I1343" s="9">
        <v>70.41</v>
      </c>
      <c r="J1343" s="7" t="s">
        <v>325</v>
      </c>
    </row>
    <row r="1344" spans="1:10" x14ac:dyDescent="0.35">
      <c r="A1344" s="7" t="s">
        <v>31</v>
      </c>
      <c r="B1344" s="7" t="s">
        <v>101</v>
      </c>
      <c r="C1344" s="7" t="s">
        <v>39</v>
      </c>
      <c r="D1344" s="9">
        <v>7.0000000000000007E-2</v>
      </c>
      <c r="E1344" s="9">
        <v>0.09</v>
      </c>
      <c r="F1344" s="9">
        <v>0.03</v>
      </c>
      <c r="G1344" s="9">
        <v>78.05</v>
      </c>
      <c r="H1344" s="9">
        <v>88.31</v>
      </c>
      <c r="I1344" s="9">
        <v>27.3</v>
      </c>
      <c r="J1344" s="7" t="s">
        <v>325</v>
      </c>
    </row>
    <row r="1345" spans="1:10" x14ac:dyDescent="0.35">
      <c r="A1345" s="7" t="s">
        <v>23</v>
      </c>
      <c r="B1345" s="7" t="s">
        <v>123</v>
      </c>
      <c r="C1345" s="7" t="s">
        <v>122</v>
      </c>
      <c r="D1345" s="9">
        <v>0.13</v>
      </c>
      <c r="E1345" s="9">
        <v>0.03</v>
      </c>
      <c r="F1345" s="9">
        <v>0.03</v>
      </c>
      <c r="G1345" s="9">
        <v>561.29999999999995</v>
      </c>
      <c r="H1345" s="9">
        <v>37.369999999999997</v>
      </c>
      <c r="I1345" s="9">
        <v>14.37</v>
      </c>
      <c r="J1345" s="7" t="s">
        <v>325</v>
      </c>
    </row>
    <row r="1346" spans="1:10" x14ac:dyDescent="0.35">
      <c r="A1346" s="7" t="s">
        <v>31</v>
      </c>
      <c r="B1346" s="7" t="s">
        <v>192</v>
      </c>
      <c r="C1346" s="7" t="s">
        <v>128</v>
      </c>
      <c r="D1346" s="9">
        <v>0.06</v>
      </c>
      <c r="E1346" s="9">
        <v>0.01</v>
      </c>
      <c r="F1346" s="9">
        <v>0.03</v>
      </c>
      <c r="G1346" s="9">
        <v>0.63</v>
      </c>
      <c r="H1346" s="9">
        <v>0.09</v>
      </c>
      <c r="I1346" s="9">
        <v>0.23</v>
      </c>
      <c r="J1346" s="7" t="s">
        <v>325</v>
      </c>
    </row>
    <row r="1347" spans="1:10" x14ac:dyDescent="0.35">
      <c r="A1347" s="7" t="s">
        <v>40</v>
      </c>
      <c r="B1347" s="7" t="s">
        <v>64</v>
      </c>
      <c r="C1347" s="7" t="s">
        <v>45</v>
      </c>
      <c r="D1347" s="9">
        <v>0</v>
      </c>
      <c r="E1347" s="9">
        <v>0.03</v>
      </c>
      <c r="F1347" s="9">
        <v>0.03</v>
      </c>
      <c r="G1347" s="9">
        <v>2</v>
      </c>
      <c r="H1347" s="9">
        <v>19.8</v>
      </c>
      <c r="I1347" s="9">
        <v>23.73</v>
      </c>
      <c r="J1347" s="7" t="s">
        <v>325</v>
      </c>
    </row>
    <row r="1348" spans="1:10" x14ac:dyDescent="0.35">
      <c r="A1348" s="7" t="s">
        <v>40</v>
      </c>
      <c r="B1348" s="7" t="s">
        <v>64</v>
      </c>
      <c r="C1348" s="7" t="s">
        <v>144</v>
      </c>
      <c r="D1348" s="9">
        <v>0</v>
      </c>
      <c r="E1348" s="9">
        <v>0.01</v>
      </c>
      <c r="F1348" s="9">
        <v>0.03</v>
      </c>
      <c r="G1348" s="9">
        <v>0.91</v>
      </c>
      <c r="H1348" s="9">
        <v>8.6</v>
      </c>
      <c r="I1348" s="9">
        <v>50.46</v>
      </c>
      <c r="J1348" s="7" t="s">
        <v>325</v>
      </c>
    </row>
    <row r="1349" spans="1:10" x14ac:dyDescent="0.35">
      <c r="A1349" s="7" t="s">
        <v>31</v>
      </c>
      <c r="B1349" s="7" t="s">
        <v>101</v>
      </c>
      <c r="C1349" s="7" t="s">
        <v>42</v>
      </c>
      <c r="D1349" s="9">
        <v>0.11</v>
      </c>
      <c r="E1349" s="9">
        <v>0.36</v>
      </c>
      <c r="F1349" s="9">
        <v>0.03</v>
      </c>
      <c r="G1349" s="9">
        <v>727.48</v>
      </c>
      <c r="H1349" s="9">
        <v>363.94</v>
      </c>
      <c r="I1349" s="9">
        <v>32.450000000000003</v>
      </c>
      <c r="J1349" s="7" t="s">
        <v>325</v>
      </c>
    </row>
    <row r="1350" spans="1:10" x14ac:dyDescent="0.35">
      <c r="A1350" s="7" t="s">
        <v>23</v>
      </c>
      <c r="B1350" s="7" t="s">
        <v>124</v>
      </c>
      <c r="C1350" s="7" t="s">
        <v>62</v>
      </c>
      <c r="D1350" s="9">
        <v>0</v>
      </c>
      <c r="E1350" s="9">
        <v>0.79</v>
      </c>
      <c r="F1350" s="9">
        <v>0.03</v>
      </c>
      <c r="G1350" s="9">
        <v>0</v>
      </c>
      <c r="H1350" s="8">
        <v>3081.18</v>
      </c>
      <c r="I1350" s="9">
        <v>113.26</v>
      </c>
      <c r="J1350" s="7" t="s">
        <v>325</v>
      </c>
    </row>
    <row r="1351" spans="1:10" x14ac:dyDescent="0.35">
      <c r="A1351" s="7" t="s">
        <v>31</v>
      </c>
      <c r="B1351" s="7" t="s">
        <v>141</v>
      </c>
      <c r="C1351" s="7" t="s">
        <v>54</v>
      </c>
      <c r="D1351" s="9">
        <v>0.19</v>
      </c>
      <c r="E1351" s="9">
        <v>0.09</v>
      </c>
      <c r="F1351" s="9">
        <v>0.03</v>
      </c>
      <c r="G1351" s="9">
        <v>248.04</v>
      </c>
      <c r="H1351" s="9">
        <v>44.72</v>
      </c>
      <c r="I1351" s="9">
        <v>8.86</v>
      </c>
      <c r="J1351" s="7" t="s">
        <v>325</v>
      </c>
    </row>
    <row r="1352" spans="1:10" x14ac:dyDescent="0.35">
      <c r="A1352" s="7" t="s">
        <v>94</v>
      </c>
      <c r="B1352" s="7" t="s">
        <v>95</v>
      </c>
      <c r="C1352" s="7" t="s">
        <v>60</v>
      </c>
      <c r="D1352" s="9">
        <v>0</v>
      </c>
      <c r="E1352" s="9">
        <v>0</v>
      </c>
      <c r="F1352" s="9">
        <v>0.03</v>
      </c>
      <c r="G1352" s="9">
        <v>0</v>
      </c>
      <c r="H1352" s="9">
        <v>0.5</v>
      </c>
      <c r="I1352" s="9">
        <v>11.1</v>
      </c>
      <c r="J1352" s="7" t="s">
        <v>325</v>
      </c>
    </row>
    <row r="1353" spans="1:10" x14ac:dyDescent="0.35">
      <c r="A1353" s="7" t="s">
        <v>23</v>
      </c>
      <c r="B1353" s="7" t="s">
        <v>44</v>
      </c>
      <c r="C1353" s="7" t="s">
        <v>179</v>
      </c>
      <c r="D1353" s="9">
        <v>0</v>
      </c>
      <c r="E1353" s="9">
        <v>7.0000000000000007E-2</v>
      </c>
      <c r="F1353" s="9">
        <v>0.03</v>
      </c>
      <c r="G1353" s="9">
        <v>0.01</v>
      </c>
      <c r="H1353" s="9">
        <v>4.1900000000000004</v>
      </c>
      <c r="I1353" s="9">
        <v>1.54</v>
      </c>
      <c r="J1353" s="7" t="s">
        <v>325</v>
      </c>
    </row>
    <row r="1354" spans="1:10" x14ac:dyDescent="0.35">
      <c r="A1354" s="7" t="s">
        <v>16</v>
      </c>
      <c r="B1354" s="7" t="s">
        <v>115</v>
      </c>
      <c r="C1354" s="7" t="s">
        <v>151</v>
      </c>
      <c r="D1354" s="9">
        <v>0</v>
      </c>
      <c r="E1354" s="9">
        <v>0.2</v>
      </c>
      <c r="F1354" s="9">
        <v>0.03</v>
      </c>
      <c r="G1354" s="9">
        <v>0</v>
      </c>
      <c r="H1354" s="9">
        <v>101.38</v>
      </c>
      <c r="I1354" s="9">
        <v>14.78</v>
      </c>
      <c r="J1354" s="7" t="s">
        <v>325</v>
      </c>
    </row>
    <row r="1355" spans="1:10" x14ac:dyDescent="0.35">
      <c r="A1355" s="7" t="s">
        <v>77</v>
      </c>
      <c r="B1355" s="7" t="s">
        <v>132</v>
      </c>
      <c r="C1355" s="7" t="s">
        <v>48</v>
      </c>
      <c r="D1355" s="9">
        <v>0.25</v>
      </c>
      <c r="E1355" s="9">
        <v>0.19</v>
      </c>
      <c r="F1355" s="9">
        <v>0.03</v>
      </c>
      <c r="G1355" s="9">
        <v>50.39</v>
      </c>
      <c r="H1355" s="9">
        <v>36.270000000000003</v>
      </c>
      <c r="I1355" s="9">
        <v>9.6</v>
      </c>
      <c r="J1355" s="7" t="s">
        <v>325</v>
      </c>
    </row>
    <row r="1356" spans="1:10" x14ac:dyDescent="0.35">
      <c r="A1356" s="7" t="s">
        <v>77</v>
      </c>
      <c r="B1356" s="7" t="s">
        <v>132</v>
      </c>
      <c r="C1356" s="7" t="s">
        <v>22</v>
      </c>
      <c r="D1356" s="9">
        <v>0.12</v>
      </c>
      <c r="E1356" s="9">
        <v>0.1</v>
      </c>
      <c r="F1356" s="9">
        <v>0.03</v>
      </c>
      <c r="G1356" s="9">
        <v>4.07</v>
      </c>
      <c r="H1356" s="9">
        <v>4</v>
      </c>
      <c r="I1356" s="9">
        <v>1</v>
      </c>
      <c r="J1356" s="7" t="s">
        <v>325</v>
      </c>
    </row>
    <row r="1357" spans="1:10" x14ac:dyDescent="0.35">
      <c r="A1357" s="7" t="s">
        <v>77</v>
      </c>
      <c r="B1357" s="7" t="s">
        <v>214</v>
      </c>
      <c r="C1357" s="7" t="s">
        <v>39</v>
      </c>
      <c r="D1357" s="9">
        <v>0</v>
      </c>
      <c r="E1357" s="9">
        <v>0.03</v>
      </c>
      <c r="F1357" s="9">
        <v>0.03</v>
      </c>
      <c r="G1357" s="9">
        <v>0</v>
      </c>
      <c r="H1357" s="9">
        <v>10.039999999999999</v>
      </c>
      <c r="I1357" s="9">
        <v>9.35</v>
      </c>
      <c r="J1357" s="7" t="s">
        <v>325</v>
      </c>
    </row>
    <row r="1358" spans="1:10" x14ac:dyDescent="0.35">
      <c r="A1358" s="7" t="s">
        <v>16</v>
      </c>
      <c r="B1358" s="7" t="s">
        <v>153</v>
      </c>
      <c r="C1358" s="7" t="s">
        <v>39</v>
      </c>
      <c r="D1358" s="9">
        <v>0</v>
      </c>
      <c r="E1358" s="9">
        <v>0</v>
      </c>
      <c r="F1358" s="9">
        <v>0.03</v>
      </c>
      <c r="G1358" s="9">
        <v>0</v>
      </c>
      <c r="H1358" s="9">
        <v>0</v>
      </c>
      <c r="I1358" s="9">
        <v>5.49</v>
      </c>
      <c r="J1358" s="7" t="s">
        <v>325</v>
      </c>
    </row>
    <row r="1359" spans="1:10" x14ac:dyDescent="0.35">
      <c r="A1359" s="7" t="s">
        <v>16</v>
      </c>
      <c r="B1359" s="7" t="s">
        <v>89</v>
      </c>
      <c r="C1359" s="7" t="s">
        <v>45</v>
      </c>
      <c r="D1359" s="9">
        <v>0.28000000000000003</v>
      </c>
      <c r="E1359" s="9">
        <v>0.17</v>
      </c>
      <c r="F1359" s="9">
        <v>0.03</v>
      </c>
      <c r="G1359" s="9">
        <v>166.63</v>
      </c>
      <c r="H1359" s="9">
        <v>53.77</v>
      </c>
      <c r="I1359" s="9">
        <v>9.64</v>
      </c>
      <c r="J1359" s="7" t="s">
        <v>325</v>
      </c>
    </row>
    <row r="1360" spans="1:10" x14ac:dyDescent="0.35">
      <c r="A1360" s="7" t="s">
        <v>94</v>
      </c>
      <c r="B1360" s="7" t="s">
        <v>95</v>
      </c>
      <c r="C1360" s="7" t="s">
        <v>114</v>
      </c>
      <c r="D1360" s="9">
        <v>0.04</v>
      </c>
      <c r="E1360" s="9">
        <v>0.04</v>
      </c>
      <c r="F1360" s="9">
        <v>0.03</v>
      </c>
      <c r="G1360" s="9">
        <v>14.8</v>
      </c>
      <c r="H1360" s="9">
        <v>4.16</v>
      </c>
      <c r="I1360" s="9">
        <v>3.69</v>
      </c>
      <c r="J1360" s="7" t="s">
        <v>325</v>
      </c>
    </row>
    <row r="1361" spans="1:10" x14ac:dyDescent="0.35">
      <c r="A1361" s="7" t="s">
        <v>189</v>
      </c>
      <c r="B1361" s="7" t="s">
        <v>227</v>
      </c>
      <c r="C1361" s="7" t="s">
        <v>83</v>
      </c>
      <c r="D1361" s="9">
        <v>0.22</v>
      </c>
      <c r="E1361" s="9">
        <v>0.05</v>
      </c>
      <c r="F1361" s="9">
        <v>0.03</v>
      </c>
      <c r="G1361" s="9">
        <v>386.66</v>
      </c>
      <c r="H1361" s="9">
        <v>94.16</v>
      </c>
      <c r="I1361" s="9">
        <v>46.86</v>
      </c>
      <c r="J1361" s="7" t="s">
        <v>325</v>
      </c>
    </row>
    <row r="1362" spans="1:10" x14ac:dyDescent="0.35">
      <c r="A1362" s="7" t="s">
        <v>40</v>
      </c>
      <c r="B1362" s="7" t="s">
        <v>183</v>
      </c>
      <c r="C1362" s="7" t="s">
        <v>150</v>
      </c>
      <c r="D1362" s="9">
        <v>0</v>
      </c>
      <c r="E1362" s="9">
        <v>7.0000000000000007E-2</v>
      </c>
      <c r="F1362" s="9">
        <v>0.03</v>
      </c>
      <c r="G1362" s="9">
        <v>0.02</v>
      </c>
      <c r="H1362" s="9">
        <v>30.01</v>
      </c>
      <c r="I1362" s="9">
        <v>9.24</v>
      </c>
      <c r="J1362" s="7" t="s">
        <v>325</v>
      </c>
    </row>
    <row r="1363" spans="1:10" x14ac:dyDescent="0.35">
      <c r="A1363" s="7" t="s">
        <v>23</v>
      </c>
      <c r="B1363" s="7" t="s">
        <v>136</v>
      </c>
      <c r="C1363" s="7" t="s">
        <v>27</v>
      </c>
      <c r="D1363" s="9">
        <v>7.0000000000000007E-2</v>
      </c>
      <c r="E1363" s="9">
        <v>0.04</v>
      </c>
      <c r="F1363" s="9">
        <v>0.03</v>
      </c>
      <c r="G1363" s="9">
        <v>57.26</v>
      </c>
      <c r="H1363" s="9">
        <v>23.66</v>
      </c>
      <c r="I1363" s="9">
        <v>16.46</v>
      </c>
      <c r="J1363" s="7" t="s">
        <v>325</v>
      </c>
    </row>
    <row r="1364" spans="1:10" x14ac:dyDescent="0.35">
      <c r="A1364" s="7" t="s">
        <v>23</v>
      </c>
      <c r="B1364" s="7" t="s">
        <v>30</v>
      </c>
      <c r="C1364" s="7" t="s">
        <v>76</v>
      </c>
      <c r="D1364" s="9">
        <v>0</v>
      </c>
      <c r="E1364" s="9">
        <v>0</v>
      </c>
      <c r="F1364" s="9">
        <v>0.02</v>
      </c>
      <c r="G1364" s="9">
        <v>0</v>
      </c>
      <c r="H1364" s="9">
        <v>0</v>
      </c>
      <c r="I1364" s="9">
        <v>12.56</v>
      </c>
      <c r="J1364" s="7" t="s">
        <v>325</v>
      </c>
    </row>
    <row r="1365" spans="1:10" x14ac:dyDescent="0.35">
      <c r="A1365" s="7" t="s">
        <v>57</v>
      </c>
      <c r="B1365" s="7" t="s">
        <v>162</v>
      </c>
      <c r="C1365" s="7" t="s">
        <v>54</v>
      </c>
      <c r="D1365" s="9">
        <v>0.23</v>
      </c>
      <c r="E1365" s="9">
        <v>0.41</v>
      </c>
      <c r="F1365" s="9">
        <v>0.02</v>
      </c>
      <c r="G1365" s="9">
        <v>16.579999999999998</v>
      </c>
      <c r="H1365" s="9">
        <v>22.17</v>
      </c>
      <c r="I1365" s="9">
        <v>1.19</v>
      </c>
      <c r="J1365" s="7" t="s">
        <v>325</v>
      </c>
    </row>
    <row r="1366" spans="1:10" x14ac:dyDescent="0.35">
      <c r="A1366" s="7" t="s">
        <v>40</v>
      </c>
      <c r="B1366" s="7" t="s">
        <v>107</v>
      </c>
      <c r="C1366" s="7" t="s">
        <v>144</v>
      </c>
      <c r="D1366" s="9">
        <v>0.04</v>
      </c>
      <c r="E1366" s="9">
        <v>0.23</v>
      </c>
      <c r="F1366" s="9">
        <v>0.02</v>
      </c>
      <c r="G1366" s="9">
        <v>46.46</v>
      </c>
      <c r="H1366" s="9">
        <v>149.29</v>
      </c>
      <c r="I1366" s="9">
        <v>20.399999999999999</v>
      </c>
      <c r="J1366" s="7" t="s">
        <v>325</v>
      </c>
    </row>
    <row r="1367" spans="1:10" ht="26.25" customHeight="1" x14ac:dyDescent="0.35">
      <c r="A1367" s="7" t="s">
        <v>31</v>
      </c>
      <c r="B1367" s="7" t="s">
        <v>131</v>
      </c>
      <c r="C1367" s="7" t="s">
        <v>81</v>
      </c>
      <c r="D1367" s="9">
        <v>7.0000000000000007E-2</v>
      </c>
      <c r="E1367" s="9">
        <v>7.0000000000000007E-2</v>
      </c>
      <c r="F1367" s="9">
        <v>0.02</v>
      </c>
      <c r="G1367" s="9">
        <v>210.62</v>
      </c>
      <c r="H1367" s="9">
        <v>257.7</v>
      </c>
      <c r="I1367" s="9">
        <v>127.12</v>
      </c>
      <c r="J1367" s="7" t="s">
        <v>325</v>
      </c>
    </row>
    <row r="1368" spans="1:10" x14ac:dyDescent="0.35">
      <c r="A1368" s="7" t="s">
        <v>40</v>
      </c>
      <c r="B1368" s="7" t="s">
        <v>64</v>
      </c>
      <c r="C1368" s="7" t="s">
        <v>18</v>
      </c>
      <c r="D1368" s="9">
        <v>0.04</v>
      </c>
      <c r="E1368" s="9">
        <v>0.11</v>
      </c>
      <c r="F1368" s="9">
        <v>0.02</v>
      </c>
      <c r="G1368" s="9">
        <v>24.45</v>
      </c>
      <c r="H1368" s="9">
        <v>100.96</v>
      </c>
      <c r="I1368" s="9">
        <v>23.39</v>
      </c>
      <c r="J1368" s="7" t="s">
        <v>325</v>
      </c>
    </row>
    <row r="1369" spans="1:10" x14ac:dyDescent="0.35">
      <c r="A1369" s="7" t="s">
        <v>86</v>
      </c>
      <c r="B1369" s="7" t="s">
        <v>106</v>
      </c>
      <c r="C1369" s="7" t="s">
        <v>221</v>
      </c>
      <c r="D1369" s="9">
        <v>0</v>
      </c>
      <c r="E1369" s="9">
        <v>0.12</v>
      </c>
      <c r="F1369" s="9">
        <v>0.02</v>
      </c>
      <c r="G1369" s="9">
        <v>0</v>
      </c>
      <c r="H1369" s="9">
        <v>5</v>
      </c>
      <c r="I1369" s="9">
        <v>1</v>
      </c>
      <c r="J1369" s="7" t="s">
        <v>325</v>
      </c>
    </row>
    <row r="1370" spans="1:10" x14ac:dyDescent="0.35">
      <c r="A1370" s="7" t="s">
        <v>66</v>
      </c>
      <c r="B1370" s="7" t="s">
        <v>208</v>
      </c>
      <c r="C1370" s="7" t="s">
        <v>65</v>
      </c>
      <c r="D1370" s="9">
        <v>0.13</v>
      </c>
      <c r="E1370" s="9">
        <v>0.05</v>
      </c>
      <c r="F1370" s="9">
        <v>0.02</v>
      </c>
      <c r="G1370" s="9">
        <v>146.19999999999999</v>
      </c>
      <c r="H1370" s="9">
        <v>59.95</v>
      </c>
      <c r="I1370" s="9">
        <v>26.8</v>
      </c>
      <c r="J1370" s="7" t="s">
        <v>325</v>
      </c>
    </row>
    <row r="1371" spans="1:10" x14ac:dyDescent="0.35">
      <c r="A1371" s="7" t="s">
        <v>20</v>
      </c>
      <c r="B1371" s="7" t="s">
        <v>235</v>
      </c>
      <c r="C1371" s="7" t="s">
        <v>69</v>
      </c>
      <c r="D1371" s="9">
        <v>0.02</v>
      </c>
      <c r="E1371" s="9">
        <v>0.05</v>
      </c>
      <c r="F1371" s="9">
        <v>0.02</v>
      </c>
      <c r="G1371" s="9">
        <v>2.38</v>
      </c>
      <c r="H1371" s="9">
        <v>1.89</v>
      </c>
      <c r="I1371" s="9">
        <v>1</v>
      </c>
      <c r="J1371" s="7" t="s">
        <v>325</v>
      </c>
    </row>
    <row r="1372" spans="1:10" x14ac:dyDescent="0.35">
      <c r="A1372" s="7" t="s">
        <v>66</v>
      </c>
      <c r="B1372" s="7" t="s">
        <v>127</v>
      </c>
      <c r="C1372" s="7" t="s">
        <v>174</v>
      </c>
      <c r="D1372" s="9">
        <v>0</v>
      </c>
      <c r="E1372" s="9">
        <v>0.03</v>
      </c>
      <c r="F1372" s="9">
        <v>0.02</v>
      </c>
      <c r="G1372" s="9">
        <v>0</v>
      </c>
      <c r="H1372" s="9">
        <v>5.7</v>
      </c>
      <c r="I1372" s="9">
        <v>3.77</v>
      </c>
      <c r="J1372" s="7" t="s">
        <v>325</v>
      </c>
    </row>
    <row r="1373" spans="1:10" x14ac:dyDescent="0.35">
      <c r="A1373" s="7" t="s">
        <v>31</v>
      </c>
      <c r="B1373" s="7" t="s">
        <v>215</v>
      </c>
      <c r="C1373" s="7" t="s">
        <v>33</v>
      </c>
      <c r="D1373" s="9">
        <v>0.16</v>
      </c>
      <c r="E1373" s="9">
        <v>0.06</v>
      </c>
      <c r="F1373" s="9">
        <v>0.02</v>
      </c>
      <c r="G1373" s="9">
        <v>152.01</v>
      </c>
      <c r="H1373" s="9">
        <v>60.87</v>
      </c>
      <c r="I1373" s="9">
        <v>24.94</v>
      </c>
      <c r="J1373" s="7" t="s">
        <v>325</v>
      </c>
    </row>
    <row r="1374" spans="1:10" x14ac:dyDescent="0.35">
      <c r="A1374" s="7" t="s">
        <v>31</v>
      </c>
      <c r="B1374" s="7" t="s">
        <v>242</v>
      </c>
      <c r="C1374" s="7" t="s">
        <v>62</v>
      </c>
      <c r="D1374" s="9">
        <v>1.18</v>
      </c>
      <c r="E1374" s="9">
        <v>1.1399999999999999</v>
      </c>
      <c r="F1374" s="9">
        <v>0.02</v>
      </c>
      <c r="G1374" s="8">
        <v>4689.68</v>
      </c>
      <c r="H1374" s="8">
        <v>4494.3900000000003</v>
      </c>
      <c r="I1374" s="9">
        <v>105</v>
      </c>
      <c r="J1374" s="7" t="s">
        <v>325</v>
      </c>
    </row>
    <row r="1375" spans="1:10" x14ac:dyDescent="0.35">
      <c r="A1375" s="7" t="s">
        <v>23</v>
      </c>
      <c r="B1375" s="7" t="s">
        <v>123</v>
      </c>
      <c r="C1375" s="7" t="s">
        <v>72</v>
      </c>
      <c r="D1375" s="9">
        <v>3.31</v>
      </c>
      <c r="E1375" s="9">
        <v>0.06</v>
      </c>
      <c r="F1375" s="9">
        <v>0.02</v>
      </c>
      <c r="G1375" s="9">
        <v>820.09</v>
      </c>
      <c r="H1375" s="9">
        <v>8.36</v>
      </c>
      <c r="I1375" s="9">
        <v>3.7</v>
      </c>
      <c r="J1375" s="7" t="s">
        <v>325</v>
      </c>
    </row>
    <row r="1376" spans="1:10" x14ac:dyDescent="0.35">
      <c r="A1376" s="7" t="s">
        <v>31</v>
      </c>
      <c r="B1376" s="7" t="s">
        <v>139</v>
      </c>
      <c r="C1376" s="7" t="s">
        <v>54</v>
      </c>
      <c r="D1376" s="9">
        <v>0.39</v>
      </c>
      <c r="E1376" s="9">
        <v>7.0000000000000007E-2</v>
      </c>
      <c r="F1376" s="9">
        <v>0.02</v>
      </c>
      <c r="G1376" s="9">
        <v>457.29</v>
      </c>
      <c r="H1376" s="9">
        <v>36.26</v>
      </c>
      <c r="I1376" s="9">
        <v>18.61</v>
      </c>
      <c r="J1376" s="7" t="s">
        <v>325</v>
      </c>
    </row>
    <row r="1377" spans="1:10" x14ac:dyDescent="0.35">
      <c r="A1377" s="7" t="s">
        <v>159</v>
      </c>
      <c r="B1377" s="7" t="s">
        <v>186</v>
      </c>
      <c r="C1377" s="7" t="s">
        <v>45</v>
      </c>
      <c r="D1377" s="9">
        <v>0</v>
      </c>
      <c r="E1377" s="9">
        <v>0</v>
      </c>
      <c r="F1377" s="9">
        <v>0.02</v>
      </c>
      <c r="G1377" s="9">
        <v>0.12</v>
      </c>
      <c r="H1377" s="9">
        <v>0.02</v>
      </c>
      <c r="I1377" s="9">
        <v>65.900000000000006</v>
      </c>
      <c r="J1377" s="7" t="s">
        <v>325</v>
      </c>
    </row>
    <row r="1378" spans="1:10" x14ac:dyDescent="0.35">
      <c r="A1378" s="7" t="s">
        <v>23</v>
      </c>
      <c r="B1378" s="7" t="s">
        <v>30</v>
      </c>
      <c r="C1378" s="7" t="s">
        <v>118</v>
      </c>
      <c r="D1378" s="9">
        <v>7.0000000000000007E-2</v>
      </c>
      <c r="E1378" s="9">
        <v>0.21</v>
      </c>
      <c r="F1378" s="9">
        <v>0.02</v>
      </c>
      <c r="G1378" s="9">
        <v>23.42</v>
      </c>
      <c r="H1378" s="9">
        <v>93.14</v>
      </c>
      <c r="I1378" s="9">
        <v>4.22</v>
      </c>
      <c r="J1378" s="7" t="s">
        <v>325</v>
      </c>
    </row>
    <row r="1379" spans="1:10" x14ac:dyDescent="0.35">
      <c r="A1379" s="7" t="s">
        <v>49</v>
      </c>
      <c r="B1379" s="7" t="s">
        <v>176</v>
      </c>
      <c r="C1379" s="7" t="s">
        <v>18</v>
      </c>
      <c r="D1379" s="9">
        <v>0.19</v>
      </c>
      <c r="E1379" s="9">
        <v>0.24</v>
      </c>
      <c r="F1379" s="9">
        <v>0.02</v>
      </c>
      <c r="G1379" s="9">
        <v>134.6</v>
      </c>
      <c r="H1379" s="9">
        <v>206.75</v>
      </c>
      <c r="I1379" s="9">
        <v>21.6</v>
      </c>
      <c r="J1379" s="7" t="s">
        <v>325</v>
      </c>
    </row>
    <row r="1380" spans="1:10" x14ac:dyDescent="0.35">
      <c r="A1380" s="7" t="s">
        <v>243</v>
      </c>
      <c r="B1380" s="7" t="s">
        <v>244</v>
      </c>
      <c r="C1380" s="7" t="s">
        <v>62</v>
      </c>
      <c r="D1380" s="9">
        <v>0.14000000000000001</v>
      </c>
      <c r="E1380" s="9">
        <v>0.1</v>
      </c>
      <c r="F1380" s="9">
        <v>0.02</v>
      </c>
      <c r="G1380" s="9">
        <v>599.48</v>
      </c>
      <c r="H1380" s="9">
        <v>449.48</v>
      </c>
      <c r="I1380" s="9">
        <v>99.94</v>
      </c>
      <c r="J1380" s="7" t="s">
        <v>325</v>
      </c>
    </row>
    <row r="1381" spans="1:10" x14ac:dyDescent="0.35">
      <c r="A1381" s="7" t="s">
        <v>189</v>
      </c>
      <c r="B1381" s="7" t="s">
        <v>227</v>
      </c>
      <c r="C1381" s="7" t="s">
        <v>42</v>
      </c>
      <c r="D1381" s="9">
        <v>0.1</v>
      </c>
      <c r="E1381" s="9">
        <v>0.19</v>
      </c>
      <c r="F1381" s="9">
        <v>0.02</v>
      </c>
      <c r="G1381" s="9">
        <v>563.83000000000004</v>
      </c>
      <c r="H1381" s="8">
        <v>1095.98</v>
      </c>
      <c r="I1381" s="9">
        <v>142.16999999999999</v>
      </c>
      <c r="J1381" s="7" t="s">
        <v>325</v>
      </c>
    </row>
    <row r="1382" spans="1:10" x14ac:dyDescent="0.35">
      <c r="A1382" s="7" t="s">
        <v>40</v>
      </c>
      <c r="B1382" s="7" t="s">
        <v>41</v>
      </c>
      <c r="C1382" s="7" t="s">
        <v>150</v>
      </c>
      <c r="D1382" s="9">
        <v>0.06</v>
      </c>
      <c r="E1382" s="9">
        <v>0.06</v>
      </c>
      <c r="F1382" s="9">
        <v>0.02</v>
      </c>
      <c r="G1382" s="9">
        <v>9.9600000000000009</v>
      </c>
      <c r="H1382" s="9">
        <v>11.25</v>
      </c>
      <c r="I1382" s="9">
        <v>3.92</v>
      </c>
      <c r="J1382" s="7" t="s">
        <v>325</v>
      </c>
    </row>
    <row r="1383" spans="1:10" x14ac:dyDescent="0.35">
      <c r="A1383" s="7" t="s">
        <v>16</v>
      </c>
      <c r="B1383" s="7" t="s">
        <v>52</v>
      </c>
      <c r="C1383" s="7" t="s">
        <v>53</v>
      </c>
      <c r="D1383" s="9">
        <v>0.03</v>
      </c>
      <c r="E1383" s="9">
        <v>0.25</v>
      </c>
      <c r="F1383" s="9">
        <v>0.02</v>
      </c>
      <c r="G1383" s="9">
        <v>15.07</v>
      </c>
      <c r="H1383" s="9">
        <v>452.37</v>
      </c>
      <c r="I1383" s="9">
        <v>13.02</v>
      </c>
      <c r="J1383" s="7" t="s">
        <v>325</v>
      </c>
    </row>
    <row r="1384" spans="1:10" x14ac:dyDescent="0.35">
      <c r="A1384" s="7" t="s">
        <v>16</v>
      </c>
      <c r="B1384" s="7" t="s">
        <v>153</v>
      </c>
      <c r="C1384" s="7" t="s">
        <v>54</v>
      </c>
      <c r="D1384" s="9">
        <v>0</v>
      </c>
      <c r="E1384" s="9">
        <v>0</v>
      </c>
      <c r="F1384" s="9">
        <v>0.02</v>
      </c>
      <c r="G1384" s="9">
        <v>0</v>
      </c>
      <c r="H1384" s="9">
        <v>0</v>
      </c>
      <c r="I1384" s="9">
        <v>3.8</v>
      </c>
      <c r="J1384" s="7" t="s">
        <v>325</v>
      </c>
    </row>
    <row r="1385" spans="1:10" x14ac:dyDescent="0.35">
      <c r="A1385" s="7" t="s">
        <v>49</v>
      </c>
      <c r="B1385" s="7" t="s">
        <v>237</v>
      </c>
      <c r="C1385" s="7" t="s">
        <v>45</v>
      </c>
      <c r="D1385" s="9">
        <v>0.01</v>
      </c>
      <c r="E1385" s="9">
        <v>0.09</v>
      </c>
      <c r="F1385" s="9">
        <v>0.02</v>
      </c>
      <c r="G1385" s="9">
        <v>22.49</v>
      </c>
      <c r="H1385" s="9">
        <v>79.67</v>
      </c>
      <c r="I1385" s="9">
        <v>34.18</v>
      </c>
      <c r="J1385" s="7" t="s">
        <v>325</v>
      </c>
    </row>
    <row r="1386" spans="1:10" x14ac:dyDescent="0.35">
      <c r="A1386" s="7" t="s">
        <v>40</v>
      </c>
      <c r="B1386" s="7" t="s">
        <v>64</v>
      </c>
      <c r="C1386" s="7" t="s">
        <v>59</v>
      </c>
      <c r="D1386" s="9">
        <v>0.51</v>
      </c>
      <c r="E1386" s="9">
        <v>1.02</v>
      </c>
      <c r="F1386" s="9">
        <v>0.02</v>
      </c>
      <c r="G1386" s="9">
        <v>41.55</v>
      </c>
      <c r="H1386" s="9">
        <v>122.34</v>
      </c>
      <c r="I1386" s="9">
        <v>6.3</v>
      </c>
      <c r="J1386" s="7" t="s">
        <v>325</v>
      </c>
    </row>
    <row r="1387" spans="1:10" x14ac:dyDescent="0.35">
      <c r="A1387" s="7" t="s">
        <v>35</v>
      </c>
      <c r="B1387" s="7" t="s">
        <v>47</v>
      </c>
      <c r="C1387" s="7" t="s">
        <v>122</v>
      </c>
      <c r="D1387" s="9">
        <v>0</v>
      </c>
      <c r="E1387" s="9">
        <v>0</v>
      </c>
      <c r="F1387" s="9">
        <v>0.02</v>
      </c>
      <c r="G1387" s="9">
        <v>0.01</v>
      </c>
      <c r="H1387" s="9">
        <v>0.05</v>
      </c>
      <c r="I1387" s="9">
        <v>3.2</v>
      </c>
      <c r="J1387" s="7" t="s">
        <v>325</v>
      </c>
    </row>
    <row r="1388" spans="1:10" x14ac:dyDescent="0.35">
      <c r="A1388" s="7" t="s">
        <v>166</v>
      </c>
      <c r="B1388" s="7" t="s">
        <v>200</v>
      </c>
      <c r="C1388" s="7" t="s">
        <v>55</v>
      </c>
      <c r="D1388" s="9">
        <v>0</v>
      </c>
      <c r="E1388" s="9">
        <v>0</v>
      </c>
      <c r="F1388" s="9">
        <v>0.02</v>
      </c>
      <c r="G1388" s="9">
        <v>0</v>
      </c>
      <c r="H1388" s="9">
        <v>0.51</v>
      </c>
      <c r="I1388" s="9">
        <v>8.91</v>
      </c>
      <c r="J1388" s="7" t="s">
        <v>325</v>
      </c>
    </row>
    <row r="1389" spans="1:10" x14ac:dyDescent="0.35">
      <c r="A1389" s="7" t="s">
        <v>23</v>
      </c>
      <c r="B1389" s="7" t="s">
        <v>34</v>
      </c>
      <c r="C1389" s="7" t="s">
        <v>118</v>
      </c>
      <c r="D1389" s="9">
        <v>0.21</v>
      </c>
      <c r="E1389" s="9">
        <v>0.39</v>
      </c>
      <c r="F1389" s="9">
        <v>0.02</v>
      </c>
      <c r="G1389" s="9">
        <v>135.57</v>
      </c>
      <c r="H1389" s="9">
        <v>231.42</v>
      </c>
      <c r="I1389" s="9">
        <v>15.54</v>
      </c>
      <c r="J1389" s="7" t="s">
        <v>325</v>
      </c>
    </row>
    <row r="1390" spans="1:10" x14ac:dyDescent="0.35">
      <c r="A1390" s="7" t="s">
        <v>66</v>
      </c>
      <c r="B1390" s="7" t="s">
        <v>71</v>
      </c>
      <c r="C1390" s="7" t="s">
        <v>126</v>
      </c>
      <c r="D1390" s="9">
        <v>0.02</v>
      </c>
      <c r="E1390" s="9">
        <v>0.03</v>
      </c>
      <c r="F1390" s="9">
        <v>0.02</v>
      </c>
      <c r="G1390" s="9">
        <v>6.05</v>
      </c>
      <c r="H1390" s="9">
        <v>12.25</v>
      </c>
      <c r="I1390" s="9">
        <v>13</v>
      </c>
      <c r="J1390" s="7" t="s">
        <v>325</v>
      </c>
    </row>
    <row r="1391" spans="1:10" x14ac:dyDescent="0.35">
      <c r="A1391" s="7" t="s">
        <v>49</v>
      </c>
      <c r="B1391" s="7" t="s">
        <v>50</v>
      </c>
      <c r="C1391" s="7" t="s">
        <v>39</v>
      </c>
      <c r="D1391" s="9">
        <v>0</v>
      </c>
      <c r="E1391" s="9">
        <v>0</v>
      </c>
      <c r="F1391" s="9">
        <v>0.02</v>
      </c>
      <c r="G1391" s="9">
        <v>0</v>
      </c>
      <c r="H1391" s="9">
        <v>0</v>
      </c>
      <c r="I1391" s="9">
        <v>13.5</v>
      </c>
      <c r="J1391" s="7" t="s">
        <v>325</v>
      </c>
    </row>
    <row r="1392" spans="1:10" x14ac:dyDescent="0.35">
      <c r="A1392" s="7" t="s">
        <v>16</v>
      </c>
      <c r="B1392" s="7" t="s">
        <v>17</v>
      </c>
      <c r="C1392" s="7" t="s">
        <v>116</v>
      </c>
      <c r="D1392" s="9">
        <v>0.06</v>
      </c>
      <c r="E1392" s="9">
        <v>0.24</v>
      </c>
      <c r="F1392" s="9">
        <v>0.02</v>
      </c>
      <c r="G1392" s="9">
        <v>282</v>
      </c>
      <c r="H1392" s="8">
        <v>1669</v>
      </c>
      <c r="I1392" s="9">
        <v>168</v>
      </c>
      <c r="J1392" s="7" t="s">
        <v>325</v>
      </c>
    </row>
    <row r="1393" spans="1:10" x14ac:dyDescent="0.35">
      <c r="A1393" s="7" t="s">
        <v>40</v>
      </c>
      <c r="B1393" s="7" t="s">
        <v>164</v>
      </c>
      <c r="C1393" s="7" t="s">
        <v>69</v>
      </c>
      <c r="D1393" s="9">
        <v>7.0000000000000007E-2</v>
      </c>
      <c r="E1393" s="9">
        <v>0.12</v>
      </c>
      <c r="F1393" s="9">
        <v>0.02</v>
      </c>
      <c r="G1393" s="9">
        <v>1.35</v>
      </c>
      <c r="H1393" s="9">
        <v>11.38</v>
      </c>
      <c r="I1393" s="9">
        <v>8.5399999999999991</v>
      </c>
      <c r="J1393" s="7" t="s">
        <v>325</v>
      </c>
    </row>
    <row r="1394" spans="1:10" x14ac:dyDescent="0.35">
      <c r="A1394" s="7" t="s">
        <v>31</v>
      </c>
      <c r="B1394" s="7" t="s">
        <v>141</v>
      </c>
      <c r="C1394" s="7" t="s">
        <v>62</v>
      </c>
      <c r="D1394" s="9">
        <v>9.41</v>
      </c>
      <c r="E1394" s="9">
        <v>10.93</v>
      </c>
      <c r="F1394" s="9">
        <v>0.02</v>
      </c>
      <c r="G1394" s="8">
        <v>4516.5</v>
      </c>
      <c r="H1394" s="8">
        <v>4529.1099999999997</v>
      </c>
      <c r="I1394" s="9">
        <v>56</v>
      </c>
      <c r="J1394" s="7" t="s">
        <v>325</v>
      </c>
    </row>
    <row r="1395" spans="1:10" x14ac:dyDescent="0.35">
      <c r="A1395" s="7" t="s">
        <v>77</v>
      </c>
      <c r="B1395" s="7" t="s">
        <v>168</v>
      </c>
      <c r="C1395" s="7" t="s">
        <v>55</v>
      </c>
      <c r="D1395" s="9">
        <v>0</v>
      </c>
      <c r="E1395" s="9">
        <v>0.05</v>
      </c>
      <c r="F1395" s="9">
        <v>0.02</v>
      </c>
      <c r="G1395" s="9">
        <v>3.59</v>
      </c>
      <c r="H1395" s="9">
        <v>31.84</v>
      </c>
      <c r="I1395" s="9">
        <v>28.71</v>
      </c>
      <c r="J1395" s="7" t="s">
        <v>325</v>
      </c>
    </row>
    <row r="1396" spans="1:10" x14ac:dyDescent="0.35">
      <c r="A1396" s="7" t="s">
        <v>231</v>
      </c>
      <c r="B1396" s="7" t="s">
        <v>232</v>
      </c>
      <c r="C1396" s="7" t="s">
        <v>33</v>
      </c>
      <c r="D1396" s="9">
        <v>0.04</v>
      </c>
      <c r="E1396" s="9">
        <v>0.01</v>
      </c>
      <c r="F1396" s="9">
        <v>0.02</v>
      </c>
      <c r="G1396" s="9">
        <v>36.17</v>
      </c>
      <c r="H1396" s="9">
        <v>14.55</v>
      </c>
      <c r="I1396" s="9">
        <v>16.399999999999999</v>
      </c>
      <c r="J1396" s="7" t="s">
        <v>325</v>
      </c>
    </row>
    <row r="1397" spans="1:10" x14ac:dyDescent="0.35">
      <c r="A1397" s="7" t="s">
        <v>16</v>
      </c>
      <c r="B1397" s="7" t="s">
        <v>109</v>
      </c>
      <c r="C1397" s="7" t="s">
        <v>102</v>
      </c>
      <c r="D1397" s="9">
        <v>0.27</v>
      </c>
      <c r="E1397" s="9">
        <v>0.04</v>
      </c>
      <c r="F1397" s="9">
        <v>0.02</v>
      </c>
      <c r="G1397" s="9">
        <v>200.89</v>
      </c>
      <c r="H1397" s="9">
        <v>23.73</v>
      </c>
      <c r="I1397" s="9">
        <v>7.42</v>
      </c>
      <c r="J1397" s="7" t="s">
        <v>325</v>
      </c>
    </row>
    <row r="1398" spans="1:10" x14ac:dyDescent="0.35">
      <c r="A1398" s="7" t="s">
        <v>66</v>
      </c>
      <c r="B1398" s="7" t="s">
        <v>208</v>
      </c>
      <c r="C1398" s="7" t="s">
        <v>53</v>
      </c>
      <c r="D1398" s="9">
        <v>0.56000000000000005</v>
      </c>
      <c r="E1398" s="9">
        <v>0.4</v>
      </c>
      <c r="F1398" s="9">
        <v>0.02</v>
      </c>
      <c r="G1398" s="9">
        <v>447.38</v>
      </c>
      <c r="H1398" s="9">
        <v>333.95</v>
      </c>
      <c r="I1398" s="9">
        <v>11.74</v>
      </c>
      <c r="J1398" s="7" t="s">
        <v>325</v>
      </c>
    </row>
    <row r="1399" spans="1:10" x14ac:dyDescent="0.35">
      <c r="A1399" s="7" t="s">
        <v>16</v>
      </c>
      <c r="B1399" s="7" t="s">
        <v>140</v>
      </c>
      <c r="C1399" s="7" t="s">
        <v>151</v>
      </c>
      <c r="D1399" s="9">
        <v>0</v>
      </c>
      <c r="E1399" s="9">
        <v>0.02</v>
      </c>
      <c r="F1399" s="9">
        <v>0.02</v>
      </c>
      <c r="G1399" s="9">
        <v>0</v>
      </c>
      <c r="H1399" s="9">
        <v>3.1</v>
      </c>
      <c r="I1399" s="9">
        <v>9.15</v>
      </c>
      <c r="J1399" s="7" t="s">
        <v>325</v>
      </c>
    </row>
    <row r="1400" spans="1:10" x14ac:dyDescent="0.35">
      <c r="A1400" s="7" t="s">
        <v>31</v>
      </c>
      <c r="B1400" s="7" t="s">
        <v>131</v>
      </c>
      <c r="C1400" s="7" t="s">
        <v>118</v>
      </c>
      <c r="D1400" s="9">
        <v>0.24</v>
      </c>
      <c r="E1400" s="9">
        <v>0.12</v>
      </c>
      <c r="F1400" s="9">
        <v>0.02</v>
      </c>
      <c r="G1400" s="9">
        <v>50.89</v>
      </c>
      <c r="H1400" s="9">
        <v>32.799999999999997</v>
      </c>
      <c r="I1400" s="9">
        <v>9.4600000000000009</v>
      </c>
      <c r="J1400" s="7" t="s">
        <v>325</v>
      </c>
    </row>
    <row r="1401" spans="1:10" x14ac:dyDescent="0.35">
      <c r="A1401" s="7" t="s">
        <v>159</v>
      </c>
      <c r="B1401" s="7" t="s">
        <v>160</v>
      </c>
      <c r="C1401" s="7" t="s">
        <v>54</v>
      </c>
      <c r="D1401" s="9">
        <v>0.01</v>
      </c>
      <c r="E1401" s="9">
        <v>7.0000000000000007E-2</v>
      </c>
      <c r="F1401" s="9">
        <v>0.02</v>
      </c>
      <c r="G1401" s="9">
        <v>3.65</v>
      </c>
      <c r="H1401" s="9">
        <v>57.63</v>
      </c>
      <c r="I1401" s="9">
        <v>24.99</v>
      </c>
      <c r="J1401" s="7" t="s">
        <v>325</v>
      </c>
    </row>
    <row r="1402" spans="1:10" x14ac:dyDescent="0.35">
      <c r="A1402" s="7" t="s">
        <v>16</v>
      </c>
      <c r="B1402" s="7" t="s">
        <v>17</v>
      </c>
      <c r="C1402" s="7" t="s">
        <v>76</v>
      </c>
      <c r="D1402" s="9">
        <v>0</v>
      </c>
      <c r="E1402" s="9">
        <v>0.02</v>
      </c>
      <c r="F1402" s="9">
        <v>0.02</v>
      </c>
      <c r="G1402" s="9">
        <v>2.52</v>
      </c>
      <c r="H1402" s="9">
        <v>19.559999999999999</v>
      </c>
      <c r="I1402" s="9">
        <v>19.940000000000001</v>
      </c>
      <c r="J1402" s="7" t="s">
        <v>325</v>
      </c>
    </row>
    <row r="1403" spans="1:10" x14ac:dyDescent="0.35">
      <c r="A1403" s="7" t="s">
        <v>40</v>
      </c>
      <c r="B1403" s="7" t="s">
        <v>117</v>
      </c>
      <c r="C1403" s="7" t="s">
        <v>118</v>
      </c>
      <c r="D1403" s="9">
        <v>0.05</v>
      </c>
      <c r="E1403" s="9">
        <v>0.08</v>
      </c>
      <c r="F1403" s="9">
        <v>0.02</v>
      </c>
      <c r="G1403" s="9">
        <v>20.41</v>
      </c>
      <c r="H1403" s="9">
        <v>33.770000000000003</v>
      </c>
      <c r="I1403" s="9">
        <v>7.45</v>
      </c>
      <c r="J1403" s="7" t="s">
        <v>325</v>
      </c>
    </row>
    <row r="1404" spans="1:10" x14ac:dyDescent="0.35">
      <c r="A1404" s="7" t="s">
        <v>16</v>
      </c>
      <c r="B1404" s="7" t="s">
        <v>90</v>
      </c>
      <c r="C1404" s="7" t="s">
        <v>113</v>
      </c>
      <c r="D1404" s="9">
        <v>0</v>
      </c>
      <c r="E1404" s="9">
        <v>0</v>
      </c>
      <c r="F1404" s="9">
        <v>0.02</v>
      </c>
      <c r="G1404" s="9">
        <v>0</v>
      </c>
      <c r="H1404" s="9">
        <v>2.4</v>
      </c>
      <c r="I1404" s="9">
        <v>43.09</v>
      </c>
      <c r="J1404" s="7" t="s">
        <v>325</v>
      </c>
    </row>
    <row r="1405" spans="1:10" ht="26.25" customHeight="1" x14ac:dyDescent="0.35">
      <c r="A1405" s="7" t="s">
        <v>77</v>
      </c>
      <c r="B1405" s="7" t="s">
        <v>78</v>
      </c>
      <c r="C1405" s="7" t="s">
        <v>81</v>
      </c>
      <c r="D1405" s="9">
        <v>1.31</v>
      </c>
      <c r="E1405" s="9">
        <v>0.24</v>
      </c>
      <c r="F1405" s="9">
        <v>0.02</v>
      </c>
      <c r="G1405" s="8">
        <v>1230.08</v>
      </c>
      <c r="H1405" s="9">
        <v>293.95999999999998</v>
      </c>
      <c r="I1405" s="9">
        <v>12.91</v>
      </c>
      <c r="J1405" s="7" t="s">
        <v>325</v>
      </c>
    </row>
    <row r="1406" spans="1:10" x14ac:dyDescent="0.35">
      <c r="A1406" s="7" t="s">
        <v>159</v>
      </c>
      <c r="B1406" s="7" t="s">
        <v>218</v>
      </c>
      <c r="C1406" s="7" t="s">
        <v>65</v>
      </c>
      <c r="D1406" s="9">
        <v>0</v>
      </c>
      <c r="E1406" s="9">
        <v>0.04</v>
      </c>
      <c r="F1406" s="9">
        <v>0.02</v>
      </c>
      <c r="G1406" s="9">
        <v>0</v>
      </c>
      <c r="H1406" s="9">
        <v>78.84</v>
      </c>
      <c r="I1406" s="9">
        <v>49.35</v>
      </c>
      <c r="J1406" s="7" t="s">
        <v>325</v>
      </c>
    </row>
    <row r="1407" spans="1:10" x14ac:dyDescent="0.35">
      <c r="A1407" s="7" t="s">
        <v>23</v>
      </c>
      <c r="B1407" s="7" t="s">
        <v>34</v>
      </c>
      <c r="C1407" s="7" t="s">
        <v>65</v>
      </c>
      <c r="D1407" s="9">
        <v>0.01</v>
      </c>
      <c r="E1407" s="9">
        <v>0</v>
      </c>
      <c r="F1407" s="9">
        <v>0.02</v>
      </c>
      <c r="G1407" s="9">
        <v>11</v>
      </c>
      <c r="H1407" s="9">
        <v>0</v>
      </c>
      <c r="I1407" s="9">
        <v>46</v>
      </c>
      <c r="J1407" s="7" t="s">
        <v>325</v>
      </c>
    </row>
    <row r="1408" spans="1:10" x14ac:dyDescent="0.35">
      <c r="A1408" s="7" t="s">
        <v>40</v>
      </c>
      <c r="B1408" s="7" t="s">
        <v>117</v>
      </c>
      <c r="C1408" s="7" t="s">
        <v>18</v>
      </c>
      <c r="D1408" s="9">
        <v>0.05</v>
      </c>
      <c r="E1408" s="9">
        <v>0.02</v>
      </c>
      <c r="F1408" s="9">
        <v>0.02</v>
      </c>
      <c r="G1408" s="9">
        <v>35.75</v>
      </c>
      <c r="H1408" s="9">
        <v>21.81</v>
      </c>
      <c r="I1408" s="9">
        <v>19.420000000000002</v>
      </c>
      <c r="J1408" s="7" t="s">
        <v>325</v>
      </c>
    </row>
    <row r="1409" spans="1:10" x14ac:dyDescent="0.35">
      <c r="A1409" s="7" t="s">
        <v>16</v>
      </c>
      <c r="B1409" s="7" t="s">
        <v>135</v>
      </c>
      <c r="C1409" s="7" t="s">
        <v>45</v>
      </c>
      <c r="D1409" s="9">
        <v>0.11</v>
      </c>
      <c r="E1409" s="9">
        <v>0.1</v>
      </c>
      <c r="F1409" s="9">
        <v>0.02</v>
      </c>
      <c r="G1409" s="9">
        <v>45.24</v>
      </c>
      <c r="H1409" s="9">
        <v>36.880000000000003</v>
      </c>
      <c r="I1409" s="9">
        <v>5.62</v>
      </c>
      <c r="J1409" s="7" t="s">
        <v>325</v>
      </c>
    </row>
    <row r="1410" spans="1:10" x14ac:dyDescent="0.35">
      <c r="A1410" s="7" t="s">
        <v>231</v>
      </c>
      <c r="B1410" s="7" t="s">
        <v>236</v>
      </c>
      <c r="C1410" s="7" t="s">
        <v>102</v>
      </c>
      <c r="D1410" s="9">
        <v>0.01</v>
      </c>
      <c r="E1410" s="9">
        <v>0.08</v>
      </c>
      <c r="F1410" s="9">
        <v>0.02</v>
      </c>
      <c r="G1410" s="9">
        <v>21.45</v>
      </c>
      <c r="H1410" s="9">
        <v>238.43</v>
      </c>
      <c r="I1410" s="9">
        <v>71.44</v>
      </c>
      <c r="J1410" s="7" t="s">
        <v>325</v>
      </c>
    </row>
    <row r="1411" spans="1:10" x14ac:dyDescent="0.35">
      <c r="A1411" s="7" t="s">
        <v>49</v>
      </c>
      <c r="B1411" s="7" t="s">
        <v>121</v>
      </c>
      <c r="C1411" s="7" t="s">
        <v>144</v>
      </c>
      <c r="D1411" s="9">
        <v>0.04</v>
      </c>
      <c r="E1411" s="9">
        <v>0.03</v>
      </c>
      <c r="F1411" s="9">
        <v>0.02</v>
      </c>
      <c r="G1411" s="9">
        <v>21.84</v>
      </c>
      <c r="H1411" s="9">
        <v>15.46</v>
      </c>
      <c r="I1411" s="9">
        <v>9.81</v>
      </c>
      <c r="J1411" s="7" t="s">
        <v>325</v>
      </c>
    </row>
    <row r="1412" spans="1:10" x14ac:dyDescent="0.35">
      <c r="A1412" s="7" t="s">
        <v>231</v>
      </c>
      <c r="B1412" s="7" t="s">
        <v>232</v>
      </c>
      <c r="C1412" s="7" t="s">
        <v>45</v>
      </c>
      <c r="D1412" s="9">
        <v>0.06</v>
      </c>
      <c r="E1412" s="9">
        <v>7.0000000000000007E-2</v>
      </c>
      <c r="F1412" s="9">
        <v>0.02</v>
      </c>
      <c r="G1412" s="9">
        <v>151.07</v>
      </c>
      <c r="H1412" s="9">
        <v>184.41</v>
      </c>
      <c r="I1412" s="9">
        <v>36.450000000000003</v>
      </c>
      <c r="J1412" s="7" t="s">
        <v>325</v>
      </c>
    </row>
    <row r="1413" spans="1:10" x14ac:dyDescent="0.35">
      <c r="A1413" s="7" t="s">
        <v>74</v>
      </c>
      <c r="B1413" s="7" t="s">
        <v>137</v>
      </c>
      <c r="C1413" s="7" t="s">
        <v>42</v>
      </c>
      <c r="D1413" s="9">
        <v>0.12</v>
      </c>
      <c r="E1413" s="9">
        <v>0.03</v>
      </c>
      <c r="F1413" s="9">
        <v>0.02</v>
      </c>
      <c r="G1413" s="9">
        <v>7.13</v>
      </c>
      <c r="H1413" s="9">
        <v>2.13</v>
      </c>
      <c r="I1413" s="9">
        <v>1.34</v>
      </c>
      <c r="J1413" s="7" t="s">
        <v>325</v>
      </c>
    </row>
    <row r="1414" spans="1:10" x14ac:dyDescent="0.35">
      <c r="A1414" s="7" t="s">
        <v>94</v>
      </c>
      <c r="B1414" s="7" t="s">
        <v>112</v>
      </c>
      <c r="C1414" s="7" t="s">
        <v>170</v>
      </c>
      <c r="D1414" s="9">
        <v>0.08</v>
      </c>
      <c r="E1414" s="9">
        <v>0.06</v>
      </c>
      <c r="F1414" s="9">
        <v>0.02</v>
      </c>
      <c r="G1414" s="9">
        <v>45.9</v>
      </c>
      <c r="H1414" s="9">
        <v>36.700000000000003</v>
      </c>
      <c r="I1414" s="9">
        <v>11.7</v>
      </c>
      <c r="J1414" s="7" t="s">
        <v>325</v>
      </c>
    </row>
    <row r="1415" spans="1:10" x14ac:dyDescent="0.35">
      <c r="A1415" s="7" t="s">
        <v>77</v>
      </c>
      <c r="B1415" s="7" t="s">
        <v>157</v>
      </c>
      <c r="C1415" s="7" t="s">
        <v>39</v>
      </c>
      <c r="D1415" s="9">
        <v>0.01</v>
      </c>
      <c r="E1415" s="9">
        <v>0.06</v>
      </c>
      <c r="F1415" s="9">
        <v>0.02</v>
      </c>
      <c r="G1415" s="9">
        <v>3.17</v>
      </c>
      <c r="H1415" s="9">
        <v>8.66</v>
      </c>
      <c r="I1415" s="9">
        <v>3.65</v>
      </c>
      <c r="J1415" s="7" t="s">
        <v>325</v>
      </c>
    </row>
    <row r="1416" spans="1:10" x14ac:dyDescent="0.35">
      <c r="A1416" s="7" t="s">
        <v>20</v>
      </c>
      <c r="B1416" s="7" t="s">
        <v>68</v>
      </c>
      <c r="C1416" s="7" t="s">
        <v>65</v>
      </c>
      <c r="D1416" s="9">
        <v>0.01</v>
      </c>
      <c r="E1416" s="9">
        <v>0.04</v>
      </c>
      <c r="F1416" s="9">
        <v>0.02</v>
      </c>
      <c r="G1416" s="9">
        <v>5.0199999999999996</v>
      </c>
      <c r="H1416" s="9">
        <v>6.42</v>
      </c>
      <c r="I1416" s="9">
        <v>8.16</v>
      </c>
      <c r="J1416" s="7" t="s">
        <v>325</v>
      </c>
    </row>
    <row r="1417" spans="1:10" x14ac:dyDescent="0.35">
      <c r="A1417" s="7" t="s">
        <v>20</v>
      </c>
      <c r="B1417" s="7" t="s">
        <v>173</v>
      </c>
      <c r="C1417" s="7" t="s">
        <v>33</v>
      </c>
      <c r="D1417" s="9">
        <v>0.16</v>
      </c>
      <c r="E1417" s="9">
        <v>0.15</v>
      </c>
      <c r="F1417" s="9">
        <v>0.02</v>
      </c>
      <c r="G1417" s="9">
        <v>99.7</v>
      </c>
      <c r="H1417" s="9">
        <v>106.38</v>
      </c>
      <c r="I1417" s="9">
        <v>15.71</v>
      </c>
      <c r="J1417" s="7" t="s">
        <v>325</v>
      </c>
    </row>
    <row r="1418" spans="1:10" x14ac:dyDescent="0.35">
      <c r="A1418" s="7" t="s">
        <v>66</v>
      </c>
      <c r="B1418" s="7" t="s">
        <v>73</v>
      </c>
      <c r="C1418" s="7" t="s">
        <v>174</v>
      </c>
      <c r="D1418" s="9">
        <v>0.02</v>
      </c>
      <c r="E1418" s="9">
        <v>0.08</v>
      </c>
      <c r="F1418" s="9">
        <v>0.02</v>
      </c>
      <c r="G1418" s="9">
        <v>5.1100000000000003</v>
      </c>
      <c r="H1418" s="9">
        <v>17</v>
      </c>
      <c r="I1418" s="9">
        <v>7</v>
      </c>
      <c r="J1418" s="7" t="s">
        <v>325</v>
      </c>
    </row>
    <row r="1419" spans="1:10" x14ac:dyDescent="0.35">
      <c r="A1419" s="7" t="s">
        <v>16</v>
      </c>
      <c r="B1419" s="7" t="s">
        <v>52</v>
      </c>
      <c r="C1419" s="7" t="s">
        <v>84</v>
      </c>
      <c r="D1419" s="9">
        <v>0</v>
      </c>
      <c r="E1419" s="9">
        <v>0.02</v>
      </c>
      <c r="F1419" s="9">
        <v>0.02</v>
      </c>
      <c r="G1419" s="9">
        <v>0</v>
      </c>
      <c r="H1419" s="9">
        <v>2.5</v>
      </c>
      <c r="I1419" s="9">
        <v>2</v>
      </c>
      <c r="J1419" s="7" t="s">
        <v>325</v>
      </c>
    </row>
    <row r="1420" spans="1:10" x14ac:dyDescent="0.35">
      <c r="A1420" s="7" t="s">
        <v>231</v>
      </c>
      <c r="B1420" s="7" t="s">
        <v>232</v>
      </c>
      <c r="C1420" s="7" t="s">
        <v>53</v>
      </c>
      <c r="D1420" s="9">
        <v>0.05</v>
      </c>
      <c r="E1420" s="9">
        <v>0.03</v>
      </c>
      <c r="F1420" s="9">
        <v>0.02</v>
      </c>
      <c r="G1420" s="9">
        <v>39.42</v>
      </c>
      <c r="H1420" s="9">
        <v>34.32</v>
      </c>
      <c r="I1420" s="9">
        <v>31.36</v>
      </c>
      <c r="J1420" s="7" t="s">
        <v>325</v>
      </c>
    </row>
    <row r="1421" spans="1:10" x14ac:dyDescent="0.35">
      <c r="A1421" s="7" t="s">
        <v>20</v>
      </c>
      <c r="B1421" s="7" t="s">
        <v>245</v>
      </c>
      <c r="C1421" s="7" t="s">
        <v>39</v>
      </c>
      <c r="D1421" s="9">
        <v>0.05</v>
      </c>
      <c r="E1421" s="9">
        <v>0.03</v>
      </c>
      <c r="F1421" s="9">
        <v>0.02</v>
      </c>
      <c r="G1421" s="9">
        <v>4.3899999999999997</v>
      </c>
      <c r="H1421" s="9">
        <v>1.75</v>
      </c>
      <c r="I1421" s="9">
        <v>0.2</v>
      </c>
      <c r="J1421" s="7" t="s">
        <v>325</v>
      </c>
    </row>
    <row r="1422" spans="1:10" x14ac:dyDescent="0.35">
      <c r="A1422" s="7" t="s">
        <v>35</v>
      </c>
      <c r="B1422" s="7" t="s">
        <v>165</v>
      </c>
      <c r="C1422" s="7" t="s">
        <v>45</v>
      </c>
      <c r="D1422" s="9">
        <v>0.01</v>
      </c>
      <c r="E1422" s="9">
        <v>0.03</v>
      </c>
      <c r="F1422" s="9">
        <v>0.02</v>
      </c>
      <c r="G1422" s="9">
        <v>3.85</v>
      </c>
      <c r="H1422" s="9">
        <v>9.27</v>
      </c>
      <c r="I1422" s="9">
        <v>5.24</v>
      </c>
      <c r="J1422" s="7" t="s">
        <v>325</v>
      </c>
    </row>
    <row r="1423" spans="1:10" x14ac:dyDescent="0.35">
      <c r="A1423" s="7" t="s">
        <v>94</v>
      </c>
      <c r="B1423" s="7" t="s">
        <v>238</v>
      </c>
      <c r="C1423" s="7" t="s">
        <v>48</v>
      </c>
      <c r="D1423" s="9">
        <v>0.01</v>
      </c>
      <c r="E1423" s="9">
        <v>0.03</v>
      </c>
      <c r="F1423" s="9">
        <v>0.02</v>
      </c>
      <c r="G1423" s="9">
        <v>6.13</v>
      </c>
      <c r="H1423" s="9">
        <v>17.97</v>
      </c>
      <c r="I1423" s="9">
        <v>0</v>
      </c>
      <c r="J1423" s="7" t="s">
        <v>325</v>
      </c>
    </row>
    <row r="1424" spans="1:10" x14ac:dyDescent="0.35">
      <c r="A1424" s="7" t="s">
        <v>35</v>
      </c>
      <c r="B1424" s="7" t="s">
        <v>201</v>
      </c>
      <c r="C1424" s="7" t="s">
        <v>150</v>
      </c>
      <c r="D1424" s="9">
        <v>0.01</v>
      </c>
      <c r="E1424" s="9">
        <v>0.02</v>
      </c>
      <c r="F1424" s="9">
        <v>0.02</v>
      </c>
      <c r="G1424" s="9">
        <v>0.54</v>
      </c>
      <c r="H1424" s="9">
        <v>1.21</v>
      </c>
      <c r="I1424" s="9">
        <v>1.02</v>
      </c>
      <c r="J1424" s="7" t="s">
        <v>325</v>
      </c>
    </row>
    <row r="1425" spans="1:10" x14ac:dyDescent="0.35">
      <c r="A1425" s="7" t="s">
        <v>16</v>
      </c>
      <c r="B1425" s="7" t="s">
        <v>90</v>
      </c>
      <c r="C1425" s="7" t="s">
        <v>102</v>
      </c>
      <c r="D1425" s="9">
        <v>0.02</v>
      </c>
      <c r="E1425" s="9">
        <v>0.03</v>
      </c>
      <c r="F1425" s="9">
        <v>0.02</v>
      </c>
      <c r="G1425" s="9">
        <v>21.2</v>
      </c>
      <c r="H1425" s="9">
        <v>16.29</v>
      </c>
      <c r="I1425" s="9">
        <v>8.5399999999999991</v>
      </c>
      <c r="J1425" s="7" t="s">
        <v>325</v>
      </c>
    </row>
    <row r="1426" spans="1:10" x14ac:dyDescent="0.35">
      <c r="A1426" s="7" t="s">
        <v>159</v>
      </c>
      <c r="B1426" s="7" t="s">
        <v>246</v>
      </c>
      <c r="C1426" s="7" t="s">
        <v>45</v>
      </c>
      <c r="D1426" s="9">
        <v>0</v>
      </c>
      <c r="E1426" s="9">
        <v>0.14000000000000001</v>
      </c>
      <c r="F1426" s="9">
        <v>0.02</v>
      </c>
      <c r="G1426" s="9">
        <v>0</v>
      </c>
      <c r="H1426" s="9">
        <v>497.02</v>
      </c>
      <c r="I1426" s="9">
        <v>61.2</v>
      </c>
      <c r="J1426" s="7" t="s">
        <v>325</v>
      </c>
    </row>
    <row r="1427" spans="1:10" x14ac:dyDescent="0.35">
      <c r="A1427" s="7" t="s">
        <v>35</v>
      </c>
      <c r="B1427" s="7" t="s">
        <v>201</v>
      </c>
      <c r="C1427" s="7" t="s">
        <v>65</v>
      </c>
      <c r="D1427" s="9">
        <v>0</v>
      </c>
      <c r="E1427" s="9">
        <v>0</v>
      </c>
      <c r="F1427" s="9">
        <v>0.02</v>
      </c>
      <c r="G1427" s="9">
        <v>0</v>
      </c>
      <c r="H1427" s="9">
        <v>0</v>
      </c>
      <c r="I1427" s="9">
        <v>43</v>
      </c>
      <c r="J1427" s="7" t="s">
        <v>325</v>
      </c>
    </row>
    <row r="1428" spans="1:10" x14ac:dyDescent="0.35">
      <c r="A1428" s="7" t="s">
        <v>94</v>
      </c>
      <c r="B1428" s="7" t="s">
        <v>247</v>
      </c>
      <c r="C1428" s="7" t="s">
        <v>54</v>
      </c>
      <c r="D1428" s="9">
        <v>0</v>
      </c>
      <c r="E1428" s="9">
        <v>0.02</v>
      </c>
      <c r="F1428" s="9">
        <v>0.02</v>
      </c>
      <c r="G1428" s="9">
        <v>0.24</v>
      </c>
      <c r="H1428" s="9">
        <v>47.58</v>
      </c>
      <c r="I1428" s="9">
        <v>29.49</v>
      </c>
      <c r="J1428" s="7" t="s">
        <v>325</v>
      </c>
    </row>
    <row r="1429" spans="1:10" x14ac:dyDescent="0.35">
      <c r="A1429" s="7" t="s">
        <v>31</v>
      </c>
      <c r="B1429" s="7" t="s">
        <v>32</v>
      </c>
      <c r="C1429" s="7" t="s">
        <v>144</v>
      </c>
      <c r="D1429" s="9">
        <v>0.01</v>
      </c>
      <c r="E1429" s="9">
        <v>0</v>
      </c>
      <c r="F1429" s="9">
        <v>0.02</v>
      </c>
      <c r="G1429" s="9">
        <v>31.65</v>
      </c>
      <c r="H1429" s="9">
        <v>0</v>
      </c>
      <c r="I1429" s="9">
        <v>19.059999999999999</v>
      </c>
      <c r="J1429" s="7" t="s">
        <v>325</v>
      </c>
    </row>
    <row r="1430" spans="1:10" x14ac:dyDescent="0.35">
      <c r="A1430" s="7" t="s">
        <v>57</v>
      </c>
      <c r="B1430" s="7" t="s">
        <v>175</v>
      </c>
      <c r="C1430" s="7" t="s">
        <v>33</v>
      </c>
      <c r="D1430" s="9">
        <v>0</v>
      </c>
      <c r="E1430" s="9">
        <v>0</v>
      </c>
      <c r="F1430" s="9">
        <v>0.02</v>
      </c>
      <c r="G1430" s="9">
        <v>0</v>
      </c>
      <c r="H1430" s="9">
        <v>0</v>
      </c>
      <c r="I1430" s="9">
        <v>15.12</v>
      </c>
      <c r="J1430" s="7" t="s">
        <v>325</v>
      </c>
    </row>
    <row r="1431" spans="1:10" x14ac:dyDescent="0.35">
      <c r="A1431" s="7" t="s">
        <v>159</v>
      </c>
      <c r="B1431" s="7" t="s">
        <v>160</v>
      </c>
      <c r="C1431" s="7" t="s">
        <v>42</v>
      </c>
      <c r="D1431" s="9">
        <v>0.01</v>
      </c>
      <c r="E1431" s="9">
        <v>7.0000000000000007E-2</v>
      </c>
      <c r="F1431" s="9">
        <v>0.02</v>
      </c>
      <c r="G1431" s="9">
        <v>7.83</v>
      </c>
      <c r="H1431" s="9">
        <v>42.51</v>
      </c>
      <c r="I1431" s="9">
        <v>10.69</v>
      </c>
      <c r="J1431" s="7" t="s">
        <v>325</v>
      </c>
    </row>
    <row r="1432" spans="1:10" x14ac:dyDescent="0.35">
      <c r="A1432" s="7" t="s">
        <v>31</v>
      </c>
      <c r="B1432" s="7" t="s">
        <v>32</v>
      </c>
      <c r="C1432" s="7" t="s">
        <v>45</v>
      </c>
      <c r="D1432" s="9">
        <v>0.08</v>
      </c>
      <c r="E1432" s="9">
        <v>0.32</v>
      </c>
      <c r="F1432" s="9">
        <v>0.02</v>
      </c>
      <c r="G1432" s="9">
        <v>172.06</v>
      </c>
      <c r="H1432" s="9">
        <v>400.52</v>
      </c>
      <c r="I1432" s="9">
        <v>1.02</v>
      </c>
      <c r="J1432" s="7" t="s">
        <v>325</v>
      </c>
    </row>
    <row r="1433" spans="1:10" x14ac:dyDescent="0.35">
      <c r="A1433" s="7" t="s">
        <v>40</v>
      </c>
      <c r="B1433" s="7" t="s">
        <v>64</v>
      </c>
      <c r="C1433" s="7" t="s">
        <v>84</v>
      </c>
      <c r="D1433" s="9">
        <v>0</v>
      </c>
      <c r="E1433" s="9">
        <v>0</v>
      </c>
      <c r="F1433" s="9">
        <v>0.02</v>
      </c>
      <c r="G1433" s="9">
        <v>0.25</v>
      </c>
      <c r="H1433" s="9">
        <v>0.17</v>
      </c>
      <c r="I1433" s="9">
        <v>2.11</v>
      </c>
      <c r="J1433" s="7" t="s">
        <v>325</v>
      </c>
    </row>
    <row r="1434" spans="1:10" x14ac:dyDescent="0.35">
      <c r="A1434" s="7" t="s">
        <v>77</v>
      </c>
      <c r="B1434" s="7" t="s">
        <v>168</v>
      </c>
      <c r="C1434" s="7" t="s">
        <v>48</v>
      </c>
      <c r="D1434" s="9">
        <v>0.04</v>
      </c>
      <c r="E1434" s="9">
        <v>0.03</v>
      </c>
      <c r="F1434" s="9">
        <v>0.02</v>
      </c>
      <c r="G1434" s="9">
        <v>9.5299999999999994</v>
      </c>
      <c r="H1434" s="9">
        <v>6.74</v>
      </c>
      <c r="I1434" s="9">
        <v>5.22</v>
      </c>
      <c r="J1434" s="7" t="s">
        <v>325</v>
      </c>
    </row>
    <row r="1435" spans="1:10" x14ac:dyDescent="0.35">
      <c r="A1435" s="7" t="s">
        <v>66</v>
      </c>
      <c r="B1435" s="7" t="s">
        <v>208</v>
      </c>
      <c r="C1435" s="7" t="s">
        <v>54</v>
      </c>
      <c r="D1435" s="9">
        <v>0.11</v>
      </c>
      <c r="E1435" s="9">
        <v>0.1</v>
      </c>
      <c r="F1435" s="9">
        <v>0.02</v>
      </c>
      <c r="G1435" s="9">
        <v>29.87</v>
      </c>
      <c r="H1435" s="9">
        <v>27.19</v>
      </c>
      <c r="I1435" s="9">
        <v>5.63</v>
      </c>
      <c r="J1435" s="7" t="s">
        <v>325</v>
      </c>
    </row>
    <row r="1436" spans="1:10" x14ac:dyDescent="0.35">
      <c r="A1436" s="7" t="s">
        <v>20</v>
      </c>
      <c r="B1436" s="7" t="s">
        <v>134</v>
      </c>
      <c r="C1436" s="7" t="s">
        <v>33</v>
      </c>
      <c r="D1436" s="9">
        <v>0</v>
      </c>
      <c r="E1436" s="9">
        <v>0.01</v>
      </c>
      <c r="F1436" s="9">
        <v>0.02</v>
      </c>
      <c r="G1436" s="9">
        <v>0</v>
      </c>
      <c r="H1436" s="9">
        <v>10.3</v>
      </c>
      <c r="I1436" s="9">
        <v>12.37</v>
      </c>
      <c r="J1436" s="7" t="s">
        <v>325</v>
      </c>
    </row>
    <row r="1437" spans="1:10" x14ac:dyDescent="0.35">
      <c r="A1437" s="7" t="s">
        <v>231</v>
      </c>
      <c r="B1437" s="7" t="s">
        <v>232</v>
      </c>
      <c r="C1437" s="7" t="s">
        <v>151</v>
      </c>
      <c r="D1437" s="9">
        <v>0.01</v>
      </c>
      <c r="E1437" s="9">
        <v>0.01</v>
      </c>
      <c r="F1437" s="9">
        <v>0.02</v>
      </c>
      <c r="G1437" s="9">
        <v>4.95</v>
      </c>
      <c r="H1437" s="9">
        <v>25.81</v>
      </c>
      <c r="I1437" s="9">
        <v>24.99</v>
      </c>
      <c r="J1437" s="7" t="s">
        <v>325</v>
      </c>
    </row>
    <row r="1438" spans="1:10" x14ac:dyDescent="0.35">
      <c r="A1438" s="7" t="s">
        <v>94</v>
      </c>
      <c r="B1438" s="7" t="s">
        <v>112</v>
      </c>
      <c r="C1438" s="7" t="s">
        <v>179</v>
      </c>
      <c r="D1438" s="9">
        <v>0.16</v>
      </c>
      <c r="E1438" s="9">
        <v>0</v>
      </c>
      <c r="F1438" s="9">
        <v>0.02</v>
      </c>
      <c r="G1438" s="9">
        <v>158.54</v>
      </c>
      <c r="H1438" s="9">
        <v>1</v>
      </c>
      <c r="I1438" s="9">
        <v>2.92</v>
      </c>
      <c r="J1438" s="7" t="s">
        <v>325</v>
      </c>
    </row>
    <row r="1439" spans="1:10" x14ac:dyDescent="0.35">
      <c r="A1439" s="7" t="s">
        <v>66</v>
      </c>
      <c r="B1439" s="7" t="s">
        <v>208</v>
      </c>
      <c r="C1439" s="7" t="s">
        <v>33</v>
      </c>
      <c r="D1439" s="9">
        <v>0.04</v>
      </c>
      <c r="E1439" s="9">
        <v>0.04</v>
      </c>
      <c r="F1439" s="9">
        <v>0.02</v>
      </c>
      <c r="G1439" s="9">
        <v>28.45</v>
      </c>
      <c r="H1439" s="9">
        <v>20.6</v>
      </c>
      <c r="I1439" s="9">
        <v>7.25</v>
      </c>
      <c r="J1439" s="7" t="s">
        <v>325</v>
      </c>
    </row>
    <row r="1440" spans="1:10" x14ac:dyDescent="0.35">
      <c r="A1440" s="7" t="s">
        <v>94</v>
      </c>
      <c r="B1440" s="7" t="s">
        <v>95</v>
      </c>
      <c r="C1440" s="7" t="s">
        <v>46</v>
      </c>
      <c r="D1440" s="9">
        <v>0.01</v>
      </c>
      <c r="E1440" s="9">
        <v>7.0000000000000007E-2</v>
      </c>
      <c r="F1440" s="9">
        <v>0.02</v>
      </c>
      <c r="G1440" s="9">
        <v>7.21</v>
      </c>
      <c r="H1440" s="9">
        <v>33.01</v>
      </c>
      <c r="I1440" s="9">
        <v>7.17</v>
      </c>
      <c r="J1440" s="7" t="s">
        <v>325</v>
      </c>
    </row>
    <row r="1441" spans="1:10" x14ac:dyDescent="0.35">
      <c r="A1441" s="7" t="s">
        <v>16</v>
      </c>
      <c r="B1441" s="7" t="s">
        <v>17</v>
      </c>
      <c r="C1441" s="7" t="s">
        <v>114</v>
      </c>
      <c r="D1441" s="9">
        <v>0</v>
      </c>
      <c r="E1441" s="9">
        <v>0</v>
      </c>
      <c r="F1441" s="9">
        <v>0.02</v>
      </c>
      <c r="G1441" s="9">
        <v>0.01</v>
      </c>
      <c r="H1441" s="9">
        <v>0</v>
      </c>
      <c r="I1441" s="9">
        <v>1</v>
      </c>
      <c r="J1441" s="7" t="s">
        <v>325</v>
      </c>
    </row>
    <row r="1442" spans="1:10" x14ac:dyDescent="0.35">
      <c r="A1442" s="7" t="s">
        <v>159</v>
      </c>
      <c r="B1442" s="7" t="s">
        <v>186</v>
      </c>
      <c r="C1442" s="7" t="s">
        <v>42</v>
      </c>
      <c r="D1442" s="9">
        <v>7.0000000000000007E-2</v>
      </c>
      <c r="E1442" s="9">
        <v>0.04</v>
      </c>
      <c r="F1442" s="9">
        <v>0.02</v>
      </c>
      <c r="G1442" s="9">
        <v>30.27</v>
      </c>
      <c r="H1442" s="9">
        <v>14.22</v>
      </c>
      <c r="I1442" s="9">
        <v>5.94</v>
      </c>
      <c r="J1442" s="7" t="s">
        <v>325</v>
      </c>
    </row>
    <row r="1443" spans="1:10" x14ac:dyDescent="0.35">
      <c r="A1443" s="7" t="s">
        <v>57</v>
      </c>
      <c r="B1443" s="7" t="s">
        <v>97</v>
      </c>
      <c r="C1443" s="7" t="s">
        <v>48</v>
      </c>
      <c r="D1443" s="9">
        <v>0.02</v>
      </c>
      <c r="E1443" s="9">
        <v>0</v>
      </c>
      <c r="F1443" s="9">
        <v>0.02</v>
      </c>
      <c r="G1443" s="9">
        <v>12.07</v>
      </c>
      <c r="H1443" s="9">
        <v>0.78</v>
      </c>
      <c r="I1443" s="9">
        <v>5.09</v>
      </c>
      <c r="J1443" s="7" t="s">
        <v>325</v>
      </c>
    </row>
    <row r="1444" spans="1:10" x14ac:dyDescent="0.35">
      <c r="A1444" s="7" t="s">
        <v>23</v>
      </c>
      <c r="B1444" s="7" t="s">
        <v>185</v>
      </c>
      <c r="C1444" s="7" t="s">
        <v>113</v>
      </c>
      <c r="D1444" s="9">
        <v>0</v>
      </c>
      <c r="E1444" s="9">
        <v>0</v>
      </c>
      <c r="F1444" s="9">
        <v>0.02</v>
      </c>
      <c r="G1444" s="9">
        <v>0</v>
      </c>
      <c r="H1444" s="9">
        <v>0</v>
      </c>
      <c r="I1444" s="9">
        <v>58.73</v>
      </c>
      <c r="J1444" s="7" t="s">
        <v>325</v>
      </c>
    </row>
    <row r="1445" spans="1:10" x14ac:dyDescent="0.35">
      <c r="A1445" s="7" t="s">
        <v>16</v>
      </c>
      <c r="B1445" s="7" t="s">
        <v>17</v>
      </c>
      <c r="C1445" s="7" t="s">
        <v>150</v>
      </c>
      <c r="D1445" s="9">
        <v>0.12</v>
      </c>
      <c r="E1445" s="9">
        <v>0.06</v>
      </c>
      <c r="F1445" s="9">
        <v>0.02</v>
      </c>
      <c r="G1445" s="9">
        <v>14.25</v>
      </c>
      <c r="H1445" s="9">
        <v>10.050000000000001</v>
      </c>
      <c r="I1445" s="9">
        <v>1.67</v>
      </c>
      <c r="J1445" s="7" t="s">
        <v>325</v>
      </c>
    </row>
    <row r="1446" spans="1:10" x14ac:dyDescent="0.35">
      <c r="A1446" s="7" t="s">
        <v>23</v>
      </c>
      <c r="B1446" s="7" t="s">
        <v>138</v>
      </c>
      <c r="C1446" s="7" t="s">
        <v>48</v>
      </c>
      <c r="D1446" s="9">
        <v>0.08</v>
      </c>
      <c r="E1446" s="9">
        <v>0.17</v>
      </c>
      <c r="F1446" s="9">
        <v>0.02</v>
      </c>
      <c r="G1446" s="9">
        <v>17.82</v>
      </c>
      <c r="H1446" s="9">
        <v>46.52</v>
      </c>
      <c r="I1446" s="9">
        <v>6.54</v>
      </c>
      <c r="J1446" s="7" t="s">
        <v>325</v>
      </c>
    </row>
    <row r="1447" spans="1:10" x14ac:dyDescent="0.35">
      <c r="A1447" s="7" t="s">
        <v>20</v>
      </c>
      <c r="B1447" s="7" t="s">
        <v>56</v>
      </c>
      <c r="C1447" s="7" t="s">
        <v>102</v>
      </c>
      <c r="D1447" s="9">
        <v>0</v>
      </c>
      <c r="E1447" s="9">
        <v>0</v>
      </c>
      <c r="F1447" s="9">
        <v>0.02</v>
      </c>
      <c r="G1447" s="9">
        <v>0</v>
      </c>
      <c r="H1447" s="9">
        <v>0.27</v>
      </c>
      <c r="I1447" s="9">
        <v>7.58</v>
      </c>
      <c r="J1447" s="7" t="s">
        <v>325</v>
      </c>
    </row>
    <row r="1448" spans="1:10" x14ac:dyDescent="0.35">
      <c r="A1448" s="7" t="s">
        <v>40</v>
      </c>
      <c r="B1448" s="7" t="s">
        <v>107</v>
      </c>
      <c r="C1448" s="7" t="s">
        <v>170</v>
      </c>
      <c r="D1448" s="9">
        <v>0.05</v>
      </c>
      <c r="E1448" s="9">
        <v>0.04</v>
      </c>
      <c r="F1448" s="9">
        <v>0.02</v>
      </c>
      <c r="G1448" s="9">
        <v>5.92</v>
      </c>
      <c r="H1448" s="9">
        <v>4.3899999999999997</v>
      </c>
      <c r="I1448" s="9">
        <v>1.69</v>
      </c>
      <c r="J1448" s="7" t="s">
        <v>325</v>
      </c>
    </row>
    <row r="1449" spans="1:10" x14ac:dyDescent="0.35">
      <c r="A1449" s="7" t="s">
        <v>16</v>
      </c>
      <c r="B1449" s="7" t="s">
        <v>17</v>
      </c>
      <c r="C1449" s="7" t="s">
        <v>125</v>
      </c>
      <c r="D1449" s="9">
        <v>0</v>
      </c>
      <c r="E1449" s="9">
        <v>0</v>
      </c>
      <c r="F1449" s="9">
        <v>0.01</v>
      </c>
      <c r="G1449" s="9">
        <v>0</v>
      </c>
      <c r="H1449" s="9">
        <v>0</v>
      </c>
      <c r="I1449" s="9">
        <v>4.0199999999999996</v>
      </c>
      <c r="J1449" s="7" t="s">
        <v>325</v>
      </c>
    </row>
    <row r="1450" spans="1:10" x14ac:dyDescent="0.35">
      <c r="A1450" s="7" t="s">
        <v>159</v>
      </c>
      <c r="B1450" s="7" t="s">
        <v>160</v>
      </c>
      <c r="C1450" s="7" t="s">
        <v>83</v>
      </c>
      <c r="D1450" s="9">
        <v>0.01</v>
      </c>
      <c r="E1450" s="9">
        <v>0.04</v>
      </c>
      <c r="F1450" s="9">
        <v>0.01</v>
      </c>
      <c r="G1450" s="9">
        <v>3.26</v>
      </c>
      <c r="H1450" s="9">
        <v>35.01</v>
      </c>
      <c r="I1450" s="9">
        <v>12.87</v>
      </c>
      <c r="J1450" s="7" t="s">
        <v>325</v>
      </c>
    </row>
    <row r="1451" spans="1:10" ht="26.25" customHeight="1" x14ac:dyDescent="0.35">
      <c r="A1451" s="7" t="s">
        <v>20</v>
      </c>
      <c r="B1451" s="7" t="s">
        <v>134</v>
      </c>
      <c r="C1451" s="7" t="s">
        <v>81</v>
      </c>
      <c r="D1451" s="9">
        <v>0</v>
      </c>
      <c r="E1451" s="9">
        <v>0</v>
      </c>
      <c r="F1451" s="9">
        <v>0.01</v>
      </c>
      <c r="G1451" s="9">
        <v>0</v>
      </c>
      <c r="H1451" s="9">
        <v>0</v>
      </c>
      <c r="I1451" s="9">
        <v>28.8</v>
      </c>
      <c r="J1451" s="7" t="s">
        <v>325</v>
      </c>
    </row>
    <row r="1452" spans="1:10" x14ac:dyDescent="0.35">
      <c r="A1452" s="7" t="s">
        <v>20</v>
      </c>
      <c r="B1452" s="7" t="s">
        <v>82</v>
      </c>
      <c r="C1452" s="7" t="s">
        <v>53</v>
      </c>
      <c r="D1452" s="9">
        <v>0.02</v>
      </c>
      <c r="E1452" s="9">
        <v>0.02</v>
      </c>
      <c r="F1452" s="9">
        <v>0.01</v>
      </c>
      <c r="G1452" s="9">
        <v>11.61</v>
      </c>
      <c r="H1452" s="9">
        <v>9.35</v>
      </c>
      <c r="I1452" s="9">
        <v>7.02</v>
      </c>
      <c r="J1452" s="7" t="s">
        <v>325</v>
      </c>
    </row>
    <row r="1453" spans="1:10" x14ac:dyDescent="0.35">
      <c r="A1453" s="7" t="s">
        <v>231</v>
      </c>
      <c r="B1453" s="7" t="s">
        <v>236</v>
      </c>
      <c r="C1453" s="7" t="s">
        <v>48</v>
      </c>
      <c r="D1453" s="9">
        <v>0.06</v>
      </c>
      <c r="E1453" s="9">
        <v>0.1</v>
      </c>
      <c r="F1453" s="9">
        <v>0.01</v>
      </c>
      <c r="G1453" s="9">
        <v>11.13</v>
      </c>
      <c r="H1453" s="9">
        <v>31.27</v>
      </c>
      <c r="I1453" s="9">
        <v>4.7</v>
      </c>
      <c r="J1453" s="7" t="s">
        <v>325</v>
      </c>
    </row>
    <row r="1454" spans="1:10" x14ac:dyDescent="0.35">
      <c r="A1454" s="7" t="s">
        <v>40</v>
      </c>
      <c r="B1454" s="7" t="s">
        <v>117</v>
      </c>
      <c r="C1454" s="7" t="s">
        <v>60</v>
      </c>
      <c r="D1454" s="9">
        <v>0.3</v>
      </c>
      <c r="E1454" s="9">
        <v>0.04</v>
      </c>
      <c r="F1454" s="9">
        <v>0.01</v>
      </c>
      <c r="G1454" s="9">
        <v>407.12</v>
      </c>
      <c r="H1454" s="9">
        <v>42.35</v>
      </c>
      <c r="I1454" s="9">
        <v>18.559999999999999</v>
      </c>
      <c r="J1454" s="7" t="s">
        <v>325</v>
      </c>
    </row>
    <row r="1455" spans="1:10" x14ac:dyDescent="0.35">
      <c r="A1455" s="7" t="s">
        <v>77</v>
      </c>
      <c r="B1455" s="7" t="s">
        <v>78</v>
      </c>
      <c r="C1455" s="7" t="s">
        <v>221</v>
      </c>
      <c r="D1455" s="9">
        <v>0.08</v>
      </c>
      <c r="E1455" s="9">
        <v>0</v>
      </c>
      <c r="F1455" s="9">
        <v>0.01</v>
      </c>
      <c r="G1455" s="9">
        <v>2.75</v>
      </c>
      <c r="H1455" s="9">
        <v>0</v>
      </c>
      <c r="I1455" s="9">
        <v>4.08</v>
      </c>
      <c r="J1455" s="7" t="s">
        <v>325</v>
      </c>
    </row>
    <row r="1456" spans="1:10" x14ac:dyDescent="0.35">
      <c r="A1456" s="7" t="s">
        <v>40</v>
      </c>
      <c r="B1456" s="7" t="s">
        <v>107</v>
      </c>
      <c r="C1456" s="7" t="s">
        <v>60</v>
      </c>
      <c r="D1456" s="9">
        <v>0</v>
      </c>
      <c r="E1456" s="9">
        <v>0.01</v>
      </c>
      <c r="F1456" s="9">
        <v>0.01</v>
      </c>
      <c r="G1456" s="9">
        <v>0</v>
      </c>
      <c r="H1456" s="9">
        <v>17.399999999999999</v>
      </c>
      <c r="I1456" s="9">
        <v>23.4</v>
      </c>
      <c r="J1456" s="7" t="s">
        <v>325</v>
      </c>
    </row>
    <row r="1457" spans="1:10" x14ac:dyDescent="0.35">
      <c r="A1457" s="7" t="s">
        <v>49</v>
      </c>
      <c r="B1457" s="7" t="s">
        <v>233</v>
      </c>
      <c r="C1457" s="7" t="s">
        <v>45</v>
      </c>
      <c r="D1457" s="9">
        <v>0</v>
      </c>
      <c r="E1457" s="9">
        <v>0</v>
      </c>
      <c r="F1457" s="9">
        <v>0.01</v>
      </c>
      <c r="G1457" s="9">
        <v>0</v>
      </c>
      <c r="H1457" s="9">
        <v>0</v>
      </c>
      <c r="I1457" s="9">
        <v>8.16</v>
      </c>
      <c r="J1457" s="7" t="s">
        <v>325</v>
      </c>
    </row>
    <row r="1458" spans="1:10" x14ac:dyDescent="0.35">
      <c r="A1458" s="7" t="s">
        <v>66</v>
      </c>
      <c r="B1458" s="7" t="s">
        <v>100</v>
      </c>
      <c r="C1458" s="7" t="s">
        <v>42</v>
      </c>
      <c r="D1458" s="9">
        <v>0</v>
      </c>
      <c r="E1458" s="9">
        <v>0</v>
      </c>
      <c r="F1458" s="9">
        <v>0.01</v>
      </c>
      <c r="G1458" s="9">
        <v>0</v>
      </c>
      <c r="H1458" s="9">
        <v>0.2</v>
      </c>
      <c r="I1458" s="9">
        <v>8.3000000000000007</v>
      </c>
      <c r="J1458" s="7" t="s">
        <v>325</v>
      </c>
    </row>
    <row r="1459" spans="1:10" x14ac:dyDescent="0.35">
      <c r="A1459" s="7" t="s">
        <v>159</v>
      </c>
      <c r="B1459" s="7" t="s">
        <v>160</v>
      </c>
      <c r="C1459" s="7" t="s">
        <v>76</v>
      </c>
      <c r="D1459" s="9">
        <v>0</v>
      </c>
      <c r="E1459" s="9">
        <v>0.03</v>
      </c>
      <c r="F1459" s="9">
        <v>0.01</v>
      </c>
      <c r="G1459" s="9">
        <v>1.76</v>
      </c>
      <c r="H1459" s="9">
        <v>39.44</v>
      </c>
      <c r="I1459" s="9">
        <v>23.42</v>
      </c>
      <c r="J1459" s="7" t="s">
        <v>325</v>
      </c>
    </row>
    <row r="1460" spans="1:10" x14ac:dyDescent="0.35">
      <c r="A1460" s="7" t="s">
        <v>31</v>
      </c>
      <c r="B1460" s="7" t="s">
        <v>32</v>
      </c>
      <c r="C1460" s="7" t="s">
        <v>84</v>
      </c>
      <c r="D1460" s="9">
        <v>0</v>
      </c>
      <c r="E1460" s="9">
        <v>0.01</v>
      </c>
      <c r="F1460" s="9">
        <v>0.01</v>
      </c>
      <c r="G1460" s="9">
        <v>0.3</v>
      </c>
      <c r="H1460" s="9">
        <v>0.65</v>
      </c>
      <c r="I1460" s="9">
        <v>1.29</v>
      </c>
      <c r="J1460" s="7" t="s">
        <v>325</v>
      </c>
    </row>
    <row r="1461" spans="1:10" x14ac:dyDescent="0.35">
      <c r="A1461" s="7" t="s">
        <v>23</v>
      </c>
      <c r="B1461" s="7" t="s">
        <v>44</v>
      </c>
      <c r="C1461" s="7" t="s">
        <v>45</v>
      </c>
      <c r="D1461" s="9">
        <v>0.05</v>
      </c>
      <c r="E1461" s="9">
        <v>0.05</v>
      </c>
      <c r="F1461" s="9">
        <v>0.01</v>
      </c>
      <c r="G1461" s="9">
        <v>9.26</v>
      </c>
      <c r="H1461" s="9">
        <v>10.220000000000001</v>
      </c>
      <c r="I1461" s="9">
        <v>4.46</v>
      </c>
      <c r="J1461" s="7" t="s">
        <v>325</v>
      </c>
    </row>
    <row r="1462" spans="1:10" x14ac:dyDescent="0.35">
      <c r="A1462" s="7" t="s">
        <v>31</v>
      </c>
      <c r="B1462" s="7" t="s">
        <v>131</v>
      </c>
      <c r="C1462" s="7" t="s">
        <v>150</v>
      </c>
      <c r="D1462" s="9">
        <v>0</v>
      </c>
      <c r="E1462" s="9">
        <v>0.02</v>
      </c>
      <c r="F1462" s="9">
        <v>0.01</v>
      </c>
      <c r="G1462" s="9">
        <v>0.63</v>
      </c>
      <c r="H1462" s="9">
        <v>8.6999999999999993</v>
      </c>
      <c r="I1462" s="9">
        <v>3.57</v>
      </c>
      <c r="J1462" s="7" t="s">
        <v>325</v>
      </c>
    </row>
    <row r="1463" spans="1:10" x14ac:dyDescent="0.35">
      <c r="A1463" s="7" t="s">
        <v>86</v>
      </c>
      <c r="B1463" s="7" t="s">
        <v>207</v>
      </c>
      <c r="C1463" s="7" t="s">
        <v>54</v>
      </c>
      <c r="D1463" s="9">
        <v>0.04</v>
      </c>
      <c r="E1463" s="9">
        <v>0.08</v>
      </c>
      <c r="F1463" s="9">
        <v>0.01</v>
      </c>
      <c r="G1463" s="9">
        <v>12.45</v>
      </c>
      <c r="H1463" s="9">
        <v>21.68</v>
      </c>
      <c r="I1463" s="9">
        <v>3.57</v>
      </c>
      <c r="J1463" s="7" t="s">
        <v>325</v>
      </c>
    </row>
    <row r="1464" spans="1:10" x14ac:dyDescent="0.35">
      <c r="A1464" s="7" t="s">
        <v>49</v>
      </c>
      <c r="B1464" s="7" t="s">
        <v>121</v>
      </c>
      <c r="C1464" s="7" t="s">
        <v>126</v>
      </c>
      <c r="D1464" s="9">
        <v>0.01</v>
      </c>
      <c r="E1464" s="9">
        <v>0.02</v>
      </c>
      <c r="F1464" s="9">
        <v>0.01</v>
      </c>
      <c r="G1464" s="9">
        <v>6.55</v>
      </c>
      <c r="H1464" s="9">
        <v>10.3</v>
      </c>
      <c r="I1464" s="9">
        <v>5.99</v>
      </c>
      <c r="J1464" s="7" t="s">
        <v>325</v>
      </c>
    </row>
    <row r="1465" spans="1:10" x14ac:dyDescent="0.35">
      <c r="A1465" s="7" t="s">
        <v>40</v>
      </c>
      <c r="B1465" s="7" t="s">
        <v>220</v>
      </c>
      <c r="C1465" s="7" t="s">
        <v>33</v>
      </c>
      <c r="D1465" s="9">
        <v>0.01</v>
      </c>
      <c r="E1465" s="9">
        <v>0.08</v>
      </c>
      <c r="F1465" s="9">
        <v>0.01</v>
      </c>
      <c r="G1465" s="9">
        <v>6.73</v>
      </c>
      <c r="H1465" s="9">
        <v>52.73</v>
      </c>
      <c r="I1465" s="9">
        <v>8.41</v>
      </c>
      <c r="J1465" s="7" t="s">
        <v>325</v>
      </c>
    </row>
    <row r="1466" spans="1:10" x14ac:dyDescent="0.35">
      <c r="A1466" s="7" t="s">
        <v>23</v>
      </c>
      <c r="B1466" s="7" t="s">
        <v>44</v>
      </c>
      <c r="C1466" s="7" t="s">
        <v>144</v>
      </c>
      <c r="D1466" s="9">
        <v>0.02</v>
      </c>
      <c r="E1466" s="9">
        <v>0.04</v>
      </c>
      <c r="F1466" s="9">
        <v>0.01</v>
      </c>
      <c r="G1466" s="9">
        <v>12.9</v>
      </c>
      <c r="H1466" s="9">
        <v>21.08</v>
      </c>
      <c r="I1466" s="9">
        <v>10.8</v>
      </c>
      <c r="J1466" s="7" t="s">
        <v>325</v>
      </c>
    </row>
    <row r="1467" spans="1:10" x14ac:dyDescent="0.35">
      <c r="A1467" s="7" t="s">
        <v>16</v>
      </c>
      <c r="B1467" s="7" t="s">
        <v>17</v>
      </c>
      <c r="C1467" s="7" t="s">
        <v>60</v>
      </c>
      <c r="D1467" s="9">
        <v>0.45</v>
      </c>
      <c r="E1467" s="9">
        <v>0.27</v>
      </c>
      <c r="F1467" s="9">
        <v>0.01</v>
      </c>
      <c r="G1467" s="9">
        <v>214.17</v>
      </c>
      <c r="H1467" s="9">
        <v>154.22999999999999</v>
      </c>
      <c r="I1467" s="9">
        <v>9.9</v>
      </c>
      <c r="J1467" s="7" t="s">
        <v>325</v>
      </c>
    </row>
    <row r="1468" spans="1:10" x14ac:dyDescent="0.35">
      <c r="A1468" s="7" t="s">
        <v>86</v>
      </c>
      <c r="B1468" s="7" t="s">
        <v>106</v>
      </c>
      <c r="C1468" s="7" t="s">
        <v>144</v>
      </c>
      <c r="D1468" s="9">
        <v>0.04</v>
      </c>
      <c r="E1468" s="9">
        <v>0.08</v>
      </c>
      <c r="F1468" s="9">
        <v>0.01</v>
      </c>
      <c r="G1468" s="9">
        <v>52.24</v>
      </c>
      <c r="H1468" s="9">
        <v>118.11</v>
      </c>
      <c r="I1468" s="9">
        <v>20.11</v>
      </c>
      <c r="J1468" s="7" t="s">
        <v>325</v>
      </c>
    </row>
    <row r="1469" spans="1:10" x14ac:dyDescent="0.35">
      <c r="A1469" s="7" t="s">
        <v>40</v>
      </c>
      <c r="B1469" s="7" t="s">
        <v>220</v>
      </c>
      <c r="C1469" s="7" t="s">
        <v>59</v>
      </c>
      <c r="D1469" s="9">
        <v>0</v>
      </c>
      <c r="E1469" s="9">
        <v>0.02</v>
      </c>
      <c r="F1469" s="9">
        <v>0.01</v>
      </c>
      <c r="G1469" s="9">
        <v>0</v>
      </c>
      <c r="H1469" s="9">
        <v>4.8600000000000003</v>
      </c>
      <c r="I1469" s="9">
        <v>4.09</v>
      </c>
      <c r="J1469" s="7" t="s">
        <v>325</v>
      </c>
    </row>
    <row r="1470" spans="1:10" x14ac:dyDescent="0.35">
      <c r="A1470" s="7" t="s">
        <v>79</v>
      </c>
      <c r="B1470" s="7" t="s">
        <v>91</v>
      </c>
      <c r="C1470" s="7" t="s">
        <v>144</v>
      </c>
      <c r="D1470" s="9">
        <v>0.08</v>
      </c>
      <c r="E1470" s="9">
        <v>0.08</v>
      </c>
      <c r="F1470" s="9">
        <v>0.01</v>
      </c>
      <c r="G1470" s="9">
        <v>157.38</v>
      </c>
      <c r="H1470" s="9">
        <v>138.38</v>
      </c>
      <c r="I1470" s="9">
        <v>26.28</v>
      </c>
      <c r="J1470" s="7" t="s">
        <v>325</v>
      </c>
    </row>
    <row r="1471" spans="1:10" x14ac:dyDescent="0.35">
      <c r="A1471" s="7" t="s">
        <v>86</v>
      </c>
      <c r="B1471" s="7" t="s">
        <v>87</v>
      </c>
      <c r="C1471" s="7" t="s">
        <v>27</v>
      </c>
      <c r="D1471" s="9">
        <v>0.02</v>
      </c>
      <c r="E1471" s="9">
        <v>0.03</v>
      </c>
      <c r="F1471" s="9">
        <v>0.01</v>
      </c>
      <c r="G1471" s="9">
        <v>23.99</v>
      </c>
      <c r="H1471" s="9">
        <v>42.27</v>
      </c>
      <c r="I1471" s="9">
        <v>13.02</v>
      </c>
      <c r="J1471" s="7" t="s">
        <v>325</v>
      </c>
    </row>
    <row r="1472" spans="1:10" x14ac:dyDescent="0.35">
      <c r="A1472" s="7" t="s">
        <v>94</v>
      </c>
      <c r="B1472" s="7" t="s">
        <v>184</v>
      </c>
      <c r="C1472" s="7" t="s">
        <v>45</v>
      </c>
      <c r="D1472" s="9">
        <v>0.21</v>
      </c>
      <c r="E1472" s="9">
        <v>7.0000000000000007E-2</v>
      </c>
      <c r="F1472" s="9">
        <v>0.01</v>
      </c>
      <c r="G1472" s="9">
        <v>464.09</v>
      </c>
      <c r="H1472" s="9">
        <v>170.29</v>
      </c>
      <c r="I1472" s="9">
        <v>65.930000000000007</v>
      </c>
      <c r="J1472" s="7" t="s">
        <v>325</v>
      </c>
    </row>
    <row r="1473" spans="1:10" x14ac:dyDescent="0.35">
      <c r="A1473" s="7" t="s">
        <v>79</v>
      </c>
      <c r="B1473" s="7" t="s">
        <v>80</v>
      </c>
      <c r="C1473" s="7" t="s">
        <v>59</v>
      </c>
      <c r="D1473" s="9">
        <v>0.14000000000000001</v>
      </c>
      <c r="E1473" s="9">
        <v>0.09</v>
      </c>
      <c r="F1473" s="9">
        <v>0.01</v>
      </c>
      <c r="G1473" s="9">
        <v>42.59</v>
      </c>
      <c r="H1473" s="9">
        <v>7.54</v>
      </c>
      <c r="I1473" s="9">
        <v>1.39</v>
      </c>
      <c r="J1473" s="7" t="s">
        <v>325</v>
      </c>
    </row>
    <row r="1474" spans="1:10" x14ac:dyDescent="0.35">
      <c r="A1474" s="7" t="s">
        <v>77</v>
      </c>
      <c r="B1474" s="7" t="s">
        <v>132</v>
      </c>
      <c r="C1474" s="7" t="s">
        <v>55</v>
      </c>
      <c r="D1474" s="9">
        <v>0.04</v>
      </c>
      <c r="E1474" s="9">
        <v>0</v>
      </c>
      <c r="F1474" s="9">
        <v>0.01</v>
      </c>
      <c r="G1474" s="9">
        <v>26.68</v>
      </c>
      <c r="H1474" s="9">
        <v>2.2000000000000002</v>
      </c>
      <c r="I1474" s="9">
        <v>18.41</v>
      </c>
      <c r="J1474" s="7" t="s">
        <v>325</v>
      </c>
    </row>
    <row r="1475" spans="1:10" x14ac:dyDescent="0.35">
      <c r="A1475" s="7" t="s">
        <v>94</v>
      </c>
      <c r="B1475" s="7" t="s">
        <v>188</v>
      </c>
      <c r="C1475" s="7" t="s">
        <v>48</v>
      </c>
      <c r="D1475" s="9">
        <v>0.11</v>
      </c>
      <c r="E1475" s="9">
        <v>0.04</v>
      </c>
      <c r="F1475" s="9">
        <v>0.01</v>
      </c>
      <c r="G1475" s="9">
        <v>112.28</v>
      </c>
      <c r="H1475" s="9">
        <v>47.97</v>
      </c>
      <c r="I1475" s="9">
        <v>15.46</v>
      </c>
      <c r="J1475" s="7" t="s">
        <v>325</v>
      </c>
    </row>
    <row r="1476" spans="1:10" x14ac:dyDescent="0.35">
      <c r="A1476" s="7" t="s">
        <v>16</v>
      </c>
      <c r="B1476" s="7" t="s">
        <v>52</v>
      </c>
      <c r="C1476" s="7" t="s">
        <v>72</v>
      </c>
      <c r="D1476" s="9">
        <v>0.01</v>
      </c>
      <c r="E1476" s="9">
        <v>0.08</v>
      </c>
      <c r="F1476" s="9">
        <v>0.01</v>
      </c>
      <c r="G1476" s="9">
        <v>1.21</v>
      </c>
      <c r="H1476" s="9">
        <v>19.399999999999999</v>
      </c>
      <c r="I1476" s="9">
        <v>2.4</v>
      </c>
      <c r="J1476" s="7" t="s">
        <v>325</v>
      </c>
    </row>
    <row r="1477" spans="1:10" x14ac:dyDescent="0.35">
      <c r="A1477" s="7" t="s">
        <v>23</v>
      </c>
      <c r="B1477" s="7" t="s">
        <v>136</v>
      </c>
      <c r="C1477" s="7" t="s">
        <v>65</v>
      </c>
      <c r="D1477" s="9">
        <v>0.03</v>
      </c>
      <c r="E1477" s="9">
        <v>0.06</v>
      </c>
      <c r="F1477" s="9">
        <v>0.01</v>
      </c>
      <c r="G1477" s="9">
        <v>19.39</v>
      </c>
      <c r="H1477" s="9">
        <v>36.590000000000003</v>
      </c>
      <c r="I1477" s="9">
        <v>9.81</v>
      </c>
      <c r="J1477" s="7" t="s">
        <v>325</v>
      </c>
    </row>
    <row r="1478" spans="1:10" x14ac:dyDescent="0.35">
      <c r="A1478" s="7" t="s">
        <v>23</v>
      </c>
      <c r="B1478" s="7" t="s">
        <v>44</v>
      </c>
      <c r="C1478" s="7" t="s">
        <v>151</v>
      </c>
      <c r="D1478" s="9">
        <v>0.01</v>
      </c>
      <c r="E1478" s="9">
        <v>0</v>
      </c>
      <c r="F1478" s="9">
        <v>0.01</v>
      </c>
      <c r="G1478" s="9">
        <v>4.33</v>
      </c>
      <c r="H1478" s="9">
        <v>1.71</v>
      </c>
      <c r="I1478" s="9">
        <v>6.38</v>
      </c>
      <c r="J1478" s="7" t="s">
        <v>325</v>
      </c>
    </row>
    <row r="1479" spans="1:10" x14ac:dyDescent="0.35">
      <c r="A1479" s="7" t="s">
        <v>35</v>
      </c>
      <c r="B1479" s="7" t="s">
        <v>36</v>
      </c>
      <c r="C1479" s="7" t="s">
        <v>33</v>
      </c>
      <c r="D1479" s="9">
        <v>0.74</v>
      </c>
      <c r="E1479" s="9">
        <v>0.2</v>
      </c>
      <c r="F1479" s="9">
        <v>0.01</v>
      </c>
      <c r="G1479" s="9">
        <v>632.45000000000005</v>
      </c>
      <c r="H1479" s="9">
        <v>148.32</v>
      </c>
      <c r="I1479" s="9">
        <v>12.04</v>
      </c>
      <c r="J1479" s="7" t="s">
        <v>325</v>
      </c>
    </row>
    <row r="1480" spans="1:10" x14ac:dyDescent="0.35">
      <c r="A1480" s="7" t="s">
        <v>57</v>
      </c>
      <c r="B1480" s="7" t="s">
        <v>225</v>
      </c>
      <c r="C1480" s="7" t="s">
        <v>53</v>
      </c>
      <c r="D1480" s="9">
        <v>0.09</v>
      </c>
      <c r="E1480" s="9">
        <v>0.03</v>
      </c>
      <c r="F1480" s="9">
        <v>0.01</v>
      </c>
      <c r="G1480" s="9">
        <v>1.35</v>
      </c>
      <c r="H1480" s="9">
        <v>1.66</v>
      </c>
      <c r="I1480" s="9">
        <v>2.35</v>
      </c>
      <c r="J1480" s="7" t="s">
        <v>325</v>
      </c>
    </row>
    <row r="1481" spans="1:10" x14ac:dyDescent="0.35">
      <c r="A1481" s="7" t="s">
        <v>166</v>
      </c>
      <c r="B1481" s="7" t="s">
        <v>248</v>
      </c>
      <c r="C1481" s="7" t="s">
        <v>45</v>
      </c>
      <c r="D1481" s="9">
        <v>0.11</v>
      </c>
      <c r="E1481" s="9">
        <v>0.23</v>
      </c>
      <c r="F1481" s="9">
        <v>0.01</v>
      </c>
      <c r="G1481" s="9">
        <v>58.52</v>
      </c>
      <c r="H1481" s="9">
        <v>112.16</v>
      </c>
      <c r="I1481" s="9">
        <v>6.89</v>
      </c>
      <c r="J1481" s="7" t="s">
        <v>325</v>
      </c>
    </row>
    <row r="1482" spans="1:10" x14ac:dyDescent="0.35">
      <c r="A1482" s="7" t="s">
        <v>94</v>
      </c>
      <c r="B1482" s="7" t="s">
        <v>95</v>
      </c>
      <c r="C1482" s="7" t="s">
        <v>170</v>
      </c>
      <c r="D1482" s="9">
        <v>0.02</v>
      </c>
      <c r="E1482" s="9">
        <v>0.05</v>
      </c>
      <c r="F1482" s="9">
        <v>0.01</v>
      </c>
      <c r="G1482" s="9">
        <v>36.69</v>
      </c>
      <c r="H1482" s="9">
        <v>94.42</v>
      </c>
      <c r="I1482" s="9">
        <v>31.76</v>
      </c>
      <c r="J1482" s="7" t="s">
        <v>325</v>
      </c>
    </row>
    <row r="1483" spans="1:10" x14ac:dyDescent="0.35">
      <c r="A1483" s="7" t="s">
        <v>40</v>
      </c>
      <c r="B1483" s="7" t="s">
        <v>241</v>
      </c>
      <c r="C1483" s="7" t="s">
        <v>54</v>
      </c>
      <c r="D1483" s="9">
        <v>0.01</v>
      </c>
      <c r="E1483" s="9">
        <v>0.05</v>
      </c>
      <c r="F1483" s="9">
        <v>0.01</v>
      </c>
      <c r="G1483" s="9">
        <v>4.1500000000000004</v>
      </c>
      <c r="H1483" s="9">
        <v>43.45</v>
      </c>
      <c r="I1483" s="9">
        <v>17.77</v>
      </c>
      <c r="J1483" s="7" t="s">
        <v>325</v>
      </c>
    </row>
    <row r="1484" spans="1:10" x14ac:dyDescent="0.35">
      <c r="A1484" s="7" t="s">
        <v>31</v>
      </c>
      <c r="B1484" s="7" t="s">
        <v>131</v>
      </c>
      <c r="C1484" s="7" t="s">
        <v>126</v>
      </c>
      <c r="D1484" s="9">
        <v>0.01</v>
      </c>
      <c r="E1484" s="9">
        <v>0.03</v>
      </c>
      <c r="F1484" s="9">
        <v>0.01</v>
      </c>
      <c r="G1484" s="9">
        <v>21.42</v>
      </c>
      <c r="H1484" s="9">
        <v>35.119999999999997</v>
      </c>
      <c r="I1484" s="9">
        <v>16.77</v>
      </c>
      <c r="J1484" s="7" t="s">
        <v>325</v>
      </c>
    </row>
    <row r="1485" spans="1:10" x14ac:dyDescent="0.35">
      <c r="A1485" s="7" t="s">
        <v>16</v>
      </c>
      <c r="B1485" s="7" t="s">
        <v>109</v>
      </c>
      <c r="C1485" s="7" t="s">
        <v>170</v>
      </c>
      <c r="D1485" s="9">
        <v>0.01</v>
      </c>
      <c r="E1485" s="9">
        <v>0.05</v>
      </c>
      <c r="F1485" s="9">
        <v>0.01</v>
      </c>
      <c r="G1485" s="9">
        <v>1.04</v>
      </c>
      <c r="H1485" s="9">
        <v>8.34</v>
      </c>
      <c r="I1485" s="9">
        <v>1.8</v>
      </c>
      <c r="J1485" s="7" t="s">
        <v>325</v>
      </c>
    </row>
    <row r="1486" spans="1:10" x14ac:dyDescent="0.35">
      <c r="A1486" s="7" t="s">
        <v>77</v>
      </c>
      <c r="B1486" s="7" t="s">
        <v>168</v>
      </c>
      <c r="C1486" s="7" t="s">
        <v>39</v>
      </c>
      <c r="D1486" s="9">
        <v>0.01</v>
      </c>
      <c r="E1486" s="9">
        <v>0.02</v>
      </c>
      <c r="F1486" s="9">
        <v>0.01</v>
      </c>
      <c r="G1486" s="9">
        <v>2.5299999999999998</v>
      </c>
      <c r="H1486" s="9">
        <v>6.31</v>
      </c>
      <c r="I1486" s="9">
        <v>2.98</v>
      </c>
      <c r="J1486" s="7" t="s">
        <v>325</v>
      </c>
    </row>
    <row r="1487" spans="1:10" x14ac:dyDescent="0.35">
      <c r="A1487" s="7" t="s">
        <v>23</v>
      </c>
      <c r="B1487" s="7" t="s">
        <v>30</v>
      </c>
      <c r="C1487" s="7" t="s">
        <v>51</v>
      </c>
      <c r="D1487" s="9">
        <v>0.03</v>
      </c>
      <c r="E1487" s="9">
        <v>0.02</v>
      </c>
      <c r="F1487" s="9">
        <v>0.01</v>
      </c>
      <c r="G1487" s="9">
        <v>12.5</v>
      </c>
      <c r="H1487" s="9">
        <v>6.61</v>
      </c>
      <c r="I1487" s="9">
        <v>4.72</v>
      </c>
      <c r="J1487" s="7" t="s">
        <v>325</v>
      </c>
    </row>
    <row r="1488" spans="1:10" x14ac:dyDescent="0.35">
      <c r="A1488" s="7" t="s">
        <v>16</v>
      </c>
      <c r="B1488" s="7" t="s">
        <v>52</v>
      </c>
      <c r="C1488" s="7" t="s">
        <v>55</v>
      </c>
      <c r="D1488" s="9">
        <v>0.44</v>
      </c>
      <c r="E1488" s="9">
        <v>0.2</v>
      </c>
      <c r="F1488" s="9">
        <v>0.01</v>
      </c>
      <c r="G1488" s="8">
        <v>1408.58</v>
      </c>
      <c r="H1488" s="9">
        <v>581.95000000000005</v>
      </c>
      <c r="I1488" s="9">
        <v>58.5</v>
      </c>
      <c r="J1488" s="7" t="s">
        <v>325</v>
      </c>
    </row>
    <row r="1489" spans="1:10" x14ac:dyDescent="0.35">
      <c r="A1489" s="7" t="s">
        <v>79</v>
      </c>
      <c r="B1489" s="7" t="s">
        <v>80</v>
      </c>
      <c r="C1489" s="7" t="s">
        <v>150</v>
      </c>
      <c r="D1489" s="9">
        <v>0</v>
      </c>
      <c r="E1489" s="9">
        <v>0.01</v>
      </c>
      <c r="F1489" s="9">
        <v>0.01</v>
      </c>
      <c r="G1489" s="9">
        <v>0</v>
      </c>
      <c r="H1489" s="9">
        <v>1.94</v>
      </c>
      <c r="I1489" s="9">
        <v>1.53</v>
      </c>
      <c r="J1489" s="7" t="s">
        <v>325</v>
      </c>
    </row>
    <row r="1490" spans="1:10" x14ac:dyDescent="0.35">
      <c r="A1490" s="7" t="s">
        <v>16</v>
      </c>
      <c r="B1490" s="7" t="s">
        <v>115</v>
      </c>
      <c r="C1490" s="7" t="s">
        <v>181</v>
      </c>
      <c r="D1490" s="9">
        <v>0</v>
      </c>
      <c r="E1490" s="9">
        <v>0.01</v>
      </c>
      <c r="F1490" s="9">
        <v>0.01</v>
      </c>
      <c r="G1490" s="9">
        <v>0</v>
      </c>
      <c r="H1490" s="9">
        <v>0.56000000000000005</v>
      </c>
      <c r="I1490" s="9">
        <v>1.02</v>
      </c>
      <c r="J1490" s="7" t="s">
        <v>325</v>
      </c>
    </row>
    <row r="1491" spans="1:10" x14ac:dyDescent="0.35">
      <c r="A1491" s="7" t="s">
        <v>20</v>
      </c>
      <c r="B1491" s="7" t="s">
        <v>68</v>
      </c>
      <c r="C1491" s="7" t="s">
        <v>150</v>
      </c>
      <c r="D1491" s="9">
        <v>0.21</v>
      </c>
      <c r="E1491" s="9">
        <v>0.1</v>
      </c>
      <c r="F1491" s="9">
        <v>0.01</v>
      </c>
      <c r="G1491" s="9">
        <v>8.39</v>
      </c>
      <c r="H1491" s="9">
        <v>5.79</v>
      </c>
      <c r="I1491" s="9">
        <v>0.61</v>
      </c>
      <c r="J1491" s="7" t="s">
        <v>325</v>
      </c>
    </row>
    <row r="1492" spans="1:10" x14ac:dyDescent="0.35">
      <c r="A1492" s="7" t="s">
        <v>20</v>
      </c>
      <c r="B1492" s="7" t="s">
        <v>145</v>
      </c>
      <c r="C1492" s="7" t="s">
        <v>18</v>
      </c>
      <c r="D1492" s="9">
        <v>0</v>
      </c>
      <c r="E1492" s="9">
        <v>0</v>
      </c>
      <c r="F1492" s="9">
        <v>0.01</v>
      </c>
      <c r="G1492" s="9">
        <v>0</v>
      </c>
      <c r="H1492" s="9">
        <v>0</v>
      </c>
      <c r="I1492" s="9">
        <v>9.25</v>
      </c>
      <c r="J1492" s="7" t="s">
        <v>325</v>
      </c>
    </row>
    <row r="1493" spans="1:10" x14ac:dyDescent="0.35">
      <c r="A1493" s="7" t="s">
        <v>20</v>
      </c>
      <c r="B1493" s="7" t="s">
        <v>68</v>
      </c>
      <c r="C1493" s="7" t="s">
        <v>174</v>
      </c>
      <c r="D1493" s="9">
        <v>0.08</v>
      </c>
      <c r="E1493" s="9">
        <v>0.06</v>
      </c>
      <c r="F1493" s="9">
        <v>0.01</v>
      </c>
      <c r="G1493" s="9">
        <v>1.83</v>
      </c>
      <c r="H1493" s="9">
        <v>3</v>
      </c>
      <c r="I1493" s="9">
        <v>0.71</v>
      </c>
      <c r="J1493" s="7" t="s">
        <v>325</v>
      </c>
    </row>
    <row r="1494" spans="1:10" x14ac:dyDescent="0.35">
      <c r="A1494" s="7" t="s">
        <v>35</v>
      </c>
      <c r="B1494" s="7" t="s">
        <v>165</v>
      </c>
      <c r="C1494" s="7" t="s">
        <v>144</v>
      </c>
      <c r="D1494" s="9">
        <v>0.01</v>
      </c>
      <c r="E1494" s="9">
        <v>0.01</v>
      </c>
      <c r="F1494" s="9">
        <v>0.01</v>
      </c>
      <c r="G1494" s="9">
        <v>20.64</v>
      </c>
      <c r="H1494" s="9">
        <v>5.57</v>
      </c>
      <c r="I1494" s="9">
        <v>13.52</v>
      </c>
      <c r="J1494" s="7" t="s">
        <v>325</v>
      </c>
    </row>
    <row r="1495" spans="1:10" x14ac:dyDescent="0.35">
      <c r="A1495" s="7" t="s">
        <v>94</v>
      </c>
      <c r="B1495" s="7" t="s">
        <v>95</v>
      </c>
      <c r="C1495" s="7" t="s">
        <v>150</v>
      </c>
      <c r="D1495" s="9">
        <v>0.04</v>
      </c>
      <c r="E1495" s="9">
        <v>0.02</v>
      </c>
      <c r="F1495" s="9">
        <v>0.01</v>
      </c>
      <c r="G1495" s="9">
        <v>18.350000000000001</v>
      </c>
      <c r="H1495" s="9">
        <v>3.26</v>
      </c>
      <c r="I1495" s="9">
        <v>2.92</v>
      </c>
      <c r="J1495" s="7" t="s">
        <v>325</v>
      </c>
    </row>
    <row r="1496" spans="1:10" x14ac:dyDescent="0.35">
      <c r="A1496" s="7" t="s">
        <v>20</v>
      </c>
      <c r="B1496" s="7" t="s">
        <v>68</v>
      </c>
      <c r="C1496" s="7" t="s">
        <v>128</v>
      </c>
      <c r="D1496" s="9">
        <v>0</v>
      </c>
      <c r="E1496" s="9">
        <v>0</v>
      </c>
      <c r="F1496" s="9">
        <v>0.01</v>
      </c>
      <c r="G1496" s="9">
        <v>0.04</v>
      </c>
      <c r="H1496" s="9">
        <v>0</v>
      </c>
      <c r="I1496" s="9">
        <v>1</v>
      </c>
      <c r="J1496" s="7" t="s">
        <v>325</v>
      </c>
    </row>
    <row r="1497" spans="1:10" x14ac:dyDescent="0.35">
      <c r="A1497" s="7" t="s">
        <v>16</v>
      </c>
      <c r="B1497" s="7" t="s">
        <v>90</v>
      </c>
      <c r="C1497" s="7" t="s">
        <v>179</v>
      </c>
      <c r="D1497" s="9">
        <v>0.04</v>
      </c>
      <c r="E1497" s="9">
        <v>0.01</v>
      </c>
      <c r="F1497" s="9">
        <v>0.01</v>
      </c>
      <c r="G1497" s="9">
        <v>3.72</v>
      </c>
      <c r="H1497" s="9">
        <v>1.1299999999999999</v>
      </c>
      <c r="I1497" s="9">
        <v>0.99</v>
      </c>
      <c r="J1497" s="7" t="s">
        <v>325</v>
      </c>
    </row>
    <row r="1498" spans="1:10" x14ac:dyDescent="0.35">
      <c r="A1498" s="7" t="s">
        <v>31</v>
      </c>
      <c r="B1498" s="7" t="s">
        <v>141</v>
      </c>
      <c r="C1498" s="7" t="s">
        <v>65</v>
      </c>
      <c r="D1498" s="9">
        <v>0</v>
      </c>
      <c r="E1498" s="9">
        <v>0</v>
      </c>
      <c r="F1498" s="9">
        <v>0.01</v>
      </c>
      <c r="G1498" s="9">
        <v>0.32</v>
      </c>
      <c r="H1498" s="9">
        <v>0</v>
      </c>
      <c r="I1498" s="9">
        <v>30</v>
      </c>
      <c r="J1498" s="7" t="s">
        <v>325</v>
      </c>
    </row>
    <row r="1499" spans="1:10" x14ac:dyDescent="0.35">
      <c r="A1499" s="7" t="s">
        <v>66</v>
      </c>
      <c r="B1499" s="7" t="s">
        <v>71</v>
      </c>
      <c r="C1499" s="7" t="s">
        <v>54</v>
      </c>
      <c r="D1499" s="9">
        <v>0.05</v>
      </c>
      <c r="E1499" s="9">
        <v>0.01</v>
      </c>
      <c r="F1499" s="9">
        <v>0.01</v>
      </c>
      <c r="G1499" s="9">
        <v>31.92</v>
      </c>
      <c r="H1499" s="9">
        <v>5.46</v>
      </c>
      <c r="I1499" s="9">
        <v>2.23</v>
      </c>
      <c r="J1499" s="7" t="s">
        <v>325</v>
      </c>
    </row>
    <row r="1500" spans="1:10" x14ac:dyDescent="0.35">
      <c r="A1500" s="7" t="s">
        <v>189</v>
      </c>
      <c r="B1500" s="7" t="s">
        <v>227</v>
      </c>
      <c r="C1500" s="7" t="s">
        <v>45</v>
      </c>
      <c r="D1500" s="9">
        <v>0.23</v>
      </c>
      <c r="E1500" s="9">
        <v>0.32</v>
      </c>
      <c r="F1500" s="9">
        <v>0.01</v>
      </c>
      <c r="G1500" s="9">
        <v>496.26</v>
      </c>
      <c r="H1500" s="9">
        <v>643.26</v>
      </c>
      <c r="I1500" s="9">
        <v>46.84</v>
      </c>
      <c r="J1500" s="7" t="s">
        <v>325</v>
      </c>
    </row>
    <row r="1501" spans="1:10" x14ac:dyDescent="0.35">
      <c r="A1501" s="7" t="s">
        <v>35</v>
      </c>
      <c r="B1501" s="7" t="s">
        <v>47</v>
      </c>
      <c r="C1501" s="7" t="s">
        <v>65</v>
      </c>
      <c r="D1501" s="9">
        <v>0.01</v>
      </c>
      <c r="E1501" s="9">
        <v>0</v>
      </c>
      <c r="F1501" s="9">
        <v>0.01</v>
      </c>
      <c r="G1501" s="9">
        <v>14.31</v>
      </c>
      <c r="H1501" s="9">
        <v>0.06</v>
      </c>
      <c r="I1501" s="9">
        <v>23.65</v>
      </c>
      <c r="J1501" s="7" t="s">
        <v>325</v>
      </c>
    </row>
    <row r="1502" spans="1:10" x14ac:dyDescent="0.35">
      <c r="A1502" s="7" t="s">
        <v>79</v>
      </c>
      <c r="B1502" s="7" t="s">
        <v>80</v>
      </c>
      <c r="C1502" s="7" t="s">
        <v>18</v>
      </c>
      <c r="D1502" s="9">
        <v>0.18</v>
      </c>
      <c r="E1502" s="9">
        <v>0.27</v>
      </c>
      <c r="F1502" s="9">
        <v>0.01</v>
      </c>
      <c r="G1502" s="9">
        <v>148.07</v>
      </c>
      <c r="H1502" s="9">
        <v>225.1</v>
      </c>
      <c r="I1502" s="9">
        <v>8.9700000000000006</v>
      </c>
      <c r="J1502" s="7" t="s">
        <v>325</v>
      </c>
    </row>
    <row r="1503" spans="1:10" x14ac:dyDescent="0.35">
      <c r="A1503" s="7" t="s">
        <v>189</v>
      </c>
      <c r="B1503" s="7" t="s">
        <v>193</v>
      </c>
      <c r="C1503" s="7" t="s">
        <v>42</v>
      </c>
      <c r="D1503" s="9">
        <v>0.05</v>
      </c>
      <c r="E1503" s="9">
        <v>0.04</v>
      </c>
      <c r="F1503" s="9">
        <v>0.01</v>
      </c>
      <c r="G1503" s="9">
        <v>29.01</v>
      </c>
      <c r="H1503" s="9">
        <v>39.979999999999997</v>
      </c>
      <c r="I1503" s="9">
        <v>14.97</v>
      </c>
      <c r="J1503" s="7" t="s">
        <v>325</v>
      </c>
    </row>
    <row r="1504" spans="1:10" x14ac:dyDescent="0.35">
      <c r="A1504" s="7" t="s">
        <v>31</v>
      </c>
      <c r="B1504" s="7" t="s">
        <v>215</v>
      </c>
      <c r="C1504" s="7" t="s">
        <v>55</v>
      </c>
      <c r="D1504" s="9">
        <v>0.02</v>
      </c>
      <c r="E1504" s="9">
        <v>0.03</v>
      </c>
      <c r="F1504" s="9">
        <v>0.01</v>
      </c>
      <c r="G1504" s="9">
        <v>54.57</v>
      </c>
      <c r="H1504" s="9">
        <v>109.06</v>
      </c>
      <c r="I1504" s="9">
        <v>44.19</v>
      </c>
      <c r="J1504" s="7" t="s">
        <v>325</v>
      </c>
    </row>
    <row r="1505" spans="1:10" x14ac:dyDescent="0.35">
      <c r="A1505" s="7" t="s">
        <v>231</v>
      </c>
      <c r="B1505" s="7" t="s">
        <v>232</v>
      </c>
      <c r="C1505" s="7" t="s">
        <v>39</v>
      </c>
      <c r="D1505" s="9">
        <v>0.44</v>
      </c>
      <c r="E1505" s="9">
        <v>0.06</v>
      </c>
      <c r="F1505" s="9">
        <v>0.01</v>
      </c>
      <c r="G1505" s="9">
        <v>132.97999999999999</v>
      </c>
      <c r="H1505" s="9">
        <v>75.67</v>
      </c>
      <c r="I1505" s="9">
        <v>14.71</v>
      </c>
      <c r="J1505" s="7" t="s">
        <v>325</v>
      </c>
    </row>
    <row r="1506" spans="1:10" x14ac:dyDescent="0.35">
      <c r="A1506" s="7" t="s">
        <v>79</v>
      </c>
      <c r="B1506" s="7" t="s">
        <v>91</v>
      </c>
      <c r="C1506" s="7" t="s">
        <v>53</v>
      </c>
      <c r="D1506" s="9">
        <v>0.92</v>
      </c>
      <c r="E1506" s="9">
        <v>0.11</v>
      </c>
      <c r="F1506" s="9">
        <v>0.01</v>
      </c>
      <c r="G1506" s="8">
        <v>1598.13</v>
      </c>
      <c r="H1506" s="9">
        <v>174.19</v>
      </c>
      <c r="I1506" s="9">
        <v>4.1399999999999997</v>
      </c>
      <c r="J1506" s="7" t="s">
        <v>325</v>
      </c>
    </row>
    <row r="1507" spans="1:10" x14ac:dyDescent="0.35">
      <c r="A1507" s="7" t="s">
        <v>129</v>
      </c>
      <c r="B1507" s="7" t="s">
        <v>147</v>
      </c>
      <c r="C1507" s="7" t="s">
        <v>170</v>
      </c>
      <c r="D1507" s="9">
        <v>0.06</v>
      </c>
      <c r="E1507" s="9">
        <v>0.04</v>
      </c>
      <c r="F1507" s="9">
        <v>0.01</v>
      </c>
      <c r="G1507" s="9">
        <v>14.88</v>
      </c>
      <c r="H1507" s="9">
        <v>14.92</v>
      </c>
      <c r="I1507" s="9">
        <v>3.4</v>
      </c>
      <c r="J1507" s="7" t="s">
        <v>325</v>
      </c>
    </row>
    <row r="1508" spans="1:10" x14ac:dyDescent="0.35">
      <c r="A1508" s="7" t="s">
        <v>23</v>
      </c>
      <c r="B1508" s="7" t="s">
        <v>43</v>
      </c>
      <c r="C1508" s="7" t="s">
        <v>59</v>
      </c>
      <c r="D1508" s="9">
        <v>0</v>
      </c>
      <c r="E1508" s="9">
        <v>0.1</v>
      </c>
      <c r="F1508" s="9">
        <v>0.01</v>
      </c>
      <c r="G1508" s="9">
        <v>0</v>
      </c>
      <c r="H1508" s="9">
        <v>49.95</v>
      </c>
      <c r="I1508" s="9">
        <v>12.79</v>
      </c>
      <c r="J1508" s="7" t="s">
        <v>325</v>
      </c>
    </row>
    <row r="1509" spans="1:10" x14ac:dyDescent="0.35">
      <c r="A1509" s="7" t="s">
        <v>20</v>
      </c>
      <c r="B1509" s="7" t="s">
        <v>134</v>
      </c>
      <c r="C1509" s="7" t="s">
        <v>53</v>
      </c>
      <c r="D1509" s="9">
        <v>0</v>
      </c>
      <c r="E1509" s="9">
        <v>0.02</v>
      </c>
      <c r="F1509" s="9">
        <v>0.01</v>
      </c>
      <c r="G1509" s="9">
        <v>0</v>
      </c>
      <c r="H1509" s="9">
        <v>16.87</v>
      </c>
      <c r="I1509" s="9">
        <v>8.48</v>
      </c>
      <c r="J1509" s="7" t="s">
        <v>325</v>
      </c>
    </row>
    <row r="1510" spans="1:10" x14ac:dyDescent="0.35">
      <c r="A1510" s="7" t="s">
        <v>31</v>
      </c>
      <c r="B1510" s="7" t="s">
        <v>249</v>
      </c>
      <c r="C1510" s="7" t="s">
        <v>62</v>
      </c>
      <c r="D1510" s="9">
        <v>0.02</v>
      </c>
      <c r="E1510" s="9">
        <v>0.03</v>
      </c>
      <c r="F1510" s="9">
        <v>0.01</v>
      </c>
      <c r="G1510" s="9">
        <v>37.31</v>
      </c>
      <c r="H1510" s="9">
        <v>52.87</v>
      </c>
      <c r="I1510" s="9">
        <v>21.56</v>
      </c>
      <c r="J1510" s="7" t="s">
        <v>325</v>
      </c>
    </row>
    <row r="1511" spans="1:10" x14ac:dyDescent="0.35">
      <c r="A1511" s="7" t="s">
        <v>16</v>
      </c>
      <c r="B1511" s="7" t="s">
        <v>90</v>
      </c>
      <c r="C1511" s="7" t="s">
        <v>122</v>
      </c>
      <c r="D1511" s="9">
        <v>0.26</v>
      </c>
      <c r="E1511" s="9">
        <v>0.01</v>
      </c>
      <c r="F1511" s="9">
        <v>0.01</v>
      </c>
      <c r="G1511" s="9">
        <v>88.53</v>
      </c>
      <c r="H1511" s="9">
        <v>0.97</v>
      </c>
      <c r="I1511" s="9">
        <v>1.04</v>
      </c>
      <c r="J1511" s="7" t="s">
        <v>325</v>
      </c>
    </row>
    <row r="1512" spans="1:10" x14ac:dyDescent="0.35">
      <c r="A1512" s="7" t="s">
        <v>94</v>
      </c>
      <c r="B1512" s="7" t="s">
        <v>112</v>
      </c>
      <c r="C1512" s="7" t="s">
        <v>126</v>
      </c>
      <c r="D1512" s="9">
        <v>0.04</v>
      </c>
      <c r="E1512" s="9">
        <v>0.05</v>
      </c>
      <c r="F1512" s="9">
        <v>0.01</v>
      </c>
      <c r="G1512" s="9">
        <v>152.46</v>
      </c>
      <c r="H1512" s="9">
        <v>171.29</v>
      </c>
      <c r="I1512" s="9">
        <v>29.4</v>
      </c>
      <c r="J1512" s="7" t="s">
        <v>325</v>
      </c>
    </row>
    <row r="1513" spans="1:10" x14ac:dyDescent="0.35">
      <c r="A1513" s="7" t="s">
        <v>31</v>
      </c>
      <c r="B1513" s="7" t="s">
        <v>32</v>
      </c>
      <c r="C1513" s="7" t="s">
        <v>102</v>
      </c>
      <c r="D1513" s="9">
        <v>0.02</v>
      </c>
      <c r="E1513" s="9">
        <v>0.01</v>
      </c>
      <c r="F1513" s="9">
        <v>0.01</v>
      </c>
      <c r="G1513" s="9">
        <v>66.180000000000007</v>
      </c>
      <c r="H1513" s="9">
        <v>12.56</v>
      </c>
      <c r="I1513" s="9">
        <v>59</v>
      </c>
      <c r="J1513" s="7" t="s">
        <v>325</v>
      </c>
    </row>
    <row r="1514" spans="1:10" x14ac:dyDescent="0.35">
      <c r="A1514" s="7" t="s">
        <v>66</v>
      </c>
      <c r="B1514" s="7" t="s">
        <v>208</v>
      </c>
      <c r="C1514" s="7" t="s">
        <v>45</v>
      </c>
      <c r="D1514" s="9">
        <v>0.06</v>
      </c>
      <c r="E1514" s="9">
        <v>0</v>
      </c>
      <c r="F1514" s="9">
        <v>0.01</v>
      </c>
      <c r="G1514" s="9">
        <v>7.14</v>
      </c>
      <c r="H1514" s="9">
        <v>7.0000000000000007E-2</v>
      </c>
      <c r="I1514" s="9">
        <v>0.56000000000000005</v>
      </c>
      <c r="J1514" s="7" t="s">
        <v>325</v>
      </c>
    </row>
    <row r="1515" spans="1:10" x14ac:dyDescent="0.35">
      <c r="A1515" s="7" t="s">
        <v>20</v>
      </c>
      <c r="B1515" s="7" t="s">
        <v>145</v>
      </c>
      <c r="C1515" s="7" t="s">
        <v>55</v>
      </c>
      <c r="D1515" s="9">
        <v>0</v>
      </c>
      <c r="E1515" s="9">
        <v>0.8</v>
      </c>
      <c r="F1515" s="9">
        <v>0.01</v>
      </c>
      <c r="G1515" s="9">
        <v>0</v>
      </c>
      <c r="H1515" s="8">
        <v>2999.73</v>
      </c>
      <c r="I1515" s="9">
        <v>29.5</v>
      </c>
      <c r="J1515" s="7" t="s">
        <v>325</v>
      </c>
    </row>
    <row r="1516" spans="1:10" x14ac:dyDescent="0.35">
      <c r="A1516" s="7" t="s">
        <v>66</v>
      </c>
      <c r="B1516" s="7" t="s">
        <v>100</v>
      </c>
      <c r="C1516" s="7" t="s">
        <v>54</v>
      </c>
      <c r="D1516" s="9">
        <v>0</v>
      </c>
      <c r="E1516" s="9">
        <v>0</v>
      </c>
      <c r="F1516" s="9">
        <v>0.01</v>
      </c>
      <c r="G1516" s="9">
        <v>0</v>
      </c>
      <c r="H1516" s="9">
        <v>0.13</v>
      </c>
      <c r="I1516" s="9">
        <v>3.84</v>
      </c>
      <c r="J1516" s="7" t="s">
        <v>325</v>
      </c>
    </row>
    <row r="1517" spans="1:10" x14ac:dyDescent="0.35">
      <c r="A1517" s="7" t="s">
        <v>77</v>
      </c>
      <c r="B1517" s="7" t="s">
        <v>250</v>
      </c>
      <c r="C1517" s="7" t="s">
        <v>170</v>
      </c>
      <c r="D1517" s="9">
        <v>0</v>
      </c>
      <c r="E1517" s="9">
        <v>0</v>
      </c>
      <c r="F1517" s="9">
        <v>0.01</v>
      </c>
      <c r="G1517" s="9">
        <v>0</v>
      </c>
      <c r="H1517" s="9">
        <v>0</v>
      </c>
      <c r="I1517" s="9">
        <v>5</v>
      </c>
      <c r="J1517" s="7" t="s">
        <v>325</v>
      </c>
    </row>
    <row r="1518" spans="1:10" x14ac:dyDescent="0.35">
      <c r="A1518" s="7" t="s">
        <v>251</v>
      </c>
      <c r="B1518" s="7" t="s">
        <v>252</v>
      </c>
      <c r="C1518" s="7" t="s">
        <v>48</v>
      </c>
      <c r="D1518" s="9">
        <v>0.01</v>
      </c>
      <c r="E1518" s="9">
        <v>0.06</v>
      </c>
      <c r="F1518" s="9">
        <v>0.01</v>
      </c>
      <c r="G1518" s="9">
        <v>8.0299999999999994</v>
      </c>
      <c r="H1518" s="9">
        <v>23.55</v>
      </c>
      <c r="I1518" s="9">
        <v>4.63</v>
      </c>
      <c r="J1518" s="7" t="s">
        <v>325</v>
      </c>
    </row>
    <row r="1519" spans="1:10" x14ac:dyDescent="0.35">
      <c r="A1519" s="7" t="s">
        <v>20</v>
      </c>
      <c r="B1519" s="7" t="s">
        <v>111</v>
      </c>
      <c r="C1519" s="7" t="s">
        <v>72</v>
      </c>
      <c r="D1519" s="9">
        <v>0.03</v>
      </c>
      <c r="E1519" s="9">
        <v>0</v>
      </c>
      <c r="F1519" s="9">
        <v>0.01</v>
      </c>
      <c r="G1519" s="9">
        <v>4.47</v>
      </c>
      <c r="H1519" s="9">
        <v>0</v>
      </c>
      <c r="I1519" s="9">
        <v>1.2</v>
      </c>
      <c r="J1519" s="7" t="s">
        <v>325</v>
      </c>
    </row>
    <row r="1520" spans="1:10" x14ac:dyDescent="0.35">
      <c r="A1520" s="7" t="s">
        <v>40</v>
      </c>
      <c r="B1520" s="7" t="s">
        <v>211</v>
      </c>
      <c r="C1520" s="7" t="s">
        <v>45</v>
      </c>
      <c r="D1520" s="9">
        <v>0.01</v>
      </c>
      <c r="E1520" s="9">
        <v>0.02</v>
      </c>
      <c r="F1520" s="9">
        <v>0.01</v>
      </c>
      <c r="G1520" s="9">
        <v>4.66</v>
      </c>
      <c r="H1520" s="9">
        <v>12.05</v>
      </c>
      <c r="I1520" s="9">
        <v>9.1300000000000008</v>
      </c>
      <c r="J1520" s="7" t="s">
        <v>325</v>
      </c>
    </row>
    <row r="1521" spans="1:10" x14ac:dyDescent="0.35">
      <c r="A1521" s="7" t="s">
        <v>66</v>
      </c>
      <c r="B1521" s="7" t="s">
        <v>127</v>
      </c>
      <c r="C1521" s="7" t="s">
        <v>144</v>
      </c>
      <c r="D1521" s="9">
        <v>0.04</v>
      </c>
      <c r="E1521" s="9">
        <v>0</v>
      </c>
      <c r="F1521" s="9">
        <v>0.01</v>
      </c>
      <c r="G1521" s="9">
        <v>14.35</v>
      </c>
      <c r="H1521" s="9">
        <v>0.7</v>
      </c>
      <c r="I1521" s="9">
        <v>12.51</v>
      </c>
      <c r="J1521" s="7" t="s">
        <v>325</v>
      </c>
    </row>
    <row r="1522" spans="1:10" x14ac:dyDescent="0.35">
      <c r="A1522" s="7" t="s">
        <v>16</v>
      </c>
      <c r="B1522" s="7" t="s">
        <v>17</v>
      </c>
      <c r="C1522" s="7" t="s">
        <v>181</v>
      </c>
      <c r="D1522" s="9">
        <v>0.03</v>
      </c>
      <c r="E1522" s="9">
        <v>0.17</v>
      </c>
      <c r="F1522" s="9">
        <v>0.01</v>
      </c>
      <c r="G1522" s="9">
        <v>24.62</v>
      </c>
      <c r="H1522" s="9">
        <v>44.55</v>
      </c>
      <c r="I1522" s="9">
        <v>0.99</v>
      </c>
      <c r="J1522" s="7" t="s">
        <v>325</v>
      </c>
    </row>
    <row r="1523" spans="1:10" x14ac:dyDescent="0.35">
      <c r="A1523" s="7" t="s">
        <v>40</v>
      </c>
      <c r="B1523" s="7" t="s">
        <v>64</v>
      </c>
      <c r="C1523" s="7" t="s">
        <v>174</v>
      </c>
      <c r="D1523" s="9">
        <v>0</v>
      </c>
      <c r="E1523" s="9">
        <v>0</v>
      </c>
      <c r="F1523" s="9">
        <v>0.01</v>
      </c>
      <c r="G1523" s="9">
        <v>0</v>
      </c>
      <c r="H1523" s="9">
        <v>0</v>
      </c>
      <c r="I1523" s="9">
        <v>1.7</v>
      </c>
      <c r="J1523" s="7" t="s">
        <v>325</v>
      </c>
    </row>
    <row r="1524" spans="1:10" x14ac:dyDescent="0.35">
      <c r="A1524" s="7" t="s">
        <v>159</v>
      </c>
      <c r="B1524" s="7" t="s">
        <v>160</v>
      </c>
      <c r="C1524" s="7" t="s">
        <v>46</v>
      </c>
      <c r="D1524" s="9">
        <v>0</v>
      </c>
      <c r="E1524" s="9">
        <v>0</v>
      </c>
      <c r="F1524" s="9">
        <v>0.01</v>
      </c>
      <c r="G1524" s="9">
        <v>0</v>
      </c>
      <c r="H1524" s="9">
        <v>0</v>
      </c>
      <c r="I1524" s="9">
        <v>5</v>
      </c>
      <c r="J1524" s="7" t="s">
        <v>325</v>
      </c>
    </row>
    <row r="1525" spans="1:10" x14ac:dyDescent="0.35">
      <c r="A1525" s="7" t="s">
        <v>16</v>
      </c>
      <c r="B1525" s="7" t="s">
        <v>115</v>
      </c>
      <c r="C1525" s="7" t="s">
        <v>126</v>
      </c>
      <c r="D1525" s="9">
        <v>0</v>
      </c>
      <c r="E1525" s="9">
        <v>0.01</v>
      </c>
      <c r="F1525" s="9">
        <v>0.01</v>
      </c>
      <c r="G1525" s="9">
        <v>0</v>
      </c>
      <c r="H1525" s="9">
        <v>3.51</v>
      </c>
      <c r="I1525" s="9">
        <v>9.2799999999999994</v>
      </c>
      <c r="J1525" s="7" t="s">
        <v>325</v>
      </c>
    </row>
    <row r="1526" spans="1:10" x14ac:dyDescent="0.35">
      <c r="A1526" s="7" t="s">
        <v>25</v>
      </c>
      <c r="B1526" s="7" t="s">
        <v>29</v>
      </c>
      <c r="C1526" s="7" t="s">
        <v>65</v>
      </c>
      <c r="D1526" s="9">
        <v>0.02</v>
      </c>
      <c r="E1526" s="9">
        <v>0.03</v>
      </c>
      <c r="F1526" s="9">
        <v>0.01</v>
      </c>
      <c r="G1526" s="9">
        <v>52.05</v>
      </c>
      <c r="H1526" s="9">
        <v>44.64</v>
      </c>
      <c r="I1526" s="9">
        <v>12.7</v>
      </c>
      <c r="J1526" s="7" t="s">
        <v>325</v>
      </c>
    </row>
    <row r="1527" spans="1:10" x14ac:dyDescent="0.35">
      <c r="A1527" s="7" t="s">
        <v>189</v>
      </c>
      <c r="B1527" s="7" t="s">
        <v>193</v>
      </c>
      <c r="C1527" s="7" t="s">
        <v>45</v>
      </c>
      <c r="D1527" s="9">
        <v>0</v>
      </c>
      <c r="E1527" s="9">
        <v>0</v>
      </c>
      <c r="F1527" s="9">
        <v>0.01</v>
      </c>
      <c r="G1527" s="9">
        <v>0</v>
      </c>
      <c r="H1527" s="9">
        <v>0</v>
      </c>
      <c r="I1527" s="9">
        <v>2.27</v>
      </c>
      <c r="J1527" s="7" t="s">
        <v>325</v>
      </c>
    </row>
    <row r="1528" spans="1:10" x14ac:dyDescent="0.35">
      <c r="A1528" s="7" t="s">
        <v>159</v>
      </c>
      <c r="B1528" s="7" t="s">
        <v>253</v>
      </c>
      <c r="C1528" s="7" t="s">
        <v>45</v>
      </c>
      <c r="D1528" s="9">
        <v>0.03</v>
      </c>
      <c r="E1528" s="9">
        <v>4.4800000000000004</v>
      </c>
      <c r="F1528" s="9">
        <v>0.01</v>
      </c>
      <c r="G1528" s="9">
        <v>134.94</v>
      </c>
      <c r="H1528" s="8">
        <v>17431.68</v>
      </c>
      <c r="I1528" s="9">
        <v>40.5</v>
      </c>
      <c r="J1528" s="7" t="s">
        <v>325</v>
      </c>
    </row>
    <row r="1529" spans="1:10" x14ac:dyDescent="0.35">
      <c r="A1529" s="7" t="s">
        <v>40</v>
      </c>
      <c r="B1529" s="7" t="s">
        <v>183</v>
      </c>
      <c r="C1529" s="7" t="s">
        <v>42</v>
      </c>
      <c r="D1529" s="9">
        <v>7.0000000000000007E-2</v>
      </c>
      <c r="E1529" s="9">
        <v>0.01</v>
      </c>
      <c r="F1529" s="9">
        <v>0.01</v>
      </c>
      <c r="G1529" s="9">
        <v>11.12</v>
      </c>
      <c r="H1529" s="9">
        <v>5.22</v>
      </c>
      <c r="I1529" s="9">
        <v>1.1499999999999999</v>
      </c>
      <c r="J1529" s="7" t="s">
        <v>325</v>
      </c>
    </row>
    <row r="1530" spans="1:10" x14ac:dyDescent="0.35">
      <c r="A1530" s="7" t="s">
        <v>31</v>
      </c>
      <c r="B1530" s="7" t="s">
        <v>32</v>
      </c>
      <c r="C1530" s="7" t="s">
        <v>76</v>
      </c>
      <c r="D1530" s="9">
        <v>0</v>
      </c>
      <c r="E1530" s="9">
        <v>0.01</v>
      </c>
      <c r="F1530" s="9">
        <v>0.01</v>
      </c>
      <c r="G1530" s="9">
        <v>1.02</v>
      </c>
      <c r="H1530" s="9">
        <v>4.16</v>
      </c>
      <c r="I1530" s="9">
        <v>3.19</v>
      </c>
      <c r="J1530" s="7" t="s">
        <v>325</v>
      </c>
    </row>
    <row r="1531" spans="1:10" x14ac:dyDescent="0.35">
      <c r="A1531" s="7" t="s">
        <v>16</v>
      </c>
      <c r="B1531" s="7" t="s">
        <v>109</v>
      </c>
      <c r="C1531" s="7" t="s">
        <v>150</v>
      </c>
      <c r="D1531" s="9">
        <v>0.01</v>
      </c>
      <c r="E1531" s="9">
        <v>0.09</v>
      </c>
      <c r="F1531" s="9">
        <v>0.01</v>
      </c>
      <c r="G1531" s="9">
        <v>0.86</v>
      </c>
      <c r="H1531" s="9">
        <v>11.39</v>
      </c>
      <c r="I1531" s="9">
        <v>0.84</v>
      </c>
      <c r="J1531" s="7" t="s">
        <v>325</v>
      </c>
    </row>
    <row r="1532" spans="1:10" x14ac:dyDescent="0.35">
      <c r="A1532" s="7" t="s">
        <v>31</v>
      </c>
      <c r="B1532" s="7" t="s">
        <v>101</v>
      </c>
      <c r="C1532" s="7" t="s">
        <v>126</v>
      </c>
      <c r="D1532" s="9">
        <v>0.1</v>
      </c>
      <c r="E1532" s="9">
        <v>0.22</v>
      </c>
      <c r="F1532" s="9">
        <v>0.01</v>
      </c>
      <c r="G1532" s="9">
        <v>316</v>
      </c>
      <c r="H1532" s="9">
        <v>602.39</v>
      </c>
      <c r="I1532" s="9">
        <v>20</v>
      </c>
      <c r="J1532" s="7" t="s">
        <v>325</v>
      </c>
    </row>
    <row r="1533" spans="1:10" x14ac:dyDescent="0.35">
      <c r="A1533" s="7" t="s">
        <v>66</v>
      </c>
      <c r="B1533" s="7" t="s">
        <v>208</v>
      </c>
      <c r="C1533" s="7" t="s">
        <v>59</v>
      </c>
      <c r="D1533" s="9">
        <v>0.01</v>
      </c>
      <c r="E1533" s="9">
        <v>0</v>
      </c>
      <c r="F1533" s="9">
        <v>0.01</v>
      </c>
      <c r="G1533" s="9">
        <v>0.93</v>
      </c>
      <c r="H1533" s="9">
        <v>0.05</v>
      </c>
      <c r="I1533" s="9">
        <v>2.2799999999999998</v>
      </c>
      <c r="J1533" s="7" t="s">
        <v>325</v>
      </c>
    </row>
    <row r="1534" spans="1:10" x14ac:dyDescent="0.35">
      <c r="A1534" s="7" t="s">
        <v>77</v>
      </c>
      <c r="B1534" s="7" t="s">
        <v>149</v>
      </c>
      <c r="C1534" s="7" t="s">
        <v>42</v>
      </c>
      <c r="D1534" s="9">
        <v>0.03</v>
      </c>
      <c r="E1534" s="9">
        <v>0.1</v>
      </c>
      <c r="F1534" s="9">
        <v>0.01</v>
      </c>
      <c r="G1534" s="9">
        <v>39.36</v>
      </c>
      <c r="H1534" s="9">
        <v>38.840000000000003</v>
      </c>
      <c r="I1534" s="9">
        <v>3.83</v>
      </c>
      <c r="J1534" s="7" t="s">
        <v>325</v>
      </c>
    </row>
    <row r="1535" spans="1:10" x14ac:dyDescent="0.35">
      <c r="A1535" s="7" t="s">
        <v>66</v>
      </c>
      <c r="B1535" s="7" t="s">
        <v>219</v>
      </c>
      <c r="C1535" s="7" t="s">
        <v>39</v>
      </c>
      <c r="D1535" s="9">
        <v>0.02</v>
      </c>
      <c r="E1535" s="9">
        <v>0.12</v>
      </c>
      <c r="F1535" s="9">
        <v>0.01</v>
      </c>
      <c r="G1535" s="9">
        <v>1.95</v>
      </c>
      <c r="H1535" s="9">
        <v>9.42</v>
      </c>
      <c r="I1535" s="9">
        <v>0.31</v>
      </c>
      <c r="J1535" s="7" t="s">
        <v>325</v>
      </c>
    </row>
    <row r="1536" spans="1:10" x14ac:dyDescent="0.35">
      <c r="A1536" s="7" t="s">
        <v>49</v>
      </c>
      <c r="B1536" s="7" t="s">
        <v>176</v>
      </c>
      <c r="C1536" s="7" t="s">
        <v>42</v>
      </c>
      <c r="D1536" s="9">
        <v>0.11</v>
      </c>
      <c r="E1536" s="9">
        <v>0.04</v>
      </c>
      <c r="F1536" s="9">
        <v>0.01</v>
      </c>
      <c r="G1536" s="9">
        <v>81.56</v>
      </c>
      <c r="H1536" s="9">
        <v>18.25</v>
      </c>
      <c r="I1536" s="9">
        <v>4.01</v>
      </c>
      <c r="J1536" s="7" t="s">
        <v>325</v>
      </c>
    </row>
    <row r="1537" spans="1:10" x14ac:dyDescent="0.35">
      <c r="A1537" s="7" t="s">
        <v>74</v>
      </c>
      <c r="B1537" s="7" t="s">
        <v>98</v>
      </c>
      <c r="C1537" s="7" t="s">
        <v>54</v>
      </c>
      <c r="D1537" s="9">
        <v>0</v>
      </c>
      <c r="E1537" s="9">
        <v>0.01</v>
      </c>
      <c r="F1537" s="9">
        <v>0.01</v>
      </c>
      <c r="G1537" s="9">
        <v>0</v>
      </c>
      <c r="H1537" s="9">
        <v>2.44</v>
      </c>
      <c r="I1537" s="9">
        <v>2.2000000000000002</v>
      </c>
      <c r="J1537" s="7" t="s">
        <v>325</v>
      </c>
    </row>
    <row r="1538" spans="1:10" x14ac:dyDescent="0.35">
      <c r="A1538" s="7" t="s">
        <v>31</v>
      </c>
      <c r="B1538" s="7" t="s">
        <v>131</v>
      </c>
      <c r="C1538" s="7" t="s">
        <v>181</v>
      </c>
      <c r="D1538" s="9">
        <v>0.01</v>
      </c>
      <c r="E1538" s="9">
        <v>0.02</v>
      </c>
      <c r="F1538" s="9">
        <v>0.01</v>
      </c>
      <c r="G1538" s="9">
        <v>1.19</v>
      </c>
      <c r="H1538" s="9">
        <v>1.43</v>
      </c>
      <c r="I1538" s="9">
        <v>0.88</v>
      </c>
      <c r="J1538" s="7" t="s">
        <v>325</v>
      </c>
    </row>
    <row r="1539" spans="1:10" x14ac:dyDescent="0.35">
      <c r="A1539" s="7" t="s">
        <v>40</v>
      </c>
      <c r="B1539" s="7" t="s">
        <v>211</v>
      </c>
      <c r="C1539" s="7" t="s">
        <v>72</v>
      </c>
      <c r="D1539" s="9">
        <v>0</v>
      </c>
      <c r="E1539" s="9">
        <v>0.02</v>
      </c>
      <c r="F1539" s="9">
        <v>0.01</v>
      </c>
      <c r="G1539" s="9">
        <v>0.12</v>
      </c>
      <c r="H1539" s="9">
        <v>3.55</v>
      </c>
      <c r="I1539" s="9">
        <v>2.15</v>
      </c>
      <c r="J1539" s="7" t="s">
        <v>325</v>
      </c>
    </row>
    <row r="1540" spans="1:10" x14ac:dyDescent="0.35">
      <c r="A1540" s="7" t="s">
        <v>16</v>
      </c>
      <c r="B1540" s="7" t="s">
        <v>28</v>
      </c>
      <c r="C1540" s="7" t="s">
        <v>65</v>
      </c>
      <c r="D1540" s="9">
        <v>0.52</v>
      </c>
      <c r="E1540" s="9">
        <v>0.17</v>
      </c>
      <c r="F1540" s="9">
        <v>0.01</v>
      </c>
      <c r="G1540" s="8">
        <v>1550</v>
      </c>
      <c r="H1540" s="9">
        <v>418.76</v>
      </c>
      <c r="I1540" s="9">
        <v>17</v>
      </c>
      <c r="J1540" s="7" t="s">
        <v>325</v>
      </c>
    </row>
    <row r="1541" spans="1:10" x14ac:dyDescent="0.35">
      <c r="A1541" s="7" t="s">
        <v>35</v>
      </c>
      <c r="B1541" s="7" t="s">
        <v>38</v>
      </c>
      <c r="C1541" s="7" t="s">
        <v>170</v>
      </c>
      <c r="D1541" s="9">
        <v>0.12</v>
      </c>
      <c r="E1541" s="9">
        <v>0.05</v>
      </c>
      <c r="F1541" s="9">
        <v>0.01</v>
      </c>
      <c r="G1541" s="9">
        <v>27.42</v>
      </c>
      <c r="H1541" s="9">
        <v>5.36</v>
      </c>
      <c r="I1541" s="9">
        <v>1.29</v>
      </c>
      <c r="J1541" s="7" t="s">
        <v>325</v>
      </c>
    </row>
    <row r="1542" spans="1:10" x14ac:dyDescent="0.35">
      <c r="A1542" s="7" t="s">
        <v>79</v>
      </c>
      <c r="B1542" s="7" t="s">
        <v>92</v>
      </c>
      <c r="C1542" s="7" t="s">
        <v>53</v>
      </c>
      <c r="D1542" s="9">
        <v>0.04</v>
      </c>
      <c r="E1542" s="9">
        <v>0.02</v>
      </c>
      <c r="F1542" s="9">
        <v>0.01</v>
      </c>
      <c r="G1542" s="9">
        <v>7.48</v>
      </c>
      <c r="H1542" s="9">
        <v>7</v>
      </c>
      <c r="I1542" s="9">
        <v>1.29</v>
      </c>
      <c r="J1542" s="7" t="s">
        <v>325</v>
      </c>
    </row>
    <row r="1543" spans="1:10" x14ac:dyDescent="0.35">
      <c r="A1543" s="7" t="s">
        <v>40</v>
      </c>
      <c r="B1543" s="7" t="s">
        <v>220</v>
      </c>
      <c r="C1543" s="7" t="s">
        <v>45</v>
      </c>
      <c r="D1543" s="9">
        <v>0</v>
      </c>
      <c r="E1543" s="9">
        <v>0</v>
      </c>
      <c r="F1543" s="9">
        <v>0.01</v>
      </c>
      <c r="G1543" s="9">
        <v>0.03</v>
      </c>
      <c r="H1543" s="9">
        <v>0.16</v>
      </c>
      <c r="I1543" s="9">
        <v>0.94</v>
      </c>
      <c r="J1543" s="7" t="s">
        <v>325</v>
      </c>
    </row>
    <row r="1544" spans="1:10" x14ac:dyDescent="0.35">
      <c r="A1544" s="7" t="s">
        <v>86</v>
      </c>
      <c r="B1544" s="7" t="s">
        <v>207</v>
      </c>
      <c r="C1544" s="7" t="s">
        <v>33</v>
      </c>
      <c r="D1544" s="9">
        <v>0</v>
      </c>
      <c r="E1544" s="9">
        <v>0.04</v>
      </c>
      <c r="F1544" s="9">
        <v>0.01</v>
      </c>
      <c r="G1544" s="9">
        <v>1.91</v>
      </c>
      <c r="H1544" s="9">
        <v>32.01</v>
      </c>
      <c r="I1544" s="9">
        <v>5.52</v>
      </c>
      <c r="J1544" s="7" t="s">
        <v>325</v>
      </c>
    </row>
    <row r="1545" spans="1:10" x14ac:dyDescent="0.35">
      <c r="A1545" s="7" t="s">
        <v>31</v>
      </c>
      <c r="B1545" s="7" t="s">
        <v>217</v>
      </c>
      <c r="C1545" s="7" t="s">
        <v>46</v>
      </c>
      <c r="D1545" s="9">
        <v>0</v>
      </c>
      <c r="E1545" s="9">
        <v>0</v>
      </c>
      <c r="F1545" s="9">
        <v>0.01</v>
      </c>
      <c r="G1545" s="9">
        <v>0</v>
      </c>
      <c r="H1545" s="9">
        <v>0</v>
      </c>
      <c r="I1545" s="9">
        <v>5.5</v>
      </c>
      <c r="J1545" s="7" t="s">
        <v>325</v>
      </c>
    </row>
    <row r="1546" spans="1:10" x14ac:dyDescent="0.35">
      <c r="A1546" s="7" t="s">
        <v>159</v>
      </c>
      <c r="B1546" s="7" t="s">
        <v>186</v>
      </c>
      <c r="C1546" s="7" t="s">
        <v>55</v>
      </c>
      <c r="D1546" s="9">
        <v>0</v>
      </c>
      <c r="E1546" s="9">
        <v>0</v>
      </c>
      <c r="F1546" s="9">
        <v>0.01</v>
      </c>
      <c r="G1546" s="9">
        <v>0</v>
      </c>
      <c r="H1546" s="9">
        <v>0</v>
      </c>
      <c r="I1546" s="9">
        <v>45.88</v>
      </c>
      <c r="J1546" s="7" t="s">
        <v>325</v>
      </c>
    </row>
    <row r="1547" spans="1:10" x14ac:dyDescent="0.35">
      <c r="A1547" s="7" t="s">
        <v>40</v>
      </c>
      <c r="B1547" s="7" t="s">
        <v>117</v>
      </c>
      <c r="C1547" s="7" t="s">
        <v>170</v>
      </c>
      <c r="D1547" s="9">
        <v>0.01</v>
      </c>
      <c r="E1547" s="9">
        <v>0.01</v>
      </c>
      <c r="F1547" s="9">
        <v>0.01</v>
      </c>
      <c r="G1547" s="9">
        <v>1.25</v>
      </c>
      <c r="H1547" s="9">
        <v>0.76</v>
      </c>
      <c r="I1547" s="9">
        <v>1.24</v>
      </c>
      <c r="J1547" s="7" t="s">
        <v>325</v>
      </c>
    </row>
    <row r="1548" spans="1:10" x14ac:dyDescent="0.35">
      <c r="A1548" s="7" t="s">
        <v>40</v>
      </c>
      <c r="B1548" s="7" t="s">
        <v>194</v>
      </c>
      <c r="C1548" s="7" t="s">
        <v>76</v>
      </c>
      <c r="D1548" s="9">
        <v>0</v>
      </c>
      <c r="E1548" s="9">
        <v>0.03</v>
      </c>
      <c r="F1548" s="9">
        <v>0.01</v>
      </c>
      <c r="G1548" s="9">
        <v>2.21</v>
      </c>
      <c r="H1548" s="9">
        <v>38.44</v>
      </c>
      <c r="I1548" s="9">
        <v>4.6900000000000004</v>
      </c>
      <c r="J1548" s="7" t="s">
        <v>325</v>
      </c>
    </row>
    <row r="1549" spans="1:10" x14ac:dyDescent="0.35">
      <c r="A1549" s="7" t="s">
        <v>23</v>
      </c>
      <c r="B1549" s="7" t="s">
        <v>44</v>
      </c>
      <c r="C1549" s="7" t="s">
        <v>126</v>
      </c>
      <c r="D1549" s="9">
        <v>0.13</v>
      </c>
      <c r="E1549" s="9">
        <v>0.12</v>
      </c>
      <c r="F1549" s="9">
        <v>0.01</v>
      </c>
      <c r="G1549" s="9">
        <v>27.76</v>
      </c>
      <c r="H1549" s="9">
        <v>22.73</v>
      </c>
      <c r="I1549" s="9">
        <v>5.0199999999999996</v>
      </c>
      <c r="J1549" s="7" t="s">
        <v>325</v>
      </c>
    </row>
    <row r="1550" spans="1:10" x14ac:dyDescent="0.35">
      <c r="A1550" s="7" t="s">
        <v>77</v>
      </c>
      <c r="B1550" s="7" t="s">
        <v>78</v>
      </c>
      <c r="C1550" s="7" t="s">
        <v>76</v>
      </c>
      <c r="D1550" s="9">
        <v>0.21</v>
      </c>
      <c r="E1550" s="9">
        <v>0.35</v>
      </c>
      <c r="F1550" s="9">
        <v>0.01</v>
      </c>
      <c r="G1550" s="9">
        <v>180.94</v>
      </c>
      <c r="H1550" s="9">
        <v>385.53</v>
      </c>
      <c r="I1550" s="9">
        <v>3.37</v>
      </c>
      <c r="J1550" s="7" t="s">
        <v>325</v>
      </c>
    </row>
    <row r="1551" spans="1:10" x14ac:dyDescent="0.35">
      <c r="A1551" s="7" t="s">
        <v>86</v>
      </c>
      <c r="B1551" s="7" t="s">
        <v>207</v>
      </c>
      <c r="C1551" s="7" t="s">
        <v>42</v>
      </c>
      <c r="D1551" s="9">
        <v>0.01</v>
      </c>
      <c r="E1551" s="9">
        <v>0.05</v>
      </c>
      <c r="F1551" s="9">
        <v>0.01</v>
      </c>
      <c r="G1551" s="9">
        <v>3.23</v>
      </c>
      <c r="H1551" s="9">
        <v>26.08</v>
      </c>
      <c r="I1551" s="9">
        <v>5.34</v>
      </c>
      <c r="J1551" s="7" t="s">
        <v>325</v>
      </c>
    </row>
    <row r="1552" spans="1:10" x14ac:dyDescent="0.35">
      <c r="A1552" s="7" t="s">
        <v>25</v>
      </c>
      <c r="B1552" s="7" t="s">
        <v>254</v>
      </c>
      <c r="C1552" s="7" t="s">
        <v>42</v>
      </c>
      <c r="D1552" s="9">
        <v>0</v>
      </c>
      <c r="E1552" s="9">
        <v>0.01</v>
      </c>
      <c r="F1552" s="9">
        <v>0.01</v>
      </c>
      <c r="G1552" s="9">
        <v>0</v>
      </c>
      <c r="H1552" s="9">
        <v>10.199999999999999</v>
      </c>
      <c r="I1552" s="9">
        <v>9.24</v>
      </c>
      <c r="J1552" s="7" t="s">
        <v>325</v>
      </c>
    </row>
    <row r="1553" spans="1:10" x14ac:dyDescent="0.35">
      <c r="A1553" s="7" t="s">
        <v>35</v>
      </c>
      <c r="B1553" s="7" t="s">
        <v>36</v>
      </c>
      <c r="C1553" s="7" t="s">
        <v>45</v>
      </c>
      <c r="D1553" s="9">
        <v>0.01</v>
      </c>
      <c r="E1553" s="9">
        <v>0</v>
      </c>
      <c r="F1553" s="9">
        <v>0.01</v>
      </c>
      <c r="G1553" s="9">
        <v>2.27</v>
      </c>
      <c r="H1553" s="9">
        <v>0.22</v>
      </c>
      <c r="I1553" s="9">
        <v>0.92</v>
      </c>
      <c r="J1553" s="7" t="s">
        <v>325</v>
      </c>
    </row>
    <row r="1554" spans="1:10" x14ac:dyDescent="0.35">
      <c r="A1554" s="7" t="s">
        <v>74</v>
      </c>
      <c r="B1554" s="7" t="s">
        <v>137</v>
      </c>
      <c r="C1554" s="7" t="s">
        <v>142</v>
      </c>
      <c r="D1554" s="9">
        <v>0</v>
      </c>
      <c r="E1554" s="9">
        <v>0</v>
      </c>
      <c r="F1554" s="9">
        <v>0.01</v>
      </c>
      <c r="G1554" s="9">
        <v>0</v>
      </c>
      <c r="H1554" s="9">
        <v>0</v>
      </c>
      <c r="I1554" s="9">
        <v>0.01</v>
      </c>
      <c r="J1554" s="7" t="s">
        <v>325</v>
      </c>
    </row>
    <row r="1555" spans="1:10" x14ac:dyDescent="0.35">
      <c r="A1555" s="7" t="s">
        <v>23</v>
      </c>
      <c r="B1555" s="7" t="s">
        <v>230</v>
      </c>
      <c r="C1555" s="7" t="s">
        <v>76</v>
      </c>
      <c r="D1555" s="9">
        <v>0.02</v>
      </c>
      <c r="E1555" s="9">
        <v>0.01</v>
      </c>
      <c r="F1555" s="9">
        <v>0.01</v>
      </c>
      <c r="G1555" s="9">
        <v>12.55</v>
      </c>
      <c r="H1555" s="9">
        <v>5.82</v>
      </c>
      <c r="I1555" s="9">
        <v>9.74</v>
      </c>
      <c r="J1555" s="7" t="s">
        <v>325</v>
      </c>
    </row>
    <row r="1556" spans="1:10" ht="26.25" customHeight="1" x14ac:dyDescent="0.35">
      <c r="A1556" s="7" t="s">
        <v>159</v>
      </c>
      <c r="B1556" s="7" t="s">
        <v>160</v>
      </c>
      <c r="C1556" s="7" t="s">
        <v>81</v>
      </c>
      <c r="D1556" s="9">
        <v>0</v>
      </c>
      <c r="E1556" s="9">
        <v>0.03</v>
      </c>
      <c r="F1556" s="9">
        <v>0.01</v>
      </c>
      <c r="G1556" s="9">
        <v>2.64</v>
      </c>
      <c r="H1556" s="9">
        <v>100.2</v>
      </c>
      <c r="I1556" s="9">
        <v>44.53</v>
      </c>
      <c r="J1556" s="7" t="s">
        <v>325</v>
      </c>
    </row>
    <row r="1557" spans="1:10" x14ac:dyDescent="0.35">
      <c r="A1557" s="7" t="s">
        <v>94</v>
      </c>
      <c r="B1557" s="7" t="s">
        <v>247</v>
      </c>
      <c r="C1557" s="7" t="s">
        <v>39</v>
      </c>
      <c r="D1557" s="9">
        <v>0.01</v>
      </c>
      <c r="E1557" s="9">
        <v>0.02</v>
      </c>
      <c r="F1557" s="9">
        <v>0.01</v>
      </c>
      <c r="G1557" s="9">
        <v>6.01</v>
      </c>
      <c r="H1557" s="9">
        <v>10.199999999999999</v>
      </c>
      <c r="I1557" s="9">
        <v>2.9</v>
      </c>
      <c r="J1557" s="7" t="s">
        <v>325</v>
      </c>
    </row>
    <row r="1558" spans="1:10" x14ac:dyDescent="0.35">
      <c r="A1558" s="7" t="s">
        <v>23</v>
      </c>
      <c r="B1558" s="7" t="s">
        <v>123</v>
      </c>
      <c r="C1558" s="7" t="s">
        <v>174</v>
      </c>
      <c r="D1558" s="9">
        <v>0.11</v>
      </c>
      <c r="E1558" s="9">
        <v>0</v>
      </c>
      <c r="F1558" s="9">
        <v>0.01</v>
      </c>
      <c r="G1558" s="9">
        <v>8.51</v>
      </c>
      <c r="H1558" s="9">
        <v>0</v>
      </c>
      <c r="I1558" s="9">
        <v>0.4</v>
      </c>
      <c r="J1558" s="7" t="s">
        <v>325</v>
      </c>
    </row>
    <row r="1559" spans="1:10" x14ac:dyDescent="0.35">
      <c r="A1559" s="7" t="s">
        <v>16</v>
      </c>
      <c r="B1559" s="7" t="s">
        <v>109</v>
      </c>
      <c r="C1559" s="7" t="s">
        <v>181</v>
      </c>
      <c r="D1559" s="9">
        <v>0.01</v>
      </c>
      <c r="E1559" s="9">
        <v>0</v>
      </c>
      <c r="F1559" s="9">
        <v>0.01</v>
      </c>
      <c r="G1559" s="9">
        <v>0.6</v>
      </c>
      <c r="H1559" s="9">
        <v>0.1</v>
      </c>
      <c r="I1559" s="9">
        <v>0.49</v>
      </c>
      <c r="J1559" s="7" t="s">
        <v>325</v>
      </c>
    </row>
    <row r="1560" spans="1:10" x14ac:dyDescent="0.35">
      <c r="A1560" s="7" t="s">
        <v>40</v>
      </c>
      <c r="B1560" s="7" t="s">
        <v>220</v>
      </c>
      <c r="C1560" s="7" t="s">
        <v>170</v>
      </c>
      <c r="D1560" s="9">
        <v>0</v>
      </c>
      <c r="E1560" s="9">
        <v>0.01</v>
      </c>
      <c r="F1560" s="9">
        <v>0.01</v>
      </c>
      <c r="G1560" s="9">
        <v>0</v>
      </c>
      <c r="H1560" s="9">
        <v>2.17</v>
      </c>
      <c r="I1560" s="9">
        <v>1.06</v>
      </c>
      <c r="J1560" s="7" t="s">
        <v>325</v>
      </c>
    </row>
    <row r="1561" spans="1:10" x14ac:dyDescent="0.35">
      <c r="A1561" s="7" t="s">
        <v>35</v>
      </c>
      <c r="B1561" s="7" t="s">
        <v>88</v>
      </c>
      <c r="C1561" s="7" t="s">
        <v>65</v>
      </c>
      <c r="D1561" s="9">
        <v>0.01</v>
      </c>
      <c r="E1561" s="9">
        <v>0.04</v>
      </c>
      <c r="F1561" s="9">
        <v>0.01</v>
      </c>
      <c r="G1561" s="9">
        <v>7.44</v>
      </c>
      <c r="H1561" s="9">
        <v>26.95</v>
      </c>
      <c r="I1561" s="9">
        <v>5.16</v>
      </c>
      <c r="J1561" s="7" t="s">
        <v>325</v>
      </c>
    </row>
    <row r="1562" spans="1:10" x14ac:dyDescent="0.35">
      <c r="A1562" s="7" t="s">
        <v>20</v>
      </c>
      <c r="B1562" s="7" t="s">
        <v>68</v>
      </c>
      <c r="C1562" s="7" t="s">
        <v>62</v>
      </c>
      <c r="D1562" s="9">
        <v>0.02</v>
      </c>
      <c r="E1562" s="9">
        <v>0.04</v>
      </c>
      <c r="F1562" s="9">
        <v>0.01</v>
      </c>
      <c r="G1562" s="9">
        <v>7.24</v>
      </c>
      <c r="H1562" s="9">
        <v>5.08</v>
      </c>
      <c r="I1562" s="9">
        <v>1.35</v>
      </c>
      <c r="J1562" s="7" t="s">
        <v>325</v>
      </c>
    </row>
    <row r="1563" spans="1:10" x14ac:dyDescent="0.35">
      <c r="A1563" s="7" t="s">
        <v>40</v>
      </c>
      <c r="B1563" s="7" t="s">
        <v>164</v>
      </c>
      <c r="C1563" s="7" t="s">
        <v>65</v>
      </c>
      <c r="D1563" s="9">
        <v>0</v>
      </c>
      <c r="E1563" s="9">
        <v>0</v>
      </c>
      <c r="F1563" s="9">
        <v>0.01</v>
      </c>
      <c r="G1563" s="9">
        <v>2.4500000000000002</v>
      </c>
      <c r="H1563" s="9">
        <v>0.68</v>
      </c>
      <c r="I1563" s="9">
        <v>15.96</v>
      </c>
      <c r="J1563" s="7" t="s">
        <v>325</v>
      </c>
    </row>
    <row r="1564" spans="1:10" x14ac:dyDescent="0.35">
      <c r="A1564" s="7" t="s">
        <v>23</v>
      </c>
      <c r="B1564" s="7" t="s">
        <v>30</v>
      </c>
      <c r="C1564" s="7" t="s">
        <v>93</v>
      </c>
      <c r="D1564" s="9">
        <v>0.18</v>
      </c>
      <c r="E1564" s="9">
        <v>0</v>
      </c>
      <c r="F1564" s="9">
        <v>0.01</v>
      </c>
      <c r="G1564" s="9">
        <v>35.479999999999997</v>
      </c>
      <c r="H1564" s="9">
        <v>0</v>
      </c>
      <c r="I1564" s="9">
        <v>1.21</v>
      </c>
      <c r="J1564" s="7" t="s">
        <v>325</v>
      </c>
    </row>
    <row r="1565" spans="1:10" x14ac:dyDescent="0.35">
      <c r="A1565" s="7" t="s">
        <v>16</v>
      </c>
      <c r="B1565" s="7" t="s">
        <v>28</v>
      </c>
      <c r="C1565" s="7" t="s">
        <v>59</v>
      </c>
      <c r="D1565" s="9">
        <v>0</v>
      </c>
      <c r="E1565" s="9">
        <v>0.01</v>
      </c>
      <c r="F1565" s="9">
        <v>0.01</v>
      </c>
      <c r="G1565" s="9">
        <v>0.94</v>
      </c>
      <c r="H1565" s="9">
        <v>7.28</v>
      </c>
      <c r="I1565" s="9">
        <v>4.7300000000000004</v>
      </c>
      <c r="J1565" s="7" t="s">
        <v>325</v>
      </c>
    </row>
    <row r="1566" spans="1:10" x14ac:dyDescent="0.35">
      <c r="A1566" s="7" t="s">
        <v>77</v>
      </c>
      <c r="B1566" s="7" t="s">
        <v>157</v>
      </c>
      <c r="C1566" s="7" t="s">
        <v>42</v>
      </c>
      <c r="D1566" s="9">
        <v>1.42</v>
      </c>
      <c r="E1566" s="9">
        <v>0.09</v>
      </c>
      <c r="F1566" s="9">
        <v>0.01</v>
      </c>
      <c r="G1566" s="8">
        <v>1390.29</v>
      </c>
      <c r="H1566" s="9">
        <v>95.51</v>
      </c>
      <c r="I1566" s="9">
        <v>3.23</v>
      </c>
      <c r="J1566" s="7" t="s">
        <v>325</v>
      </c>
    </row>
    <row r="1567" spans="1:10" ht="26.25" customHeight="1" x14ac:dyDescent="0.35">
      <c r="A1567" s="7" t="s">
        <v>31</v>
      </c>
      <c r="B1567" s="7" t="s">
        <v>146</v>
      </c>
      <c r="C1567" s="7" t="s">
        <v>144</v>
      </c>
      <c r="D1567" s="9">
        <v>0</v>
      </c>
      <c r="E1567" s="9">
        <v>0.01</v>
      </c>
      <c r="F1567" s="9">
        <v>0.01</v>
      </c>
      <c r="G1567" s="9">
        <v>0</v>
      </c>
      <c r="H1567" s="9">
        <v>25.99</v>
      </c>
      <c r="I1567" s="9">
        <v>35</v>
      </c>
      <c r="J1567" s="7" t="s">
        <v>325</v>
      </c>
    </row>
    <row r="1568" spans="1:10" x14ac:dyDescent="0.35">
      <c r="A1568" s="7" t="s">
        <v>40</v>
      </c>
      <c r="B1568" s="7" t="s">
        <v>107</v>
      </c>
      <c r="C1568" s="7" t="s">
        <v>102</v>
      </c>
      <c r="D1568" s="9">
        <v>0</v>
      </c>
      <c r="E1568" s="9">
        <v>0</v>
      </c>
      <c r="F1568" s="9">
        <v>0.01</v>
      </c>
      <c r="G1568" s="9">
        <v>4.09</v>
      </c>
      <c r="H1568" s="9">
        <v>2.56</v>
      </c>
      <c r="I1568" s="9">
        <v>6.15</v>
      </c>
      <c r="J1568" s="7" t="s">
        <v>325</v>
      </c>
    </row>
    <row r="1569" spans="1:10" x14ac:dyDescent="0.35">
      <c r="A1569" s="7" t="s">
        <v>16</v>
      </c>
      <c r="B1569" s="7" t="s">
        <v>52</v>
      </c>
      <c r="C1569" s="7" t="s">
        <v>144</v>
      </c>
      <c r="D1569" s="9">
        <v>0.03</v>
      </c>
      <c r="E1569" s="9">
        <v>0</v>
      </c>
      <c r="F1569" s="9">
        <v>0.01</v>
      </c>
      <c r="G1569" s="9">
        <v>46</v>
      </c>
      <c r="H1569" s="9">
        <v>0</v>
      </c>
      <c r="I1569" s="9">
        <v>22.98</v>
      </c>
      <c r="J1569" s="7" t="s">
        <v>325</v>
      </c>
    </row>
    <row r="1570" spans="1:10" x14ac:dyDescent="0.35">
      <c r="A1570" s="7" t="s">
        <v>66</v>
      </c>
      <c r="B1570" s="7" t="s">
        <v>73</v>
      </c>
      <c r="C1570" s="7" t="s">
        <v>45</v>
      </c>
      <c r="D1570" s="9">
        <v>0.01</v>
      </c>
      <c r="E1570" s="9">
        <v>0.03</v>
      </c>
      <c r="F1570" s="9">
        <v>0.01</v>
      </c>
      <c r="G1570" s="9">
        <v>2.5</v>
      </c>
      <c r="H1570" s="9">
        <v>4.4000000000000004</v>
      </c>
      <c r="I1570" s="9">
        <v>1.81</v>
      </c>
      <c r="J1570" s="7" t="s">
        <v>325</v>
      </c>
    </row>
    <row r="1571" spans="1:10" x14ac:dyDescent="0.35">
      <c r="A1571" s="7" t="s">
        <v>66</v>
      </c>
      <c r="B1571" s="7" t="s">
        <v>219</v>
      </c>
      <c r="C1571" s="7" t="s">
        <v>45</v>
      </c>
      <c r="D1571" s="9">
        <v>0</v>
      </c>
      <c r="E1571" s="9">
        <v>0.01</v>
      </c>
      <c r="F1571" s="9">
        <v>0.01</v>
      </c>
      <c r="G1571" s="9">
        <v>0.15</v>
      </c>
      <c r="H1571" s="9">
        <v>7.84</v>
      </c>
      <c r="I1571" s="9">
        <v>8.84</v>
      </c>
      <c r="J1571" s="7" t="s">
        <v>325</v>
      </c>
    </row>
    <row r="1572" spans="1:10" x14ac:dyDescent="0.35">
      <c r="A1572" s="7" t="s">
        <v>74</v>
      </c>
      <c r="B1572" s="7" t="s">
        <v>98</v>
      </c>
      <c r="C1572" s="7" t="s">
        <v>126</v>
      </c>
      <c r="D1572" s="9">
        <v>0</v>
      </c>
      <c r="E1572" s="9">
        <v>0.02</v>
      </c>
      <c r="F1572" s="9">
        <v>0.01</v>
      </c>
      <c r="G1572" s="9">
        <v>0</v>
      </c>
      <c r="H1572" s="9">
        <v>9.84</v>
      </c>
      <c r="I1572" s="9">
        <v>2.94</v>
      </c>
      <c r="J1572" s="7" t="s">
        <v>325</v>
      </c>
    </row>
    <row r="1573" spans="1:10" x14ac:dyDescent="0.35">
      <c r="A1573" s="7" t="s">
        <v>94</v>
      </c>
      <c r="B1573" s="7" t="s">
        <v>247</v>
      </c>
      <c r="C1573" s="7" t="s">
        <v>126</v>
      </c>
      <c r="D1573" s="9">
        <v>0</v>
      </c>
      <c r="E1573" s="9">
        <v>0</v>
      </c>
      <c r="F1573" s="9">
        <v>0.01</v>
      </c>
      <c r="G1573" s="9">
        <v>0</v>
      </c>
      <c r="H1573" s="9">
        <v>0</v>
      </c>
      <c r="I1573" s="9">
        <v>31.06</v>
      </c>
      <c r="J1573" s="7" t="s">
        <v>325</v>
      </c>
    </row>
    <row r="1574" spans="1:10" x14ac:dyDescent="0.35">
      <c r="A1574" s="7" t="s">
        <v>86</v>
      </c>
      <c r="B1574" s="7" t="s">
        <v>87</v>
      </c>
      <c r="C1574" s="7" t="s">
        <v>110</v>
      </c>
      <c r="D1574" s="9">
        <v>0.31</v>
      </c>
      <c r="E1574" s="9">
        <v>0.77</v>
      </c>
      <c r="F1574" s="9">
        <v>0.01</v>
      </c>
      <c r="G1574" s="9">
        <v>102.67</v>
      </c>
      <c r="H1574" s="9">
        <v>824.83</v>
      </c>
      <c r="I1574" s="9">
        <v>38.74</v>
      </c>
      <c r="J1574" s="7" t="s">
        <v>325</v>
      </c>
    </row>
    <row r="1575" spans="1:10" x14ac:dyDescent="0.35">
      <c r="A1575" s="7" t="s">
        <v>20</v>
      </c>
      <c r="B1575" s="7" t="s">
        <v>56</v>
      </c>
      <c r="C1575" s="7" t="s">
        <v>150</v>
      </c>
      <c r="D1575" s="9">
        <v>0.02</v>
      </c>
      <c r="E1575" s="9">
        <v>0.02</v>
      </c>
      <c r="F1575" s="9">
        <v>0.01</v>
      </c>
      <c r="G1575" s="9">
        <v>1.34</v>
      </c>
      <c r="H1575" s="9">
        <v>1.44</v>
      </c>
      <c r="I1575" s="9">
        <v>0.5</v>
      </c>
      <c r="J1575" s="7" t="s">
        <v>325</v>
      </c>
    </row>
    <row r="1576" spans="1:10" x14ac:dyDescent="0.35">
      <c r="A1576" s="7" t="s">
        <v>20</v>
      </c>
      <c r="B1576" s="7" t="s">
        <v>68</v>
      </c>
      <c r="C1576" s="7" t="s">
        <v>60</v>
      </c>
      <c r="D1576" s="9">
        <v>0.06</v>
      </c>
      <c r="E1576" s="9">
        <v>0.05</v>
      </c>
      <c r="F1576" s="9">
        <v>0.01</v>
      </c>
      <c r="G1576" s="9">
        <v>10.34</v>
      </c>
      <c r="H1576" s="9">
        <v>19.170000000000002</v>
      </c>
      <c r="I1576" s="9">
        <v>1.43</v>
      </c>
      <c r="J1576" s="7" t="s">
        <v>325</v>
      </c>
    </row>
    <row r="1577" spans="1:10" x14ac:dyDescent="0.35">
      <c r="A1577" s="7" t="s">
        <v>86</v>
      </c>
      <c r="B1577" s="7" t="s">
        <v>87</v>
      </c>
      <c r="C1577" s="7" t="s">
        <v>221</v>
      </c>
      <c r="D1577" s="9">
        <v>0.19</v>
      </c>
      <c r="E1577" s="9">
        <v>0.1</v>
      </c>
      <c r="F1577" s="9">
        <v>0.01</v>
      </c>
      <c r="G1577" s="9">
        <v>6.3</v>
      </c>
      <c r="H1577" s="9">
        <v>5.0999999999999996</v>
      </c>
      <c r="I1577" s="9">
        <v>2.48</v>
      </c>
      <c r="J1577" s="7" t="s">
        <v>325</v>
      </c>
    </row>
    <row r="1578" spans="1:10" x14ac:dyDescent="0.35">
      <c r="A1578" s="7" t="s">
        <v>86</v>
      </c>
      <c r="B1578" s="7" t="s">
        <v>106</v>
      </c>
      <c r="C1578" s="7" t="s">
        <v>126</v>
      </c>
      <c r="D1578" s="9">
        <v>0.02</v>
      </c>
      <c r="E1578" s="9">
        <v>0.01</v>
      </c>
      <c r="F1578" s="9">
        <v>0.01</v>
      </c>
      <c r="G1578" s="9">
        <v>6.19</v>
      </c>
      <c r="H1578" s="9">
        <v>2.87</v>
      </c>
      <c r="I1578" s="9">
        <v>3.94</v>
      </c>
      <c r="J1578" s="7" t="s">
        <v>325</v>
      </c>
    </row>
    <row r="1579" spans="1:10" x14ac:dyDescent="0.35">
      <c r="A1579" s="7" t="s">
        <v>166</v>
      </c>
      <c r="B1579" s="7" t="s">
        <v>248</v>
      </c>
      <c r="C1579" s="7" t="s">
        <v>76</v>
      </c>
      <c r="D1579" s="9">
        <v>0.13</v>
      </c>
      <c r="E1579" s="9">
        <v>0.11</v>
      </c>
      <c r="F1579" s="9">
        <v>0.01</v>
      </c>
      <c r="G1579" s="9">
        <v>52.74</v>
      </c>
      <c r="H1579" s="9">
        <v>24.67</v>
      </c>
      <c r="I1579" s="9">
        <v>3</v>
      </c>
      <c r="J1579" s="7" t="s">
        <v>325</v>
      </c>
    </row>
    <row r="1580" spans="1:10" x14ac:dyDescent="0.35">
      <c r="A1580" s="7" t="s">
        <v>23</v>
      </c>
      <c r="B1580" s="7" t="s">
        <v>24</v>
      </c>
      <c r="C1580" s="7" t="s">
        <v>53</v>
      </c>
      <c r="D1580" s="9">
        <v>0.13</v>
      </c>
      <c r="E1580" s="9">
        <v>0.17</v>
      </c>
      <c r="F1580" s="9">
        <v>0.01</v>
      </c>
      <c r="G1580" s="9">
        <v>29.83</v>
      </c>
      <c r="H1580" s="9">
        <v>43.43</v>
      </c>
      <c r="I1580" s="9">
        <v>1.7</v>
      </c>
      <c r="J1580" s="7" t="s">
        <v>325</v>
      </c>
    </row>
    <row r="1581" spans="1:10" x14ac:dyDescent="0.35">
      <c r="A1581" s="7" t="s">
        <v>79</v>
      </c>
      <c r="B1581" s="7" t="s">
        <v>92</v>
      </c>
      <c r="C1581" s="7" t="s">
        <v>55</v>
      </c>
      <c r="D1581" s="9">
        <v>1.08</v>
      </c>
      <c r="E1581" s="9">
        <v>0.02</v>
      </c>
      <c r="F1581" s="9">
        <v>0.01</v>
      </c>
      <c r="G1581" s="9">
        <v>954.76</v>
      </c>
      <c r="H1581" s="9">
        <v>9.89</v>
      </c>
      <c r="I1581" s="9">
        <v>2.4900000000000002</v>
      </c>
      <c r="J1581" s="7" t="s">
        <v>325</v>
      </c>
    </row>
    <row r="1582" spans="1:10" x14ac:dyDescent="0.35">
      <c r="A1582" s="7" t="s">
        <v>77</v>
      </c>
      <c r="B1582" s="7" t="s">
        <v>132</v>
      </c>
      <c r="C1582" s="7" t="s">
        <v>65</v>
      </c>
      <c r="D1582" s="9">
        <v>0</v>
      </c>
      <c r="E1582" s="9">
        <v>0.01</v>
      </c>
      <c r="F1582" s="9">
        <v>0.01</v>
      </c>
      <c r="G1582" s="9">
        <v>0.42</v>
      </c>
      <c r="H1582" s="9">
        <v>11.97</v>
      </c>
      <c r="I1582" s="9">
        <v>13.09</v>
      </c>
      <c r="J1582" s="7" t="s">
        <v>325</v>
      </c>
    </row>
    <row r="1583" spans="1:10" x14ac:dyDescent="0.35">
      <c r="A1583" s="7" t="s">
        <v>94</v>
      </c>
      <c r="B1583" s="7" t="s">
        <v>247</v>
      </c>
      <c r="C1583" s="7" t="s">
        <v>42</v>
      </c>
      <c r="D1583" s="9">
        <v>0.03</v>
      </c>
      <c r="E1583" s="9">
        <v>7.0000000000000007E-2</v>
      </c>
      <c r="F1583" s="9">
        <v>0.01</v>
      </c>
      <c r="G1583" s="9">
        <v>363.81</v>
      </c>
      <c r="H1583" s="8">
        <v>1294.3</v>
      </c>
      <c r="I1583" s="9">
        <v>145</v>
      </c>
      <c r="J1583" s="7" t="s">
        <v>325</v>
      </c>
    </row>
    <row r="1584" spans="1:10" x14ac:dyDescent="0.35">
      <c r="A1584" s="7" t="s">
        <v>49</v>
      </c>
      <c r="B1584" s="7" t="s">
        <v>121</v>
      </c>
      <c r="C1584" s="7" t="s">
        <v>48</v>
      </c>
      <c r="D1584" s="9">
        <v>0.03</v>
      </c>
      <c r="E1584" s="9">
        <v>0.1</v>
      </c>
      <c r="F1584" s="9">
        <v>0.01</v>
      </c>
      <c r="G1584" s="9">
        <v>10.85</v>
      </c>
      <c r="H1584" s="9">
        <v>22.73</v>
      </c>
      <c r="I1584" s="9">
        <v>1.1100000000000001</v>
      </c>
      <c r="J1584" s="7" t="s">
        <v>325</v>
      </c>
    </row>
    <row r="1585" spans="1:10" x14ac:dyDescent="0.35">
      <c r="A1585" s="7" t="s">
        <v>74</v>
      </c>
      <c r="B1585" s="7" t="s">
        <v>75</v>
      </c>
      <c r="C1585" s="7" t="s">
        <v>51</v>
      </c>
      <c r="D1585" s="9">
        <v>0.1</v>
      </c>
      <c r="E1585" s="9">
        <v>0</v>
      </c>
      <c r="F1585" s="9">
        <v>0.01</v>
      </c>
      <c r="G1585" s="9">
        <v>43.73</v>
      </c>
      <c r="H1585" s="9">
        <v>0.1</v>
      </c>
      <c r="I1585" s="9">
        <v>2.8</v>
      </c>
      <c r="J1585" s="7" t="s">
        <v>325</v>
      </c>
    </row>
    <row r="1586" spans="1:10" x14ac:dyDescent="0.35">
      <c r="A1586" s="7" t="s">
        <v>35</v>
      </c>
      <c r="B1586" s="7" t="s">
        <v>38</v>
      </c>
      <c r="C1586" s="7" t="s">
        <v>151</v>
      </c>
      <c r="D1586" s="9">
        <v>7.0000000000000007E-2</v>
      </c>
      <c r="E1586" s="9">
        <v>0.05</v>
      </c>
      <c r="F1586" s="9">
        <v>0.01</v>
      </c>
      <c r="G1586" s="9">
        <v>35.06</v>
      </c>
      <c r="H1586" s="9">
        <v>30.23</v>
      </c>
      <c r="I1586" s="9">
        <v>4.62</v>
      </c>
      <c r="J1586" s="7" t="s">
        <v>325</v>
      </c>
    </row>
    <row r="1587" spans="1:10" x14ac:dyDescent="0.35">
      <c r="A1587" s="7" t="s">
        <v>35</v>
      </c>
      <c r="B1587" s="7" t="s">
        <v>165</v>
      </c>
      <c r="C1587" s="7" t="s">
        <v>170</v>
      </c>
      <c r="D1587" s="9">
        <v>0</v>
      </c>
      <c r="E1587" s="9">
        <v>0.02</v>
      </c>
      <c r="F1587" s="9">
        <v>0.01</v>
      </c>
      <c r="G1587" s="9">
        <v>0</v>
      </c>
      <c r="H1587" s="9">
        <v>1.65</v>
      </c>
      <c r="I1587" s="9">
        <v>0.46</v>
      </c>
      <c r="J1587" s="7" t="s">
        <v>325</v>
      </c>
    </row>
    <row r="1588" spans="1:10" x14ac:dyDescent="0.35">
      <c r="A1588" s="7" t="s">
        <v>40</v>
      </c>
      <c r="B1588" s="7" t="s">
        <v>183</v>
      </c>
      <c r="C1588" s="7" t="s">
        <v>53</v>
      </c>
      <c r="D1588" s="9">
        <v>7.0000000000000007E-2</v>
      </c>
      <c r="E1588" s="9">
        <v>7.0000000000000007E-2</v>
      </c>
      <c r="F1588" s="9">
        <v>0.01</v>
      </c>
      <c r="G1588" s="9">
        <v>22.47</v>
      </c>
      <c r="H1588" s="9">
        <v>27.66</v>
      </c>
      <c r="I1588" s="9">
        <v>2.33</v>
      </c>
      <c r="J1588" s="7" t="s">
        <v>325</v>
      </c>
    </row>
    <row r="1589" spans="1:10" x14ac:dyDescent="0.35">
      <c r="A1589" s="7" t="s">
        <v>25</v>
      </c>
      <c r="B1589" s="7" t="s">
        <v>29</v>
      </c>
      <c r="C1589" s="7" t="s">
        <v>102</v>
      </c>
      <c r="D1589" s="9">
        <v>0</v>
      </c>
      <c r="E1589" s="9">
        <v>0</v>
      </c>
      <c r="F1589" s="9">
        <v>0.01</v>
      </c>
      <c r="G1589" s="9">
        <v>0.19</v>
      </c>
      <c r="H1589" s="9">
        <v>0.48</v>
      </c>
      <c r="I1589" s="9">
        <v>27.77</v>
      </c>
      <c r="J1589" s="7" t="s">
        <v>325</v>
      </c>
    </row>
    <row r="1590" spans="1:10" x14ac:dyDescent="0.35">
      <c r="A1590" s="7" t="s">
        <v>16</v>
      </c>
      <c r="B1590" s="7" t="s">
        <v>135</v>
      </c>
      <c r="C1590" s="7" t="s">
        <v>118</v>
      </c>
      <c r="D1590" s="9">
        <v>0.01</v>
      </c>
      <c r="E1590" s="9">
        <v>0</v>
      </c>
      <c r="F1590" s="9">
        <v>0.01</v>
      </c>
      <c r="G1590" s="9">
        <v>1.84</v>
      </c>
      <c r="H1590" s="9">
        <v>0.53</v>
      </c>
      <c r="I1590" s="9">
        <v>1.1599999999999999</v>
      </c>
      <c r="J1590" s="7" t="s">
        <v>325</v>
      </c>
    </row>
    <row r="1591" spans="1:10" x14ac:dyDescent="0.35">
      <c r="A1591" s="7" t="s">
        <v>40</v>
      </c>
      <c r="B1591" s="7" t="s">
        <v>117</v>
      </c>
      <c r="C1591" s="7" t="s">
        <v>116</v>
      </c>
      <c r="D1591" s="9">
        <v>0</v>
      </c>
      <c r="E1591" s="9">
        <v>0</v>
      </c>
      <c r="F1591" s="9">
        <v>0.01</v>
      </c>
      <c r="G1591" s="9">
        <v>0</v>
      </c>
      <c r="H1591" s="9">
        <v>0</v>
      </c>
      <c r="I1591" s="9">
        <v>18</v>
      </c>
      <c r="J1591" s="7" t="s">
        <v>325</v>
      </c>
    </row>
    <row r="1592" spans="1:10" x14ac:dyDescent="0.35">
      <c r="A1592" s="7" t="s">
        <v>166</v>
      </c>
      <c r="B1592" s="7" t="s">
        <v>248</v>
      </c>
      <c r="C1592" s="7" t="s">
        <v>102</v>
      </c>
      <c r="D1592" s="9">
        <v>2.0299999999999998</v>
      </c>
      <c r="E1592" s="9">
        <v>0.37</v>
      </c>
      <c r="F1592" s="9">
        <v>0.01</v>
      </c>
      <c r="G1592" s="9">
        <v>712.56</v>
      </c>
      <c r="H1592" s="9">
        <v>207.06</v>
      </c>
      <c r="I1592" s="9">
        <v>5.01</v>
      </c>
      <c r="J1592" s="7" t="s">
        <v>325</v>
      </c>
    </row>
    <row r="1593" spans="1:10" x14ac:dyDescent="0.35">
      <c r="A1593" s="7" t="s">
        <v>16</v>
      </c>
      <c r="B1593" s="7" t="s">
        <v>89</v>
      </c>
      <c r="C1593" s="7" t="s">
        <v>126</v>
      </c>
      <c r="D1593" s="9">
        <v>0.22</v>
      </c>
      <c r="E1593" s="9">
        <v>0.02</v>
      </c>
      <c r="F1593" s="9">
        <v>0.01</v>
      </c>
      <c r="G1593" s="9">
        <v>146.28</v>
      </c>
      <c r="H1593" s="9">
        <v>10.71</v>
      </c>
      <c r="I1593" s="9">
        <v>4.3600000000000003</v>
      </c>
      <c r="J1593" s="7" t="s">
        <v>325</v>
      </c>
    </row>
    <row r="1594" spans="1:10" x14ac:dyDescent="0.35">
      <c r="A1594" s="7" t="s">
        <v>31</v>
      </c>
      <c r="B1594" s="7" t="s">
        <v>141</v>
      </c>
      <c r="C1594" s="7" t="s">
        <v>114</v>
      </c>
      <c r="D1594" s="9">
        <v>0.04</v>
      </c>
      <c r="E1594" s="9">
        <v>0</v>
      </c>
      <c r="F1594" s="9">
        <v>0.01</v>
      </c>
      <c r="G1594" s="9">
        <v>18.79</v>
      </c>
      <c r="H1594" s="9">
        <v>1.68</v>
      </c>
      <c r="I1594" s="9">
        <v>1.1000000000000001</v>
      </c>
      <c r="J1594" s="7" t="s">
        <v>325</v>
      </c>
    </row>
    <row r="1595" spans="1:10" x14ac:dyDescent="0.35">
      <c r="A1595" s="7" t="s">
        <v>77</v>
      </c>
      <c r="B1595" s="7" t="s">
        <v>149</v>
      </c>
      <c r="C1595" s="7" t="s">
        <v>53</v>
      </c>
      <c r="D1595" s="9">
        <v>0.01</v>
      </c>
      <c r="E1595" s="9">
        <v>0.04</v>
      </c>
      <c r="F1595" s="9">
        <v>0.01</v>
      </c>
      <c r="G1595" s="9">
        <v>0.49</v>
      </c>
      <c r="H1595" s="9">
        <v>1.52</v>
      </c>
      <c r="I1595" s="9">
        <v>0.2</v>
      </c>
      <c r="J1595" s="7" t="s">
        <v>325</v>
      </c>
    </row>
    <row r="1596" spans="1:10" x14ac:dyDescent="0.35">
      <c r="A1596" s="7" t="s">
        <v>20</v>
      </c>
      <c r="B1596" s="7" t="s">
        <v>235</v>
      </c>
      <c r="C1596" s="7" t="s">
        <v>39</v>
      </c>
      <c r="D1596" s="9">
        <v>0.1</v>
      </c>
      <c r="E1596" s="9">
        <v>0.42</v>
      </c>
      <c r="F1596" s="9">
        <v>0.01</v>
      </c>
      <c r="G1596" s="9">
        <v>71.2</v>
      </c>
      <c r="H1596" s="9">
        <v>43.29</v>
      </c>
      <c r="I1596" s="9">
        <v>1.45</v>
      </c>
      <c r="J1596" s="7" t="s">
        <v>325</v>
      </c>
    </row>
    <row r="1597" spans="1:10" x14ac:dyDescent="0.35">
      <c r="A1597" s="7" t="s">
        <v>251</v>
      </c>
      <c r="B1597" s="7" t="s">
        <v>252</v>
      </c>
      <c r="C1597" s="7" t="s">
        <v>51</v>
      </c>
      <c r="D1597" s="9">
        <v>0.05</v>
      </c>
      <c r="E1597" s="9">
        <v>7.0000000000000007E-2</v>
      </c>
      <c r="F1597" s="9">
        <v>0.01</v>
      </c>
      <c r="G1597" s="9">
        <v>21.25</v>
      </c>
      <c r="H1597" s="9">
        <v>27.27</v>
      </c>
      <c r="I1597" s="9">
        <v>2.94</v>
      </c>
      <c r="J1597" s="7" t="s">
        <v>325</v>
      </c>
    </row>
    <row r="1598" spans="1:10" x14ac:dyDescent="0.35">
      <c r="A1598" s="7" t="s">
        <v>31</v>
      </c>
      <c r="B1598" s="7" t="s">
        <v>141</v>
      </c>
      <c r="C1598" s="7" t="s">
        <v>59</v>
      </c>
      <c r="D1598" s="9">
        <v>0.06</v>
      </c>
      <c r="E1598" s="9">
        <v>0.15</v>
      </c>
      <c r="F1598" s="9">
        <v>0.01</v>
      </c>
      <c r="G1598" s="9">
        <v>14.29</v>
      </c>
      <c r="H1598" s="9">
        <v>37.42</v>
      </c>
      <c r="I1598" s="9">
        <v>0.83</v>
      </c>
      <c r="J1598" s="7" t="s">
        <v>325</v>
      </c>
    </row>
    <row r="1599" spans="1:10" x14ac:dyDescent="0.35">
      <c r="A1599" s="7" t="s">
        <v>86</v>
      </c>
      <c r="B1599" s="7" t="s">
        <v>87</v>
      </c>
      <c r="C1599" s="7" t="s">
        <v>33</v>
      </c>
      <c r="D1599" s="9">
        <v>7.0000000000000007E-2</v>
      </c>
      <c r="E1599" s="9">
        <v>0.01</v>
      </c>
      <c r="F1599" s="9">
        <v>0.01</v>
      </c>
      <c r="G1599" s="9">
        <v>33.35</v>
      </c>
      <c r="H1599" s="9">
        <v>3.34</v>
      </c>
      <c r="I1599" s="9">
        <v>0.82</v>
      </c>
      <c r="J1599" s="7" t="s">
        <v>325</v>
      </c>
    </row>
    <row r="1600" spans="1:10" x14ac:dyDescent="0.35">
      <c r="A1600" s="7" t="s">
        <v>94</v>
      </c>
      <c r="B1600" s="7" t="s">
        <v>112</v>
      </c>
      <c r="C1600" s="7" t="s">
        <v>72</v>
      </c>
      <c r="D1600" s="9">
        <v>0.16</v>
      </c>
      <c r="E1600" s="9">
        <v>0.02</v>
      </c>
      <c r="F1600" s="9">
        <v>0.01</v>
      </c>
      <c r="G1600" s="9">
        <v>95.05</v>
      </c>
      <c r="H1600" s="9">
        <v>11.25</v>
      </c>
      <c r="I1600" s="9">
        <v>3.5</v>
      </c>
      <c r="J1600" s="7" t="s">
        <v>325</v>
      </c>
    </row>
    <row r="1601" spans="1:10" x14ac:dyDescent="0.35">
      <c r="A1601" s="7" t="s">
        <v>86</v>
      </c>
      <c r="B1601" s="7" t="s">
        <v>106</v>
      </c>
      <c r="C1601" s="7" t="s">
        <v>102</v>
      </c>
      <c r="D1601" s="9">
        <v>0.01</v>
      </c>
      <c r="E1601" s="9">
        <v>0.04</v>
      </c>
      <c r="F1601" s="9">
        <v>0.01</v>
      </c>
      <c r="G1601" s="9">
        <v>4.6100000000000003</v>
      </c>
      <c r="H1601" s="9">
        <v>6.23</v>
      </c>
      <c r="I1601" s="9">
        <v>3.54</v>
      </c>
      <c r="J1601" s="7" t="s">
        <v>325</v>
      </c>
    </row>
    <row r="1602" spans="1:10" x14ac:dyDescent="0.35">
      <c r="A1602" s="7" t="s">
        <v>77</v>
      </c>
      <c r="B1602" s="7" t="s">
        <v>78</v>
      </c>
      <c r="C1602" s="7" t="s">
        <v>126</v>
      </c>
      <c r="D1602" s="9">
        <v>0.05</v>
      </c>
      <c r="E1602" s="9">
        <v>0.02</v>
      </c>
      <c r="F1602" s="9">
        <v>0.01</v>
      </c>
      <c r="G1602" s="9">
        <v>30.82</v>
      </c>
      <c r="H1602" s="9">
        <v>8.5399999999999991</v>
      </c>
      <c r="I1602" s="9">
        <v>3.54</v>
      </c>
      <c r="J1602" s="7" t="s">
        <v>325</v>
      </c>
    </row>
    <row r="1603" spans="1:10" x14ac:dyDescent="0.35">
      <c r="A1603" s="7" t="s">
        <v>31</v>
      </c>
      <c r="B1603" s="7" t="s">
        <v>139</v>
      </c>
      <c r="C1603" s="7" t="s">
        <v>144</v>
      </c>
      <c r="D1603" s="9">
        <v>0</v>
      </c>
      <c r="E1603" s="9">
        <v>0</v>
      </c>
      <c r="F1603" s="9">
        <v>0.01</v>
      </c>
      <c r="G1603" s="9">
        <v>5.0999999999999996</v>
      </c>
      <c r="H1603" s="9">
        <v>3.6</v>
      </c>
      <c r="I1603" s="9">
        <v>15.03</v>
      </c>
      <c r="J1603" s="7" t="s">
        <v>325</v>
      </c>
    </row>
    <row r="1604" spans="1:10" x14ac:dyDescent="0.35">
      <c r="A1604" s="7" t="s">
        <v>23</v>
      </c>
      <c r="B1604" s="7" t="s">
        <v>44</v>
      </c>
      <c r="C1604" s="7" t="s">
        <v>170</v>
      </c>
      <c r="D1604" s="9">
        <v>0.92</v>
      </c>
      <c r="E1604" s="9">
        <v>0.02</v>
      </c>
      <c r="F1604" s="9">
        <v>0.01</v>
      </c>
      <c r="G1604" s="9">
        <v>131.19999999999999</v>
      </c>
      <c r="H1604" s="9">
        <v>1.47</v>
      </c>
      <c r="I1604" s="9">
        <v>0.84</v>
      </c>
      <c r="J1604" s="7" t="s">
        <v>325</v>
      </c>
    </row>
    <row r="1605" spans="1:10" x14ac:dyDescent="0.35">
      <c r="A1605" s="7" t="s">
        <v>231</v>
      </c>
      <c r="B1605" s="7" t="s">
        <v>232</v>
      </c>
      <c r="C1605" s="7" t="s">
        <v>55</v>
      </c>
      <c r="D1605" s="9">
        <v>0.02</v>
      </c>
      <c r="E1605" s="9">
        <v>0.02</v>
      </c>
      <c r="F1605" s="9">
        <v>0.01</v>
      </c>
      <c r="G1605" s="9">
        <v>66.87</v>
      </c>
      <c r="H1605" s="9">
        <v>69.39</v>
      </c>
      <c r="I1605" s="9">
        <v>30.56</v>
      </c>
      <c r="J1605" s="7" t="s">
        <v>325</v>
      </c>
    </row>
    <row r="1606" spans="1:10" x14ac:dyDescent="0.35">
      <c r="A1606" s="7" t="s">
        <v>49</v>
      </c>
      <c r="B1606" s="7" t="s">
        <v>237</v>
      </c>
      <c r="C1606" s="7" t="s">
        <v>76</v>
      </c>
      <c r="D1606" s="9">
        <v>0</v>
      </c>
      <c r="E1606" s="9">
        <v>0</v>
      </c>
      <c r="F1606" s="9">
        <v>0.01</v>
      </c>
      <c r="G1606" s="9">
        <v>0.44</v>
      </c>
      <c r="H1606" s="9">
        <v>1.67</v>
      </c>
      <c r="I1606" s="9">
        <v>4.41</v>
      </c>
      <c r="J1606" s="7" t="s">
        <v>325</v>
      </c>
    </row>
    <row r="1607" spans="1:10" x14ac:dyDescent="0.35">
      <c r="A1607" s="7" t="s">
        <v>20</v>
      </c>
      <c r="B1607" s="7" t="s">
        <v>145</v>
      </c>
      <c r="C1607" s="7" t="s">
        <v>72</v>
      </c>
      <c r="D1607" s="9">
        <v>0</v>
      </c>
      <c r="E1607" s="9">
        <v>0</v>
      </c>
      <c r="F1607" s="9">
        <v>0.01</v>
      </c>
      <c r="G1607" s="9">
        <v>0</v>
      </c>
      <c r="H1607" s="9">
        <v>0</v>
      </c>
      <c r="I1607" s="9">
        <v>1.5</v>
      </c>
      <c r="J1607" s="7" t="s">
        <v>325</v>
      </c>
    </row>
    <row r="1608" spans="1:10" x14ac:dyDescent="0.35">
      <c r="A1608" s="7" t="s">
        <v>31</v>
      </c>
      <c r="B1608" s="7" t="s">
        <v>215</v>
      </c>
      <c r="C1608" s="7" t="s">
        <v>53</v>
      </c>
      <c r="D1608" s="9">
        <v>0.02</v>
      </c>
      <c r="E1608" s="9">
        <v>0.02</v>
      </c>
      <c r="F1608" s="9">
        <v>0.01</v>
      </c>
      <c r="G1608" s="9">
        <v>10.15</v>
      </c>
      <c r="H1608" s="9">
        <v>13.84</v>
      </c>
      <c r="I1608" s="9">
        <v>5.35</v>
      </c>
      <c r="J1608" s="7" t="s">
        <v>325</v>
      </c>
    </row>
    <row r="1609" spans="1:10" x14ac:dyDescent="0.35">
      <c r="A1609" s="7" t="s">
        <v>31</v>
      </c>
      <c r="B1609" s="7" t="s">
        <v>192</v>
      </c>
      <c r="C1609" s="7" t="s">
        <v>54</v>
      </c>
      <c r="D1609" s="9">
        <v>0.03</v>
      </c>
      <c r="E1609" s="9">
        <v>0</v>
      </c>
      <c r="F1609" s="9">
        <v>0.01</v>
      </c>
      <c r="G1609" s="9">
        <v>16.36</v>
      </c>
      <c r="H1609" s="9">
        <v>3.24</v>
      </c>
      <c r="I1609" s="9">
        <v>1.18</v>
      </c>
      <c r="J1609" s="7" t="s">
        <v>325</v>
      </c>
    </row>
    <row r="1610" spans="1:10" x14ac:dyDescent="0.35">
      <c r="A1610" s="7" t="s">
        <v>40</v>
      </c>
      <c r="B1610" s="7" t="s">
        <v>241</v>
      </c>
      <c r="C1610" s="7" t="s">
        <v>102</v>
      </c>
      <c r="D1610" s="9">
        <v>0.49</v>
      </c>
      <c r="E1610" s="9">
        <v>0.11</v>
      </c>
      <c r="F1610" s="9">
        <v>0.01</v>
      </c>
      <c r="G1610" s="9">
        <v>726.14</v>
      </c>
      <c r="H1610" s="9">
        <v>183.15</v>
      </c>
      <c r="I1610" s="9">
        <v>6.6</v>
      </c>
      <c r="J1610" s="7" t="s">
        <v>325</v>
      </c>
    </row>
    <row r="1611" spans="1:10" ht="26.25" customHeight="1" x14ac:dyDescent="0.35">
      <c r="A1611" s="7" t="s">
        <v>31</v>
      </c>
      <c r="B1611" s="7" t="s">
        <v>146</v>
      </c>
      <c r="C1611" s="7" t="s">
        <v>179</v>
      </c>
      <c r="D1611" s="9">
        <v>0</v>
      </c>
      <c r="E1611" s="9">
        <v>0</v>
      </c>
      <c r="F1611" s="9">
        <v>0.01</v>
      </c>
      <c r="G1611" s="9">
        <v>0</v>
      </c>
      <c r="H1611" s="9">
        <v>0</v>
      </c>
      <c r="I1611" s="9">
        <v>5</v>
      </c>
      <c r="J1611" s="7" t="s">
        <v>325</v>
      </c>
    </row>
    <row r="1612" spans="1:10" x14ac:dyDescent="0.35">
      <c r="A1612" s="7" t="s">
        <v>40</v>
      </c>
      <c r="B1612" s="7" t="s">
        <v>220</v>
      </c>
      <c r="C1612" s="7" t="s">
        <v>27</v>
      </c>
      <c r="D1612" s="9">
        <v>0</v>
      </c>
      <c r="E1612" s="9">
        <v>0.01</v>
      </c>
      <c r="F1612" s="9">
        <v>0.01</v>
      </c>
      <c r="G1612" s="9">
        <v>1</v>
      </c>
      <c r="H1612" s="9">
        <v>13.27</v>
      </c>
      <c r="I1612" s="9">
        <v>8.32</v>
      </c>
      <c r="J1612" s="7" t="s">
        <v>325</v>
      </c>
    </row>
    <row r="1613" spans="1:10" x14ac:dyDescent="0.35">
      <c r="A1613" s="7" t="s">
        <v>40</v>
      </c>
      <c r="B1613" s="7" t="s">
        <v>220</v>
      </c>
      <c r="C1613" s="7" t="s">
        <v>65</v>
      </c>
      <c r="D1613" s="9">
        <v>0</v>
      </c>
      <c r="E1613" s="9">
        <v>0.04</v>
      </c>
      <c r="F1613" s="9">
        <v>0.01</v>
      </c>
      <c r="G1613" s="9">
        <v>1.49</v>
      </c>
      <c r="H1613" s="9">
        <v>34.08</v>
      </c>
      <c r="I1613" s="9">
        <v>5.21</v>
      </c>
      <c r="J1613" s="7" t="s">
        <v>325</v>
      </c>
    </row>
    <row r="1614" spans="1:10" x14ac:dyDescent="0.35">
      <c r="A1614" s="7" t="s">
        <v>79</v>
      </c>
      <c r="B1614" s="7" t="s">
        <v>92</v>
      </c>
      <c r="C1614" s="7" t="s">
        <v>72</v>
      </c>
      <c r="D1614" s="9">
        <v>0.01</v>
      </c>
      <c r="E1614" s="9">
        <v>0.03</v>
      </c>
      <c r="F1614" s="9">
        <v>0.01</v>
      </c>
      <c r="G1614" s="9">
        <v>1</v>
      </c>
      <c r="H1614" s="9">
        <v>3.71</v>
      </c>
      <c r="I1614" s="9">
        <v>0.37</v>
      </c>
      <c r="J1614" s="7" t="s">
        <v>325</v>
      </c>
    </row>
    <row r="1615" spans="1:10" x14ac:dyDescent="0.35">
      <c r="A1615" s="7" t="s">
        <v>16</v>
      </c>
      <c r="B1615" s="7" t="s">
        <v>90</v>
      </c>
      <c r="C1615" s="7" t="s">
        <v>118</v>
      </c>
      <c r="D1615" s="9">
        <v>0.03</v>
      </c>
      <c r="E1615" s="9">
        <v>0.05</v>
      </c>
      <c r="F1615" s="9">
        <v>0.01</v>
      </c>
      <c r="G1615" s="9">
        <v>13.98</v>
      </c>
      <c r="H1615" s="9">
        <v>21.62</v>
      </c>
      <c r="I1615" s="9">
        <v>1.8</v>
      </c>
      <c r="J1615" s="7" t="s">
        <v>325</v>
      </c>
    </row>
    <row r="1616" spans="1:10" x14ac:dyDescent="0.35">
      <c r="A1616" s="7" t="s">
        <v>25</v>
      </c>
      <c r="B1616" s="7" t="s">
        <v>26</v>
      </c>
      <c r="C1616" s="7" t="s">
        <v>18</v>
      </c>
      <c r="D1616" s="9">
        <v>0</v>
      </c>
      <c r="E1616" s="9">
        <v>0</v>
      </c>
      <c r="F1616" s="9">
        <v>0.01</v>
      </c>
      <c r="G1616" s="9">
        <v>0</v>
      </c>
      <c r="H1616" s="9">
        <v>0</v>
      </c>
      <c r="I1616" s="9">
        <v>22.36</v>
      </c>
      <c r="J1616" s="7" t="s">
        <v>325</v>
      </c>
    </row>
    <row r="1617" spans="1:10" x14ac:dyDescent="0.35">
      <c r="A1617" s="7" t="s">
        <v>31</v>
      </c>
      <c r="B1617" s="7" t="s">
        <v>139</v>
      </c>
      <c r="C1617" s="7" t="s">
        <v>51</v>
      </c>
      <c r="D1617" s="9">
        <v>1.41</v>
      </c>
      <c r="E1617" s="9">
        <v>1.43</v>
      </c>
      <c r="F1617" s="9">
        <v>0.01</v>
      </c>
      <c r="G1617" s="8">
        <v>1629.41</v>
      </c>
      <c r="H1617" s="8">
        <v>2071.08</v>
      </c>
      <c r="I1617" s="9">
        <v>7</v>
      </c>
      <c r="J1617" s="7" t="s">
        <v>325</v>
      </c>
    </row>
    <row r="1618" spans="1:10" x14ac:dyDescent="0.35">
      <c r="A1618" s="7" t="s">
        <v>40</v>
      </c>
      <c r="B1618" s="7" t="s">
        <v>194</v>
      </c>
      <c r="C1618" s="7" t="s">
        <v>48</v>
      </c>
      <c r="D1618" s="9">
        <v>0.12</v>
      </c>
      <c r="E1618" s="9">
        <v>0.05</v>
      </c>
      <c r="F1618" s="9">
        <v>0.01</v>
      </c>
      <c r="G1618" s="9">
        <v>32.15</v>
      </c>
      <c r="H1618" s="9">
        <v>22.67</v>
      </c>
      <c r="I1618" s="9">
        <v>3.99</v>
      </c>
      <c r="J1618" s="7" t="s">
        <v>325</v>
      </c>
    </row>
    <row r="1619" spans="1:10" x14ac:dyDescent="0.35">
      <c r="A1619" s="7" t="s">
        <v>23</v>
      </c>
      <c r="B1619" s="7" t="s">
        <v>138</v>
      </c>
      <c r="C1619" s="7" t="s">
        <v>54</v>
      </c>
      <c r="D1619" s="9">
        <v>0</v>
      </c>
      <c r="E1619" s="9">
        <v>0.02</v>
      </c>
      <c r="F1619" s="9">
        <v>0.01</v>
      </c>
      <c r="G1619" s="9">
        <v>0</v>
      </c>
      <c r="H1619" s="9">
        <v>5.32</v>
      </c>
      <c r="I1619" s="9">
        <v>2.5</v>
      </c>
      <c r="J1619" s="7" t="s">
        <v>325</v>
      </c>
    </row>
    <row r="1620" spans="1:10" x14ac:dyDescent="0.35">
      <c r="A1620" s="7" t="s">
        <v>77</v>
      </c>
      <c r="B1620" s="7" t="s">
        <v>168</v>
      </c>
      <c r="C1620" s="7" t="s">
        <v>54</v>
      </c>
      <c r="D1620" s="9">
        <v>0.02</v>
      </c>
      <c r="E1620" s="9">
        <v>0.01</v>
      </c>
      <c r="F1620" s="9">
        <v>0.01</v>
      </c>
      <c r="G1620" s="9">
        <v>5.16</v>
      </c>
      <c r="H1620" s="9">
        <v>3.1</v>
      </c>
      <c r="I1620" s="9">
        <v>1.19</v>
      </c>
      <c r="J1620" s="7" t="s">
        <v>325</v>
      </c>
    </row>
    <row r="1621" spans="1:10" x14ac:dyDescent="0.35">
      <c r="A1621" s="7" t="s">
        <v>40</v>
      </c>
      <c r="B1621" s="7" t="s">
        <v>194</v>
      </c>
      <c r="C1621" s="7" t="s">
        <v>42</v>
      </c>
      <c r="D1621" s="9">
        <v>0.09</v>
      </c>
      <c r="E1621" s="9">
        <v>0.01</v>
      </c>
      <c r="F1621" s="9">
        <v>0.01</v>
      </c>
      <c r="G1621" s="9">
        <v>65.08</v>
      </c>
      <c r="H1621" s="9">
        <v>9.36</v>
      </c>
      <c r="I1621" s="9">
        <v>3.38</v>
      </c>
      <c r="J1621" s="7" t="s">
        <v>325</v>
      </c>
    </row>
    <row r="1622" spans="1:10" x14ac:dyDescent="0.35">
      <c r="A1622" s="7" t="s">
        <v>16</v>
      </c>
      <c r="B1622" s="7" t="s">
        <v>90</v>
      </c>
      <c r="C1622" s="7" t="s">
        <v>150</v>
      </c>
      <c r="D1622" s="9">
        <v>0.01</v>
      </c>
      <c r="E1622" s="9">
        <v>0.02</v>
      </c>
      <c r="F1622" s="9">
        <v>0.01</v>
      </c>
      <c r="G1622" s="9">
        <v>1.67</v>
      </c>
      <c r="H1622" s="9">
        <v>4.41</v>
      </c>
      <c r="I1622" s="9">
        <v>2.14</v>
      </c>
      <c r="J1622" s="7" t="s">
        <v>325</v>
      </c>
    </row>
    <row r="1623" spans="1:10" x14ac:dyDescent="0.35">
      <c r="A1623" s="7" t="s">
        <v>49</v>
      </c>
      <c r="B1623" s="7" t="s">
        <v>233</v>
      </c>
      <c r="C1623" s="7" t="s">
        <v>54</v>
      </c>
      <c r="D1623" s="9">
        <v>0.04</v>
      </c>
      <c r="E1623" s="9">
        <v>0.02</v>
      </c>
      <c r="F1623" s="9">
        <v>0.01</v>
      </c>
      <c r="G1623" s="9">
        <v>25.78</v>
      </c>
      <c r="H1623" s="9">
        <v>13.23</v>
      </c>
      <c r="I1623" s="9">
        <v>2.92</v>
      </c>
      <c r="J1623" s="7" t="s">
        <v>325</v>
      </c>
    </row>
    <row r="1624" spans="1:10" x14ac:dyDescent="0.35">
      <c r="A1624" s="7" t="s">
        <v>31</v>
      </c>
      <c r="B1624" s="7" t="s">
        <v>171</v>
      </c>
      <c r="C1624" s="7" t="s">
        <v>84</v>
      </c>
      <c r="D1624" s="9">
        <v>0</v>
      </c>
      <c r="E1624" s="9">
        <v>0</v>
      </c>
      <c r="F1624" s="9">
        <v>0.01</v>
      </c>
      <c r="G1624" s="9">
        <v>0</v>
      </c>
      <c r="H1624" s="9">
        <v>0</v>
      </c>
      <c r="I1624" s="9">
        <v>1</v>
      </c>
      <c r="J1624" s="7" t="s">
        <v>325</v>
      </c>
    </row>
    <row r="1625" spans="1:10" ht="26.25" customHeight="1" x14ac:dyDescent="0.35">
      <c r="A1625" s="7" t="s">
        <v>57</v>
      </c>
      <c r="B1625" s="7" t="s">
        <v>161</v>
      </c>
      <c r="C1625" s="7" t="s">
        <v>81</v>
      </c>
      <c r="D1625" s="9">
        <v>0</v>
      </c>
      <c r="E1625" s="9">
        <v>0</v>
      </c>
      <c r="F1625" s="9">
        <v>0.01</v>
      </c>
      <c r="G1625" s="9">
        <v>0</v>
      </c>
      <c r="H1625" s="9">
        <v>0</v>
      </c>
      <c r="I1625" s="9">
        <v>4.41</v>
      </c>
      <c r="J1625" s="7" t="s">
        <v>325</v>
      </c>
    </row>
    <row r="1626" spans="1:10" x14ac:dyDescent="0.35">
      <c r="A1626" s="7" t="s">
        <v>189</v>
      </c>
      <c r="B1626" s="7" t="s">
        <v>193</v>
      </c>
      <c r="C1626" s="7" t="s">
        <v>54</v>
      </c>
      <c r="D1626" s="9">
        <v>0</v>
      </c>
      <c r="E1626" s="9">
        <v>0.01</v>
      </c>
      <c r="F1626" s="9">
        <v>0.01</v>
      </c>
      <c r="G1626" s="9">
        <v>0</v>
      </c>
      <c r="H1626" s="9">
        <v>6</v>
      </c>
      <c r="I1626" s="9">
        <v>2.37</v>
      </c>
      <c r="J1626" s="7" t="s">
        <v>325</v>
      </c>
    </row>
    <row r="1627" spans="1:10" x14ac:dyDescent="0.35">
      <c r="A1627" s="7" t="s">
        <v>23</v>
      </c>
      <c r="B1627" s="7" t="s">
        <v>30</v>
      </c>
      <c r="C1627" s="7" t="s">
        <v>59</v>
      </c>
      <c r="D1627" s="9">
        <v>0</v>
      </c>
      <c r="E1627" s="9">
        <v>0.02</v>
      </c>
      <c r="F1627" s="9">
        <v>0.01</v>
      </c>
      <c r="G1627" s="9">
        <v>0.13</v>
      </c>
      <c r="H1627" s="9">
        <v>1.19</v>
      </c>
      <c r="I1627" s="9">
        <v>0.4</v>
      </c>
      <c r="J1627" s="7" t="s">
        <v>325</v>
      </c>
    </row>
    <row r="1628" spans="1:10" x14ac:dyDescent="0.35">
      <c r="A1628" s="7" t="s">
        <v>79</v>
      </c>
      <c r="B1628" s="7" t="s">
        <v>255</v>
      </c>
      <c r="C1628" s="7" t="s">
        <v>39</v>
      </c>
      <c r="D1628" s="9">
        <v>0</v>
      </c>
      <c r="E1628" s="9">
        <v>0.01</v>
      </c>
      <c r="F1628" s="9">
        <v>0.01</v>
      </c>
      <c r="G1628" s="9">
        <v>0</v>
      </c>
      <c r="H1628" s="9">
        <v>2.8</v>
      </c>
      <c r="I1628" s="9">
        <v>5.1100000000000003</v>
      </c>
      <c r="J1628" s="7" t="s">
        <v>325</v>
      </c>
    </row>
    <row r="1629" spans="1:10" x14ac:dyDescent="0.35">
      <c r="A1629" s="7" t="s">
        <v>189</v>
      </c>
      <c r="B1629" s="7" t="s">
        <v>227</v>
      </c>
      <c r="C1629" s="7" t="s">
        <v>18</v>
      </c>
      <c r="D1629" s="9">
        <v>0</v>
      </c>
      <c r="E1629" s="9">
        <v>0.02</v>
      </c>
      <c r="F1629" s="9">
        <v>0.01</v>
      </c>
      <c r="G1629" s="9">
        <v>0</v>
      </c>
      <c r="H1629" s="9">
        <v>29.32</v>
      </c>
      <c r="I1629" s="9">
        <v>11.5</v>
      </c>
      <c r="J1629" s="7" t="s">
        <v>325</v>
      </c>
    </row>
    <row r="1630" spans="1:10" x14ac:dyDescent="0.35">
      <c r="A1630" s="7" t="s">
        <v>66</v>
      </c>
      <c r="B1630" s="7" t="s">
        <v>127</v>
      </c>
      <c r="C1630" s="7" t="s">
        <v>126</v>
      </c>
      <c r="D1630" s="9">
        <v>0</v>
      </c>
      <c r="E1630" s="9">
        <v>0</v>
      </c>
      <c r="F1630" s="9">
        <v>0.01</v>
      </c>
      <c r="G1630" s="9">
        <v>1.1000000000000001</v>
      </c>
      <c r="H1630" s="9">
        <v>0.81</v>
      </c>
      <c r="I1630" s="9">
        <v>1.92</v>
      </c>
      <c r="J1630" s="7" t="s">
        <v>325</v>
      </c>
    </row>
    <row r="1631" spans="1:10" x14ac:dyDescent="0.35">
      <c r="A1631" s="7" t="s">
        <v>20</v>
      </c>
      <c r="B1631" s="7" t="s">
        <v>134</v>
      </c>
      <c r="C1631" s="7" t="s">
        <v>122</v>
      </c>
      <c r="D1631" s="9">
        <v>0</v>
      </c>
      <c r="E1631" s="9">
        <v>0.02</v>
      </c>
      <c r="F1631" s="9">
        <v>0.01</v>
      </c>
      <c r="G1631" s="9">
        <v>0</v>
      </c>
      <c r="H1631" s="9">
        <v>2.09</v>
      </c>
      <c r="I1631" s="9">
        <v>1.02</v>
      </c>
      <c r="J1631" s="7" t="s">
        <v>325</v>
      </c>
    </row>
    <row r="1632" spans="1:10" x14ac:dyDescent="0.35">
      <c r="A1632" s="7" t="s">
        <v>74</v>
      </c>
      <c r="B1632" s="7" t="s">
        <v>137</v>
      </c>
      <c r="C1632" s="7" t="s">
        <v>151</v>
      </c>
      <c r="D1632" s="9">
        <v>0</v>
      </c>
      <c r="E1632" s="9">
        <v>0</v>
      </c>
      <c r="F1632" s="9">
        <v>0.01</v>
      </c>
      <c r="G1632" s="9">
        <v>0</v>
      </c>
      <c r="H1632" s="9">
        <v>0</v>
      </c>
      <c r="I1632" s="9">
        <v>0.4</v>
      </c>
      <c r="J1632" s="7" t="s">
        <v>325</v>
      </c>
    </row>
    <row r="1633" spans="1:10" x14ac:dyDescent="0.35">
      <c r="A1633" s="7" t="s">
        <v>77</v>
      </c>
      <c r="B1633" s="7" t="s">
        <v>78</v>
      </c>
      <c r="C1633" s="7" t="s">
        <v>122</v>
      </c>
      <c r="D1633" s="9">
        <v>0.17</v>
      </c>
      <c r="E1633" s="9">
        <v>1.08</v>
      </c>
      <c r="F1633" s="9">
        <v>0.01</v>
      </c>
      <c r="G1633" s="9">
        <v>148.02000000000001</v>
      </c>
      <c r="H1633" s="8">
        <v>1092.48</v>
      </c>
      <c r="I1633" s="9">
        <v>3.49</v>
      </c>
      <c r="J1633" s="7" t="s">
        <v>325</v>
      </c>
    </row>
    <row r="1634" spans="1:10" x14ac:dyDescent="0.35">
      <c r="A1634" s="7" t="s">
        <v>16</v>
      </c>
      <c r="B1634" s="7" t="s">
        <v>89</v>
      </c>
      <c r="C1634" s="7" t="s">
        <v>118</v>
      </c>
      <c r="D1634" s="9">
        <v>7.0000000000000007E-2</v>
      </c>
      <c r="E1634" s="9">
        <v>0.01</v>
      </c>
      <c r="F1634" s="9">
        <v>0.01</v>
      </c>
      <c r="G1634" s="9">
        <v>25.75</v>
      </c>
      <c r="H1634" s="9">
        <v>2.1800000000000002</v>
      </c>
      <c r="I1634" s="9">
        <v>2.91</v>
      </c>
      <c r="J1634" s="7" t="s">
        <v>325</v>
      </c>
    </row>
    <row r="1635" spans="1:10" x14ac:dyDescent="0.35">
      <c r="A1635" s="7" t="s">
        <v>40</v>
      </c>
      <c r="B1635" s="7" t="s">
        <v>220</v>
      </c>
      <c r="C1635" s="7" t="s">
        <v>53</v>
      </c>
      <c r="D1635" s="9">
        <v>0.01</v>
      </c>
      <c r="E1635" s="9">
        <v>0.19</v>
      </c>
      <c r="F1635" s="9">
        <v>0.01</v>
      </c>
      <c r="G1635" s="9">
        <v>4.25</v>
      </c>
      <c r="H1635" s="9">
        <v>135.66999999999999</v>
      </c>
      <c r="I1635" s="9">
        <v>4.58</v>
      </c>
      <c r="J1635" s="7" t="s">
        <v>325</v>
      </c>
    </row>
    <row r="1636" spans="1:10" x14ac:dyDescent="0.35">
      <c r="A1636" s="7" t="s">
        <v>20</v>
      </c>
      <c r="B1636" s="7" t="s">
        <v>222</v>
      </c>
      <c r="C1636" s="7" t="s">
        <v>55</v>
      </c>
      <c r="D1636" s="9">
        <v>0</v>
      </c>
      <c r="E1636" s="9">
        <v>0.01</v>
      </c>
      <c r="F1636" s="9">
        <v>0.01</v>
      </c>
      <c r="G1636" s="9">
        <v>0</v>
      </c>
      <c r="H1636" s="9">
        <v>13.78</v>
      </c>
      <c r="I1636" s="9">
        <v>1.72</v>
      </c>
      <c r="J1636" s="7" t="s">
        <v>325</v>
      </c>
    </row>
    <row r="1637" spans="1:10" x14ac:dyDescent="0.35">
      <c r="A1637" s="7" t="s">
        <v>35</v>
      </c>
      <c r="B1637" s="7" t="s">
        <v>165</v>
      </c>
      <c r="C1637" s="7" t="s">
        <v>126</v>
      </c>
      <c r="D1637" s="9">
        <v>0</v>
      </c>
      <c r="E1637" s="9">
        <v>0.02</v>
      </c>
      <c r="F1637" s="9">
        <v>0.01</v>
      </c>
      <c r="G1637" s="9">
        <v>0</v>
      </c>
      <c r="H1637" s="9">
        <v>15.45</v>
      </c>
      <c r="I1637" s="9">
        <v>4.16</v>
      </c>
      <c r="J1637" s="7" t="s">
        <v>325</v>
      </c>
    </row>
    <row r="1638" spans="1:10" x14ac:dyDescent="0.35">
      <c r="A1638" s="7" t="s">
        <v>40</v>
      </c>
      <c r="B1638" s="7" t="s">
        <v>241</v>
      </c>
      <c r="C1638" s="7" t="s">
        <v>122</v>
      </c>
      <c r="D1638" s="9">
        <v>0.04</v>
      </c>
      <c r="E1638" s="9">
        <v>0.06</v>
      </c>
      <c r="F1638" s="9">
        <v>0.01</v>
      </c>
      <c r="G1638" s="9">
        <v>19.600000000000001</v>
      </c>
      <c r="H1638" s="9">
        <v>26.13</v>
      </c>
      <c r="I1638" s="9">
        <v>0.69</v>
      </c>
      <c r="J1638" s="7" t="s">
        <v>325</v>
      </c>
    </row>
    <row r="1639" spans="1:10" x14ac:dyDescent="0.35">
      <c r="A1639" s="7" t="s">
        <v>66</v>
      </c>
      <c r="B1639" s="7" t="s">
        <v>71</v>
      </c>
      <c r="C1639" s="7" t="s">
        <v>65</v>
      </c>
      <c r="D1639" s="9">
        <v>0.01</v>
      </c>
      <c r="E1639" s="9">
        <v>0.03</v>
      </c>
      <c r="F1639" s="9">
        <v>0.01</v>
      </c>
      <c r="G1639" s="9">
        <v>17.64</v>
      </c>
      <c r="H1639" s="9">
        <v>31.66</v>
      </c>
      <c r="I1639" s="9">
        <v>8.65</v>
      </c>
      <c r="J1639" s="7" t="s">
        <v>325</v>
      </c>
    </row>
    <row r="1640" spans="1:10" x14ac:dyDescent="0.35">
      <c r="A1640" s="7" t="s">
        <v>16</v>
      </c>
      <c r="B1640" s="7" t="s">
        <v>135</v>
      </c>
      <c r="C1640" s="7" t="s">
        <v>102</v>
      </c>
      <c r="D1640" s="9">
        <v>0.54</v>
      </c>
      <c r="E1640" s="9">
        <v>0.23</v>
      </c>
      <c r="F1640" s="9">
        <v>0.01</v>
      </c>
      <c r="G1640" s="9">
        <v>193.6</v>
      </c>
      <c r="H1640" s="9">
        <v>111.23</v>
      </c>
      <c r="I1640" s="9">
        <v>4.05</v>
      </c>
      <c r="J1640" s="7" t="s">
        <v>325</v>
      </c>
    </row>
    <row r="1641" spans="1:10" x14ac:dyDescent="0.35">
      <c r="A1641" s="7" t="s">
        <v>77</v>
      </c>
      <c r="B1641" s="7" t="s">
        <v>157</v>
      </c>
      <c r="C1641" s="7" t="s">
        <v>53</v>
      </c>
      <c r="D1641" s="9">
        <v>0.01</v>
      </c>
      <c r="E1641" s="9">
        <v>0</v>
      </c>
      <c r="F1641" s="9">
        <v>0.01</v>
      </c>
      <c r="G1641" s="9">
        <v>1.74</v>
      </c>
      <c r="H1641" s="9">
        <v>0.32</v>
      </c>
      <c r="I1641" s="9">
        <v>2.81</v>
      </c>
      <c r="J1641" s="7" t="s">
        <v>325</v>
      </c>
    </row>
    <row r="1642" spans="1:10" x14ac:dyDescent="0.35">
      <c r="A1642" s="7" t="s">
        <v>231</v>
      </c>
      <c r="B1642" s="7" t="s">
        <v>236</v>
      </c>
      <c r="C1642" s="7" t="s">
        <v>45</v>
      </c>
      <c r="D1642" s="9">
        <v>0</v>
      </c>
      <c r="E1642" s="9">
        <v>0.02</v>
      </c>
      <c r="F1642" s="9">
        <v>0.01</v>
      </c>
      <c r="G1642" s="9">
        <v>0.44</v>
      </c>
      <c r="H1642" s="9">
        <v>31.84</v>
      </c>
      <c r="I1642" s="9">
        <v>11.49</v>
      </c>
      <c r="J1642" s="7" t="s">
        <v>325</v>
      </c>
    </row>
    <row r="1643" spans="1:10" x14ac:dyDescent="0.35">
      <c r="A1643" s="7" t="s">
        <v>31</v>
      </c>
      <c r="B1643" s="7" t="s">
        <v>169</v>
      </c>
      <c r="C1643" s="7" t="s">
        <v>144</v>
      </c>
      <c r="D1643" s="9">
        <v>0.01</v>
      </c>
      <c r="E1643" s="9">
        <v>0.01</v>
      </c>
      <c r="F1643" s="9">
        <v>0.01</v>
      </c>
      <c r="G1643" s="9">
        <v>65</v>
      </c>
      <c r="H1643" s="9">
        <v>25</v>
      </c>
      <c r="I1643" s="9">
        <v>30</v>
      </c>
      <c r="J1643" s="7" t="s">
        <v>325</v>
      </c>
    </row>
    <row r="1644" spans="1:10" x14ac:dyDescent="0.35">
      <c r="A1644" s="7" t="s">
        <v>40</v>
      </c>
      <c r="B1644" s="7" t="s">
        <v>85</v>
      </c>
      <c r="C1644" s="7" t="s">
        <v>46</v>
      </c>
      <c r="D1644" s="9">
        <v>0.05</v>
      </c>
      <c r="E1644" s="9">
        <v>0.02</v>
      </c>
      <c r="F1644" s="9">
        <v>0.01</v>
      </c>
      <c r="G1644" s="9">
        <v>44.2</v>
      </c>
      <c r="H1644" s="9">
        <v>16.350000000000001</v>
      </c>
      <c r="I1644" s="9">
        <v>4.63</v>
      </c>
      <c r="J1644" s="7" t="s">
        <v>325</v>
      </c>
    </row>
    <row r="1645" spans="1:10" x14ac:dyDescent="0.35">
      <c r="A1645" s="7" t="s">
        <v>35</v>
      </c>
      <c r="B1645" s="7" t="s">
        <v>36</v>
      </c>
      <c r="C1645" s="7" t="s">
        <v>126</v>
      </c>
      <c r="D1645" s="9">
        <v>0</v>
      </c>
      <c r="E1645" s="9">
        <v>0.01</v>
      </c>
      <c r="F1645" s="9">
        <v>0.01</v>
      </c>
      <c r="G1645" s="9">
        <v>1.42</v>
      </c>
      <c r="H1645" s="9">
        <v>5</v>
      </c>
      <c r="I1645" s="9">
        <v>2.4900000000000002</v>
      </c>
      <c r="J1645" s="7" t="s">
        <v>325</v>
      </c>
    </row>
    <row r="1646" spans="1:10" x14ac:dyDescent="0.35">
      <c r="A1646" s="7" t="s">
        <v>74</v>
      </c>
      <c r="B1646" s="7" t="s">
        <v>137</v>
      </c>
      <c r="C1646" s="7" t="s">
        <v>144</v>
      </c>
      <c r="D1646" s="9">
        <v>0.02</v>
      </c>
      <c r="E1646" s="9">
        <v>0.13</v>
      </c>
      <c r="F1646" s="9">
        <v>0.01</v>
      </c>
      <c r="G1646" s="9">
        <v>5.64</v>
      </c>
      <c r="H1646" s="9">
        <v>281.51</v>
      </c>
      <c r="I1646" s="9">
        <v>2.4900000000000002</v>
      </c>
      <c r="J1646" s="7" t="s">
        <v>325</v>
      </c>
    </row>
    <row r="1647" spans="1:10" x14ac:dyDescent="0.35">
      <c r="A1647" s="7" t="s">
        <v>57</v>
      </c>
      <c r="B1647" s="7" t="s">
        <v>161</v>
      </c>
      <c r="C1647" s="7" t="s">
        <v>18</v>
      </c>
      <c r="D1647" s="9">
        <v>0.12</v>
      </c>
      <c r="E1647" s="9">
        <v>0.06</v>
      </c>
      <c r="F1647" s="9">
        <v>0.01</v>
      </c>
      <c r="G1647" s="9">
        <v>103.21</v>
      </c>
      <c r="H1647" s="9">
        <v>38.75</v>
      </c>
      <c r="I1647" s="9">
        <v>5.14</v>
      </c>
      <c r="J1647" s="7" t="s">
        <v>325</v>
      </c>
    </row>
    <row r="1648" spans="1:10" x14ac:dyDescent="0.35">
      <c r="A1648" s="7" t="s">
        <v>20</v>
      </c>
      <c r="B1648" s="7" t="s">
        <v>235</v>
      </c>
      <c r="C1648" s="7" t="s">
        <v>46</v>
      </c>
      <c r="D1648" s="9">
        <v>0</v>
      </c>
      <c r="E1648" s="9">
        <v>0.02</v>
      </c>
      <c r="F1648" s="9">
        <v>0.01</v>
      </c>
      <c r="G1648" s="9">
        <v>2</v>
      </c>
      <c r="H1648" s="9">
        <v>11.2</v>
      </c>
      <c r="I1648" s="9">
        <v>2.7</v>
      </c>
      <c r="J1648" s="7" t="s">
        <v>325</v>
      </c>
    </row>
    <row r="1649" spans="1:10" x14ac:dyDescent="0.35">
      <c r="A1649" s="7" t="s">
        <v>16</v>
      </c>
      <c r="B1649" s="7" t="s">
        <v>135</v>
      </c>
      <c r="C1649" s="7" t="s">
        <v>170</v>
      </c>
      <c r="D1649" s="9">
        <v>0.05</v>
      </c>
      <c r="E1649" s="9">
        <v>0.09</v>
      </c>
      <c r="F1649" s="9">
        <v>0.01</v>
      </c>
      <c r="G1649" s="9">
        <v>5.86</v>
      </c>
      <c r="H1649" s="9">
        <v>10.37</v>
      </c>
      <c r="I1649" s="9">
        <v>0.83</v>
      </c>
      <c r="J1649" s="7" t="s">
        <v>325</v>
      </c>
    </row>
    <row r="1650" spans="1:10" x14ac:dyDescent="0.35">
      <c r="A1650" s="7" t="s">
        <v>77</v>
      </c>
      <c r="B1650" s="7" t="s">
        <v>78</v>
      </c>
      <c r="C1650" s="7" t="s">
        <v>151</v>
      </c>
      <c r="D1650" s="9">
        <v>7.0000000000000007E-2</v>
      </c>
      <c r="E1650" s="9">
        <v>0.03</v>
      </c>
      <c r="F1650" s="9">
        <v>0.01</v>
      </c>
      <c r="G1650" s="9">
        <v>73.5</v>
      </c>
      <c r="H1650" s="9">
        <v>13.86</v>
      </c>
      <c r="I1650" s="9">
        <v>2.14</v>
      </c>
      <c r="J1650" s="7" t="s">
        <v>325</v>
      </c>
    </row>
    <row r="1651" spans="1:10" x14ac:dyDescent="0.35">
      <c r="A1651" s="7" t="s">
        <v>49</v>
      </c>
      <c r="B1651" s="7" t="s">
        <v>70</v>
      </c>
      <c r="C1651" s="7" t="s">
        <v>39</v>
      </c>
      <c r="D1651" s="9">
        <v>0.06</v>
      </c>
      <c r="E1651" s="9">
        <v>0.03</v>
      </c>
      <c r="F1651" s="9">
        <v>0.01</v>
      </c>
      <c r="G1651" s="9">
        <v>6.68</v>
      </c>
      <c r="H1651" s="9">
        <v>3.79</v>
      </c>
      <c r="I1651" s="9">
        <v>2.8</v>
      </c>
      <c r="J1651" s="7" t="s">
        <v>325</v>
      </c>
    </row>
    <row r="1652" spans="1:10" x14ac:dyDescent="0.35">
      <c r="A1652" s="7" t="s">
        <v>74</v>
      </c>
      <c r="B1652" s="7" t="s">
        <v>75</v>
      </c>
      <c r="C1652" s="7" t="s">
        <v>18</v>
      </c>
      <c r="D1652" s="9">
        <v>0.42</v>
      </c>
      <c r="E1652" s="9">
        <v>0.1</v>
      </c>
      <c r="F1652" s="9">
        <v>0.01</v>
      </c>
      <c r="G1652" s="9">
        <v>170.94</v>
      </c>
      <c r="H1652" s="9">
        <v>81.53</v>
      </c>
      <c r="I1652" s="9">
        <v>3.79</v>
      </c>
      <c r="J1652" s="7" t="s">
        <v>325</v>
      </c>
    </row>
    <row r="1653" spans="1:10" x14ac:dyDescent="0.35">
      <c r="A1653" s="7" t="s">
        <v>25</v>
      </c>
      <c r="B1653" s="7" t="s">
        <v>254</v>
      </c>
      <c r="C1653" s="7" t="s">
        <v>33</v>
      </c>
      <c r="D1653" s="9">
        <v>0.02</v>
      </c>
      <c r="E1653" s="9">
        <v>0.01</v>
      </c>
      <c r="F1653" s="9">
        <v>0.01</v>
      </c>
      <c r="G1653" s="9">
        <v>17.88</v>
      </c>
      <c r="H1653" s="9">
        <v>10.88</v>
      </c>
      <c r="I1653" s="9">
        <v>6</v>
      </c>
      <c r="J1653" s="7" t="s">
        <v>325</v>
      </c>
    </row>
    <row r="1654" spans="1:10" x14ac:dyDescent="0.35">
      <c r="A1654" s="7" t="s">
        <v>66</v>
      </c>
      <c r="B1654" s="7" t="s">
        <v>127</v>
      </c>
      <c r="C1654" s="7" t="s">
        <v>45</v>
      </c>
      <c r="D1654" s="9">
        <v>0</v>
      </c>
      <c r="E1654" s="9">
        <v>0.01</v>
      </c>
      <c r="F1654" s="9">
        <v>0.01</v>
      </c>
      <c r="G1654" s="9">
        <v>1.19</v>
      </c>
      <c r="H1654" s="9">
        <v>3.84</v>
      </c>
      <c r="I1654" s="9">
        <v>0.76</v>
      </c>
      <c r="J1654" s="7" t="s">
        <v>325</v>
      </c>
    </row>
    <row r="1655" spans="1:10" x14ac:dyDescent="0.35">
      <c r="A1655" s="7" t="s">
        <v>40</v>
      </c>
      <c r="B1655" s="7" t="s">
        <v>164</v>
      </c>
      <c r="C1655" s="7" t="s">
        <v>55</v>
      </c>
      <c r="D1655" s="9">
        <v>0.01</v>
      </c>
      <c r="E1655" s="9">
        <v>0.04</v>
      </c>
      <c r="F1655" s="9">
        <v>0.01</v>
      </c>
      <c r="G1655" s="9">
        <v>9.9499999999999993</v>
      </c>
      <c r="H1655" s="9">
        <v>34.409999999999997</v>
      </c>
      <c r="I1655" s="9">
        <v>3.56</v>
      </c>
      <c r="J1655" s="7" t="s">
        <v>325</v>
      </c>
    </row>
    <row r="1656" spans="1:10" ht="26.25" customHeight="1" x14ac:dyDescent="0.35">
      <c r="A1656" s="7" t="s">
        <v>35</v>
      </c>
      <c r="B1656" s="7" t="s">
        <v>201</v>
      </c>
      <c r="C1656" s="7" t="s">
        <v>81</v>
      </c>
      <c r="D1656" s="9">
        <v>0</v>
      </c>
      <c r="E1656" s="9">
        <v>0.01</v>
      </c>
      <c r="F1656" s="9">
        <v>0.01</v>
      </c>
      <c r="G1656" s="9">
        <v>0</v>
      </c>
      <c r="H1656" s="9">
        <v>3.29</v>
      </c>
      <c r="I1656" s="9">
        <v>1.79</v>
      </c>
      <c r="J1656" s="7" t="s">
        <v>325</v>
      </c>
    </row>
    <row r="1657" spans="1:10" x14ac:dyDescent="0.35">
      <c r="A1657" s="7" t="s">
        <v>86</v>
      </c>
      <c r="B1657" s="7" t="s">
        <v>106</v>
      </c>
      <c r="C1657" s="7" t="s">
        <v>151</v>
      </c>
      <c r="D1657" s="9">
        <v>0.03</v>
      </c>
      <c r="E1657" s="9">
        <v>0.02</v>
      </c>
      <c r="F1657" s="9">
        <v>0.01</v>
      </c>
      <c r="G1657" s="9">
        <v>10.9</v>
      </c>
      <c r="H1657" s="9">
        <v>8.43</v>
      </c>
      <c r="I1657" s="9">
        <v>3.31</v>
      </c>
      <c r="J1657" s="7" t="s">
        <v>325</v>
      </c>
    </row>
    <row r="1658" spans="1:10" x14ac:dyDescent="0.35">
      <c r="A1658" s="7" t="s">
        <v>66</v>
      </c>
      <c r="B1658" s="7" t="s">
        <v>100</v>
      </c>
      <c r="C1658" s="7" t="s">
        <v>65</v>
      </c>
      <c r="D1658" s="9">
        <v>0</v>
      </c>
      <c r="E1658" s="9">
        <v>0</v>
      </c>
      <c r="F1658" s="9">
        <v>0.01</v>
      </c>
      <c r="G1658" s="9">
        <v>0</v>
      </c>
      <c r="H1658" s="9">
        <v>0</v>
      </c>
      <c r="I1658" s="9">
        <v>6</v>
      </c>
      <c r="J1658" s="7" t="s">
        <v>325</v>
      </c>
    </row>
    <row r="1659" spans="1:10" x14ac:dyDescent="0.35">
      <c r="A1659" s="7" t="s">
        <v>77</v>
      </c>
      <c r="B1659" s="7" t="s">
        <v>216</v>
      </c>
      <c r="C1659" s="7" t="s">
        <v>42</v>
      </c>
      <c r="D1659" s="9">
        <v>0</v>
      </c>
      <c r="E1659" s="9">
        <v>0</v>
      </c>
      <c r="F1659" s="9">
        <v>0.01</v>
      </c>
      <c r="G1659" s="9">
        <v>1.3</v>
      </c>
      <c r="H1659" s="9">
        <v>0.17</v>
      </c>
      <c r="I1659" s="9">
        <v>1.68</v>
      </c>
      <c r="J1659" s="7" t="s">
        <v>325</v>
      </c>
    </row>
    <row r="1660" spans="1:10" x14ac:dyDescent="0.35">
      <c r="A1660" s="7" t="s">
        <v>49</v>
      </c>
      <c r="B1660" s="7" t="s">
        <v>176</v>
      </c>
      <c r="C1660" s="7" t="s">
        <v>151</v>
      </c>
      <c r="D1660" s="9">
        <v>0</v>
      </c>
      <c r="E1660" s="9">
        <v>0</v>
      </c>
      <c r="F1660" s="9">
        <v>0.01</v>
      </c>
      <c r="G1660" s="9">
        <v>0</v>
      </c>
      <c r="H1660" s="9">
        <v>0.51</v>
      </c>
      <c r="I1660" s="9">
        <v>3.26</v>
      </c>
      <c r="J1660" s="7" t="s">
        <v>325</v>
      </c>
    </row>
    <row r="1661" spans="1:10" x14ac:dyDescent="0.35">
      <c r="A1661" s="7" t="s">
        <v>86</v>
      </c>
      <c r="B1661" s="7" t="s">
        <v>207</v>
      </c>
      <c r="C1661" s="7" t="s">
        <v>59</v>
      </c>
      <c r="D1661" s="9">
        <v>0.06</v>
      </c>
      <c r="E1661" s="9">
        <v>0.04</v>
      </c>
      <c r="F1661" s="9">
        <v>0.01</v>
      </c>
      <c r="G1661" s="9">
        <v>3.65</v>
      </c>
      <c r="H1661" s="9">
        <v>5.22</v>
      </c>
      <c r="I1661" s="9">
        <v>1.03</v>
      </c>
      <c r="J1661" s="7" t="s">
        <v>325</v>
      </c>
    </row>
    <row r="1662" spans="1:10" x14ac:dyDescent="0.35">
      <c r="A1662" s="7" t="s">
        <v>66</v>
      </c>
      <c r="B1662" s="7" t="s">
        <v>208</v>
      </c>
      <c r="C1662" s="7" t="s">
        <v>42</v>
      </c>
      <c r="D1662" s="9">
        <v>0.11</v>
      </c>
      <c r="E1662" s="9">
        <v>0.1</v>
      </c>
      <c r="F1662" s="9">
        <v>0.01</v>
      </c>
      <c r="G1662" s="9">
        <v>82.13</v>
      </c>
      <c r="H1662" s="9">
        <v>74.94</v>
      </c>
      <c r="I1662" s="9">
        <v>2.02</v>
      </c>
      <c r="J1662" s="7" t="s">
        <v>325</v>
      </c>
    </row>
    <row r="1663" spans="1:10" x14ac:dyDescent="0.35">
      <c r="A1663" s="7" t="s">
        <v>66</v>
      </c>
      <c r="B1663" s="7" t="s">
        <v>73</v>
      </c>
      <c r="C1663" s="7" t="s">
        <v>59</v>
      </c>
      <c r="D1663" s="9">
        <v>0.01</v>
      </c>
      <c r="E1663" s="9">
        <v>0.02</v>
      </c>
      <c r="F1663" s="9">
        <v>0.01</v>
      </c>
      <c r="G1663" s="9">
        <v>0.85</v>
      </c>
      <c r="H1663" s="9">
        <v>3.94</v>
      </c>
      <c r="I1663" s="9">
        <v>0.22</v>
      </c>
      <c r="J1663" s="7" t="s">
        <v>325</v>
      </c>
    </row>
    <row r="1664" spans="1:10" x14ac:dyDescent="0.35">
      <c r="A1664" s="7" t="s">
        <v>40</v>
      </c>
      <c r="B1664" s="7" t="s">
        <v>194</v>
      </c>
      <c r="C1664" s="7" t="s">
        <v>170</v>
      </c>
      <c r="D1664" s="9">
        <v>0</v>
      </c>
      <c r="E1664" s="9">
        <v>0.01</v>
      </c>
      <c r="F1664" s="9">
        <v>0.01</v>
      </c>
      <c r="G1664" s="9">
        <v>0.27</v>
      </c>
      <c r="H1664" s="9">
        <v>3.85</v>
      </c>
      <c r="I1664" s="9">
        <v>2.1800000000000002</v>
      </c>
      <c r="J1664" s="7" t="s">
        <v>325</v>
      </c>
    </row>
    <row r="1665" spans="1:10" x14ac:dyDescent="0.35">
      <c r="A1665" s="7" t="s">
        <v>35</v>
      </c>
      <c r="B1665" s="7" t="s">
        <v>36</v>
      </c>
      <c r="C1665" s="7" t="s">
        <v>181</v>
      </c>
      <c r="D1665" s="9">
        <v>0</v>
      </c>
      <c r="E1665" s="9">
        <v>0</v>
      </c>
      <c r="F1665" s="9">
        <v>0.01</v>
      </c>
      <c r="G1665" s="9">
        <v>0</v>
      </c>
      <c r="H1665" s="9">
        <v>0.02</v>
      </c>
      <c r="I1665" s="9">
        <v>0.2</v>
      </c>
      <c r="J1665" s="7" t="s">
        <v>325</v>
      </c>
    </row>
    <row r="1666" spans="1:10" x14ac:dyDescent="0.35">
      <c r="A1666" s="7" t="s">
        <v>77</v>
      </c>
      <c r="B1666" s="7" t="s">
        <v>168</v>
      </c>
      <c r="C1666" s="7" t="s">
        <v>76</v>
      </c>
      <c r="D1666" s="9">
        <v>0.03</v>
      </c>
      <c r="E1666" s="9">
        <v>0.09</v>
      </c>
      <c r="F1666" s="9">
        <v>0.01</v>
      </c>
      <c r="G1666" s="9">
        <v>16.350000000000001</v>
      </c>
      <c r="H1666" s="9">
        <v>67.34</v>
      </c>
      <c r="I1666" s="9">
        <v>3.61</v>
      </c>
      <c r="J1666" s="7" t="s">
        <v>325</v>
      </c>
    </row>
    <row r="1667" spans="1:10" x14ac:dyDescent="0.35">
      <c r="A1667" s="7" t="s">
        <v>40</v>
      </c>
      <c r="B1667" s="7" t="s">
        <v>183</v>
      </c>
      <c r="C1667" s="7" t="s">
        <v>65</v>
      </c>
      <c r="D1667" s="9">
        <v>0.01</v>
      </c>
      <c r="E1667" s="9">
        <v>0.03</v>
      </c>
      <c r="F1667" s="9">
        <v>0.01</v>
      </c>
      <c r="G1667" s="9">
        <v>5.86</v>
      </c>
      <c r="H1667" s="9">
        <v>25.73</v>
      </c>
      <c r="I1667" s="9">
        <v>4.67</v>
      </c>
      <c r="J1667" s="7" t="s">
        <v>325</v>
      </c>
    </row>
    <row r="1668" spans="1:10" x14ac:dyDescent="0.35">
      <c r="A1668" s="7" t="s">
        <v>23</v>
      </c>
      <c r="B1668" s="7" t="s">
        <v>123</v>
      </c>
      <c r="C1668" s="7" t="s">
        <v>46</v>
      </c>
      <c r="D1668" s="9">
        <v>0.01</v>
      </c>
      <c r="E1668" s="9">
        <v>0.02</v>
      </c>
      <c r="F1668" s="9">
        <v>0.01</v>
      </c>
      <c r="G1668" s="9">
        <v>1.88</v>
      </c>
      <c r="H1668" s="9">
        <v>13.38</v>
      </c>
      <c r="I1668" s="9">
        <v>4.55</v>
      </c>
      <c r="J1668" s="7" t="s">
        <v>325</v>
      </c>
    </row>
    <row r="1669" spans="1:10" x14ac:dyDescent="0.35">
      <c r="A1669" s="7" t="s">
        <v>23</v>
      </c>
      <c r="B1669" s="7" t="s">
        <v>30</v>
      </c>
      <c r="C1669" s="7" t="s">
        <v>45</v>
      </c>
      <c r="D1669" s="9">
        <v>0.01</v>
      </c>
      <c r="E1669" s="9">
        <v>0.01</v>
      </c>
      <c r="F1669" s="9">
        <v>0.01</v>
      </c>
      <c r="G1669" s="9">
        <v>0.79</v>
      </c>
      <c r="H1669" s="9">
        <v>0.86</v>
      </c>
      <c r="I1669" s="9">
        <v>0.15</v>
      </c>
      <c r="J1669" s="7" t="s">
        <v>325</v>
      </c>
    </row>
    <row r="1670" spans="1:10" x14ac:dyDescent="0.35">
      <c r="A1670" s="7" t="s">
        <v>94</v>
      </c>
      <c r="B1670" s="7" t="s">
        <v>112</v>
      </c>
      <c r="C1670" s="7" t="s">
        <v>122</v>
      </c>
      <c r="D1670" s="9">
        <v>0.04</v>
      </c>
      <c r="E1670" s="9">
        <v>0</v>
      </c>
      <c r="F1670" s="9">
        <v>0.01</v>
      </c>
      <c r="G1670" s="9">
        <v>178.87</v>
      </c>
      <c r="H1670" s="9">
        <v>0</v>
      </c>
      <c r="I1670" s="9">
        <v>4.8</v>
      </c>
      <c r="J1670" s="7" t="s">
        <v>325</v>
      </c>
    </row>
    <row r="1671" spans="1:10" x14ac:dyDescent="0.35">
      <c r="A1671" s="7" t="s">
        <v>16</v>
      </c>
      <c r="B1671" s="7" t="s">
        <v>109</v>
      </c>
      <c r="C1671" s="7" t="s">
        <v>116</v>
      </c>
      <c r="D1671" s="9">
        <v>0.06</v>
      </c>
      <c r="E1671" s="9">
        <v>0.03</v>
      </c>
      <c r="F1671" s="9">
        <v>0.01</v>
      </c>
      <c r="G1671" s="9">
        <v>152</v>
      </c>
      <c r="H1671" s="9">
        <v>95</v>
      </c>
      <c r="I1671" s="9">
        <v>19</v>
      </c>
      <c r="J1671" s="7" t="s">
        <v>325</v>
      </c>
    </row>
    <row r="1672" spans="1:10" x14ac:dyDescent="0.35">
      <c r="A1672" s="7" t="s">
        <v>189</v>
      </c>
      <c r="B1672" s="7" t="s">
        <v>227</v>
      </c>
      <c r="C1672" s="7" t="s">
        <v>48</v>
      </c>
      <c r="D1672" s="9">
        <v>0.01</v>
      </c>
      <c r="E1672" s="9">
        <v>0.01</v>
      </c>
      <c r="F1672" s="9">
        <v>0.01</v>
      </c>
      <c r="G1672" s="9">
        <v>2.94</v>
      </c>
      <c r="H1672" s="9">
        <v>4.21</v>
      </c>
      <c r="I1672" s="9">
        <v>1.62</v>
      </c>
      <c r="J1672" s="7" t="s">
        <v>325</v>
      </c>
    </row>
    <row r="1673" spans="1:10" x14ac:dyDescent="0.35">
      <c r="A1673" s="7" t="s">
        <v>16</v>
      </c>
      <c r="B1673" s="7" t="s">
        <v>90</v>
      </c>
      <c r="C1673" s="7" t="s">
        <v>142</v>
      </c>
      <c r="D1673" s="9">
        <v>0</v>
      </c>
      <c r="E1673" s="9">
        <v>0</v>
      </c>
      <c r="F1673" s="9">
        <v>0.01</v>
      </c>
      <c r="G1673" s="9">
        <v>1.7</v>
      </c>
      <c r="H1673" s="9">
        <v>0</v>
      </c>
      <c r="I1673" s="9">
        <v>3.66</v>
      </c>
      <c r="J1673" s="7" t="s">
        <v>325</v>
      </c>
    </row>
    <row r="1674" spans="1:10" x14ac:dyDescent="0.35">
      <c r="A1674" s="7" t="s">
        <v>159</v>
      </c>
      <c r="B1674" s="7" t="s">
        <v>186</v>
      </c>
      <c r="C1674" s="7" t="s">
        <v>76</v>
      </c>
      <c r="D1674" s="9">
        <v>0</v>
      </c>
      <c r="E1674" s="9">
        <v>0</v>
      </c>
      <c r="F1674" s="9">
        <v>0</v>
      </c>
      <c r="G1674" s="9">
        <v>0</v>
      </c>
      <c r="H1674" s="9">
        <v>0</v>
      </c>
      <c r="I1674" s="9">
        <v>8.98</v>
      </c>
      <c r="J1674" s="7" t="s">
        <v>325</v>
      </c>
    </row>
    <row r="1675" spans="1:10" x14ac:dyDescent="0.35">
      <c r="A1675" s="7" t="s">
        <v>49</v>
      </c>
      <c r="B1675" s="7" t="s">
        <v>233</v>
      </c>
      <c r="C1675" s="7" t="s">
        <v>33</v>
      </c>
      <c r="D1675" s="9">
        <v>0.01</v>
      </c>
      <c r="E1675" s="9">
        <v>0</v>
      </c>
      <c r="F1675" s="9">
        <v>0</v>
      </c>
      <c r="G1675" s="9">
        <v>4.24</v>
      </c>
      <c r="H1675" s="9">
        <v>0</v>
      </c>
      <c r="I1675" s="9">
        <v>3.19</v>
      </c>
      <c r="J1675" s="7" t="s">
        <v>325</v>
      </c>
    </row>
    <row r="1676" spans="1:10" x14ac:dyDescent="0.35">
      <c r="A1676" s="7" t="s">
        <v>40</v>
      </c>
      <c r="B1676" s="7" t="s">
        <v>41</v>
      </c>
      <c r="C1676" s="7" t="s">
        <v>181</v>
      </c>
      <c r="D1676" s="9">
        <v>0.01</v>
      </c>
      <c r="E1676" s="9">
        <v>0.01</v>
      </c>
      <c r="F1676" s="9">
        <v>0</v>
      </c>
      <c r="G1676" s="9">
        <v>0.48</v>
      </c>
      <c r="H1676" s="9">
        <v>0.64</v>
      </c>
      <c r="I1676" s="9">
        <v>0.22</v>
      </c>
      <c r="J1676" s="7" t="s">
        <v>325</v>
      </c>
    </row>
    <row r="1677" spans="1:10" x14ac:dyDescent="0.35">
      <c r="A1677" s="7" t="s">
        <v>35</v>
      </c>
      <c r="B1677" s="7" t="s">
        <v>165</v>
      </c>
      <c r="C1677" s="7" t="s">
        <v>69</v>
      </c>
      <c r="D1677" s="9">
        <v>0</v>
      </c>
      <c r="E1677" s="9">
        <v>0.03</v>
      </c>
      <c r="F1677" s="9">
        <v>0</v>
      </c>
      <c r="G1677" s="9">
        <v>0</v>
      </c>
      <c r="H1677" s="9">
        <v>22.12</v>
      </c>
      <c r="I1677" s="9">
        <v>0.85</v>
      </c>
      <c r="J1677" s="7" t="s">
        <v>325</v>
      </c>
    </row>
    <row r="1678" spans="1:10" x14ac:dyDescent="0.35">
      <c r="A1678" s="7" t="s">
        <v>74</v>
      </c>
      <c r="B1678" s="7" t="s">
        <v>137</v>
      </c>
      <c r="C1678" s="7" t="s">
        <v>53</v>
      </c>
      <c r="D1678" s="9">
        <v>0.04</v>
      </c>
      <c r="E1678" s="9">
        <v>0.03</v>
      </c>
      <c r="F1678" s="9">
        <v>0</v>
      </c>
      <c r="G1678" s="9">
        <v>6.39</v>
      </c>
      <c r="H1678" s="9">
        <v>8.9499999999999993</v>
      </c>
      <c r="I1678" s="9">
        <v>1.42</v>
      </c>
      <c r="J1678" s="7" t="s">
        <v>325</v>
      </c>
    </row>
    <row r="1679" spans="1:10" x14ac:dyDescent="0.35">
      <c r="A1679" s="7" t="s">
        <v>49</v>
      </c>
      <c r="B1679" s="7" t="s">
        <v>176</v>
      </c>
      <c r="C1679" s="7" t="s">
        <v>45</v>
      </c>
      <c r="D1679" s="9">
        <v>0.02</v>
      </c>
      <c r="E1679" s="9">
        <v>0.01</v>
      </c>
      <c r="F1679" s="9">
        <v>0</v>
      </c>
      <c r="G1679" s="9">
        <v>1.81</v>
      </c>
      <c r="H1679" s="9">
        <v>1.0900000000000001</v>
      </c>
      <c r="I1679" s="9">
        <v>0.28000000000000003</v>
      </c>
      <c r="J1679" s="7" t="s">
        <v>325</v>
      </c>
    </row>
    <row r="1680" spans="1:10" x14ac:dyDescent="0.35">
      <c r="A1680" s="7" t="s">
        <v>23</v>
      </c>
      <c r="B1680" s="7" t="s">
        <v>228</v>
      </c>
      <c r="C1680" s="7" t="s">
        <v>72</v>
      </c>
      <c r="D1680" s="9">
        <v>0</v>
      </c>
      <c r="E1680" s="9">
        <v>0.01</v>
      </c>
      <c r="F1680" s="9">
        <v>0</v>
      </c>
      <c r="G1680" s="9">
        <v>0.1</v>
      </c>
      <c r="H1680" s="9">
        <v>0.21</v>
      </c>
      <c r="I1680" s="9">
        <v>0.1</v>
      </c>
      <c r="J1680" s="7" t="s">
        <v>325</v>
      </c>
    </row>
    <row r="1681" spans="1:10" x14ac:dyDescent="0.35">
      <c r="A1681" s="7" t="s">
        <v>40</v>
      </c>
      <c r="B1681" s="7" t="s">
        <v>107</v>
      </c>
      <c r="C1681" s="7" t="s">
        <v>84</v>
      </c>
      <c r="D1681" s="9">
        <v>0</v>
      </c>
      <c r="E1681" s="9">
        <v>0.01</v>
      </c>
      <c r="F1681" s="9">
        <v>0</v>
      </c>
      <c r="G1681" s="9">
        <v>0.41</v>
      </c>
      <c r="H1681" s="9">
        <v>0.57999999999999996</v>
      </c>
      <c r="I1681" s="9">
        <v>0.5</v>
      </c>
      <c r="J1681" s="7" t="s">
        <v>325</v>
      </c>
    </row>
    <row r="1682" spans="1:10" x14ac:dyDescent="0.35">
      <c r="A1682" s="7" t="s">
        <v>23</v>
      </c>
      <c r="B1682" s="7" t="s">
        <v>124</v>
      </c>
      <c r="C1682" s="7" t="s">
        <v>54</v>
      </c>
      <c r="D1682" s="9">
        <v>0</v>
      </c>
      <c r="E1682" s="9">
        <v>0</v>
      </c>
      <c r="F1682" s="9">
        <v>0</v>
      </c>
      <c r="G1682" s="9">
        <v>0</v>
      </c>
      <c r="H1682" s="9">
        <v>4.62</v>
      </c>
      <c r="I1682" s="9">
        <v>6.13</v>
      </c>
      <c r="J1682" s="7" t="s">
        <v>325</v>
      </c>
    </row>
    <row r="1683" spans="1:10" x14ac:dyDescent="0.35">
      <c r="A1683" s="7" t="s">
        <v>57</v>
      </c>
      <c r="B1683" s="7" t="s">
        <v>161</v>
      </c>
      <c r="C1683" s="7" t="s">
        <v>144</v>
      </c>
      <c r="D1683" s="9">
        <v>0</v>
      </c>
      <c r="E1683" s="9">
        <v>0</v>
      </c>
      <c r="F1683" s="9">
        <v>0</v>
      </c>
      <c r="G1683" s="9">
        <v>0.11</v>
      </c>
      <c r="H1683" s="9">
        <v>4.5199999999999996</v>
      </c>
      <c r="I1683" s="9">
        <v>2.52</v>
      </c>
      <c r="J1683" s="7" t="s">
        <v>325</v>
      </c>
    </row>
    <row r="1684" spans="1:10" x14ac:dyDescent="0.35">
      <c r="A1684" s="7" t="s">
        <v>40</v>
      </c>
      <c r="B1684" s="7" t="s">
        <v>194</v>
      </c>
      <c r="C1684" s="7" t="s">
        <v>65</v>
      </c>
      <c r="D1684" s="9">
        <v>0.03</v>
      </c>
      <c r="E1684" s="9">
        <v>0</v>
      </c>
      <c r="F1684" s="9">
        <v>0</v>
      </c>
      <c r="G1684" s="9">
        <v>8.98</v>
      </c>
      <c r="H1684" s="9">
        <v>0.45</v>
      </c>
      <c r="I1684" s="9">
        <v>0.67</v>
      </c>
      <c r="J1684" s="7" t="s">
        <v>325</v>
      </c>
    </row>
    <row r="1685" spans="1:10" x14ac:dyDescent="0.35">
      <c r="A1685" s="7" t="s">
        <v>23</v>
      </c>
      <c r="B1685" s="7" t="s">
        <v>185</v>
      </c>
      <c r="C1685" s="7" t="s">
        <v>45</v>
      </c>
      <c r="D1685" s="9">
        <v>0</v>
      </c>
      <c r="E1685" s="9">
        <v>0</v>
      </c>
      <c r="F1685" s="9">
        <v>0</v>
      </c>
      <c r="G1685" s="9">
        <v>6.07</v>
      </c>
      <c r="H1685" s="9">
        <v>0</v>
      </c>
      <c r="I1685" s="9">
        <v>28.68</v>
      </c>
      <c r="J1685" s="7" t="s">
        <v>325</v>
      </c>
    </row>
    <row r="1686" spans="1:10" x14ac:dyDescent="0.35">
      <c r="A1686" s="7" t="s">
        <v>74</v>
      </c>
      <c r="B1686" s="7" t="s">
        <v>75</v>
      </c>
      <c r="C1686" s="7" t="s">
        <v>46</v>
      </c>
      <c r="D1686" s="9">
        <v>0.02</v>
      </c>
      <c r="E1686" s="9">
        <v>0.01</v>
      </c>
      <c r="F1686" s="9">
        <v>0</v>
      </c>
      <c r="G1686" s="9">
        <v>2</v>
      </c>
      <c r="H1686" s="9">
        <v>1.5</v>
      </c>
      <c r="I1686" s="9">
        <v>0.5</v>
      </c>
      <c r="J1686" s="7" t="s">
        <v>325</v>
      </c>
    </row>
    <row r="1687" spans="1:10" x14ac:dyDescent="0.35">
      <c r="A1687" s="7" t="s">
        <v>35</v>
      </c>
      <c r="B1687" s="7" t="s">
        <v>47</v>
      </c>
      <c r="C1687" s="7" t="s">
        <v>33</v>
      </c>
      <c r="D1687" s="9">
        <v>0.11</v>
      </c>
      <c r="E1687" s="9">
        <v>0.01</v>
      </c>
      <c r="F1687" s="9">
        <v>0</v>
      </c>
      <c r="G1687" s="9">
        <v>78.95</v>
      </c>
      <c r="H1687" s="9">
        <v>4.7699999999999996</v>
      </c>
      <c r="I1687" s="9">
        <v>3.74</v>
      </c>
      <c r="J1687" s="7" t="s">
        <v>325</v>
      </c>
    </row>
    <row r="1688" spans="1:10" x14ac:dyDescent="0.35">
      <c r="A1688" s="7" t="s">
        <v>16</v>
      </c>
      <c r="B1688" s="7" t="s">
        <v>90</v>
      </c>
      <c r="C1688" s="7" t="s">
        <v>51</v>
      </c>
      <c r="D1688" s="9">
        <v>0.05</v>
      </c>
      <c r="E1688" s="9">
        <v>0.01</v>
      </c>
      <c r="F1688" s="9">
        <v>0</v>
      </c>
      <c r="G1688" s="9">
        <v>29.63</v>
      </c>
      <c r="H1688" s="9">
        <v>7.62</v>
      </c>
      <c r="I1688" s="9">
        <v>2.37</v>
      </c>
      <c r="J1688" s="7" t="s">
        <v>325</v>
      </c>
    </row>
    <row r="1689" spans="1:10" x14ac:dyDescent="0.35">
      <c r="A1689" s="7" t="s">
        <v>31</v>
      </c>
      <c r="B1689" s="7" t="s">
        <v>171</v>
      </c>
      <c r="C1689" s="7" t="s">
        <v>144</v>
      </c>
      <c r="D1689" s="9">
        <v>0</v>
      </c>
      <c r="E1689" s="9">
        <v>0.02</v>
      </c>
      <c r="F1689" s="9">
        <v>0</v>
      </c>
      <c r="G1689" s="9">
        <v>0</v>
      </c>
      <c r="H1689" s="9">
        <v>25.02</v>
      </c>
      <c r="I1689" s="9">
        <v>2.5</v>
      </c>
      <c r="J1689" s="7" t="s">
        <v>325</v>
      </c>
    </row>
    <row r="1690" spans="1:10" x14ac:dyDescent="0.35">
      <c r="A1690" s="7" t="s">
        <v>159</v>
      </c>
      <c r="B1690" s="7" t="s">
        <v>186</v>
      </c>
      <c r="C1690" s="7" t="s">
        <v>59</v>
      </c>
      <c r="D1690" s="9">
        <v>0.02</v>
      </c>
      <c r="E1690" s="9">
        <v>0.01</v>
      </c>
      <c r="F1690" s="9">
        <v>0</v>
      </c>
      <c r="G1690" s="9">
        <v>6.63</v>
      </c>
      <c r="H1690" s="9">
        <v>4.62</v>
      </c>
      <c r="I1690" s="9">
        <v>1.46</v>
      </c>
      <c r="J1690" s="7" t="s">
        <v>325</v>
      </c>
    </row>
    <row r="1691" spans="1:10" x14ac:dyDescent="0.35">
      <c r="A1691" s="7" t="s">
        <v>49</v>
      </c>
      <c r="B1691" s="7" t="s">
        <v>70</v>
      </c>
      <c r="C1691" s="7" t="s">
        <v>122</v>
      </c>
      <c r="D1691" s="9">
        <v>0</v>
      </c>
      <c r="E1691" s="9">
        <v>0</v>
      </c>
      <c r="F1691" s="9">
        <v>0</v>
      </c>
      <c r="G1691" s="9">
        <v>0</v>
      </c>
      <c r="H1691" s="9">
        <v>0</v>
      </c>
      <c r="I1691" s="9">
        <v>0.17</v>
      </c>
      <c r="J1691" s="7" t="s">
        <v>325</v>
      </c>
    </row>
    <row r="1692" spans="1:10" x14ac:dyDescent="0.35">
      <c r="A1692" s="7" t="s">
        <v>49</v>
      </c>
      <c r="B1692" s="7" t="s">
        <v>70</v>
      </c>
      <c r="C1692" s="7" t="s">
        <v>27</v>
      </c>
      <c r="D1692" s="9">
        <v>0</v>
      </c>
      <c r="E1692" s="9">
        <v>0</v>
      </c>
      <c r="F1692" s="9">
        <v>0</v>
      </c>
      <c r="G1692" s="9">
        <v>0</v>
      </c>
      <c r="H1692" s="9">
        <v>0</v>
      </c>
      <c r="I1692" s="9">
        <v>1.91</v>
      </c>
      <c r="J1692" s="7" t="s">
        <v>325</v>
      </c>
    </row>
    <row r="1693" spans="1:10" x14ac:dyDescent="0.35">
      <c r="A1693" s="7" t="s">
        <v>25</v>
      </c>
      <c r="B1693" s="7" t="s">
        <v>256</v>
      </c>
      <c r="C1693" s="7" t="s">
        <v>53</v>
      </c>
      <c r="D1693" s="9">
        <v>0</v>
      </c>
      <c r="E1693" s="9">
        <v>0.06</v>
      </c>
      <c r="F1693" s="9">
        <v>0</v>
      </c>
      <c r="G1693" s="9">
        <v>0.25</v>
      </c>
      <c r="H1693" s="9">
        <v>20.2</v>
      </c>
      <c r="I1693" s="9">
        <v>0.65</v>
      </c>
      <c r="J1693" s="7" t="s">
        <v>325</v>
      </c>
    </row>
    <row r="1694" spans="1:10" x14ac:dyDescent="0.35">
      <c r="A1694" s="7" t="s">
        <v>20</v>
      </c>
      <c r="B1694" s="7" t="s">
        <v>134</v>
      </c>
      <c r="C1694" s="7" t="s">
        <v>126</v>
      </c>
      <c r="D1694" s="9">
        <v>0</v>
      </c>
      <c r="E1694" s="9">
        <v>0</v>
      </c>
      <c r="F1694" s="9">
        <v>0</v>
      </c>
      <c r="G1694" s="9">
        <v>0</v>
      </c>
      <c r="H1694" s="9">
        <v>0.04</v>
      </c>
      <c r="I1694" s="9">
        <v>0.73</v>
      </c>
      <c r="J1694" s="7" t="s">
        <v>325</v>
      </c>
    </row>
    <row r="1695" spans="1:10" x14ac:dyDescent="0.35">
      <c r="A1695" s="7" t="s">
        <v>20</v>
      </c>
      <c r="B1695" s="7" t="s">
        <v>222</v>
      </c>
      <c r="C1695" s="7" t="s">
        <v>151</v>
      </c>
      <c r="D1695" s="9">
        <v>0</v>
      </c>
      <c r="E1695" s="9">
        <v>0</v>
      </c>
      <c r="F1695" s="9">
        <v>0</v>
      </c>
      <c r="G1695" s="9">
        <v>0</v>
      </c>
      <c r="H1695" s="9">
        <v>0</v>
      </c>
      <c r="I1695" s="9">
        <v>0.83</v>
      </c>
      <c r="J1695" s="7" t="s">
        <v>325</v>
      </c>
    </row>
    <row r="1696" spans="1:10" x14ac:dyDescent="0.35">
      <c r="A1696" s="7" t="s">
        <v>20</v>
      </c>
      <c r="B1696" s="7" t="s">
        <v>222</v>
      </c>
      <c r="C1696" s="7" t="s">
        <v>42</v>
      </c>
      <c r="D1696" s="9">
        <v>0</v>
      </c>
      <c r="E1696" s="9">
        <v>0</v>
      </c>
      <c r="F1696" s="9">
        <v>0</v>
      </c>
      <c r="G1696" s="9">
        <v>0</v>
      </c>
      <c r="H1696" s="9">
        <v>0.48</v>
      </c>
      <c r="I1696" s="9">
        <v>1.87</v>
      </c>
      <c r="J1696" s="7" t="s">
        <v>325</v>
      </c>
    </row>
    <row r="1697" spans="1:10" x14ac:dyDescent="0.35">
      <c r="A1697" s="7" t="s">
        <v>23</v>
      </c>
      <c r="B1697" s="7" t="s">
        <v>138</v>
      </c>
      <c r="C1697" s="7" t="s">
        <v>118</v>
      </c>
      <c r="D1697" s="9">
        <v>0.53</v>
      </c>
      <c r="E1697" s="9">
        <v>0.93</v>
      </c>
      <c r="F1697" s="9">
        <v>0</v>
      </c>
      <c r="G1697" s="9">
        <v>384</v>
      </c>
      <c r="H1697" s="9">
        <v>582.38</v>
      </c>
      <c r="I1697" s="9">
        <v>0.6</v>
      </c>
      <c r="J1697" s="7" t="s">
        <v>325</v>
      </c>
    </row>
    <row r="1698" spans="1:10" x14ac:dyDescent="0.35">
      <c r="A1698" s="7" t="s">
        <v>31</v>
      </c>
      <c r="B1698" s="7" t="s">
        <v>215</v>
      </c>
      <c r="C1698" s="7" t="s">
        <v>42</v>
      </c>
      <c r="D1698" s="9">
        <v>0.02</v>
      </c>
      <c r="E1698" s="9">
        <v>0.01</v>
      </c>
      <c r="F1698" s="9">
        <v>0</v>
      </c>
      <c r="G1698" s="9">
        <v>10.25</v>
      </c>
      <c r="H1698" s="9">
        <v>7.35</v>
      </c>
      <c r="I1698" s="9">
        <v>2.2999999999999998</v>
      </c>
      <c r="J1698" s="7" t="s">
        <v>325</v>
      </c>
    </row>
    <row r="1699" spans="1:10" x14ac:dyDescent="0.35">
      <c r="A1699" s="7" t="s">
        <v>23</v>
      </c>
      <c r="B1699" s="7" t="s">
        <v>123</v>
      </c>
      <c r="C1699" s="7" t="s">
        <v>114</v>
      </c>
      <c r="D1699" s="9">
        <v>0.01</v>
      </c>
      <c r="E1699" s="9">
        <v>0.04</v>
      </c>
      <c r="F1699" s="9">
        <v>0</v>
      </c>
      <c r="G1699" s="9">
        <v>1.1000000000000001</v>
      </c>
      <c r="H1699" s="9">
        <v>3.85</v>
      </c>
      <c r="I1699" s="9">
        <v>0.5</v>
      </c>
      <c r="J1699" s="7" t="s">
        <v>325</v>
      </c>
    </row>
    <row r="1700" spans="1:10" x14ac:dyDescent="0.35">
      <c r="A1700" s="7" t="s">
        <v>31</v>
      </c>
      <c r="B1700" s="7" t="s">
        <v>141</v>
      </c>
      <c r="C1700" s="7" t="s">
        <v>72</v>
      </c>
      <c r="D1700" s="9">
        <v>0.01</v>
      </c>
      <c r="E1700" s="9">
        <v>0.04</v>
      </c>
      <c r="F1700" s="9">
        <v>0</v>
      </c>
      <c r="G1700" s="9">
        <v>0.5</v>
      </c>
      <c r="H1700" s="9">
        <v>10.36</v>
      </c>
      <c r="I1700" s="9">
        <v>1.2</v>
      </c>
      <c r="J1700" s="7" t="s">
        <v>325</v>
      </c>
    </row>
    <row r="1701" spans="1:10" x14ac:dyDescent="0.35">
      <c r="A1701" s="7" t="s">
        <v>74</v>
      </c>
      <c r="B1701" s="7" t="s">
        <v>75</v>
      </c>
      <c r="C1701" s="7" t="s">
        <v>179</v>
      </c>
      <c r="D1701" s="9">
        <v>0</v>
      </c>
      <c r="E1701" s="9">
        <v>0</v>
      </c>
      <c r="F1701" s="9">
        <v>0</v>
      </c>
      <c r="G1701" s="9">
        <v>0</v>
      </c>
      <c r="H1701" s="9">
        <v>0</v>
      </c>
      <c r="I1701" s="9">
        <v>0.41</v>
      </c>
      <c r="J1701" s="7" t="s">
        <v>325</v>
      </c>
    </row>
    <row r="1702" spans="1:10" x14ac:dyDescent="0.35">
      <c r="A1702" s="7" t="s">
        <v>231</v>
      </c>
      <c r="B1702" s="7" t="s">
        <v>236</v>
      </c>
      <c r="C1702" s="7" t="s">
        <v>55</v>
      </c>
      <c r="D1702" s="9">
        <v>0</v>
      </c>
      <c r="E1702" s="9">
        <v>0.01</v>
      </c>
      <c r="F1702" s="9">
        <v>0</v>
      </c>
      <c r="G1702" s="9">
        <v>0</v>
      </c>
      <c r="H1702" s="9">
        <v>43.26</v>
      </c>
      <c r="I1702" s="9">
        <v>17.25</v>
      </c>
      <c r="J1702" s="7" t="s">
        <v>325</v>
      </c>
    </row>
    <row r="1703" spans="1:10" x14ac:dyDescent="0.35">
      <c r="A1703" s="7" t="s">
        <v>23</v>
      </c>
      <c r="B1703" s="7" t="s">
        <v>228</v>
      </c>
      <c r="C1703" s="7" t="s">
        <v>33</v>
      </c>
      <c r="D1703" s="9">
        <v>0</v>
      </c>
      <c r="E1703" s="9">
        <v>0</v>
      </c>
      <c r="F1703" s="9">
        <v>0</v>
      </c>
      <c r="G1703" s="9">
        <v>0.06</v>
      </c>
      <c r="H1703" s="9">
        <v>0</v>
      </c>
      <c r="I1703" s="9">
        <v>0.75</v>
      </c>
      <c r="J1703" s="7" t="s">
        <v>325</v>
      </c>
    </row>
    <row r="1704" spans="1:10" x14ac:dyDescent="0.35">
      <c r="A1704" s="7" t="s">
        <v>20</v>
      </c>
      <c r="B1704" s="7" t="s">
        <v>173</v>
      </c>
      <c r="C1704" s="7" t="s">
        <v>45</v>
      </c>
      <c r="D1704" s="9">
        <v>7.0000000000000007E-2</v>
      </c>
      <c r="E1704" s="9">
        <v>0.02</v>
      </c>
      <c r="F1704" s="9">
        <v>0</v>
      </c>
      <c r="G1704" s="9">
        <v>43.12</v>
      </c>
      <c r="H1704" s="9">
        <v>22.02</v>
      </c>
      <c r="I1704" s="9">
        <v>0.65</v>
      </c>
      <c r="J1704" s="7" t="s">
        <v>325</v>
      </c>
    </row>
    <row r="1705" spans="1:10" x14ac:dyDescent="0.35">
      <c r="A1705" s="7" t="s">
        <v>66</v>
      </c>
      <c r="B1705" s="7" t="s">
        <v>71</v>
      </c>
      <c r="C1705" s="7" t="s">
        <v>33</v>
      </c>
      <c r="D1705" s="9">
        <v>0.01</v>
      </c>
      <c r="E1705" s="9">
        <v>0.06</v>
      </c>
      <c r="F1705" s="9">
        <v>0</v>
      </c>
      <c r="G1705" s="9">
        <v>9.1199999999999992</v>
      </c>
      <c r="H1705" s="9">
        <v>45.41</v>
      </c>
      <c r="I1705" s="9">
        <v>3.6</v>
      </c>
      <c r="J1705" s="7" t="s">
        <v>325</v>
      </c>
    </row>
    <row r="1706" spans="1:10" x14ac:dyDescent="0.35">
      <c r="A1706" s="7" t="s">
        <v>94</v>
      </c>
      <c r="B1706" s="7" t="s">
        <v>257</v>
      </c>
      <c r="C1706" s="7" t="s">
        <v>39</v>
      </c>
      <c r="D1706" s="9">
        <v>0.02</v>
      </c>
      <c r="E1706" s="9">
        <v>0</v>
      </c>
      <c r="F1706" s="9">
        <v>0</v>
      </c>
      <c r="G1706" s="9">
        <v>2.36</v>
      </c>
      <c r="H1706" s="9">
        <v>0.09</v>
      </c>
      <c r="I1706" s="9">
        <v>0</v>
      </c>
      <c r="J1706" s="7" t="s">
        <v>325</v>
      </c>
    </row>
    <row r="1707" spans="1:10" x14ac:dyDescent="0.35">
      <c r="A1707" s="7" t="s">
        <v>40</v>
      </c>
      <c r="B1707" s="7" t="s">
        <v>229</v>
      </c>
      <c r="C1707" s="7" t="s">
        <v>53</v>
      </c>
      <c r="D1707" s="9">
        <v>0.01</v>
      </c>
      <c r="E1707" s="9">
        <v>0.01</v>
      </c>
      <c r="F1707" s="9">
        <v>0</v>
      </c>
      <c r="G1707" s="9">
        <v>5.17</v>
      </c>
      <c r="H1707" s="9">
        <v>4.74</v>
      </c>
      <c r="I1707" s="9">
        <v>3.04</v>
      </c>
      <c r="J1707" s="7" t="s">
        <v>325</v>
      </c>
    </row>
    <row r="1708" spans="1:10" x14ac:dyDescent="0.35">
      <c r="A1708" s="7" t="s">
        <v>31</v>
      </c>
      <c r="B1708" s="7" t="s">
        <v>192</v>
      </c>
      <c r="C1708" s="7" t="s">
        <v>42</v>
      </c>
      <c r="D1708" s="9">
        <v>0.01</v>
      </c>
      <c r="E1708" s="9">
        <v>0.01</v>
      </c>
      <c r="F1708" s="9">
        <v>0</v>
      </c>
      <c r="G1708" s="9">
        <v>8.11</v>
      </c>
      <c r="H1708" s="9">
        <v>13.43</v>
      </c>
      <c r="I1708" s="9">
        <v>1.8</v>
      </c>
      <c r="J1708" s="7" t="s">
        <v>325</v>
      </c>
    </row>
    <row r="1709" spans="1:10" x14ac:dyDescent="0.35">
      <c r="A1709" s="7" t="s">
        <v>23</v>
      </c>
      <c r="B1709" s="7" t="s">
        <v>138</v>
      </c>
      <c r="C1709" s="7" t="s">
        <v>42</v>
      </c>
      <c r="D1709" s="9">
        <v>0</v>
      </c>
      <c r="E1709" s="9">
        <v>0</v>
      </c>
      <c r="F1709" s="9">
        <v>0</v>
      </c>
      <c r="G1709" s="9">
        <v>0</v>
      </c>
      <c r="H1709" s="9">
        <v>2.5499999999999998</v>
      </c>
      <c r="I1709" s="9">
        <v>1.1299999999999999</v>
      </c>
      <c r="J1709" s="7" t="s">
        <v>325</v>
      </c>
    </row>
    <row r="1710" spans="1:10" x14ac:dyDescent="0.35">
      <c r="A1710" s="7" t="s">
        <v>66</v>
      </c>
      <c r="B1710" s="7" t="s">
        <v>100</v>
      </c>
      <c r="C1710" s="7" t="s">
        <v>126</v>
      </c>
      <c r="D1710" s="9">
        <v>0</v>
      </c>
      <c r="E1710" s="9">
        <v>0.01</v>
      </c>
      <c r="F1710" s="9">
        <v>0</v>
      </c>
      <c r="G1710" s="9">
        <v>0</v>
      </c>
      <c r="H1710" s="9">
        <v>5.08</v>
      </c>
      <c r="I1710" s="9">
        <v>4</v>
      </c>
      <c r="J1710" s="7" t="s">
        <v>325</v>
      </c>
    </row>
    <row r="1711" spans="1:10" x14ac:dyDescent="0.35">
      <c r="A1711" s="7" t="s">
        <v>20</v>
      </c>
      <c r="B1711" s="7" t="s">
        <v>68</v>
      </c>
      <c r="C1711" s="7" t="s">
        <v>144</v>
      </c>
      <c r="D1711" s="9">
        <v>0</v>
      </c>
      <c r="E1711" s="9">
        <v>0</v>
      </c>
      <c r="F1711" s="9">
        <v>0</v>
      </c>
      <c r="G1711" s="9">
        <v>4.3099999999999996</v>
      </c>
      <c r="H1711" s="9">
        <v>0.15</v>
      </c>
      <c r="I1711" s="9">
        <v>1</v>
      </c>
      <c r="J1711" s="7" t="s">
        <v>325</v>
      </c>
    </row>
    <row r="1712" spans="1:10" x14ac:dyDescent="0.35">
      <c r="A1712" s="7" t="s">
        <v>74</v>
      </c>
      <c r="B1712" s="7" t="s">
        <v>137</v>
      </c>
      <c r="C1712" s="7" t="s">
        <v>62</v>
      </c>
      <c r="D1712" s="9">
        <v>0.11</v>
      </c>
      <c r="E1712" s="9">
        <v>0.14000000000000001</v>
      </c>
      <c r="F1712" s="9">
        <v>0</v>
      </c>
      <c r="G1712" s="9">
        <v>15.02</v>
      </c>
      <c r="H1712" s="9">
        <v>18.57</v>
      </c>
      <c r="I1712" s="9">
        <v>2.76</v>
      </c>
      <c r="J1712" s="7" t="s">
        <v>325</v>
      </c>
    </row>
    <row r="1713" spans="1:10" x14ac:dyDescent="0.35">
      <c r="A1713" s="7" t="s">
        <v>16</v>
      </c>
      <c r="B1713" s="7" t="s">
        <v>109</v>
      </c>
      <c r="C1713" s="7" t="s">
        <v>126</v>
      </c>
      <c r="D1713" s="9">
        <v>0.01</v>
      </c>
      <c r="E1713" s="9">
        <v>0.05</v>
      </c>
      <c r="F1713" s="9">
        <v>0</v>
      </c>
      <c r="G1713" s="9">
        <v>2.08</v>
      </c>
      <c r="H1713" s="9">
        <v>147.57</v>
      </c>
      <c r="I1713" s="9">
        <v>3.05</v>
      </c>
      <c r="J1713" s="7" t="s">
        <v>325</v>
      </c>
    </row>
    <row r="1714" spans="1:10" x14ac:dyDescent="0.35">
      <c r="A1714" s="7" t="s">
        <v>159</v>
      </c>
      <c r="B1714" s="7" t="s">
        <v>160</v>
      </c>
      <c r="C1714" s="7" t="s">
        <v>59</v>
      </c>
      <c r="D1714" s="9">
        <v>0</v>
      </c>
      <c r="E1714" s="9">
        <v>0.05</v>
      </c>
      <c r="F1714" s="9">
        <v>0</v>
      </c>
      <c r="G1714" s="9">
        <v>0.54</v>
      </c>
      <c r="H1714" s="9">
        <v>4.8099999999999996</v>
      </c>
      <c r="I1714" s="9">
        <v>1.08</v>
      </c>
      <c r="J1714" s="7" t="s">
        <v>325</v>
      </c>
    </row>
    <row r="1715" spans="1:10" x14ac:dyDescent="0.35">
      <c r="A1715" s="7" t="s">
        <v>40</v>
      </c>
      <c r="B1715" s="7" t="s">
        <v>194</v>
      </c>
      <c r="C1715" s="7" t="s">
        <v>53</v>
      </c>
      <c r="D1715" s="9">
        <v>0.01</v>
      </c>
      <c r="E1715" s="9">
        <v>0.01</v>
      </c>
      <c r="F1715" s="9">
        <v>0</v>
      </c>
      <c r="G1715" s="9">
        <v>3.27</v>
      </c>
      <c r="H1715" s="9">
        <v>9.7899999999999991</v>
      </c>
      <c r="I1715" s="9">
        <v>2.39</v>
      </c>
      <c r="J1715" s="7" t="s">
        <v>325</v>
      </c>
    </row>
    <row r="1716" spans="1:10" x14ac:dyDescent="0.35">
      <c r="A1716" s="7" t="s">
        <v>35</v>
      </c>
      <c r="B1716" s="7" t="s">
        <v>165</v>
      </c>
      <c r="C1716" s="7" t="s">
        <v>179</v>
      </c>
      <c r="D1716" s="9">
        <v>0</v>
      </c>
      <c r="E1716" s="9">
        <v>0.01</v>
      </c>
      <c r="F1716" s="9">
        <v>0</v>
      </c>
      <c r="G1716" s="9">
        <v>0</v>
      </c>
      <c r="H1716" s="9">
        <v>0.69</v>
      </c>
      <c r="I1716" s="9">
        <v>0.27</v>
      </c>
      <c r="J1716" s="7" t="s">
        <v>325</v>
      </c>
    </row>
    <row r="1717" spans="1:10" x14ac:dyDescent="0.35">
      <c r="A1717" s="7" t="s">
        <v>258</v>
      </c>
      <c r="B1717" s="7" t="s">
        <v>259</v>
      </c>
      <c r="C1717" s="7" t="s">
        <v>54</v>
      </c>
      <c r="D1717" s="9">
        <v>0</v>
      </c>
      <c r="E1717" s="9">
        <v>0.02</v>
      </c>
      <c r="F1717" s="9">
        <v>0</v>
      </c>
      <c r="G1717" s="9">
        <v>0</v>
      </c>
      <c r="H1717" s="9">
        <v>116</v>
      </c>
      <c r="I1717" s="9">
        <v>20</v>
      </c>
      <c r="J1717" s="7" t="s">
        <v>325</v>
      </c>
    </row>
    <row r="1718" spans="1:10" x14ac:dyDescent="0.35">
      <c r="A1718" s="7" t="s">
        <v>159</v>
      </c>
      <c r="B1718" s="7" t="s">
        <v>186</v>
      </c>
      <c r="C1718" s="7" t="s">
        <v>170</v>
      </c>
      <c r="D1718" s="9">
        <v>0</v>
      </c>
      <c r="E1718" s="9">
        <v>0</v>
      </c>
      <c r="F1718" s="9">
        <v>0</v>
      </c>
      <c r="G1718" s="9">
        <v>0.7</v>
      </c>
      <c r="H1718" s="9">
        <v>0</v>
      </c>
      <c r="I1718" s="9">
        <v>1.64</v>
      </c>
      <c r="J1718" s="7" t="s">
        <v>325</v>
      </c>
    </row>
    <row r="1719" spans="1:10" x14ac:dyDescent="0.35">
      <c r="A1719" s="7" t="s">
        <v>159</v>
      </c>
      <c r="B1719" s="7" t="s">
        <v>160</v>
      </c>
      <c r="C1719" s="7" t="s">
        <v>118</v>
      </c>
      <c r="D1719" s="9">
        <v>0</v>
      </c>
      <c r="E1719" s="9">
        <v>0</v>
      </c>
      <c r="F1719" s="9">
        <v>0</v>
      </c>
      <c r="G1719" s="9">
        <v>0</v>
      </c>
      <c r="H1719" s="9">
        <v>0</v>
      </c>
      <c r="I1719" s="9">
        <v>1.1299999999999999</v>
      </c>
      <c r="J1719" s="7" t="s">
        <v>325</v>
      </c>
    </row>
    <row r="1720" spans="1:10" x14ac:dyDescent="0.35">
      <c r="A1720" s="7" t="s">
        <v>159</v>
      </c>
      <c r="B1720" s="7" t="s">
        <v>160</v>
      </c>
      <c r="C1720" s="7" t="s">
        <v>113</v>
      </c>
      <c r="D1720" s="9">
        <v>0</v>
      </c>
      <c r="E1720" s="9">
        <v>0.03</v>
      </c>
      <c r="F1720" s="9">
        <v>0</v>
      </c>
      <c r="G1720" s="9">
        <v>0</v>
      </c>
      <c r="H1720" s="9">
        <v>88.3</v>
      </c>
      <c r="I1720" s="9">
        <v>12.55</v>
      </c>
      <c r="J1720" s="7" t="s">
        <v>325</v>
      </c>
    </row>
    <row r="1721" spans="1:10" x14ac:dyDescent="0.35">
      <c r="A1721" s="7" t="s">
        <v>31</v>
      </c>
      <c r="B1721" s="7" t="s">
        <v>139</v>
      </c>
      <c r="C1721" s="7" t="s">
        <v>59</v>
      </c>
      <c r="D1721" s="9">
        <v>0</v>
      </c>
      <c r="E1721" s="9">
        <v>0</v>
      </c>
      <c r="F1721" s="9">
        <v>0</v>
      </c>
      <c r="G1721" s="9">
        <v>0.51</v>
      </c>
      <c r="H1721" s="9">
        <v>0.05</v>
      </c>
      <c r="I1721" s="9">
        <v>2</v>
      </c>
      <c r="J1721" s="7" t="s">
        <v>325</v>
      </c>
    </row>
    <row r="1722" spans="1:10" x14ac:dyDescent="0.35">
      <c r="A1722" s="7" t="s">
        <v>23</v>
      </c>
      <c r="B1722" s="7" t="s">
        <v>123</v>
      </c>
      <c r="C1722" s="7" t="s">
        <v>144</v>
      </c>
      <c r="D1722" s="9">
        <v>0.1</v>
      </c>
      <c r="E1722" s="9">
        <v>0.06</v>
      </c>
      <c r="F1722" s="9">
        <v>0</v>
      </c>
      <c r="G1722" s="9">
        <v>214.38</v>
      </c>
      <c r="H1722" s="9">
        <v>197.69</v>
      </c>
      <c r="I1722" s="9">
        <v>10</v>
      </c>
      <c r="J1722" s="7" t="s">
        <v>325</v>
      </c>
    </row>
    <row r="1723" spans="1:10" x14ac:dyDescent="0.35">
      <c r="A1723" s="7" t="s">
        <v>79</v>
      </c>
      <c r="B1723" s="7" t="s">
        <v>92</v>
      </c>
      <c r="C1723" s="7" t="s">
        <v>65</v>
      </c>
      <c r="D1723" s="9">
        <v>0</v>
      </c>
      <c r="E1723" s="9">
        <v>0.01</v>
      </c>
      <c r="F1723" s="9">
        <v>0</v>
      </c>
      <c r="G1723" s="9">
        <v>0.66</v>
      </c>
      <c r="H1723" s="9">
        <v>5.83</v>
      </c>
      <c r="I1723" s="9">
        <v>1.1599999999999999</v>
      </c>
      <c r="J1723" s="7" t="s">
        <v>325</v>
      </c>
    </row>
    <row r="1724" spans="1:10" x14ac:dyDescent="0.35">
      <c r="A1724" s="7" t="s">
        <v>74</v>
      </c>
      <c r="B1724" s="7" t="s">
        <v>137</v>
      </c>
      <c r="C1724" s="7" t="s">
        <v>65</v>
      </c>
      <c r="D1724" s="9">
        <v>0.01</v>
      </c>
      <c r="E1724" s="9">
        <v>0</v>
      </c>
      <c r="F1724" s="9">
        <v>0</v>
      </c>
      <c r="G1724" s="9">
        <v>1.5</v>
      </c>
      <c r="H1724" s="9">
        <v>0.05</v>
      </c>
      <c r="I1724" s="9">
        <v>0.15</v>
      </c>
      <c r="J1724" s="7" t="s">
        <v>325</v>
      </c>
    </row>
    <row r="1725" spans="1:10" x14ac:dyDescent="0.35">
      <c r="A1725" s="7" t="s">
        <v>94</v>
      </c>
      <c r="B1725" s="7" t="s">
        <v>112</v>
      </c>
      <c r="C1725" s="7" t="s">
        <v>84</v>
      </c>
      <c r="D1725" s="9">
        <v>0</v>
      </c>
      <c r="E1725" s="9">
        <v>0.02</v>
      </c>
      <c r="F1725" s="9">
        <v>0</v>
      </c>
      <c r="G1725" s="9">
        <v>0</v>
      </c>
      <c r="H1725" s="9">
        <v>3.45</v>
      </c>
      <c r="I1725" s="9">
        <v>0.3</v>
      </c>
      <c r="J1725" s="7" t="s">
        <v>325</v>
      </c>
    </row>
    <row r="1726" spans="1:10" x14ac:dyDescent="0.35">
      <c r="A1726" s="7" t="s">
        <v>40</v>
      </c>
      <c r="B1726" s="7" t="s">
        <v>107</v>
      </c>
      <c r="C1726" s="7" t="s">
        <v>18</v>
      </c>
      <c r="D1726" s="9">
        <v>0.01</v>
      </c>
      <c r="E1726" s="9">
        <v>0.02</v>
      </c>
      <c r="F1726" s="9">
        <v>0</v>
      </c>
      <c r="G1726" s="9">
        <v>6.54</v>
      </c>
      <c r="H1726" s="9">
        <v>8.17</v>
      </c>
      <c r="I1726" s="9">
        <v>2.81</v>
      </c>
      <c r="J1726" s="7" t="s">
        <v>325</v>
      </c>
    </row>
    <row r="1727" spans="1:10" x14ac:dyDescent="0.35">
      <c r="A1727" s="7" t="s">
        <v>35</v>
      </c>
      <c r="B1727" s="7" t="s">
        <v>36</v>
      </c>
      <c r="C1727" s="7" t="s">
        <v>179</v>
      </c>
      <c r="D1727" s="9">
        <v>0</v>
      </c>
      <c r="E1727" s="9">
        <v>0</v>
      </c>
      <c r="F1727" s="9">
        <v>0</v>
      </c>
      <c r="G1727" s="9">
        <v>0.14000000000000001</v>
      </c>
      <c r="H1727" s="9">
        <v>0.02</v>
      </c>
      <c r="I1727" s="9">
        <v>0.2</v>
      </c>
      <c r="J1727" s="7" t="s">
        <v>325</v>
      </c>
    </row>
    <row r="1728" spans="1:10" x14ac:dyDescent="0.35">
      <c r="A1728" s="7" t="s">
        <v>31</v>
      </c>
      <c r="B1728" s="7" t="s">
        <v>171</v>
      </c>
      <c r="C1728" s="7" t="s">
        <v>22</v>
      </c>
      <c r="D1728" s="9">
        <v>0</v>
      </c>
      <c r="E1728" s="9">
        <v>0</v>
      </c>
      <c r="F1728" s="9">
        <v>0</v>
      </c>
      <c r="G1728" s="9">
        <v>0</v>
      </c>
      <c r="H1728" s="9">
        <v>0</v>
      </c>
      <c r="I1728" s="9">
        <v>3.65</v>
      </c>
      <c r="J1728" s="7" t="s">
        <v>325</v>
      </c>
    </row>
    <row r="1729" spans="1:10" x14ac:dyDescent="0.35">
      <c r="A1729" s="7" t="s">
        <v>35</v>
      </c>
      <c r="B1729" s="7" t="s">
        <v>38</v>
      </c>
      <c r="C1729" s="7" t="s">
        <v>45</v>
      </c>
      <c r="D1729" s="9">
        <v>0.01</v>
      </c>
      <c r="E1729" s="9">
        <v>0.01</v>
      </c>
      <c r="F1729" s="9">
        <v>0</v>
      </c>
      <c r="G1729" s="9">
        <v>2.37</v>
      </c>
      <c r="H1729" s="9">
        <v>3.34</v>
      </c>
      <c r="I1729" s="9">
        <v>0.38</v>
      </c>
      <c r="J1729" s="7" t="s">
        <v>325</v>
      </c>
    </row>
    <row r="1730" spans="1:10" x14ac:dyDescent="0.35">
      <c r="A1730" s="7" t="s">
        <v>16</v>
      </c>
      <c r="B1730" s="7" t="s">
        <v>135</v>
      </c>
      <c r="C1730" s="7" t="s">
        <v>65</v>
      </c>
      <c r="D1730" s="9">
        <v>0</v>
      </c>
      <c r="E1730" s="9">
        <v>0.01</v>
      </c>
      <c r="F1730" s="9">
        <v>0</v>
      </c>
      <c r="G1730" s="9">
        <v>0</v>
      </c>
      <c r="H1730" s="9">
        <v>5.75</v>
      </c>
      <c r="I1730" s="9">
        <v>0.5</v>
      </c>
      <c r="J1730" s="7" t="s">
        <v>325</v>
      </c>
    </row>
    <row r="1731" spans="1:10" x14ac:dyDescent="0.35">
      <c r="A1731" s="7" t="s">
        <v>231</v>
      </c>
      <c r="B1731" s="7" t="s">
        <v>232</v>
      </c>
      <c r="C1731" s="7" t="s">
        <v>65</v>
      </c>
      <c r="D1731" s="9">
        <v>0</v>
      </c>
      <c r="E1731" s="9">
        <v>0.02</v>
      </c>
      <c r="F1731" s="9">
        <v>0</v>
      </c>
      <c r="G1731" s="9">
        <v>1.35</v>
      </c>
      <c r="H1731" s="9">
        <v>39.31</v>
      </c>
      <c r="I1731" s="9">
        <v>6.17</v>
      </c>
      <c r="J1731" s="7" t="s">
        <v>325</v>
      </c>
    </row>
    <row r="1732" spans="1:10" x14ac:dyDescent="0.35">
      <c r="A1732" s="7" t="s">
        <v>251</v>
      </c>
      <c r="B1732" s="7" t="s">
        <v>252</v>
      </c>
      <c r="C1732" s="7" t="s">
        <v>54</v>
      </c>
      <c r="D1732" s="9">
        <v>0.04</v>
      </c>
      <c r="E1732" s="9">
        <v>0.08</v>
      </c>
      <c r="F1732" s="9">
        <v>0</v>
      </c>
      <c r="G1732" s="9">
        <v>15.92</v>
      </c>
      <c r="H1732" s="9">
        <v>23.13</v>
      </c>
      <c r="I1732" s="9">
        <v>1.37</v>
      </c>
      <c r="J1732" s="7" t="s">
        <v>325</v>
      </c>
    </row>
    <row r="1733" spans="1:10" x14ac:dyDescent="0.35">
      <c r="A1733" s="7" t="s">
        <v>57</v>
      </c>
      <c r="B1733" s="7" t="s">
        <v>161</v>
      </c>
      <c r="C1733" s="7" t="s">
        <v>150</v>
      </c>
      <c r="D1733" s="9">
        <v>0</v>
      </c>
      <c r="E1733" s="9">
        <v>0.02</v>
      </c>
      <c r="F1733" s="9">
        <v>0</v>
      </c>
      <c r="G1733" s="9">
        <v>0</v>
      </c>
      <c r="H1733" s="9">
        <v>0.34</v>
      </c>
      <c r="I1733" s="9">
        <v>0.24</v>
      </c>
      <c r="J1733" s="7" t="s">
        <v>325</v>
      </c>
    </row>
    <row r="1734" spans="1:10" x14ac:dyDescent="0.35">
      <c r="A1734" s="7" t="s">
        <v>94</v>
      </c>
      <c r="B1734" s="7" t="s">
        <v>188</v>
      </c>
      <c r="C1734" s="7" t="s">
        <v>42</v>
      </c>
      <c r="D1734" s="9">
        <v>0.03</v>
      </c>
      <c r="E1734" s="9">
        <v>0</v>
      </c>
      <c r="F1734" s="9">
        <v>0</v>
      </c>
      <c r="G1734" s="9">
        <v>75.59</v>
      </c>
      <c r="H1734" s="9">
        <v>4.6100000000000003</v>
      </c>
      <c r="I1734" s="9">
        <v>5.36</v>
      </c>
      <c r="J1734" s="7" t="s">
        <v>325</v>
      </c>
    </row>
    <row r="1735" spans="1:10" x14ac:dyDescent="0.35">
      <c r="A1735" s="7" t="s">
        <v>40</v>
      </c>
      <c r="B1735" s="7" t="s">
        <v>241</v>
      </c>
      <c r="C1735" s="7" t="s">
        <v>53</v>
      </c>
      <c r="D1735" s="9">
        <v>0.01</v>
      </c>
      <c r="E1735" s="9">
        <v>0.03</v>
      </c>
      <c r="F1735" s="9">
        <v>0</v>
      </c>
      <c r="G1735" s="9">
        <v>7.81</v>
      </c>
      <c r="H1735" s="9">
        <v>23.14</v>
      </c>
      <c r="I1735" s="9">
        <v>7.07</v>
      </c>
      <c r="J1735" s="7" t="s">
        <v>325</v>
      </c>
    </row>
    <row r="1736" spans="1:10" x14ac:dyDescent="0.35">
      <c r="A1736" s="7" t="s">
        <v>20</v>
      </c>
      <c r="B1736" s="7" t="s">
        <v>222</v>
      </c>
      <c r="C1736" s="7" t="s">
        <v>39</v>
      </c>
      <c r="D1736" s="9">
        <v>0</v>
      </c>
      <c r="E1736" s="9">
        <v>0.02</v>
      </c>
      <c r="F1736" s="9">
        <v>0</v>
      </c>
      <c r="G1736" s="9">
        <v>0</v>
      </c>
      <c r="H1736" s="9">
        <v>2.4300000000000002</v>
      </c>
      <c r="I1736" s="9">
        <v>0.47</v>
      </c>
      <c r="J1736" s="7" t="s">
        <v>325</v>
      </c>
    </row>
    <row r="1737" spans="1:10" x14ac:dyDescent="0.35">
      <c r="A1737" s="7" t="s">
        <v>49</v>
      </c>
      <c r="B1737" s="7" t="s">
        <v>70</v>
      </c>
      <c r="C1737" s="7" t="s">
        <v>65</v>
      </c>
      <c r="D1737" s="9">
        <v>0</v>
      </c>
      <c r="E1737" s="9">
        <v>0</v>
      </c>
      <c r="F1737" s="9">
        <v>0</v>
      </c>
      <c r="G1737" s="9">
        <v>0</v>
      </c>
      <c r="H1737" s="9">
        <v>1.85</v>
      </c>
      <c r="I1737" s="9">
        <v>1.93</v>
      </c>
      <c r="J1737" s="7" t="s">
        <v>325</v>
      </c>
    </row>
    <row r="1738" spans="1:10" x14ac:dyDescent="0.35">
      <c r="A1738" s="7" t="s">
        <v>77</v>
      </c>
      <c r="B1738" s="7" t="s">
        <v>149</v>
      </c>
      <c r="C1738" s="7" t="s">
        <v>45</v>
      </c>
      <c r="D1738" s="9">
        <v>0</v>
      </c>
      <c r="E1738" s="9">
        <v>0.03</v>
      </c>
      <c r="F1738" s="9">
        <v>0</v>
      </c>
      <c r="G1738" s="9">
        <v>0.15</v>
      </c>
      <c r="H1738" s="9">
        <v>6.5</v>
      </c>
      <c r="I1738" s="9">
        <v>0.8</v>
      </c>
      <c r="J1738" s="7" t="s">
        <v>325</v>
      </c>
    </row>
    <row r="1739" spans="1:10" x14ac:dyDescent="0.35">
      <c r="A1739" s="7" t="s">
        <v>86</v>
      </c>
      <c r="B1739" s="7" t="s">
        <v>207</v>
      </c>
      <c r="C1739" s="7" t="s">
        <v>118</v>
      </c>
      <c r="D1739" s="9">
        <v>0.01</v>
      </c>
      <c r="E1739" s="9">
        <v>0</v>
      </c>
      <c r="F1739" s="9">
        <v>0</v>
      </c>
      <c r="G1739" s="9">
        <v>0.64</v>
      </c>
      <c r="H1739" s="9">
        <v>1.03</v>
      </c>
      <c r="I1739" s="9">
        <v>1.58</v>
      </c>
      <c r="J1739" s="7" t="s">
        <v>325</v>
      </c>
    </row>
    <row r="1740" spans="1:10" x14ac:dyDescent="0.35">
      <c r="A1740" s="7" t="s">
        <v>49</v>
      </c>
      <c r="B1740" s="7" t="s">
        <v>121</v>
      </c>
      <c r="C1740" s="7" t="s">
        <v>45</v>
      </c>
      <c r="D1740" s="9">
        <v>0.01</v>
      </c>
      <c r="E1740" s="9">
        <v>0</v>
      </c>
      <c r="F1740" s="9">
        <v>0</v>
      </c>
      <c r="G1740" s="9">
        <v>3.97</v>
      </c>
      <c r="H1740" s="9">
        <v>0.45</v>
      </c>
      <c r="I1740" s="9">
        <v>0.9</v>
      </c>
      <c r="J1740" s="7" t="s">
        <v>325</v>
      </c>
    </row>
    <row r="1741" spans="1:10" x14ac:dyDescent="0.35">
      <c r="A1741" s="7" t="s">
        <v>49</v>
      </c>
      <c r="B1741" s="7" t="s">
        <v>176</v>
      </c>
      <c r="C1741" s="7" t="s">
        <v>72</v>
      </c>
      <c r="D1741" s="9">
        <v>0.19</v>
      </c>
      <c r="E1741" s="9">
        <v>0.1</v>
      </c>
      <c r="F1741" s="9">
        <v>0</v>
      </c>
      <c r="G1741" s="9">
        <v>32.36</v>
      </c>
      <c r="H1741" s="9">
        <v>22.3</v>
      </c>
      <c r="I1741" s="9">
        <v>0.4</v>
      </c>
      <c r="J1741" s="7" t="s">
        <v>325</v>
      </c>
    </row>
    <row r="1742" spans="1:10" x14ac:dyDescent="0.35">
      <c r="A1742" s="7" t="s">
        <v>16</v>
      </c>
      <c r="B1742" s="7" t="s">
        <v>135</v>
      </c>
      <c r="C1742" s="7" t="s">
        <v>114</v>
      </c>
      <c r="D1742" s="9">
        <v>0</v>
      </c>
      <c r="E1742" s="9">
        <v>0.01</v>
      </c>
      <c r="F1742" s="9">
        <v>0</v>
      </c>
      <c r="G1742" s="9">
        <v>0.5</v>
      </c>
      <c r="H1742" s="9">
        <v>0.93</v>
      </c>
      <c r="I1742" s="9">
        <v>0.7</v>
      </c>
      <c r="J1742" s="7" t="s">
        <v>325</v>
      </c>
    </row>
    <row r="1743" spans="1:10" x14ac:dyDescent="0.35">
      <c r="A1743" s="7" t="s">
        <v>49</v>
      </c>
      <c r="B1743" s="7" t="s">
        <v>176</v>
      </c>
      <c r="C1743" s="7" t="s">
        <v>84</v>
      </c>
      <c r="D1743" s="9">
        <v>0.02</v>
      </c>
      <c r="E1743" s="9">
        <v>0.01</v>
      </c>
      <c r="F1743" s="9">
        <v>0</v>
      </c>
      <c r="G1743" s="9">
        <v>1.79</v>
      </c>
      <c r="H1743" s="9">
        <v>0.63</v>
      </c>
      <c r="I1743" s="9">
        <v>0.32</v>
      </c>
      <c r="J1743" s="7" t="s">
        <v>325</v>
      </c>
    </row>
    <row r="1744" spans="1:10" x14ac:dyDescent="0.35">
      <c r="A1744" s="7" t="s">
        <v>166</v>
      </c>
      <c r="B1744" s="7" t="s">
        <v>200</v>
      </c>
      <c r="C1744" s="7" t="s">
        <v>42</v>
      </c>
      <c r="D1744" s="9">
        <v>0</v>
      </c>
      <c r="E1744" s="9">
        <v>0</v>
      </c>
      <c r="F1744" s="9">
        <v>0</v>
      </c>
      <c r="G1744" s="9">
        <v>0.01</v>
      </c>
      <c r="H1744" s="9">
        <v>2.83</v>
      </c>
      <c r="I1744" s="9">
        <v>2.38</v>
      </c>
      <c r="J1744" s="7" t="s">
        <v>325</v>
      </c>
    </row>
    <row r="1745" spans="1:10" x14ac:dyDescent="0.35">
      <c r="A1745" s="7" t="s">
        <v>31</v>
      </c>
      <c r="B1745" s="7" t="s">
        <v>215</v>
      </c>
      <c r="C1745" s="7" t="s">
        <v>54</v>
      </c>
      <c r="D1745" s="9">
        <v>0.01</v>
      </c>
      <c r="E1745" s="9">
        <v>0</v>
      </c>
      <c r="F1745" s="9">
        <v>0</v>
      </c>
      <c r="G1745" s="9">
        <v>14.77</v>
      </c>
      <c r="H1745" s="9">
        <v>4.09</v>
      </c>
      <c r="I1745" s="9">
        <v>5.22</v>
      </c>
      <c r="J1745" s="7" t="s">
        <v>325</v>
      </c>
    </row>
    <row r="1746" spans="1:10" x14ac:dyDescent="0.35">
      <c r="A1746" s="7" t="s">
        <v>40</v>
      </c>
      <c r="B1746" s="7" t="s">
        <v>64</v>
      </c>
      <c r="C1746" s="7" t="s">
        <v>126</v>
      </c>
      <c r="D1746" s="9">
        <v>0.01</v>
      </c>
      <c r="E1746" s="9">
        <v>0.01</v>
      </c>
      <c r="F1746" s="9">
        <v>0</v>
      </c>
      <c r="G1746" s="9">
        <v>6.63</v>
      </c>
      <c r="H1746" s="9">
        <v>6.38</v>
      </c>
      <c r="I1746" s="9">
        <v>3.73</v>
      </c>
      <c r="J1746" s="7" t="s">
        <v>325</v>
      </c>
    </row>
    <row r="1747" spans="1:10" x14ac:dyDescent="0.35">
      <c r="A1747" s="7" t="s">
        <v>49</v>
      </c>
      <c r="B1747" s="7" t="s">
        <v>70</v>
      </c>
      <c r="C1747" s="7" t="s">
        <v>144</v>
      </c>
      <c r="D1747" s="9">
        <v>0</v>
      </c>
      <c r="E1747" s="9">
        <v>0</v>
      </c>
      <c r="F1747" s="9">
        <v>0</v>
      </c>
      <c r="G1747" s="9">
        <v>1.1399999999999999</v>
      </c>
      <c r="H1747" s="9">
        <v>0</v>
      </c>
      <c r="I1747" s="9">
        <v>5</v>
      </c>
      <c r="J1747" s="7" t="s">
        <v>325</v>
      </c>
    </row>
    <row r="1748" spans="1:10" x14ac:dyDescent="0.35">
      <c r="A1748" s="7" t="s">
        <v>31</v>
      </c>
      <c r="B1748" s="7" t="s">
        <v>215</v>
      </c>
      <c r="C1748" s="7" t="s">
        <v>83</v>
      </c>
      <c r="D1748" s="9">
        <v>0</v>
      </c>
      <c r="E1748" s="9">
        <v>0.01</v>
      </c>
      <c r="F1748" s="9">
        <v>0</v>
      </c>
      <c r="G1748" s="9">
        <v>1.7</v>
      </c>
      <c r="H1748" s="9">
        <v>3.71</v>
      </c>
      <c r="I1748" s="9">
        <v>1.97</v>
      </c>
      <c r="J1748" s="7" t="s">
        <v>325</v>
      </c>
    </row>
    <row r="1749" spans="1:10" x14ac:dyDescent="0.35">
      <c r="A1749" s="7" t="s">
        <v>86</v>
      </c>
      <c r="B1749" s="7" t="s">
        <v>106</v>
      </c>
      <c r="C1749" s="7" t="s">
        <v>174</v>
      </c>
      <c r="D1749" s="9">
        <v>0.01</v>
      </c>
      <c r="E1749" s="9">
        <v>0.02</v>
      </c>
      <c r="F1749" s="9">
        <v>0</v>
      </c>
      <c r="G1749" s="9">
        <v>0.48</v>
      </c>
      <c r="H1749" s="9">
        <v>0.83</v>
      </c>
      <c r="I1749" s="9">
        <v>0.1</v>
      </c>
      <c r="J1749" s="7" t="s">
        <v>325</v>
      </c>
    </row>
    <row r="1750" spans="1:10" x14ac:dyDescent="0.35">
      <c r="A1750" s="7" t="s">
        <v>86</v>
      </c>
      <c r="B1750" s="7" t="s">
        <v>207</v>
      </c>
      <c r="C1750" s="7" t="s">
        <v>65</v>
      </c>
      <c r="D1750" s="9">
        <v>0</v>
      </c>
      <c r="E1750" s="9">
        <v>0.01</v>
      </c>
      <c r="F1750" s="9">
        <v>0</v>
      </c>
      <c r="G1750" s="9">
        <v>1.44</v>
      </c>
      <c r="H1750" s="9">
        <v>15.2</v>
      </c>
      <c r="I1750" s="9">
        <v>4.66</v>
      </c>
      <c r="J1750" s="7" t="s">
        <v>325</v>
      </c>
    </row>
    <row r="1751" spans="1:10" x14ac:dyDescent="0.35">
      <c r="A1751" s="7" t="s">
        <v>16</v>
      </c>
      <c r="B1751" s="7" t="s">
        <v>17</v>
      </c>
      <c r="C1751" s="7" t="s">
        <v>128</v>
      </c>
      <c r="D1751" s="9">
        <v>0.11</v>
      </c>
      <c r="E1751" s="9">
        <v>0</v>
      </c>
      <c r="F1751" s="9">
        <v>0</v>
      </c>
      <c r="G1751" s="9">
        <v>36.200000000000003</v>
      </c>
      <c r="H1751" s="9">
        <v>0.25</v>
      </c>
      <c r="I1751" s="9">
        <v>0.4</v>
      </c>
      <c r="J1751" s="7" t="s">
        <v>325</v>
      </c>
    </row>
    <row r="1752" spans="1:10" x14ac:dyDescent="0.35">
      <c r="A1752" s="7" t="s">
        <v>94</v>
      </c>
      <c r="B1752" s="7" t="s">
        <v>95</v>
      </c>
      <c r="C1752" s="7" t="s">
        <v>174</v>
      </c>
      <c r="D1752" s="9">
        <v>0</v>
      </c>
      <c r="E1752" s="9">
        <v>0</v>
      </c>
      <c r="F1752" s="9">
        <v>0</v>
      </c>
      <c r="G1752" s="9">
        <v>0.03</v>
      </c>
      <c r="H1752" s="9">
        <v>0.19</v>
      </c>
      <c r="I1752" s="9">
        <v>0.2</v>
      </c>
      <c r="J1752" s="7" t="s">
        <v>325</v>
      </c>
    </row>
    <row r="1753" spans="1:10" ht="26.25" customHeight="1" x14ac:dyDescent="0.35">
      <c r="A1753" s="7" t="s">
        <v>86</v>
      </c>
      <c r="B1753" s="7" t="s">
        <v>87</v>
      </c>
      <c r="C1753" s="7" t="s">
        <v>81</v>
      </c>
      <c r="D1753" s="9">
        <v>0</v>
      </c>
      <c r="E1753" s="9">
        <v>0</v>
      </c>
      <c r="F1753" s="9">
        <v>0</v>
      </c>
      <c r="G1753" s="9">
        <v>0.03</v>
      </c>
      <c r="H1753" s="9">
        <v>0.12</v>
      </c>
      <c r="I1753" s="9">
        <v>0.26</v>
      </c>
      <c r="J1753" s="7" t="s">
        <v>325</v>
      </c>
    </row>
    <row r="1754" spans="1:10" x14ac:dyDescent="0.35">
      <c r="A1754" s="7" t="s">
        <v>57</v>
      </c>
      <c r="B1754" s="7" t="s">
        <v>197</v>
      </c>
      <c r="C1754" s="7" t="s">
        <v>102</v>
      </c>
      <c r="D1754" s="9">
        <v>0</v>
      </c>
      <c r="E1754" s="9">
        <v>0.01</v>
      </c>
      <c r="F1754" s="9">
        <v>0</v>
      </c>
      <c r="G1754" s="9">
        <v>0</v>
      </c>
      <c r="H1754" s="9">
        <v>21.08</v>
      </c>
      <c r="I1754" s="9">
        <v>7.04</v>
      </c>
      <c r="J1754" s="7" t="s">
        <v>325</v>
      </c>
    </row>
    <row r="1755" spans="1:10" x14ac:dyDescent="0.35">
      <c r="A1755" s="7" t="s">
        <v>20</v>
      </c>
      <c r="B1755" s="7" t="s">
        <v>134</v>
      </c>
      <c r="C1755" s="7" t="s">
        <v>84</v>
      </c>
      <c r="D1755" s="9">
        <v>0</v>
      </c>
      <c r="E1755" s="9">
        <v>0</v>
      </c>
      <c r="F1755" s="9">
        <v>0</v>
      </c>
      <c r="G1755" s="9">
        <v>0</v>
      </c>
      <c r="H1755" s="9">
        <v>0.24</v>
      </c>
      <c r="I1755" s="9">
        <v>0.25</v>
      </c>
      <c r="J1755" s="7" t="s">
        <v>325</v>
      </c>
    </row>
    <row r="1756" spans="1:10" x14ac:dyDescent="0.35">
      <c r="A1756" s="7" t="s">
        <v>77</v>
      </c>
      <c r="B1756" s="7" t="s">
        <v>157</v>
      </c>
      <c r="C1756" s="7" t="s">
        <v>48</v>
      </c>
      <c r="D1756" s="9">
        <v>0.01</v>
      </c>
      <c r="E1756" s="9">
        <v>0.04</v>
      </c>
      <c r="F1756" s="9">
        <v>0</v>
      </c>
      <c r="G1756" s="9">
        <v>6.96</v>
      </c>
      <c r="H1756" s="9">
        <v>7.9</v>
      </c>
      <c r="I1756" s="9">
        <v>2.11</v>
      </c>
      <c r="J1756" s="7" t="s">
        <v>325</v>
      </c>
    </row>
    <row r="1757" spans="1:10" x14ac:dyDescent="0.35">
      <c r="A1757" s="7" t="s">
        <v>35</v>
      </c>
      <c r="B1757" s="7" t="s">
        <v>36</v>
      </c>
      <c r="C1757" s="7" t="s">
        <v>46</v>
      </c>
      <c r="D1757" s="9">
        <v>0</v>
      </c>
      <c r="E1757" s="9">
        <v>0</v>
      </c>
      <c r="F1757" s="9">
        <v>0</v>
      </c>
      <c r="G1757" s="9">
        <v>3.75</v>
      </c>
      <c r="H1757" s="9">
        <v>1.51</v>
      </c>
      <c r="I1757" s="9">
        <v>2.98</v>
      </c>
      <c r="J1757" s="7" t="s">
        <v>325</v>
      </c>
    </row>
    <row r="1758" spans="1:10" x14ac:dyDescent="0.35">
      <c r="A1758" s="7" t="s">
        <v>16</v>
      </c>
      <c r="B1758" s="7" t="s">
        <v>115</v>
      </c>
      <c r="C1758" s="7" t="s">
        <v>144</v>
      </c>
      <c r="D1758" s="9">
        <v>0</v>
      </c>
      <c r="E1758" s="9">
        <v>0</v>
      </c>
      <c r="F1758" s="9">
        <v>0</v>
      </c>
      <c r="G1758" s="9">
        <v>2.6</v>
      </c>
      <c r="H1758" s="9">
        <v>11.06</v>
      </c>
      <c r="I1758" s="9">
        <v>10.38</v>
      </c>
      <c r="J1758" s="7" t="s">
        <v>325</v>
      </c>
    </row>
    <row r="1759" spans="1:10" x14ac:dyDescent="0.35">
      <c r="A1759" s="7" t="s">
        <v>79</v>
      </c>
      <c r="B1759" s="7" t="s">
        <v>80</v>
      </c>
      <c r="C1759" s="7" t="s">
        <v>142</v>
      </c>
      <c r="D1759" s="9">
        <v>0</v>
      </c>
      <c r="E1759" s="9">
        <v>0.01</v>
      </c>
      <c r="F1759" s="9">
        <v>0</v>
      </c>
      <c r="G1759" s="9">
        <v>1.95</v>
      </c>
      <c r="H1759" s="9">
        <v>2.21</v>
      </c>
      <c r="I1759" s="9">
        <v>1.9</v>
      </c>
      <c r="J1759" s="7" t="s">
        <v>325</v>
      </c>
    </row>
    <row r="1760" spans="1:10" x14ac:dyDescent="0.35">
      <c r="A1760" s="7" t="s">
        <v>40</v>
      </c>
      <c r="B1760" s="7" t="s">
        <v>183</v>
      </c>
      <c r="C1760" s="7" t="s">
        <v>54</v>
      </c>
      <c r="D1760" s="9">
        <v>0.05</v>
      </c>
      <c r="E1760" s="9">
        <v>2.52</v>
      </c>
      <c r="F1760" s="9">
        <v>0</v>
      </c>
      <c r="G1760" s="9">
        <v>27.03</v>
      </c>
      <c r="H1760" s="8">
        <v>1568.22</v>
      </c>
      <c r="I1760" s="9">
        <v>1.08</v>
      </c>
      <c r="J1760" s="7" t="s">
        <v>325</v>
      </c>
    </row>
    <row r="1761" spans="1:10" x14ac:dyDescent="0.35">
      <c r="A1761" s="7" t="s">
        <v>20</v>
      </c>
      <c r="B1761" s="7" t="s">
        <v>245</v>
      </c>
      <c r="C1761" s="7" t="s">
        <v>102</v>
      </c>
      <c r="D1761" s="9">
        <v>0.03</v>
      </c>
      <c r="E1761" s="9">
        <v>0.02</v>
      </c>
      <c r="F1761" s="9">
        <v>0</v>
      </c>
      <c r="G1761" s="9">
        <v>23.19</v>
      </c>
      <c r="H1761" s="9">
        <v>14.5</v>
      </c>
      <c r="I1761" s="9">
        <v>4.3600000000000003</v>
      </c>
      <c r="J1761" s="7" t="s">
        <v>325</v>
      </c>
    </row>
    <row r="1762" spans="1:10" x14ac:dyDescent="0.35">
      <c r="A1762" s="7" t="s">
        <v>20</v>
      </c>
      <c r="B1762" s="7" t="s">
        <v>68</v>
      </c>
      <c r="C1762" s="7" t="s">
        <v>151</v>
      </c>
      <c r="D1762" s="9">
        <v>0.02</v>
      </c>
      <c r="E1762" s="9">
        <v>0.01</v>
      </c>
      <c r="F1762" s="9">
        <v>0</v>
      </c>
      <c r="G1762" s="9">
        <v>6.12</v>
      </c>
      <c r="H1762" s="9">
        <v>2.4300000000000002</v>
      </c>
      <c r="I1762" s="9">
        <v>0.56000000000000005</v>
      </c>
      <c r="J1762" s="7" t="s">
        <v>325</v>
      </c>
    </row>
    <row r="1763" spans="1:10" x14ac:dyDescent="0.35">
      <c r="A1763" s="7" t="s">
        <v>16</v>
      </c>
      <c r="B1763" s="7" t="s">
        <v>140</v>
      </c>
      <c r="C1763" s="7" t="s">
        <v>48</v>
      </c>
      <c r="D1763" s="9">
        <v>0.24</v>
      </c>
      <c r="E1763" s="9">
        <v>0.01</v>
      </c>
      <c r="F1763" s="9">
        <v>0</v>
      </c>
      <c r="G1763" s="9">
        <v>84.2</v>
      </c>
      <c r="H1763" s="9">
        <v>1.85</v>
      </c>
      <c r="I1763" s="9">
        <v>0.53</v>
      </c>
      <c r="J1763" s="7" t="s">
        <v>325</v>
      </c>
    </row>
    <row r="1764" spans="1:10" x14ac:dyDescent="0.35">
      <c r="A1764" s="7" t="s">
        <v>231</v>
      </c>
      <c r="B1764" s="7" t="s">
        <v>232</v>
      </c>
      <c r="C1764" s="7" t="s">
        <v>170</v>
      </c>
      <c r="D1764" s="9">
        <v>0.01</v>
      </c>
      <c r="E1764" s="9">
        <v>0.01</v>
      </c>
      <c r="F1764" s="9">
        <v>0</v>
      </c>
      <c r="G1764" s="9">
        <v>1.84</v>
      </c>
      <c r="H1764" s="9">
        <v>3.47</v>
      </c>
      <c r="I1764" s="9">
        <v>1.93</v>
      </c>
      <c r="J1764" s="7" t="s">
        <v>325</v>
      </c>
    </row>
    <row r="1765" spans="1:10" x14ac:dyDescent="0.35">
      <c r="A1765" s="7" t="s">
        <v>231</v>
      </c>
      <c r="B1765" s="7" t="s">
        <v>236</v>
      </c>
      <c r="C1765" s="7" t="s">
        <v>65</v>
      </c>
      <c r="D1765" s="9">
        <v>0</v>
      </c>
      <c r="E1765" s="9">
        <v>0.01</v>
      </c>
      <c r="F1765" s="9">
        <v>0</v>
      </c>
      <c r="G1765" s="9">
        <v>0</v>
      </c>
      <c r="H1765" s="9">
        <v>13.62</v>
      </c>
      <c r="I1765" s="9">
        <v>7.1</v>
      </c>
      <c r="J1765" s="7" t="s">
        <v>325</v>
      </c>
    </row>
    <row r="1766" spans="1:10" x14ac:dyDescent="0.35">
      <c r="A1766" s="7" t="s">
        <v>40</v>
      </c>
      <c r="B1766" s="7" t="s">
        <v>164</v>
      </c>
      <c r="C1766" s="7" t="s">
        <v>84</v>
      </c>
      <c r="D1766" s="9">
        <v>0</v>
      </c>
      <c r="E1766" s="9">
        <v>0.33</v>
      </c>
      <c r="F1766" s="9">
        <v>0</v>
      </c>
      <c r="G1766" s="9">
        <v>0.15</v>
      </c>
      <c r="H1766" s="9">
        <v>34.630000000000003</v>
      </c>
      <c r="I1766" s="9">
        <v>0.21</v>
      </c>
      <c r="J1766" s="7" t="s">
        <v>325</v>
      </c>
    </row>
    <row r="1767" spans="1:10" x14ac:dyDescent="0.35">
      <c r="A1767" s="7" t="s">
        <v>40</v>
      </c>
      <c r="B1767" s="7" t="s">
        <v>241</v>
      </c>
      <c r="C1767" s="7" t="s">
        <v>84</v>
      </c>
      <c r="D1767" s="9">
        <v>0</v>
      </c>
      <c r="E1767" s="9">
        <v>0.01</v>
      </c>
      <c r="F1767" s="9">
        <v>0</v>
      </c>
      <c r="G1767" s="9">
        <v>0</v>
      </c>
      <c r="H1767" s="9">
        <v>2.44</v>
      </c>
      <c r="I1767" s="9">
        <v>1.24</v>
      </c>
      <c r="J1767" s="7" t="s">
        <v>325</v>
      </c>
    </row>
    <row r="1768" spans="1:10" x14ac:dyDescent="0.35">
      <c r="A1768" s="7" t="s">
        <v>74</v>
      </c>
      <c r="B1768" s="7" t="s">
        <v>137</v>
      </c>
      <c r="C1768" s="7" t="s">
        <v>46</v>
      </c>
      <c r="D1768" s="9">
        <v>0.01</v>
      </c>
      <c r="E1768" s="9">
        <v>0.01</v>
      </c>
      <c r="F1768" s="9">
        <v>0</v>
      </c>
      <c r="G1768" s="9">
        <v>0.25</v>
      </c>
      <c r="H1768" s="9">
        <v>0.2</v>
      </c>
      <c r="I1768" s="9">
        <v>0.13</v>
      </c>
      <c r="J1768" s="7" t="s">
        <v>325</v>
      </c>
    </row>
    <row r="1769" spans="1:10" x14ac:dyDescent="0.35">
      <c r="A1769" s="7" t="s">
        <v>251</v>
      </c>
      <c r="B1769" s="7" t="s">
        <v>252</v>
      </c>
      <c r="C1769" s="7" t="s">
        <v>45</v>
      </c>
      <c r="D1769" s="9">
        <v>0.01</v>
      </c>
      <c r="E1769" s="9">
        <v>0</v>
      </c>
      <c r="F1769" s="9">
        <v>0</v>
      </c>
      <c r="G1769" s="9">
        <v>1.25</v>
      </c>
      <c r="H1769" s="9">
        <v>0.13</v>
      </c>
      <c r="I1769" s="9">
        <v>0.27</v>
      </c>
      <c r="J1769" s="7" t="s">
        <v>325</v>
      </c>
    </row>
    <row r="1770" spans="1:10" x14ac:dyDescent="0.35">
      <c r="A1770" s="7" t="s">
        <v>94</v>
      </c>
      <c r="B1770" s="7" t="s">
        <v>203</v>
      </c>
      <c r="C1770" s="7" t="s">
        <v>39</v>
      </c>
      <c r="D1770" s="9">
        <v>0.01</v>
      </c>
      <c r="E1770" s="9">
        <v>0</v>
      </c>
      <c r="F1770" s="9">
        <v>0</v>
      </c>
      <c r="G1770" s="9">
        <v>0.03</v>
      </c>
      <c r="H1770" s="9">
        <v>0</v>
      </c>
      <c r="I1770" s="9">
        <v>0.61</v>
      </c>
      <c r="J1770" s="7" t="s">
        <v>325</v>
      </c>
    </row>
    <row r="1771" spans="1:10" x14ac:dyDescent="0.35">
      <c r="A1771" s="7" t="s">
        <v>251</v>
      </c>
      <c r="B1771" s="7" t="s">
        <v>252</v>
      </c>
      <c r="C1771" s="7" t="s">
        <v>84</v>
      </c>
      <c r="D1771" s="9">
        <v>0.03</v>
      </c>
      <c r="E1771" s="9">
        <v>0.08</v>
      </c>
      <c r="F1771" s="9">
        <v>0</v>
      </c>
      <c r="G1771" s="9">
        <v>2.21</v>
      </c>
      <c r="H1771" s="9">
        <v>5.82</v>
      </c>
      <c r="I1771" s="9">
        <v>0.3</v>
      </c>
      <c r="J1771" s="7" t="s">
        <v>325</v>
      </c>
    </row>
    <row r="1772" spans="1:10" x14ac:dyDescent="0.35">
      <c r="A1772" s="7" t="s">
        <v>49</v>
      </c>
      <c r="B1772" s="7" t="s">
        <v>176</v>
      </c>
      <c r="C1772" s="7" t="s">
        <v>144</v>
      </c>
      <c r="D1772" s="9">
        <v>0.03</v>
      </c>
      <c r="E1772" s="9">
        <v>0.03</v>
      </c>
      <c r="F1772" s="9">
        <v>0</v>
      </c>
      <c r="G1772" s="9">
        <v>76.14</v>
      </c>
      <c r="H1772" s="9">
        <v>30.35</v>
      </c>
      <c r="I1772" s="9">
        <v>2.1800000000000002</v>
      </c>
      <c r="J1772" s="7" t="s">
        <v>325</v>
      </c>
    </row>
    <row r="1773" spans="1:10" x14ac:dyDescent="0.35">
      <c r="A1773" s="7" t="s">
        <v>159</v>
      </c>
      <c r="B1773" s="7" t="s">
        <v>218</v>
      </c>
      <c r="C1773" s="7" t="s">
        <v>39</v>
      </c>
      <c r="D1773" s="9">
        <v>0.09</v>
      </c>
      <c r="E1773" s="9">
        <v>0.08</v>
      </c>
      <c r="F1773" s="9">
        <v>0</v>
      </c>
      <c r="G1773" s="9">
        <v>13.63</v>
      </c>
      <c r="H1773" s="9">
        <v>16.04</v>
      </c>
      <c r="I1773" s="9">
        <v>0.99</v>
      </c>
      <c r="J1773" s="7" t="s">
        <v>325</v>
      </c>
    </row>
    <row r="1774" spans="1:10" x14ac:dyDescent="0.35">
      <c r="A1774" s="7" t="s">
        <v>16</v>
      </c>
      <c r="B1774" s="7" t="s">
        <v>28</v>
      </c>
      <c r="C1774" s="7" t="s">
        <v>62</v>
      </c>
      <c r="D1774" s="9">
        <v>0.04</v>
      </c>
      <c r="E1774" s="9">
        <v>12.19</v>
      </c>
      <c r="F1774" s="9">
        <v>0</v>
      </c>
      <c r="G1774" s="9">
        <v>125.68</v>
      </c>
      <c r="H1774" s="8">
        <v>53629</v>
      </c>
      <c r="I1774" s="9">
        <v>9.9499999999999993</v>
      </c>
      <c r="J1774" s="7" t="s">
        <v>325</v>
      </c>
    </row>
    <row r="1775" spans="1:10" x14ac:dyDescent="0.35">
      <c r="A1775" s="7" t="s">
        <v>23</v>
      </c>
      <c r="B1775" s="7" t="s">
        <v>185</v>
      </c>
      <c r="C1775" s="7" t="s">
        <v>102</v>
      </c>
      <c r="D1775" s="9">
        <v>2.7</v>
      </c>
      <c r="E1775" s="9">
        <v>0.49</v>
      </c>
      <c r="F1775" s="9">
        <v>0</v>
      </c>
      <c r="G1775" s="8">
        <v>19861.599999999999</v>
      </c>
      <c r="H1775" s="8">
        <v>2882.07</v>
      </c>
      <c r="I1775" s="9">
        <v>26.03</v>
      </c>
      <c r="J1775" s="7" t="s">
        <v>325</v>
      </c>
    </row>
    <row r="1776" spans="1:10" x14ac:dyDescent="0.35">
      <c r="A1776" s="7" t="s">
        <v>94</v>
      </c>
      <c r="B1776" s="7" t="s">
        <v>184</v>
      </c>
      <c r="C1776" s="7" t="s">
        <v>76</v>
      </c>
      <c r="D1776" s="9">
        <v>0</v>
      </c>
      <c r="E1776" s="9">
        <v>0.01</v>
      </c>
      <c r="F1776" s="9">
        <v>0</v>
      </c>
      <c r="G1776" s="9">
        <v>8.4600000000000009</v>
      </c>
      <c r="H1776" s="9">
        <v>16.989999999999998</v>
      </c>
      <c r="I1776" s="9">
        <v>6.49</v>
      </c>
      <c r="J1776" s="7" t="s">
        <v>325</v>
      </c>
    </row>
    <row r="1777" spans="1:10" ht="26.25" customHeight="1" x14ac:dyDescent="0.35">
      <c r="A1777" s="7" t="s">
        <v>31</v>
      </c>
      <c r="B1777" s="7" t="s">
        <v>146</v>
      </c>
      <c r="C1777" s="7" t="s">
        <v>59</v>
      </c>
      <c r="D1777" s="9">
        <v>0</v>
      </c>
      <c r="E1777" s="9">
        <v>0</v>
      </c>
      <c r="F1777" s="9">
        <v>0</v>
      </c>
      <c r="G1777" s="9">
        <v>0</v>
      </c>
      <c r="H1777" s="9">
        <v>0</v>
      </c>
      <c r="I1777" s="9">
        <v>2.57</v>
      </c>
      <c r="J1777" s="7" t="s">
        <v>325</v>
      </c>
    </row>
    <row r="1778" spans="1:10" x14ac:dyDescent="0.35">
      <c r="A1778" s="7" t="s">
        <v>231</v>
      </c>
      <c r="B1778" s="7" t="s">
        <v>236</v>
      </c>
      <c r="C1778" s="7" t="s">
        <v>39</v>
      </c>
      <c r="D1778" s="9">
        <v>0.03</v>
      </c>
      <c r="E1778" s="9">
        <v>0.03</v>
      </c>
      <c r="F1778" s="9">
        <v>0</v>
      </c>
      <c r="G1778" s="9">
        <v>1.46</v>
      </c>
      <c r="H1778" s="9">
        <v>7.97</v>
      </c>
      <c r="I1778" s="9">
        <v>0.71</v>
      </c>
      <c r="J1778" s="7" t="s">
        <v>325</v>
      </c>
    </row>
    <row r="1779" spans="1:10" x14ac:dyDescent="0.35">
      <c r="A1779" s="7" t="s">
        <v>40</v>
      </c>
      <c r="B1779" s="7" t="s">
        <v>183</v>
      </c>
      <c r="C1779" s="7" t="s">
        <v>126</v>
      </c>
      <c r="D1779" s="9">
        <v>0.01</v>
      </c>
      <c r="E1779" s="9">
        <v>0.01</v>
      </c>
      <c r="F1779" s="9">
        <v>0</v>
      </c>
      <c r="G1779" s="9">
        <v>3.35</v>
      </c>
      <c r="H1779" s="9">
        <v>5.09</v>
      </c>
      <c r="I1779" s="9">
        <v>1.54</v>
      </c>
      <c r="J1779" s="7" t="s">
        <v>325</v>
      </c>
    </row>
    <row r="1780" spans="1:10" x14ac:dyDescent="0.35">
      <c r="A1780" s="7" t="s">
        <v>77</v>
      </c>
      <c r="B1780" s="7" t="s">
        <v>132</v>
      </c>
      <c r="C1780" s="7" t="s">
        <v>33</v>
      </c>
      <c r="D1780" s="9">
        <v>0</v>
      </c>
      <c r="E1780" s="9">
        <v>0.01</v>
      </c>
      <c r="F1780" s="9">
        <v>0</v>
      </c>
      <c r="G1780" s="9">
        <v>1.61</v>
      </c>
      <c r="H1780" s="9">
        <v>7.94</v>
      </c>
      <c r="I1780" s="9">
        <v>1.73</v>
      </c>
      <c r="J1780" s="7" t="s">
        <v>325</v>
      </c>
    </row>
    <row r="1781" spans="1:10" x14ac:dyDescent="0.35">
      <c r="A1781" s="7" t="s">
        <v>20</v>
      </c>
      <c r="B1781" s="7" t="s">
        <v>173</v>
      </c>
      <c r="C1781" s="7" t="s">
        <v>59</v>
      </c>
      <c r="D1781" s="9">
        <v>0.02</v>
      </c>
      <c r="E1781" s="9">
        <v>0.02</v>
      </c>
      <c r="F1781" s="9">
        <v>0</v>
      </c>
      <c r="G1781" s="9">
        <v>8.4</v>
      </c>
      <c r="H1781" s="9">
        <v>3.51</v>
      </c>
      <c r="I1781" s="9">
        <v>0.39</v>
      </c>
      <c r="J1781" s="7" t="s">
        <v>325</v>
      </c>
    </row>
    <row r="1782" spans="1:10" x14ac:dyDescent="0.35">
      <c r="A1782" s="7" t="s">
        <v>66</v>
      </c>
      <c r="B1782" s="7" t="s">
        <v>71</v>
      </c>
      <c r="C1782" s="7" t="s">
        <v>42</v>
      </c>
      <c r="D1782" s="9">
        <v>0.02</v>
      </c>
      <c r="E1782" s="9">
        <v>0.04</v>
      </c>
      <c r="F1782" s="9">
        <v>0</v>
      </c>
      <c r="G1782" s="9">
        <v>12.87</v>
      </c>
      <c r="H1782" s="9">
        <v>17.510000000000002</v>
      </c>
      <c r="I1782" s="9">
        <v>1.82</v>
      </c>
      <c r="J1782" s="7" t="s">
        <v>325</v>
      </c>
    </row>
    <row r="1783" spans="1:10" x14ac:dyDescent="0.35">
      <c r="A1783" s="7" t="s">
        <v>74</v>
      </c>
      <c r="B1783" s="7" t="s">
        <v>98</v>
      </c>
      <c r="C1783" s="7" t="s">
        <v>118</v>
      </c>
      <c r="D1783" s="9">
        <v>0</v>
      </c>
      <c r="E1783" s="9">
        <v>0</v>
      </c>
      <c r="F1783" s="9">
        <v>0</v>
      </c>
      <c r="G1783" s="9">
        <v>0</v>
      </c>
      <c r="H1783" s="9">
        <v>1</v>
      </c>
      <c r="I1783" s="9">
        <v>1</v>
      </c>
      <c r="J1783" s="7" t="s">
        <v>325</v>
      </c>
    </row>
    <row r="1784" spans="1:10" x14ac:dyDescent="0.35">
      <c r="A1784" s="7" t="s">
        <v>40</v>
      </c>
      <c r="B1784" s="7" t="s">
        <v>164</v>
      </c>
      <c r="C1784" s="7" t="s">
        <v>118</v>
      </c>
      <c r="D1784" s="9">
        <v>0.01</v>
      </c>
      <c r="E1784" s="9">
        <v>0.01</v>
      </c>
      <c r="F1784" s="9">
        <v>0</v>
      </c>
      <c r="G1784" s="9">
        <v>0.81</v>
      </c>
      <c r="H1784" s="9">
        <v>0.78</v>
      </c>
      <c r="I1784" s="9">
        <v>0.35</v>
      </c>
      <c r="J1784" s="7" t="s">
        <v>325</v>
      </c>
    </row>
    <row r="1785" spans="1:10" x14ac:dyDescent="0.35">
      <c r="A1785" s="7" t="s">
        <v>23</v>
      </c>
      <c r="B1785" s="7" t="s">
        <v>44</v>
      </c>
      <c r="C1785" s="7" t="s">
        <v>113</v>
      </c>
      <c r="D1785" s="9">
        <v>0</v>
      </c>
      <c r="E1785" s="9">
        <v>0</v>
      </c>
      <c r="F1785" s="9">
        <v>0</v>
      </c>
      <c r="G1785" s="9">
        <v>0</v>
      </c>
      <c r="H1785" s="9">
        <v>0</v>
      </c>
      <c r="I1785" s="9">
        <v>4.72</v>
      </c>
      <c r="J1785" s="7" t="s">
        <v>325</v>
      </c>
    </row>
    <row r="1786" spans="1:10" x14ac:dyDescent="0.35">
      <c r="A1786" s="7" t="s">
        <v>86</v>
      </c>
      <c r="B1786" s="7" t="s">
        <v>87</v>
      </c>
      <c r="C1786" s="7" t="s">
        <v>150</v>
      </c>
      <c r="D1786" s="9">
        <v>0</v>
      </c>
      <c r="E1786" s="9">
        <v>0.03</v>
      </c>
      <c r="F1786" s="9">
        <v>0</v>
      </c>
      <c r="G1786" s="9">
        <v>0.35</v>
      </c>
      <c r="H1786" s="9">
        <v>2.2000000000000002</v>
      </c>
      <c r="I1786" s="9">
        <v>0.16</v>
      </c>
      <c r="J1786" s="7" t="s">
        <v>325</v>
      </c>
    </row>
    <row r="1787" spans="1:10" x14ac:dyDescent="0.35">
      <c r="A1787" s="7" t="s">
        <v>57</v>
      </c>
      <c r="B1787" s="7" t="s">
        <v>161</v>
      </c>
      <c r="C1787" s="7" t="s">
        <v>72</v>
      </c>
      <c r="D1787" s="9">
        <v>1.19</v>
      </c>
      <c r="E1787" s="9">
        <v>0.05</v>
      </c>
      <c r="F1787" s="9">
        <v>0</v>
      </c>
      <c r="G1787" s="9">
        <v>320.27999999999997</v>
      </c>
      <c r="H1787" s="9">
        <v>42.79</v>
      </c>
      <c r="I1787" s="9">
        <v>0.57999999999999996</v>
      </c>
      <c r="J1787" s="7" t="s">
        <v>325</v>
      </c>
    </row>
    <row r="1788" spans="1:10" x14ac:dyDescent="0.35">
      <c r="A1788" s="7" t="s">
        <v>49</v>
      </c>
      <c r="B1788" s="7" t="s">
        <v>70</v>
      </c>
      <c r="C1788" s="7" t="s">
        <v>18</v>
      </c>
      <c r="D1788" s="9">
        <v>0.02</v>
      </c>
      <c r="E1788" s="9">
        <v>0</v>
      </c>
      <c r="F1788" s="9">
        <v>0</v>
      </c>
      <c r="G1788" s="9">
        <v>20</v>
      </c>
      <c r="H1788" s="9">
        <v>0</v>
      </c>
      <c r="I1788" s="9">
        <v>0.95</v>
      </c>
      <c r="J1788" s="7" t="s">
        <v>325</v>
      </c>
    </row>
    <row r="1789" spans="1:10" x14ac:dyDescent="0.35">
      <c r="A1789" s="7" t="s">
        <v>40</v>
      </c>
      <c r="B1789" s="7" t="s">
        <v>64</v>
      </c>
      <c r="C1789" s="7" t="s">
        <v>128</v>
      </c>
      <c r="D1789" s="9">
        <v>0</v>
      </c>
      <c r="E1789" s="9">
        <v>0</v>
      </c>
      <c r="F1789" s="9">
        <v>0</v>
      </c>
      <c r="G1789" s="9">
        <v>0</v>
      </c>
      <c r="H1789" s="9">
        <v>0</v>
      </c>
      <c r="I1789" s="9">
        <v>0.3</v>
      </c>
      <c r="J1789" s="7" t="s">
        <v>325</v>
      </c>
    </row>
    <row r="1790" spans="1:10" x14ac:dyDescent="0.35">
      <c r="A1790" s="7" t="s">
        <v>159</v>
      </c>
      <c r="B1790" s="7" t="s">
        <v>186</v>
      </c>
      <c r="C1790" s="7" t="s">
        <v>62</v>
      </c>
      <c r="D1790" s="9">
        <v>0.15</v>
      </c>
      <c r="E1790" s="9">
        <v>0</v>
      </c>
      <c r="F1790" s="9">
        <v>0</v>
      </c>
      <c r="G1790" s="9">
        <v>325.56</v>
      </c>
      <c r="H1790" s="9">
        <v>7.97</v>
      </c>
      <c r="I1790" s="9">
        <v>10.01</v>
      </c>
      <c r="J1790" s="7" t="s">
        <v>325</v>
      </c>
    </row>
    <row r="1791" spans="1:10" x14ac:dyDescent="0.35">
      <c r="A1791" s="7" t="s">
        <v>35</v>
      </c>
      <c r="B1791" s="7" t="s">
        <v>165</v>
      </c>
      <c r="C1791" s="7" t="s">
        <v>151</v>
      </c>
      <c r="D1791" s="9">
        <v>0.01</v>
      </c>
      <c r="E1791" s="9">
        <v>0.03</v>
      </c>
      <c r="F1791" s="9">
        <v>0</v>
      </c>
      <c r="G1791" s="9">
        <v>4.08</v>
      </c>
      <c r="H1791" s="9">
        <v>13.68</v>
      </c>
      <c r="I1791" s="9">
        <v>1.1000000000000001</v>
      </c>
      <c r="J1791" s="7" t="s">
        <v>325</v>
      </c>
    </row>
    <row r="1792" spans="1:10" x14ac:dyDescent="0.35">
      <c r="A1792" s="7" t="s">
        <v>79</v>
      </c>
      <c r="B1792" s="7" t="s">
        <v>226</v>
      </c>
      <c r="C1792" s="7" t="s">
        <v>42</v>
      </c>
      <c r="D1792" s="9">
        <v>0</v>
      </c>
      <c r="E1792" s="9">
        <v>0.01</v>
      </c>
      <c r="F1792" s="9">
        <v>0</v>
      </c>
      <c r="G1792" s="9">
        <v>0.18</v>
      </c>
      <c r="H1792" s="9">
        <v>6.23</v>
      </c>
      <c r="I1792" s="9">
        <v>0.65</v>
      </c>
      <c r="J1792" s="7" t="s">
        <v>325</v>
      </c>
    </row>
    <row r="1793" spans="1:10" x14ac:dyDescent="0.35">
      <c r="A1793" s="7" t="s">
        <v>40</v>
      </c>
      <c r="B1793" s="7" t="s">
        <v>211</v>
      </c>
      <c r="C1793" s="7" t="s">
        <v>18</v>
      </c>
      <c r="D1793" s="9">
        <v>0</v>
      </c>
      <c r="E1793" s="9">
        <v>0</v>
      </c>
      <c r="F1793" s="9">
        <v>0</v>
      </c>
      <c r="G1793" s="9">
        <v>0</v>
      </c>
      <c r="H1793" s="9">
        <v>0</v>
      </c>
      <c r="I1793" s="9">
        <v>0.67</v>
      </c>
      <c r="J1793" s="7" t="s">
        <v>325</v>
      </c>
    </row>
    <row r="1794" spans="1:10" x14ac:dyDescent="0.35">
      <c r="A1794" s="7" t="s">
        <v>20</v>
      </c>
      <c r="B1794" s="7" t="s">
        <v>68</v>
      </c>
      <c r="C1794" s="7" t="s">
        <v>33</v>
      </c>
      <c r="D1794" s="9">
        <v>7.0000000000000007E-2</v>
      </c>
      <c r="E1794" s="9">
        <v>0.02</v>
      </c>
      <c r="F1794" s="9">
        <v>0</v>
      </c>
      <c r="G1794" s="9">
        <v>45.56</v>
      </c>
      <c r="H1794" s="9">
        <v>10.91</v>
      </c>
      <c r="I1794" s="9">
        <v>0.4</v>
      </c>
      <c r="J1794" s="7" t="s">
        <v>325</v>
      </c>
    </row>
    <row r="1795" spans="1:10" x14ac:dyDescent="0.35">
      <c r="A1795" s="7" t="s">
        <v>23</v>
      </c>
      <c r="B1795" s="7" t="s">
        <v>136</v>
      </c>
      <c r="C1795" s="7" t="s">
        <v>144</v>
      </c>
      <c r="D1795" s="9">
        <v>0</v>
      </c>
      <c r="E1795" s="9">
        <v>0.02</v>
      </c>
      <c r="F1795" s="9">
        <v>0</v>
      </c>
      <c r="G1795" s="9">
        <v>3.12</v>
      </c>
      <c r="H1795" s="9">
        <v>28.48</v>
      </c>
      <c r="I1795" s="9">
        <v>1.39</v>
      </c>
      <c r="J1795" s="7" t="s">
        <v>325</v>
      </c>
    </row>
    <row r="1796" spans="1:10" x14ac:dyDescent="0.35">
      <c r="A1796" s="7" t="s">
        <v>49</v>
      </c>
      <c r="B1796" s="7" t="s">
        <v>233</v>
      </c>
      <c r="C1796" s="7" t="s">
        <v>48</v>
      </c>
      <c r="D1796" s="9">
        <v>0</v>
      </c>
      <c r="E1796" s="9">
        <v>0</v>
      </c>
      <c r="F1796" s="9">
        <v>0</v>
      </c>
      <c r="G1796" s="9">
        <v>0</v>
      </c>
      <c r="H1796" s="9">
        <v>0</v>
      </c>
      <c r="I1796" s="9">
        <v>0.2</v>
      </c>
      <c r="J1796" s="7" t="s">
        <v>325</v>
      </c>
    </row>
    <row r="1797" spans="1:10" x14ac:dyDescent="0.35">
      <c r="A1797" s="7" t="s">
        <v>231</v>
      </c>
      <c r="B1797" s="7" t="s">
        <v>232</v>
      </c>
      <c r="C1797" s="7" t="s">
        <v>42</v>
      </c>
      <c r="D1797" s="9">
        <v>0.15</v>
      </c>
      <c r="E1797" s="9">
        <v>0.09</v>
      </c>
      <c r="F1797" s="9">
        <v>0</v>
      </c>
      <c r="G1797" s="9">
        <v>158.74</v>
      </c>
      <c r="H1797" s="9">
        <v>132.52000000000001</v>
      </c>
      <c r="I1797" s="9">
        <v>3.5</v>
      </c>
      <c r="J1797" s="7" t="s">
        <v>325</v>
      </c>
    </row>
    <row r="1798" spans="1:10" x14ac:dyDescent="0.35">
      <c r="A1798" s="7" t="s">
        <v>40</v>
      </c>
      <c r="B1798" s="7" t="s">
        <v>64</v>
      </c>
      <c r="C1798" s="7" t="s">
        <v>72</v>
      </c>
      <c r="D1798" s="9">
        <v>0.09</v>
      </c>
      <c r="E1798" s="9">
        <v>0.41</v>
      </c>
      <c r="F1798" s="9">
        <v>0</v>
      </c>
      <c r="G1798" s="9">
        <v>12.22</v>
      </c>
      <c r="H1798" s="9">
        <v>56.36</v>
      </c>
      <c r="I1798" s="9">
        <v>0.28000000000000003</v>
      </c>
      <c r="J1798" s="7" t="s">
        <v>325</v>
      </c>
    </row>
    <row r="1799" spans="1:10" x14ac:dyDescent="0.35">
      <c r="A1799" s="7" t="s">
        <v>77</v>
      </c>
      <c r="B1799" s="7" t="s">
        <v>78</v>
      </c>
      <c r="C1799" s="7" t="s">
        <v>46</v>
      </c>
      <c r="D1799" s="9">
        <v>0.01</v>
      </c>
      <c r="E1799" s="9">
        <v>0.01</v>
      </c>
      <c r="F1799" s="9">
        <v>0</v>
      </c>
      <c r="G1799" s="9">
        <v>2.21</v>
      </c>
      <c r="H1799" s="9">
        <v>3.24</v>
      </c>
      <c r="I1799" s="9">
        <v>1.35</v>
      </c>
      <c r="J1799" s="7" t="s">
        <v>325</v>
      </c>
    </row>
    <row r="1800" spans="1:10" x14ac:dyDescent="0.35">
      <c r="A1800" s="7" t="s">
        <v>20</v>
      </c>
      <c r="B1800" s="7" t="s">
        <v>173</v>
      </c>
      <c r="C1800" s="7" t="s">
        <v>62</v>
      </c>
      <c r="D1800" s="9">
        <v>0</v>
      </c>
      <c r="E1800" s="9">
        <v>0</v>
      </c>
      <c r="F1800" s="9">
        <v>0</v>
      </c>
      <c r="G1800" s="9">
        <v>0</v>
      </c>
      <c r="H1800" s="9">
        <v>0</v>
      </c>
      <c r="I1800" s="9">
        <v>6.6</v>
      </c>
      <c r="J1800" s="7" t="s">
        <v>325</v>
      </c>
    </row>
    <row r="1801" spans="1:10" x14ac:dyDescent="0.35">
      <c r="A1801" s="7" t="s">
        <v>66</v>
      </c>
      <c r="B1801" s="7" t="s">
        <v>71</v>
      </c>
      <c r="C1801" s="7" t="s">
        <v>53</v>
      </c>
      <c r="D1801" s="9">
        <v>0.32</v>
      </c>
      <c r="E1801" s="9">
        <v>0.37</v>
      </c>
      <c r="F1801" s="9">
        <v>0</v>
      </c>
      <c r="G1801" s="9">
        <v>228.13</v>
      </c>
      <c r="H1801" s="9">
        <v>268.70999999999998</v>
      </c>
      <c r="I1801" s="9">
        <v>0.66</v>
      </c>
      <c r="J1801" s="7" t="s">
        <v>325</v>
      </c>
    </row>
    <row r="1802" spans="1:10" x14ac:dyDescent="0.35">
      <c r="A1802" s="7" t="s">
        <v>66</v>
      </c>
      <c r="B1802" s="7" t="s">
        <v>73</v>
      </c>
      <c r="C1802" s="7" t="s">
        <v>179</v>
      </c>
      <c r="D1802" s="9">
        <v>0</v>
      </c>
      <c r="E1802" s="9">
        <v>0.03</v>
      </c>
      <c r="F1802" s="9">
        <v>0</v>
      </c>
      <c r="G1802" s="9">
        <v>0.42</v>
      </c>
      <c r="H1802" s="9">
        <v>1.95</v>
      </c>
      <c r="I1802" s="9">
        <v>0.19</v>
      </c>
      <c r="J1802" s="7" t="s">
        <v>325</v>
      </c>
    </row>
    <row r="1803" spans="1:10" x14ac:dyDescent="0.35">
      <c r="A1803" s="7" t="s">
        <v>31</v>
      </c>
      <c r="B1803" s="7" t="s">
        <v>131</v>
      </c>
      <c r="C1803" s="7" t="s">
        <v>144</v>
      </c>
      <c r="D1803" s="9">
        <v>0</v>
      </c>
      <c r="E1803" s="9">
        <v>0.01</v>
      </c>
      <c r="F1803" s="9">
        <v>0</v>
      </c>
      <c r="G1803" s="9">
        <v>6.7</v>
      </c>
      <c r="H1803" s="9">
        <v>11.62</v>
      </c>
      <c r="I1803" s="9">
        <v>4.17</v>
      </c>
      <c r="J1803" s="7" t="s">
        <v>325</v>
      </c>
    </row>
    <row r="1804" spans="1:10" x14ac:dyDescent="0.35">
      <c r="A1804" s="7" t="s">
        <v>159</v>
      </c>
      <c r="B1804" s="7" t="s">
        <v>160</v>
      </c>
      <c r="C1804" s="7" t="s">
        <v>179</v>
      </c>
      <c r="D1804" s="9">
        <v>0</v>
      </c>
      <c r="E1804" s="9">
        <v>0</v>
      </c>
      <c r="F1804" s="9">
        <v>0</v>
      </c>
      <c r="G1804" s="9">
        <v>0</v>
      </c>
      <c r="H1804" s="9">
        <v>0.49</v>
      </c>
      <c r="I1804" s="9">
        <v>0.15</v>
      </c>
      <c r="J1804" s="7" t="s">
        <v>325</v>
      </c>
    </row>
    <row r="1805" spans="1:10" ht="26.25" customHeight="1" x14ac:dyDescent="0.35">
      <c r="A1805" s="7" t="s">
        <v>23</v>
      </c>
      <c r="B1805" s="7" t="s">
        <v>191</v>
      </c>
      <c r="C1805" s="7" t="s">
        <v>81</v>
      </c>
      <c r="D1805" s="9">
        <v>0</v>
      </c>
      <c r="E1805" s="9">
        <v>0.01</v>
      </c>
      <c r="F1805" s="9">
        <v>0</v>
      </c>
      <c r="G1805" s="9">
        <v>0</v>
      </c>
      <c r="H1805" s="9">
        <v>62.97</v>
      </c>
      <c r="I1805" s="9">
        <v>13.76</v>
      </c>
      <c r="J1805" s="7" t="s">
        <v>325</v>
      </c>
    </row>
    <row r="1806" spans="1:10" x14ac:dyDescent="0.35">
      <c r="A1806" s="7" t="s">
        <v>231</v>
      </c>
      <c r="B1806" s="7" t="s">
        <v>232</v>
      </c>
      <c r="C1806" s="7" t="s">
        <v>83</v>
      </c>
      <c r="D1806" s="9">
        <v>0.01</v>
      </c>
      <c r="E1806" s="9">
        <v>0</v>
      </c>
      <c r="F1806" s="9">
        <v>0</v>
      </c>
      <c r="G1806" s="9">
        <v>5.72</v>
      </c>
      <c r="H1806" s="9">
        <v>3.32</v>
      </c>
      <c r="I1806" s="9">
        <v>2.0099999999999998</v>
      </c>
      <c r="J1806" s="7" t="s">
        <v>325</v>
      </c>
    </row>
    <row r="1807" spans="1:10" x14ac:dyDescent="0.35">
      <c r="A1807" s="7" t="s">
        <v>23</v>
      </c>
      <c r="B1807" s="7" t="s">
        <v>191</v>
      </c>
      <c r="C1807" s="7" t="s">
        <v>42</v>
      </c>
      <c r="D1807" s="9">
        <v>0</v>
      </c>
      <c r="E1807" s="9">
        <v>0</v>
      </c>
      <c r="F1807" s="9">
        <v>0</v>
      </c>
      <c r="G1807" s="9">
        <v>0</v>
      </c>
      <c r="H1807" s="9">
        <v>17.32</v>
      </c>
      <c r="I1807" s="9">
        <v>13.85</v>
      </c>
      <c r="J1807" s="7" t="s">
        <v>325</v>
      </c>
    </row>
    <row r="1808" spans="1:10" x14ac:dyDescent="0.35">
      <c r="A1808" s="7" t="s">
        <v>40</v>
      </c>
      <c r="B1808" s="7" t="s">
        <v>183</v>
      </c>
      <c r="C1808" s="7" t="s">
        <v>144</v>
      </c>
      <c r="D1808" s="9">
        <v>0.01</v>
      </c>
      <c r="E1808" s="9">
        <v>0.02</v>
      </c>
      <c r="F1808" s="9">
        <v>0</v>
      </c>
      <c r="G1808" s="9">
        <v>2.1</v>
      </c>
      <c r="H1808" s="9">
        <v>10.130000000000001</v>
      </c>
      <c r="I1808" s="9">
        <v>1.1499999999999999</v>
      </c>
      <c r="J1808" s="7" t="s">
        <v>325</v>
      </c>
    </row>
    <row r="1809" spans="1:10" x14ac:dyDescent="0.35">
      <c r="A1809" s="7" t="s">
        <v>74</v>
      </c>
      <c r="B1809" s="7" t="s">
        <v>98</v>
      </c>
      <c r="C1809" s="7" t="s">
        <v>72</v>
      </c>
      <c r="D1809" s="9">
        <v>0</v>
      </c>
      <c r="E1809" s="9">
        <v>0</v>
      </c>
      <c r="F1809" s="9">
        <v>0</v>
      </c>
      <c r="G1809" s="9">
        <v>0</v>
      </c>
      <c r="H1809" s="9">
        <v>0</v>
      </c>
      <c r="I1809" s="9">
        <v>0.26</v>
      </c>
      <c r="J1809" s="7" t="s">
        <v>325</v>
      </c>
    </row>
    <row r="1810" spans="1:10" x14ac:dyDescent="0.35">
      <c r="A1810" s="7" t="s">
        <v>40</v>
      </c>
      <c r="B1810" s="7" t="s">
        <v>220</v>
      </c>
      <c r="C1810" s="7" t="s">
        <v>42</v>
      </c>
      <c r="D1810" s="9">
        <v>0</v>
      </c>
      <c r="E1810" s="9">
        <v>0.01</v>
      </c>
      <c r="F1810" s="9">
        <v>0</v>
      </c>
      <c r="G1810" s="9">
        <v>0.18</v>
      </c>
      <c r="H1810" s="9">
        <v>2.65</v>
      </c>
      <c r="I1810" s="9">
        <v>0.55000000000000004</v>
      </c>
      <c r="J1810" s="7" t="s">
        <v>325</v>
      </c>
    </row>
    <row r="1811" spans="1:10" x14ac:dyDescent="0.35">
      <c r="A1811" s="7" t="s">
        <v>79</v>
      </c>
      <c r="B1811" s="7" t="s">
        <v>92</v>
      </c>
      <c r="C1811" s="7" t="s">
        <v>174</v>
      </c>
      <c r="D1811" s="9">
        <v>0</v>
      </c>
      <c r="E1811" s="9">
        <v>0.05</v>
      </c>
      <c r="F1811" s="9">
        <v>0</v>
      </c>
      <c r="G1811" s="9">
        <v>7.0000000000000007E-2</v>
      </c>
      <c r="H1811" s="9">
        <v>1.39</v>
      </c>
      <c r="I1811" s="9">
        <v>0.17</v>
      </c>
      <c r="J1811" s="7" t="s">
        <v>325</v>
      </c>
    </row>
    <row r="1812" spans="1:10" x14ac:dyDescent="0.35">
      <c r="A1812" s="7" t="s">
        <v>23</v>
      </c>
      <c r="B1812" s="7" t="s">
        <v>136</v>
      </c>
      <c r="C1812" s="7" t="s">
        <v>72</v>
      </c>
      <c r="D1812" s="9">
        <v>0</v>
      </c>
      <c r="E1812" s="9">
        <v>0.01</v>
      </c>
      <c r="F1812" s="9">
        <v>0</v>
      </c>
      <c r="G1812" s="9">
        <v>0</v>
      </c>
      <c r="H1812" s="9">
        <v>0.38</v>
      </c>
      <c r="I1812" s="9">
        <v>0.11</v>
      </c>
      <c r="J1812" s="7" t="s">
        <v>325</v>
      </c>
    </row>
    <row r="1813" spans="1:10" x14ac:dyDescent="0.35">
      <c r="A1813" s="7" t="s">
        <v>86</v>
      </c>
      <c r="B1813" s="7" t="s">
        <v>87</v>
      </c>
      <c r="C1813" s="7" t="s">
        <v>116</v>
      </c>
      <c r="D1813" s="9">
        <v>0</v>
      </c>
      <c r="E1813" s="9">
        <v>0</v>
      </c>
      <c r="F1813" s="9">
        <v>0</v>
      </c>
      <c r="G1813" s="9">
        <v>0.03</v>
      </c>
      <c r="H1813" s="9">
        <v>0</v>
      </c>
      <c r="I1813" s="9">
        <v>0.06</v>
      </c>
      <c r="J1813" s="7" t="s">
        <v>325</v>
      </c>
    </row>
    <row r="1814" spans="1:10" x14ac:dyDescent="0.35">
      <c r="A1814" s="7" t="s">
        <v>79</v>
      </c>
      <c r="B1814" s="7" t="s">
        <v>92</v>
      </c>
      <c r="C1814" s="7" t="s">
        <v>170</v>
      </c>
      <c r="D1814" s="9">
        <v>0.04</v>
      </c>
      <c r="E1814" s="9">
        <v>0.25</v>
      </c>
      <c r="F1814" s="9">
        <v>0</v>
      </c>
      <c r="G1814" s="9">
        <v>3.66</v>
      </c>
      <c r="H1814" s="9">
        <v>21.52</v>
      </c>
      <c r="I1814" s="9">
        <v>0.17</v>
      </c>
      <c r="J1814" s="7" t="s">
        <v>325</v>
      </c>
    </row>
    <row r="1815" spans="1:10" x14ac:dyDescent="0.35">
      <c r="A1815" s="7" t="s">
        <v>231</v>
      </c>
      <c r="B1815" s="7" t="s">
        <v>236</v>
      </c>
      <c r="C1815" s="7" t="s">
        <v>54</v>
      </c>
      <c r="D1815" s="9">
        <v>0</v>
      </c>
      <c r="E1815" s="9">
        <v>0</v>
      </c>
      <c r="F1815" s="9">
        <v>0</v>
      </c>
      <c r="G1815" s="9">
        <v>0</v>
      </c>
      <c r="H1815" s="9">
        <v>3.38</v>
      </c>
      <c r="I1815" s="9">
        <v>4.6500000000000004</v>
      </c>
      <c r="J1815" s="7" t="s">
        <v>325</v>
      </c>
    </row>
    <row r="1816" spans="1:10" x14ac:dyDescent="0.35">
      <c r="A1816" s="7" t="s">
        <v>251</v>
      </c>
      <c r="B1816" s="7" t="s">
        <v>252</v>
      </c>
      <c r="C1816" s="7" t="s">
        <v>39</v>
      </c>
      <c r="D1816" s="9">
        <v>0</v>
      </c>
      <c r="E1816" s="9">
        <v>0.03</v>
      </c>
      <c r="F1816" s="9">
        <v>0</v>
      </c>
      <c r="G1816" s="9">
        <v>2.23</v>
      </c>
      <c r="H1816" s="9">
        <v>17.739999999999998</v>
      </c>
      <c r="I1816" s="9">
        <v>0.71</v>
      </c>
      <c r="J1816" s="7" t="s">
        <v>325</v>
      </c>
    </row>
    <row r="1817" spans="1:10" x14ac:dyDescent="0.35">
      <c r="A1817" s="7" t="s">
        <v>159</v>
      </c>
      <c r="B1817" s="7" t="s">
        <v>160</v>
      </c>
      <c r="C1817" s="7" t="s">
        <v>144</v>
      </c>
      <c r="D1817" s="9">
        <v>0</v>
      </c>
      <c r="E1817" s="9">
        <v>0.01</v>
      </c>
      <c r="F1817" s="9">
        <v>0</v>
      </c>
      <c r="G1817" s="9">
        <v>8</v>
      </c>
      <c r="H1817" s="9">
        <v>17.8</v>
      </c>
      <c r="I1817" s="9">
        <v>2.64</v>
      </c>
      <c r="J1817" s="7" t="s">
        <v>325</v>
      </c>
    </row>
    <row r="1818" spans="1:10" x14ac:dyDescent="0.35">
      <c r="A1818" s="7" t="s">
        <v>231</v>
      </c>
      <c r="B1818" s="7" t="s">
        <v>232</v>
      </c>
      <c r="C1818" s="7" t="s">
        <v>18</v>
      </c>
      <c r="D1818" s="9">
        <v>0</v>
      </c>
      <c r="E1818" s="9">
        <v>0</v>
      </c>
      <c r="F1818" s="9">
        <v>0</v>
      </c>
      <c r="G1818" s="9">
        <v>0</v>
      </c>
      <c r="H1818" s="9">
        <v>2.1800000000000002</v>
      </c>
      <c r="I1818" s="9">
        <v>4.5199999999999996</v>
      </c>
      <c r="J1818" s="7" t="s">
        <v>325</v>
      </c>
    </row>
    <row r="1819" spans="1:10" ht="26.25" customHeight="1" x14ac:dyDescent="0.35">
      <c r="A1819" s="7" t="s">
        <v>79</v>
      </c>
      <c r="B1819" s="7" t="s">
        <v>92</v>
      </c>
      <c r="C1819" s="7" t="s">
        <v>81</v>
      </c>
      <c r="D1819" s="9">
        <v>0.03</v>
      </c>
      <c r="E1819" s="9">
        <v>0.04</v>
      </c>
      <c r="F1819" s="9">
        <v>0</v>
      </c>
      <c r="G1819" s="9">
        <v>18.649999999999999</v>
      </c>
      <c r="H1819" s="9">
        <v>27.1</v>
      </c>
      <c r="I1819" s="9">
        <v>2.23</v>
      </c>
      <c r="J1819" s="7" t="s">
        <v>325</v>
      </c>
    </row>
    <row r="1820" spans="1:10" x14ac:dyDescent="0.35">
      <c r="A1820" s="7" t="s">
        <v>20</v>
      </c>
      <c r="B1820" s="7" t="s">
        <v>68</v>
      </c>
      <c r="C1820" s="7" t="s">
        <v>18</v>
      </c>
      <c r="D1820" s="9">
        <v>0</v>
      </c>
      <c r="E1820" s="9">
        <v>0.01</v>
      </c>
      <c r="F1820" s="9">
        <v>0</v>
      </c>
      <c r="G1820" s="9">
        <v>0</v>
      </c>
      <c r="H1820" s="9">
        <v>5.0599999999999996</v>
      </c>
      <c r="I1820" s="9">
        <v>0.79</v>
      </c>
      <c r="J1820" s="7" t="s">
        <v>325</v>
      </c>
    </row>
    <row r="1821" spans="1:10" x14ac:dyDescent="0.35">
      <c r="A1821" s="7" t="s">
        <v>23</v>
      </c>
      <c r="B1821" s="7" t="s">
        <v>120</v>
      </c>
      <c r="C1821" s="7" t="s">
        <v>27</v>
      </c>
      <c r="D1821" s="9">
        <v>0.22</v>
      </c>
      <c r="E1821" s="9">
        <v>1.71</v>
      </c>
      <c r="F1821" s="9">
        <v>0</v>
      </c>
      <c r="G1821" s="9">
        <v>259.5</v>
      </c>
      <c r="H1821" s="8">
        <v>1683.53</v>
      </c>
      <c r="I1821" s="9">
        <v>2.09</v>
      </c>
      <c r="J1821" s="7" t="s">
        <v>325</v>
      </c>
    </row>
    <row r="1822" spans="1:10" x14ac:dyDescent="0.35">
      <c r="A1822" s="7" t="s">
        <v>23</v>
      </c>
      <c r="B1822" s="7" t="s">
        <v>30</v>
      </c>
      <c r="C1822" s="7" t="s">
        <v>150</v>
      </c>
      <c r="D1822" s="9">
        <v>0</v>
      </c>
      <c r="E1822" s="9">
        <v>0.03</v>
      </c>
      <c r="F1822" s="9">
        <v>0</v>
      </c>
      <c r="G1822" s="9">
        <v>0</v>
      </c>
      <c r="H1822" s="9">
        <v>2.56</v>
      </c>
      <c r="I1822" s="9">
        <v>0.14000000000000001</v>
      </c>
      <c r="J1822" s="7" t="s">
        <v>325</v>
      </c>
    </row>
    <row r="1823" spans="1:10" x14ac:dyDescent="0.35">
      <c r="A1823" s="7" t="s">
        <v>31</v>
      </c>
      <c r="B1823" s="7" t="s">
        <v>215</v>
      </c>
      <c r="C1823" s="7" t="s">
        <v>113</v>
      </c>
      <c r="D1823" s="9">
        <v>0</v>
      </c>
      <c r="E1823" s="9">
        <v>0</v>
      </c>
      <c r="F1823" s="9">
        <v>0</v>
      </c>
      <c r="G1823" s="9">
        <v>0</v>
      </c>
      <c r="H1823" s="9">
        <v>5.7</v>
      </c>
      <c r="I1823" s="9">
        <v>5.2</v>
      </c>
      <c r="J1823" s="7" t="s">
        <v>325</v>
      </c>
    </row>
    <row r="1824" spans="1:10" x14ac:dyDescent="0.35">
      <c r="A1824" s="7" t="s">
        <v>40</v>
      </c>
      <c r="B1824" s="7" t="s">
        <v>241</v>
      </c>
      <c r="C1824" s="7" t="s">
        <v>45</v>
      </c>
      <c r="D1824" s="9">
        <v>0.01</v>
      </c>
      <c r="E1824" s="9">
        <v>0</v>
      </c>
      <c r="F1824" s="9">
        <v>0</v>
      </c>
      <c r="G1824" s="9">
        <v>6.91</v>
      </c>
      <c r="H1824" s="9">
        <v>5.25</v>
      </c>
      <c r="I1824" s="9">
        <v>1.48</v>
      </c>
      <c r="J1824" s="7" t="s">
        <v>325</v>
      </c>
    </row>
    <row r="1825" spans="1:10" x14ac:dyDescent="0.35">
      <c r="A1825" s="7" t="s">
        <v>77</v>
      </c>
      <c r="B1825" s="7" t="s">
        <v>149</v>
      </c>
      <c r="C1825" s="7" t="s">
        <v>76</v>
      </c>
      <c r="D1825" s="9">
        <v>0</v>
      </c>
      <c r="E1825" s="9">
        <v>0</v>
      </c>
      <c r="F1825" s="9">
        <v>0</v>
      </c>
      <c r="G1825" s="9">
        <v>0.85</v>
      </c>
      <c r="H1825" s="9">
        <v>1.33</v>
      </c>
      <c r="I1825" s="9">
        <v>0.68</v>
      </c>
      <c r="J1825" s="7" t="s">
        <v>325</v>
      </c>
    </row>
    <row r="1826" spans="1:10" x14ac:dyDescent="0.35">
      <c r="A1826" s="7" t="s">
        <v>40</v>
      </c>
      <c r="B1826" s="7" t="s">
        <v>241</v>
      </c>
      <c r="C1826" s="7" t="s">
        <v>27</v>
      </c>
      <c r="D1826" s="9">
        <v>0</v>
      </c>
      <c r="E1826" s="9">
        <v>0</v>
      </c>
      <c r="F1826" s="9">
        <v>0</v>
      </c>
      <c r="G1826" s="9">
        <v>0</v>
      </c>
      <c r="H1826" s="9">
        <v>0</v>
      </c>
      <c r="I1826" s="9">
        <v>0.28000000000000003</v>
      </c>
      <c r="J1826" s="7" t="s">
        <v>325</v>
      </c>
    </row>
    <row r="1827" spans="1:10" x14ac:dyDescent="0.35">
      <c r="A1827" s="7" t="s">
        <v>35</v>
      </c>
      <c r="B1827" s="7" t="s">
        <v>47</v>
      </c>
      <c r="C1827" s="7" t="s">
        <v>151</v>
      </c>
      <c r="D1827" s="9">
        <v>0.02</v>
      </c>
      <c r="E1827" s="9">
        <v>0</v>
      </c>
      <c r="F1827" s="9">
        <v>0</v>
      </c>
      <c r="G1827" s="9">
        <v>9</v>
      </c>
      <c r="H1827" s="9">
        <v>0</v>
      </c>
      <c r="I1827" s="9">
        <v>1.02</v>
      </c>
      <c r="J1827" s="7" t="s">
        <v>325</v>
      </c>
    </row>
    <row r="1828" spans="1:10" x14ac:dyDescent="0.35">
      <c r="A1828" s="7" t="s">
        <v>86</v>
      </c>
      <c r="B1828" s="7" t="s">
        <v>87</v>
      </c>
      <c r="C1828" s="7" t="s">
        <v>144</v>
      </c>
      <c r="D1828" s="9">
        <v>0.02</v>
      </c>
      <c r="E1828" s="9">
        <v>0</v>
      </c>
      <c r="F1828" s="9">
        <v>0</v>
      </c>
      <c r="G1828" s="9">
        <v>1.3</v>
      </c>
      <c r="H1828" s="9">
        <v>0.08</v>
      </c>
      <c r="I1828" s="9">
        <v>0.34</v>
      </c>
      <c r="J1828" s="7" t="s">
        <v>325</v>
      </c>
    </row>
    <row r="1829" spans="1:10" ht="26.25" customHeight="1" x14ac:dyDescent="0.35">
      <c r="A1829" s="7" t="s">
        <v>20</v>
      </c>
      <c r="B1829" s="7" t="s">
        <v>260</v>
      </c>
      <c r="C1829" s="7" t="s">
        <v>45</v>
      </c>
      <c r="D1829" s="9">
        <v>0</v>
      </c>
      <c r="E1829" s="9">
        <v>0</v>
      </c>
      <c r="F1829" s="9">
        <v>0</v>
      </c>
      <c r="G1829" s="9">
        <v>0</v>
      </c>
      <c r="H1829" s="9">
        <v>0</v>
      </c>
      <c r="I1829" s="9">
        <v>1.6</v>
      </c>
      <c r="J1829" s="7" t="s">
        <v>325</v>
      </c>
    </row>
    <row r="1830" spans="1:10" x14ac:dyDescent="0.35">
      <c r="A1830" s="7" t="s">
        <v>57</v>
      </c>
      <c r="B1830" s="7" t="s">
        <v>161</v>
      </c>
      <c r="C1830" s="7" t="s">
        <v>46</v>
      </c>
      <c r="D1830" s="9">
        <v>0</v>
      </c>
      <c r="E1830" s="9">
        <v>0</v>
      </c>
      <c r="F1830" s="9">
        <v>0</v>
      </c>
      <c r="G1830" s="9">
        <v>1.02</v>
      </c>
      <c r="H1830" s="9">
        <v>0.05</v>
      </c>
      <c r="I1830" s="9">
        <v>1</v>
      </c>
      <c r="J1830" s="7" t="s">
        <v>325</v>
      </c>
    </row>
    <row r="1831" spans="1:10" x14ac:dyDescent="0.35">
      <c r="A1831" s="7" t="s">
        <v>66</v>
      </c>
      <c r="B1831" s="7" t="s">
        <v>208</v>
      </c>
      <c r="C1831" s="7" t="s">
        <v>179</v>
      </c>
      <c r="D1831" s="9">
        <v>0</v>
      </c>
      <c r="E1831" s="9">
        <v>0.01</v>
      </c>
      <c r="F1831" s="9">
        <v>0</v>
      </c>
      <c r="G1831" s="9">
        <v>0.36</v>
      </c>
      <c r="H1831" s="9">
        <v>0.48</v>
      </c>
      <c r="I1831" s="9">
        <v>0.14000000000000001</v>
      </c>
      <c r="J1831" s="7" t="s">
        <v>325</v>
      </c>
    </row>
    <row r="1832" spans="1:10" x14ac:dyDescent="0.35">
      <c r="A1832" s="7" t="s">
        <v>86</v>
      </c>
      <c r="B1832" s="7" t="s">
        <v>207</v>
      </c>
      <c r="C1832" s="7" t="s">
        <v>144</v>
      </c>
      <c r="D1832" s="9">
        <v>0</v>
      </c>
      <c r="E1832" s="9">
        <v>0</v>
      </c>
      <c r="F1832" s="9">
        <v>0</v>
      </c>
      <c r="G1832" s="9">
        <v>0.18</v>
      </c>
      <c r="H1832" s="9">
        <v>1.4</v>
      </c>
      <c r="I1832" s="9">
        <v>1.41</v>
      </c>
      <c r="J1832" s="7" t="s">
        <v>325</v>
      </c>
    </row>
    <row r="1833" spans="1:10" x14ac:dyDescent="0.35">
      <c r="A1833" s="7" t="s">
        <v>31</v>
      </c>
      <c r="B1833" s="7" t="s">
        <v>192</v>
      </c>
      <c r="C1833" s="7" t="s">
        <v>55</v>
      </c>
      <c r="D1833" s="9">
        <v>0</v>
      </c>
      <c r="E1833" s="9">
        <v>0</v>
      </c>
      <c r="F1833" s="9">
        <v>0</v>
      </c>
      <c r="G1833" s="9">
        <v>0.26</v>
      </c>
      <c r="H1833" s="9">
        <v>3.65</v>
      </c>
      <c r="I1833" s="9">
        <v>1.72</v>
      </c>
      <c r="J1833" s="7" t="s">
        <v>325</v>
      </c>
    </row>
    <row r="1834" spans="1:10" x14ac:dyDescent="0.35">
      <c r="A1834" s="7" t="s">
        <v>86</v>
      </c>
      <c r="B1834" s="7" t="s">
        <v>106</v>
      </c>
      <c r="C1834" s="7" t="s">
        <v>150</v>
      </c>
      <c r="D1834" s="9">
        <v>0.01</v>
      </c>
      <c r="E1834" s="9">
        <v>0.01</v>
      </c>
      <c r="F1834" s="9">
        <v>0</v>
      </c>
      <c r="G1834" s="9">
        <v>0.73</v>
      </c>
      <c r="H1834" s="9">
        <v>0.63</v>
      </c>
      <c r="I1834" s="9">
        <v>0.6</v>
      </c>
      <c r="J1834" s="7" t="s">
        <v>325</v>
      </c>
    </row>
    <row r="1835" spans="1:10" x14ac:dyDescent="0.35">
      <c r="A1835" s="7" t="s">
        <v>86</v>
      </c>
      <c r="B1835" s="7" t="s">
        <v>87</v>
      </c>
      <c r="C1835" s="7" t="s">
        <v>174</v>
      </c>
      <c r="D1835" s="9">
        <v>0.01</v>
      </c>
      <c r="E1835" s="9">
        <v>0.03</v>
      </c>
      <c r="F1835" s="9">
        <v>0</v>
      </c>
      <c r="G1835" s="9">
        <v>0.3</v>
      </c>
      <c r="H1835" s="9">
        <v>2.86</v>
      </c>
      <c r="I1835" s="9">
        <v>0.15</v>
      </c>
      <c r="J1835" s="7" t="s">
        <v>325</v>
      </c>
    </row>
    <row r="1836" spans="1:10" x14ac:dyDescent="0.35">
      <c r="A1836" s="7" t="s">
        <v>40</v>
      </c>
      <c r="B1836" s="7" t="s">
        <v>241</v>
      </c>
      <c r="C1836" s="7" t="s">
        <v>48</v>
      </c>
      <c r="D1836" s="9">
        <v>0.06</v>
      </c>
      <c r="E1836" s="9">
        <v>0.01</v>
      </c>
      <c r="F1836" s="9">
        <v>0</v>
      </c>
      <c r="G1836" s="9">
        <v>39.54</v>
      </c>
      <c r="H1836" s="9">
        <v>10.37</v>
      </c>
      <c r="I1836" s="9">
        <v>2.75</v>
      </c>
      <c r="J1836" s="7" t="s">
        <v>325</v>
      </c>
    </row>
    <row r="1837" spans="1:10" x14ac:dyDescent="0.35">
      <c r="A1837" s="7" t="s">
        <v>40</v>
      </c>
      <c r="B1837" s="7" t="s">
        <v>85</v>
      </c>
      <c r="C1837" s="7" t="s">
        <v>60</v>
      </c>
      <c r="D1837" s="9">
        <v>0</v>
      </c>
      <c r="E1837" s="9">
        <v>0.01</v>
      </c>
      <c r="F1837" s="9">
        <v>0</v>
      </c>
      <c r="G1837" s="9">
        <v>0.28000000000000003</v>
      </c>
      <c r="H1837" s="9">
        <v>3.48</v>
      </c>
      <c r="I1837" s="9">
        <v>1</v>
      </c>
      <c r="J1837" s="7" t="s">
        <v>325</v>
      </c>
    </row>
    <row r="1838" spans="1:10" x14ac:dyDescent="0.35">
      <c r="A1838" s="7" t="s">
        <v>23</v>
      </c>
      <c r="B1838" s="7" t="s">
        <v>24</v>
      </c>
      <c r="C1838" s="7" t="s">
        <v>33</v>
      </c>
      <c r="D1838" s="9">
        <v>0</v>
      </c>
      <c r="E1838" s="9">
        <v>0</v>
      </c>
      <c r="F1838" s="9">
        <v>0</v>
      </c>
      <c r="G1838" s="9">
        <v>1.5</v>
      </c>
      <c r="H1838" s="9">
        <v>1.8</v>
      </c>
      <c r="I1838" s="9">
        <v>1</v>
      </c>
      <c r="J1838" s="7" t="s">
        <v>325</v>
      </c>
    </row>
    <row r="1839" spans="1:10" x14ac:dyDescent="0.35">
      <c r="A1839" s="7" t="s">
        <v>20</v>
      </c>
      <c r="B1839" s="7" t="s">
        <v>111</v>
      </c>
      <c r="C1839" s="7" t="s">
        <v>54</v>
      </c>
      <c r="D1839" s="9">
        <v>0.08</v>
      </c>
      <c r="E1839" s="9">
        <v>7.0000000000000007E-2</v>
      </c>
      <c r="F1839" s="9">
        <v>0</v>
      </c>
      <c r="G1839" s="9">
        <v>37.74</v>
      </c>
      <c r="H1839" s="9">
        <v>60.56</v>
      </c>
      <c r="I1839" s="9">
        <v>0.5</v>
      </c>
      <c r="J1839" s="7" t="s">
        <v>325</v>
      </c>
    </row>
    <row r="1840" spans="1:10" x14ac:dyDescent="0.35">
      <c r="A1840" s="7" t="s">
        <v>23</v>
      </c>
      <c r="B1840" s="7" t="s">
        <v>120</v>
      </c>
      <c r="C1840" s="7" t="s">
        <v>72</v>
      </c>
      <c r="D1840" s="9">
        <v>0.01</v>
      </c>
      <c r="E1840" s="9">
        <v>0</v>
      </c>
      <c r="F1840" s="9">
        <v>0</v>
      </c>
      <c r="G1840" s="9">
        <v>0.72</v>
      </c>
      <c r="H1840" s="9">
        <v>0.04</v>
      </c>
      <c r="I1840" s="9">
        <v>0.18</v>
      </c>
      <c r="J1840" s="7" t="s">
        <v>325</v>
      </c>
    </row>
    <row r="1841" spans="1:10" x14ac:dyDescent="0.35">
      <c r="A1841" s="7" t="s">
        <v>35</v>
      </c>
      <c r="B1841" s="7" t="s">
        <v>47</v>
      </c>
      <c r="C1841" s="7" t="s">
        <v>118</v>
      </c>
      <c r="D1841" s="9">
        <v>0</v>
      </c>
      <c r="E1841" s="9">
        <v>0</v>
      </c>
      <c r="F1841" s="9">
        <v>0</v>
      </c>
      <c r="G1841" s="9">
        <v>0.34</v>
      </c>
      <c r="H1841" s="9">
        <v>1.1000000000000001</v>
      </c>
      <c r="I1841" s="9">
        <v>0.4</v>
      </c>
      <c r="J1841" s="7" t="s">
        <v>325</v>
      </c>
    </row>
    <row r="1842" spans="1:10" x14ac:dyDescent="0.35">
      <c r="A1842" s="7" t="s">
        <v>159</v>
      </c>
      <c r="B1842" s="7" t="s">
        <v>186</v>
      </c>
      <c r="C1842" s="7" t="s">
        <v>116</v>
      </c>
      <c r="D1842" s="9">
        <v>0</v>
      </c>
      <c r="E1842" s="9">
        <v>0</v>
      </c>
      <c r="F1842" s="9">
        <v>0</v>
      </c>
      <c r="G1842" s="9">
        <v>0</v>
      </c>
      <c r="H1842" s="9">
        <v>0</v>
      </c>
      <c r="I1842" s="9">
        <v>9.32</v>
      </c>
      <c r="J1842" s="7" t="s">
        <v>325</v>
      </c>
    </row>
    <row r="1843" spans="1:10" x14ac:dyDescent="0.35">
      <c r="A1843" s="7" t="s">
        <v>49</v>
      </c>
      <c r="B1843" s="7" t="s">
        <v>70</v>
      </c>
      <c r="C1843" s="7" t="s">
        <v>48</v>
      </c>
      <c r="D1843" s="9">
        <v>0.03</v>
      </c>
      <c r="E1843" s="9">
        <v>0.01</v>
      </c>
      <c r="F1843" s="9">
        <v>0</v>
      </c>
      <c r="G1843" s="9">
        <v>5.64</v>
      </c>
      <c r="H1843" s="9">
        <v>0.88</v>
      </c>
      <c r="I1843" s="9">
        <v>0.11</v>
      </c>
      <c r="J1843" s="7" t="s">
        <v>325</v>
      </c>
    </row>
    <row r="1844" spans="1:10" x14ac:dyDescent="0.35">
      <c r="A1844" s="7" t="s">
        <v>77</v>
      </c>
      <c r="B1844" s="7" t="s">
        <v>216</v>
      </c>
      <c r="C1844" s="7" t="s">
        <v>54</v>
      </c>
      <c r="D1844" s="9">
        <v>0</v>
      </c>
      <c r="E1844" s="9">
        <v>0.06</v>
      </c>
      <c r="F1844" s="9">
        <v>0</v>
      </c>
      <c r="G1844" s="9">
        <v>0</v>
      </c>
      <c r="H1844" s="9">
        <v>34.06</v>
      </c>
      <c r="I1844" s="9">
        <v>1</v>
      </c>
      <c r="J1844" s="7" t="s">
        <v>325</v>
      </c>
    </row>
    <row r="1845" spans="1:10" x14ac:dyDescent="0.35">
      <c r="A1845" s="7" t="s">
        <v>231</v>
      </c>
      <c r="B1845" s="7" t="s">
        <v>232</v>
      </c>
      <c r="C1845" s="7" t="s">
        <v>59</v>
      </c>
      <c r="D1845" s="9">
        <v>0</v>
      </c>
      <c r="E1845" s="9">
        <v>0</v>
      </c>
      <c r="F1845" s="9">
        <v>0</v>
      </c>
      <c r="G1845" s="9">
        <v>1.91</v>
      </c>
      <c r="H1845" s="9">
        <v>3.72</v>
      </c>
      <c r="I1845" s="9">
        <v>0.33</v>
      </c>
      <c r="J1845" s="7" t="s">
        <v>325</v>
      </c>
    </row>
    <row r="1846" spans="1:10" ht="26.25" customHeight="1" x14ac:dyDescent="0.35">
      <c r="A1846" s="7" t="s">
        <v>40</v>
      </c>
      <c r="B1846" s="7" t="s">
        <v>164</v>
      </c>
      <c r="C1846" s="7" t="s">
        <v>81</v>
      </c>
      <c r="D1846" s="9">
        <v>0</v>
      </c>
      <c r="E1846" s="9">
        <v>0</v>
      </c>
      <c r="F1846" s="9">
        <v>0</v>
      </c>
      <c r="G1846" s="9">
        <v>1.74</v>
      </c>
      <c r="H1846" s="9">
        <v>0.8</v>
      </c>
      <c r="I1846" s="9">
        <v>1.94</v>
      </c>
      <c r="J1846" s="7" t="s">
        <v>325</v>
      </c>
    </row>
    <row r="1847" spans="1:10" x14ac:dyDescent="0.35">
      <c r="A1847" s="7" t="s">
        <v>25</v>
      </c>
      <c r="B1847" s="7" t="s">
        <v>256</v>
      </c>
      <c r="C1847" s="7" t="s">
        <v>39</v>
      </c>
      <c r="D1847" s="9">
        <v>0.16</v>
      </c>
      <c r="E1847" s="9">
        <v>0.33</v>
      </c>
      <c r="F1847" s="9">
        <v>0</v>
      </c>
      <c r="G1847" s="9">
        <v>45.33</v>
      </c>
      <c r="H1847" s="9">
        <v>14.48</v>
      </c>
      <c r="I1847" s="9">
        <v>0.2</v>
      </c>
      <c r="J1847" s="7" t="s">
        <v>325</v>
      </c>
    </row>
    <row r="1848" spans="1:10" x14ac:dyDescent="0.35">
      <c r="A1848" s="7" t="s">
        <v>66</v>
      </c>
      <c r="B1848" s="7" t="s">
        <v>127</v>
      </c>
      <c r="C1848" s="7" t="s">
        <v>179</v>
      </c>
      <c r="D1848" s="9">
        <v>0</v>
      </c>
      <c r="E1848" s="9">
        <v>0</v>
      </c>
      <c r="F1848" s="9">
        <v>0</v>
      </c>
      <c r="G1848" s="9">
        <v>0.05</v>
      </c>
      <c r="H1848" s="9">
        <v>0.06</v>
      </c>
      <c r="I1848" s="9">
        <v>0.2</v>
      </c>
      <c r="J1848" s="7" t="s">
        <v>325</v>
      </c>
    </row>
    <row r="1849" spans="1:10" x14ac:dyDescent="0.35">
      <c r="A1849" s="7" t="s">
        <v>25</v>
      </c>
      <c r="B1849" s="7" t="s">
        <v>254</v>
      </c>
      <c r="C1849" s="7" t="s">
        <v>48</v>
      </c>
      <c r="D1849" s="9">
        <v>0</v>
      </c>
      <c r="E1849" s="9">
        <v>0</v>
      </c>
      <c r="F1849" s="9">
        <v>0</v>
      </c>
      <c r="G1849" s="9">
        <v>2</v>
      </c>
      <c r="H1849" s="9">
        <v>0.96</v>
      </c>
      <c r="I1849" s="9">
        <v>1.93</v>
      </c>
      <c r="J1849" s="7" t="s">
        <v>325</v>
      </c>
    </row>
    <row r="1850" spans="1:10" x14ac:dyDescent="0.35">
      <c r="A1850" s="7" t="s">
        <v>31</v>
      </c>
      <c r="B1850" s="7" t="s">
        <v>131</v>
      </c>
      <c r="C1850" s="7" t="s">
        <v>179</v>
      </c>
      <c r="D1850" s="9">
        <v>0.01</v>
      </c>
      <c r="E1850" s="9">
        <v>0</v>
      </c>
      <c r="F1850" s="9">
        <v>0</v>
      </c>
      <c r="G1850" s="9">
        <v>1</v>
      </c>
      <c r="H1850" s="9">
        <v>0.21</v>
      </c>
      <c r="I1850" s="9">
        <v>0.15</v>
      </c>
      <c r="J1850" s="7" t="s">
        <v>325</v>
      </c>
    </row>
    <row r="1851" spans="1:10" x14ac:dyDescent="0.35">
      <c r="A1851" s="7" t="s">
        <v>40</v>
      </c>
      <c r="B1851" s="7" t="s">
        <v>41</v>
      </c>
      <c r="C1851" s="7" t="s">
        <v>114</v>
      </c>
      <c r="D1851" s="9">
        <v>0.11</v>
      </c>
      <c r="E1851" s="9">
        <v>0.06</v>
      </c>
      <c r="F1851" s="9">
        <v>0</v>
      </c>
      <c r="G1851" s="9">
        <v>9.07</v>
      </c>
      <c r="H1851" s="9">
        <v>6.46</v>
      </c>
      <c r="I1851" s="9">
        <v>0.6</v>
      </c>
      <c r="J1851" s="7" t="s">
        <v>325</v>
      </c>
    </row>
    <row r="1852" spans="1:10" x14ac:dyDescent="0.35">
      <c r="A1852" s="7" t="s">
        <v>23</v>
      </c>
      <c r="B1852" s="7" t="s">
        <v>182</v>
      </c>
      <c r="C1852" s="7" t="s">
        <v>170</v>
      </c>
      <c r="D1852" s="9">
        <v>0.01</v>
      </c>
      <c r="E1852" s="9">
        <v>0.02</v>
      </c>
      <c r="F1852" s="9">
        <v>0</v>
      </c>
      <c r="G1852" s="9">
        <v>1.76</v>
      </c>
      <c r="H1852" s="9">
        <v>41.46</v>
      </c>
      <c r="I1852" s="9">
        <v>5.03</v>
      </c>
      <c r="J1852" s="7" t="s">
        <v>325</v>
      </c>
    </row>
    <row r="1853" spans="1:10" x14ac:dyDescent="0.35">
      <c r="A1853" s="7" t="s">
        <v>231</v>
      </c>
      <c r="B1853" s="7" t="s">
        <v>236</v>
      </c>
      <c r="C1853" s="7" t="s">
        <v>83</v>
      </c>
      <c r="D1853" s="9">
        <v>0</v>
      </c>
      <c r="E1853" s="9">
        <v>0</v>
      </c>
      <c r="F1853" s="9">
        <v>0</v>
      </c>
      <c r="G1853" s="9">
        <v>0.03</v>
      </c>
      <c r="H1853" s="9">
        <v>1.07</v>
      </c>
      <c r="I1853" s="9">
        <v>1.38</v>
      </c>
      <c r="J1853" s="7" t="s">
        <v>325</v>
      </c>
    </row>
    <row r="1854" spans="1:10" x14ac:dyDescent="0.35">
      <c r="A1854" s="7" t="s">
        <v>31</v>
      </c>
      <c r="B1854" s="7" t="s">
        <v>131</v>
      </c>
      <c r="C1854" s="7" t="s">
        <v>261</v>
      </c>
      <c r="D1854" s="9">
        <v>0.81</v>
      </c>
      <c r="E1854" s="9">
        <v>0</v>
      </c>
      <c r="F1854" s="9">
        <v>0</v>
      </c>
      <c r="G1854" s="9">
        <v>221.2</v>
      </c>
      <c r="H1854" s="9">
        <v>0</v>
      </c>
      <c r="I1854" s="9">
        <v>0.12</v>
      </c>
      <c r="J1854" s="7" t="s">
        <v>325</v>
      </c>
    </row>
    <row r="1855" spans="1:10" x14ac:dyDescent="0.35">
      <c r="A1855" s="7" t="s">
        <v>16</v>
      </c>
      <c r="B1855" s="7" t="s">
        <v>90</v>
      </c>
      <c r="C1855" s="7" t="s">
        <v>181</v>
      </c>
      <c r="D1855" s="9">
        <v>0.01</v>
      </c>
      <c r="E1855" s="9">
        <v>0.01</v>
      </c>
      <c r="F1855" s="9">
        <v>0</v>
      </c>
      <c r="G1855" s="9">
        <v>0.4</v>
      </c>
      <c r="H1855" s="9">
        <v>0.48</v>
      </c>
      <c r="I1855" s="9">
        <v>0.14000000000000001</v>
      </c>
      <c r="J1855" s="7" t="s">
        <v>325</v>
      </c>
    </row>
    <row r="1856" spans="1:10" x14ac:dyDescent="0.35">
      <c r="A1856" s="7" t="s">
        <v>231</v>
      </c>
      <c r="B1856" s="7" t="s">
        <v>232</v>
      </c>
      <c r="C1856" s="7" t="s">
        <v>72</v>
      </c>
      <c r="D1856" s="9">
        <v>0.24</v>
      </c>
      <c r="E1856" s="9">
        <v>0.01</v>
      </c>
      <c r="F1856" s="9">
        <v>0</v>
      </c>
      <c r="G1856" s="9">
        <v>269.06</v>
      </c>
      <c r="H1856" s="9">
        <v>1.47</v>
      </c>
      <c r="I1856" s="9">
        <v>0.31</v>
      </c>
      <c r="J1856" s="7" t="s">
        <v>325</v>
      </c>
    </row>
    <row r="1857" spans="1:10" x14ac:dyDescent="0.35">
      <c r="A1857" s="7" t="s">
        <v>86</v>
      </c>
      <c r="B1857" s="7" t="s">
        <v>87</v>
      </c>
      <c r="C1857" s="7" t="s">
        <v>62</v>
      </c>
      <c r="D1857" s="9">
        <v>0.01</v>
      </c>
      <c r="E1857" s="9">
        <v>0</v>
      </c>
      <c r="F1857" s="9">
        <v>0</v>
      </c>
      <c r="G1857" s="9">
        <v>0.14000000000000001</v>
      </c>
      <c r="H1857" s="9">
        <v>0.04</v>
      </c>
      <c r="I1857" s="9">
        <v>0.3</v>
      </c>
      <c r="J1857" s="7" t="s">
        <v>325</v>
      </c>
    </row>
    <row r="1858" spans="1:10" x14ac:dyDescent="0.35">
      <c r="A1858" s="7" t="s">
        <v>94</v>
      </c>
      <c r="B1858" s="7" t="s">
        <v>95</v>
      </c>
      <c r="C1858" s="7" t="s">
        <v>151</v>
      </c>
      <c r="D1858" s="9">
        <v>0.02</v>
      </c>
      <c r="E1858" s="9">
        <v>0.03</v>
      </c>
      <c r="F1858" s="9">
        <v>0</v>
      </c>
      <c r="G1858" s="9">
        <v>40.479999999999997</v>
      </c>
      <c r="H1858" s="9">
        <v>22.8</v>
      </c>
      <c r="I1858" s="9">
        <v>2.5</v>
      </c>
      <c r="J1858" s="7" t="s">
        <v>325</v>
      </c>
    </row>
    <row r="1859" spans="1:10" ht="26.25" customHeight="1" x14ac:dyDescent="0.35">
      <c r="A1859" s="7" t="s">
        <v>40</v>
      </c>
      <c r="B1859" s="7" t="s">
        <v>194</v>
      </c>
      <c r="C1859" s="7" t="s">
        <v>81</v>
      </c>
      <c r="D1859" s="9">
        <v>0</v>
      </c>
      <c r="E1859" s="9">
        <v>0.01</v>
      </c>
      <c r="F1859" s="9">
        <v>0</v>
      </c>
      <c r="G1859" s="9">
        <v>0</v>
      </c>
      <c r="H1859" s="9">
        <v>10.27</v>
      </c>
      <c r="I1859" s="9">
        <v>1.64</v>
      </c>
      <c r="J1859" s="7" t="s">
        <v>325</v>
      </c>
    </row>
    <row r="1860" spans="1:10" x14ac:dyDescent="0.35">
      <c r="A1860" s="7" t="s">
        <v>40</v>
      </c>
      <c r="B1860" s="7" t="s">
        <v>220</v>
      </c>
      <c r="C1860" s="7" t="s">
        <v>144</v>
      </c>
      <c r="D1860" s="9">
        <v>0</v>
      </c>
      <c r="E1860" s="9">
        <v>0</v>
      </c>
      <c r="F1860" s="9">
        <v>0</v>
      </c>
      <c r="G1860" s="9">
        <v>1.57</v>
      </c>
      <c r="H1860" s="9">
        <v>2.27</v>
      </c>
      <c r="I1860" s="9">
        <v>1.1000000000000001</v>
      </c>
      <c r="J1860" s="7" t="s">
        <v>325</v>
      </c>
    </row>
    <row r="1861" spans="1:10" x14ac:dyDescent="0.35">
      <c r="A1861" s="7" t="s">
        <v>23</v>
      </c>
      <c r="B1861" s="7" t="s">
        <v>34</v>
      </c>
      <c r="C1861" s="7" t="s">
        <v>72</v>
      </c>
      <c r="D1861" s="9">
        <v>0.22</v>
      </c>
      <c r="E1861" s="9">
        <v>0.39</v>
      </c>
      <c r="F1861" s="9">
        <v>0</v>
      </c>
      <c r="G1861" s="9">
        <v>51.79</v>
      </c>
      <c r="H1861" s="9">
        <v>73.05</v>
      </c>
      <c r="I1861" s="9">
        <v>0.22</v>
      </c>
      <c r="J1861" s="7" t="s">
        <v>325</v>
      </c>
    </row>
    <row r="1862" spans="1:10" x14ac:dyDescent="0.35">
      <c r="A1862" s="7" t="s">
        <v>159</v>
      </c>
      <c r="B1862" s="7" t="s">
        <v>262</v>
      </c>
      <c r="C1862" s="7" t="s">
        <v>45</v>
      </c>
      <c r="D1862" s="9">
        <v>0</v>
      </c>
      <c r="E1862" s="9">
        <v>0.01</v>
      </c>
      <c r="F1862" s="9">
        <v>0</v>
      </c>
      <c r="G1862" s="9">
        <v>0</v>
      </c>
      <c r="H1862" s="9">
        <v>3.8</v>
      </c>
      <c r="I1862" s="9">
        <v>0.98</v>
      </c>
      <c r="J1862" s="7" t="s">
        <v>325</v>
      </c>
    </row>
    <row r="1863" spans="1:10" x14ac:dyDescent="0.35">
      <c r="A1863" s="7" t="s">
        <v>251</v>
      </c>
      <c r="B1863" s="7" t="s">
        <v>252</v>
      </c>
      <c r="C1863" s="7" t="s">
        <v>53</v>
      </c>
      <c r="D1863" s="9">
        <v>0.09</v>
      </c>
      <c r="E1863" s="9">
        <v>0.03</v>
      </c>
      <c r="F1863" s="9">
        <v>0</v>
      </c>
      <c r="G1863" s="9">
        <v>22.05</v>
      </c>
      <c r="H1863" s="9">
        <v>30.71</v>
      </c>
      <c r="I1863" s="9">
        <v>1.27</v>
      </c>
      <c r="J1863" s="7" t="s">
        <v>325</v>
      </c>
    </row>
    <row r="1864" spans="1:10" x14ac:dyDescent="0.35">
      <c r="A1864" s="7" t="s">
        <v>16</v>
      </c>
      <c r="B1864" s="7" t="s">
        <v>90</v>
      </c>
      <c r="C1864" s="7" t="s">
        <v>62</v>
      </c>
      <c r="D1864" s="9">
        <v>0.01</v>
      </c>
      <c r="E1864" s="9">
        <v>0.04</v>
      </c>
      <c r="F1864" s="9">
        <v>0</v>
      </c>
      <c r="G1864" s="9">
        <v>23.1</v>
      </c>
      <c r="H1864" s="9">
        <v>96.47</v>
      </c>
      <c r="I1864" s="9">
        <v>1.58</v>
      </c>
      <c r="J1864" s="7" t="s">
        <v>325</v>
      </c>
    </row>
    <row r="1865" spans="1:10" x14ac:dyDescent="0.35">
      <c r="A1865" s="7" t="s">
        <v>79</v>
      </c>
      <c r="B1865" s="7" t="s">
        <v>92</v>
      </c>
      <c r="C1865" s="7" t="s">
        <v>60</v>
      </c>
      <c r="D1865" s="9">
        <v>0.09</v>
      </c>
      <c r="E1865" s="9">
        <v>0.03</v>
      </c>
      <c r="F1865" s="9">
        <v>0</v>
      </c>
      <c r="G1865" s="9">
        <v>5.73</v>
      </c>
      <c r="H1865" s="9">
        <v>2.08</v>
      </c>
      <c r="I1865" s="9">
        <v>0.38</v>
      </c>
      <c r="J1865" s="7" t="s">
        <v>325</v>
      </c>
    </row>
    <row r="1866" spans="1:10" x14ac:dyDescent="0.35">
      <c r="A1866" s="7" t="s">
        <v>49</v>
      </c>
      <c r="B1866" s="7" t="s">
        <v>176</v>
      </c>
      <c r="C1866" s="7" t="s">
        <v>69</v>
      </c>
      <c r="D1866" s="9">
        <v>0</v>
      </c>
      <c r="E1866" s="9">
        <v>0</v>
      </c>
      <c r="F1866" s="9">
        <v>0</v>
      </c>
      <c r="G1866" s="9">
        <v>0</v>
      </c>
      <c r="H1866" s="9">
        <v>0.18</v>
      </c>
      <c r="I1866" s="9">
        <v>0.2</v>
      </c>
      <c r="J1866" s="7" t="s">
        <v>325</v>
      </c>
    </row>
    <row r="1867" spans="1:10" x14ac:dyDescent="0.35">
      <c r="A1867" s="7" t="s">
        <v>77</v>
      </c>
      <c r="B1867" s="7" t="s">
        <v>78</v>
      </c>
      <c r="C1867" s="7" t="s">
        <v>181</v>
      </c>
      <c r="D1867" s="9">
        <v>0.04</v>
      </c>
      <c r="E1867" s="9">
        <v>0.01</v>
      </c>
      <c r="F1867" s="9">
        <v>0</v>
      </c>
      <c r="G1867" s="9">
        <v>3.33</v>
      </c>
      <c r="H1867" s="9">
        <v>0.56000000000000005</v>
      </c>
      <c r="I1867" s="9">
        <v>0.11</v>
      </c>
      <c r="J1867" s="7" t="s">
        <v>325</v>
      </c>
    </row>
    <row r="1868" spans="1:10" x14ac:dyDescent="0.35">
      <c r="A1868" s="7" t="s">
        <v>40</v>
      </c>
      <c r="B1868" s="7" t="s">
        <v>241</v>
      </c>
      <c r="C1868" s="7" t="s">
        <v>72</v>
      </c>
      <c r="D1868" s="9">
        <v>0.05</v>
      </c>
      <c r="E1868" s="9">
        <v>0</v>
      </c>
      <c r="F1868" s="9">
        <v>0</v>
      </c>
      <c r="G1868" s="9">
        <v>9.07</v>
      </c>
      <c r="H1868" s="9">
        <v>0.63</v>
      </c>
      <c r="I1868" s="9">
        <v>0.47</v>
      </c>
      <c r="J1868" s="7" t="s">
        <v>325</v>
      </c>
    </row>
    <row r="1869" spans="1:10" ht="26.25" customHeight="1" x14ac:dyDescent="0.35">
      <c r="A1869" s="7" t="s">
        <v>16</v>
      </c>
      <c r="B1869" s="7" t="s">
        <v>90</v>
      </c>
      <c r="C1869" s="7" t="s">
        <v>81</v>
      </c>
      <c r="D1869" s="9">
        <v>0</v>
      </c>
      <c r="E1869" s="9">
        <v>0</v>
      </c>
      <c r="F1869" s="9">
        <v>0</v>
      </c>
      <c r="G1869" s="9">
        <v>0.15</v>
      </c>
      <c r="H1869" s="9">
        <v>0.56999999999999995</v>
      </c>
      <c r="I1869" s="9">
        <v>0.94</v>
      </c>
      <c r="J1869" s="7" t="s">
        <v>325</v>
      </c>
    </row>
    <row r="1870" spans="1:10" x14ac:dyDescent="0.35">
      <c r="A1870" s="7" t="s">
        <v>16</v>
      </c>
      <c r="B1870" s="7" t="s">
        <v>140</v>
      </c>
      <c r="C1870" s="7" t="s">
        <v>59</v>
      </c>
      <c r="D1870" s="9">
        <v>0</v>
      </c>
      <c r="E1870" s="9">
        <v>0.01</v>
      </c>
      <c r="F1870" s="9">
        <v>0</v>
      </c>
      <c r="G1870" s="9">
        <v>1</v>
      </c>
      <c r="H1870" s="9">
        <v>1.54</v>
      </c>
      <c r="I1870" s="9">
        <v>0.61</v>
      </c>
      <c r="J1870" s="7" t="s">
        <v>325</v>
      </c>
    </row>
    <row r="1871" spans="1:10" x14ac:dyDescent="0.35">
      <c r="A1871" s="7" t="s">
        <v>23</v>
      </c>
      <c r="B1871" s="7" t="s">
        <v>24</v>
      </c>
      <c r="C1871" s="7" t="s">
        <v>151</v>
      </c>
      <c r="D1871" s="9">
        <v>0</v>
      </c>
      <c r="E1871" s="9">
        <v>0</v>
      </c>
      <c r="F1871" s="9">
        <v>0</v>
      </c>
      <c r="G1871" s="9">
        <v>0</v>
      </c>
      <c r="H1871" s="9">
        <v>0</v>
      </c>
      <c r="I1871" s="9">
        <v>0.45</v>
      </c>
      <c r="J1871" s="7" t="s">
        <v>325</v>
      </c>
    </row>
    <row r="1872" spans="1:10" x14ac:dyDescent="0.35">
      <c r="A1872" s="7" t="s">
        <v>35</v>
      </c>
      <c r="B1872" s="7" t="s">
        <v>38</v>
      </c>
      <c r="C1872" s="7" t="s">
        <v>174</v>
      </c>
      <c r="D1872" s="9">
        <v>0</v>
      </c>
      <c r="E1872" s="9">
        <v>0</v>
      </c>
      <c r="F1872" s="9">
        <v>0</v>
      </c>
      <c r="G1872" s="9">
        <v>0</v>
      </c>
      <c r="H1872" s="9">
        <v>0</v>
      </c>
      <c r="I1872" s="9">
        <v>0.03</v>
      </c>
      <c r="J1872" s="7" t="s">
        <v>325</v>
      </c>
    </row>
    <row r="1873" spans="1:10" x14ac:dyDescent="0.35">
      <c r="A1873" s="7" t="s">
        <v>74</v>
      </c>
      <c r="B1873" s="7" t="s">
        <v>137</v>
      </c>
      <c r="C1873" s="7" t="s">
        <v>59</v>
      </c>
      <c r="D1873" s="9">
        <v>0</v>
      </c>
      <c r="E1873" s="9">
        <v>0</v>
      </c>
      <c r="F1873" s="9">
        <v>0</v>
      </c>
      <c r="G1873" s="9">
        <v>0.35</v>
      </c>
      <c r="H1873" s="9">
        <v>0.32</v>
      </c>
      <c r="I1873" s="9">
        <v>0.02</v>
      </c>
      <c r="J1873" s="7" t="s">
        <v>325</v>
      </c>
    </row>
    <row r="1874" spans="1:10" x14ac:dyDescent="0.35">
      <c r="A1874" s="7" t="s">
        <v>20</v>
      </c>
      <c r="B1874" s="7" t="s">
        <v>222</v>
      </c>
      <c r="C1874" s="7" t="s">
        <v>72</v>
      </c>
      <c r="D1874" s="9">
        <v>0</v>
      </c>
      <c r="E1874" s="9">
        <v>0.01</v>
      </c>
      <c r="F1874" s="9">
        <v>0</v>
      </c>
      <c r="G1874" s="9">
        <v>0</v>
      </c>
      <c r="H1874" s="9">
        <v>1.17</v>
      </c>
      <c r="I1874" s="9">
        <v>0.21</v>
      </c>
      <c r="J1874" s="7" t="s">
        <v>325</v>
      </c>
    </row>
    <row r="1875" spans="1:10" x14ac:dyDescent="0.35">
      <c r="A1875" s="7" t="s">
        <v>35</v>
      </c>
      <c r="B1875" s="7" t="s">
        <v>47</v>
      </c>
      <c r="C1875" s="7" t="s">
        <v>42</v>
      </c>
      <c r="D1875" s="9">
        <v>0.04</v>
      </c>
      <c r="E1875" s="9">
        <v>0.01</v>
      </c>
      <c r="F1875" s="9">
        <v>0</v>
      </c>
      <c r="G1875" s="9">
        <v>16.54</v>
      </c>
      <c r="H1875" s="9">
        <v>3.57</v>
      </c>
      <c r="I1875" s="9">
        <v>1</v>
      </c>
      <c r="J1875" s="7" t="s">
        <v>325</v>
      </c>
    </row>
    <row r="1876" spans="1:10" x14ac:dyDescent="0.35">
      <c r="A1876" s="7" t="s">
        <v>49</v>
      </c>
      <c r="B1876" s="7" t="s">
        <v>70</v>
      </c>
      <c r="C1876" s="7" t="s">
        <v>42</v>
      </c>
      <c r="D1876" s="9">
        <v>0.02</v>
      </c>
      <c r="E1876" s="9">
        <v>0</v>
      </c>
      <c r="F1876" s="9">
        <v>0</v>
      </c>
      <c r="G1876" s="9">
        <v>3.08</v>
      </c>
      <c r="H1876" s="9">
        <v>0</v>
      </c>
      <c r="I1876" s="9">
        <v>0.09</v>
      </c>
      <c r="J1876" s="7" t="s">
        <v>325</v>
      </c>
    </row>
    <row r="1877" spans="1:10" x14ac:dyDescent="0.35">
      <c r="A1877" s="7" t="s">
        <v>66</v>
      </c>
      <c r="B1877" s="7" t="s">
        <v>108</v>
      </c>
      <c r="C1877" s="7" t="s">
        <v>59</v>
      </c>
      <c r="D1877" s="9">
        <v>0</v>
      </c>
      <c r="E1877" s="9">
        <v>0.01</v>
      </c>
      <c r="F1877" s="9">
        <v>0</v>
      </c>
      <c r="G1877" s="9">
        <v>7.0000000000000007E-2</v>
      </c>
      <c r="H1877" s="9">
        <v>0.34</v>
      </c>
      <c r="I1877" s="9">
        <v>0.48</v>
      </c>
      <c r="J1877" s="7" t="s">
        <v>325</v>
      </c>
    </row>
    <row r="1878" spans="1:10" x14ac:dyDescent="0.35">
      <c r="A1878" s="7" t="s">
        <v>66</v>
      </c>
      <c r="B1878" s="7" t="s">
        <v>127</v>
      </c>
      <c r="C1878" s="7" t="s">
        <v>170</v>
      </c>
      <c r="D1878" s="9">
        <v>0</v>
      </c>
      <c r="E1878" s="9">
        <v>0</v>
      </c>
      <c r="F1878" s="9">
        <v>0</v>
      </c>
      <c r="G1878" s="9">
        <v>0</v>
      </c>
      <c r="H1878" s="9">
        <v>0</v>
      </c>
      <c r="I1878" s="9">
        <v>0.1</v>
      </c>
      <c r="J1878" s="7" t="s">
        <v>325</v>
      </c>
    </row>
    <row r="1879" spans="1:10" x14ac:dyDescent="0.35">
      <c r="A1879" s="7" t="s">
        <v>23</v>
      </c>
      <c r="B1879" s="7" t="s">
        <v>228</v>
      </c>
      <c r="C1879" s="7" t="s">
        <v>48</v>
      </c>
      <c r="D1879" s="9">
        <v>0</v>
      </c>
      <c r="E1879" s="9">
        <v>0</v>
      </c>
      <c r="F1879" s="9">
        <v>0</v>
      </c>
      <c r="G1879" s="9">
        <v>0</v>
      </c>
      <c r="H1879" s="9">
        <v>0.03</v>
      </c>
      <c r="I1879" s="9">
        <v>0.14000000000000001</v>
      </c>
      <c r="J1879" s="7" t="s">
        <v>325</v>
      </c>
    </row>
    <row r="1880" spans="1:10" x14ac:dyDescent="0.35">
      <c r="A1880" s="7" t="s">
        <v>23</v>
      </c>
      <c r="B1880" s="7" t="s">
        <v>120</v>
      </c>
      <c r="C1880" s="7" t="s">
        <v>69</v>
      </c>
      <c r="D1880" s="9">
        <v>0</v>
      </c>
      <c r="E1880" s="9">
        <v>0</v>
      </c>
      <c r="F1880" s="9">
        <v>0</v>
      </c>
      <c r="G1880" s="9">
        <v>0</v>
      </c>
      <c r="H1880" s="9">
        <v>0.01</v>
      </c>
      <c r="I1880" s="9">
        <v>0.01</v>
      </c>
      <c r="J1880" s="7" t="s">
        <v>325</v>
      </c>
    </row>
    <row r="1881" spans="1:10" x14ac:dyDescent="0.35">
      <c r="A1881" s="7" t="s">
        <v>40</v>
      </c>
      <c r="B1881" s="7" t="s">
        <v>211</v>
      </c>
      <c r="C1881" s="7" t="s">
        <v>76</v>
      </c>
      <c r="D1881" s="9">
        <v>0</v>
      </c>
      <c r="E1881" s="9">
        <v>0.01</v>
      </c>
      <c r="F1881" s="9">
        <v>0</v>
      </c>
      <c r="G1881" s="9">
        <v>0</v>
      </c>
      <c r="H1881" s="9">
        <v>12.7</v>
      </c>
      <c r="I1881" s="9">
        <v>0.8</v>
      </c>
      <c r="J1881" s="7" t="s">
        <v>325</v>
      </c>
    </row>
    <row r="1882" spans="1:10" x14ac:dyDescent="0.35">
      <c r="A1882" s="7" t="s">
        <v>159</v>
      </c>
      <c r="B1882" s="7" t="s">
        <v>186</v>
      </c>
      <c r="C1882" s="7" t="s">
        <v>83</v>
      </c>
      <c r="D1882" s="9">
        <v>0</v>
      </c>
      <c r="E1882" s="9">
        <v>0</v>
      </c>
      <c r="F1882" s="9">
        <v>0</v>
      </c>
      <c r="G1882" s="9">
        <v>0</v>
      </c>
      <c r="H1882" s="9">
        <v>0</v>
      </c>
      <c r="I1882" s="9">
        <v>1.26</v>
      </c>
      <c r="J1882" s="7" t="s">
        <v>325</v>
      </c>
    </row>
    <row r="1883" spans="1:10" x14ac:dyDescent="0.35">
      <c r="A1883" s="7" t="s">
        <v>66</v>
      </c>
      <c r="B1883" s="7" t="s">
        <v>73</v>
      </c>
      <c r="C1883" s="7" t="s">
        <v>51</v>
      </c>
      <c r="D1883" s="9">
        <v>0</v>
      </c>
      <c r="E1883" s="9">
        <v>0</v>
      </c>
      <c r="F1883" s="9">
        <v>0</v>
      </c>
      <c r="G1883" s="9">
        <v>0.01</v>
      </c>
      <c r="H1883" s="9">
        <v>0.49</v>
      </c>
      <c r="I1883" s="9">
        <v>0.4</v>
      </c>
      <c r="J1883" s="7" t="s">
        <v>325</v>
      </c>
    </row>
    <row r="1884" spans="1:10" x14ac:dyDescent="0.35">
      <c r="A1884" s="7" t="s">
        <v>74</v>
      </c>
      <c r="B1884" s="7" t="s">
        <v>137</v>
      </c>
      <c r="C1884" s="7" t="s">
        <v>55</v>
      </c>
      <c r="D1884" s="9">
        <v>0</v>
      </c>
      <c r="E1884" s="9">
        <v>0</v>
      </c>
      <c r="F1884" s="9">
        <v>0</v>
      </c>
      <c r="G1884" s="9">
        <v>0</v>
      </c>
      <c r="H1884" s="9">
        <v>3.62</v>
      </c>
      <c r="I1884" s="9">
        <v>2.62</v>
      </c>
      <c r="J1884" s="7" t="s">
        <v>325</v>
      </c>
    </row>
    <row r="1885" spans="1:10" x14ac:dyDescent="0.35">
      <c r="A1885" s="7" t="s">
        <v>77</v>
      </c>
      <c r="B1885" s="7" t="s">
        <v>168</v>
      </c>
      <c r="C1885" s="7" t="s">
        <v>150</v>
      </c>
      <c r="D1885" s="9">
        <v>0.01</v>
      </c>
      <c r="E1885" s="9">
        <v>0</v>
      </c>
      <c r="F1885" s="9">
        <v>0</v>
      </c>
      <c r="G1885" s="9">
        <v>0.45</v>
      </c>
      <c r="H1885" s="9">
        <v>7.0000000000000007E-2</v>
      </c>
      <c r="I1885" s="9">
        <v>0.11</v>
      </c>
      <c r="J1885" s="7" t="s">
        <v>325</v>
      </c>
    </row>
    <row r="1886" spans="1:10" ht="26.25" customHeight="1" x14ac:dyDescent="0.35">
      <c r="A1886" s="7" t="s">
        <v>20</v>
      </c>
      <c r="B1886" s="7" t="s">
        <v>260</v>
      </c>
      <c r="C1886" s="7" t="s">
        <v>102</v>
      </c>
      <c r="D1886" s="9">
        <v>0</v>
      </c>
      <c r="E1886" s="9">
        <v>0</v>
      </c>
      <c r="F1886" s="9">
        <v>0</v>
      </c>
      <c r="G1886" s="9">
        <v>0</v>
      </c>
      <c r="H1886" s="9">
        <v>0</v>
      </c>
      <c r="I1886" s="9">
        <v>2.04</v>
      </c>
      <c r="J1886" s="7" t="s">
        <v>325</v>
      </c>
    </row>
    <row r="1887" spans="1:10" x14ac:dyDescent="0.35">
      <c r="A1887" s="7" t="s">
        <v>23</v>
      </c>
      <c r="B1887" s="7" t="s">
        <v>191</v>
      </c>
      <c r="C1887" s="7" t="s">
        <v>65</v>
      </c>
      <c r="D1887" s="9">
        <v>0</v>
      </c>
      <c r="E1887" s="9">
        <v>0</v>
      </c>
      <c r="F1887" s="9">
        <v>0</v>
      </c>
      <c r="G1887" s="9">
        <v>0</v>
      </c>
      <c r="H1887" s="9">
        <v>0</v>
      </c>
      <c r="I1887" s="9">
        <v>2.5</v>
      </c>
      <c r="J1887" s="7" t="s">
        <v>325</v>
      </c>
    </row>
    <row r="1888" spans="1:10" x14ac:dyDescent="0.35">
      <c r="A1888" s="7" t="s">
        <v>31</v>
      </c>
      <c r="B1888" s="7" t="s">
        <v>141</v>
      </c>
      <c r="C1888" s="7" t="s">
        <v>51</v>
      </c>
      <c r="D1888" s="9">
        <v>0</v>
      </c>
      <c r="E1888" s="9">
        <v>0</v>
      </c>
      <c r="F1888" s="9">
        <v>0</v>
      </c>
      <c r="G1888" s="9">
        <v>0</v>
      </c>
      <c r="H1888" s="9">
        <v>0</v>
      </c>
      <c r="I1888" s="9">
        <v>1.4</v>
      </c>
      <c r="J1888" s="7" t="s">
        <v>325</v>
      </c>
    </row>
    <row r="1889" spans="1:10" x14ac:dyDescent="0.35">
      <c r="A1889" s="7" t="s">
        <v>20</v>
      </c>
      <c r="B1889" s="7" t="s">
        <v>245</v>
      </c>
      <c r="C1889" s="7" t="s">
        <v>54</v>
      </c>
      <c r="D1889" s="9">
        <v>0</v>
      </c>
      <c r="E1889" s="9">
        <v>0.02</v>
      </c>
      <c r="F1889" s="9">
        <v>0</v>
      </c>
      <c r="G1889" s="9">
        <v>0.05</v>
      </c>
      <c r="H1889" s="9">
        <v>15</v>
      </c>
      <c r="I1889" s="9">
        <v>1.31</v>
      </c>
      <c r="J1889" s="7" t="s">
        <v>325</v>
      </c>
    </row>
    <row r="1890" spans="1:10" x14ac:dyDescent="0.35">
      <c r="A1890" s="7" t="s">
        <v>25</v>
      </c>
      <c r="B1890" s="7" t="s">
        <v>263</v>
      </c>
      <c r="C1890" s="7" t="s">
        <v>39</v>
      </c>
      <c r="D1890" s="9">
        <v>0</v>
      </c>
      <c r="E1890" s="9">
        <v>0</v>
      </c>
      <c r="F1890" s="9">
        <v>0</v>
      </c>
      <c r="G1890" s="9">
        <v>0</v>
      </c>
      <c r="H1890" s="9">
        <v>0</v>
      </c>
      <c r="I1890" s="9">
        <v>2.1</v>
      </c>
      <c r="J1890" s="7" t="s">
        <v>325</v>
      </c>
    </row>
    <row r="1891" spans="1:10" x14ac:dyDescent="0.35">
      <c r="A1891" s="7" t="s">
        <v>31</v>
      </c>
      <c r="B1891" s="7" t="s">
        <v>131</v>
      </c>
      <c r="C1891" s="7" t="s">
        <v>151</v>
      </c>
      <c r="D1891" s="9">
        <v>0</v>
      </c>
      <c r="E1891" s="9">
        <v>0.02</v>
      </c>
      <c r="F1891" s="9">
        <v>0</v>
      </c>
      <c r="G1891" s="9">
        <v>1.82</v>
      </c>
      <c r="H1891" s="9">
        <v>23.54</v>
      </c>
      <c r="I1891" s="9">
        <v>0.55000000000000004</v>
      </c>
      <c r="J1891" s="7" t="s">
        <v>325</v>
      </c>
    </row>
    <row r="1892" spans="1:10" x14ac:dyDescent="0.35">
      <c r="A1892" s="7" t="s">
        <v>23</v>
      </c>
      <c r="B1892" s="7" t="s">
        <v>24</v>
      </c>
      <c r="C1892" s="7" t="s">
        <v>102</v>
      </c>
      <c r="D1892" s="9">
        <v>0</v>
      </c>
      <c r="E1892" s="9">
        <v>0</v>
      </c>
      <c r="F1892" s="9">
        <v>0</v>
      </c>
      <c r="G1892" s="9">
        <v>0</v>
      </c>
      <c r="H1892" s="9">
        <v>0</v>
      </c>
      <c r="I1892" s="9">
        <v>0.45</v>
      </c>
      <c r="J1892" s="7" t="s">
        <v>325</v>
      </c>
    </row>
    <row r="1893" spans="1:10" x14ac:dyDescent="0.35">
      <c r="A1893" s="7" t="s">
        <v>79</v>
      </c>
      <c r="B1893" s="7" t="s">
        <v>92</v>
      </c>
      <c r="C1893" s="7" t="s">
        <v>84</v>
      </c>
      <c r="D1893" s="9">
        <v>0.02</v>
      </c>
      <c r="E1893" s="9">
        <v>0.03</v>
      </c>
      <c r="F1893" s="9">
        <v>0</v>
      </c>
      <c r="G1893" s="9">
        <v>1.1399999999999999</v>
      </c>
      <c r="H1893" s="9">
        <v>2.0099999999999998</v>
      </c>
      <c r="I1893" s="9">
        <v>0.33</v>
      </c>
      <c r="J1893" s="7" t="s">
        <v>325</v>
      </c>
    </row>
    <row r="1894" spans="1:10" x14ac:dyDescent="0.35">
      <c r="A1894" s="7" t="s">
        <v>243</v>
      </c>
      <c r="B1894" s="7" t="s">
        <v>244</v>
      </c>
      <c r="C1894" s="7" t="s">
        <v>54</v>
      </c>
      <c r="D1894" s="9">
        <v>0.02</v>
      </c>
      <c r="E1894" s="9">
        <v>0</v>
      </c>
      <c r="F1894" s="9">
        <v>0</v>
      </c>
      <c r="G1894" s="9">
        <v>211</v>
      </c>
      <c r="H1894" s="9">
        <v>0</v>
      </c>
      <c r="I1894" s="9">
        <v>15.98</v>
      </c>
      <c r="J1894" s="7" t="s">
        <v>325</v>
      </c>
    </row>
    <row r="1895" spans="1:10" x14ac:dyDescent="0.35">
      <c r="A1895" s="7" t="s">
        <v>77</v>
      </c>
      <c r="B1895" s="7" t="s">
        <v>132</v>
      </c>
      <c r="C1895" s="7" t="s">
        <v>170</v>
      </c>
      <c r="D1895" s="9">
        <v>0.01</v>
      </c>
      <c r="E1895" s="9">
        <v>0</v>
      </c>
      <c r="F1895" s="9">
        <v>0</v>
      </c>
      <c r="G1895" s="9">
        <v>2.1</v>
      </c>
      <c r="H1895" s="9">
        <v>0.89</v>
      </c>
      <c r="I1895" s="9">
        <v>0.6</v>
      </c>
      <c r="J1895" s="7" t="s">
        <v>325</v>
      </c>
    </row>
    <row r="1896" spans="1:10" x14ac:dyDescent="0.35">
      <c r="A1896" s="7" t="s">
        <v>16</v>
      </c>
      <c r="B1896" s="7" t="s">
        <v>153</v>
      </c>
      <c r="C1896" s="7" t="s">
        <v>150</v>
      </c>
      <c r="D1896" s="9">
        <v>0</v>
      </c>
      <c r="E1896" s="9">
        <v>0</v>
      </c>
      <c r="F1896" s="9">
        <v>0</v>
      </c>
      <c r="G1896" s="9">
        <v>0</v>
      </c>
      <c r="H1896" s="9">
        <v>0</v>
      </c>
      <c r="I1896" s="9">
        <v>7.0000000000000007E-2</v>
      </c>
      <c r="J1896" s="7" t="s">
        <v>325</v>
      </c>
    </row>
    <row r="1897" spans="1:10" x14ac:dyDescent="0.35">
      <c r="A1897" s="7" t="s">
        <v>40</v>
      </c>
      <c r="B1897" s="7" t="s">
        <v>194</v>
      </c>
      <c r="C1897" s="7" t="s">
        <v>151</v>
      </c>
      <c r="D1897" s="9">
        <v>0</v>
      </c>
      <c r="E1897" s="9">
        <v>0</v>
      </c>
      <c r="F1897" s="9">
        <v>0</v>
      </c>
      <c r="G1897" s="9">
        <v>0</v>
      </c>
      <c r="H1897" s="9">
        <v>0.6</v>
      </c>
      <c r="I1897" s="9">
        <v>0.6</v>
      </c>
      <c r="J1897" s="7" t="s">
        <v>325</v>
      </c>
    </row>
    <row r="1898" spans="1:10" x14ac:dyDescent="0.35">
      <c r="A1898" s="7" t="s">
        <v>23</v>
      </c>
      <c r="B1898" s="7" t="s">
        <v>136</v>
      </c>
      <c r="C1898" s="7" t="s">
        <v>170</v>
      </c>
      <c r="D1898" s="9">
        <v>0</v>
      </c>
      <c r="E1898" s="9">
        <v>0.01</v>
      </c>
      <c r="F1898" s="9">
        <v>0</v>
      </c>
      <c r="G1898" s="9">
        <v>0.21</v>
      </c>
      <c r="H1898" s="9">
        <v>1.51</v>
      </c>
      <c r="I1898" s="9">
        <v>0.12</v>
      </c>
      <c r="J1898" s="7" t="s">
        <v>325</v>
      </c>
    </row>
    <row r="1899" spans="1:10" x14ac:dyDescent="0.35">
      <c r="A1899" s="7" t="s">
        <v>23</v>
      </c>
      <c r="B1899" s="7" t="s">
        <v>230</v>
      </c>
      <c r="C1899" s="7" t="s">
        <v>45</v>
      </c>
      <c r="D1899" s="9">
        <v>0.02</v>
      </c>
      <c r="E1899" s="9">
        <v>0.01</v>
      </c>
      <c r="F1899" s="9">
        <v>0</v>
      </c>
      <c r="G1899" s="9">
        <v>12.55</v>
      </c>
      <c r="H1899" s="9">
        <v>5.07</v>
      </c>
      <c r="I1899" s="9">
        <v>1.02</v>
      </c>
      <c r="J1899" s="7" t="s">
        <v>325</v>
      </c>
    </row>
    <row r="1900" spans="1:10" x14ac:dyDescent="0.35">
      <c r="A1900" s="7" t="s">
        <v>20</v>
      </c>
      <c r="B1900" s="7" t="s">
        <v>111</v>
      </c>
      <c r="C1900" s="7" t="s">
        <v>48</v>
      </c>
      <c r="D1900" s="9">
        <v>0.79</v>
      </c>
      <c r="E1900" s="9">
        <v>0.09</v>
      </c>
      <c r="F1900" s="9">
        <v>0</v>
      </c>
      <c r="G1900" s="9">
        <v>478.74</v>
      </c>
      <c r="H1900" s="9">
        <v>75.180000000000007</v>
      </c>
      <c r="I1900" s="9">
        <v>0.47</v>
      </c>
      <c r="J1900" s="7" t="s">
        <v>325</v>
      </c>
    </row>
    <row r="1901" spans="1:10" x14ac:dyDescent="0.35">
      <c r="A1901" s="7" t="s">
        <v>77</v>
      </c>
      <c r="B1901" s="7" t="s">
        <v>157</v>
      </c>
      <c r="C1901" s="7" t="s">
        <v>55</v>
      </c>
      <c r="D1901" s="9">
        <v>0.04</v>
      </c>
      <c r="E1901" s="9">
        <v>0</v>
      </c>
      <c r="F1901" s="9">
        <v>0</v>
      </c>
      <c r="G1901" s="9">
        <v>45.37</v>
      </c>
      <c r="H1901" s="9">
        <v>2.41</v>
      </c>
      <c r="I1901" s="9">
        <v>0.64</v>
      </c>
      <c r="J1901" s="7" t="s">
        <v>325</v>
      </c>
    </row>
    <row r="1902" spans="1:10" x14ac:dyDescent="0.35">
      <c r="A1902" s="7" t="s">
        <v>251</v>
      </c>
      <c r="B1902" s="7" t="s">
        <v>252</v>
      </c>
      <c r="C1902" s="7" t="s">
        <v>126</v>
      </c>
      <c r="D1902" s="9">
        <v>0</v>
      </c>
      <c r="E1902" s="9">
        <v>0</v>
      </c>
      <c r="F1902" s="9">
        <v>0</v>
      </c>
      <c r="G1902" s="9">
        <v>0.2</v>
      </c>
      <c r="H1902" s="9">
        <v>0.6</v>
      </c>
      <c r="I1902" s="9">
        <v>0.66</v>
      </c>
      <c r="J1902" s="7" t="s">
        <v>325</v>
      </c>
    </row>
    <row r="1903" spans="1:10" x14ac:dyDescent="0.35">
      <c r="A1903" s="7" t="s">
        <v>66</v>
      </c>
      <c r="B1903" s="7" t="s">
        <v>208</v>
      </c>
      <c r="C1903" s="7" t="s">
        <v>72</v>
      </c>
      <c r="D1903" s="9">
        <v>0.1</v>
      </c>
      <c r="E1903" s="9">
        <v>0</v>
      </c>
      <c r="F1903" s="9">
        <v>0</v>
      </c>
      <c r="G1903" s="9">
        <v>13.57</v>
      </c>
      <c r="H1903" s="9">
        <v>0</v>
      </c>
      <c r="I1903" s="9">
        <v>1.19</v>
      </c>
      <c r="J1903" s="7" t="s">
        <v>325</v>
      </c>
    </row>
    <row r="1904" spans="1:10" x14ac:dyDescent="0.35">
      <c r="A1904" s="7" t="s">
        <v>35</v>
      </c>
      <c r="B1904" s="7" t="s">
        <v>38</v>
      </c>
      <c r="C1904" s="7" t="s">
        <v>51</v>
      </c>
      <c r="D1904" s="9">
        <v>0</v>
      </c>
      <c r="E1904" s="9">
        <v>0.01</v>
      </c>
      <c r="F1904" s="9">
        <v>0</v>
      </c>
      <c r="G1904" s="9">
        <v>0.25</v>
      </c>
      <c r="H1904" s="9">
        <v>3.79</v>
      </c>
      <c r="I1904" s="9">
        <v>0.46</v>
      </c>
      <c r="J1904" s="7" t="s">
        <v>325</v>
      </c>
    </row>
    <row r="1905" spans="1:10" x14ac:dyDescent="0.35">
      <c r="A1905" s="7" t="s">
        <v>20</v>
      </c>
      <c r="B1905" s="7" t="s">
        <v>145</v>
      </c>
      <c r="C1905" s="7" t="s">
        <v>62</v>
      </c>
      <c r="D1905" s="9">
        <v>0</v>
      </c>
      <c r="E1905" s="9">
        <v>0</v>
      </c>
      <c r="F1905" s="9">
        <v>0</v>
      </c>
      <c r="G1905" s="9">
        <v>0</v>
      </c>
      <c r="H1905" s="9">
        <v>0</v>
      </c>
      <c r="I1905" s="9">
        <v>0.35</v>
      </c>
      <c r="J1905" s="7" t="s">
        <v>325</v>
      </c>
    </row>
    <row r="1906" spans="1:10" x14ac:dyDescent="0.35">
      <c r="A1906" s="7" t="s">
        <v>251</v>
      </c>
      <c r="B1906" s="7" t="s">
        <v>252</v>
      </c>
      <c r="C1906" s="7" t="s">
        <v>144</v>
      </c>
      <c r="D1906" s="9">
        <v>0.01</v>
      </c>
      <c r="E1906" s="9">
        <v>0.01</v>
      </c>
      <c r="F1906" s="9">
        <v>0</v>
      </c>
      <c r="G1906" s="9">
        <v>6.95</v>
      </c>
      <c r="H1906" s="9">
        <v>4.74</v>
      </c>
      <c r="I1906" s="9">
        <v>0.79</v>
      </c>
      <c r="J1906" s="7" t="s">
        <v>325</v>
      </c>
    </row>
    <row r="1907" spans="1:10" x14ac:dyDescent="0.35">
      <c r="A1907" s="7" t="s">
        <v>23</v>
      </c>
      <c r="B1907" s="7" t="s">
        <v>182</v>
      </c>
      <c r="C1907" s="7" t="s">
        <v>45</v>
      </c>
      <c r="D1907" s="9">
        <v>0.02</v>
      </c>
      <c r="E1907" s="9">
        <v>0.03</v>
      </c>
      <c r="F1907" s="9">
        <v>0</v>
      </c>
      <c r="G1907" s="9">
        <v>10.23</v>
      </c>
      <c r="H1907" s="9">
        <v>19.52</v>
      </c>
      <c r="I1907" s="9">
        <v>0.45</v>
      </c>
      <c r="J1907" s="7" t="s">
        <v>325</v>
      </c>
    </row>
    <row r="1908" spans="1:10" x14ac:dyDescent="0.35">
      <c r="A1908" s="7" t="s">
        <v>40</v>
      </c>
      <c r="B1908" s="7" t="s">
        <v>211</v>
      </c>
      <c r="C1908" s="7" t="s">
        <v>54</v>
      </c>
      <c r="D1908" s="9">
        <v>0</v>
      </c>
      <c r="E1908" s="9">
        <v>0</v>
      </c>
      <c r="F1908" s="9">
        <v>0</v>
      </c>
      <c r="G1908" s="9">
        <v>0.2</v>
      </c>
      <c r="H1908" s="9">
        <v>0.12</v>
      </c>
      <c r="I1908" s="9">
        <v>7.0000000000000007E-2</v>
      </c>
      <c r="J1908" s="7" t="s">
        <v>325</v>
      </c>
    </row>
    <row r="1909" spans="1:10" x14ac:dyDescent="0.35">
      <c r="A1909" s="7" t="s">
        <v>23</v>
      </c>
      <c r="B1909" s="7" t="s">
        <v>123</v>
      </c>
      <c r="C1909" s="7" t="s">
        <v>151</v>
      </c>
      <c r="D1909" s="9">
        <v>0</v>
      </c>
      <c r="E1909" s="9">
        <v>0.04</v>
      </c>
      <c r="F1909" s="9">
        <v>0</v>
      </c>
      <c r="G1909" s="9">
        <v>0</v>
      </c>
      <c r="H1909" s="9">
        <v>91.52</v>
      </c>
      <c r="I1909" s="9">
        <v>1.5</v>
      </c>
      <c r="J1909" s="7" t="s">
        <v>325</v>
      </c>
    </row>
    <row r="1910" spans="1:10" x14ac:dyDescent="0.35">
      <c r="A1910" s="7" t="s">
        <v>23</v>
      </c>
      <c r="B1910" s="7" t="s">
        <v>34</v>
      </c>
      <c r="C1910" s="7" t="s">
        <v>42</v>
      </c>
      <c r="D1910" s="9">
        <v>0</v>
      </c>
      <c r="E1910" s="9">
        <v>0</v>
      </c>
      <c r="F1910" s="9">
        <v>0</v>
      </c>
      <c r="G1910" s="9">
        <v>1.75</v>
      </c>
      <c r="H1910" s="9">
        <v>0</v>
      </c>
      <c r="I1910" s="9">
        <v>0.18</v>
      </c>
      <c r="J1910" s="7" t="s">
        <v>325</v>
      </c>
    </row>
    <row r="1911" spans="1:10" x14ac:dyDescent="0.35">
      <c r="A1911" s="7" t="s">
        <v>77</v>
      </c>
      <c r="B1911" s="7" t="s">
        <v>168</v>
      </c>
      <c r="C1911" s="7" t="s">
        <v>59</v>
      </c>
      <c r="D1911" s="9">
        <v>0</v>
      </c>
      <c r="E1911" s="9">
        <v>0</v>
      </c>
      <c r="F1911" s="9">
        <v>0</v>
      </c>
      <c r="G1911" s="9">
        <v>0.23</v>
      </c>
      <c r="H1911" s="9">
        <v>0.22</v>
      </c>
      <c r="I1911" s="9">
        <v>0.13</v>
      </c>
      <c r="J1911" s="7" t="s">
        <v>325</v>
      </c>
    </row>
    <row r="1912" spans="1:10" x14ac:dyDescent="0.35">
      <c r="A1912" s="7" t="s">
        <v>31</v>
      </c>
      <c r="B1912" s="7" t="s">
        <v>32</v>
      </c>
      <c r="C1912" s="7" t="s">
        <v>46</v>
      </c>
      <c r="D1912" s="9">
        <v>0</v>
      </c>
      <c r="E1912" s="9">
        <v>0</v>
      </c>
      <c r="F1912" s="9">
        <v>0</v>
      </c>
      <c r="G1912" s="9">
        <v>0</v>
      </c>
      <c r="H1912" s="9">
        <v>0.6</v>
      </c>
      <c r="I1912" s="9">
        <v>0.2</v>
      </c>
      <c r="J1912" s="7" t="s">
        <v>325</v>
      </c>
    </row>
    <row r="1913" spans="1:10" x14ac:dyDescent="0.35">
      <c r="A1913" s="7" t="s">
        <v>231</v>
      </c>
      <c r="B1913" s="7" t="s">
        <v>236</v>
      </c>
      <c r="C1913" s="7" t="s">
        <v>33</v>
      </c>
      <c r="D1913" s="9">
        <v>0</v>
      </c>
      <c r="E1913" s="9">
        <v>0.02</v>
      </c>
      <c r="F1913" s="9">
        <v>0</v>
      </c>
      <c r="G1913" s="9">
        <v>1.34</v>
      </c>
      <c r="H1913" s="9">
        <v>18.93</v>
      </c>
      <c r="I1913" s="9">
        <v>1.07</v>
      </c>
      <c r="J1913" s="7" t="s">
        <v>325</v>
      </c>
    </row>
    <row r="1914" spans="1:10" x14ac:dyDescent="0.35">
      <c r="A1914" s="7" t="s">
        <v>57</v>
      </c>
      <c r="B1914" s="7" t="s">
        <v>175</v>
      </c>
      <c r="C1914" s="7" t="s">
        <v>54</v>
      </c>
      <c r="D1914" s="9">
        <v>0</v>
      </c>
      <c r="E1914" s="9">
        <v>0.01</v>
      </c>
      <c r="F1914" s="9">
        <v>0</v>
      </c>
      <c r="G1914" s="9">
        <v>0</v>
      </c>
      <c r="H1914" s="9">
        <v>0.52</v>
      </c>
      <c r="I1914" s="9">
        <v>0.06</v>
      </c>
      <c r="J1914" s="7" t="s">
        <v>325</v>
      </c>
    </row>
    <row r="1915" spans="1:10" x14ac:dyDescent="0.35">
      <c r="A1915" s="7" t="s">
        <v>66</v>
      </c>
      <c r="B1915" s="7" t="s">
        <v>108</v>
      </c>
      <c r="C1915" s="7" t="s">
        <v>51</v>
      </c>
      <c r="D1915" s="9">
        <v>0</v>
      </c>
      <c r="E1915" s="9">
        <v>0</v>
      </c>
      <c r="F1915" s="9">
        <v>0</v>
      </c>
      <c r="G1915" s="9">
        <v>0</v>
      </c>
      <c r="H1915" s="9">
        <v>0</v>
      </c>
      <c r="I1915" s="9">
        <v>0.45</v>
      </c>
      <c r="J1915" s="7" t="s">
        <v>325</v>
      </c>
    </row>
    <row r="1916" spans="1:10" x14ac:dyDescent="0.35">
      <c r="A1916" s="7" t="s">
        <v>77</v>
      </c>
      <c r="B1916" s="7" t="s">
        <v>168</v>
      </c>
      <c r="C1916" s="7" t="s">
        <v>181</v>
      </c>
      <c r="D1916" s="9">
        <v>0</v>
      </c>
      <c r="E1916" s="9">
        <v>0</v>
      </c>
      <c r="F1916" s="9">
        <v>0</v>
      </c>
      <c r="G1916" s="9">
        <v>0</v>
      </c>
      <c r="H1916" s="9">
        <v>0.01</v>
      </c>
      <c r="I1916" s="9">
        <v>0.06</v>
      </c>
      <c r="J1916" s="7" t="s">
        <v>325</v>
      </c>
    </row>
    <row r="1917" spans="1:10" x14ac:dyDescent="0.35">
      <c r="A1917" s="7" t="s">
        <v>66</v>
      </c>
      <c r="B1917" s="7" t="s">
        <v>100</v>
      </c>
      <c r="C1917" s="7" t="s">
        <v>45</v>
      </c>
      <c r="D1917" s="9">
        <v>0</v>
      </c>
      <c r="E1917" s="9">
        <v>0</v>
      </c>
      <c r="F1917" s="9">
        <v>0</v>
      </c>
      <c r="G1917" s="9">
        <v>0</v>
      </c>
      <c r="H1917" s="9">
        <v>0</v>
      </c>
      <c r="I1917" s="9">
        <v>0.2</v>
      </c>
      <c r="J1917" s="7" t="s">
        <v>325</v>
      </c>
    </row>
    <row r="1918" spans="1:10" x14ac:dyDescent="0.35">
      <c r="A1918" s="7" t="s">
        <v>31</v>
      </c>
      <c r="B1918" s="7" t="s">
        <v>101</v>
      </c>
      <c r="C1918" s="7" t="s">
        <v>150</v>
      </c>
      <c r="D1918" s="9">
        <v>0</v>
      </c>
      <c r="E1918" s="9">
        <v>0</v>
      </c>
      <c r="F1918" s="9">
        <v>0</v>
      </c>
      <c r="G1918" s="9">
        <v>0</v>
      </c>
      <c r="H1918" s="9">
        <v>0.4</v>
      </c>
      <c r="I1918" s="9">
        <v>0.15</v>
      </c>
      <c r="J1918" s="7" t="s">
        <v>325</v>
      </c>
    </row>
    <row r="1919" spans="1:10" x14ac:dyDescent="0.35">
      <c r="A1919" s="7" t="s">
        <v>66</v>
      </c>
      <c r="B1919" s="7" t="s">
        <v>108</v>
      </c>
      <c r="C1919" s="7" t="s">
        <v>144</v>
      </c>
      <c r="D1919" s="9">
        <v>0</v>
      </c>
      <c r="E1919" s="9">
        <v>0.02</v>
      </c>
      <c r="F1919" s="9">
        <v>0</v>
      </c>
      <c r="G1919" s="9">
        <v>0.2</v>
      </c>
      <c r="H1919" s="9">
        <v>20.86</v>
      </c>
      <c r="I1919" s="9">
        <v>1.05</v>
      </c>
      <c r="J1919" s="7" t="s">
        <v>325</v>
      </c>
    </row>
    <row r="1920" spans="1:10" x14ac:dyDescent="0.35">
      <c r="A1920" s="7" t="s">
        <v>74</v>
      </c>
      <c r="B1920" s="7" t="s">
        <v>137</v>
      </c>
      <c r="C1920" s="7" t="s">
        <v>174</v>
      </c>
      <c r="D1920" s="9">
        <v>7.0000000000000007E-2</v>
      </c>
      <c r="E1920" s="9">
        <v>0.09</v>
      </c>
      <c r="F1920" s="9">
        <v>0</v>
      </c>
      <c r="G1920" s="9">
        <v>2.56</v>
      </c>
      <c r="H1920" s="9">
        <v>16.89</v>
      </c>
      <c r="I1920" s="9">
        <v>0.1</v>
      </c>
      <c r="J1920" s="7" t="s">
        <v>325</v>
      </c>
    </row>
    <row r="1921" spans="1:10" x14ac:dyDescent="0.35">
      <c r="A1921" s="7" t="s">
        <v>77</v>
      </c>
      <c r="B1921" s="7" t="s">
        <v>78</v>
      </c>
      <c r="C1921" s="7" t="s">
        <v>51</v>
      </c>
      <c r="D1921" s="9">
        <v>0</v>
      </c>
      <c r="E1921" s="9">
        <v>0.03</v>
      </c>
      <c r="F1921" s="9">
        <v>0</v>
      </c>
      <c r="G1921" s="9">
        <v>1.91</v>
      </c>
      <c r="H1921" s="9">
        <v>22.05</v>
      </c>
      <c r="I1921" s="9">
        <v>0.71</v>
      </c>
      <c r="J1921" s="7" t="s">
        <v>325</v>
      </c>
    </row>
    <row r="1922" spans="1:10" x14ac:dyDescent="0.35">
      <c r="A1922" s="7" t="s">
        <v>31</v>
      </c>
      <c r="B1922" s="7" t="s">
        <v>215</v>
      </c>
      <c r="C1922" s="7" t="s">
        <v>59</v>
      </c>
      <c r="D1922" s="9">
        <v>0</v>
      </c>
      <c r="E1922" s="9">
        <v>0</v>
      </c>
      <c r="F1922" s="9">
        <v>0</v>
      </c>
      <c r="G1922" s="9">
        <v>1.43</v>
      </c>
      <c r="H1922" s="9">
        <v>0.91</v>
      </c>
      <c r="I1922" s="9">
        <v>0.38</v>
      </c>
      <c r="J1922" s="7" t="s">
        <v>325</v>
      </c>
    </row>
    <row r="1923" spans="1:10" x14ac:dyDescent="0.35">
      <c r="A1923" s="7" t="s">
        <v>94</v>
      </c>
      <c r="B1923" s="7" t="s">
        <v>112</v>
      </c>
      <c r="C1923" s="7" t="s">
        <v>114</v>
      </c>
      <c r="D1923" s="9">
        <v>0</v>
      </c>
      <c r="E1923" s="9">
        <v>0</v>
      </c>
      <c r="F1923" s="9">
        <v>0</v>
      </c>
      <c r="G1923" s="9">
        <v>0</v>
      </c>
      <c r="H1923" s="9">
        <v>0.18</v>
      </c>
      <c r="I1923" s="9">
        <v>0.72</v>
      </c>
      <c r="J1923" s="7" t="s">
        <v>325</v>
      </c>
    </row>
    <row r="1924" spans="1:10" x14ac:dyDescent="0.35">
      <c r="A1924" s="7" t="s">
        <v>25</v>
      </c>
      <c r="B1924" s="7" t="s">
        <v>29</v>
      </c>
      <c r="C1924" s="7" t="s">
        <v>55</v>
      </c>
      <c r="D1924" s="9">
        <v>0</v>
      </c>
      <c r="E1924" s="9">
        <v>0</v>
      </c>
      <c r="F1924" s="9">
        <v>0</v>
      </c>
      <c r="G1924" s="9">
        <v>0</v>
      </c>
      <c r="H1924" s="9">
        <v>0.35</v>
      </c>
      <c r="I1924" s="9">
        <v>0.6</v>
      </c>
      <c r="J1924" s="7" t="s">
        <v>325</v>
      </c>
    </row>
    <row r="1925" spans="1:10" x14ac:dyDescent="0.35">
      <c r="A1925" s="7" t="s">
        <v>23</v>
      </c>
      <c r="B1925" s="7" t="s">
        <v>228</v>
      </c>
      <c r="C1925" s="7" t="s">
        <v>45</v>
      </c>
      <c r="D1925" s="9">
        <v>0</v>
      </c>
      <c r="E1925" s="9">
        <v>0</v>
      </c>
      <c r="F1925" s="9">
        <v>0</v>
      </c>
      <c r="G1925" s="9">
        <v>0.3</v>
      </c>
      <c r="H1925" s="9">
        <v>0.05</v>
      </c>
      <c r="I1925" s="9">
        <v>0.05</v>
      </c>
      <c r="J1925" s="7" t="s">
        <v>325</v>
      </c>
    </row>
    <row r="1926" spans="1:10" x14ac:dyDescent="0.35">
      <c r="A1926" s="7" t="s">
        <v>23</v>
      </c>
      <c r="B1926" s="7" t="s">
        <v>44</v>
      </c>
      <c r="C1926" s="7" t="s">
        <v>122</v>
      </c>
      <c r="D1926" s="9">
        <v>0.11</v>
      </c>
      <c r="E1926" s="9">
        <v>0.01</v>
      </c>
      <c r="F1926" s="9">
        <v>0</v>
      </c>
      <c r="G1926" s="9">
        <v>10.94</v>
      </c>
      <c r="H1926" s="9">
        <v>1.64</v>
      </c>
      <c r="I1926" s="9">
        <v>0.02</v>
      </c>
      <c r="J1926" s="7" t="s">
        <v>325</v>
      </c>
    </row>
    <row r="1927" spans="1:10" x14ac:dyDescent="0.35">
      <c r="A1927" s="7" t="s">
        <v>40</v>
      </c>
      <c r="B1927" s="7" t="s">
        <v>107</v>
      </c>
      <c r="C1927" s="7" t="s">
        <v>51</v>
      </c>
      <c r="D1927" s="9">
        <v>0.45</v>
      </c>
      <c r="E1927" s="9">
        <v>0</v>
      </c>
      <c r="F1927" s="9">
        <v>0</v>
      </c>
      <c r="G1927" s="9">
        <v>328.47</v>
      </c>
      <c r="H1927" s="9">
        <v>1.71</v>
      </c>
      <c r="I1927" s="9">
        <v>0.34</v>
      </c>
      <c r="J1927" s="7" t="s">
        <v>325</v>
      </c>
    </row>
    <row r="1928" spans="1:10" x14ac:dyDescent="0.35">
      <c r="A1928" s="7" t="s">
        <v>23</v>
      </c>
      <c r="B1928" s="7" t="s">
        <v>228</v>
      </c>
      <c r="C1928" s="7" t="s">
        <v>53</v>
      </c>
      <c r="D1928" s="9">
        <v>0</v>
      </c>
      <c r="E1928" s="9">
        <v>0</v>
      </c>
      <c r="F1928" s="9">
        <v>0</v>
      </c>
      <c r="G1928" s="9">
        <v>0</v>
      </c>
      <c r="H1928" s="9">
        <v>0</v>
      </c>
      <c r="I1928" s="9">
        <v>0.25</v>
      </c>
      <c r="J1928" s="7" t="s">
        <v>325</v>
      </c>
    </row>
    <row r="1929" spans="1:10" x14ac:dyDescent="0.35">
      <c r="A1929" s="7" t="s">
        <v>23</v>
      </c>
      <c r="B1929" s="7" t="s">
        <v>120</v>
      </c>
      <c r="C1929" s="7" t="s">
        <v>48</v>
      </c>
      <c r="D1929" s="9">
        <v>0.05</v>
      </c>
      <c r="E1929" s="9">
        <v>0.15</v>
      </c>
      <c r="F1929" s="9">
        <v>0</v>
      </c>
      <c r="G1929" s="9">
        <v>23.11</v>
      </c>
      <c r="H1929" s="9">
        <v>165.73</v>
      </c>
      <c r="I1929" s="9">
        <v>0.36</v>
      </c>
      <c r="J1929" s="7" t="s">
        <v>325</v>
      </c>
    </row>
    <row r="1930" spans="1:10" x14ac:dyDescent="0.35">
      <c r="A1930" s="7" t="s">
        <v>35</v>
      </c>
      <c r="B1930" s="7" t="s">
        <v>36</v>
      </c>
      <c r="C1930" s="7" t="s">
        <v>51</v>
      </c>
      <c r="D1930" s="9">
        <v>0</v>
      </c>
      <c r="E1930" s="9">
        <v>0</v>
      </c>
      <c r="F1930" s="9">
        <v>0</v>
      </c>
      <c r="G1930" s="9">
        <v>1.08</v>
      </c>
      <c r="H1930" s="9">
        <v>0.11</v>
      </c>
      <c r="I1930" s="9">
        <v>0.2</v>
      </c>
      <c r="J1930" s="7" t="s">
        <v>325</v>
      </c>
    </row>
    <row r="1931" spans="1:10" x14ac:dyDescent="0.35">
      <c r="A1931" s="7" t="s">
        <v>77</v>
      </c>
      <c r="B1931" s="7" t="s">
        <v>216</v>
      </c>
      <c r="C1931" s="7" t="s">
        <v>53</v>
      </c>
      <c r="D1931" s="9">
        <v>0</v>
      </c>
      <c r="E1931" s="9">
        <v>0</v>
      </c>
      <c r="F1931" s="9">
        <v>0</v>
      </c>
      <c r="G1931" s="9">
        <v>0</v>
      </c>
      <c r="H1931" s="9">
        <v>0</v>
      </c>
      <c r="I1931" s="9">
        <v>0.1</v>
      </c>
      <c r="J1931" s="7" t="s">
        <v>325</v>
      </c>
    </row>
    <row r="1932" spans="1:10" x14ac:dyDescent="0.35">
      <c r="A1932" s="7" t="s">
        <v>57</v>
      </c>
      <c r="B1932" s="7" t="s">
        <v>161</v>
      </c>
      <c r="C1932" s="7" t="s">
        <v>27</v>
      </c>
      <c r="D1932" s="9">
        <v>0</v>
      </c>
      <c r="E1932" s="9">
        <v>0</v>
      </c>
      <c r="F1932" s="9">
        <v>0</v>
      </c>
      <c r="G1932" s="9">
        <v>1.95</v>
      </c>
      <c r="H1932" s="9">
        <v>2.41</v>
      </c>
      <c r="I1932" s="9">
        <v>1.34</v>
      </c>
      <c r="J1932" s="7" t="s">
        <v>325</v>
      </c>
    </row>
    <row r="1933" spans="1:10" x14ac:dyDescent="0.35">
      <c r="A1933" s="7" t="s">
        <v>57</v>
      </c>
      <c r="B1933" s="7" t="s">
        <v>161</v>
      </c>
      <c r="C1933" s="7" t="s">
        <v>126</v>
      </c>
      <c r="D1933" s="9">
        <v>0</v>
      </c>
      <c r="E1933" s="9">
        <v>0</v>
      </c>
      <c r="F1933" s="9">
        <v>0</v>
      </c>
      <c r="G1933" s="9">
        <v>0</v>
      </c>
      <c r="H1933" s="9">
        <v>0</v>
      </c>
      <c r="I1933" s="9">
        <v>0.42</v>
      </c>
      <c r="J1933" s="7" t="s">
        <v>325</v>
      </c>
    </row>
    <row r="1934" spans="1:10" x14ac:dyDescent="0.35">
      <c r="A1934" s="7" t="s">
        <v>23</v>
      </c>
      <c r="B1934" s="7" t="s">
        <v>136</v>
      </c>
      <c r="C1934" s="7" t="s">
        <v>126</v>
      </c>
      <c r="D1934" s="9">
        <v>0.01</v>
      </c>
      <c r="E1934" s="9">
        <v>0</v>
      </c>
      <c r="F1934" s="9">
        <v>0</v>
      </c>
      <c r="G1934" s="9">
        <v>5.61</v>
      </c>
      <c r="H1934" s="9">
        <v>0.94</v>
      </c>
      <c r="I1934" s="9">
        <v>0.27</v>
      </c>
      <c r="J1934" s="7" t="s">
        <v>325</v>
      </c>
    </row>
    <row r="1935" spans="1:10" x14ac:dyDescent="0.35">
      <c r="A1935" s="7" t="s">
        <v>16</v>
      </c>
      <c r="B1935" s="7" t="s">
        <v>109</v>
      </c>
      <c r="C1935" s="7" t="s">
        <v>122</v>
      </c>
      <c r="D1935" s="9">
        <v>0</v>
      </c>
      <c r="E1935" s="9">
        <v>0</v>
      </c>
      <c r="F1935" s="9">
        <v>0</v>
      </c>
      <c r="G1935" s="9">
        <v>0.1</v>
      </c>
      <c r="H1935" s="9">
        <v>0.12</v>
      </c>
      <c r="I1935" s="9">
        <v>7.0000000000000007E-2</v>
      </c>
      <c r="J1935" s="7" t="s">
        <v>325</v>
      </c>
    </row>
    <row r="1936" spans="1:10" x14ac:dyDescent="0.35">
      <c r="A1936" s="7" t="s">
        <v>57</v>
      </c>
      <c r="B1936" s="7" t="s">
        <v>162</v>
      </c>
      <c r="C1936" s="7" t="s">
        <v>42</v>
      </c>
      <c r="D1936" s="9">
        <v>0.09</v>
      </c>
      <c r="E1936" s="9">
        <v>0.05</v>
      </c>
      <c r="F1936" s="9">
        <v>0</v>
      </c>
      <c r="G1936" s="9">
        <v>38.29</v>
      </c>
      <c r="H1936" s="9">
        <v>14.6</v>
      </c>
      <c r="I1936" s="9">
        <v>0.22</v>
      </c>
      <c r="J1936" s="7" t="s">
        <v>325</v>
      </c>
    </row>
    <row r="1937" spans="1:10" x14ac:dyDescent="0.35">
      <c r="A1937" s="7" t="s">
        <v>40</v>
      </c>
      <c r="B1937" s="7" t="s">
        <v>194</v>
      </c>
      <c r="C1937" s="7" t="s">
        <v>54</v>
      </c>
      <c r="D1937" s="9">
        <v>0</v>
      </c>
      <c r="E1937" s="9">
        <v>0</v>
      </c>
      <c r="F1937" s="9">
        <v>0</v>
      </c>
      <c r="G1937" s="9">
        <v>2.4500000000000002</v>
      </c>
      <c r="H1937" s="9">
        <v>3.37</v>
      </c>
      <c r="I1937" s="9">
        <v>1</v>
      </c>
      <c r="J1937" s="7" t="s">
        <v>325</v>
      </c>
    </row>
    <row r="1938" spans="1:10" x14ac:dyDescent="0.35">
      <c r="A1938" s="7" t="s">
        <v>77</v>
      </c>
      <c r="B1938" s="7" t="s">
        <v>168</v>
      </c>
      <c r="C1938" s="7" t="s">
        <v>42</v>
      </c>
      <c r="D1938" s="9">
        <v>0.02</v>
      </c>
      <c r="E1938" s="9">
        <v>0</v>
      </c>
      <c r="F1938" s="9">
        <v>0</v>
      </c>
      <c r="G1938" s="9">
        <v>12.15</v>
      </c>
      <c r="H1938" s="9">
        <v>1.54</v>
      </c>
      <c r="I1938" s="9">
        <v>0.14000000000000001</v>
      </c>
      <c r="J1938" s="7" t="s">
        <v>325</v>
      </c>
    </row>
    <row r="1939" spans="1:10" x14ac:dyDescent="0.35">
      <c r="A1939" s="7" t="s">
        <v>20</v>
      </c>
      <c r="B1939" s="7" t="s">
        <v>173</v>
      </c>
      <c r="C1939" s="7" t="s">
        <v>69</v>
      </c>
      <c r="D1939" s="9">
        <v>0</v>
      </c>
      <c r="E1939" s="9">
        <v>0</v>
      </c>
      <c r="F1939" s="9">
        <v>0</v>
      </c>
      <c r="G1939" s="9">
        <v>0.16</v>
      </c>
      <c r="H1939" s="9">
        <v>0.18</v>
      </c>
      <c r="I1939" s="9">
        <v>0.2</v>
      </c>
      <c r="J1939" s="7" t="s">
        <v>325</v>
      </c>
    </row>
    <row r="1940" spans="1:10" x14ac:dyDescent="0.35">
      <c r="A1940" s="7" t="s">
        <v>49</v>
      </c>
      <c r="B1940" s="7" t="s">
        <v>176</v>
      </c>
      <c r="C1940" s="7" t="s">
        <v>170</v>
      </c>
      <c r="D1940" s="9">
        <v>0.01</v>
      </c>
      <c r="E1940" s="9">
        <v>0</v>
      </c>
      <c r="F1940" s="9">
        <v>0</v>
      </c>
      <c r="G1940" s="9">
        <v>0.66</v>
      </c>
      <c r="H1940" s="9">
        <v>0.23</v>
      </c>
      <c r="I1940" s="9">
        <v>0.1</v>
      </c>
      <c r="J1940" s="7" t="s">
        <v>325</v>
      </c>
    </row>
    <row r="1941" spans="1:10" ht="26.25" customHeight="1" x14ac:dyDescent="0.35">
      <c r="A1941" s="7" t="s">
        <v>40</v>
      </c>
      <c r="B1941" s="7" t="s">
        <v>183</v>
      </c>
      <c r="C1941" s="7" t="s">
        <v>81</v>
      </c>
      <c r="D1941" s="9">
        <v>0</v>
      </c>
      <c r="E1941" s="9">
        <v>0</v>
      </c>
      <c r="F1941" s="9">
        <v>0</v>
      </c>
      <c r="G1941" s="9">
        <v>3.34</v>
      </c>
      <c r="H1941" s="9">
        <v>6.68</v>
      </c>
      <c r="I1941" s="9">
        <v>0.76</v>
      </c>
      <c r="J1941" s="7" t="s">
        <v>325</v>
      </c>
    </row>
    <row r="1942" spans="1:10" x14ac:dyDescent="0.35">
      <c r="A1942" s="7" t="s">
        <v>77</v>
      </c>
      <c r="B1942" s="7" t="s">
        <v>168</v>
      </c>
      <c r="C1942" s="7" t="s">
        <v>118</v>
      </c>
      <c r="D1942" s="9">
        <v>0.01</v>
      </c>
      <c r="E1942" s="9">
        <v>0.02</v>
      </c>
      <c r="F1942" s="9">
        <v>0</v>
      </c>
      <c r="G1942" s="9">
        <v>1.48</v>
      </c>
      <c r="H1942" s="9">
        <v>1.46</v>
      </c>
      <c r="I1942" s="9">
        <v>0.17</v>
      </c>
      <c r="J1942" s="7" t="s">
        <v>325</v>
      </c>
    </row>
    <row r="1943" spans="1:10" x14ac:dyDescent="0.35">
      <c r="A1943" s="7" t="s">
        <v>251</v>
      </c>
      <c r="B1943" s="7" t="s">
        <v>252</v>
      </c>
      <c r="C1943" s="7" t="s">
        <v>33</v>
      </c>
      <c r="D1943" s="9">
        <v>0</v>
      </c>
      <c r="E1943" s="9">
        <v>0.01</v>
      </c>
      <c r="F1943" s="9">
        <v>0</v>
      </c>
      <c r="G1943" s="9">
        <v>0</v>
      </c>
      <c r="H1943" s="9">
        <v>2.8</v>
      </c>
      <c r="I1943" s="9">
        <v>0.5</v>
      </c>
      <c r="J1943" s="7" t="s">
        <v>325</v>
      </c>
    </row>
    <row r="1944" spans="1:10" x14ac:dyDescent="0.35">
      <c r="A1944" s="7" t="s">
        <v>20</v>
      </c>
      <c r="B1944" s="7" t="s">
        <v>173</v>
      </c>
      <c r="C1944" s="7" t="s">
        <v>144</v>
      </c>
      <c r="D1944" s="9">
        <v>0</v>
      </c>
      <c r="E1944" s="9">
        <v>0</v>
      </c>
      <c r="F1944" s="9">
        <v>0</v>
      </c>
      <c r="G1944" s="9">
        <v>1.2</v>
      </c>
      <c r="H1944" s="9">
        <v>2.63</v>
      </c>
      <c r="I1944" s="9">
        <v>0.56999999999999995</v>
      </c>
      <c r="J1944" s="7" t="s">
        <v>325</v>
      </c>
    </row>
    <row r="1945" spans="1:10" x14ac:dyDescent="0.35">
      <c r="A1945" s="7" t="s">
        <v>16</v>
      </c>
      <c r="B1945" s="7" t="s">
        <v>115</v>
      </c>
      <c r="C1945" s="7" t="s">
        <v>45</v>
      </c>
      <c r="D1945" s="9">
        <v>0</v>
      </c>
      <c r="E1945" s="9">
        <v>0</v>
      </c>
      <c r="F1945" s="9">
        <v>0</v>
      </c>
      <c r="G1945" s="9">
        <v>0</v>
      </c>
      <c r="H1945" s="9">
        <v>0</v>
      </c>
      <c r="I1945" s="9">
        <v>0.1</v>
      </c>
      <c r="J1945" s="7" t="s">
        <v>325</v>
      </c>
    </row>
    <row r="1946" spans="1:10" x14ac:dyDescent="0.35">
      <c r="A1946" s="7" t="s">
        <v>20</v>
      </c>
      <c r="B1946" s="7" t="s">
        <v>145</v>
      </c>
      <c r="C1946" s="7" t="s">
        <v>84</v>
      </c>
      <c r="D1946" s="9">
        <v>0</v>
      </c>
      <c r="E1946" s="9">
        <v>0</v>
      </c>
      <c r="F1946" s="9">
        <v>0</v>
      </c>
      <c r="G1946" s="9">
        <v>0</v>
      </c>
      <c r="H1946" s="9">
        <v>0.01</v>
      </c>
      <c r="I1946" s="9">
        <v>0.06</v>
      </c>
      <c r="J1946" s="7" t="s">
        <v>325</v>
      </c>
    </row>
    <row r="1947" spans="1:10" x14ac:dyDescent="0.35">
      <c r="A1947" s="7" t="s">
        <v>20</v>
      </c>
      <c r="B1947" s="7" t="s">
        <v>134</v>
      </c>
      <c r="C1947" s="7" t="s">
        <v>65</v>
      </c>
      <c r="D1947" s="9">
        <v>0</v>
      </c>
      <c r="E1947" s="9">
        <v>0</v>
      </c>
      <c r="F1947" s="9">
        <v>0</v>
      </c>
      <c r="G1947" s="9">
        <v>0</v>
      </c>
      <c r="H1947" s="9">
        <v>0.17</v>
      </c>
      <c r="I1947" s="9">
        <v>0.2</v>
      </c>
      <c r="J1947" s="7" t="s">
        <v>325</v>
      </c>
    </row>
    <row r="1948" spans="1:10" x14ac:dyDescent="0.35">
      <c r="A1948" s="7" t="s">
        <v>251</v>
      </c>
      <c r="B1948" s="7" t="s">
        <v>252</v>
      </c>
      <c r="C1948" s="7" t="s">
        <v>150</v>
      </c>
      <c r="D1948" s="9">
        <v>0</v>
      </c>
      <c r="E1948" s="9">
        <v>0.01</v>
      </c>
      <c r="F1948" s="9">
        <v>0</v>
      </c>
      <c r="G1948" s="9">
        <v>0</v>
      </c>
      <c r="H1948" s="9">
        <v>0.43</v>
      </c>
      <c r="I1948" s="9">
        <v>0.04</v>
      </c>
      <c r="J1948" s="7" t="s">
        <v>325</v>
      </c>
    </row>
    <row r="1949" spans="1:10" x14ac:dyDescent="0.35">
      <c r="A1949" s="7" t="s">
        <v>23</v>
      </c>
      <c r="B1949" s="7" t="s">
        <v>136</v>
      </c>
      <c r="C1949" s="7" t="s">
        <v>42</v>
      </c>
      <c r="D1949" s="9">
        <v>0.01</v>
      </c>
      <c r="E1949" s="9">
        <v>0.01</v>
      </c>
      <c r="F1949" s="9">
        <v>0</v>
      </c>
      <c r="G1949" s="9">
        <v>4.5199999999999996</v>
      </c>
      <c r="H1949" s="9">
        <v>5.82</v>
      </c>
      <c r="I1949" s="9">
        <v>0.12</v>
      </c>
      <c r="J1949" s="7" t="s">
        <v>325</v>
      </c>
    </row>
    <row r="1950" spans="1:10" x14ac:dyDescent="0.35">
      <c r="A1950" s="7" t="s">
        <v>66</v>
      </c>
      <c r="B1950" s="7" t="s">
        <v>100</v>
      </c>
      <c r="C1950" s="7" t="s">
        <v>53</v>
      </c>
      <c r="D1950" s="9">
        <v>0</v>
      </c>
      <c r="E1950" s="9">
        <v>0.01</v>
      </c>
      <c r="F1950" s="9">
        <v>0</v>
      </c>
      <c r="G1950" s="9">
        <v>0</v>
      </c>
      <c r="H1950" s="9">
        <v>7.87</v>
      </c>
      <c r="I1950" s="9">
        <v>0.08</v>
      </c>
      <c r="J1950" s="7" t="s">
        <v>325</v>
      </c>
    </row>
    <row r="1951" spans="1:10" x14ac:dyDescent="0.35">
      <c r="A1951" s="7" t="s">
        <v>40</v>
      </c>
      <c r="B1951" s="7" t="s">
        <v>183</v>
      </c>
      <c r="C1951" s="7" t="s">
        <v>102</v>
      </c>
      <c r="D1951" s="9">
        <v>0.01</v>
      </c>
      <c r="E1951" s="9">
        <v>0.03</v>
      </c>
      <c r="F1951" s="9">
        <v>0</v>
      </c>
      <c r="G1951" s="9">
        <v>12.5</v>
      </c>
      <c r="H1951" s="9">
        <v>123</v>
      </c>
      <c r="I1951" s="9">
        <v>0.48</v>
      </c>
      <c r="J1951" s="7" t="s">
        <v>325</v>
      </c>
    </row>
    <row r="1952" spans="1:10" ht="26.25" customHeight="1" x14ac:dyDescent="0.35">
      <c r="A1952" s="7" t="s">
        <v>94</v>
      </c>
      <c r="B1952" s="7" t="s">
        <v>95</v>
      </c>
      <c r="C1952" s="7" t="s">
        <v>81</v>
      </c>
      <c r="D1952" s="9">
        <v>0.01</v>
      </c>
      <c r="E1952" s="9">
        <v>0.01</v>
      </c>
      <c r="F1952" s="9">
        <v>0</v>
      </c>
      <c r="G1952" s="9">
        <v>4.22</v>
      </c>
      <c r="H1952" s="9">
        <v>20.51</v>
      </c>
      <c r="I1952" s="9">
        <v>0.1</v>
      </c>
      <c r="J1952" s="7" t="s">
        <v>325</v>
      </c>
    </row>
    <row r="1953" spans="1:10" x14ac:dyDescent="0.35">
      <c r="A1953" s="7" t="s">
        <v>49</v>
      </c>
      <c r="B1953" s="7" t="s">
        <v>70</v>
      </c>
      <c r="C1953" s="7" t="s">
        <v>102</v>
      </c>
      <c r="D1953" s="9">
        <v>0</v>
      </c>
      <c r="E1953" s="9">
        <v>0</v>
      </c>
      <c r="F1953" s="9">
        <v>0</v>
      </c>
      <c r="G1953" s="9">
        <v>0</v>
      </c>
      <c r="H1953" s="9">
        <v>0</v>
      </c>
      <c r="I1953" s="9">
        <v>0.25</v>
      </c>
      <c r="J1953" s="7" t="s">
        <v>325</v>
      </c>
    </row>
    <row r="1954" spans="1:10" ht="26.25" customHeight="1" x14ac:dyDescent="0.35">
      <c r="A1954" s="7" t="s">
        <v>159</v>
      </c>
      <c r="B1954" s="7" t="s">
        <v>186</v>
      </c>
      <c r="C1954" s="7" t="s">
        <v>81</v>
      </c>
      <c r="D1954" s="9">
        <v>0</v>
      </c>
      <c r="E1954" s="9">
        <v>0</v>
      </c>
      <c r="F1954" s="9">
        <v>0</v>
      </c>
      <c r="G1954" s="9">
        <v>0</v>
      </c>
      <c r="H1954" s="9">
        <v>0</v>
      </c>
      <c r="I1954" s="9">
        <v>3.87</v>
      </c>
      <c r="J1954" s="7" t="s">
        <v>325</v>
      </c>
    </row>
    <row r="1955" spans="1:10" x14ac:dyDescent="0.35">
      <c r="A1955" s="7" t="s">
        <v>20</v>
      </c>
      <c r="B1955" s="7" t="s">
        <v>56</v>
      </c>
      <c r="C1955" s="7" t="s">
        <v>46</v>
      </c>
      <c r="D1955" s="9">
        <v>0</v>
      </c>
      <c r="E1955" s="9">
        <v>0</v>
      </c>
      <c r="F1955" s="9">
        <v>0</v>
      </c>
      <c r="G1955" s="9">
        <v>0</v>
      </c>
      <c r="H1955" s="9">
        <v>0</v>
      </c>
      <c r="I1955" s="9">
        <v>0.25</v>
      </c>
      <c r="J1955" s="7" t="s">
        <v>325</v>
      </c>
    </row>
    <row r="1956" spans="1:10" x14ac:dyDescent="0.35">
      <c r="A1956" s="7" t="s">
        <v>159</v>
      </c>
      <c r="B1956" s="7" t="s">
        <v>186</v>
      </c>
      <c r="C1956" s="7" t="s">
        <v>54</v>
      </c>
      <c r="D1956" s="9">
        <v>0.01</v>
      </c>
      <c r="E1956" s="9">
        <v>0</v>
      </c>
      <c r="F1956" s="9">
        <v>0</v>
      </c>
      <c r="G1956" s="9">
        <v>5.35</v>
      </c>
      <c r="H1956" s="9">
        <v>0.02</v>
      </c>
      <c r="I1956" s="9">
        <v>0.1</v>
      </c>
      <c r="J1956" s="7" t="s">
        <v>325</v>
      </c>
    </row>
    <row r="1957" spans="1:10" x14ac:dyDescent="0.35">
      <c r="A1957" s="7" t="s">
        <v>25</v>
      </c>
      <c r="B1957" s="7" t="s">
        <v>29</v>
      </c>
      <c r="C1957" s="7" t="s">
        <v>45</v>
      </c>
      <c r="D1957" s="9">
        <v>0</v>
      </c>
      <c r="E1957" s="9">
        <v>0.56000000000000005</v>
      </c>
      <c r="F1957" s="9">
        <v>0</v>
      </c>
      <c r="G1957" s="9">
        <v>0.06</v>
      </c>
      <c r="H1957" s="9">
        <v>660.56</v>
      </c>
      <c r="I1957" s="9">
        <v>0.25</v>
      </c>
      <c r="J1957" s="7" t="s">
        <v>325</v>
      </c>
    </row>
    <row r="1958" spans="1:10" x14ac:dyDescent="0.35">
      <c r="A1958" s="7" t="s">
        <v>77</v>
      </c>
      <c r="B1958" s="7" t="s">
        <v>168</v>
      </c>
      <c r="C1958" s="7" t="s">
        <v>84</v>
      </c>
      <c r="D1958" s="9">
        <v>0</v>
      </c>
      <c r="E1958" s="9">
        <v>0</v>
      </c>
      <c r="F1958" s="9">
        <v>0</v>
      </c>
      <c r="G1958" s="9">
        <v>0.13</v>
      </c>
      <c r="H1958" s="9">
        <v>0.03</v>
      </c>
      <c r="I1958" s="9">
        <v>0.06</v>
      </c>
      <c r="J1958" s="7" t="s">
        <v>325</v>
      </c>
    </row>
    <row r="1959" spans="1:10" x14ac:dyDescent="0.35">
      <c r="A1959" s="7" t="s">
        <v>189</v>
      </c>
      <c r="B1959" s="7" t="s">
        <v>193</v>
      </c>
      <c r="C1959" s="7" t="s">
        <v>33</v>
      </c>
      <c r="D1959" s="9">
        <v>0.06</v>
      </c>
      <c r="E1959" s="9">
        <v>0.11</v>
      </c>
      <c r="F1959" s="9">
        <v>0</v>
      </c>
      <c r="G1959" s="9">
        <v>26.26</v>
      </c>
      <c r="H1959" s="9">
        <v>56.89</v>
      </c>
      <c r="I1959" s="9">
        <v>0.91</v>
      </c>
      <c r="J1959" s="7" t="s">
        <v>325</v>
      </c>
    </row>
    <row r="1960" spans="1:10" x14ac:dyDescent="0.35">
      <c r="A1960" s="7" t="s">
        <v>16</v>
      </c>
      <c r="B1960" s="7" t="s">
        <v>109</v>
      </c>
      <c r="C1960" s="7" t="s">
        <v>118</v>
      </c>
      <c r="D1960" s="9">
        <v>0.01</v>
      </c>
      <c r="E1960" s="9">
        <v>0.01</v>
      </c>
      <c r="F1960" s="9">
        <v>0</v>
      </c>
      <c r="G1960" s="9">
        <v>0.94</v>
      </c>
      <c r="H1960" s="9">
        <v>1.58</v>
      </c>
      <c r="I1960" s="9">
        <v>0.24</v>
      </c>
      <c r="J1960" s="7" t="s">
        <v>325</v>
      </c>
    </row>
    <row r="1961" spans="1:10" x14ac:dyDescent="0.35">
      <c r="A1961" s="7" t="s">
        <v>49</v>
      </c>
      <c r="B1961" s="7" t="s">
        <v>237</v>
      </c>
      <c r="C1961" s="7" t="s">
        <v>48</v>
      </c>
      <c r="D1961" s="9">
        <v>0</v>
      </c>
      <c r="E1961" s="9">
        <v>0</v>
      </c>
      <c r="F1961" s="9">
        <v>0</v>
      </c>
      <c r="G1961" s="9">
        <v>0.04</v>
      </c>
      <c r="H1961" s="9">
        <v>0.05</v>
      </c>
      <c r="I1961" s="9">
        <v>0.66</v>
      </c>
      <c r="J1961" s="7" t="s">
        <v>325</v>
      </c>
    </row>
    <row r="1962" spans="1:10" x14ac:dyDescent="0.35">
      <c r="A1962" s="7" t="s">
        <v>20</v>
      </c>
      <c r="B1962" s="7" t="s">
        <v>245</v>
      </c>
      <c r="C1962" s="7" t="s">
        <v>45</v>
      </c>
      <c r="D1962" s="9">
        <v>0</v>
      </c>
      <c r="E1962" s="9">
        <v>0</v>
      </c>
      <c r="F1962" s="9">
        <v>0</v>
      </c>
      <c r="G1962" s="9">
        <v>0.21</v>
      </c>
      <c r="H1962" s="9">
        <v>1.02</v>
      </c>
      <c r="I1962" s="9">
        <v>0.47</v>
      </c>
      <c r="J1962" s="7" t="s">
        <v>325</v>
      </c>
    </row>
    <row r="1963" spans="1:10" x14ac:dyDescent="0.35">
      <c r="A1963" s="7" t="s">
        <v>20</v>
      </c>
      <c r="B1963" s="7" t="s">
        <v>173</v>
      </c>
      <c r="C1963" s="7" t="s">
        <v>84</v>
      </c>
      <c r="D1963" s="9">
        <v>0</v>
      </c>
      <c r="E1963" s="9">
        <v>0</v>
      </c>
      <c r="F1963" s="9">
        <v>0</v>
      </c>
      <c r="G1963" s="9">
        <v>0</v>
      </c>
      <c r="H1963" s="9">
        <v>0.28999999999999998</v>
      </c>
      <c r="I1963" s="9">
        <v>0.2</v>
      </c>
      <c r="J1963" s="7" t="s">
        <v>325</v>
      </c>
    </row>
    <row r="1964" spans="1:10" x14ac:dyDescent="0.35">
      <c r="A1964" s="7" t="s">
        <v>66</v>
      </c>
      <c r="B1964" s="7" t="s">
        <v>108</v>
      </c>
      <c r="C1964" s="7" t="s">
        <v>46</v>
      </c>
      <c r="D1964" s="9">
        <v>0</v>
      </c>
      <c r="E1964" s="9">
        <v>0</v>
      </c>
      <c r="F1964" s="9">
        <v>0</v>
      </c>
      <c r="G1964" s="9">
        <v>0</v>
      </c>
      <c r="H1964" s="9">
        <v>0</v>
      </c>
      <c r="I1964" s="9">
        <v>0.54</v>
      </c>
      <c r="J1964" s="7" t="s">
        <v>325</v>
      </c>
    </row>
    <row r="1965" spans="1:10" x14ac:dyDescent="0.35">
      <c r="A1965" s="7" t="s">
        <v>16</v>
      </c>
      <c r="B1965" s="7" t="s">
        <v>135</v>
      </c>
      <c r="C1965" s="7" t="s">
        <v>151</v>
      </c>
      <c r="D1965" s="9">
        <v>0</v>
      </c>
      <c r="E1965" s="9">
        <v>0</v>
      </c>
      <c r="F1965" s="9">
        <v>0</v>
      </c>
      <c r="G1965" s="9">
        <v>0</v>
      </c>
      <c r="H1965" s="9">
        <v>0.48</v>
      </c>
      <c r="I1965" s="9">
        <v>0.13</v>
      </c>
      <c r="J1965" s="7" t="s">
        <v>325</v>
      </c>
    </row>
    <row r="1966" spans="1:10" x14ac:dyDescent="0.35">
      <c r="A1966" s="7" t="s">
        <v>57</v>
      </c>
      <c r="B1966" s="7" t="s">
        <v>161</v>
      </c>
      <c r="C1966" s="7" t="s">
        <v>84</v>
      </c>
      <c r="D1966" s="9">
        <v>0</v>
      </c>
      <c r="E1966" s="9">
        <v>0</v>
      </c>
      <c r="F1966" s="9">
        <v>0</v>
      </c>
      <c r="G1966" s="9">
        <v>0.38</v>
      </c>
      <c r="H1966" s="9">
        <v>0</v>
      </c>
      <c r="I1966" s="9">
        <v>0.04</v>
      </c>
      <c r="J1966" s="7" t="s">
        <v>325</v>
      </c>
    </row>
    <row r="1967" spans="1:10" x14ac:dyDescent="0.35">
      <c r="A1967" s="7" t="s">
        <v>23</v>
      </c>
      <c r="B1967" s="7" t="s">
        <v>123</v>
      </c>
      <c r="C1967" s="7" t="s">
        <v>69</v>
      </c>
      <c r="D1967" s="9">
        <v>0.08</v>
      </c>
      <c r="E1967" s="9">
        <v>7.0000000000000007E-2</v>
      </c>
      <c r="F1967" s="9">
        <v>0</v>
      </c>
      <c r="G1967" s="9">
        <v>48.17</v>
      </c>
      <c r="H1967" s="9">
        <v>46.47</v>
      </c>
      <c r="I1967" s="9">
        <v>0.6</v>
      </c>
      <c r="J1967" s="7" t="s">
        <v>325</v>
      </c>
    </row>
    <row r="1968" spans="1:10" x14ac:dyDescent="0.35">
      <c r="A1968" s="7" t="s">
        <v>86</v>
      </c>
      <c r="B1968" s="7" t="s">
        <v>207</v>
      </c>
      <c r="C1968" s="7" t="s">
        <v>179</v>
      </c>
      <c r="D1968" s="9">
        <v>0</v>
      </c>
      <c r="E1968" s="9">
        <v>0</v>
      </c>
      <c r="F1968" s="9">
        <v>0</v>
      </c>
      <c r="G1968" s="9">
        <v>0.06</v>
      </c>
      <c r="H1968" s="9">
        <v>0.32</v>
      </c>
      <c r="I1968" s="9">
        <v>7.0000000000000007E-2</v>
      </c>
      <c r="J1968" s="7" t="s">
        <v>325</v>
      </c>
    </row>
    <row r="1969" spans="1:10" x14ac:dyDescent="0.35">
      <c r="A1969" s="7" t="s">
        <v>35</v>
      </c>
      <c r="B1969" s="7" t="s">
        <v>38</v>
      </c>
      <c r="C1969" s="7" t="s">
        <v>84</v>
      </c>
      <c r="D1969" s="9">
        <v>0.01</v>
      </c>
      <c r="E1969" s="9">
        <v>0.03</v>
      </c>
      <c r="F1969" s="9">
        <v>0</v>
      </c>
      <c r="G1969" s="9">
        <v>0.92</v>
      </c>
      <c r="H1969" s="9">
        <v>3.8</v>
      </c>
      <c r="I1969" s="9">
        <v>0.52</v>
      </c>
      <c r="J1969" s="7" t="s">
        <v>325</v>
      </c>
    </row>
    <row r="1970" spans="1:10" x14ac:dyDescent="0.35">
      <c r="A1970" s="7" t="s">
        <v>86</v>
      </c>
      <c r="B1970" s="7" t="s">
        <v>106</v>
      </c>
      <c r="C1970" s="7" t="s">
        <v>84</v>
      </c>
      <c r="D1970" s="9">
        <v>0.01</v>
      </c>
      <c r="E1970" s="9">
        <v>0</v>
      </c>
      <c r="F1970" s="9">
        <v>0</v>
      </c>
      <c r="G1970" s="9">
        <v>0.91</v>
      </c>
      <c r="H1970" s="9">
        <v>0.32</v>
      </c>
      <c r="I1970" s="9">
        <v>0.05</v>
      </c>
      <c r="J1970" s="7" t="s">
        <v>325</v>
      </c>
    </row>
    <row r="1971" spans="1:10" x14ac:dyDescent="0.35">
      <c r="A1971" s="7" t="s">
        <v>16</v>
      </c>
      <c r="B1971" s="7" t="s">
        <v>115</v>
      </c>
      <c r="C1971" s="7" t="s">
        <v>59</v>
      </c>
      <c r="D1971" s="9">
        <v>0</v>
      </c>
      <c r="E1971" s="9">
        <v>0</v>
      </c>
      <c r="F1971" s="9">
        <v>0</v>
      </c>
      <c r="G1971" s="9">
        <v>0</v>
      </c>
      <c r="H1971" s="9">
        <v>0.33</v>
      </c>
      <c r="I1971" s="9">
        <v>0.15</v>
      </c>
      <c r="J1971" s="7" t="s">
        <v>325</v>
      </c>
    </row>
    <row r="1972" spans="1:10" x14ac:dyDescent="0.35">
      <c r="A1972" s="7" t="s">
        <v>49</v>
      </c>
      <c r="B1972" s="7" t="s">
        <v>237</v>
      </c>
      <c r="C1972" s="7" t="s">
        <v>72</v>
      </c>
      <c r="D1972" s="9">
        <v>0</v>
      </c>
      <c r="E1972" s="9">
        <v>0</v>
      </c>
      <c r="F1972" s="9">
        <v>0</v>
      </c>
      <c r="G1972" s="9">
        <v>0</v>
      </c>
      <c r="H1972" s="9">
        <v>0</v>
      </c>
      <c r="I1972" s="9">
        <v>0.2</v>
      </c>
      <c r="J1972" s="7" t="s">
        <v>325</v>
      </c>
    </row>
    <row r="1973" spans="1:10" x14ac:dyDescent="0.35">
      <c r="A1973" s="7" t="s">
        <v>40</v>
      </c>
      <c r="B1973" s="7" t="s">
        <v>183</v>
      </c>
      <c r="C1973" s="7" t="s">
        <v>62</v>
      </c>
      <c r="D1973" s="9">
        <v>0</v>
      </c>
      <c r="E1973" s="9">
        <v>0</v>
      </c>
      <c r="F1973" s="9">
        <v>0</v>
      </c>
      <c r="G1973" s="9">
        <v>0</v>
      </c>
      <c r="H1973" s="9">
        <v>0</v>
      </c>
      <c r="I1973" s="9">
        <v>0.37</v>
      </c>
      <c r="J1973" s="7" t="s">
        <v>325</v>
      </c>
    </row>
    <row r="1974" spans="1:10" x14ac:dyDescent="0.35">
      <c r="A1974" s="7" t="s">
        <v>40</v>
      </c>
      <c r="B1974" s="7" t="s">
        <v>164</v>
      </c>
      <c r="C1974" s="7" t="s">
        <v>18</v>
      </c>
      <c r="D1974" s="9">
        <v>0</v>
      </c>
      <c r="E1974" s="9">
        <v>0</v>
      </c>
      <c r="F1974" s="9">
        <v>0</v>
      </c>
      <c r="G1974" s="9">
        <v>0</v>
      </c>
      <c r="H1974" s="9">
        <v>0.35</v>
      </c>
      <c r="I1974" s="9">
        <v>0.4</v>
      </c>
      <c r="J1974" s="7" t="s">
        <v>325</v>
      </c>
    </row>
    <row r="1975" spans="1:10" x14ac:dyDescent="0.35">
      <c r="A1975" s="7" t="s">
        <v>86</v>
      </c>
      <c r="B1975" s="7" t="s">
        <v>87</v>
      </c>
      <c r="C1975" s="7" t="s">
        <v>181</v>
      </c>
      <c r="D1975" s="9">
        <v>0</v>
      </c>
      <c r="E1975" s="9">
        <v>0</v>
      </c>
      <c r="F1975" s="9">
        <v>0</v>
      </c>
      <c r="G1975" s="9">
        <v>0.11</v>
      </c>
      <c r="H1975" s="9">
        <v>0.04</v>
      </c>
      <c r="I1975" s="9">
        <v>0.01</v>
      </c>
      <c r="J1975" s="7" t="s">
        <v>325</v>
      </c>
    </row>
    <row r="1976" spans="1:10" x14ac:dyDescent="0.35">
      <c r="A1976" s="7" t="s">
        <v>94</v>
      </c>
      <c r="B1976" s="7" t="s">
        <v>95</v>
      </c>
      <c r="C1976" s="7" t="s">
        <v>181</v>
      </c>
      <c r="D1976" s="9">
        <v>0</v>
      </c>
      <c r="E1976" s="9">
        <v>0</v>
      </c>
      <c r="F1976" s="9">
        <v>0</v>
      </c>
      <c r="G1976" s="9">
        <v>0.1</v>
      </c>
      <c r="H1976" s="9">
        <v>1.4</v>
      </c>
      <c r="I1976" s="9">
        <v>0.02</v>
      </c>
      <c r="J1976" s="7" t="s">
        <v>325</v>
      </c>
    </row>
    <row r="1977" spans="1:10" x14ac:dyDescent="0.35">
      <c r="A1977" s="7" t="s">
        <v>86</v>
      </c>
      <c r="B1977" s="7" t="s">
        <v>106</v>
      </c>
      <c r="C1977" s="7" t="s">
        <v>62</v>
      </c>
      <c r="D1977" s="9">
        <v>0.01</v>
      </c>
      <c r="E1977" s="9">
        <v>0</v>
      </c>
      <c r="F1977" s="9">
        <v>0</v>
      </c>
      <c r="G1977" s="9">
        <v>4</v>
      </c>
      <c r="H1977" s="9">
        <v>0</v>
      </c>
      <c r="I1977" s="9">
        <v>0.02</v>
      </c>
      <c r="J1977" s="7" t="s">
        <v>325</v>
      </c>
    </row>
    <row r="1978" spans="1:10" x14ac:dyDescent="0.35">
      <c r="A1978" s="7" t="s">
        <v>86</v>
      </c>
      <c r="B1978" s="7" t="s">
        <v>207</v>
      </c>
      <c r="C1978" s="7" t="s">
        <v>60</v>
      </c>
      <c r="D1978" s="9">
        <v>0</v>
      </c>
      <c r="E1978" s="9">
        <v>0</v>
      </c>
      <c r="F1978" s="9">
        <v>0</v>
      </c>
      <c r="G1978" s="9">
        <v>0</v>
      </c>
      <c r="H1978" s="9">
        <v>0.24</v>
      </c>
      <c r="I1978" s="9">
        <v>0.25</v>
      </c>
      <c r="J1978" s="7" t="s">
        <v>325</v>
      </c>
    </row>
    <row r="1979" spans="1:10" x14ac:dyDescent="0.35">
      <c r="A1979" s="7" t="s">
        <v>40</v>
      </c>
      <c r="B1979" s="7" t="s">
        <v>117</v>
      </c>
      <c r="C1979" s="7" t="s">
        <v>46</v>
      </c>
      <c r="D1979" s="9">
        <v>0.01</v>
      </c>
      <c r="E1979" s="9">
        <v>0</v>
      </c>
      <c r="F1979" s="9">
        <v>0</v>
      </c>
      <c r="G1979" s="9">
        <v>11.23</v>
      </c>
      <c r="H1979" s="9">
        <v>0</v>
      </c>
      <c r="I1979" s="9">
        <v>0.3</v>
      </c>
      <c r="J1979" s="7" t="s">
        <v>325</v>
      </c>
    </row>
    <row r="1980" spans="1:10" x14ac:dyDescent="0.35">
      <c r="A1980" s="7" t="s">
        <v>94</v>
      </c>
      <c r="B1980" s="7" t="s">
        <v>112</v>
      </c>
      <c r="C1980" s="7" t="s">
        <v>181</v>
      </c>
      <c r="D1980" s="9">
        <v>0</v>
      </c>
      <c r="E1980" s="9">
        <v>0</v>
      </c>
      <c r="F1980" s="9">
        <v>0</v>
      </c>
      <c r="G1980" s="9">
        <v>0</v>
      </c>
      <c r="H1980" s="9">
        <v>0</v>
      </c>
      <c r="I1980" s="9">
        <v>0.06</v>
      </c>
      <c r="J1980" s="7" t="s">
        <v>325</v>
      </c>
    </row>
    <row r="1981" spans="1:10" x14ac:dyDescent="0.35">
      <c r="A1981" s="7" t="s">
        <v>49</v>
      </c>
      <c r="B1981" s="7" t="s">
        <v>176</v>
      </c>
      <c r="C1981" s="7" t="s">
        <v>27</v>
      </c>
      <c r="D1981" s="9">
        <v>0.02</v>
      </c>
      <c r="E1981" s="9">
        <v>0.1</v>
      </c>
      <c r="F1981" s="9">
        <v>0</v>
      </c>
      <c r="G1981" s="9">
        <v>17.43</v>
      </c>
      <c r="H1981" s="9">
        <v>78.010000000000005</v>
      </c>
      <c r="I1981" s="9">
        <v>0.4</v>
      </c>
      <c r="J1981" s="7" t="s">
        <v>325</v>
      </c>
    </row>
    <row r="1982" spans="1:10" x14ac:dyDescent="0.35">
      <c r="A1982" s="7" t="s">
        <v>31</v>
      </c>
      <c r="B1982" s="7" t="s">
        <v>192</v>
      </c>
      <c r="C1982" s="7" t="s">
        <v>59</v>
      </c>
      <c r="D1982" s="9">
        <v>0</v>
      </c>
      <c r="E1982" s="9">
        <v>0</v>
      </c>
      <c r="F1982" s="9">
        <v>0</v>
      </c>
      <c r="G1982" s="9">
        <v>0.01</v>
      </c>
      <c r="H1982" s="9">
        <v>0</v>
      </c>
      <c r="I1982" s="9">
        <v>0.2</v>
      </c>
      <c r="J1982" s="7" t="s">
        <v>325</v>
      </c>
    </row>
    <row r="1983" spans="1:10" x14ac:dyDescent="0.35">
      <c r="A1983" s="7" t="s">
        <v>79</v>
      </c>
      <c r="B1983" s="7" t="s">
        <v>226</v>
      </c>
      <c r="C1983" s="7" t="s">
        <v>48</v>
      </c>
      <c r="D1983" s="9">
        <v>0.01</v>
      </c>
      <c r="E1983" s="9">
        <v>0</v>
      </c>
      <c r="F1983" s="9">
        <v>0</v>
      </c>
      <c r="G1983" s="9">
        <v>3.85</v>
      </c>
      <c r="H1983" s="9">
        <v>0.37</v>
      </c>
      <c r="I1983" s="9">
        <v>0.21</v>
      </c>
      <c r="J1983" s="7" t="s">
        <v>325</v>
      </c>
    </row>
    <row r="1984" spans="1:10" x14ac:dyDescent="0.35">
      <c r="A1984" s="7" t="s">
        <v>79</v>
      </c>
      <c r="B1984" s="7" t="s">
        <v>264</v>
      </c>
      <c r="C1984" s="7" t="s">
        <v>53</v>
      </c>
      <c r="D1984" s="9">
        <v>0.01</v>
      </c>
      <c r="E1984" s="9">
        <v>0</v>
      </c>
      <c r="F1984" s="9">
        <v>0</v>
      </c>
      <c r="G1984" s="9">
        <v>0.46</v>
      </c>
      <c r="H1984" s="9">
        <v>0.17</v>
      </c>
      <c r="I1984" s="9">
        <v>0.03</v>
      </c>
      <c r="J1984" s="7" t="s">
        <v>325</v>
      </c>
    </row>
    <row r="1985" spans="1:10" x14ac:dyDescent="0.35">
      <c r="A1985" s="7" t="s">
        <v>57</v>
      </c>
      <c r="B1985" s="7" t="s">
        <v>197</v>
      </c>
      <c r="C1985" s="7" t="s">
        <v>42</v>
      </c>
      <c r="D1985" s="9">
        <v>0</v>
      </c>
      <c r="E1985" s="9">
        <v>0</v>
      </c>
      <c r="F1985" s="9">
        <v>0</v>
      </c>
      <c r="G1985" s="9">
        <v>0</v>
      </c>
      <c r="H1985" s="9">
        <v>0</v>
      </c>
      <c r="I1985" s="9">
        <v>1.02</v>
      </c>
      <c r="J1985" s="7" t="s">
        <v>325</v>
      </c>
    </row>
    <row r="1986" spans="1:10" x14ac:dyDescent="0.35">
      <c r="A1986" s="7" t="s">
        <v>79</v>
      </c>
      <c r="B1986" s="7" t="s">
        <v>92</v>
      </c>
      <c r="C1986" s="7" t="s">
        <v>33</v>
      </c>
      <c r="D1986" s="9">
        <v>0</v>
      </c>
      <c r="E1986" s="9">
        <v>0</v>
      </c>
      <c r="F1986" s="9">
        <v>0</v>
      </c>
      <c r="G1986" s="9">
        <v>0.28999999999999998</v>
      </c>
      <c r="H1986" s="9">
        <v>1.53</v>
      </c>
      <c r="I1986" s="9">
        <v>0.05</v>
      </c>
      <c r="J1986" s="7" t="s">
        <v>325</v>
      </c>
    </row>
    <row r="1987" spans="1:10" x14ac:dyDescent="0.35">
      <c r="A1987" s="7" t="s">
        <v>66</v>
      </c>
      <c r="B1987" s="7" t="s">
        <v>127</v>
      </c>
      <c r="C1987" s="7" t="s">
        <v>59</v>
      </c>
      <c r="D1987" s="9">
        <v>0.08</v>
      </c>
      <c r="E1987" s="9">
        <v>0</v>
      </c>
      <c r="F1987" s="9">
        <v>0</v>
      </c>
      <c r="G1987" s="9">
        <v>39.1</v>
      </c>
      <c r="H1987" s="9">
        <v>0.05</v>
      </c>
      <c r="I1987" s="9">
        <v>0.12</v>
      </c>
      <c r="J1987" s="7" t="s">
        <v>325</v>
      </c>
    </row>
    <row r="1988" spans="1:10" x14ac:dyDescent="0.35">
      <c r="A1988" s="7" t="s">
        <v>20</v>
      </c>
      <c r="B1988" s="7" t="s">
        <v>173</v>
      </c>
      <c r="C1988" s="7" t="s">
        <v>126</v>
      </c>
      <c r="D1988" s="9">
        <v>0.01</v>
      </c>
      <c r="E1988" s="9">
        <v>0</v>
      </c>
      <c r="F1988" s="9">
        <v>0</v>
      </c>
      <c r="G1988" s="9">
        <v>2.1800000000000002</v>
      </c>
      <c r="H1988" s="9">
        <v>0.24</v>
      </c>
      <c r="I1988" s="9">
        <v>0.18</v>
      </c>
      <c r="J1988" s="7" t="s">
        <v>325</v>
      </c>
    </row>
    <row r="1989" spans="1:10" x14ac:dyDescent="0.35">
      <c r="A1989" s="7" t="s">
        <v>79</v>
      </c>
      <c r="B1989" s="7" t="s">
        <v>92</v>
      </c>
      <c r="C1989" s="7" t="s">
        <v>62</v>
      </c>
      <c r="D1989" s="9">
        <v>0</v>
      </c>
      <c r="E1989" s="9">
        <v>0.01</v>
      </c>
      <c r="F1989" s="9">
        <v>0</v>
      </c>
      <c r="G1989" s="9">
        <v>0.92</v>
      </c>
      <c r="H1989" s="9">
        <v>0.9</v>
      </c>
      <c r="I1989" s="9">
        <v>0.3</v>
      </c>
      <c r="J1989" s="7" t="s">
        <v>325</v>
      </c>
    </row>
    <row r="1990" spans="1:10" x14ac:dyDescent="0.35">
      <c r="A1990" s="7" t="s">
        <v>159</v>
      </c>
      <c r="B1990" s="7" t="s">
        <v>160</v>
      </c>
      <c r="C1990" s="7" t="s">
        <v>51</v>
      </c>
      <c r="D1990" s="9">
        <v>0</v>
      </c>
      <c r="E1990" s="9">
        <v>0</v>
      </c>
      <c r="F1990" s="9">
        <v>0</v>
      </c>
      <c r="G1990" s="9">
        <v>0</v>
      </c>
      <c r="H1990" s="9">
        <v>0.53</v>
      </c>
      <c r="I1990" s="9">
        <v>0.21</v>
      </c>
      <c r="J1990" s="7" t="s">
        <v>325</v>
      </c>
    </row>
    <row r="1991" spans="1:10" x14ac:dyDescent="0.35">
      <c r="A1991" s="7" t="s">
        <v>74</v>
      </c>
      <c r="B1991" s="7" t="s">
        <v>75</v>
      </c>
      <c r="C1991" s="7" t="s">
        <v>84</v>
      </c>
      <c r="D1991" s="9">
        <v>0.01</v>
      </c>
      <c r="E1991" s="9">
        <v>0</v>
      </c>
      <c r="F1991" s="9">
        <v>0</v>
      </c>
      <c r="G1991" s="9">
        <v>0.28999999999999998</v>
      </c>
      <c r="H1991" s="9">
        <v>0.4</v>
      </c>
      <c r="I1991" s="9">
        <v>0.05</v>
      </c>
      <c r="J1991" s="7" t="s">
        <v>325</v>
      </c>
    </row>
    <row r="1992" spans="1:10" x14ac:dyDescent="0.35">
      <c r="A1992" s="7" t="s">
        <v>40</v>
      </c>
      <c r="B1992" s="7" t="s">
        <v>194</v>
      </c>
      <c r="C1992" s="7" t="s">
        <v>33</v>
      </c>
      <c r="D1992" s="9">
        <v>0</v>
      </c>
      <c r="E1992" s="9">
        <v>0</v>
      </c>
      <c r="F1992" s="9">
        <v>0</v>
      </c>
      <c r="G1992" s="9">
        <v>0.19</v>
      </c>
      <c r="H1992" s="9">
        <v>1.57</v>
      </c>
      <c r="I1992" s="9">
        <v>0.17</v>
      </c>
      <c r="J1992" s="7" t="s">
        <v>325</v>
      </c>
    </row>
    <row r="1993" spans="1:10" x14ac:dyDescent="0.35">
      <c r="A1993" s="7" t="s">
        <v>31</v>
      </c>
      <c r="B1993" s="7" t="s">
        <v>141</v>
      </c>
      <c r="C1993" s="7" t="s">
        <v>174</v>
      </c>
      <c r="D1993" s="9">
        <v>0</v>
      </c>
      <c r="E1993" s="9">
        <v>0</v>
      </c>
      <c r="F1993" s="9">
        <v>0</v>
      </c>
      <c r="G1993" s="9">
        <v>0.1</v>
      </c>
      <c r="H1993" s="9">
        <v>0.1</v>
      </c>
      <c r="I1993" s="9">
        <v>0.05</v>
      </c>
      <c r="J1993" s="7" t="s">
        <v>325</v>
      </c>
    </row>
    <row r="1994" spans="1:10" x14ac:dyDescent="0.35">
      <c r="A1994" s="7" t="s">
        <v>23</v>
      </c>
      <c r="B1994" s="7" t="s">
        <v>124</v>
      </c>
      <c r="C1994" s="7" t="s">
        <v>170</v>
      </c>
      <c r="D1994" s="9">
        <v>0</v>
      </c>
      <c r="E1994" s="9">
        <v>0</v>
      </c>
      <c r="F1994" s="9">
        <v>0</v>
      </c>
      <c r="G1994" s="9">
        <v>0</v>
      </c>
      <c r="H1994" s="9">
        <v>0</v>
      </c>
      <c r="I1994" s="9">
        <v>2.7</v>
      </c>
      <c r="J1994" s="7" t="s">
        <v>325</v>
      </c>
    </row>
    <row r="1995" spans="1:10" x14ac:dyDescent="0.35">
      <c r="A1995" s="7" t="s">
        <v>35</v>
      </c>
      <c r="B1995" s="7" t="s">
        <v>38</v>
      </c>
      <c r="C1995" s="7" t="s">
        <v>150</v>
      </c>
      <c r="D1995" s="9">
        <v>0</v>
      </c>
      <c r="E1995" s="9">
        <v>0.01</v>
      </c>
      <c r="F1995" s="9">
        <v>0</v>
      </c>
      <c r="G1995" s="9">
        <v>0.01</v>
      </c>
      <c r="H1995" s="9">
        <v>0.5</v>
      </c>
      <c r="I1995" s="9">
        <v>0.05</v>
      </c>
      <c r="J1995" s="7" t="s">
        <v>325</v>
      </c>
    </row>
    <row r="1996" spans="1:10" x14ac:dyDescent="0.35">
      <c r="A1996" s="7" t="s">
        <v>20</v>
      </c>
      <c r="B1996" s="7" t="s">
        <v>68</v>
      </c>
      <c r="C1996" s="7" t="s">
        <v>118</v>
      </c>
      <c r="D1996" s="9">
        <v>0</v>
      </c>
      <c r="E1996" s="9">
        <v>0</v>
      </c>
      <c r="F1996" s="9">
        <v>0</v>
      </c>
      <c r="G1996" s="9">
        <v>0.23</v>
      </c>
      <c r="H1996" s="9">
        <v>0.16</v>
      </c>
      <c r="I1996" s="9">
        <v>0.17</v>
      </c>
      <c r="J1996" s="7" t="s">
        <v>325</v>
      </c>
    </row>
    <row r="1997" spans="1:10" x14ac:dyDescent="0.35">
      <c r="A1997" s="7" t="s">
        <v>40</v>
      </c>
      <c r="B1997" s="7" t="s">
        <v>117</v>
      </c>
      <c r="C1997" s="7" t="s">
        <v>181</v>
      </c>
      <c r="D1997" s="9">
        <v>0.02</v>
      </c>
      <c r="E1997" s="9">
        <v>0</v>
      </c>
      <c r="F1997" s="9">
        <v>0</v>
      </c>
      <c r="G1997" s="9">
        <v>1.41</v>
      </c>
      <c r="H1997" s="9">
        <v>0.01</v>
      </c>
      <c r="I1997" s="9">
        <v>0.2</v>
      </c>
      <c r="J1997" s="7" t="s">
        <v>325</v>
      </c>
    </row>
    <row r="1998" spans="1:10" x14ac:dyDescent="0.35">
      <c r="A1998" s="7" t="s">
        <v>31</v>
      </c>
      <c r="B1998" s="7" t="s">
        <v>215</v>
      </c>
      <c r="C1998" s="7" t="s">
        <v>51</v>
      </c>
      <c r="D1998" s="9">
        <v>0</v>
      </c>
      <c r="E1998" s="9">
        <v>0</v>
      </c>
      <c r="F1998" s="9">
        <v>0</v>
      </c>
      <c r="G1998" s="9">
        <v>0.28999999999999998</v>
      </c>
      <c r="H1998" s="9">
        <v>0.13</v>
      </c>
      <c r="I1998" s="9">
        <v>0.18</v>
      </c>
      <c r="J1998" s="7" t="s">
        <v>325</v>
      </c>
    </row>
    <row r="1999" spans="1:10" x14ac:dyDescent="0.35">
      <c r="A1999" s="7" t="s">
        <v>77</v>
      </c>
      <c r="B1999" s="7" t="s">
        <v>214</v>
      </c>
      <c r="C1999" s="7" t="s">
        <v>65</v>
      </c>
      <c r="D1999" s="9">
        <v>0</v>
      </c>
      <c r="E1999" s="9">
        <v>0</v>
      </c>
      <c r="F1999" s="9">
        <v>0</v>
      </c>
      <c r="G1999" s="9">
        <v>0</v>
      </c>
      <c r="H1999" s="9">
        <v>0</v>
      </c>
      <c r="I1999" s="9">
        <v>0.22</v>
      </c>
      <c r="J1999" s="7" t="s">
        <v>325</v>
      </c>
    </row>
    <row r="2000" spans="1:10" x14ac:dyDescent="0.35">
      <c r="A2000" s="7" t="s">
        <v>31</v>
      </c>
      <c r="B2000" s="7" t="s">
        <v>101</v>
      </c>
      <c r="C2000" s="7" t="s">
        <v>122</v>
      </c>
      <c r="D2000" s="9">
        <v>0</v>
      </c>
      <c r="E2000" s="9">
        <v>0</v>
      </c>
      <c r="F2000" s="9">
        <v>0</v>
      </c>
      <c r="G2000" s="9">
        <v>0</v>
      </c>
      <c r="H2000" s="9">
        <v>1.18</v>
      </c>
      <c r="I2000" s="9">
        <v>0.2</v>
      </c>
      <c r="J2000" s="7" t="s">
        <v>325</v>
      </c>
    </row>
    <row r="2001" spans="1:10" x14ac:dyDescent="0.35">
      <c r="A2001" s="7" t="s">
        <v>57</v>
      </c>
      <c r="B2001" s="7" t="s">
        <v>161</v>
      </c>
      <c r="C2001" s="7" t="s">
        <v>181</v>
      </c>
      <c r="D2001" s="9">
        <v>0</v>
      </c>
      <c r="E2001" s="9">
        <v>0</v>
      </c>
      <c r="F2001" s="9">
        <v>0</v>
      </c>
      <c r="G2001" s="9">
        <v>0.03</v>
      </c>
      <c r="H2001" s="9">
        <v>0.05</v>
      </c>
      <c r="I2001" s="9">
        <v>0.05</v>
      </c>
      <c r="J2001" s="7" t="s">
        <v>325</v>
      </c>
    </row>
    <row r="2002" spans="1:10" x14ac:dyDescent="0.35">
      <c r="A2002" s="7" t="s">
        <v>77</v>
      </c>
      <c r="B2002" s="7" t="s">
        <v>132</v>
      </c>
      <c r="C2002" s="7" t="s">
        <v>116</v>
      </c>
      <c r="D2002" s="9">
        <v>0.09</v>
      </c>
      <c r="E2002" s="9">
        <v>0.05</v>
      </c>
      <c r="F2002" s="9">
        <v>0</v>
      </c>
      <c r="G2002" s="9">
        <v>1.33</v>
      </c>
      <c r="H2002" s="9">
        <v>1.4</v>
      </c>
      <c r="I2002" s="9">
        <v>0.01</v>
      </c>
      <c r="J2002" s="7" t="s">
        <v>325</v>
      </c>
    </row>
    <row r="2003" spans="1:10" x14ac:dyDescent="0.35">
      <c r="A2003" s="7" t="s">
        <v>16</v>
      </c>
      <c r="B2003" s="7" t="s">
        <v>140</v>
      </c>
      <c r="C2003" s="7" t="s">
        <v>54</v>
      </c>
      <c r="D2003" s="9">
        <v>0.08</v>
      </c>
      <c r="E2003" s="9">
        <v>0.28999999999999998</v>
      </c>
      <c r="F2003" s="9">
        <v>0</v>
      </c>
      <c r="G2003" s="9">
        <v>6.69</v>
      </c>
      <c r="H2003" s="9">
        <v>61.71</v>
      </c>
      <c r="I2003" s="9">
        <v>0.08</v>
      </c>
      <c r="J2003" s="7" t="s">
        <v>325</v>
      </c>
    </row>
    <row r="2004" spans="1:10" x14ac:dyDescent="0.35">
      <c r="A2004" s="7" t="s">
        <v>20</v>
      </c>
      <c r="B2004" s="7" t="s">
        <v>134</v>
      </c>
      <c r="C2004" s="7" t="s">
        <v>27</v>
      </c>
      <c r="D2004" s="9">
        <v>0</v>
      </c>
      <c r="E2004" s="9">
        <v>0</v>
      </c>
      <c r="F2004" s="9">
        <v>0</v>
      </c>
      <c r="G2004" s="9">
        <v>0</v>
      </c>
      <c r="H2004" s="9">
        <v>0</v>
      </c>
      <c r="I2004" s="9">
        <v>0.38</v>
      </c>
      <c r="J2004" s="7" t="s">
        <v>325</v>
      </c>
    </row>
    <row r="2005" spans="1:10" x14ac:dyDescent="0.35">
      <c r="A2005" s="7" t="s">
        <v>40</v>
      </c>
      <c r="B2005" s="7" t="s">
        <v>41</v>
      </c>
      <c r="C2005" s="7" t="s">
        <v>113</v>
      </c>
      <c r="D2005" s="9">
        <v>0</v>
      </c>
      <c r="E2005" s="9">
        <v>0</v>
      </c>
      <c r="F2005" s="9">
        <v>0</v>
      </c>
      <c r="G2005" s="9">
        <v>0</v>
      </c>
      <c r="H2005" s="9">
        <v>0.02</v>
      </c>
      <c r="I2005" s="9">
        <v>0.2</v>
      </c>
      <c r="J2005" s="7" t="s">
        <v>325</v>
      </c>
    </row>
    <row r="2006" spans="1:10" x14ac:dyDescent="0.35">
      <c r="A2006" s="7" t="s">
        <v>31</v>
      </c>
      <c r="B2006" s="7" t="s">
        <v>141</v>
      </c>
      <c r="C2006" s="7" t="s">
        <v>126</v>
      </c>
      <c r="D2006" s="9">
        <v>0.04</v>
      </c>
      <c r="E2006" s="9">
        <v>0.03</v>
      </c>
      <c r="F2006" s="9">
        <v>0</v>
      </c>
      <c r="G2006" s="9">
        <v>152.55000000000001</v>
      </c>
      <c r="H2006" s="9">
        <v>82.88</v>
      </c>
      <c r="I2006" s="9">
        <v>0.3</v>
      </c>
      <c r="J2006" s="7" t="s">
        <v>325</v>
      </c>
    </row>
    <row r="2007" spans="1:10" x14ac:dyDescent="0.35">
      <c r="A2007" s="7" t="s">
        <v>31</v>
      </c>
      <c r="B2007" s="7" t="s">
        <v>215</v>
      </c>
      <c r="C2007" s="7" t="s">
        <v>170</v>
      </c>
      <c r="D2007" s="9">
        <v>0.01</v>
      </c>
      <c r="E2007" s="9">
        <v>0</v>
      </c>
      <c r="F2007" s="9">
        <v>0</v>
      </c>
      <c r="G2007" s="9">
        <v>13.54</v>
      </c>
      <c r="H2007" s="9">
        <v>1.47</v>
      </c>
      <c r="I2007" s="9">
        <v>0.18</v>
      </c>
      <c r="J2007" s="7" t="s">
        <v>325</v>
      </c>
    </row>
    <row r="2008" spans="1:10" x14ac:dyDescent="0.35">
      <c r="A2008" s="7" t="s">
        <v>16</v>
      </c>
      <c r="B2008" s="7" t="s">
        <v>109</v>
      </c>
      <c r="C2008" s="7" t="s">
        <v>179</v>
      </c>
      <c r="D2008" s="9">
        <v>0.01</v>
      </c>
      <c r="E2008" s="9">
        <v>0.01</v>
      </c>
      <c r="F2008" s="9">
        <v>0</v>
      </c>
      <c r="G2008" s="9">
        <v>0.85</v>
      </c>
      <c r="H2008" s="9">
        <v>0.53</v>
      </c>
      <c r="I2008" s="9">
        <v>0.02</v>
      </c>
      <c r="J2008" s="7" t="s">
        <v>325</v>
      </c>
    </row>
    <row r="2009" spans="1:10" x14ac:dyDescent="0.35">
      <c r="A2009" s="7" t="s">
        <v>49</v>
      </c>
      <c r="B2009" s="7" t="s">
        <v>237</v>
      </c>
      <c r="C2009" s="7" t="s">
        <v>42</v>
      </c>
      <c r="D2009" s="9">
        <v>0.05</v>
      </c>
      <c r="E2009" s="9">
        <v>0</v>
      </c>
      <c r="F2009" s="9">
        <v>0</v>
      </c>
      <c r="G2009" s="9">
        <v>116.31</v>
      </c>
      <c r="H2009" s="9">
        <v>4.75</v>
      </c>
      <c r="I2009" s="9">
        <v>0.5</v>
      </c>
      <c r="J2009" s="7" t="s">
        <v>325</v>
      </c>
    </row>
    <row r="2010" spans="1:10" x14ac:dyDescent="0.35">
      <c r="A2010" s="7" t="s">
        <v>66</v>
      </c>
      <c r="B2010" s="7" t="s">
        <v>208</v>
      </c>
      <c r="C2010" s="7" t="s">
        <v>84</v>
      </c>
      <c r="D2010" s="9">
        <v>0</v>
      </c>
      <c r="E2010" s="9">
        <v>0</v>
      </c>
      <c r="F2010" s="9">
        <v>0</v>
      </c>
      <c r="G2010" s="9">
        <v>0.21</v>
      </c>
      <c r="H2010" s="9">
        <v>0</v>
      </c>
      <c r="I2010" s="9">
        <v>0.1</v>
      </c>
      <c r="J2010" s="7" t="s">
        <v>325</v>
      </c>
    </row>
    <row r="2011" spans="1:10" x14ac:dyDescent="0.35">
      <c r="A2011" s="7" t="s">
        <v>20</v>
      </c>
      <c r="B2011" s="7" t="s">
        <v>265</v>
      </c>
      <c r="C2011" s="7" t="s">
        <v>102</v>
      </c>
      <c r="D2011" s="9">
        <v>0</v>
      </c>
      <c r="E2011" s="9">
        <v>0</v>
      </c>
      <c r="F2011" s="9">
        <v>0</v>
      </c>
      <c r="G2011" s="9">
        <v>0</v>
      </c>
      <c r="H2011" s="9">
        <v>1.89</v>
      </c>
      <c r="I2011" s="9">
        <v>0.15</v>
      </c>
      <c r="J2011" s="7" t="s">
        <v>325</v>
      </c>
    </row>
    <row r="2012" spans="1:10" x14ac:dyDescent="0.35">
      <c r="A2012" s="7" t="s">
        <v>231</v>
      </c>
      <c r="B2012" s="7" t="s">
        <v>232</v>
      </c>
      <c r="C2012" s="7" t="s">
        <v>126</v>
      </c>
      <c r="D2012" s="9">
        <v>0</v>
      </c>
      <c r="E2012" s="9">
        <v>0</v>
      </c>
      <c r="F2012" s="9">
        <v>0</v>
      </c>
      <c r="G2012" s="9">
        <v>0.02</v>
      </c>
      <c r="H2012" s="9">
        <v>0.03</v>
      </c>
      <c r="I2012" s="9">
        <v>0.5</v>
      </c>
      <c r="J2012" s="7" t="s">
        <v>325</v>
      </c>
    </row>
    <row r="2013" spans="1:10" ht="26.25" customHeight="1" x14ac:dyDescent="0.35">
      <c r="A2013" s="7" t="s">
        <v>16</v>
      </c>
      <c r="B2013" s="7" t="s">
        <v>17</v>
      </c>
      <c r="C2013" s="7" t="s">
        <v>81</v>
      </c>
      <c r="D2013" s="9">
        <v>0</v>
      </c>
      <c r="E2013" s="9">
        <v>0</v>
      </c>
      <c r="F2013" s="9">
        <v>0</v>
      </c>
      <c r="G2013" s="9">
        <v>1.54</v>
      </c>
      <c r="H2013" s="9">
        <v>0.85</v>
      </c>
      <c r="I2013" s="9">
        <v>0.18</v>
      </c>
      <c r="J2013" s="7" t="s">
        <v>325</v>
      </c>
    </row>
    <row r="2014" spans="1:10" x14ac:dyDescent="0.35">
      <c r="A2014" s="7" t="s">
        <v>23</v>
      </c>
      <c r="B2014" s="7" t="s">
        <v>120</v>
      </c>
      <c r="C2014" s="7" t="s">
        <v>144</v>
      </c>
      <c r="D2014" s="9">
        <v>0</v>
      </c>
      <c r="E2014" s="9">
        <v>0</v>
      </c>
      <c r="F2014" s="9">
        <v>0</v>
      </c>
      <c r="G2014" s="9">
        <v>0</v>
      </c>
      <c r="H2014" s="9">
        <v>0</v>
      </c>
      <c r="I2014" s="9">
        <v>0.1</v>
      </c>
      <c r="J2014" s="7" t="s">
        <v>325</v>
      </c>
    </row>
    <row r="2015" spans="1:10" x14ac:dyDescent="0.35">
      <c r="A2015" s="7" t="s">
        <v>79</v>
      </c>
      <c r="B2015" s="7" t="s">
        <v>92</v>
      </c>
      <c r="C2015" s="7" t="s">
        <v>126</v>
      </c>
      <c r="D2015" s="9">
        <v>0</v>
      </c>
      <c r="E2015" s="9">
        <v>0</v>
      </c>
      <c r="F2015" s="9">
        <v>0</v>
      </c>
      <c r="G2015" s="9">
        <v>1.89</v>
      </c>
      <c r="H2015" s="9">
        <v>0.45</v>
      </c>
      <c r="I2015" s="9">
        <v>0.06</v>
      </c>
      <c r="J2015" s="7" t="s">
        <v>325</v>
      </c>
    </row>
    <row r="2016" spans="1:10" x14ac:dyDescent="0.35">
      <c r="A2016" s="7" t="s">
        <v>23</v>
      </c>
      <c r="B2016" s="7" t="s">
        <v>44</v>
      </c>
      <c r="C2016" s="7" t="s">
        <v>84</v>
      </c>
      <c r="D2016" s="9">
        <v>0.03</v>
      </c>
      <c r="E2016" s="9">
        <v>0</v>
      </c>
      <c r="F2016" s="9">
        <v>0</v>
      </c>
      <c r="G2016" s="9">
        <v>4.3899999999999997</v>
      </c>
      <c r="H2016" s="9">
        <v>0.06</v>
      </c>
      <c r="I2016" s="9">
        <v>0.02</v>
      </c>
      <c r="J2016" s="7" t="s">
        <v>325</v>
      </c>
    </row>
    <row r="2017" spans="1:10" x14ac:dyDescent="0.35">
      <c r="A2017" s="7" t="s">
        <v>77</v>
      </c>
      <c r="B2017" s="7" t="s">
        <v>168</v>
      </c>
      <c r="C2017" s="7" t="s">
        <v>72</v>
      </c>
      <c r="D2017" s="9">
        <v>0.01</v>
      </c>
      <c r="E2017" s="9">
        <v>0.02</v>
      </c>
      <c r="F2017" s="9">
        <v>0</v>
      </c>
      <c r="G2017" s="9">
        <v>2.3199999999999998</v>
      </c>
      <c r="H2017" s="9">
        <v>1.0900000000000001</v>
      </c>
      <c r="I2017" s="9">
        <v>0.1</v>
      </c>
      <c r="J2017" s="7" t="s">
        <v>325</v>
      </c>
    </row>
    <row r="2018" spans="1:10" x14ac:dyDescent="0.35">
      <c r="A2018" s="7" t="s">
        <v>74</v>
      </c>
      <c r="B2018" s="7" t="s">
        <v>137</v>
      </c>
      <c r="C2018" s="7" t="s">
        <v>126</v>
      </c>
      <c r="D2018" s="9">
        <v>0</v>
      </c>
      <c r="E2018" s="9">
        <v>0</v>
      </c>
      <c r="F2018" s="9">
        <v>0</v>
      </c>
      <c r="G2018" s="9">
        <v>0.79</v>
      </c>
      <c r="H2018" s="9">
        <v>0.17</v>
      </c>
      <c r="I2018" s="9">
        <v>0.15</v>
      </c>
      <c r="J2018" s="7" t="s">
        <v>325</v>
      </c>
    </row>
    <row r="2019" spans="1:10" x14ac:dyDescent="0.35">
      <c r="A2019" s="7" t="s">
        <v>79</v>
      </c>
      <c r="B2019" s="7" t="s">
        <v>80</v>
      </c>
      <c r="C2019" s="7" t="s">
        <v>122</v>
      </c>
      <c r="D2019" s="9">
        <v>0.03</v>
      </c>
      <c r="E2019" s="9">
        <v>0.01</v>
      </c>
      <c r="F2019" s="9">
        <v>0</v>
      </c>
      <c r="G2019" s="9">
        <v>6.2</v>
      </c>
      <c r="H2019" s="9">
        <v>0.32</v>
      </c>
      <c r="I2019" s="9">
        <v>0.03</v>
      </c>
      <c r="J2019" s="7" t="s">
        <v>325</v>
      </c>
    </row>
    <row r="2020" spans="1:10" x14ac:dyDescent="0.35">
      <c r="A2020" s="7" t="s">
        <v>16</v>
      </c>
      <c r="B2020" s="7" t="s">
        <v>135</v>
      </c>
      <c r="C2020" s="7" t="s">
        <v>62</v>
      </c>
      <c r="D2020" s="9">
        <v>0</v>
      </c>
      <c r="E2020" s="9">
        <v>0</v>
      </c>
      <c r="F2020" s="9">
        <v>0</v>
      </c>
      <c r="G2020" s="9">
        <v>0</v>
      </c>
      <c r="H2020" s="9">
        <v>0</v>
      </c>
      <c r="I2020" s="9">
        <v>0.13</v>
      </c>
      <c r="J2020" s="7" t="s">
        <v>325</v>
      </c>
    </row>
    <row r="2021" spans="1:10" x14ac:dyDescent="0.35">
      <c r="A2021" s="7" t="s">
        <v>49</v>
      </c>
      <c r="B2021" s="7" t="s">
        <v>176</v>
      </c>
      <c r="C2021" s="7" t="s">
        <v>51</v>
      </c>
      <c r="D2021" s="9">
        <v>0</v>
      </c>
      <c r="E2021" s="9">
        <v>0.01</v>
      </c>
      <c r="F2021" s="9">
        <v>0</v>
      </c>
      <c r="G2021" s="9">
        <v>2.84</v>
      </c>
      <c r="H2021" s="9">
        <v>5.49</v>
      </c>
      <c r="I2021" s="9">
        <v>0.1</v>
      </c>
      <c r="J2021" s="7" t="s">
        <v>325</v>
      </c>
    </row>
    <row r="2022" spans="1:10" x14ac:dyDescent="0.35">
      <c r="A2022" s="7" t="s">
        <v>40</v>
      </c>
      <c r="B2022" s="7" t="s">
        <v>194</v>
      </c>
      <c r="C2022" s="7" t="s">
        <v>59</v>
      </c>
      <c r="D2022" s="9">
        <v>0</v>
      </c>
      <c r="E2022" s="9">
        <v>0</v>
      </c>
      <c r="F2022" s="9">
        <v>0</v>
      </c>
      <c r="G2022" s="9">
        <v>0.36</v>
      </c>
      <c r="H2022" s="9">
        <v>0.13</v>
      </c>
      <c r="I2022" s="9">
        <v>0.04</v>
      </c>
      <c r="J2022" s="7" t="s">
        <v>325</v>
      </c>
    </row>
    <row r="2023" spans="1:10" x14ac:dyDescent="0.35">
      <c r="A2023" s="7" t="s">
        <v>57</v>
      </c>
      <c r="B2023" s="7" t="s">
        <v>197</v>
      </c>
      <c r="C2023" s="7" t="s">
        <v>53</v>
      </c>
      <c r="D2023" s="9">
        <v>0</v>
      </c>
      <c r="E2023" s="9">
        <v>0.01</v>
      </c>
      <c r="F2023" s="9">
        <v>0</v>
      </c>
      <c r="G2023" s="9">
        <v>0.06</v>
      </c>
      <c r="H2023" s="9">
        <v>0.71</v>
      </c>
      <c r="I2023" s="9">
        <v>0.2</v>
      </c>
      <c r="J2023" s="7" t="s">
        <v>325</v>
      </c>
    </row>
    <row r="2024" spans="1:10" x14ac:dyDescent="0.35">
      <c r="A2024" s="7" t="s">
        <v>23</v>
      </c>
      <c r="B2024" s="7" t="s">
        <v>123</v>
      </c>
      <c r="C2024" s="7" t="s">
        <v>170</v>
      </c>
      <c r="D2024" s="9">
        <v>2.76</v>
      </c>
      <c r="E2024" s="9">
        <v>0</v>
      </c>
      <c r="F2024" s="9">
        <v>0</v>
      </c>
      <c r="G2024" s="9">
        <v>539.03</v>
      </c>
      <c r="H2024" s="9">
        <v>0</v>
      </c>
      <c r="I2024" s="9">
        <v>0.01</v>
      </c>
      <c r="J2024" s="7" t="s">
        <v>325</v>
      </c>
    </row>
    <row r="2025" spans="1:10" x14ac:dyDescent="0.35">
      <c r="A2025" s="7" t="s">
        <v>231</v>
      </c>
      <c r="B2025" s="7" t="s">
        <v>232</v>
      </c>
      <c r="C2025" s="7" t="s">
        <v>84</v>
      </c>
      <c r="D2025" s="9">
        <v>0</v>
      </c>
      <c r="E2025" s="9">
        <v>0</v>
      </c>
      <c r="F2025" s="9">
        <v>0</v>
      </c>
      <c r="G2025" s="9">
        <v>7.0000000000000007E-2</v>
      </c>
      <c r="H2025" s="9">
        <v>0.09</v>
      </c>
      <c r="I2025" s="9">
        <v>0.05</v>
      </c>
      <c r="J2025" s="7" t="s">
        <v>325</v>
      </c>
    </row>
    <row r="2026" spans="1:10" x14ac:dyDescent="0.35">
      <c r="A2026" s="7" t="s">
        <v>94</v>
      </c>
      <c r="B2026" s="7" t="s">
        <v>188</v>
      </c>
      <c r="C2026" s="7" t="s">
        <v>116</v>
      </c>
      <c r="D2026" s="9">
        <v>0</v>
      </c>
      <c r="E2026" s="9">
        <v>0</v>
      </c>
      <c r="F2026" s="9">
        <v>0</v>
      </c>
      <c r="G2026" s="9">
        <v>0</v>
      </c>
      <c r="H2026" s="9">
        <v>0</v>
      </c>
      <c r="I2026" s="9">
        <v>0.2</v>
      </c>
      <c r="J2026" s="7" t="s">
        <v>325</v>
      </c>
    </row>
    <row r="2027" spans="1:10" x14ac:dyDescent="0.35">
      <c r="A2027" s="7" t="s">
        <v>31</v>
      </c>
      <c r="B2027" s="7" t="s">
        <v>131</v>
      </c>
      <c r="C2027" s="7" t="s">
        <v>46</v>
      </c>
      <c r="D2027" s="9">
        <v>0.02</v>
      </c>
      <c r="E2027" s="9">
        <v>0</v>
      </c>
      <c r="F2027" s="9">
        <v>0</v>
      </c>
      <c r="G2027" s="9">
        <v>2.17</v>
      </c>
      <c r="H2027" s="9">
        <v>0.26</v>
      </c>
      <c r="I2027" s="9">
        <v>0.16</v>
      </c>
      <c r="J2027" s="7" t="s">
        <v>325</v>
      </c>
    </row>
    <row r="2028" spans="1:10" x14ac:dyDescent="0.35">
      <c r="A2028" s="7" t="s">
        <v>129</v>
      </c>
      <c r="B2028" s="7" t="s">
        <v>147</v>
      </c>
      <c r="C2028" s="7" t="s">
        <v>179</v>
      </c>
      <c r="D2028" s="9">
        <v>0.06</v>
      </c>
      <c r="E2028" s="9">
        <v>0</v>
      </c>
      <c r="F2028" s="9">
        <v>0</v>
      </c>
      <c r="G2028" s="9">
        <v>12.52</v>
      </c>
      <c r="H2028" s="9">
        <v>0</v>
      </c>
      <c r="I2028" s="9">
        <v>0.1</v>
      </c>
      <c r="J2028" s="7" t="s">
        <v>325</v>
      </c>
    </row>
    <row r="2029" spans="1:10" x14ac:dyDescent="0.35">
      <c r="A2029" s="7" t="s">
        <v>86</v>
      </c>
      <c r="B2029" s="7" t="s">
        <v>207</v>
      </c>
      <c r="C2029" s="7" t="s">
        <v>69</v>
      </c>
      <c r="D2029" s="9">
        <v>0</v>
      </c>
      <c r="E2029" s="9">
        <v>0</v>
      </c>
      <c r="F2029" s="9">
        <v>0</v>
      </c>
      <c r="G2029" s="9">
        <v>0</v>
      </c>
      <c r="H2029" s="9">
        <v>0</v>
      </c>
      <c r="I2029" s="9">
        <v>0.06</v>
      </c>
      <c r="J2029" s="7" t="s">
        <v>325</v>
      </c>
    </row>
    <row r="2030" spans="1:10" x14ac:dyDescent="0.35">
      <c r="A2030" s="7" t="s">
        <v>79</v>
      </c>
      <c r="B2030" s="7" t="s">
        <v>80</v>
      </c>
      <c r="C2030" s="7" t="s">
        <v>118</v>
      </c>
      <c r="D2030" s="9">
        <v>0.01</v>
      </c>
      <c r="E2030" s="9">
        <v>0</v>
      </c>
      <c r="F2030" s="9">
        <v>0</v>
      </c>
      <c r="G2030" s="9">
        <v>1.67</v>
      </c>
      <c r="H2030" s="9">
        <v>0.24</v>
      </c>
      <c r="I2030" s="9">
        <v>7.0000000000000007E-2</v>
      </c>
      <c r="J2030" s="7" t="s">
        <v>325</v>
      </c>
    </row>
    <row r="2031" spans="1:10" x14ac:dyDescent="0.35">
      <c r="A2031" s="7" t="s">
        <v>86</v>
      </c>
      <c r="B2031" s="7" t="s">
        <v>87</v>
      </c>
      <c r="C2031" s="7" t="s">
        <v>65</v>
      </c>
      <c r="D2031" s="9">
        <v>0.01</v>
      </c>
      <c r="E2031" s="9">
        <v>0</v>
      </c>
      <c r="F2031" s="9">
        <v>0</v>
      </c>
      <c r="G2031" s="9">
        <v>2.94</v>
      </c>
      <c r="H2031" s="9">
        <v>1.71</v>
      </c>
      <c r="I2031" s="9">
        <v>0.57999999999999996</v>
      </c>
      <c r="J2031" s="7" t="s">
        <v>325</v>
      </c>
    </row>
    <row r="2032" spans="1:10" x14ac:dyDescent="0.35">
      <c r="A2032" s="7" t="s">
        <v>94</v>
      </c>
      <c r="B2032" s="7" t="s">
        <v>112</v>
      </c>
      <c r="C2032" s="7" t="s">
        <v>76</v>
      </c>
      <c r="D2032" s="9">
        <v>0.01</v>
      </c>
      <c r="E2032" s="9">
        <v>0.03</v>
      </c>
      <c r="F2032" s="9">
        <v>0</v>
      </c>
      <c r="G2032" s="9">
        <v>38.69</v>
      </c>
      <c r="H2032" s="9">
        <v>63.96</v>
      </c>
      <c r="I2032" s="9">
        <v>0.61</v>
      </c>
      <c r="J2032" s="7" t="s">
        <v>325</v>
      </c>
    </row>
    <row r="2033" spans="1:10" x14ac:dyDescent="0.35">
      <c r="A2033" s="7" t="s">
        <v>77</v>
      </c>
      <c r="B2033" s="7" t="s">
        <v>78</v>
      </c>
      <c r="C2033" s="7" t="s">
        <v>62</v>
      </c>
      <c r="D2033" s="9">
        <v>0</v>
      </c>
      <c r="E2033" s="9">
        <v>0.05</v>
      </c>
      <c r="F2033" s="9">
        <v>0</v>
      </c>
      <c r="G2033" s="9">
        <v>2.77</v>
      </c>
      <c r="H2033" s="9">
        <v>153.47</v>
      </c>
      <c r="I2033" s="9">
        <v>0.28999999999999998</v>
      </c>
      <c r="J2033" s="7" t="s">
        <v>325</v>
      </c>
    </row>
    <row r="2034" spans="1:10" x14ac:dyDescent="0.35">
      <c r="A2034" s="7" t="s">
        <v>77</v>
      </c>
      <c r="B2034" s="7" t="s">
        <v>78</v>
      </c>
      <c r="C2034" s="7" t="s">
        <v>118</v>
      </c>
      <c r="D2034" s="9">
        <v>0.04</v>
      </c>
      <c r="E2034" s="9">
        <v>0.06</v>
      </c>
      <c r="F2034" s="9">
        <v>0</v>
      </c>
      <c r="G2034" s="9">
        <v>11.55</v>
      </c>
      <c r="H2034" s="9">
        <v>8.7799999999999994</v>
      </c>
      <c r="I2034" s="9">
        <v>0.01</v>
      </c>
      <c r="J2034" s="7" t="s">
        <v>325</v>
      </c>
    </row>
    <row r="2035" spans="1:10" x14ac:dyDescent="0.35">
      <c r="A2035" s="7" t="s">
        <v>40</v>
      </c>
      <c r="B2035" s="7" t="s">
        <v>194</v>
      </c>
      <c r="C2035" s="7" t="s">
        <v>55</v>
      </c>
      <c r="D2035" s="9">
        <v>0</v>
      </c>
      <c r="E2035" s="9">
        <v>0</v>
      </c>
      <c r="F2035" s="9">
        <v>0</v>
      </c>
      <c r="G2035" s="9">
        <v>3.42</v>
      </c>
      <c r="H2035" s="9">
        <v>3.88</v>
      </c>
      <c r="I2035" s="9">
        <v>0.1</v>
      </c>
      <c r="J2035" s="7" t="s">
        <v>325</v>
      </c>
    </row>
    <row r="2036" spans="1:10" x14ac:dyDescent="0.35">
      <c r="A2036" s="7" t="s">
        <v>20</v>
      </c>
      <c r="B2036" s="7" t="s">
        <v>68</v>
      </c>
      <c r="C2036" s="7" t="s">
        <v>116</v>
      </c>
      <c r="D2036" s="9">
        <v>0</v>
      </c>
      <c r="E2036" s="9">
        <v>0</v>
      </c>
      <c r="F2036" s="9">
        <v>0</v>
      </c>
      <c r="G2036" s="9">
        <v>0</v>
      </c>
      <c r="H2036" s="9">
        <v>0.1</v>
      </c>
      <c r="I2036" s="9">
        <v>0</v>
      </c>
      <c r="J2036" s="7" t="s">
        <v>325</v>
      </c>
    </row>
    <row r="2037" spans="1:10" x14ac:dyDescent="0.35">
      <c r="A2037" s="7" t="s">
        <v>79</v>
      </c>
      <c r="B2037" s="7" t="s">
        <v>92</v>
      </c>
      <c r="C2037" s="7" t="s">
        <v>144</v>
      </c>
      <c r="D2037" s="9">
        <v>0</v>
      </c>
      <c r="E2037" s="9">
        <v>0</v>
      </c>
      <c r="F2037" s="9">
        <v>0</v>
      </c>
      <c r="G2037" s="9">
        <v>0.65</v>
      </c>
      <c r="H2037" s="9">
        <v>0.14000000000000001</v>
      </c>
      <c r="I2037" s="9">
        <v>0.21</v>
      </c>
      <c r="J2037" s="7" t="s">
        <v>325</v>
      </c>
    </row>
    <row r="2038" spans="1:10" x14ac:dyDescent="0.35">
      <c r="A2038" s="7" t="s">
        <v>23</v>
      </c>
      <c r="B2038" s="7" t="s">
        <v>120</v>
      </c>
      <c r="C2038" s="7" t="s">
        <v>170</v>
      </c>
      <c r="D2038" s="9">
        <v>0</v>
      </c>
      <c r="E2038" s="9">
        <v>0</v>
      </c>
      <c r="F2038" s="9">
        <v>0</v>
      </c>
      <c r="G2038" s="9">
        <v>0</v>
      </c>
      <c r="H2038" s="9">
        <v>0.01</v>
      </c>
      <c r="I2038" s="9">
        <v>0.02</v>
      </c>
      <c r="J2038" s="7" t="s">
        <v>325</v>
      </c>
    </row>
    <row r="2039" spans="1:10" x14ac:dyDescent="0.35">
      <c r="A2039" s="7" t="s">
        <v>79</v>
      </c>
      <c r="B2039" s="7" t="s">
        <v>92</v>
      </c>
      <c r="C2039" s="7" t="s">
        <v>150</v>
      </c>
      <c r="D2039" s="9">
        <v>0</v>
      </c>
      <c r="E2039" s="9">
        <v>0.01</v>
      </c>
      <c r="F2039" s="9">
        <v>0</v>
      </c>
      <c r="G2039" s="9">
        <v>0.04</v>
      </c>
      <c r="H2039" s="9">
        <v>0.61</v>
      </c>
      <c r="I2039" s="9">
        <v>0.01</v>
      </c>
      <c r="J2039" s="7" t="s">
        <v>325</v>
      </c>
    </row>
    <row r="2040" spans="1:10" x14ac:dyDescent="0.35">
      <c r="A2040" s="7" t="s">
        <v>40</v>
      </c>
      <c r="B2040" s="7" t="s">
        <v>194</v>
      </c>
      <c r="C2040" s="7" t="s">
        <v>84</v>
      </c>
      <c r="D2040" s="9">
        <v>0</v>
      </c>
      <c r="E2040" s="9">
        <v>0</v>
      </c>
      <c r="F2040" s="9">
        <v>0</v>
      </c>
      <c r="G2040" s="9">
        <v>0</v>
      </c>
      <c r="H2040" s="9">
        <v>0.19</v>
      </c>
      <c r="I2040" s="9">
        <v>7.0000000000000007E-2</v>
      </c>
      <c r="J2040" s="7" t="s">
        <v>325</v>
      </c>
    </row>
    <row r="2041" spans="1:10" x14ac:dyDescent="0.35">
      <c r="A2041" s="7" t="s">
        <v>40</v>
      </c>
      <c r="B2041" s="7" t="s">
        <v>220</v>
      </c>
      <c r="C2041" s="7" t="s">
        <v>126</v>
      </c>
      <c r="D2041" s="9">
        <v>0</v>
      </c>
      <c r="E2041" s="9">
        <v>0</v>
      </c>
      <c r="F2041" s="9">
        <v>0</v>
      </c>
      <c r="G2041" s="9">
        <v>0.03</v>
      </c>
      <c r="H2041" s="9">
        <v>0.06</v>
      </c>
      <c r="I2041" s="9">
        <v>0.11</v>
      </c>
      <c r="J2041" s="7" t="s">
        <v>325</v>
      </c>
    </row>
    <row r="2042" spans="1:10" x14ac:dyDescent="0.35">
      <c r="A2042" s="7" t="s">
        <v>66</v>
      </c>
      <c r="B2042" s="7" t="s">
        <v>127</v>
      </c>
      <c r="C2042" s="7" t="s">
        <v>84</v>
      </c>
      <c r="D2042" s="9">
        <v>0.1</v>
      </c>
      <c r="E2042" s="9">
        <v>0</v>
      </c>
      <c r="F2042" s="9">
        <v>0</v>
      </c>
      <c r="G2042" s="9">
        <v>12.6</v>
      </c>
      <c r="H2042" s="9">
        <v>0.02</v>
      </c>
      <c r="I2042" s="9">
        <v>0.01</v>
      </c>
      <c r="J2042" s="7" t="s">
        <v>325</v>
      </c>
    </row>
    <row r="2043" spans="1:10" x14ac:dyDescent="0.35">
      <c r="A2043" s="7" t="s">
        <v>23</v>
      </c>
      <c r="B2043" s="7" t="s">
        <v>230</v>
      </c>
      <c r="C2043" s="7" t="s">
        <v>42</v>
      </c>
      <c r="D2043" s="9">
        <v>0</v>
      </c>
      <c r="E2043" s="9">
        <v>0</v>
      </c>
      <c r="F2043" s="9">
        <v>0</v>
      </c>
      <c r="G2043" s="9">
        <v>0.82</v>
      </c>
      <c r="H2043" s="9">
        <v>0</v>
      </c>
      <c r="I2043" s="9">
        <v>0.45</v>
      </c>
      <c r="J2043" s="7" t="s">
        <v>325</v>
      </c>
    </row>
    <row r="2044" spans="1:10" x14ac:dyDescent="0.35">
      <c r="A2044" s="7" t="s">
        <v>35</v>
      </c>
      <c r="B2044" s="7" t="s">
        <v>165</v>
      </c>
      <c r="C2044" s="7" t="s">
        <v>181</v>
      </c>
      <c r="D2044" s="9">
        <v>0</v>
      </c>
      <c r="E2044" s="9">
        <v>0</v>
      </c>
      <c r="F2044" s="9">
        <v>0</v>
      </c>
      <c r="G2044" s="9">
        <v>0</v>
      </c>
      <c r="H2044" s="9">
        <v>7.0000000000000007E-2</v>
      </c>
      <c r="I2044" s="9">
        <v>0.01</v>
      </c>
      <c r="J2044" s="7" t="s">
        <v>325</v>
      </c>
    </row>
    <row r="2045" spans="1:10" x14ac:dyDescent="0.35">
      <c r="A2045" s="7" t="s">
        <v>23</v>
      </c>
      <c r="B2045" s="7" t="s">
        <v>44</v>
      </c>
      <c r="C2045" s="7" t="s">
        <v>55</v>
      </c>
      <c r="D2045" s="9">
        <v>0</v>
      </c>
      <c r="E2045" s="9">
        <v>0</v>
      </c>
      <c r="F2045" s="9">
        <v>0</v>
      </c>
      <c r="G2045" s="9">
        <v>0</v>
      </c>
      <c r="H2045" s="9">
        <v>0</v>
      </c>
      <c r="I2045" s="9">
        <v>0.45</v>
      </c>
      <c r="J2045" s="7" t="s">
        <v>325</v>
      </c>
    </row>
    <row r="2046" spans="1:10" x14ac:dyDescent="0.35">
      <c r="A2046" s="7" t="s">
        <v>231</v>
      </c>
      <c r="B2046" s="7" t="s">
        <v>232</v>
      </c>
      <c r="C2046" s="7" t="s">
        <v>118</v>
      </c>
      <c r="D2046" s="9">
        <v>0</v>
      </c>
      <c r="E2046" s="9">
        <v>0</v>
      </c>
      <c r="F2046" s="9">
        <v>0</v>
      </c>
      <c r="G2046" s="9">
        <v>0.28999999999999998</v>
      </c>
      <c r="H2046" s="9">
        <v>0.11</v>
      </c>
      <c r="I2046" s="9">
        <v>0.16</v>
      </c>
      <c r="J2046" s="7" t="s">
        <v>325</v>
      </c>
    </row>
    <row r="2047" spans="1:10" x14ac:dyDescent="0.35">
      <c r="A2047" s="7" t="s">
        <v>40</v>
      </c>
      <c r="B2047" s="7" t="s">
        <v>164</v>
      </c>
      <c r="C2047" s="7" t="s">
        <v>27</v>
      </c>
      <c r="D2047" s="9">
        <v>0</v>
      </c>
      <c r="E2047" s="9">
        <v>0.01</v>
      </c>
      <c r="F2047" s="9">
        <v>0</v>
      </c>
      <c r="G2047" s="9">
        <v>0.28999999999999998</v>
      </c>
      <c r="H2047" s="9">
        <v>3.85</v>
      </c>
      <c r="I2047" s="9">
        <v>0.01</v>
      </c>
      <c r="J2047" s="7" t="s">
        <v>325</v>
      </c>
    </row>
    <row r="2048" spans="1:10" x14ac:dyDescent="0.35">
      <c r="A2048" s="7" t="s">
        <v>20</v>
      </c>
      <c r="B2048" s="7" t="s">
        <v>68</v>
      </c>
      <c r="C2048" s="7" t="s">
        <v>22</v>
      </c>
      <c r="D2048" s="9">
        <v>0.16</v>
      </c>
      <c r="E2048" s="9">
        <v>0.04</v>
      </c>
      <c r="F2048" s="9">
        <v>0</v>
      </c>
      <c r="G2048" s="9">
        <v>20.49</v>
      </c>
      <c r="H2048" s="9">
        <v>6.97</v>
      </c>
      <c r="I2048" s="9">
        <v>0.09</v>
      </c>
      <c r="J2048" s="7" t="s">
        <v>325</v>
      </c>
    </row>
    <row r="2049" spans="1:10" x14ac:dyDescent="0.35">
      <c r="A2049" s="7" t="s">
        <v>20</v>
      </c>
      <c r="B2049" s="7" t="s">
        <v>265</v>
      </c>
      <c r="C2049" s="7" t="s">
        <v>45</v>
      </c>
      <c r="D2049" s="9">
        <v>0</v>
      </c>
      <c r="E2049" s="9">
        <v>0</v>
      </c>
      <c r="F2049" s="9">
        <v>0</v>
      </c>
      <c r="G2049" s="9">
        <v>0</v>
      </c>
      <c r="H2049" s="9">
        <v>0.91</v>
      </c>
      <c r="I2049" s="9">
        <v>0.06</v>
      </c>
      <c r="J2049" s="7" t="s">
        <v>325</v>
      </c>
    </row>
    <row r="2050" spans="1:10" x14ac:dyDescent="0.35">
      <c r="A2050" s="7" t="s">
        <v>79</v>
      </c>
      <c r="B2050" s="7" t="s">
        <v>226</v>
      </c>
      <c r="C2050" s="7" t="s">
        <v>122</v>
      </c>
      <c r="D2050" s="9">
        <v>0</v>
      </c>
      <c r="E2050" s="9">
        <v>0.02</v>
      </c>
      <c r="F2050" s="9">
        <v>0</v>
      </c>
      <c r="G2050" s="9">
        <v>1.82</v>
      </c>
      <c r="H2050" s="9">
        <v>22.06</v>
      </c>
      <c r="I2050" s="9">
        <v>0.17</v>
      </c>
      <c r="J2050" s="7" t="s">
        <v>325</v>
      </c>
    </row>
    <row r="2051" spans="1:10" x14ac:dyDescent="0.35">
      <c r="A2051" s="7" t="s">
        <v>86</v>
      </c>
      <c r="B2051" s="7" t="s">
        <v>207</v>
      </c>
      <c r="C2051" s="7" t="s">
        <v>126</v>
      </c>
      <c r="D2051" s="9">
        <v>0.01</v>
      </c>
      <c r="E2051" s="9">
        <v>0</v>
      </c>
      <c r="F2051" s="9">
        <v>0</v>
      </c>
      <c r="G2051" s="9">
        <v>2.42</v>
      </c>
      <c r="H2051" s="9">
        <v>1.0900000000000001</v>
      </c>
      <c r="I2051" s="9">
        <v>0.16</v>
      </c>
      <c r="J2051" s="7" t="s">
        <v>325</v>
      </c>
    </row>
    <row r="2052" spans="1:10" x14ac:dyDescent="0.35">
      <c r="A2052" s="7" t="s">
        <v>231</v>
      </c>
      <c r="B2052" s="7" t="s">
        <v>236</v>
      </c>
      <c r="C2052" s="7" t="s">
        <v>42</v>
      </c>
      <c r="D2052" s="9">
        <v>0</v>
      </c>
      <c r="E2052" s="9">
        <v>0</v>
      </c>
      <c r="F2052" s="9">
        <v>0</v>
      </c>
      <c r="G2052" s="9">
        <v>0</v>
      </c>
      <c r="H2052" s="9">
        <v>1.48</v>
      </c>
      <c r="I2052" s="9">
        <v>0.06</v>
      </c>
      <c r="J2052" s="7" t="s">
        <v>325</v>
      </c>
    </row>
    <row r="2053" spans="1:10" x14ac:dyDescent="0.35">
      <c r="A2053" s="7" t="s">
        <v>77</v>
      </c>
      <c r="B2053" s="7" t="s">
        <v>214</v>
      </c>
      <c r="C2053" s="7" t="s">
        <v>45</v>
      </c>
      <c r="D2053" s="9">
        <v>0</v>
      </c>
      <c r="E2053" s="9">
        <v>0</v>
      </c>
      <c r="F2053" s="9">
        <v>0</v>
      </c>
      <c r="G2053" s="9">
        <v>0</v>
      </c>
      <c r="H2053" s="9">
        <v>0</v>
      </c>
      <c r="I2053" s="9">
        <v>0.06</v>
      </c>
      <c r="J2053" s="7" t="s">
        <v>325</v>
      </c>
    </row>
    <row r="2054" spans="1:10" x14ac:dyDescent="0.35">
      <c r="A2054" s="7" t="s">
        <v>77</v>
      </c>
      <c r="B2054" s="7" t="s">
        <v>214</v>
      </c>
      <c r="C2054" s="7" t="s">
        <v>27</v>
      </c>
      <c r="D2054" s="9">
        <v>0</v>
      </c>
      <c r="E2054" s="9">
        <v>0</v>
      </c>
      <c r="F2054" s="9">
        <v>0</v>
      </c>
      <c r="G2054" s="9">
        <v>0</v>
      </c>
      <c r="H2054" s="9">
        <v>0</v>
      </c>
      <c r="I2054" s="9">
        <v>0.14000000000000001</v>
      </c>
      <c r="J2054" s="7" t="s">
        <v>325</v>
      </c>
    </row>
    <row r="2055" spans="1:10" x14ac:dyDescent="0.35">
      <c r="A2055" s="7" t="s">
        <v>23</v>
      </c>
      <c r="B2055" s="7" t="s">
        <v>24</v>
      </c>
      <c r="C2055" s="7" t="s">
        <v>51</v>
      </c>
      <c r="D2055" s="9">
        <v>0</v>
      </c>
      <c r="E2055" s="9">
        <v>0</v>
      </c>
      <c r="F2055" s="9">
        <v>0</v>
      </c>
      <c r="G2055" s="9">
        <v>0</v>
      </c>
      <c r="H2055" s="9">
        <v>0.1</v>
      </c>
      <c r="I2055" s="9">
        <v>0.1</v>
      </c>
      <c r="J2055" s="7" t="s">
        <v>325</v>
      </c>
    </row>
    <row r="2056" spans="1:10" x14ac:dyDescent="0.35">
      <c r="A2056" s="7" t="s">
        <v>94</v>
      </c>
      <c r="B2056" s="7" t="s">
        <v>112</v>
      </c>
      <c r="C2056" s="7" t="s">
        <v>46</v>
      </c>
      <c r="D2056" s="9">
        <v>0</v>
      </c>
      <c r="E2056" s="9">
        <v>0.01</v>
      </c>
      <c r="F2056" s="9">
        <v>0</v>
      </c>
      <c r="G2056" s="9">
        <v>1.55</v>
      </c>
      <c r="H2056" s="9">
        <v>11.8</v>
      </c>
      <c r="I2056" s="9">
        <v>0.3</v>
      </c>
      <c r="J2056" s="7" t="s">
        <v>325</v>
      </c>
    </row>
    <row r="2057" spans="1:10" x14ac:dyDescent="0.35">
      <c r="A2057" s="7" t="s">
        <v>20</v>
      </c>
      <c r="B2057" s="7" t="s">
        <v>68</v>
      </c>
      <c r="C2057" s="7" t="s">
        <v>142</v>
      </c>
      <c r="D2057" s="9">
        <v>0.01</v>
      </c>
      <c r="E2057" s="9">
        <v>0</v>
      </c>
      <c r="F2057" s="9">
        <v>0</v>
      </c>
      <c r="G2057" s="9">
        <v>11.48</v>
      </c>
      <c r="H2057" s="9">
        <v>0</v>
      </c>
      <c r="I2057" s="9">
        <v>0.01</v>
      </c>
      <c r="J2057" s="7" t="s">
        <v>325</v>
      </c>
    </row>
    <row r="2058" spans="1:10" x14ac:dyDescent="0.35">
      <c r="A2058" s="7" t="s">
        <v>66</v>
      </c>
      <c r="B2058" s="7" t="s">
        <v>108</v>
      </c>
      <c r="C2058" s="7" t="s">
        <v>62</v>
      </c>
      <c r="D2058" s="9">
        <v>0</v>
      </c>
      <c r="E2058" s="9">
        <v>0</v>
      </c>
      <c r="F2058" s="9">
        <v>0</v>
      </c>
      <c r="G2058" s="9">
        <v>0</v>
      </c>
      <c r="H2058" s="9">
        <v>0</v>
      </c>
      <c r="I2058" s="9">
        <v>0.15</v>
      </c>
      <c r="J2058" s="7" t="s">
        <v>325</v>
      </c>
    </row>
    <row r="2059" spans="1:10" x14ac:dyDescent="0.35">
      <c r="A2059" s="7" t="s">
        <v>86</v>
      </c>
      <c r="B2059" s="7" t="s">
        <v>106</v>
      </c>
      <c r="C2059" s="7" t="s">
        <v>51</v>
      </c>
      <c r="D2059" s="9">
        <v>0</v>
      </c>
      <c r="E2059" s="9">
        <v>0</v>
      </c>
      <c r="F2059" s="9">
        <v>0</v>
      </c>
      <c r="G2059" s="9">
        <v>0.45</v>
      </c>
      <c r="H2059" s="9">
        <v>0</v>
      </c>
      <c r="I2059" s="9">
        <v>0.09</v>
      </c>
      <c r="J2059" s="7" t="s">
        <v>325</v>
      </c>
    </row>
    <row r="2060" spans="1:10" x14ac:dyDescent="0.35">
      <c r="A2060" s="7" t="s">
        <v>66</v>
      </c>
      <c r="B2060" s="7" t="s">
        <v>108</v>
      </c>
      <c r="C2060" s="7" t="s">
        <v>151</v>
      </c>
      <c r="D2060" s="9">
        <v>0</v>
      </c>
      <c r="E2060" s="9">
        <v>0</v>
      </c>
      <c r="F2060" s="9">
        <v>0</v>
      </c>
      <c r="G2060" s="9">
        <v>0</v>
      </c>
      <c r="H2060" s="9">
        <v>0</v>
      </c>
      <c r="I2060" s="9">
        <v>0.1</v>
      </c>
      <c r="J2060" s="7" t="s">
        <v>325</v>
      </c>
    </row>
    <row r="2061" spans="1:10" x14ac:dyDescent="0.35">
      <c r="A2061" s="7" t="s">
        <v>94</v>
      </c>
      <c r="B2061" s="7" t="s">
        <v>95</v>
      </c>
      <c r="C2061" s="7" t="s">
        <v>179</v>
      </c>
      <c r="D2061" s="9">
        <v>0</v>
      </c>
      <c r="E2061" s="9">
        <v>0.01</v>
      </c>
      <c r="F2061" s="9">
        <v>0</v>
      </c>
      <c r="G2061" s="9">
        <v>0.36</v>
      </c>
      <c r="H2061" s="9">
        <v>1.1000000000000001</v>
      </c>
      <c r="I2061" s="9">
        <v>7.0000000000000007E-2</v>
      </c>
      <c r="J2061" s="7" t="s">
        <v>325</v>
      </c>
    </row>
    <row r="2062" spans="1:10" x14ac:dyDescent="0.35">
      <c r="A2062" s="7" t="s">
        <v>23</v>
      </c>
      <c r="B2062" s="7" t="s">
        <v>191</v>
      </c>
      <c r="C2062" s="7" t="s">
        <v>170</v>
      </c>
      <c r="D2062" s="9">
        <v>0</v>
      </c>
      <c r="E2062" s="9">
        <v>0</v>
      </c>
      <c r="F2062" s="9">
        <v>0</v>
      </c>
      <c r="G2062" s="9">
        <v>0</v>
      </c>
      <c r="H2062" s="9">
        <v>0</v>
      </c>
      <c r="I2062" s="9">
        <v>0.06</v>
      </c>
      <c r="J2062" s="7" t="s">
        <v>325</v>
      </c>
    </row>
    <row r="2063" spans="1:10" x14ac:dyDescent="0.35">
      <c r="A2063" s="7" t="s">
        <v>231</v>
      </c>
      <c r="B2063" s="7" t="s">
        <v>236</v>
      </c>
      <c r="C2063" s="7" t="s">
        <v>76</v>
      </c>
      <c r="D2063" s="9">
        <v>0</v>
      </c>
      <c r="E2063" s="9">
        <v>0</v>
      </c>
      <c r="F2063" s="9">
        <v>0</v>
      </c>
      <c r="G2063" s="9">
        <v>0</v>
      </c>
      <c r="H2063" s="9">
        <v>1.62</v>
      </c>
      <c r="I2063" s="9">
        <v>0.38</v>
      </c>
      <c r="J2063" s="7" t="s">
        <v>325</v>
      </c>
    </row>
    <row r="2064" spans="1:10" x14ac:dyDescent="0.35">
      <c r="A2064" s="7" t="s">
        <v>231</v>
      </c>
      <c r="B2064" s="7" t="s">
        <v>232</v>
      </c>
      <c r="C2064" s="7" t="s">
        <v>76</v>
      </c>
      <c r="D2064" s="9">
        <v>0</v>
      </c>
      <c r="E2064" s="9">
        <v>0.01</v>
      </c>
      <c r="F2064" s="9">
        <v>0</v>
      </c>
      <c r="G2064" s="9">
        <v>0</v>
      </c>
      <c r="H2064" s="9">
        <v>26.72</v>
      </c>
      <c r="I2064" s="9">
        <v>0.3</v>
      </c>
      <c r="J2064" s="7" t="s">
        <v>325</v>
      </c>
    </row>
    <row r="2065" spans="1:10" x14ac:dyDescent="0.35">
      <c r="A2065" s="7" t="s">
        <v>31</v>
      </c>
      <c r="B2065" s="7" t="s">
        <v>131</v>
      </c>
      <c r="C2065" s="7" t="s">
        <v>174</v>
      </c>
      <c r="D2065" s="9">
        <v>0</v>
      </c>
      <c r="E2065" s="9">
        <v>0</v>
      </c>
      <c r="F2065" s="9">
        <v>0</v>
      </c>
      <c r="G2065" s="9">
        <v>0.01</v>
      </c>
      <c r="H2065" s="9">
        <v>0</v>
      </c>
      <c r="I2065" s="9">
        <v>0</v>
      </c>
      <c r="J2065" s="7" t="s">
        <v>325</v>
      </c>
    </row>
    <row r="2066" spans="1:10" x14ac:dyDescent="0.35">
      <c r="A2066" s="7" t="s">
        <v>40</v>
      </c>
      <c r="B2066" s="7" t="s">
        <v>107</v>
      </c>
      <c r="C2066" s="7" t="s">
        <v>150</v>
      </c>
      <c r="D2066" s="9">
        <v>0</v>
      </c>
      <c r="E2066" s="9">
        <v>0</v>
      </c>
      <c r="F2066" s="9">
        <v>0</v>
      </c>
      <c r="G2066" s="9">
        <v>0.03</v>
      </c>
      <c r="H2066" s="9">
        <v>0.24</v>
      </c>
      <c r="I2066" s="9">
        <v>0.01</v>
      </c>
      <c r="J2066" s="7" t="s">
        <v>325</v>
      </c>
    </row>
    <row r="2067" spans="1:10" ht="26.25" customHeight="1" x14ac:dyDescent="0.35">
      <c r="A2067" s="7" t="s">
        <v>31</v>
      </c>
      <c r="B2067" s="7" t="s">
        <v>146</v>
      </c>
      <c r="C2067" s="7" t="s">
        <v>65</v>
      </c>
      <c r="D2067" s="9">
        <v>0</v>
      </c>
      <c r="E2067" s="9">
        <v>0</v>
      </c>
      <c r="F2067" s="9">
        <v>0</v>
      </c>
      <c r="G2067" s="9">
        <v>0</v>
      </c>
      <c r="H2067" s="9">
        <v>0</v>
      </c>
      <c r="I2067" s="9">
        <v>0.22</v>
      </c>
      <c r="J2067" s="7" t="s">
        <v>325</v>
      </c>
    </row>
    <row r="2068" spans="1:10" x14ac:dyDescent="0.35">
      <c r="A2068" s="7" t="s">
        <v>40</v>
      </c>
      <c r="B2068" s="7" t="s">
        <v>183</v>
      </c>
      <c r="C2068" s="7" t="s">
        <v>45</v>
      </c>
      <c r="D2068" s="9">
        <v>0</v>
      </c>
      <c r="E2068" s="9">
        <v>0</v>
      </c>
      <c r="F2068" s="9">
        <v>0</v>
      </c>
      <c r="G2068" s="9">
        <v>1.27</v>
      </c>
      <c r="H2068" s="9">
        <v>0.28000000000000003</v>
      </c>
      <c r="I2068" s="9">
        <v>0.03</v>
      </c>
      <c r="J2068" s="7" t="s">
        <v>325</v>
      </c>
    </row>
    <row r="2069" spans="1:10" x14ac:dyDescent="0.35">
      <c r="A2069" s="7" t="s">
        <v>231</v>
      </c>
      <c r="B2069" s="7" t="s">
        <v>232</v>
      </c>
      <c r="C2069" s="7" t="s">
        <v>51</v>
      </c>
      <c r="D2069" s="9">
        <v>0</v>
      </c>
      <c r="E2069" s="9">
        <v>0</v>
      </c>
      <c r="F2069" s="9">
        <v>0</v>
      </c>
      <c r="G2069" s="9">
        <v>0.21</v>
      </c>
      <c r="H2069" s="9">
        <v>0.36</v>
      </c>
      <c r="I2069" s="9">
        <v>0.06</v>
      </c>
      <c r="J2069" s="7" t="s">
        <v>325</v>
      </c>
    </row>
    <row r="2070" spans="1:10" ht="26.25" customHeight="1" x14ac:dyDescent="0.35">
      <c r="A2070" s="7" t="s">
        <v>231</v>
      </c>
      <c r="B2070" s="7" t="s">
        <v>236</v>
      </c>
      <c r="C2070" s="7" t="s">
        <v>81</v>
      </c>
      <c r="D2070" s="9">
        <v>0</v>
      </c>
      <c r="E2070" s="9">
        <v>0</v>
      </c>
      <c r="F2070" s="9">
        <v>0</v>
      </c>
      <c r="G2070" s="9">
        <v>0</v>
      </c>
      <c r="H2070" s="9">
        <v>2.2000000000000002</v>
      </c>
      <c r="I2070" s="9">
        <v>0.47</v>
      </c>
      <c r="J2070" s="7" t="s">
        <v>325</v>
      </c>
    </row>
    <row r="2071" spans="1:10" x14ac:dyDescent="0.35">
      <c r="A2071" s="7" t="s">
        <v>16</v>
      </c>
      <c r="B2071" s="7" t="s">
        <v>135</v>
      </c>
      <c r="C2071" s="7" t="s">
        <v>174</v>
      </c>
      <c r="D2071" s="9">
        <v>0.01</v>
      </c>
      <c r="E2071" s="9">
        <v>0.02</v>
      </c>
      <c r="F2071" s="9">
        <v>0</v>
      </c>
      <c r="G2071" s="9">
        <v>0.1</v>
      </c>
      <c r="H2071" s="9">
        <v>1</v>
      </c>
      <c r="I2071" s="9">
        <v>0.01</v>
      </c>
      <c r="J2071" s="7" t="s">
        <v>325</v>
      </c>
    </row>
    <row r="2072" spans="1:10" x14ac:dyDescent="0.35">
      <c r="A2072" s="7" t="s">
        <v>20</v>
      </c>
      <c r="B2072" s="7" t="s">
        <v>111</v>
      </c>
      <c r="C2072" s="7" t="s">
        <v>53</v>
      </c>
      <c r="D2072" s="9">
        <v>0</v>
      </c>
      <c r="E2072" s="9">
        <v>0.03</v>
      </c>
      <c r="F2072" s="9">
        <v>0</v>
      </c>
      <c r="G2072" s="9">
        <v>0</v>
      </c>
      <c r="H2072" s="9">
        <v>58.23</v>
      </c>
      <c r="I2072" s="9">
        <v>0.04</v>
      </c>
      <c r="J2072" s="7" t="s">
        <v>325</v>
      </c>
    </row>
    <row r="2073" spans="1:10" x14ac:dyDescent="0.35">
      <c r="A2073" s="7" t="s">
        <v>16</v>
      </c>
      <c r="B2073" s="7" t="s">
        <v>109</v>
      </c>
      <c r="C2073" s="7" t="s">
        <v>69</v>
      </c>
      <c r="D2073" s="9">
        <v>0</v>
      </c>
      <c r="E2073" s="9">
        <v>0</v>
      </c>
      <c r="F2073" s="9">
        <v>0</v>
      </c>
      <c r="G2073" s="9">
        <v>0.2</v>
      </c>
      <c r="H2073" s="9">
        <v>1.08</v>
      </c>
      <c r="I2073" s="9">
        <v>0.02</v>
      </c>
      <c r="J2073" s="7" t="s">
        <v>325</v>
      </c>
    </row>
    <row r="2074" spans="1:10" x14ac:dyDescent="0.35">
      <c r="A2074" s="7" t="s">
        <v>231</v>
      </c>
      <c r="B2074" s="7" t="s">
        <v>236</v>
      </c>
      <c r="C2074" s="7" t="s">
        <v>170</v>
      </c>
      <c r="D2074" s="9">
        <v>0</v>
      </c>
      <c r="E2074" s="9">
        <v>0</v>
      </c>
      <c r="F2074" s="9">
        <v>0</v>
      </c>
      <c r="G2074" s="9">
        <v>0</v>
      </c>
      <c r="H2074" s="9">
        <v>0.27</v>
      </c>
      <c r="I2074" s="9">
        <v>7.0000000000000007E-2</v>
      </c>
      <c r="J2074" s="7" t="s">
        <v>325</v>
      </c>
    </row>
    <row r="2075" spans="1:10" x14ac:dyDescent="0.35">
      <c r="A2075" s="7" t="s">
        <v>20</v>
      </c>
      <c r="B2075" s="7" t="s">
        <v>145</v>
      </c>
      <c r="C2075" s="7" t="s">
        <v>65</v>
      </c>
      <c r="D2075" s="9">
        <v>0</v>
      </c>
      <c r="E2075" s="9">
        <v>0.16</v>
      </c>
      <c r="F2075" s="9">
        <v>0</v>
      </c>
      <c r="G2075" s="9">
        <v>0</v>
      </c>
      <c r="H2075" s="9">
        <v>42.1</v>
      </c>
      <c r="I2075" s="9">
        <v>0.06</v>
      </c>
      <c r="J2075" s="7" t="s">
        <v>325</v>
      </c>
    </row>
    <row r="2076" spans="1:10" x14ac:dyDescent="0.35">
      <c r="A2076" s="7" t="s">
        <v>35</v>
      </c>
      <c r="B2076" s="7" t="s">
        <v>165</v>
      </c>
      <c r="C2076" s="7" t="s">
        <v>62</v>
      </c>
      <c r="D2076" s="9">
        <v>0</v>
      </c>
      <c r="E2076" s="9">
        <v>0</v>
      </c>
      <c r="F2076" s="9">
        <v>0</v>
      </c>
      <c r="G2076" s="9">
        <v>0</v>
      </c>
      <c r="H2076" s="9">
        <v>0</v>
      </c>
      <c r="I2076" s="9">
        <v>0.12</v>
      </c>
      <c r="J2076" s="7" t="s">
        <v>325</v>
      </c>
    </row>
    <row r="2077" spans="1:10" x14ac:dyDescent="0.35">
      <c r="A2077" s="7" t="s">
        <v>77</v>
      </c>
      <c r="B2077" s="7" t="s">
        <v>168</v>
      </c>
      <c r="C2077" s="7" t="s">
        <v>53</v>
      </c>
      <c r="D2077" s="9">
        <v>0</v>
      </c>
      <c r="E2077" s="9">
        <v>0</v>
      </c>
      <c r="F2077" s="9">
        <v>0</v>
      </c>
      <c r="G2077" s="9">
        <v>0.41</v>
      </c>
      <c r="H2077" s="9">
        <v>0.36</v>
      </c>
      <c r="I2077" s="9">
        <v>0</v>
      </c>
      <c r="J2077" s="7" t="s">
        <v>325</v>
      </c>
    </row>
    <row r="2078" spans="1:10" x14ac:dyDescent="0.35">
      <c r="A2078" s="7" t="s">
        <v>40</v>
      </c>
      <c r="B2078" s="7" t="s">
        <v>164</v>
      </c>
      <c r="C2078" s="7" t="s">
        <v>126</v>
      </c>
      <c r="D2078" s="9">
        <v>0.03</v>
      </c>
      <c r="E2078" s="9">
        <v>0</v>
      </c>
      <c r="F2078" s="9">
        <v>0</v>
      </c>
      <c r="G2078" s="9">
        <v>8.3699999999999992</v>
      </c>
      <c r="H2078" s="9">
        <v>0.2</v>
      </c>
      <c r="I2078" s="9">
        <v>0.02</v>
      </c>
      <c r="J2078" s="7" t="s">
        <v>325</v>
      </c>
    </row>
    <row r="2079" spans="1:10" x14ac:dyDescent="0.35">
      <c r="A2079" s="7" t="s">
        <v>31</v>
      </c>
      <c r="B2079" s="7" t="s">
        <v>101</v>
      </c>
      <c r="C2079" s="7" t="s">
        <v>59</v>
      </c>
      <c r="D2079" s="9">
        <v>0</v>
      </c>
      <c r="E2079" s="9">
        <v>0.01</v>
      </c>
      <c r="F2079" s="9">
        <v>0</v>
      </c>
      <c r="G2079" s="9">
        <v>0</v>
      </c>
      <c r="H2079" s="9">
        <v>7.07</v>
      </c>
      <c r="I2079" s="9">
        <v>0.08</v>
      </c>
      <c r="J2079" s="7" t="s">
        <v>325</v>
      </c>
    </row>
    <row r="2080" spans="1:10" x14ac:dyDescent="0.35">
      <c r="A2080" s="7" t="s">
        <v>16</v>
      </c>
      <c r="B2080" s="7" t="s">
        <v>135</v>
      </c>
      <c r="C2080" s="7" t="s">
        <v>144</v>
      </c>
      <c r="D2080" s="9">
        <v>0</v>
      </c>
      <c r="E2080" s="9">
        <v>0</v>
      </c>
      <c r="F2080" s="9">
        <v>0</v>
      </c>
      <c r="G2080" s="9">
        <v>0</v>
      </c>
      <c r="H2080" s="9">
        <v>0.15</v>
      </c>
      <c r="I2080" s="9">
        <v>0.06</v>
      </c>
      <c r="J2080" s="7" t="s">
        <v>325</v>
      </c>
    </row>
    <row r="2081" spans="1:10" x14ac:dyDescent="0.35">
      <c r="A2081" s="7" t="s">
        <v>166</v>
      </c>
      <c r="B2081" s="7" t="s">
        <v>248</v>
      </c>
      <c r="C2081" s="7" t="s">
        <v>151</v>
      </c>
      <c r="D2081" s="9">
        <v>0</v>
      </c>
      <c r="E2081" s="9">
        <v>0.02</v>
      </c>
      <c r="F2081" s="9">
        <v>0</v>
      </c>
      <c r="G2081" s="9">
        <v>0</v>
      </c>
      <c r="H2081" s="9">
        <v>6.01</v>
      </c>
      <c r="I2081" s="9">
        <v>0.01</v>
      </c>
      <c r="J2081" s="7" t="s">
        <v>325</v>
      </c>
    </row>
    <row r="2082" spans="1:10" x14ac:dyDescent="0.35">
      <c r="A2082" s="7" t="s">
        <v>20</v>
      </c>
      <c r="B2082" s="7" t="s">
        <v>68</v>
      </c>
      <c r="C2082" s="7" t="s">
        <v>27</v>
      </c>
      <c r="D2082" s="9">
        <v>0.01</v>
      </c>
      <c r="E2082" s="9">
        <v>0</v>
      </c>
      <c r="F2082" s="9">
        <v>0</v>
      </c>
      <c r="G2082" s="9">
        <v>2.39</v>
      </c>
      <c r="H2082" s="9">
        <v>0.5</v>
      </c>
      <c r="I2082" s="9">
        <v>0.2</v>
      </c>
      <c r="J2082" s="7" t="s">
        <v>325</v>
      </c>
    </row>
    <row r="2083" spans="1:10" x14ac:dyDescent="0.35">
      <c r="A2083" s="7" t="s">
        <v>23</v>
      </c>
      <c r="B2083" s="7" t="s">
        <v>136</v>
      </c>
      <c r="C2083" s="7" t="s">
        <v>54</v>
      </c>
      <c r="D2083" s="9">
        <v>0</v>
      </c>
      <c r="E2083" s="9">
        <v>0.01</v>
      </c>
      <c r="F2083" s="9">
        <v>0</v>
      </c>
      <c r="G2083" s="9">
        <v>0.92</v>
      </c>
      <c r="H2083" s="9">
        <v>3.03</v>
      </c>
      <c r="I2083" s="9">
        <v>0.06</v>
      </c>
      <c r="J2083" s="7" t="s">
        <v>325</v>
      </c>
    </row>
    <row r="2084" spans="1:10" x14ac:dyDescent="0.35">
      <c r="A2084" s="7" t="s">
        <v>40</v>
      </c>
      <c r="B2084" s="7" t="s">
        <v>107</v>
      </c>
      <c r="C2084" s="7" t="s">
        <v>69</v>
      </c>
      <c r="D2084" s="9">
        <v>0</v>
      </c>
      <c r="E2084" s="9">
        <v>0</v>
      </c>
      <c r="F2084" s="9">
        <v>0</v>
      </c>
      <c r="G2084" s="9">
        <v>0</v>
      </c>
      <c r="H2084" s="9">
        <v>0</v>
      </c>
      <c r="I2084" s="9">
        <v>0.01</v>
      </c>
      <c r="J2084" s="7" t="s">
        <v>325</v>
      </c>
    </row>
    <row r="2085" spans="1:10" x14ac:dyDescent="0.35">
      <c r="A2085" s="7" t="s">
        <v>20</v>
      </c>
      <c r="B2085" s="7" t="s">
        <v>265</v>
      </c>
      <c r="C2085" s="7" t="s">
        <v>39</v>
      </c>
      <c r="D2085" s="9">
        <v>0</v>
      </c>
      <c r="E2085" s="9">
        <v>0</v>
      </c>
      <c r="F2085" s="9">
        <v>0</v>
      </c>
      <c r="G2085" s="9">
        <v>0</v>
      </c>
      <c r="H2085" s="9">
        <v>0.67</v>
      </c>
      <c r="I2085" s="9">
        <v>0.1</v>
      </c>
      <c r="J2085" s="7" t="s">
        <v>325</v>
      </c>
    </row>
    <row r="2086" spans="1:10" x14ac:dyDescent="0.35">
      <c r="A2086" s="7" t="s">
        <v>40</v>
      </c>
      <c r="B2086" s="7" t="s">
        <v>164</v>
      </c>
      <c r="C2086" s="7" t="s">
        <v>150</v>
      </c>
      <c r="D2086" s="9">
        <v>0</v>
      </c>
      <c r="E2086" s="9">
        <v>0</v>
      </c>
      <c r="F2086" s="9">
        <v>0</v>
      </c>
      <c r="G2086" s="9">
        <v>0.17</v>
      </c>
      <c r="H2086" s="9">
        <v>0.42</v>
      </c>
      <c r="I2086" s="9">
        <v>0.04</v>
      </c>
      <c r="J2086" s="7" t="s">
        <v>325</v>
      </c>
    </row>
    <row r="2087" spans="1:10" x14ac:dyDescent="0.35">
      <c r="A2087" s="7" t="s">
        <v>94</v>
      </c>
      <c r="B2087" s="7" t="s">
        <v>188</v>
      </c>
      <c r="C2087" s="7" t="s">
        <v>59</v>
      </c>
      <c r="D2087" s="9">
        <v>0</v>
      </c>
      <c r="E2087" s="9">
        <v>0.05</v>
      </c>
      <c r="F2087" s="9">
        <v>0</v>
      </c>
      <c r="G2087" s="9">
        <v>0.38</v>
      </c>
      <c r="H2087" s="9">
        <v>10.63</v>
      </c>
      <c r="I2087" s="9">
        <v>0.04</v>
      </c>
      <c r="J2087" s="7" t="s">
        <v>325</v>
      </c>
    </row>
    <row r="2088" spans="1:10" x14ac:dyDescent="0.35">
      <c r="A2088" s="7" t="s">
        <v>20</v>
      </c>
      <c r="B2088" s="7" t="s">
        <v>265</v>
      </c>
      <c r="C2088" s="7" t="s">
        <v>48</v>
      </c>
      <c r="D2088" s="9">
        <v>0</v>
      </c>
      <c r="E2088" s="9">
        <v>0</v>
      </c>
      <c r="F2088" s="9">
        <v>0</v>
      </c>
      <c r="G2088" s="9">
        <v>0</v>
      </c>
      <c r="H2088" s="9">
        <v>0.78</v>
      </c>
      <c r="I2088" s="9">
        <v>0.25</v>
      </c>
      <c r="J2088" s="7" t="s">
        <v>325</v>
      </c>
    </row>
    <row r="2089" spans="1:10" x14ac:dyDescent="0.35">
      <c r="A2089" s="7" t="s">
        <v>23</v>
      </c>
      <c r="B2089" s="7" t="s">
        <v>44</v>
      </c>
      <c r="C2089" s="7" t="s">
        <v>51</v>
      </c>
      <c r="D2089" s="9">
        <v>0</v>
      </c>
      <c r="E2089" s="9">
        <v>0</v>
      </c>
      <c r="F2089" s="9">
        <v>0</v>
      </c>
      <c r="G2089" s="9">
        <v>0.95</v>
      </c>
      <c r="H2089" s="9">
        <v>0.16</v>
      </c>
      <c r="I2089" s="9">
        <v>0.02</v>
      </c>
      <c r="J2089" s="7" t="s">
        <v>325</v>
      </c>
    </row>
    <row r="2090" spans="1:10" x14ac:dyDescent="0.35">
      <c r="A2090" s="7" t="s">
        <v>231</v>
      </c>
      <c r="B2090" s="7" t="s">
        <v>236</v>
      </c>
      <c r="C2090" s="7" t="s">
        <v>53</v>
      </c>
      <c r="D2090" s="9">
        <v>0</v>
      </c>
      <c r="E2090" s="9">
        <v>0</v>
      </c>
      <c r="F2090" s="9">
        <v>0</v>
      </c>
      <c r="G2090" s="9">
        <v>0.1</v>
      </c>
      <c r="H2090" s="9">
        <v>0.54</v>
      </c>
      <c r="I2090" s="9">
        <v>0.11</v>
      </c>
      <c r="J2090" s="7" t="s">
        <v>325</v>
      </c>
    </row>
    <row r="2091" spans="1:10" x14ac:dyDescent="0.35">
      <c r="A2091" s="7" t="s">
        <v>35</v>
      </c>
      <c r="B2091" s="7" t="s">
        <v>165</v>
      </c>
      <c r="C2091" s="7" t="s">
        <v>221</v>
      </c>
      <c r="D2091" s="9">
        <v>0</v>
      </c>
      <c r="E2091" s="9">
        <v>0</v>
      </c>
      <c r="F2091" s="9">
        <v>0</v>
      </c>
      <c r="G2091" s="9">
        <v>0</v>
      </c>
      <c r="H2091" s="9">
        <v>0</v>
      </c>
      <c r="I2091" s="9">
        <v>0.11</v>
      </c>
      <c r="J2091" s="7" t="s">
        <v>325</v>
      </c>
    </row>
    <row r="2092" spans="1:10" x14ac:dyDescent="0.35">
      <c r="A2092" s="7" t="s">
        <v>23</v>
      </c>
      <c r="B2092" s="7" t="s">
        <v>185</v>
      </c>
      <c r="C2092" s="7" t="s">
        <v>53</v>
      </c>
      <c r="D2092" s="9">
        <v>0.26</v>
      </c>
      <c r="E2092" s="9">
        <v>0</v>
      </c>
      <c r="F2092" s="9">
        <v>0</v>
      </c>
      <c r="G2092" s="8">
        <v>1092.32</v>
      </c>
      <c r="H2092" s="9">
        <v>0</v>
      </c>
      <c r="I2092" s="9">
        <v>0.14000000000000001</v>
      </c>
      <c r="J2092" s="7" t="s">
        <v>325</v>
      </c>
    </row>
    <row r="2093" spans="1:10" ht="26.25" customHeight="1" x14ac:dyDescent="0.35">
      <c r="A2093" s="7" t="s">
        <v>16</v>
      </c>
      <c r="B2093" s="7" t="s">
        <v>135</v>
      </c>
      <c r="C2093" s="7" t="s">
        <v>81</v>
      </c>
      <c r="D2093" s="9">
        <v>0</v>
      </c>
      <c r="E2093" s="9">
        <v>0</v>
      </c>
      <c r="F2093" s="9">
        <v>0</v>
      </c>
      <c r="G2093" s="9">
        <v>0</v>
      </c>
      <c r="H2093" s="9">
        <v>0</v>
      </c>
      <c r="I2093" s="9">
        <v>7.0000000000000007E-2</v>
      </c>
      <c r="J2093" s="7" t="s">
        <v>325</v>
      </c>
    </row>
    <row r="2094" spans="1:10" x14ac:dyDescent="0.35">
      <c r="A2094" s="7" t="s">
        <v>40</v>
      </c>
      <c r="B2094" s="7" t="s">
        <v>194</v>
      </c>
      <c r="C2094" s="7" t="s">
        <v>144</v>
      </c>
      <c r="D2094" s="9">
        <v>0</v>
      </c>
      <c r="E2094" s="9">
        <v>0.02</v>
      </c>
      <c r="F2094" s="9">
        <v>0</v>
      </c>
      <c r="G2094" s="9">
        <v>0.09</v>
      </c>
      <c r="H2094" s="9">
        <v>8.25</v>
      </c>
      <c r="I2094" s="9">
        <v>7.0000000000000007E-2</v>
      </c>
      <c r="J2094" s="7" t="s">
        <v>325</v>
      </c>
    </row>
    <row r="2095" spans="1:10" x14ac:dyDescent="0.35">
      <c r="A2095" s="7" t="s">
        <v>66</v>
      </c>
      <c r="B2095" s="7" t="s">
        <v>108</v>
      </c>
      <c r="C2095" s="7" t="s">
        <v>84</v>
      </c>
      <c r="D2095" s="9">
        <v>0</v>
      </c>
      <c r="E2095" s="9">
        <v>0</v>
      </c>
      <c r="F2095" s="9">
        <v>0</v>
      </c>
      <c r="G2095" s="9">
        <v>0</v>
      </c>
      <c r="H2095" s="9">
        <v>0.01</v>
      </c>
      <c r="I2095" s="9">
        <v>0.01</v>
      </c>
      <c r="J2095" s="7" t="s">
        <v>325</v>
      </c>
    </row>
    <row r="2096" spans="1:10" x14ac:dyDescent="0.35">
      <c r="A2096" s="7" t="s">
        <v>79</v>
      </c>
      <c r="B2096" s="7" t="s">
        <v>92</v>
      </c>
      <c r="C2096" s="7" t="s">
        <v>114</v>
      </c>
      <c r="D2096" s="9">
        <v>0</v>
      </c>
      <c r="E2096" s="9">
        <v>0</v>
      </c>
      <c r="F2096" s="9">
        <v>0</v>
      </c>
      <c r="G2096" s="9">
        <v>0</v>
      </c>
      <c r="H2096" s="9">
        <v>0</v>
      </c>
      <c r="I2096" s="9">
        <v>0</v>
      </c>
      <c r="J2096" s="7" t="s">
        <v>325</v>
      </c>
    </row>
    <row r="2097" spans="1:10" ht="26.25" customHeight="1" x14ac:dyDescent="0.35">
      <c r="A2097" s="7" t="s">
        <v>77</v>
      </c>
      <c r="B2097" s="7" t="s">
        <v>168</v>
      </c>
      <c r="C2097" s="7" t="s">
        <v>81</v>
      </c>
      <c r="D2097" s="9">
        <v>0</v>
      </c>
      <c r="E2097" s="9">
        <v>0</v>
      </c>
      <c r="F2097" s="9">
        <v>0</v>
      </c>
      <c r="G2097" s="9">
        <v>0</v>
      </c>
      <c r="H2097" s="9">
        <v>0.03</v>
      </c>
      <c r="I2097" s="9">
        <v>0.18</v>
      </c>
      <c r="J2097" s="7" t="s">
        <v>325</v>
      </c>
    </row>
    <row r="2098" spans="1:10" x14ac:dyDescent="0.35">
      <c r="A2098" s="7" t="s">
        <v>31</v>
      </c>
      <c r="B2098" s="7" t="s">
        <v>192</v>
      </c>
      <c r="C2098" s="7" t="s">
        <v>33</v>
      </c>
      <c r="D2098" s="9">
        <v>0</v>
      </c>
      <c r="E2098" s="9">
        <v>0</v>
      </c>
      <c r="F2098" s="9">
        <v>0</v>
      </c>
      <c r="G2098" s="9">
        <v>0.25</v>
      </c>
      <c r="H2098" s="9">
        <v>2.58</v>
      </c>
      <c r="I2098" s="9">
        <v>0.08</v>
      </c>
      <c r="J2098" s="7" t="s">
        <v>325</v>
      </c>
    </row>
    <row r="2099" spans="1:10" x14ac:dyDescent="0.35">
      <c r="A2099" s="7" t="s">
        <v>31</v>
      </c>
      <c r="B2099" s="7" t="s">
        <v>215</v>
      </c>
      <c r="C2099" s="7" t="s">
        <v>181</v>
      </c>
      <c r="D2099" s="9">
        <v>0</v>
      </c>
      <c r="E2099" s="9">
        <v>0</v>
      </c>
      <c r="F2099" s="9">
        <v>0</v>
      </c>
      <c r="G2099" s="9">
        <v>7.0000000000000007E-2</v>
      </c>
      <c r="H2099" s="9">
        <v>0.02</v>
      </c>
      <c r="I2099" s="9">
        <v>0</v>
      </c>
      <c r="J2099" s="7" t="s">
        <v>325</v>
      </c>
    </row>
    <row r="2100" spans="1:10" x14ac:dyDescent="0.35">
      <c r="A2100" s="7" t="s">
        <v>159</v>
      </c>
      <c r="B2100" s="7" t="s">
        <v>186</v>
      </c>
      <c r="C2100" s="7" t="s">
        <v>126</v>
      </c>
      <c r="D2100" s="9">
        <v>0</v>
      </c>
      <c r="E2100" s="9">
        <v>0</v>
      </c>
      <c r="F2100" s="9">
        <v>0</v>
      </c>
      <c r="G2100" s="9">
        <v>0.01</v>
      </c>
      <c r="H2100" s="9">
        <v>0</v>
      </c>
      <c r="I2100" s="9">
        <v>0.01</v>
      </c>
      <c r="J2100" s="7" t="s">
        <v>325</v>
      </c>
    </row>
    <row r="2101" spans="1:10" x14ac:dyDescent="0.35">
      <c r="A2101" s="7" t="s">
        <v>40</v>
      </c>
      <c r="B2101" s="7" t="s">
        <v>183</v>
      </c>
      <c r="C2101" s="7" t="s">
        <v>59</v>
      </c>
      <c r="D2101" s="9">
        <v>0</v>
      </c>
      <c r="E2101" s="9">
        <v>0.02</v>
      </c>
      <c r="F2101" s="9">
        <v>0</v>
      </c>
      <c r="G2101" s="9">
        <v>1.1599999999999999</v>
      </c>
      <c r="H2101" s="9">
        <v>2</v>
      </c>
      <c r="I2101" s="9">
        <v>0.05</v>
      </c>
      <c r="J2101" s="7" t="s">
        <v>325</v>
      </c>
    </row>
    <row r="2102" spans="1:10" x14ac:dyDescent="0.35">
      <c r="A2102" s="7" t="s">
        <v>49</v>
      </c>
      <c r="B2102" s="7" t="s">
        <v>237</v>
      </c>
      <c r="C2102" s="7" t="s">
        <v>54</v>
      </c>
      <c r="D2102" s="9">
        <v>0</v>
      </c>
      <c r="E2102" s="9">
        <v>0</v>
      </c>
      <c r="F2102" s="9">
        <v>0</v>
      </c>
      <c r="G2102" s="9">
        <v>0.9</v>
      </c>
      <c r="H2102" s="9">
        <v>0.57999999999999996</v>
      </c>
      <c r="I2102" s="9">
        <v>0.14000000000000001</v>
      </c>
      <c r="J2102" s="7" t="s">
        <v>325</v>
      </c>
    </row>
    <row r="2103" spans="1:10" ht="26.25" customHeight="1" x14ac:dyDescent="0.35">
      <c r="A2103" s="7" t="s">
        <v>231</v>
      </c>
      <c r="B2103" s="7" t="s">
        <v>232</v>
      </c>
      <c r="C2103" s="7" t="s">
        <v>81</v>
      </c>
      <c r="D2103" s="9">
        <v>0</v>
      </c>
      <c r="E2103" s="9">
        <v>0</v>
      </c>
      <c r="F2103" s="9">
        <v>0</v>
      </c>
      <c r="G2103" s="9">
        <v>0.1</v>
      </c>
      <c r="H2103" s="9">
        <v>0.08</v>
      </c>
      <c r="I2103" s="9">
        <v>0.3</v>
      </c>
      <c r="J2103" s="7" t="s">
        <v>325</v>
      </c>
    </row>
    <row r="2104" spans="1:10" x14ac:dyDescent="0.35">
      <c r="A2104" s="7" t="s">
        <v>35</v>
      </c>
      <c r="B2104" s="7" t="s">
        <v>165</v>
      </c>
      <c r="C2104" s="7" t="s">
        <v>122</v>
      </c>
      <c r="D2104" s="9">
        <v>0</v>
      </c>
      <c r="E2104" s="9">
        <v>0</v>
      </c>
      <c r="F2104" s="9">
        <v>0</v>
      </c>
      <c r="G2104" s="9">
        <v>0</v>
      </c>
      <c r="H2104" s="9">
        <v>0</v>
      </c>
      <c r="I2104" s="9">
        <v>0.03</v>
      </c>
      <c r="J2104" s="7" t="s">
        <v>325</v>
      </c>
    </row>
    <row r="2105" spans="1:10" x14ac:dyDescent="0.35">
      <c r="A2105" s="7" t="s">
        <v>79</v>
      </c>
      <c r="B2105" s="7" t="s">
        <v>264</v>
      </c>
      <c r="C2105" s="7" t="s">
        <v>39</v>
      </c>
      <c r="D2105" s="9">
        <v>0</v>
      </c>
      <c r="E2105" s="9">
        <v>0</v>
      </c>
      <c r="F2105" s="9">
        <v>0</v>
      </c>
      <c r="G2105" s="9">
        <v>0</v>
      </c>
      <c r="H2105" s="9">
        <v>0</v>
      </c>
      <c r="I2105" s="9">
        <v>0.41</v>
      </c>
      <c r="J2105" s="7" t="s">
        <v>325</v>
      </c>
    </row>
    <row r="2106" spans="1:10" x14ac:dyDescent="0.35">
      <c r="A2106" s="7" t="s">
        <v>20</v>
      </c>
      <c r="B2106" s="7" t="s">
        <v>245</v>
      </c>
      <c r="C2106" s="7" t="s">
        <v>42</v>
      </c>
      <c r="D2106" s="9">
        <v>0</v>
      </c>
      <c r="E2106" s="9">
        <v>0</v>
      </c>
      <c r="F2106" s="9">
        <v>0</v>
      </c>
      <c r="G2106" s="9">
        <v>0</v>
      </c>
      <c r="H2106" s="9">
        <v>1.91</v>
      </c>
      <c r="I2106" s="9">
        <v>0.19</v>
      </c>
      <c r="J2106" s="7" t="s">
        <v>325</v>
      </c>
    </row>
    <row r="2107" spans="1:10" x14ac:dyDescent="0.35">
      <c r="A2107" s="7" t="s">
        <v>31</v>
      </c>
      <c r="B2107" s="7" t="s">
        <v>139</v>
      </c>
      <c r="C2107" s="7" t="s">
        <v>46</v>
      </c>
      <c r="D2107" s="9">
        <v>0</v>
      </c>
      <c r="E2107" s="9">
        <v>0</v>
      </c>
      <c r="F2107" s="9">
        <v>0</v>
      </c>
      <c r="G2107" s="9">
        <v>0.05</v>
      </c>
      <c r="H2107" s="9">
        <v>0.33</v>
      </c>
      <c r="I2107" s="9">
        <v>0.05</v>
      </c>
      <c r="J2107" s="7" t="s">
        <v>325</v>
      </c>
    </row>
    <row r="2108" spans="1:10" x14ac:dyDescent="0.35">
      <c r="A2108" s="7" t="s">
        <v>49</v>
      </c>
      <c r="B2108" s="7" t="s">
        <v>234</v>
      </c>
      <c r="C2108" s="7" t="s">
        <v>53</v>
      </c>
      <c r="D2108" s="9">
        <v>0</v>
      </c>
      <c r="E2108" s="9">
        <v>0</v>
      </c>
      <c r="F2108" s="9">
        <v>0</v>
      </c>
      <c r="G2108" s="9">
        <v>0</v>
      </c>
      <c r="H2108" s="9">
        <v>0</v>
      </c>
      <c r="I2108" s="9">
        <v>0.2</v>
      </c>
      <c r="J2108" s="7" t="s">
        <v>325</v>
      </c>
    </row>
    <row r="2109" spans="1:10" x14ac:dyDescent="0.35">
      <c r="A2109" s="7" t="s">
        <v>77</v>
      </c>
      <c r="B2109" s="7" t="s">
        <v>168</v>
      </c>
      <c r="C2109" s="7" t="s">
        <v>33</v>
      </c>
      <c r="D2109" s="9">
        <v>0</v>
      </c>
      <c r="E2109" s="9">
        <v>0</v>
      </c>
      <c r="F2109" s="9">
        <v>0</v>
      </c>
      <c r="G2109" s="9">
        <v>0</v>
      </c>
      <c r="H2109" s="9">
        <v>4.55</v>
      </c>
      <c r="I2109" s="9">
        <v>0.34</v>
      </c>
      <c r="J2109" s="7" t="s">
        <v>325</v>
      </c>
    </row>
    <row r="2110" spans="1:10" x14ac:dyDescent="0.35">
      <c r="A2110" s="7" t="s">
        <v>20</v>
      </c>
      <c r="B2110" s="7" t="s">
        <v>265</v>
      </c>
      <c r="C2110" s="7" t="s">
        <v>72</v>
      </c>
      <c r="D2110" s="9">
        <v>0</v>
      </c>
      <c r="E2110" s="9">
        <v>0</v>
      </c>
      <c r="F2110" s="9">
        <v>0</v>
      </c>
      <c r="G2110" s="9">
        <v>0</v>
      </c>
      <c r="H2110" s="9">
        <v>0.63</v>
      </c>
      <c r="I2110" s="9">
        <v>0.02</v>
      </c>
      <c r="J2110" s="7" t="s">
        <v>325</v>
      </c>
    </row>
    <row r="2111" spans="1:10" x14ac:dyDescent="0.35">
      <c r="A2111" s="7" t="s">
        <v>49</v>
      </c>
      <c r="B2111" s="7" t="s">
        <v>176</v>
      </c>
      <c r="C2111" s="7" t="s">
        <v>126</v>
      </c>
      <c r="D2111" s="9">
        <v>0.01</v>
      </c>
      <c r="E2111" s="9">
        <v>0</v>
      </c>
      <c r="F2111" s="9">
        <v>0</v>
      </c>
      <c r="G2111" s="9">
        <v>5.42</v>
      </c>
      <c r="H2111" s="9">
        <v>0.73</v>
      </c>
      <c r="I2111" s="9">
        <v>0.06</v>
      </c>
      <c r="J2111" s="7" t="s">
        <v>325</v>
      </c>
    </row>
    <row r="2112" spans="1:10" x14ac:dyDescent="0.35">
      <c r="A2112" s="7" t="s">
        <v>20</v>
      </c>
      <c r="B2112" s="7" t="s">
        <v>145</v>
      </c>
      <c r="C2112" s="7" t="s">
        <v>144</v>
      </c>
      <c r="D2112" s="9">
        <v>0</v>
      </c>
      <c r="E2112" s="9">
        <v>0.01</v>
      </c>
      <c r="F2112" s="9">
        <v>0</v>
      </c>
      <c r="G2112" s="9">
        <v>0</v>
      </c>
      <c r="H2112" s="9">
        <v>5.94</v>
      </c>
      <c r="I2112" s="9">
        <v>0.06</v>
      </c>
      <c r="J2112" s="7" t="s">
        <v>325</v>
      </c>
    </row>
    <row r="2113" spans="1:10" x14ac:dyDescent="0.35">
      <c r="A2113" s="7" t="s">
        <v>77</v>
      </c>
      <c r="B2113" s="7" t="s">
        <v>168</v>
      </c>
      <c r="C2113" s="7" t="s">
        <v>65</v>
      </c>
      <c r="D2113" s="9">
        <v>0</v>
      </c>
      <c r="E2113" s="9">
        <v>0</v>
      </c>
      <c r="F2113" s="9">
        <v>0</v>
      </c>
      <c r="G2113" s="9">
        <v>0.61</v>
      </c>
      <c r="H2113" s="9">
        <v>0.46</v>
      </c>
      <c r="I2113" s="9">
        <v>0.02</v>
      </c>
      <c r="J2113" s="7" t="s">
        <v>325</v>
      </c>
    </row>
    <row r="2114" spans="1:10" x14ac:dyDescent="0.35">
      <c r="A2114" s="7" t="s">
        <v>231</v>
      </c>
      <c r="B2114" s="7" t="s">
        <v>236</v>
      </c>
      <c r="C2114" s="7" t="s">
        <v>59</v>
      </c>
      <c r="D2114" s="9">
        <v>0</v>
      </c>
      <c r="E2114" s="9">
        <v>0</v>
      </c>
      <c r="F2114" s="9">
        <v>0</v>
      </c>
      <c r="G2114" s="9">
        <v>0</v>
      </c>
      <c r="H2114" s="9">
        <v>0.02</v>
      </c>
      <c r="I2114" s="9">
        <v>0.03</v>
      </c>
      <c r="J2114" s="7" t="s">
        <v>325</v>
      </c>
    </row>
    <row r="2115" spans="1:10" x14ac:dyDescent="0.35">
      <c r="A2115" s="7" t="s">
        <v>40</v>
      </c>
      <c r="B2115" s="7" t="s">
        <v>183</v>
      </c>
      <c r="C2115" s="7" t="s">
        <v>18</v>
      </c>
      <c r="D2115" s="9">
        <v>0</v>
      </c>
      <c r="E2115" s="9">
        <v>0.01</v>
      </c>
      <c r="F2115" s="9">
        <v>0</v>
      </c>
      <c r="G2115" s="9">
        <v>2.23</v>
      </c>
      <c r="H2115" s="9">
        <v>6.42</v>
      </c>
      <c r="I2115" s="9">
        <v>0.1</v>
      </c>
      <c r="J2115" s="7" t="s">
        <v>325</v>
      </c>
    </row>
    <row r="2116" spans="1:10" x14ac:dyDescent="0.35">
      <c r="A2116" s="7" t="s">
        <v>40</v>
      </c>
      <c r="B2116" s="7" t="s">
        <v>229</v>
      </c>
      <c r="C2116" s="7" t="s">
        <v>102</v>
      </c>
      <c r="D2116" s="9">
        <v>0.01</v>
      </c>
      <c r="E2116" s="9">
        <v>0.01</v>
      </c>
      <c r="F2116" s="9">
        <v>0</v>
      </c>
      <c r="G2116" s="9">
        <v>7.35</v>
      </c>
      <c r="H2116" s="9">
        <v>15.63</v>
      </c>
      <c r="I2116" s="9">
        <v>0</v>
      </c>
      <c r="J2116" s="7" t="s">
        <v>325</v>
      </c>
    </row>
    <row r="2117" spans="1:10" x14ac:dyDescent="0.35">
      <c r="A2117" s="7" t="s">
        <v>40</v>
      </c>
      <c r="B2117" s="7" t="s">
        <v>220</v>
      </c>
      <c r="C2117" s="7" t="s">
        <v>18</v>
      </c>
      <c r="D2117" s="9">
        <v>0</v>
      </c>
      <c r="E2117" s="9">
        <v>0</v>
      </c>
      <c r="F2117" s="9">
        <v>0</v>
      </c>
      <c r="G2117" s="9">
        <v>1.02</v>
      </c>
      <c r="H2117" s="9">
        <v>0</v>
      </c>
      <c r="I2117" s="9">
        <v>0</v>
      </c>
      <c r="J2117" s="7" t="s">
        <v>325</v>
      </c>
    </row>
    <row r="2118" spans="1:10" x14ac:dyDescent="0.35">
      <c r="A2118" s="7" t="s">
        <v>40</v>
      </c>
      <c r="B2118" s="7" t="s">
        <v>220</v>
      </c>
      <c r="C2118" s="7" t="s">
        <v>84</v>
      </c>
      <c r="D2118" s="9">
        <v>0</v>
      </c>
      <c r="E2118" s="9">
        <v>0.01</v>
      </c>
      <c r="F2118" s="9">
        <v>0</v>
      </c>
      <c r="G2118" s="9">
        <v>0.11</v>
      </c>
      <c r="H2118" s="9">
        <v>1.45</v>
      </c>
      <c r="I2118" s="9">
        <v>0</v>
      </c>
      <c r="J2118" s="7" t="s">
        <v>325</v>
      </c>
    </row>
    <row r="2119" spans="1:10" x14ac:dyDescent="0.35">
      <c r="A2119" s="7" t="s">
        <v>77</v>
      </c>
      <c r="B2119" s="7" t="s">
        <v>168</v>
      </c>
      <c r="C2119" s="7" t="s">
        <v>83</v>
      </c>
      <c r="D2119" s="9">
        <v>0</v>
      </c>
      <c r="E2119" s="9">
        <v>0</v>
      </c>
      <c r="F2119" s="9">
        <v>0</v>
      </c>
      <c r="G2119" s="9">
        <v>0</v>
      </c>
      <c r="H2119" s="9">
        <v>0.14000000000000001</v>
      </c>
      <c r="I2119" s="9">
        <v>0</v>
      </c>
      <c r="J2119" s="7" t="s">
        <v>325</v>
      </c>
    </row>
    <row r="2120" spans="1:10" x14ac:dyDescent="0.35">
      <c r="A2120" s="7" t="s">
        <v>40</v>
      </c>
      <c r="B2120" s="7" t="s">
        <v>220</v>
      </c>
      <c r="C2120" s="7" t="s">
        <v>69</v>
      </c>
      <c r="D2120" s="9">
        <v>0</v>
      </c>
      <c r="E2120" s="9">
        <v>0</v>
      </c>
      <c r="F2120" s="9">
        <v>0</v>
      </c>
      <c r="G2120" s="9">
        <v>0</v>
      </c>
      <c r="H2120" s="9">
        <v>0.13</v>
      </c>
      <c r="I2120" s="9">
        <v>0</v>
      </c>
      <c r="J2120" s="7" t="s">
        <v>325</v>
      </c>
    </row>
    <row r="2121" spans="1:10" x14ac:dyDescent="0.35">
      <c r="A2121" s="7" t="s">
        <v>77</v>
      </c>
      <c r="B2121" s="7" t="s">
        <v>168</v>
      </c>
      <c r="C2121" s="7" t="s">
        <v>179</v>
      </c>
      <c r="D2121" s="9">
        <v>0</v>
      </c>
      <c r="E2121" s="9">
        <v>0</v>
      </c>
      <c r="F2121" s="9">
        <v>0</v>
      </c>
      <c r="G2121" s="9">
        <v>0.01</v>
      </c>
      <c r="H2121" s="9">
        <v>0</v>
      </c>
      <c r="I2121" s="9">
        <v>0</v>
      </c>
      <c r="J2121" s="7" t="s">
        <v>325</v>
      </c>
    </row>
    <row r="2122" spans="1:10" x14ac:dyDescent="0.35">
      <c r="A2122" s="7" t="s">
        <v>40</v>
      </c>
      <c r="B2122" s="7" t="s">
        <v>220</v>
      </c>
      <c r="C2122" s="7" t="s">
        <v>118</v>
      </c>
      <c r="D2122" s="9">
        <v>0</v>
      </c>
      <c r="E2122" s="9">
        <v>0</v>
      </c>
      <c r="F2122" s="9">
        <v>0</v>
      </c>
      <c r="G2122" s="9">
        <v>0</v>
      </c>
      <c r="H2122" s="9">
        <v>0</v>
      </c>
      <c r="I2122" s="9">
        <v>0</v>
      </c>
      <c r="J2122" s="7" t="s">
        <v>325</v>
      </c>
    </row>
    <row r="2123" spans="1:10" x14ac:dyDescent="0.35">
      <c r="A2123" s="7" t="s">
        <v>77</v>
      </c>
      <c r="B2123" s="7" t="s">
        <v>149</v>
      </c>
      <c r="C2123" s="7" t="s">
        <v>181</v>
      </c>
      <c r="D2123" s="9">
        <v>0</v>
      </c>
      <c r="E2123" s="9">
        <v>0</v>
      </c>
      <c r="F2123" s="9">
        <v>0</v>
      </c>
      <c r="G2123" s="9">
        <v>0</v>
      </c>
      <c r="H2123" s="9">
        <v>0.02</v>
      </c>
      <c r="I2123" s="9">
        <v>0</v>
      </c>
      <c r="J2123" s="7" t="s">
        <v>325</v>
      </c>
    </row>
    <row r="2124" spans="1:10" x14ac:dyDescent="0.35">
      <c r="A2124" s="7" t="s">
        <v>40</v>
      </c>
      <c r="B2124" s="7" t="s">
        <v>220</v>
      </c>
      <c r="C2124" s="7" t="s">
        <v>116</v>
      </c>
      <c r="D2124" s="9">
        <v>0</v>
      </c>
      <c r="E2124" s="9">
        <v>0</v>
      </c>
      <c r="F2124" s="9">
        <v>0</v>
      </c>
      <c r="G2124" s="9">
        <v>0.25</v>
      </c>
      <c r="H2124" s="9">
        <v>0</v>
      </c>
      <c r="I2124" s="9">
        <v>0</v>
      </c>
      <c r="J2124" s="7" t="s">
        <v>325</v>
      </c>
    </row>
    <row r="2125" spans="1:10" x14ac:dyDescent="0.35">
      <c r="A2125" s="7" t="s">
        <v>77</v>
      </c>
      <c r="B2125" s="7" t="s">
        <v>149</v>
      </c>
      <c r="C2125" s="7" t="s">
        <v>33</v>
      </c>
      <c r="D2125" s="9">
        <v>0</v>
      </c>
      <c r="E2125" s="9">
        <v>0</v>
      </c>
      <c r="F2125" s="9">
        <v>0</v>
      </c>
      <c r="G2125" s="9">
        <v>1</v>
      </c>
      <c r="H2125" s="9">
        <v>0</v>
      </c>
      <c r="I2125" s="9">
        <v>0</v>
      </c>
      <c r="J2125" s="7" t="s">
        <v>325</v>
      </c>
    </row>
    <row r="2126" spans="1:10" x14ac:dyDescent="0.35">
      <c r="A2126" s="7" t="s">
        <v>77</v>
      </c>
      <c r="B2126" s="7" t="s">
        <v>149</v>
      </c>
      <c r="C2126" s="7" t="s">
        <v>170</v>
      </c>
      <c r="D2126" s="9">
        <v>0</v>
      </c>
      <c r="E2126" s="9">
        <v>0</v>
      </c>
      <c r="F2126" s="9">
        <v>0</v>
      </c>
      <c r="G2126" s="9">
        <v>0.01</v>
      </c>
      <c r="H2126" s="9">
        <v>0</v>
      </c>
      <c r="I2126" s="9">
        <v>0</v>
      </c>
      <c r="J2126" s="7" t="s">
        <v>325</v>
      </c>
    </row>
    <row r="2127" spans="1:10" x14ac:dyDescent="0.35">
      <c r="A2127" s="7" t="s">
        <v>40</v>
      </c>
      <c r="B2127" s="7" t="s">
        <v>220</v>
      </c>
      <c r="C2127" s="7" t="s">
        <v>181</v>
      </c>
      <c r="D2127" s="9">
        <v>0</v>
      </c>
      <c r="E2127" s="9">
        <v>0</v>
      </c>
      <c r="F2127" s="9">
        <v>0</v>
      </c>
      <c r="G2127" s="9">
        <v>0.01</v>
      </c>
      <c r="H2127" s="9">
        <v>0</v>
      </c>
      <c r="I2127" s="9">
        <v>0</v>
      </c>
      <c r="J2127" s="7" t="s">
        <v>325</v>
      </c>
    </row>
    <row r="2128" spans="1:10" x14ac:dyDescent="0.35">
      <c r="A2128" s="7" t="s">
        <v>77</v>
      </c>
      <c r="B2128" s="7" t="s">
        <v>149</v>
      </c>
      <c r="C2128" s="7" t="s">
        <v>144</v>
      </c>
      <c r="D2128" s="9">
        <v>0</v>
      </c>
      <c r="E2128" s="9">
        <v>0</v>
      </c>
      <c r="F2128" s="9">
        <v>0</v>
      </c>
      <c r="G2128" s="9">
        <v>0.12</v>
      </c>
      <c r="H2128" s="9">
        <v>0</v>
      </c>
      <c r="I2128" s="9">
        <v>0</v>
      </c>
      <c r="J2128" s="7" t="s">
        <v>325</v>
      </c>
    </row>
    <row r="2129" spans="1:10" x14ac:dyDescent="0.35">
      <c r="A2129" s="7" t="s">
        <v>40</v>
      </c>
      <c r="B2129" s="7" t="s">
        <v>64</v>
      </c>
      <c r="C2129" s="7" t="s">
        <v>60</v>
      </c>
      <c r="D2129" s="9">
        <v>0</v>
      </c>
      <c r="E2129" s="9">
        <v>0.04</v>
      </c>
      <c r="F2129" s="9">
        <v>0</v>
      </c>
      <c r="G2129" s="9">
        <v>0</v>
      </c>
      <c r="H2129" s="9">
        <v>31.1</v>
      </c>
      <c r="I2129" s="9">
        <v>0</v>
      </c>
      <c r="J2129" s="7" t="s">
        <v>325</v>
      </c>
    </row>
    <row r="2130" spans="1:10" x14ac:dyDescent="0.35">
      <c r="A2130" s="7" t="s">
        <v>77</v>
      </c>
      <c r="B2130" s="7" t="s">
        <v>149</v>
      </c>
      <c r="C2130" s="7" t="s">
        <v>65</v>
      </c>
      <c r="D2130" s="9">
        <v>0</v>
      </c>
      <c r="E2130" s="9">
        <v>0.01</v>
      </c>
      <c r="F2130" s="9">
        <v>0</v>
      </c>
      <c r="G2130" s="9">
        <v>0</v>
      </c>
      <c r="H2130" s="9">
        <v>3.66</v>
      </c>
      <c r="I2130" s="9">
        <v>0</v>
      </c>
      <c r="J2130" s="7" t="s">
        <v>325</v>
      </c>
    </row>
    <row r="2131" spans="1:10" x14ac:dyDescent="0.35">
      <c r="A2131" s="7" t="s">
        <v>77</v>
      </c>
      <c r="B2131" s="7" t="s">
        <v>149</v>
      </c>
      <c r="C2131" s="7" t="s">
        <v>55</v>
      </c>
      <c r="D2131" s="9">
        <v>0</v>
      </c>
      <c r="E2131" s="9">
        <v>0</v>
      </c>
      <c r="F2131" s="9">
        <v>0</v>
      </c>
      <c r="G2131" s="9">
        <v>5.2</v>
      </c>
      <c r="H2131" s="9">
        <v>0</v>
      </c>
      <c r="I2131" s="9">
        <v>0</v>
      </c>
      <c r="J2131" s="7" t="s">
        <v>325</v>
      </c>
    </row>
    <row r="2132" spans="1:10" x14ac:dyDescent="0.35">
      <c r="A2132" s="7" t="s">
        <v>40</v>
      </c>
      <c r="B2132" s="7" t="s">
        <v>64</v>
      </c>
      <c r="C2132" s="7" t="s">
        <v>179</v>
      </c>
      <c r="D2132" s="9">
        <v>0</v>
      </c>
      <c r="E2132" s="9">
        <v>0</v>
      </c>
      <c r="F2132" s="9">
        <v>0</v>
      </c>
      <c r="G2132" s="9">
        <v>0.69</v>
      </c>
      <c r="H2132" s="9">
        <v>0</v>
      </c>
      <c r="I2132" s="9">
        <v>0</v>
      </c>
      <c r="J2132" s="7" t="s">
        <v>325</v>
      </c>
    </row>
    <row r="2133" spans="1:10" x14ac:dyDescent="0.35">
      <c r="A2133" s="7" t="s">
        <v>40</v>
      </c>
      <c r="B2133" s="7" t="s">
        <v>64</v>
      </c>
      <c r="C2133" s="7" t="s">
        <v>150</v>
      </c>
      <c r="D2133" s="9">
        <v>0</v>
      </c>
      <c r="E2133" s="9">
        <v>0</v>
      </c>
      <c r="F2133" s="9">
        <v>0</v>
      </c>
      <c r="G2133" s="9">
        <v>0</v>
      </c>
      <c r="H2133" s="9">
        <v>0.21</v>
      </c>
      <c r="I2133" s="9">
        <v>0</v>
      </c>
      <c r="J2133" s="7" t="s">
        <v>325</v>
      </c>
    </row>
    <row r="2134" spans="1:10" x14ac:dyDescent="0.35">
      <c r="A2134" s="7" t="s">
        <v>40</v>
      </c>
      <c r="B2134" s="7" t="s">
        <v>64</v>
      </c>
      <c r="C2134" s="7" t="s">
        <v>142</v>
      </c>
      <c r="D2134" s="9">
        <v>0</v>
      </c>
      <c r="E2134" s="9">
        <v>0.02</v>
      </c>
      <c r="F2134" s="9">
        <v>0</v>
      </c>
      <c r="G2134" s="9">
        <v>0.23</v>
      </c>
      <c r="H2134" s="9">
        <v>27.46</v>
      </c>
      <c r="I2134" s="9">
        <v>0</v>
      </c>
      <c r="J2134" s="7" t="s">
        <v>325</v>
      </c>
    </row>
    <row r="2135" spans="1:10" x14ac:dyDescent="0.35">
      <c r="A2135" s="7" t="s">
        <v>40</v>
      </c>
      <c r="B2135" s="7" t="s">
        <v>64</v>
      </c>
      <c r="C2135" s="7" t="s">
        <v>122</v>
      </c>
      <c r="D2135" s="9">
        <v>0</v>
      </c>
      <c r="E2135" s="9">
        <v>0.18</v>
      </c>
      <c r="F2135" s="9">
        <v>0</v>
      </c>
      <c r="G2135" s="9">
        <v>0</v>
      </c>
      <c r="H2135" s="9">
        <v>161.5</v>
      </c>
      <c r="I2135" s="9">
        <v>0</v>
      </c>
      <c r="J2135" s="7" t="s">
        <v>325</v>
      </c>
    </row>
    <row r="2136" spans="1:10" x14ac:dyDescent="0.35">
      <c r="A2136" s="7" t="s">
        <v>40</v>
      </c>
      <c r="B2136" s="7" t="s">
        <v>64</v>
      </c>
      <c r="C2136" s="7" t="s">
        <v>69</v>
      </c>
      <c r="D2136" s="9">
        <v>0.3</v>
      </c>
      <c r="E2136" s="9">
        <v>0.28999999999999998</v>
      </c>
      <c r="F2136" s="9">
        <v>0</v>
      </c>
      <c r="G2136" s="9">
        <v>168.51</v>
      </c>
      <c r="H2136" s="9">
        <v>367.95</v>
      </c>
      <c r="I2136" s="9">
        <v>0</v>
      </c>
      <c r="J2136" s="7" t="s">
        <v>325</v>
      </c>
    </row>
    <row r="2137" spans="1:10" x14ac:dyDescent="0.35">
      <c r="A2137" s="7" t="s">
        <v>40</v>
      </c>
      <c r="B2137" s="7" t="s">
        <v>64</v>
      </c>
      <c r="C2137" s="7" t="s">
        <v>46</v>
      </c>
      <c r="D2137" s="9">
        <v>0</v>
      </c>
      <c r="E2137" s="9">
        <v>0</v>
      </c>
      <c r="F2137" s="9">
        <v>0</v>
      </c>
      <c r="G2137" s="9">
        <v>0</v>
      </c>
      <c r="H2137" s="9">
        <v>3</v>
      </c>
      <c r="I2137" s="9">
        <v>0</v>
      </c>
      <c r="J2137" s="7" t="s">
        <v>325</v>
      </c>
    </row>
    <row r="2138" spans="1:10" x14ac:dyDescent="0.35">
      <c r="A2138" s="7" t="s">
        <v>77</v>
      </c>
      <c r="B2138" s="7" t="s">
        <v>216</v>
      </c>
      <c r="C2138" s="7" t="s">
        <v>55</v>
      </c>
      <c r="D2138" s="9">
        <v>0</v>
      </c>
      <c r="E2138" s="9">
        <v>0</v>
      </c>
      <c r="F2138" s="9">
        <v>0</v>
      </c>
      <c r="G2138" s="9">
        <v>2.97</v>
      </c>
      <c r="H2138" s="9">
        <v>0</v>
      </c>
      <c r="I2138" s="9">
        <v>0</v>
      </c>
      <c r="J2138" s="7" t="s">
        <v>325</v>
      </c>
    </row>
    <row r="2139" spans="1:10" x14ac:dyDescent="0.35">
      <c r="A2139" s="7" t="s">
        <v>77</v>
      </c>
      <c r="B2139" s="7" t="s">
        <v>216</v>
      </c>
      <c r="C2139" s="7" t="s">
        <v>179</v>
      </c>
      <c r="D2139" s="9">
        <v>0</v>
      </c>
      <c r="E2139" s="9">
        <v>0</v>
      </c>
      <c r="F2139" s="9">
        <v>0</v>
      </c>
      <c r="G2139" s="9">
        <v>0</v>
      </c>
      <c r="H2139" s="9">
        <v>0</v>
      </c>
      <c r="I2139" s="9">
        <v>0</v>
      </c>
      <c r="J2139" s="7" t="s">
        <v>325</v>
      </c>
    </row>
    <row r="2140" spans="1:10" x14ac:dyDescent="0.35">
      <c r="A2140" s="7" t="s">
        <v>77</v>
      </c>
      <c r="B2140" s="7" t="s">
        <v>266</v>
      </c>
      <c r="C2140" s="7" t="s">
        <v>48</v>
      </c>
      <c r="D2140" s="9">
        <v>0</v>
      </c>
      <c r="E2140" s="9">
        <v>0</v>
      </c>
      <c r="F2140" s="9">
        <v>0</v>
      </c>
      <c r="G2140" s="9">
        <v>0</v>
      </c>
      <c r="H2140" s="9">
        <v>0.17</v>
      </c>
      <c r="I2140" s="9">
        <v>0</v>
      </c>
      <c r="J2140" s="7" t="s">
        <v>325</v>
      </c>
    </row>
    <row r="2141" spans="1:10" x14ac:dyDescent="0.35">
      <c r="A2141" s="7" t="s">
        <v>40</v>
      </c>
      <c r="B2141" s="7" t="s">
        <v>64</v>
      </c>
      <c r="C2141" s="7" t="s">
        <v>118</v>
      </c>
      <c r="D2141" s="9">
        <v>0</v>
      </c>
      <c r="E2141" s="9">
        <v>0</v>
      </c>
      <c r="F2141" s="9">
        <v>0</v>
      </c>
      <c r="G2141" s="9">
        <v>0.01</v>
      </c>
      <c r="H2141" s="9">
        <v>0</v>
      </c>
      <c r="I2141" s="9">
        <v>0</v>
      </c>
      <c r="J2141" s="7" t="s">
        <v>325</v>
      </c>
    </row>
    <row r="2142" spans="1:10" x14ac:dyDescent="0.35">
      <c r="A2142" s="7" t="s">
        <v>40</v>
      </c>
      <c r="B2142" s="7" t="s">
        <v>64</v>
      </c>
      <c r="C2142" s="7" t="s">
        <v>170</v>
      </c>
      <c r="D2142" s="9">
        <v>0</v>
      </c>
      <c r="E2142" s="9">
        <v>0</v>
      </c>
      <c r="F2142" s="9">
        <v>0</v>
      </c>
      <c r="G2142" s="9">
        <v>0</v>
      </c>
      <c r="H2142" s="9">
        <v>0.27</v>
      </c>
      <c r="I2142" s="9">
        <v>0</v>
      </c>
      <c r="J2142" s="7" t="s">
        <v>325</v>
      </c>
    </row>
    <row r="2143" spans="1:10" x14ac:dyDescent="0.35">
      <c r="A2143" s="7" t="s">
        <v>77</v>
      </c>
      <c r="B2143" s="7" t="s">
        <v>78</v>
      </c>
      <c r="C2143" s="7" t="s">
        <v>83</v>
      </c>
      <c r="D2143" s="9">
        <v>0</v>
      </c>
      <c r="E2143" s="9">
        <v>0</v>
      </c>
      <c r="F2143" s="9">
        <v>0</v>
      </c>
      <c r="G2143" s="9">
        <v>0</v>
      </c>
      <c r="H2143" s="9">
        <v>0.25</v>
      </c>
      <c r="I2143" s="9">
        <v>0</v>
      </c>
      <c r="J2143" s="7" t="s">
        <v>325</v>
      </c>
    </row>
    <row r="2144" spans="1:10" x14ac:dyDescent="0.35">
      <c r="A2144" s="7" t="s">
        <v>77</v>
      </c>
      <c r="B2144" s="7" t="s">
        <v>78</v>
      </c>
      <c r="C2144" s="7" t="s">
        <v>179</v>
      </c>
      <c r="D2144" s="9">
        <v>0.05</v>
      </c>
      <c r="E2144" s="9">
        <v>0.44</v>
      </c>
      <c r="F2144" s="9">
        <v>0</v>
      </c>
      <c r="G2144" s="9">
        <v>4.42</v>
      </c>
      <c r="H2144" s="9">
        <v>309.42</v>
      </c>
      <c r="I2144" s="9">
        <v>0</v>
      </c>
      <c r="J2144" s="7" t="s">
        <v>325</v>
      </c>
    </row>
    <row r="2145" spans="1:10" x14ac:dyDescent="0.35">
      <c r="A2145" s="7" t="s">
        <v>77</v>
      </c>
      <c r="B2145" s="7" t="s">
        <v>78</v>
      </c>
      <c r="C2145" s="7" t="s">
        <v>22</v>
      </c>
      <c r="D2145" s="9">
        <v>0</v>
      </c>
      <c r="E2145" s="9">
        <v>0.01</v>
      </c>
      <c r="F2145" s="9">
        <v>0</v>
      </c>
      <c r="G2145" s="9">
        <v>0</v>
      </c>
      <c r="H2145" s="9">
        <v>0.5</v>
      </c>
      <c r="I2145" s="9">
        <v>0</v>
      </c>
      <c r="J2145" s="7" t="s">
        <v>325</v>
      </c>
    </row>
    <row r="2146" spans="1:10" x14ac:dyDescent="0.35">
      <c r="A2146" s="7" t="s">
        <v>40</v>
      </c>
      <c r="B2146" s="7" t="s">
        <v>64</v>
      </c>
      <c r="C2146" s="7" t="s">
        <v>181</v>
      </c>
      <c r="D2146" s="9">
        <v>0</v>
      </c>
      <c r="E2146" s="9">
        <v>0</v>
      </c>
      <c r="F2146" s="9">
        <v>0</v>
      </c>
      <c r="G2146" s="9">
        <v>0</v>
      </c>
      <c r="H2146" s="9">
        <v>0.39</v>
      </c>
      <c r="I2146" s="9">
        <v>0</v>
      </c>
      <c r="J2146" s="7" t="s">
        <v>325</v>
      </c>
    </row>
    <row r="2147" spans="1:10" x14ac:dyDescent="0.35">
      <c r="A2147" s="7" t="s">
        <v>40</v>
      </c>
      <c r="B2147" s="7" t="s">
        <v>267</v>
      </c>
      <c r="C2147" s="7" t="s">
        <v>84</v>
      </c>
      <c r="D2147" s="9">
        <v>0</v>
      </c>
      <c r="E2147" s="9">
        <v>0</v>
      </c>
      <c r="F2147" s="9">
        <v>0</v>
      </c>
      <c r="G2147" s="9">
        <v>0.2</v>
      </c>
      <c r="H2147" s="9">
        <v>0.4</v>
      </c>
      <c r="I2147" s="9">
        <v>0</v>
      </c>
      <c r="J2147" s="7" t="s">
        <v>325</v>
      </c>
    </row>
    <row r="2148" spans="1:10" x14ac:dyDescent="0.35">
      <c r="A2148" s="7" t="s">
        <v>40</v>
      </c>
      <c r="B2148" s="7" t="s">
        <v>267</v>
      </c>
      <c r="C2148" s="7" t="s">
        <v>150</v>
      </c>
      <c r="D2148" s="9">
        <v>0</v>
      </c>
      <c r="E2148" s="9">
        <v>0</v>
      </c>
      <c r="F2148" s="9">
        <v>0</v>
      </c>
      <c r="G2148" s="9">
        <v>0.1</v>
      </c>
      <c r="H2148" s="9">
        <v>0</v>
      </c>
      <c r="I2148" s="9">
        <v>0</v>
      </c>
      <c r="J2148" s="7" t="s">
        <v>325</v>
      </c>
    </row>
    <row r="2149" spans="1:10" x14ac:dyDescent="0.35">
      <c r="A2149" s="7" t="s">
        <v>40</v>
      </c>
      <c r="B2149" s="7" t="s">
        <v>267</v>
      </c>
      <c r="C2149" s="7" t="s">
        <v>48</v>
      </c>
      <c r="D2149" s="9">
        <v>0.13</v>
      </c>
      <c r="E2149" s="9">
        <v>0.02</v>
      </c>
      <c r="F2149" s="9">
        <v>0</v>
      </c>
      <c r="G2149" s="9">
        <v>63.52</v>
      </c>
      <c r="H2149" s="9">
        <v>7.34</v>
      </c>
      <c r="I2149" s="9">
        <v>0</v>
      </c>
      <c r="J2149" s="7" t="s">
        <v>325</v>
      </c>
    </row>
    <row r="2150" spans="1:10" x14ac:dyDescent="0.35">
      <c r="A2150" s="7" t="s">
        <v>40</v>
      </c>
      <c r="B2150" s="7" t="s">
        <v>267</v>
      </c>
      <c r="C2150" s="7" t="s">
        <v>59</v>
      </c>
      <c r="D2150" s="9">
        <v>0.01</v>
      </c>
      <c r="E2150" s="9">
        <v>0</v>
      </c>
      <c r="F2150" s="9">
        <v>0</v>
      </c>
      <c r="G2150" s="9">
        <v>2.44</v>
      </c>
      <c r="H2150" s="9">
        <v>0</v>
      </c>
      <c r="I2150" s="9">
        <v>0</v>
      </c>
      <c r="J2150" s="7" t="s">
        <v>325</v>
      </c>
    </row>
    <row r="2151" spans="1:10" x14ac:dyDescent="0.35">
      <c r="A2151" s="7" t="s">
        <v>40</v>
      </c>
      <c r="B2151" s="7" t="s">
        <v>267</v>
      </c>
      <c r="C2151" s="7" t="s">
        <v>72</v>
      </c>
      <c r="D2151" s="9">
        <v>0.32</v>
      </c>
      <c r="E2151" s="9">
        <v>0.03</v>
      </c>
      <c r="F2151" s="9">
        <v>0</v>
      </c>
      <c r="G2151" s="9">
        <v>42.2</v>
      </c>
      <c r="H2151" s="9">
        <v>3.17</v>
      </c>
      <c r="I2151" s="9">
        <v>0</v>
      </c>
      <c r="J2151" s="7" t="s">
        <v>325</v>
      </c>
    </row>
    <row r="2152" spans="1:10" x14ac:dyDescent="0.35">
      <c r="A2152" s="7" t="s">
        <v>40</v>
      </c>
      <c r="B2152" s="7" t="s">
        <v>267</v>
      </c>
      <c r="C2152" s="7" t="s">
        <v>53</v>
      </c>
      <c r="D2152" s="9">
        <v>0.18</v>
      </c>
      <c r="E2152" s="9">
        <v>0.01</v>
      </c>
      <c r="F2152" s="9">
        <v>0</v>
      </c>
      <c r="G2152" s="9">
        <v>141.72999999999999</v>
      </c>
      <c r="H2152" s="9">
        <v>3.5</v>
      </c>
      <c r="I2152" s="9">
        <v>0</v>
      </c>
      <c r="J2152" s="7" t="s">
        <v>325</v>
      </c>
    </row>
    <row r="2153" spans="1:10" x14ac:dyDescent="0.35">
      <c r="A2153" s="7" t="s">
        <v>40</v>
      </c>
      <c r="B2153" s="7" t="s">
        <v>267</v>
      </c>
      <c r="C2153" s="7" t="s">
        <v>65</v>
      </c>
      <c r="D2153" s="9">
        <v>0.03</v>
      </c>
      <c r="E2153" s="9">
        <v>0</v>
      </c>
      <c r="F2153" s="9">
        <v>0</v>
      </c>
      <c r="G2153" s="9">
        <v>31.38</v>
      </c>
      <c r="H2153" s="9">
        <v>1</v>
      </c>
      <c r="I2153" s="9">
        <v>0</v>
      </c>
      <c r="J2153" s="7" t="s">
        <v>325</v>
      </c>
    </row>
    <row r="2154" spans="1:10" x14ac:dyDescent="0.35">
      <c r="A2154" s="7" t="s">
        <v>40</v>
      </c>
      <c r="B2154" s="7" t="s">
        <v>267</v>
      </c>
      <c r="C2154" s="7" t="s">
        <v>144</v>
      </c>
      <c r="D2154" s="9">
        <v>0</v>
      </c>
      <c r="E2154" s="9">
        <v>0</v>
      </c>
      <c r="F2154" s="9">
        <v>0</v>
      </c>
      <c r="G2154" s="9">
        <v>1.93</v>
      </c>
      <c r="H2154" s="9">
        <v>0</v>
      </c>
      <c r="I2154" s="9">
        <v>0</v>
      </c>
      <c r="J2154" s="7" t="s">
        <v>325</v>
      </c>
    </row>
    <row r="2155" spans="1:10" x14ac:dyDescent="0.35">
      <c r="A2155" s="7" t="s">
        <v>40</v>
      </c>
      <c r="B2155" s="7" t="s">
        <v>267</v>
      </c>
      <c r="C2155" s="7" t="s">
        <v>39</v>
      </c>
      <c r="D2155" s="9">
        <v>0.15</v>
      </c>
      <c r="E2155" s="9">
        <v>0</v>
      </c>
      <c r="F2155" s="9">
        <v>0</v>
      </c>
      <c r="G2155" s="9">
        <v>64.62</v>
      </c>
      <c r="H2155" s="9">
        <v>0.61</v>
      </c>
      <c r="I2155" s="9">
        <v>0</v>
      </c>
      <c r="J2155" s="7" t="s">
        <v>325</v>
      </c>
    </row>
    <row r="2156" spans="1:10" x14ac:dyDescent="0.35">
      <c r="A2156" s="7" t="s">
        <v>40</v>
      </c>
      <c r="B2156" s="7" t="s">
        <v>267</v>
      </c>
      <c r="C2156" s="7" t="s">
        <v>45</v>
      </c>
      <c r="D2156" s="9">
        <v>0</v>
      </c>
      <c r="E2156" s="9">
        <v>0</v>
      </c>
      <c r="F2156" s="9">
        <v>0</v>
      </c>
      <c r="G2156" s="9">
        <v>0.2</v>
      </c>
      <c r="H2156" s="9">
        <v>0</v>
      </c>
      <c r="I2156" s="9">
        <v>0</v>
      </c>
      <c r="J2156" s="7" t="s">
        <v>325</v>
      </c>
    </row>
    <row r="2157" spans="1:10" x14ac:dyDescent="0.35">
      <c r="A2157" s="7" t="s">
        <v>40</v>
      </c>
      <c r="B2157" s="7" t="s">
        <v>267</v>
      </c>
      <c r="C2157" s="7" t="s">
        <v>170</v>
      </c>
      <c r="D2157" s="9">
        <v>0.02</v>
      </c>
      <c r="E2157" s="9">
        <v>0</v>
      </c>
      <c r="F2157" s="9">
        <v>0</v>
      </c>
      <c r="G2157" s="9">
        <v>1.94</v>
      </c>
      <c r="H2157" s="9">
        <v>0</v>
      </c>
      <c r="I2157" s="9">
        <v>0</v>
      </c>
      <c r="J2157" s="7" t="s">
        <v>325</v>
      </c>
    </row>
    <row r="2158" spans="1:10" x14ac:dyDescent="0.35">
      <c r="A2158" s="7" t="s">
        <v>40</v>
      </c>
      <c r="B2158" s="7" t="s">
        <v>267</v>
      </c>
      <c r="C2158" s="7" t="s">
        <v>54</v>
      </c>
      <c r="D2158" s="9">
        <v>0.1</v>
      </c>
      <c r="E2158" s="9">
        <v>0</v>
      </c>
      <c r="F2158" s="9">
        <v>0</v>
      </c>
      <c r="G2158" s="9">
        <v>54.65</v>
      </c>
      <c r="H2158" s="9">
        <v>0.2</v>
      </c>
      <c r="I2158" s="9">
        <v>0</v>
      </c>
      <c r="J2158" s="7" t="s">
        <v>325</v>
      </c>
    </row>
    <row r="2159" spans="1:10" x14ac:dyDescent="0.35">
      <c r="A2159" s="7" t="s">
        <v>40</v>
      </c>
      <c r="B2159" s="7" t="s">
        <v>267</v>
      </c>
      <c r="C2159" s="7" t="s">
        <v>42</v>
      </c>
      <c r="D2159" s="9">
        <v>0</v>
      </c>
      <c r="E2159" s="9">
        <v>0</v>
      </c>
      <c r="F2159" s="9">
        <v>0</v>
      </c>
      <c r="G2159" s="9">
        <v>1.73</v>
      </c>
      <c r="H2159" s="9">
        <v>0</v>
      </c>
      <c r="I2159" s="9">
        <v>0</v>
      </c>
      <c r="J2159" s="7" t="s">
        <v>325</v>
      </c>
    </row>
    <row r="2160" spans="1:10" x14ac:dyDescent="0.35">
      <c r="A2160" s="7" t="s">
        <v>40</v>
      </c>
      <c r="B2160" s="7" t="s">
        <v>267</v>
      </c>
      <c r="C2160" s="7" t="s">
        <v>33</v>
      </c>
      <c r="D2160" s="9">
        <v>0.01</v>
      </c>
      <c r="E2160" s="9">
        <v>0</v>
      </c>
      <c r="F2160" s="9">
        <v>0</v>
      </c>
      <c r="G2160" s="9">
        <v>5.63</v>
      </c>
      <c r="H2160" s="9">
        <v>0</v>
      </c>
      <c r="I2160" s="9">
        <v>0</v>
      </c>
      <c r="J2160" s="7" t="s">
        <v>325</v>
      </c>
    </row>
    <row r="2161" spans="1:10" x14ac:dyDescent="0.35">
      <c r="A2161" s="7" t="s">
        <v>77</v>
      </c>
      <c r="B2161" s="7" t="s">
        <v>78</v>
      </c>
      <c r="C2161" s="7" t="s">
        <v>174</v>
      </c>
      <c r="D2161" s="9">
        <v>0.09</v>
      </c>
      <c r="E2161" s="9">
        <v>0</v>
      </c>
      <c r="F2161" s="9">
        <v>0</v>
      </c>
      <c r="G2161" s="9">
        <v>7.38</v>
      </c>
      <c r="H2161" s="9">
        <v>0</v>
      </c>
      <c r="I2161" s="9">
        <v>0</v>
      </c>
      <c r="J2161" s="7" t="s">
        <v>325</v>
      </c>
    </row>
    <row r="2162" spans="1:10" x14ac:dyDescent="0.35">
      <c r="A2162" s="7" t="s">
        <v>40</v>
      </c>
      <c r="B2162" s="7" t="s">
        <v>183</v>
      </c>
      <c r="C2162" s="7" t="s">
        <v>22</v>
      </c>
      <c r="D2162" s="9">
        <v>0</v>
      </c>
      <c r="E2162" s="9">
        <v>0.7</v>
      </c>
      <c r="F2162" s="9">
        <v>0</v>
      </c>
      <c r="G2162" s="9">
        <v>0</v>
      </c>
      <c r="H2162" s="9">
        <v>205.28</v>
      </c>
      <c r="I2162" s="9">
        <v>0</v>
      </c>
      <c r="J2162" s="7" t="s">
        <v>325</v>
      </c>
    </row>
    <row r="2163" spans="1:10" x14ac:dyDescent="0.35">
      <c r="A2163" s="7" t="s">
        <v>77</v>
      </c>
      <c r="B2163" s="7" t="s">
        <v>132</v>
      </c>
      <c r="C2163" s="7" t="s">
        <v>93</v>
      </c>
      <c r="D2163" s="9">
        <v>0</v>
      </c>
      <c r="E2163" s="9">
        <v>0</v>
      </c>
      <c r="F2163" s="9">
        <v>0</v>
      </c>
      <c r="G2163" s="9">
        <v>0.14000000000000001</v>
      </c>
      <c r="H2163" s="9">
        <v>0</v>
      </c>
      <c r="I2163" s="9">
        <v>0</v>
      </c>
      <c r="J2163" s="7" t="s">
        <v>325</v>
      </c>
    </row>
    <row r="2164" spans="1:10" x14ac:dyDescent="0.35">
      <c r="A2164" s="7" t="s">
        <v>40</v>
      </c>
      <c r="B2164" s="7" t="s">
        <v>183</v>
      </c>
      <c r="C2164" s="7" t="s">
        <v>179</v>
      </c>
      <c r="D2164" s="9">
        <v>0</v>
      </c>
      <c r="E2164" s="9">
        <v>0.43</v>
      </c>
      <c r="F2164" s="9">
        <v>0</v>
      </c>
      <c r="G2164" s="9">
        <v>0</v>
      </c>
      <c r="H2164" s="9">
        <v>376.88</v>
      </c>
      <c r="I2164" s="9">
        <v>0</v>
      </c>
      <c r="J2164" s="7" t="s">
        <v>325</v>
      </c>
    </row>
    <row r="2165" spans="1:10" x14ac:dyDescent="0.35">
      <c r="A2165" s="7" t="s">
        <v>77</v>
      </c>
      <c r="B2165" s="7" t="s">
        <v>132</v>
      </c>
      <c r="C2165" s="7" t="s">
        <v>221</v>
      </c>
      <c r="D2165" s="9">
        <v>0.01</v>
      </c>
      <c r="E2165" s="9">
        <v>0</v>
      </c>
      <c r="F2165" s="9">
        <v>0</v>
      </c>
      <c r="G2165" s="9">
        <v>0.5</v>
      </c>
      <c r="H2165" s="9">
        <v>0</v>
      </c>
      <c r="I2165" s="9">
        <v>0</v>
      </c>
      <c r="J2165" s="7" t="s">
        <v>325</v>
      </c>
    </row>
    <row r="2166" spans="1:10" x14ac:dyDescent="0.35">
      <c r="A2166" s="7" t="s">
        <v>77</v>
      </c>
      <c r="B2166" s="7" t="s">
        <v>132</v>
      </c>
      <c r="C2166" s="7" t="s">
        <v>128</v>
      </c>
      <c r="D2166" s="9">
        <v>7.0000000000000007E-2</v>
      </c>
      <c r="E2166" s="9">
        <v>0</v>
      </c>
      <c r="F2166" s="9">
        <v>0</v>
      </c>
      <c r="G2166" s="9">
        <v>3.16</v>
      </c>
      <c r="H2166" s="9">
        <v>0</v>
      </c>
      <c r="I2166" s="9">
        <v>0</v>
      </c>
      <c r="J2166" s="7" t="s">
        <v>325</v>
      </c>
    </row>
    <row r="2167" spans="1:10" x14ac:dyDescent="0.35">
      <c r="A2167" s="7" t="s">
        <v>40</v>
      </c>
      <c r="B2167" s="7" t="s">
        <v>183</v>
      </c>
      <c r="C2167" s="7" t="s">
        <v>69</v>
      </c>
      <c r="D2167" s="9">
        <v>0</v>
      </c>
      <c r="E2167" s="9">
        <v>0</v>
      </c>
      <c r="F2167" s="9">
        <v>0</v>
      </c>
      <c r="G2167" s="9">
        <v>0.09</v>
      </c>
      <c r="H2167" s="9">
        <v>0.09</v>
      </c>
      <c r="I2167" s="9">
        <v>0</v>
      </c>
      <c r="J2167" s="7" t="s">
        <v>325</v>
      </c>
    </row>
    <row r="2168" spans="1:10" x14ac:dyDescent="0.35">
      <c r="A2168" s="7" t="s">
        <v>40</v>
      </c>
      <c r="B2168" s="7" t="s">
        <v>183</v>
      </c>
      <c r="C2168" s="7" t="s">
        <v>51</v>
      </c>
      <c r="D2168" s="9">
        <v>0</v>
      </c>
      <c r="E2168" s="9">
        <v>0</v>
      </c>
      <c r="F2168" s="9">
        <v>0</v>
      </c>
      <c r="G2168" s="9">
        <v>0.03</v>
      </c>
      <c r="H2168" s="9">
        <v>0.04</v>
      </c>
      <c r="I2168" s="9">
        <v>0</v>
      </c>
      <c r="J2168" s="7" t="s">
        <v>325</v>
      </c>
    </row>
    <row r="2169" spans="1:10" x14ac:dyDescent="0.35">
      <c r="A2169" s="7" t="s">
        <v>40</v>
      </c>
      <c r="B2169" s="7" t="s">
        <v>183</v>
      </c>
      <c r="C2169" s="7" t="s">
        <v>151</v>
      </c>
      <c r="D2169" s="9">
        <v>0</v>
      </c>
      <c r="E2169" s="9">
        <v>0</v>
      </c>
      <c r="F2169" s="9">
        <v>0</v>
      </c>
      <c r="G2169" s="9">
        <v>0</v>
      </c>
      <c r="H2169" s="9">
        <v>1.72</v>
      </c>
      <c r="I2169" s="9">
        <v>0</v>
      </c>
      <c r="J2169" s="7" t="s">
        <v>325</v>
      </c>
    </row>
    <row r="2170" spans="1:10" x14ac:dyDescent="0.35">
      <c r="A2170" s="7" t="s">
        <v>77</v>
      </c>
      <c r="B2170" s="7" t="s">
        <v>132</v>
      </c>
      <c r="C2170" s="7" t="s">
        <v>126</v>
      </c>
      <c r="D2170" s="9">
        <v>0</v>
      </c>
      <c r="E2170" s="9">
        <v>0</v>
      </c>
      <c r="F2170" s="9">
        <v>0</v>
      </c>
      <c r="G2170" s="9">
        <v>0.05</v>
      </c>
      <c r="H2170" s="9">
        <v>0.92</v>
      </c>
      <c r="I2170" s="9">
        <v>0</v>
      </c>
      <c r="J2170" s="7" t="s">
        <v>325</v>
      </c>
    </row>
    <row r="2171" spans="1:10" x14ac:dyDescent="0.35">
      <c r="A2171" s="7" t="s">
        <v>77</v>
      </c>
      <c r="B2171" s="7" t="s">
        <v>132</v>
      </c>
      <c r="C2171" s="7" t="s">
        <v>144</v>
      </c>
      <c r="D2171" s="9">
        <v>0</v>
      </c>
      <c r="E2171" s="9">
        <v>0</v>
      </c>
      <c r="F2171" s="9">
        <v>0</v>
      </c>
      <c r="G2171" s="9">
        <v>0</v>
      </c>
      <c r="H2171" s="9">
        <v>0.42</v>
      </c>
      <c r="I2171" s="9">
        <v>0</v>
      </c>
      <c r="J2171" s="7" t="s">
        <v>325</v>
      </c>
    </row>
    <row r="2172" spans="1:10" x14ac:dyDescent="0.35">
      <c r="A2172" s="7" t="s">
        <v>40</v>
      </c>
      <c r="B2172" s="7" t="s">
        <v>183</v>
      </c>
      <c r="C2172" s="7" t="s">
        <v>118</v>
      </c>
      <c r="D2172" s="9">
        <v>0</v>
      </c>
      <c r="E2172" s="9">
        <v>0</v>
      </c>
      <c r="F2172" s="9">
        <v>0</v>
      </c>
      <c r="G2172" s="9">
        <v>0.17</v>
      </c>
      <c r="H2172" s="9">
        <v>7.0000000000000007E-2</v>
      </c>
      <c r="I2172" s="9">
        <v>0</v>
      </c>
      <c r="J2172" s="7" t="s">
        <v>325</v>
      </c>
    </row>
    <row r="2173" spans="1:10" x14ac:dyDescent="0.35">
      <c r="A2173" s="7" t="s">
        <v>77</v>
      </c>
      <c r="B2173" s="7" t="s">
        <v>132</v>
      </c>
      <c r="C2173" s="7" t="s">
        <v>151</v>
      </c>
      <c r="D2173" s="9">
        <v>0</v>
      </c>
      <c r="E2173" s="9">
        <v>0</v>
      </c>
      <c r="F2173" s="9">
        <v>0</v>
      </c>
      <c r="G2173" s="9">
        <v>7.0000000000000007E-2</v>
      </c>
      <c r="H2173" s="9">
        <v>0</v>
      </c>
      <c r="I2173" s="9">
        <v>0</v>
      </c>
      <c r="J2173" s="7" t="s">
        <v>325</v>
      </c>
    </row>
    <row r="2174" spans="1:10" x14ac:dyDescent="0.35">
      <c r="A2174" s="7" t="s">
        <v>40</v>
      </c>
      <c r="B2174" s="7" t="s">
        <v>183</v>
      </c>
      <c r="C2174" s="7" t="s">
        <v>170</v>
      </c>
      <c r="D2174" s="9">
        <v>0.08</v>
      </c>
      <c r="E2174" s="9">
        <v>0.02</v>
      </c>
      <c r="F2174" s="9">
        <v>0</v>
      </c>
      <c r="G2174" s="9">
        <v>18.32</v>
      </c>
      <c r="H2174" s="9">
        <v>1.41</v>
      </c>
      <c r="I2174" s="9">
        <v>0</v>
      </c>
      <c r="J2174" s="7" t="s">
        <v>325</v>
      </c>
    </row>
    <row r="2175" spans="1:10" x14ac:dyDescent="0.35">
      <c r="A2175" s="7" t="s">
        <v>77</v>
      </c>
      <c r="B2175" s="7" t="s">
        <v>132</v>
      </c>
      <c r="C2175" s="7" t="s">
        <v>62</v>
      </c>
      <c r="D2175" s="9">
        <v>0</v>
      </c>
      <c r="E2175" s="9">
        <v>0</v>
      </c>
      <c r="F2175" s="9">
        <v>0</v>
      </c>
      <c r="G2175" s="9">
        <v>0</v>
      </c>
      <c r="H2175" s="9">
        <v>0.15</v>
      </c>
      <c r="I2175" s="9">
        <v>0</v>
      </c>
      <c r="J2175" s="7" t="s">
        <v>325</v>
      </c>
    </row>
    <row r="2176" spans="1:10" x14ac:dyDescent="0.35">
      <c r="A2176" s="7" t="s">
        <v>77</v>
      </c>
      <c r="B2176" s="7" t="s">
        <v>132</v>
      </c>
      <c r="C2176" s="7" t="s">
        <v>46</v>
      </c>
      <c r="D2176" s="9">
        <v>0</v>
      </c>
      <c r="E2176" s="9">
        <v>0</v>
      </c>
      <c r="F2176" s="9">
        <v>0</v>
      </c>
      <c r="G2176" s="9">
        <v>0.03</v>
      </c>
      <c r="H2176" s="9">
        <v>0</v>
      </c>
      <c r="I2176" s="9">
        <v>0</v>
      </c>
      <c r="J2176" s="7" t="s">
        <v>325</v>
      </c>
    </row>
    <row r="2177" spans="1:10" x14ac:dyDescent="0.35">
      <c r="A2177" s="7" t="s">
        <v>77</v>
      </c>
      <c r="B2177" s="7" t="s">
        <v>132</v>
      </c>
      <c r="C2177" s="7" t="s">
        <v>51</v>
      </c>
      <c r="D2177" s="9">
        <v>0</v>
      </c>
      <c r="E2177" s="9">
        <v>0</v>
      </c>
      <c r="F2177" s="9">
        <v>0</v>
      </c>
      <c r="G2177" s="9">
        <v>0.42</v>
      </c>
      <c r="H2177" s="9">
        <v>0</v>
      </c>
      <c r="I2177" s="9">
        <v>0</v>
      </c>
      <c r="J2177" s="7" t="s">
        <v>325</v>
      </c>
    </row>
    <row r="2178" spans="1:10" x14ac:dyDescent="0.35">
      <c r="A2178" s="7" t="s">
        <v>40</v>
      </c>
      <c r="B2178" s="7" t="s">
        <v>183</v>
      </c>
      <c r="C2178" s="7" t="s">
        <v>93</v>
      </c>
      <c r="D2178" s="9">
        <v>0</v>
      </c>
      <c r="E2178" s="9">
        <v>0.78</v>
      </c>
      <c r="F2178" s="9">
        <v>0</v>
      </c>
      <c r="G2178" s="9">
        <v>0</v>
      </c>
      <c r="H2178" s="9">
        <v>238.77</v>
      </c>
      <c r="I2178" s="9">
        <v>0</v>
      </c>
      <c r="J2178" s="7" t="s">
        <v>325</v>
      </c>
    </row>
    <row r="2179" spans="1:10" x14ac:dyDescent="0.35">
      <c r="A2179" s="7" t="s">
        <v>40</v>
      </c>
      <c r="B2179" s="7" t="s">
        <v>268</v>
      </c>
      <c r="C2179" s="7" t="s">
        <v>53</v>
      </c>
      <c r="D2179" s="9">
        <v>0.41</v>
      </c>
      <c r="E2179" s="9">
        <v>0</v>
      </c>
      <c r="F2179" s="9">
        <v>0</v>
      </c>
      <c r="G2179" s="9">
        <v>157.32</v>
      </c>
      <c r="H2179" s="9">
        <v>0</v>
      </c>
      <c r="I2179" s="9">
        <v>0</v>
      </c>
      <c r="J2179" s="7" t="s">
        <v>325</v>
      </c>
    </row>
    <row r="2180" spans="1:10" x14ac:dyDescent="0.35">
      <c r="A2180" s="7" t="s">
        <v>40</v>
      </c>
      <c r="B2180" s="7" t="s">
        <v>269</v>
      </c>
      <c r="C2180" s="7" t="s">
        <v>60</v>
      </c>
      <c r="D2180" s="9">
        <v>0</v>
      </c>
      <c r="E2180" s="9">
        <v>0.57999999999999996</v>
      </c>
      <c r="F2180" s="9">
        <v>0</v>
      </c>
      <c r="G2180" s="9">
        <v>0</v>
      </c>
      <c r="H2180" s="9">
        <v>14.11</v>
      </c>
      <c r="I2180" s="9">
        <v>0</v>
      </c>
      <c r="J2180" s="7" t="s">
        <v>325</v>
      </c>
    </row>
    <row r="2181" spans="1:10" x14ac:dyDescent="0.35">
      <c r="A2181" s="7" t="s">
        <v>40</v>
      </c>
      <c r="B2181" s="7" t="s">
        <v>269</v>
      </c>
      <c r="C2181" s="7" t="s">
        <v>84</v>
      </c>
      <c r="D2181" s="9">
        <v>0</v>
      </c>
      <c r="E2181" s="9">
        <v>0</v>
      </c>
      <c r="F2181" s="9">
        <v>0</v>
      </c>
      <c r="G2181" s="9">
        <v>0.01</v>
      </c>
      <c r="H2181" s="9">
        <v>0</v>
      </c>
      <c r="I2181" s="9">
        <v>0</v>
      </c>
      <c r="J2181" s="7" t="s">
        <v>325</v>
      </c>
    </row>
    <row r="2182" spans="1:10" x14ac:dyDescent="0.35">
      <c r="A2182" s="7" t="s">
        <v>40</v>
      </c>
      <c r="B2182" s="7" t="s">
        <v>269</v>
      </c>
      <c r="C2182" s="7" t="s">
        <v>48</v>
      </c>
      <c r="D2182" s="9">
        <v>0.05</v>
      </c>
      <c r="E2182" s="9">
        <v>0</v>
      </c>
      <c r="F2182" s="9">
        <v>0</v>
      </c>
      <c r="G2182" s="9">
        <v>17.32</v>
      </c>
      <c r="H2182" s="9">
        <v>0</v>
      </c>
      <c r="I2182" s="9">
        <v>0</v>
      </c>
      <c r="J2182" s="7" t="s">
        <v>325</v>
      </c>
    </row>
    <row r="2183" spans="1:10" x14ac:dyDescent="0.35">
      <c r="A2183" s="7" t="s">
        <v>40</v>
      </c>
      <c r="B2183" s="7" t="s">
        <v>269</v>
      </c>
      <c r="C2183" s="7" t="s">
        <v>59</v>
      </c>
      <c r="D2183" s="9">
        <v>0.09</v>
      </c>
      <c r="E2183" s="9">
        <v>0.01</v>
      </c>
      <c r="F2183" s="9">
        <v>0</v>
      </c>
      <c r="G2183" s="9">
        <v>1.99</v>
      </c>
      <c r="H2183" s="9">
        <v>1.1000000000000001</v>
      </c>
      <c r="I2183" s="9">
        <v>0</v>
      </c>
      <c r="J2183" s="7" t="s">
        <v>325</v>
      </c>
    </row>
    <row r="2184" spans="1:10" x14ac:dyDescent="0.35">
      <c r="A2184" s="7" t="s">
        <v>40</v>
      </c>
      <c r="B2184" s="7" t="s">
        <v>269</v>
      </c>
      <c r="C2184" s="7" t="s">
        <v>72</v>
      </c>
      <c r="D2184" s="9">
        <v>0</v>
      </c>
      <c r="E2184" s="9">
        <v>0</v>
      </c>
      <c r="F2184" s="9">
        <v>0</v>
      </c>
      <c r="G2184" s="9">
        <v>0.05</v>
      </c>
      <c r="H2184" s="9">
        <v>0</v>
      </c>
      <c r="I2184" s="9">
        <v>0</v>
      </c>
      <c r="J2184" s="7" t="s">
        <v>325</v>
      </c>
    </row>
    <row r="2185" spans="1:10" x14ac:dyDescent="0.35">
      <c r="A2185" s="7" t="s">
        <v>40</v>
      </c>
      <c r="B2185" s="7" t="s">
        <v>269</v>
      </c>
      <c r="C2185" s="7" t="s">
        <v>53</v>
      </c>
      <c r="D2185" s="9">
        <v>0.01</v>
      </c>
      <c r="E2185" s="9">
        <v>0</v>
      </c>
      <c r="F2185" s="9">
        <v>0</v>
      </c>
      <c r="G2185" s="9">
        <v>5.74</v>
      </c>
      <c r="H2185" s="9">
        <v>1</v>
      </c>
      <c r="I2185" s="9">
        <v>0</v>
      </c>
      <c r="J2185" s="7" t="s">
        <v>325</v>
      </c>
    </row>
    <row r="2186" spans="1:10" x14ac:dyDescent="0.35">
      <c r="A2186" s="7" t="s">
        <v>40</v>
      </c>
      <c r="B2186" s="7" t="s">
        <v>269</v>
      </c>
      <c r="C2186" s="7" t="s">
        <v>65</v>
      </c>
      <c r="D2186" s="9">
        <v>0</v>
      </c>
      <c r="E2186" s="9">
        <v>0</v>
      </c>
      <c r="F2186" s="9">
        <v>0</v>
      </c>
      <c r="G2186" s="9">
        <v>0.51</v>
      </c>
      <c r="H2186" s="9">
        <v>0</v>
      </c>
      <c r="I2186" s="9">
        <v>0</v>
      </c>
      <c r="J2186" s="7" t="s">
        <v>325</v>
      </c>
    </row>
    <row r="2187" spans="1:10" x14ac:dyDescent="0.35">
      <c r="A2187" s="7" t="s">
        <v>40</v>
      </c>
      <c r="B2187" s="7" t="s">
        <v>269</v>
      </c>
      <c r="C2187" s="7" t="s">
        <v>144</v>
      </c>
      <c r="D2187" s="9">
        <v>0</v>
      </c>
      <c r="E2187" s="9">
        <v>0</v>
      </c>
      <c r="F2187" s="9">
        <v>0</v>
      </c>
      <c r="G2187" s="9">
        <v>0.1</v>
      </c>
      <c r="H2187" s="9">
        <v>0</v>
      </c>
      <c r="I2187" s="9">
        <v>0</v>
      </c>
      <c r="J2187" s="7" t="s">
        <v>325</v>
      </c>
    </row>
    <row r="2188" spans="1:10" x14ac:dyDescent="0.35">
      <c r="A2188" s="7" t="s">
        <v>40</v>
      </c>
      <c r="B2188" s="7" t="s">
        <v>269</v>
      </c>
      <c r="C2188" s="7" t="s">
        <v>39</v>
      </c>
      <c r="D2188" s="9">
        <v>0.01</v>
      </c>
      <c r="E2188" s="9">
        <v>0</v>
      </c>
      <c r="F2188" s="9">
        <v>0</v>
      </c>
      <c r="G2188" s="9">
        <v>0.63</v>
      </c>
      <c r="H2188" s="9">
        <v>0</v>
      </c>
      <c r="I2188" s="9">
        <v>0</v>
      </c>
      <c r="J2188" s="7" t="s">
        <v>325</v>
      </c>
    </row>
    <row r="2189" spans="1:10" x14ac:dyDescent="0.35">
      <c r="A2189" s="7" t="s">
        <v>40</v>
      </c>
      <c r="B2189" s="7" t="s">
        <v>269</v>
      </c>
      <c r="C2189" s="7" t="s">
        <v>27</v>
      </c>
      <c r="D2189" s="9">
        <v>0.03</v>
      </c>
      <c r="E2189" s="9">
        <v>0</v>
      </c>
      <c r="F2189" s="9">
        <v>0</v>
      </c>
      <c r="G2189" s="9">
        <v>31.52</v>
      </c>
      <c r="H2189" s="9">
        <v>0</v>
      </c>
      <c r="I2189" s="9">
        <v>0</v>
      </c>
      <c r="J2189" s="7" t="s">
        <v>325</v>
      </c>
    </row>
    <row r="2190" spans="1:10" x14ac:dyDescent="0.35">
      <c r="A2190" s="7" t="s">
        <v>40</v>
      </c>
      <c r="B2190" s="7" t="s">
        <v>269</v>
      </c>
      <c r="C2190" s="7" t="s">
        <v>126</v>
      </c>
      <c r="D2190" s="9">
        <v>0</v>
      </c>
      <c r="E2190" s="9">
        <v>0</v>
      </c>
      <c r="F2190" s="9">
        <v>0</v>
      </c>
      <c r="G2190" s="9">
        <v>1</v>
      </c>
      <c r="H2190" s="9">
        <v>0</v>
      </c>
      <c r="I2190" s="9">
        <v>0</v>
      </c>
      <c r="J2190" s="7" t="s">
        <v>325</v>
      </c>
    </row>
    <row r="2191" spans="1:10" x14ac:dyDescent="0.35">
      <c r="A2191" s="7" t="s">
        <v>40</v>
      </c>
      <c r="B2191" s="7" t="s">
        <v>269</v>
      </c>
      <c r="C2191" s="7" t="s">
        <v>170</v>
      </c>
      <c r="D2191" s="9">
        <v>2.1800000000000002</v>
      </c>
      <c r="E2191" s="9">
        <v>0</v>
      </c>
      <c r="F2191" s="9">
        <v>0</v>
      </c>
      <c r="G2191" s="9">
        <v>430.45</v>
      </c>
      <c r="H2191" s="9">
        <v>0</v>
      </c>
      <c r="I2191" s="9">
        <v>0</v>
      </c>
      <c r="J2191" s="7" t="s">
        <v>325</v>
      </c>
    </row>
    <row r="2192" spans="1:10" x14ac:dyDescent="0.35">
      <c r="A2192" s="7" t="s">
        <v>40</v>
      </c>
      <c r="B2192" s="7" t="s">
        <v>269</v>
      </c>
      <c r="C2192" s="7" t="s">
        <v>54</v>
      </c>
      <c r="D2192" s="9">
        <v>0</v>
      </c>
      <c r="E2192" s="9">
        <v>0</v>
      </c>
      <c r="F2192" s="9">
        <v>0</v>
      </c>
      <c r="G2192" s="9">
        <v>0.04</v>
      </c>
      <c r="H2192" s="9">
        <v>0</v>
      </c>
      <c r="I2192" s="9">
        <v>0</v>
      </c>
      <c r="J2192" s="7" t="s">
        <v>325</v>
      </c>
    </row>
    <row r="2193" spans="1:10" x14ac:dyDescent="0.35">
      <c r="A2193" s="7" t="s">
        <v>40</v>
      </c>
      <c r="B2193" s="7" t="s">
        <v>269</v>
      </c>
      <c r="C2193" s="7" t="s">
        <v>42</v>
      </c>
      <c r="D2193" s="9">
        <v>0.01</v>
      </c>
      <c r="E2193" s="9">
        <v>0</v>
      </c>
      <c r="F2193" s="9">
        <v>0</v>
      </c>
      <c r="G2193" s="9">
        <v>1.21</v>
      </c>
      <c r="H2193" s="9">
        <v>0</v>
      </c>
      <c r="I2193" s="9">
        <v>0</v>
      </c>
      <c r="J2193" s="7" t="s">
        <v>325</v>
      </c>
    </row>
    <row r="2194" spans="1:10" x14ac:dyDescent="0.35">
      <c r="A2194" s="7" t="s">
        <v>40</v>
      </c>
      <c r="B2194" s="7" t="s">
        <v>269</v>
      </c>
      <c r="C2194" s="7" t="s">
        <v>33</v>
      </c>
      <c r="D2194" s="9">
        <v>0</v>
      </c>
      <c r="E2194" s="9">
        <v>0</v>
      </c>
      <c r="F2194" s="9">
        <v>0</v>
      </c>
      <c r="G2194" s="9">
        <v>0.03</v>
      </c>
      <c r="H2194" s="9">
        <v>0</v>
      </c>
      <c r="I2194" s="9">
        <v>0</v>
      </c>
      <c r="J2194" s="7" t="s">
        <v>325</v>
      </c>
    </row>
    <row r="2195" spans="1:10" x14ac:dyDescent="0.35">
      <c r="A2195" s="7" t="s">
        <v>77</v>
      </c>
      <c r="B2195" s="7" t="s">
        <v>132</v>
      </c>
      <c r="C2195" s="7" t="s">
        <v>83</v>
      </c>
      <c r="D2195" s="9">
        <v>0</v>
      </c>
      <c r="E2195" s="9">
        <v>0</v>
      </c>
      <c r="F2195" s="9">
        <v>0</v>
      </c>
      <c r="G2195" s="9">
        <v>0</v>
      </c>
      <c r="H2195" s="9">
        <v>0</v>
      </c>
      <c r="I2195" s="9">
        <v>0.01</v>
      </c>
      <c r="J2195" s="7" t="s">
        <v>325</v>
      </c>
    </row>
    <row r="2196" spans="1:10" ht="26.25" customHeight="1" x14ac:dyDescent="0.35">
      <c r="A2196" s="7" t="s">
        <v>77</v>
      </c>
      <c r="B2196" s="7" t="s">
        <v>132</v>
      </c>
      <c r="C2196" s="7" t="s">
        <v>81</v>
      </c>
      <c r="D2196" s="9">
        <v>0</v>
      </c>
      <c r="E2196" s="9">
        <v>0</v>
      </c>
      <c r="F2196" s="9">
        <v>0</v>
      </c>
      <c r="G2196" s="9">
        <v>0.6</v>
      </c>
      <c r="H2196" s="9">
        <v>0.05</v>
      </c>
      <c r="I2196" s="9">
        <v>0</v>
      </c>
      <c r="J2196" s="7" t="s">
        <v>325</v>
      </c>
    </row>
    <row r="2197" spans="1:10" x14ac:dyDescent="0.35">
      <c r="A2197" s="7" t="s">
        <v>77</v>
      </c>
      <c r="B2197" s="7" t="s">
        <v>132</v>
      </c>
      <c r="C2197" s="7" t="s">
        <v>142</v>
      </c>
      <c r="D2197" s="9">
        <v>0</v>
      </c>
      <c r="E2197" s="9">
        <v>0</v>
      </c>
      <c r="F2197" s="9">
        <v>0</v>
      </c>
      <c r="G2197" s="9">
        <v>0.03</v>
      </c>
      <c r="H2197" s="9">
        <v>0</v>
      </c>
      <c r="I2197" s="9">
        <v>0</v>
      </c>
      <c r="J2197" s="7" t="s">
        <v>325</v>
      </c>
    </row>
    <row r="2198" spans="1:10" x14ac:dyDescent="0.35">
      <c r="A2198" s="7" t="s">
        <v>40</v>
      </c>
      <c r="B2198" s="7" t="s">
        <v>117</v>
      </c>
      <c r="C2198" s="7" t="s">
        <v>22</v>
      </c>
      <c r="D2198" s="9">
        <v>4.1100000000000003</v>
      </c>
      <c r="E2198" s="9">
        <v>0</v>
      </c>
      <c r="F2198" s="9">
        <v>0</v>
      </c>
      <c r="G2198" s="8">
        <v>1683.69</v>
      </c>
      <c r="H2198" s="9">
        <v>0</v>
      </c>
      <c r="I2198" s="9">
        <v>0</v>
      </c>
      <c r="J2198" s="7" t="s">
        <v>325</v>
      </c>
    </row>
    <row r="2199" spans="1:10" x14ac:dyDescent="0.35">
      <c r="A2199" s="7" t="s">
        <v>40</v>
      </c>
      <c r="B2199" s="7" t="s">
        <v>117</v>
      </c>
      <c r="C2199" s="7" t="s">
        <v>114</v>
      </c>
      <c r="D2199" s="9">
        <v>0.01</v>
      </c>
      <c r="E2199" s="9">
        <v>0</v>
      </c>
      <c r="F2199" s="9">
        <v>0</v>
      </c>
      <c r="G2199" s="9">
        <v>6.48</v>
      </c>
      <c r="H2199" s="9">
        <v>0</v>
      </c>
      <c r="I2199" s="9">
        <v>0</v>
      </c>
      <c r="J2199" s="7" t="s">
        <v>325</v>
      </c>
    </row>
    <row r="2200" spans="1:10" x14ac:dyDescent="0.35">
      <c r="A2200" s="7" t="s">
        <v>77</v>
      </c>
      <c r="B2200" s="7" t="s">
        <v>132</v>
      </c>
      <c r="C2200" s="7" t="s">
        <v>18</v>
      </c>
      <c r="D2200" s="9">
        <v>0</v>
      </c>
      <c r="E2200" s="9">
        <v>0</v>
      </c>
      <c r="F2200" s="9">
        <v>0</v>
      </c>
      <c r="G2200" s="9">
        <v>0</v>
      </c>
      <c r="H2200" s="9">
        <v>0.01</v>
      </c>
      <c r="I2200" s="9">
        <v>0</v>
      </c>
      <c r="J2200" s="7" t="s">
        <v>325</v>
      </c>
    </row>
    <row r="2201" spans="1:10" x14ac:dyDescent="0.35">
      <c r="A2201" s="7" t="s">
        <v>40</v>
      </c>
      <c r="B2201" s="7" t="s">
        <v>117</v>
      </c>
      <c r="C2201" s="7" t="s">
        <v>179</v>
      </c>
      <c r="D2201" s="9">
        <v>0.01</v>
      </c>
      <c r="E2201" s="9">
        <v>0</v>
      </c>
      <c r="F2201" s="9">
        <v>0</v>
      </c>
      <c r="G2201" s="9">
        <v>0.49</v>
      </c>
      <c r="H2201" s="9">
        <v>0</v>
      </c>
      <c r="I2201" s="9">
        <v>0</v>
      </c>
      <c r="J2201" s="7" t="s">
        <v>325</v>
      </c>
    </row>
    <row r="2202" spans="1:10" x14ac:dyDescent="0.35">
      <c r="A2202" s="7" t="s">
        <v>40</v>
      </c>
      <c r="B2202" s="7" t="s">
        <v>117</v>
      </c>
      <c r="C2202" s="7" t="s">
        <v>150</v>
      </c>
      <c r="D2202" s="9">
        <v>0</v>
      </c>
      <c r="E2202" s="9">
        <v>0</v>
      </c>
      <c r="F2202" s="9">
        <v>0</v>
      </c>
      <c r="G2202" s="9">
        <v>0</v>
      </c>
      <c r="H2202" s="9">
        <v>7.0000000000000007E-2</v>
      </c>
      <c r="I2202" s="9">
        <v>0</v>
      </c>
      <c r="J2202" s="7" t="s">
        <v>325</v>
      </c>
    </row>
    <row r="2203" spans="1:10" x14ac:dyDescent="0.35">
      <c r="A2203" s="7" t="s">
        <v>77</v>
      </c>
      <c r="B2203" s="7" t="s">
        <v>132</v>
      </c>
      <c r="C2203" s="7" t="s">
        <v>60</v>
      </c>
      <c r="D2203" s="9">
        <v>0</v>
      </c>
      <c r="E2203" s="9">
        <v>0</v>
      </c>
      <c r="F2203" s="9">
        <v>0</v>
      </c>
      <c r="G2203" s="9">
        <v>0.06</v>
      </c>
      <c r="H2203" s="9">
        <v>0</v>
      </c>
      <c r="I2203" s="9">
        <v>0</v>
      </c>
      <c r="J2203" s="7" t="s">
        <v>325</v>
      </c>
    </row>
    <row r="2204" spans="1:10" x14ac:dyDescent="0.35">
      <c r="A2204" s="7" t="s">
        <v>77</v>
      </c>
      <c r="B2204" s="7" t="s">
        <v>132</v>
      </c>
      <c r="C2204" s="7" t="s">
        <v>174</v>
      </c>
      <c r="D2204" s="9">
        <v>0</v>
      </c>
      <c r="E2204" s="9">
        <v>0</v>
      </c>
      <c r="F2204" s="9">
        <v>0</v>
      </c>
      <c r="G2204" s="9">
        <v>0</v>
      </c>
      <c r="H2204" s="9">
        <v>0</v>
      </c>
      <c r="I2204" s="9">
        <v>0</v>
      </c>
      <c r="J2204" s="7" t="s">
        <v>325</v>
      </c>
    </row>
    <row r="2205" spans="1:10" x14ac:dyDescent="0.35">
      <c r="A2205" s="7" t="s">
        <v>40</v>
      </c>
      <c r="B2205" s="7" t="s">
        <v>117</v>
      </c>
      <c r="C2205" s="7" t="s">
        <v>59</v>
      </c>
      <c r="D2205" s="9">
        <v>0</v>
      </c>
      <c r="E2205" s="9">
        <v>0.03</v>
      </c>
      <c r="F2205" s="9">
        <v>0</v>
      </c>
      <c r="G2205" s="9">
        <v>0.16</v>
      </c>
      <c r="H2205" s="9">
        <v>13.93</v>
      </c>
      <c r="I2205" s="9">
        <v>0</v>
      </c>
      <c r="J2205" s="7" t="s">
        <v>325</v>
      </c>
    </row>
    <row r="2206" spans="1:10" x14ac:dyDescent="0.35">
      <c r="A2206" s="7" t="s">
        <v>77</v>
      </c>
      <c r="B2206" s="7" t="s">
        <v>157</v>
      </c>
      <c r="C2206" s="7" t="s">
        <v>170</v>
      </c>
      <c r="D2206" s="9">
        <v>0</v>
      </c>
      <c r="E2206" s="9">
        <v>0</v>
      </c>
      <c r="F2206" s="9">
        <v>0</v>
      </c>
      <c r="G2206" s="9">
        <v>3.37</v>
      </c>
      <c r="H2206" s="9">
        <v>0</v>
      </c>
      <c r="I2206" s="9">
        <v>0</v>
      </c>
      <c r="J2206" s="7" t="s">
        <v>325</v>
      </c>
    </row>
    <row r="2207" spans="1:10" x14ac:dyDescent="0.35">
      <c r="A2207" s="7" t="s">
        <v>77</v>
      </c>
      <c r="B2207" s="7" t="s">
        <v>157</v>
      </c>
      <c r="C2207" s="7" t="s">
        <v>27</v>
      </c>
      <c r="D2207" s="9">
        <v>0</v>
      </c>
      <c r="E2207" s="9">
        <v>0</v>
      </c>
      <c r="F2207" s="9">
        <v>0</v>
      </c>
      <c r="G2207" s="9">
        <v>0</v>
      </c>
      <c r="H2207" s="9">
        <v>0</v>
      </c>
      <c r="I2207" s="9">
        <v>0</v>
      </c>
      <c r="J2207" s="7" t="s">
        <v>325</v>
      </c>
    </row>
    <row r="2208" spans="1:10" x14ac:dyDescent="0.35">
      <c r="A2208" s="7" t="s">
        <v>40</v>
      </c>
      <c r="B2208" s="7" t="s">
        <v>117</v>
      </c>
      <c r="C2208" s="7" t="s">
        <v>110</v>
      </c>
      <c r="D2208" s="9">
        <v>1.1599999999999999</v>
      </c>
      <c r="E2208" s="9">
        <v>0</v>
      </c>
      <c r="F2208" s="9">
        <v>0</v>
      </c>
      <c r="G2208" s="8">
        <v>16058.88</v>
      </c>
      <c r="H2208" s="9">
        <v>0</v>
      </c>
      <c r="I2208" s="9">
        <v>0</v>
      </c>
      <c r="J2208" s="7" t="s">
        <v>325</v>
      </c>
    </row>
    <row r="2209" spans="1:10" x14ac:dyDescent="0.35">
      <c r="A2209" s="7" t="s">
        <v>77</v>
      </c>
      <c r="B2209" s="7" t="s">
        <v>157</v>
      </c>
      <c r="C2209" s="7" t="s">
        <v>118</v>
      </c>
      <c r="D2209" s="9">
        <v>0</v>
      </c>
      <c r="E2209" s="9">
        <v>0</v>
      </c>
      <c r="F2209" s="9">
        <v>0</v>
      </c>
      <c r="G2209" s="9">
        <v>0</v>
      </c>
      <c r="H2209" s="9">
        <v>0.2</v>
      </c>
      <c r="I2209" s="9">
        <v>0</v>
      </c>
      <c r="J2209" s="7" t="s">
        <v>325</v>
      </c>
    </row>
    <row r="2210" spans="1:10" x14ac:dyDescent="0.35">
      <c r="A2210" s="7" t="s">
        <v>77</v>
      </c>
      <c r="B2210" s="7" t="s">
        <v>157</v>
      </c>
      <c r="C2210" s="7" t="s">
        <v>65</v>
      </c>
      <c r="D2210" s="9">
        <v>0</v>
      </c>
      <c r="E2210" s="9">
        <v>0</v>
      </c>
      <c r="F2210" s="9">
        <v>0</v>
      </c>
      <c r="G2210" s="9">
        <v>0</v>
      </c>
      <c r="H2210" s="9">
        <v>0.43</v>
      </c>
      <c r="I2210" s="9">
        <v>0</v>
      </c>
      <c r="J2210" s="7" t="s">
        <v>325</v>
      </c>
    </row>
    <row r="2211" spans="1:10" x14ac:dyDescent="0.35">
      <c r="A2211" s="7" t="s">
        <v>77</v>
      </c>
      <c r="B2211" s="7" t="s">
        <v>157</v>
      </c>
      <c r="C2211" s="7" t="s">
        <v>151</v>
      </c>
      <c r="D2211" s="9">
        <v>0</v>
      </c>
      <c r="E2211" s="9">
        <v>0</v>
      </c>
      <c r="F2211" s="9">
        <v>0</v>
      </c>
      <c r="G2211" s="9">
        <v>0.15</v>
      </c>
      <c r="H2211" s="9">
        <v>0.84</v>
      </c>
      <c r="I2211" s="9">
        <v>0</v>
      </c>
      <c r="J2211" s="7" t="s">
        <v>325</v>
      </c>
    </row>
    <row r="2212" spans="1:10" x14ac:dyDescent="0.35">
      <c r="A2212" s="7" t="s">
        <v>77</v>
      </c>
      <c r="B2212" s="7" t="s">
        <v>157</v>
      </c>
      <c r="C2212" s="7" t="s">
        <v>69</v>
      </c>
      <c r="D2212" s="9">
        <v>0</v>
      </c>
      <c r="E2212" s="9">
        <v>0</v>
      </c>
      <c r="F2212" s="9">
        <v>0</v>
      </c>
      <c r="G2212" s="9">
        <v>0.21</v>
      </c>
      <c r="H2212" s="9">
        <v>0.52</v>
      </c>
      <c r="I2212" s="9">
        <v>0</v>
      </c>
      <c r="J2212" s="7" t="s">
        <v>325</v>
      </c>
    </row>
    <row r="2213" spans="1:10" x14ac:dyDescent="0.35">
      <c r="A2213" s="7" t="s">
        <v>77</v>
      </c>
      <c r="B2213" s="7" t="s">
        <v>157</v>
      </c>
      <c r="C2213" s="7" t="s">
        <v>72</v>
      </c>
      <c r="D2213" s="9">
        <v>0</v>
      </c>
      <c r="E2213" s="9">
        <v>0</v>
      </c>
      <c r="F2213" s="9">
        <v>0</v>
      </c>
      <c r="G2213" s="9">
        <v>0.03</v>
      </c>
      <c r="H2213" s="9">
        <v>0</v>
      </c>
      <c r="I2213" s="9">
        <v>0</v>
      </c>
      <c r="J2213" s="7" t="s">
        <v>325</v>
      </c>
    </row>
    <row r="2214" spans="1:10" ht="26.25" customHeight="1" x14ac:dyDescent="0.35">
      <c r="A2214" s="7" t="s">
        <v>77</v>
      </c>
      <c r="B2214" s="7" t="s">
        <v>157</v>
      </c>
      <c r="C2214" s="7" t="s">
        <v>81</v>
      </c>
      <c r="D2214" s="9">
        <v>0.02</v>
      </c>
      <c r="E2214" s="9">
        <v>0</v>
      </c>
      <c r="F2214" s="9">
        <v>0</v>
      </c>
      <c r="G2214" s="9">
        <v>16.64</v>
      </c>
      <c r="H2214" s="9">
        <v>0</v>
      </c>
      <c r="I2214" s="9">
        <v>0</v>
      </c>
      <c r="J2214" s="7" t="s">
        <v>325</v>
      </c>
    </row>
    <row r="2215" spans="1:10" x14ac:dyDescent="0.35">
      <c r="A2215" s="7" t="s">
        <v>79</v>
      </c>
      <c r="B2215" s="7" t="s">
        <v>270</v>
      </c>
      <c r="C2215" s="7" t="s">
        <v>39</v>
      </c>
      <c r="D2215" s="9">
        <v>0</v>
      </c>
      <c r="E2215" s="9">
        <v>0</v>
      </c>
      <c r="F2215" s="9">
        <v>0</v>
      </c>
      <c r="G2215" s="9">
        <v>0</v>
      </c>
      <c r="H2215" s="9">
        <v>0</v>
      </c>
      <c r="I2215" s="9">
        <v>0</v>
      </c>
      <c r="J2215" s="7" t="s">
        <v>325</v>
      </c>
    </row>
    <row r="2216" spans="1:10" x14ac:dyDescent="0.35">
      <c r="A2216" s="7" t="s">
        <v>79</v>
      </c>
      <c r="B2216" s="7" t="s">
        <v>270</v>
      </c>
      <c r="C2216" s="7" t="s">
        <v>142</v>
      </c>
      <c r="D2216" s="9">
        <v>0</v>
      </c>
      <c r="E2216" s="9">
        <v>0</v>
      </c>
      <c r="F2216" s="9">
        <v>0</v>
      </c>
      <c r="G2216" s="9">
        <v>0</v>
      </c>
      <c r="H2216" s="9">
        <v>0.01</v>
      </c>
      <c r="I2216" s="9">
        <v>0</v>
      </c>
      <c r="J2216" s="7" t="s">
        <v>325</v>
      </c>
    </row>
    <row r="2217" spans="1:10" x14ac:dyDescent="0.35">
      <c r="A2217" s="7" t="s">
        <v>79</v>
      </c>
      <c r="B2217" s="7" t="s">
        <v>91</v>
      </c>
      <c r="C2217" s="7" t="s">
        <v>33</v>
      </c>
      <c r="D2217" s="9">
        <v>0.04</v>
      </c>
      <c r="E2217" s="9">
        <v>0.05</v>
      </c>
      <c r="F2217" s="9">
        <v>0</v>
      </c>
      <c r="G2217" s="9">
        <v>34.29</v>
      </c>
      <c r="H2217" s="9">
        <v>47.41</v>
      </c>
      <c r="I2217" s="9">
        <v>0</v>
      </c>
      <c r="J2217" s="7" t="s">
        <v>325</v>
      </c>
    </row>
    <row r="2218" spans="1:10" x14ac:dyDescent="0.35">
      <c r="A2218" s="7" t="s">
        <v>79</v>
      </c>
      <c r="B2218" s="7" t="s">
        <v>91</v>
      </c>
      <c r="C2218" s="7" t="s">
        <v>221</v>
      </c>
      <c r="D2218" s="9">
        <v>0</v>
      </c>
      <c r="E2218" s="9">
        <v>0</v>
      </c>
      <c r="F2218" s="9">
        <v>0</v>
      </c>
      <c r="G2218" s="9">
        <v>0.11</v>
      </c>
      <c r="H2218" s="9">
        <v>0</v>
      </c>
      <c r="I2218" s="9">
        <v>0</v>
      </c>
      <c r="J2218" s="7" t="s">
        <v>325</v>
      </c>
    </row>
    <row r="2219" spans="1:10" x14ac:dyDescent="0.35">
      <c r="A2219" s="7" t="s">
        <v>79</v>
      </c>
      <c r="B2219" s="7" t="s">
        <v>91</v>
      </c>
      <c r="C2219" s="7" t="s">
        <v>102</v>
      </c>
      <c r="D2219" s="9">
        <v>0.03</v>
      </c>
      <c r="E2219" s="9">
        <v>0.01</v>
      </c>
      <c r="F2219" s="9">
        <v>0</v>
      </c>
      <c r="G2219" s="9">
        <v>34.090000000000003</v>
      </c>
      <c r="H2219" s="9">
        <v>5.66</v>
      </c>
      <c r="I2219" s="9">
        <v>0</v>
      </c>
      <c r="J2219" s="7" t="s">
        <v>325</v>
      </c>
    </row>
    <row r="2220" spans="1:10" x14ac:dyDescent="0.35">
      <c r="A2220" s="7" t="s">
        <v>79</v>
      </c>
      <c r="B2220" s="7" t="s">
        <v>91</v>
      </c>
      <c r="C2220" s="7" t="s">
        <v>45</v>
      </c>
      <c r="D2220" s="9">
        <v>0</v>
      </c>
      <c r="E2220" s="9">
        <v>0.08</v>
      </c>
      <c r="F2220" s="9">
        <v>0</v>
      </c>
      <c r="G2220" s="9">
        <v>1.55</v>
      </c>
      <c r="H2220" s="9">
        <v>40.42</v>
      </c>
      <c r="I2220" s="9">
        <v>0</v>
      </c>
      <c r="J2220" s="7" t="s">
        <v>325</v>
      </c>
    </row>
    <row r="2221" spans="1:10" x14ac:dyDescent="0.35">
      <c r="A2221" s="7" t="s">
        <v>79</v>
      </c>
      <c r="B2221" s="7" t="s">
        <v>91</v>
      </c>
      <c r="C2221" s="7" t="s">
        <v>118</v>
      </c>
      <c r="D2221" s="9">
        <v>0</v>
      </c>
      <c r="E2221" s="9">
        <v>0</v>
      </c>
      <c r="F2221" s="9">
        <v>0</v>
      </c>
      <c r="G2221" s="9">
        <v>0.2</v>
      </c>
      <c r="H2221" s="9">
        <v>0</v>
      </c>
      <c r="I2221" s="9">
        <v>0</v>
      </c>
      <c r="J2221" s="7" t="s">
        <v>325</v>
      </c>
    </row>
    <row r="2222" spans="1:10" x14ac:dyDescent="0.35">
      <c r="A2222" s="7" t="s">
        <v>79</v>
      </c>
      <c r="B2222" s="7" t="s">
        <v>91</v>
      </c>
      <c r="C2222" s="7" t="s">
        <v>65</v>
      </c>
      <c r="D2222" s="9">
        <v>0</v>
      </c>
      <c r="E2222" s="9">
        <v>0</v>
      </c>
      <c r="F2222" s="9">
        <v>0</v>
      </c>
      <c r="G2222" s="9">
        <v>2.25</v>
      </c>
      <c r="H2222" s="9">
        <v>5.0999999999999996</v>
      </c>
      <c r="I2222" s="9">
        <v>0</v>
      </c>
      <c r="J2222" s="7" t="s">
        <v>325</v>
      </c>
    </row>
    <row r="2223" spans="1:10" x14ac:dyDescent="0.35">
      <c r="A2223" s="7" t="s">
        <v>79</v>
      </c>
      <c r="B2223" s="7" t="s">
        <v>91</v>
      </c>
      <c r="C2223" s="7" t="s">
        <v>122</v>
      </c>
      <c r="D2223" s="9">
        <v>0</v>
      </c>
      <c r="E2223" s="9">
        <v>0</v>
      </c>
      <c r="F2223" s="9">
        <v>0</v>
      </c>
      <c r="G2223" s="9">
        <v>1.3</v>
      </c>
      <c r="H2223" s="9">
        <v>0</v>
      </c>
      <c r="I2223" s="9">
        <v>0</v>
      </c>
      <c r="J2223" s="7" t="s">
        <v>325</v>
      </c>
    </row>
    <row r="2224" spans="1:10" x14ac:dyDescent="0.35">
      <c r="A2224" s="7" t="s">
        <v>79</v>
      </c>
      <c r="B2224" s="7" t="s">
        <v>91</v>
      </c>
      <c r="C2224" s="7" t="s">
        <v>72</v>
      </c>
      <c r="D2224" s="9">
        <v>0.01</v>
      </c>
      <c r="E2224" s="9">
        <v>0</v>
      </c>
      <c r="F2224" s="9">
        <v>0</v>
      </c>
      <c r="G2224" s="9">
        <v>1.58</v>
      </c>
      <c r="H2224" s="9">
        <v>0</v>
      </c>
      <c r="I2224" s="9">
        <v>0</v>
      </c>
      <c r="J2224" s="7" t="s">
        <v>325</v>
      </c>
    </row>
    <row r="2225" spans="1:10" x14ac:dyDescent="0.35">
      <c r="A2225" s="7" t="s">
        <v>79</v>
      </c>
      <c r="B2225" s="7" t="s">
        <v>91</v>
      </c>
      <c r="C2225" s="7" t="s">
        <v>150</v>
      </c>
      <c r="D2225" s="9">
        <v>0.26</v>
      </c>
      <c r="E2225" s="9">
        <v>0.02</v>
      </c>
      <c r="F2225" s="9">
        <v>0</v>
      </c>
      <c r="G2225" s="9">
        <v>92.3</v>
      </c>
      <c r="H2225" s="9">
        <v>1.5</v>
      </c>
      <c r="I2225" s="9">
        <v>0</v>
      </c>
      <c r="J2225" s="7" t="s">
        <v>325</v>
      </c>
    </row>
    <row r="2226" spans="1:10" x14ac:dyDescent="0.35">
      <c r="A2226" s="7" t="s">
        <v>79</v>
      </c>
      <c r="B2226" s="7" t="s">
        <v>91</v>
      </c>
      <c r="C2226" s="7" t="s">
        <v>179</v>
      </c>
      <c r="D2226" s="9">
        <v>2.11</v>
      </c>
      <c r="E2226" s="9">
        <v>12.11</v>
      </c>
      <c r="F2226" s="9">
        <v>0</v>
      </c>
      <c r="G2226" s="8">
        <v>1760.16</v>
      </c>
      <c r="H2226" s="8">
        <v>8345.2000000000007</v>
      </c>
      <c r="I2226" s="9">
        <v>0</v>
      </c>
      <c r="J2226" s="7" t="s">
        <v>325</v>
      </c>
    </row>
    <row r="2227" spans="1:10" x14ac:dyDescent="0.35">
      <c r="A2227" s="7" t="s">
        <v>40</v>
      </c>
      <c r="B2227" s="7" t="s">
        <v>241</v>
      </c>
      <c r="C2227" s="7" t="s">
        <v>179</v>
      </c>
      <c r="D2227" s="9">
        <v>0</v>
      </c>
      <c r="E2227" s="9">
        <v>0</v>
      </c>
      <c r="F2227" s="9">
        <v>0</v>
      </c>
      <c r="G2227" s="9">
        <v>0</v>
      </c>
      <c r="H2227" s="9">
        <v>0</v>
      </c>
      <c r="I2227" s="9">
        <v>0</v>
      </c>
      <c r="J2227" s="7" t="s">
        <v>325</v>
      </c>
    </row>
    <row r="2228" spans="1:10" x14ac:dyDescent="0.35">
      <c r="A2228" s="7" t="s">
        <v>40</v>
      </c>
      <c r="B2228" s="7" t="s">
        <v>241</v>
      </c>
      <c r="C2228" s="7" t="s">
        <v>150</v>
      </c>
      <c r="D2228" s="9">
        <v>0</v>
      </c>
      <c r="E2228" s="9">
        <v>0</v>
      </c>
      <c r="F2228" s="9">
        <v>0</v>
      </c>
      <c r="G2228" s="9">
        <v>0.04</v>
      </c>
      <c r="H2228" s="9">
        <v>0</v>
      </c>
      <c r="I2228" s="9">
        <v>0</v>
      </c>
      <c r="J2228" s="7" t="s">
        <v>325</v>
      </c>
    </row>
    <row r="2229" spans="1:10" x14ac:dyDescent="0.35">
      <c r="A2229" s="7" t="s">
        <v>40</v>
      </c>
      <c r="B2229" s="7" t="s">
        <v>241</v>
      </c>
      <c r="C2229" s="7" t="s">
        <v>59</v>
      </c>
      <c r="D2229" s="9">
        <v>0</v>
      </c>
      <c r="E2229" s="9">
        <v>0</v>
      </c>
      <c r="F2229" s="9">
        <v>0</v>
      </c>
      <c r="G2229" s="9">
        <v>0</v>
      </c>
      <c r="H2229" s="9">
        <v>0</v>
      </c>
      <c r="I2229" s="9">
        <v>0</v>
      </c>
      <c r="J2229" s="7" t="s">
        <v>325</v>
      </c>
    </row>
    <row r="2230" spans="1:10" x14ac:dyDescent="0.35">
      <c r="A2230" s="7" t="s">
        <v>79</v>
      </c>
      <c r="B2230" s="7" t="s">
        <v>226</v>
      </c>
      <c r="C2230" s="7" t="s">
        <v>33</v>
      </c>
      <c r="D2230" s="9">
        <v>0</v>
      </c>
      <c r="E2230" s="9">
        <v>0</v>
      </c>
      <c r="F2230" s="9">
        <v>0</v>
      </c>
      <c r="G2230" s="9">
        <v>0</v>
      </c>
      <c r="H2230" s="9">
        <v>0.02</v>
      </c>
      <c r="I2230" s="9">
        <v>0</v>
      </c>
      <c r="J2230" s="7" t="s">
        <v>325</v>
      </c>
    </row>
    <row r="2231" spans="1:10" x14ac:dyDescent="0.35">
      <c r="A2231" s="7" t="s">
        <v>40</v>
      </c>
      <c r="B2231" s="7" t="s">
        <v>241</v>
      </c>
      <c r="C2231" s="7" t="s">
        <v>76</v>
      </c>
      <c r="D2231" s="9">
        <v>0</v>
      </c>
      <c r="E2231" s="9">
        <v>0</v>
      </c>
      <c r="F2231" s="9">
        <v>0</v>
      </c>
      <c r="G2231" s="9">
        <v>0.4</v>
      </c>
      <c r="H2231" s="9">
        <v>1.68</v>
      </c>
      <c r="I2231" s="9">
        <v>0</v>
      </c>
      <c r="J2231" s="7" t="s">
        <v>325</v>
      </c>
    </row>
    <row r="2232" spans="1:10" x14ac:dyDescent="0.35">
      <c r="A2232" s="7" t="s">
        <v>40</v>
      </c>
      <c r="B2232" s="7" t="s">
        <v>241</v>
      </c>
      <c r="C2232" s="7" t="s">
        <v>55</v>
      </c>
      <c r="D2232" s="9">
        <v>0</v>
      </c>
      <c r="E2232" s="9">
        <v>0</v>
      </c>
      <c r="F2232" s="9">
        <v>0</v>
      </c>
      <c r="G2232" s="9">
        <v>0.41</v>
      </c>
      <c r="H2232" s="9">
        <v>3.1</v>
      </c>
      <c r="I2232" s="9">
        <v>0</v>
      </c>
      <c r="J2232" s="7" t="s">
        <v>325</v>
      </c>
    </row>
    <row r="2233" spans="1:10" x14ac:dyDescent="0.35">
      <c r="A2233" s="7" t="s">
        <v>40</v>
      </c>
      <c r="B2233" s="7" t="s">
        <v>241</v>
      </c>
      <c r="C2233" s="7" t="s">
        <v>51</v>
      </c>
      <c r="D2233" s="9">
        <v>0</v>
      </c>
      <c r="E2233" s="9">
        <v>0</v>
      </c>
      <c r="F2233" s="9">
        <v>0</v>
      </c>
      <c r="G2233" s="9">
        <v>0.19</v>
      </c>
      <c r="H2233" s="9">
        <v>0</v>
      </c>
      <c r="I2233" s="9">
        <v>0</v>
      </c>
      <c r="J2233" s="7" t="s">
        <v>325</v>
      </c>
    </row>
    <row r="2234" spans="1:10" x14ac:dyDescent="0.35">
      <c r="A2234" s="7" t="s">
        <v>40</v>
      </c>
      <c r="B2234" s="7" t="s">
        <v>241</v>
      </c>
      <c r="C2234" s="7" t="s">
        <v>65</v>
      </c>
      <c r="D2234" s="9">
        <v>0</v>
      </c>
      <c r="E2234" s="9">
        <v>0</v>
      </c>
      <c r="F2234" s="9">
        <v>0</v>
      </c>
      <c r="G2234" s="9">
        <v>1.55</v>
      </c>
      <c r="H2234" s="9">
        <v>0</v>
      </c>
      <c r="I2234" s="9">
        <v>0.01</v>
      </c>
      <c r="J2234" s="7" t="s">
        <v>325</v>
      </c>
    </row>
    <row r="2235" spans="1:10" x14ac:dyDescent="0.35">
      <c r="A2235" s="7" t="s">
        <v>40</v>
      </c>
      <c r="B2235" s="7" t="s">
        <v>241</v>
      </c>
      <c r="C2235" s="7" t="s">
        <v>144</v>
      </c>
      <c r="D2235" s="9">
        <v>0</v>
      </c>
      <c r="E2235" s="9">
        <v>0</v>
      </c>
      <c r="F2235" s="9">
        <v>0</v>
      </c>
      <c r="G2235" s="9">
        <v>0.05</v>
      </c>
      <c r="H2235" s="9">
        <v>0.01</v>
      </c>
      <c r="I2235" s="9">
        <v>0</v>
      </c>
      <c r="J2235" s="7" t="s">
        <v>325</v>
      </c>
    </row>
    <row r="2236" spans="1:10" x14ac:dyDescent="0.35">
      <c r="A2236" s="7" t="s">
        <v>40</v>
      </c>
      <c r="B2236" s="7" t="s">
        <v>241</v>
      </c>
      <c r="C2236" s="7" t="s">
        <v>126</v>
      </c>
      <c r="D2236" s="9">
        <v>0</v>
      </c>
      <c r="E2236" s="9">
        <v>0</v>
      </c>
      <c r="F2236" s="9">
        <v>0</v>
      </c>
      <c r="G2236" s="9">
        <v>0.03</v>
      </c>
      <c r="H2236" s="9">
        <v>0</v>
      </c>
      <c r="I2236" s="9">
        <v>0</v>
      </c>
      <c r="J2236" s="7" t="s">
        <v>325</v>
      </c>
    </row>
    <row r="2237" spans="1:10" x14ac:dyDescent="0.35">
      <c r="A2237" s="7" t="s">
        <v>79</v>
      </c>
      <c r="B2237" s="7" t="s">
        <v>226</v>
      </c>
      <c r="C2237" s="7" t="s">
        <v>54</v>
      </c>
      <c r="D2237" s="9">
        <v>0.22</v>
      </c>
      <c r="E2237" s="9">
        <v>0</v>
      </c>
      <c r="F2237" s="9">
        <v>0</v>
      </c>
      <c r="G2237" s="9">
        <v>144.69999999999999</v>
      </c>
      <c r="H2237" s="9">
        <v>0</v>
      </c>
      <c r="I2237" s="9">
        <v>0</v>
      </c>
      <c r="J2237" s="7" t="s">
        <v>325</v>
      </c>
    </row>
    <row r="2238" spans="1:10" x14ac:dyDescent="0.35">
      <c r="A2238" s="7" t="s">
        <v>40</v>
      </c>
      <c r="B2238" s="7" t="s">
        <v>241</v>
      </c>
      <c r="C2238" s="7" t="s">
        <v>170</v>
      </c>
      <c r="D2238" s="9">
        <v>0</v>
      </c>
      <c r="E2238" s="9">
        <v>0</v>
      </c>
      <c r="F2238" s="9">
        <v>0</v>
      </c>
      <c r="G2238" s="9">
        <v>0.01</v>
      </c>
      <c r="H2238" s="9">
        <v>0.42</v>
      </c>
      <c r="I2238" s="9">
        <v>0</v>
      </c>
      <c r="J2238" s="7" t="s">
        <v>325</v>
      </c>
    </row>
    <row r="2239" spans="1:10" x14ac:dyDescent="0.35">
      <c r="A2239" s="7" t="s">
        <v>79</v>
      </c>
      <c r="B2239" s="7" t="s">
        <v>226</v>
      </c>
      <c r="C2239" s="7" t="s">
        <v>39</v>
      </c>
      <c r="D2239" s="9">
        <v>0</v>
      </c>
      <c r="E2239" s="9">
        <v>0</v>
      </c>
      <c r="F2239" s="9">
        <v>0</v>
      </c>
      <c r="G2239" s="9">
        <v>0.65</v>
      </c>
      <c r="H2239" s="9">
        <v>0.2</v>
      </c>
      <c r="I2239" s="9">
        <v>0</v>
      </c>
      <c r="J2239" s="7" t="s">
        <v>325</v>
      </c>
    </row>
    <row r="2240" spans="1:10" x14ac:dyDescent="0.35">
      <c r="A2240" s="7" t="s">
        <v>40</v>
      </c>
      <c r="B2240" s="7" t="s">
        <v>241</v>
      </c>
      <c r="C2240" s="7" t="s">
        <v>42</v>
      </c>
      <c r="D2240" s="9">
        <v>0</v>
      </c>
      <c r="E2240" s="9">
        <v>0</v>
      </c>
      <c r="F2240" s="9">
        <v>0</v>
      </c>
      <c r="G2240" s="9">
        <v>3.53</v>
      </c>
      <c r="H2240" s="9">
        <v>0</v>
      </c>
      <c r="I2240" s="9">
        <v>0</v>
      </c>
      <c r="J2240" s="7" t="s">
        <v>325</v>
      </c>
    </row>
    <row r="2241" spans="1:10" x14ac:dyDescent="0.35">
      <c r="A2241" s="7" t="s">
        <v>40</v>
      </c>
      <c r="B2241" s="7" t="s">
        <v>241</v>
      </c>
      <c r="C2241" s="7" t="s">
        <v>33</v>
      </c>
      <c r="D2241" s="9">
        <v>0</v>
      </c>
      <c r="E2241" s="9">
        <v>0</v>
      </c>
      <c r="F2241" s="9">
        <v>0</v>
      </c>
      <c r="G2241" s="9">
        <v>0.03</v>
      </c>
      <c r="H2241" s="9">
        <v>0.4</v>
      </c>
      <c r="I2241" s="9">
        <v>0</v>
      </c>
      <c r="J2241" s="7" t="s">
        <v>325</v>
      </c>
    </row>
    <row r="2242" spans="1:10" x14ac:dyDescent="0.35">
      <c r="A2242" s="7" t="s">
        <v>40</v>
      </c>
      <c r="B2242" s="7" t="s">
        <v>271</v>
      </c>
      <c r="C2242" s="7" t="s">
        <v>60</v>
      </c>
      <c r="D2242" s="9">
        <v>0.16</v>
      </c>
      <c r="E2242" s="9">
        <v>0</v>
      </c>
      <c r="F2242" s="9">
        <v>0</v>
      </c>
      <c r="G2242" s="9">
        <v>1.23</v>
      </c>
      <c r="H2242" s="9">
        <v>0</v>
      </c>
      <c r="I2242" s="9">
        <v>0</v>
      </c>
      <c r="J2242" s="7" t="s">
        <v>325</v>
      </c>
    </row>
    <row r="2243" spans="1:10" x14ac:dyDescent="0.35">
      <c r="A2243" s="7" t="s">
        <v>40</v>
      </c>
      <c r="B2243" s="7" t="s">
        <v>196</v>
      </c>
      <c r="C2243" s="7" t="s">
        <v>48</v>
      </c>
      <c r="D2243" s="9">
        <v>0.1</v>
      </c>
      <c r="E2243" s="9">
        <v>0</v>
      </c>
      <c r="F2243" s="9">
        <v>0</v>
      </c>
      <c r="G2243" s="9">
        <v>37.82</v>
      </c>
      <c r="H2243" s="9">
        <v>0</v>
      </c>
      <c r="I2243" s="9">
        <v>0</v>
      </c>
      <c r="J2243" s="7" t="s">
        <v>325</v>
      </c>
    </row>
    <row r="2244" spans="1:10" x14ac:dyDescent="0.35">
      <c r="A2244" s="7" t="s">
        <v>79</v>
      </c>
      <c r="B2244" s="7" t="s">
        <v>226</v>
      </c>
      <c r="C2244" s="7" t="s">
        <v>144</v>
      </c>
      <c r="D2244" s="9">
        <v>0</v>
      </c>
      <c r="E2244" s="9">
        <v>0</v>
      </c>
      <c r="F2244" s="9">
        <v>0</v>
      </c>
      <c r="G2244" s="9">
        <v>0.01</v>
      </c>
      <c r="H2244" s="9">
        <v>0</v>
      </c>
      <c r="I2244" s="9">
        <v>0</v>
      </c>
      <c r="J2244" s="7" t="s">
        <v>325</v>
      </c>
    </row>
    <row r="2245" spans="1:10" ht="26.25" customHeight="1" x14ac:dyDescent="0.35">
      <c r="A2245" s="7" t="s">
        <v>40</v>
      </c>
      <c r="B2245" s="7" t="s">
        <v>272</v>
      </c>
      <c r="C2245" s="7" t="s">
        <v>81</v>
      </c>
      <c r="D2245" s="9">
        <v>0.6</v>
      </c>
      <c r="E2245" s="9">
        <v>0</v>
      </c>
      <c r="F2245" s="9">
        <v>0</v>
      </c>
      <c r="G2245" s="9">
        <v>611.55999999999995</v>
      </c>
      <c r="H2245" s="9">
        <v>0</v>
      </c>
      <c r="I2245" s="9">
        <v>0</v>
      </c>
      <c r="J2245" s="7" t="s">
        <v>325</v>
      </c>
    </row>
    <row r="2246" spans="1:10" x14ac:dyDescent="0.35">
      <c r="A2246" s="7" t="s">
        <v>40</v>
      </c>
      <c r="B2246" s="7" t="s">
        <v>272</v>
      </c>
      <c r="C2246" s="7" t="s">
        <v>144</v>
      </c>
      <c r="D2246" s="9">
        <v>0.42</v>
      </c>
      <c r="E2246" s="9">
        <v>0</v>
      </c>
      <c r="F2246" s="9">
        <v>0</v>
      </c>
      <c r="G2246" s="9">
        <v>632.16999999999996</v>
      </c>
      <c r="H2246" s="9">
        <v>0</v>
      </c>
      <c r="I2246" s="9">
        <v>0</v>
      </c>
      <c r="J2246" s="7" t="s">
        <v>325</v>
      </c>
    </row>
    <row r="2247" spans="1:10" x14ac:dyDescent="0.35">
      <c r="A2247" s="7" t="s">
        <v>40</v>
      </c>
      <c r="B2247" s="7" t="s">
        <v>272</v>
      </c>
      <c r="C2247" s="7" t="s">
        <v>126</v>
      </c>
      <c r="D2247" s="9">
        <v>7.0000000000000007E-2</v>
      </c>
      <c r="E2247" s="9">
        <v>0</v>
      </c>
      <c r="F2247" s="9">
        <v>0</v>
      </c>
      <c r="G2247" s="9">
        <v>40</v>
      </c>
      <c r="H2247" s="9">
        <v>0</v>
      </c>
      <c r="I2247" s="9">
        <v>0</v>
      </c>
      <c r="J2247" s="7" t="s">
        <v>325</v>
      </c>
    </row>
    <row r="2248" spans="1:10" x14ac:dyDescent="0.35">
      <c r="A2248" s="7" t="s">
        <v>40</v>
      </c>
      <c r="B2248" s="7" t="s">
        <v>272</v>
      </c>
      <c r="C2248" s="7" t="s">
        <v>45</v>
      </c>
      <c r="D2248" s="9">
        <v>7.0000000000000007E-2</v>
      </c>
      <c r="E2248" s="9">
        <v>0</v>
      </c>
      <c r="F2248" s="9">
        <v>0</v>
      </c>
      <c r="G2248" s="9">
        <v>48</v>
      </c>
      <c r="H2248" s="9">
        <v>0</v>
      </c>
      <c r="I2248" s="9">
        <v>0</v>
      </c>
      <c r="J2248" s="7" t="s">
        <v>325</v>
      </c>
    </row>
    <row r="2249" spans="1:10" x14ac:dyDescent="0.35">
      <c r="A2249" s="7" t="s">
        <v>40</v>
      </c>
      <c r="B2249" s="7" t="s">
        <v>272</v>
      </c>
      <c r="C2249" s="7" t="s">
        <v>54</v>
      </c>
      <c r="D2249" s="9">
        <v>3.84</v>
      </c>
      <c r="E2249" s="9">
        <v>0</v>
      </c>
      <c r="F2249" s="9">
        <v>0</v>
      </c>
      <c r="G2249" s="8">
        <v>3186.77</v>
      </c>
      <c r="H2249" s="9">
        <v>0</v>
      </c>
      <c r="I2249" s="9">
        <v>0</v>
      </c>
      <c r="J2249" s="7" t="s">
        <v>325</v>
      </c>
    </row>
    <row r="2250" spans="1:10" x14ac:dyDescent="0.35">
      <c r="A2250" s="7" t="s">
        <v>40</v>
      </c>
      <c r="B2250" s="7" t="s">
        <v>272</v>
      </c>
      <c r="C2250" s="7" t="s">
        <v>42</v>
      </c>
      <c r="D2250" s="9">
        <v>0.05</v>
      </c>
      <c r="E2250" s="9">
        <v>0</v>
      </c>
      <c r="F2250" s="9">
        <v>0</v>
      </c>
      <c r="G2250" s="9">
        <v>25.74</v>
      </c>
      <c r="H2250" s="9">
        <v>0</v>
      </c>
      <c r="I2250" s="9">
        <v>0</v>
      </c>
      <c r="J2250" s="7" t="s">
        <v>325</v>
      </c>
    </row>
    <row r="2251" spans="1:10" x14ac:dyDescent="0.35">
      <c r="A2251" s="7" t="s">
        <v>79</v>
      </c>
      <c r="B2251" s="7" t="s">
        <v>226</v>
      </c>
      <c r="C2251" s="7" t="s">
        <v>53</v>
      </c>
      <c r="D2251" s="9">
        <v>0</v>
      </c>
      <c r="E2251" s="9">
        <v>0</v>
      </c>
      <c r="F2251" s="9">
        <v>0</v>
      </c>
      <c r="G2251" s="9">
        <v>0.02</v>
      </c>
      <c r="H2251" s="9">
        <v>0</v>
      </c>
      <c r="I2251" s="9">
        <v>0</v>
      </c>
      <c r="J2251" s="7" t="s">
        <v>325</v>
      </c>
    </row>
    <row r="2252" spans="1:10" x14ac:dyDescent="0.35">
      <c r="A2252" s="7" t="s">
        <v>40</v>
      </c>
      <c r="B2252" s="7" t="s">
        <v>178</v>
      </c>
      <c r="C2252" s="7" t="s">
        <v>48</v>
      </c>
      <c r="D2252" s="9">
        <v>0</v>
      </c>
      <c r="E2252" s="9">
        <v>0.01</v>
      </c>
      <c r="F2252" s="9">
        <v>0</v>
      </c>
      <c r="G2252" s="9">
        <v>0</v>
      </c>
      <c r="H2252" s="9">
        <v>2</v>
      </c>
      <c r="I2252" s="9">
        <v>0</v>
      </c>
      <c r="J2252" s="7" t="s">
        <v>325</v>
      </c>
    </row>
    <row r="2253" spans="1:10" x14ac:dyDescent="0.35">
      <c r="A2253" s="7" t="s">
        <v>79</v>
      </c>
      <c r="B2253" s="7" t="s">
        <v>226</v>
      </c>
      <c r="C2253" s="7" t="s">
        <v>51</v>
      </c>
      <c r="D2253" s="9">
        <v>0</v>
      </c>
      <c r="E2253" s="9">
        <v>0</v>
      </c>
      <c r="F2253" s="9">
        <v>0</v>
      </c>
      <c r="G2253" s="9">
        <v>0</v>
      </c>
      <c r="H2253" s="9">
        <v>0.28999999999999998</v>
      </c>
      <c r="I2253" s="9">
        <v>0</v>
      </c>
      <c r="J2253" s="7" t="s">
        <v>325</v>
      </c>
    </row>
    <row r="2254" spans="1:10" x14ac:dyDescent="0.35">
      <c r="A2254" s="7" t="s">
        <v>40</v>
      </c>
      <c r="B2254" s="7" t="s">
        <v>178</v>
      </c>
      <c r="C2254" s="7" t="s">
        <v>54</v>
      </c>
      <c r="D2254" s="9">
        <v>0</v>
      </c>
      <c r="E2254" s="9">
        <v>0</v>
      </c>
      <c r="F2254" s="9">
        <v>0</v>
      </c>
      <c r="G2254" s="9">
        <v>0</v>
      </c>
      <c r="H2254" s="9">
        <v>0.5</v>
      </c>
      <c r="I2254" s="9">
        <v>0</v>
      </c>
      <c r="J2254" s="7" t="s">
        <v>325</v>
      </c>
    </row>
    <row r="2255" spans="1:10" x14ac:dyDescent="0.35">
      <c r="A2255" s="7" t="s">
        <v>79</v>
      </c>
      <c r="B2255" s="7" t="s">
        <v>226</v>
      </c>
      <c r="C2255" s="7" t="s">
        <v>55</v>
      </c>
      <c r="D2255" s="9">
        <v>0</v>
      </c>
      <c r="E2255" s="9">
        <v>0</v>
      </c>
      <c r="F2255" s="9">
        <v>0</v>
      </c>
      <c r="G2255" s="9">
        <v>0.81</v>
      </c>
      <c r="H2255" s="9">
        <v>0.02</v>
      </c>
      <c r="I2255" s="9">
        <v>0</v>
      </c>
      <c r="J2255" s="7" t="s">
        <v>325</v>
      </c>
    </row>
    <row r="2256" spans="1:10" x14ac:dyDescent="0.35">
      <c r="A2256" s="7" t="s">
        <v>40</v>
      </c>
      <c r="B2256" s="7" t="s">
        <v>85</v>
      </c>
      <c r="C2256" s="7" t="s">
        <v>22</v>
      </c>
      <c r="D2256" s="9">
        <v>0.22</v>
      </c>
      <c r="E2256" s="9">
        <v>0.05</v>
      </c>
      <c r="F2256" s="9">
        <v>0</v>
      </c>
      <c r="G2256" s="9">
        <v>46.24</v>
      </c>
      <c r="H2256" s="9">
        <v>12.99</v>
      </c>
      <c r="I2256" s="9">
        <v>0</v>
      </c>
      <c r="J2256" s="7" t="s">
        <v>325</v>
      </c>
    </row>
    <row r="2257" spans="1:10" ht="26.25" customHeight="1" x14ac:dyDescent="0.35">
      <c r="A2257" s="7" t="s">
        <v>79</v>
      </c>
      <c r="B2257" s="7" t="s">
        <v>210</v>
      </c>
      <c r="C2257" s="7" t="s">
        <v>42</v>
      </c>
      <c r="D2257" s="9">
        <v>0</v>
      </c>
      <c r="E2257" s="9">
        <v>0.05</v>
      </c>
      <c r="F2257" s="9">
        <v>0</v>
      </c>
      <c r="G2257" s="9">
        <v>0</v>
      </c>
      <c r="H2257" s="9">
        <v>40.56</v>
      </c>
      <c r="I2257" s="9">
        <v>0</v>
      </c>
      <c r="J2257" s="7" t="s">
        <v>325</v>
      </c>
    </row>
    <row r="2258" spans="1:10" ht="26.25" customHeight="1" x14ac:dyDescent="0.35">
      <c r="A2258" s="7" t="s">
        <v>79</v>
      </c>
      <c r="B2258" s="7" t="s">
        <v>210</v>
      </c>
      <c r="C2258" s="7" t="s">
        <v>144</v>
      </c>
      <c r="D2258" s="9">
        <v>0</v>
      </c>
      <c r="E2258" s="9">
        <v>0.03</v>
      </c>
      <c r="F2258" s="9">
        <v>0</v>
      </c>
      <c r="G2258" s="9">
        <v>0</v>
      </c>
      <c r="H2258" s="9">
        <v>48.92</v>
      </c>
      <c r="I2258" s="9">
        <v>0</v>
      </c>
      <c r="J2258" s="7" t="s">
        <v>325</v>
      </c>
    </row>
    <row r="2259" spans="1:10" ht="26.25" customHeight="1" x14ac:dyDescent="0.35">
      <c r="A2259" s="7" t="s">
        <v>79</v>
      </c>
      <c r="B2259" s="7" t="s">
        <v>210</v>
      </c>
      <c r="C2259" s="7" t="s">
        <v>81</v>
      </c>
      <c r="D2259" s="9">
        <v>0</v>
      </c>
      <c r="E2259" s="9">
        <v>0.5</v>
      </c>
      <c r="F2259" s="9">
        <v>0</v>
      </c>
      <c r="G2259" s="9">
        <v>0</v>
      </c>
      <c r="H2259" s="9">
        <v>594.4</v>
      </c>
      <c r="I2259" s="9">
        <v>0</v>
      </c>
      <c r="J2259" s="7" t="s">
        <v>325</v>
      </c>
    </row>
    <row r="2260" spans="1:10" x14ac:dyDescent="0.35">
      <c r="A2260" s="7" t="s">
        <v>79</v>
      </c>
      <c r="B2260" s="7" t="s">
        <v>80</v>
      </c>
      <c r="C2260" s="7" t="s">
        <v>113</v>
      </c>
      <c r="D2260" s="9">
        <v>0.01</v>
      </c>
      <c r="E2260" s="9">
        <v>0</v>
      </c>
      <c r="F2260" s="9">
        <v>0</v>
      </c>
      <c r="G2260" s="9">
        <v>3.5</v>
      </c>
      <c r="H2260" s="9">
        <v>0</v>
      </c>
      <c r="I2260" s="9">
        <v>0</v>
      </c>
      <c r="J2260" s="7" t="s">
        <v>325</v>
      </c>
    </row>
    <row r="2261" spans="1:10" x14ac:dyDescent="0.35">
      <c r="A2261" s="7" t="s">
        <v>79</v>
      </c>
      <c r="B2261" s="7" t="s">
        <v>80</v>
      </c>
      <c r="C2261" s="7" t="s">
        <v>181</v>
      </c>
      <c r="D2261" s="9">
        <v>0</v>
      </c>
      <c r="E2261" s="9">
        <v>0</v>
      </c>
      <c r="F2261" s="9">
        <v>0</v>
      </c>
      <c r="G2261" s="9">
        <v>0.12</v>
      </c>
      <c r="H2261" s="9">
        <v>0.1</v>
      </c>
      <c r="I2261" s="9">
        <v>0</v>
      </c>
      <c r="J2261" s="7" t="s">
        <v>325</v>
      </c>
    </row>
    <row r="2262" spans="1:10" x14ac:dyDescent="0.35">
      <c r="A2262" s="7" t="s">
        <v>79</v>
      </c>
      <c r="B2262" s="7" t="s">
        <v>80</v>
      </c>
      <c r="C2262" s="7" t="s">
        <v>170</v>
      </c>
      <c r="D2262" s="9">
        <v>0.76</v>
      </c>
      <c r="E2262" s="9">
        <v>2.4700000000000002</v>
      </c>
      <c r="F2262" s="9">
        <v>0</v>
      </c>
      <c r="G2262" s="9">
        <v>42.56</v>
      </c>
      <c r="H2262" s="9">
        <v>156.75</v>
      </c>
      <c r="I2262" s="9">
        <v>0</v>
      </c>
      <c r="J2262" s="7" t="s">
        <v>325</v>
      </c>
    </row>
    <row r="2263" spans="1:10" x14ac:dyDescent="0.35">
      <c r="A2263" s="7" t="s">
        <v>79</v>
      </c>
      <c r="B2263" s="7" t="s">
        <v>80</v>
      </c>
      <c r="C2263" s="7" t="s">
        <v>116</v>
      </c>
      <c r="D2263" s="9">
        <v>0</v>
      </c>
      <c r="E2263" s="9">
        <v>0</v>
      </c>
      <c r="F2263" s="9">
        <v>0</v>
      </c>
      <c r="G2263" s="9">
        <v>0</v>
      </c>
      <c r="H2263" s="9">
        <v>1.4</v>
      </c>
      <c r="I2263" s="9">
        <v>0</v>
      </c>
      <c r="J2263" s="7" t="s">
        <v>325</v>
      </c>
    </row>
    <row r="2264" spans="1:10" x14ac:dyDescent="0.35">
      <c r="A2264" s="7" t="s">
        <v>79</v>
      </c>
      <c r="B2264" s="7" t="s">
        <v>80</v>
      </c>
      <c r="C2264" s="7" t="s">
        <v>151</v>
      </c>
      <c r="D2264" s="9">
        <v>0.12</v>
      </c>
      <c r="E2264" s="9">
        <v>0.24</v>
      </c>
      <c r="F2264" s="9">
        <v>0</v>
      </c>
      <c r="G2264" s="9">
        <v>67.03</v>
      </c>
      <c r="H2264" s="9">
        <v>166.44</v>
      </c>
      <c r="I2264" s="9">
        <v>0</v>
      </c>
      <c r="J2264" s="7" t="s">
        <v>325</v>
      </c>
    </row>
    <row r="2265" spans="1:10" x14ac:dyDescent="0.35">
      <c r="A2265" s="7" t="s">
        <v>40</v>
      </c>
      <c r="B2265" s="7" t="s">
        <v>85</v>
      </c>
      <c r="C2265" s="7" t="s">
        <v>83</v>
      </c>
      <c r="D2265" s="9">
        <v>0</v>
      </c>
      <c r="E2265" s="9">
        <v>0</v>
      </c>
      <c r="F2265" s="9">
        <v>0</v>
      </c>
      <c r="G2265" s="9">
        <v>0.99</v>
      </c>
      <c r="H2265" s="9">
        <v>0</v>
      </c>
      <c r="I2265" s="9">
        <v>0</v>
      </c>
      <c r="J2265" s="7" t="s">
        <v>325</v>
      </c>
    </row>
    <row r="2266" spans="1:10" x14ac:dyDescent="0.35">
      <c r="A2266" s="7" t="s">
        <v>79</v>
      </c>
      <c r="B2266" s="7" t="s">
        <v>80</v>
      </c>
      <c r="C2266" s="7" t="s">
        <v>62</v>
      </c>
      <c r="D2266" s="9">
        <v>0.09</v>
      </c>
      <c r="E2266" s="9">
        <v>0</v>
      </c>
      <c r="F2266" s="9">
        <v>0</v>
      </c>
      <c r="G2266" s="9">
        <v>235.12</v>
      </c>
      <c r="H2266" s="9">
        <v>0.92</v>
      </c>
      <c r="I2266" s="9">
        <v>0</v>
      </c>
      <c r="J2266" s="7" t="s">
        <v>325</v>
      </c>
    </row>
    <row r="2267" spans="1:10" x14ac:dyDescent="0.35">
      <c r="A2267" s="7" t="s">
        <v>79</v>
      </c>
      <c r="B2267" s="7" t="s">
        <v>80</v>
      </c>
      <c r="C2267" s="7" t="s">
        <v>46</v>
      </c>
      <c r="D2267" s="9">
        <v>0</v>
      </c>
      <c r="E2267" s="9">
        <v>0</v>
      </c>
      <c r="F2267" s="9">
        <v>0</v>
      </c>
      <c r="G2267" s="9">
        <v>0</v>
      </c>
      <c r="H2267" s="9">
        <v>0.5</v>
      </c>
      <c r="I2267" s="9">
        <v>0</v>
      </c>
      <c r="J2267" s="7" t="s">
        <v>325</v>
      </c>
    </row>
    <row r="2268" spans="1:10" x14ac:dyDescent="0.35">
      <c r="A2268" s="7" t="s">
        <v>79</v>
      </c>
      <c r="B2268" s="7" t="s">
        <v>80</v>
      </c>
      <c r="C2268" s="7" t="s">
        <v>51</v>
      </c>
      <c r="D2268" s="9">
        <v>0</v>
      </c>
      <c r="E2268" s="9">
        <v>0</v>
      </c>
      <c r="F2268" s="9">
        <v>0</v>
      </c>
      <c r="G2268" s="9">
        <v>1.05</v>
      </c>
      <c r="H2268" s="9">
        <v>0.13</v>
      </c>
      <c r="I2268" s="9">
        <v>0.03</v>
      </c>
      <c r="J2268" s="7" t="s">
        <v>325</v>
      </c>
    </row>
    <row r="2269" spans="1:10" x14ac:dyDescent="0.35">
      <c r="A2269" s="7" t="s">
        <v>79</v>
      </c>
      <c r="B2269" s="7" t="s">
        <v>80</v>
      </c>
      <c r="C2269" s="7" t="s">
        <v>83</v>
      </c>
      <c r="D2269" s="9">
        <v>0</v>
      </c>
      <c r="E2269" s="9">
        <v>0</v>
      </c>
      <c r="F2269" s="9">
        <v>0</v>
      </c>
      <c r="G2269" s="9">
        <v>0</v>
      </c>
      <c r="H2269" s="9">
        <v>0</v>
      </c>
      <c r="I2269" s="9">
        <v>0</v>
      </c>
      <c r="J2269" s="7" t="s">
        <v>325</v>
      </c>
    </row>
    <row r="2270" spans="1:10" x14ac:dyDescent="0.35">
      <c r="A2270" s="7" t="s">
        <v>79</v>
      </c>
      <c r="B2270" s="7" t="s">
        <v>80</v>
      </c>
      <c r="C2270" s="7" t="s">
        <v>179</v>
      </c>
      <c r="D2270" s="9">
        <v>0.01</v>
      </c>
      <c r="E2270" s="9">
        <v>0</v>
      </c>
      <c r="F2270" s="9">
        <v>0</v>
      </c>
      <c r="G2270" s="9">
        <v>0.97</v>
      </c>
      <c r="H2270" s="9">
        <v>0.03</v>
      </c>
      <c r="I2270" s="9">
        <v>0</v>
      </c>
      <c r="J2270" s="7" t="s">
        <v>325</v>
      </c>
    </row>
    <row r="2271" spans="1:10" x14ac:dyDescent="0.35">
      <c r="A2271" s="7" t="s">
        <v>79</v>
      </c>
      <c r="B2271" s="7" t="s">
        <v>80</v>
      </c>
      <c r="C2271" s="7" t="s">
        <v>114</v>
      </c>
      <c r="D2271" s="9">
        <v>0</v>
      </c>
      <c r="E2271" s="9">
        <v>0</v>
      </c>
      <c r="F2271" s="9">
        <v>0</v>
      </c>
      <c r="G2271" s="9">
        <v>0.05</v>
      </c>
      <c r="H2271" s="9">
        <v>0</v>
      </c>
      <c r="I2271" s="9">
        <v>0</v>
      </c>
      <c r="J2271" s="7" t="s">
        <v>325</v>
      </c>
    </row>
    <row r="2272" spans="1:10" x14ac:dyDescent="0.35">
      <c r="A2272" s="7" t="s">
        <v>79</v>
      </c>
      <c r="B2272" s="7" t="s">
        <v>264</v>
      </c>
      <c r="C2272" s="7" t="s">
        <v>174</v>
      </c>
      <c r="D2272" s="9">
        <v>7.0000000000000007E-2</v>
      </c>
      <c r="E2272" s="9">
        <v>0</v>
      </c>
      <c r="F2272" s="9">
        <v>0</v>
      </c>
      <c r="G2272" s="9">
        <v>0</v>
      </c>
      <c r="H2272" s="9">
        <v>0</v>
      </c>
      <c r="I2272" s="9">
        <v>0</v>
      </c>
      <c r="J2272" s="7" t="s">
        <v>325</v>
      </c>
    </row>
    <row r="2273" spans="1:10" x14ac:dyDescent="0.35">
      <c r="A2273" s="7" t="s">
        <v>79</v>
      </c>
      <c r="B2273" s="7" t="s">
        <v>92</v>
      </c>
      <c r="C2273" s="7" t="s">
        <v>181</v>
      </c>
      <c r="D2273" s="9">
        <v>0</v>
      </c>
      <c r="E2273" s="9">
        <v>0</v>
      </c>
      <c r="F2273" s="9">
        <v>0</v>
      </c>
      <c r="G2273" s="9">
        <v>0</v>
      </c>
      <c r="H2273" s="9">
        <v>0</v>
      </c>
      <c r="I2273" s="9">
        <v>0</v>
      </c>
      <c r="J2273" s="7" t="s">
        <v>325</v>
      </c>
    </row>
    <row r="2274" spans="1:10" x14ac:dyDescent="0.35">
      <c r="A2274" s="7" t="s">
        <v>79</v>
      </c>
      <c r="B2274" s="7" t="s">
        <v>92</v>
      </c>
      <c r="C2274" s="7" t="s">
        <v>128</v>
      </c>
      <c r="D2274" s="9">
        <v>0</v>
      </c>
      <c r="E2274" s="9">
        <v>0.03</v>
      </c>
      <c r="F2274" s="9">
        <v>0</v>
      </c>
      <c r="G2274" s="9">
        <v>0.12</v>
      </c>
      <c r="H2274" s="9">
        <v>3.42</v>
      </c>
      <c r="I2274" s="9">
        <v>0</v>
      </c>
      <c r="J2274" s="7" t="s">
        <v>325</v>
      </c>
    </row>
    <row r="2275" spans="1:10" x14ac:dyDescent="0.35">
      <c r="A2275" s="7" t="s">
        <v>79</v>
      </c>
      <c r="B2275" s="7" t="s">
        <v>92</v>
      </c>
      <c r="C2275" s="7" t="s">
        <v>116</v>
      </c>
      <c r="D2275" s="9">
        <v>0</v>
      </c>
      <c r="E2275" s="9">
        <v>0</v>
      </c>
      <c r="F2275" s="9">
        <v>0</v>
      </c>
      <c r="G2275" s="9">
        <v>0.05</v>
      </c>
      <c r="H2275" s="9">
        <v>0</v>
      </c>
      <c r="I2275" s="9">
        <v>0</v>
      </c>
      <c r="J2275" s="7" t="s">
        <v>325</v>
      </c>
    </row>
    <row r="2276" spans="1:10" x14ac:dyDescent="0.35">
      <c r="A2276" s="7" t="s">
        <v>40</v>
      </c>
      <c r="B2276" s="7" t="s">
        <v>85</v>
      </c>
      <c r="C2276" s="7" t="s">
        <v>116</v>
      </c>
      <c r="D2276" s="9">
        <v>0.03</v>
      </c>
      <c r="E2276" s="9">
        <v>0</v>
      </c>
      <c r="F2276" s="9">
        <v>0</v>
      </c>
      <c r="G2276" s="9">
        <v>41.88</v>
      </c>
      <c r="H2276" s="9">
        <v>0</v>
      </c>
      <c r="I2276" s="9">
        <v>0</v>
      </c>
      <c r="J2276" s="7" t="s">
        <v>325</v>
      </c>
    </row>
    <row r="2277" spans="1:10" x14ac:dyDescent="0.35">
      <c r="A2277" s="7" t="s">
        <v>79</v>
      </c>
      <c r="B2277" s="7" t="s">
        <v>92</v>
      </c>
      <c r="C2277" s="7" t="s">
        <v>27</v>
      </c>
      <c r="D2277" s="9">
        <v>0</v>
      </c>
      <c r="E2277" s="9">
        <v>0</v>
      </c>
      <c r="F2277" s="9">
        <v>0</v>
      </c>
      <c r="G2277" s="9">
        <v>0.02</v>
      </c>
      <c r="H2277" s="9">
        <v>0.04</v>
      </c>
      <c r="I2277" s="9">
        <v>0.01</v>
      </c>
      <c r="J2277" s="7" t="s">
        <v>325</v>
      </c>
    </row>
    <row r="2278" spans="1:10" x14ac:dyDescent="0.35">
      <c r="A2278" s="7" t="s">
        <v>79</v>
      </c>
      <c r="B2278" s="7" t="s">
        <v>92</v>
      </c>
      <c r="C2278" s="7" t="s">
        <v>118</v>
      </c>
      <c r="D2278" s="9">
        <v>0</v>
      </c>
      <c r="E2278" s="9">
        <v>0</v>
      </c>
      <c r="F2278" s="9">
        <v>0</v>
      </c>
      <c r="G2278" s="9">
        <v>0.2</v>
      </c>
      <c r="H2278" s="9">
        <v>0.04</v>
      </c>
      <c r="I2278" s="9">
        <v>0</v>
      </c>
      <c r="J2278" s="7" t="s">
        <v>325</v>
      </c>
    </row>
    <row r="2279" spans="1:10" x14ac:dyDescent="0.35">
      <c r="A2279" s="7" t="s">
        <v>40</v>
      </c>
      <c r="B2279" s="7" t="s">
        <v>85</v>
      </c>
      <c r="C2279" s="7" t="s">
        <v>93</v>
      </c>
      <c r="D2279" s="9">
        <v>0.55000000000000004</v>
      </c>
      <c r="E2279" s="9">
        <v>7.0000000000000007E-2</v>
      </c>
      <c r="F2279" s="9">
        <v>0</v>
      </c>
      <c r="G2279" s="9">
        <v>140.80000000000001</v>
      </c>
      <c r="H2279" s="9">
        <v>17.57</v>
      </c>
      <c r="I2279" s="9">
        <v>0</v>
      </c>
      <c r="J2279" s="7" t="s">
        <v>325</v>
      </c>
    </row>
    <row r="2280" spans="1:10" x14ac:dyDescent="0.35">
      <c r="A2280" s="7" t="s">
        <v>79</v>
      </c>
      <c r="B2280" s="7" t="s">
        <v>92</v>
      </c>
      <c r="C2280" s="7" t="s">
        <v>151</v>
      </c>
      <c r="D2280" s="9">
        <v>0</v>
      </c>
      <c r="E2280" s="9">
        <v>0</v>
      </c>
      <c r="F2280" s="9">
        <v>0</v>
      </c>
      <c r="G2280" s="9">
        <v>0.7</v>
      </c>
      <c r="H2280" s="9">
        <v>0.04</v>
      </c>
      <c r="I2280" s="9">
        <v>0</v>
      </c>
      <c r="J2280" s="7" t="s">
        <v>325</v>
      </c>
    </row>
    <row r="2281" spans="1:10" x14ac:dyDescent="0.35">
      <c r="A2281" s="7" t="s">
        <v>74</v>
      </c>
      <c r="B2281" s="7" t="s">
        <v>137</v>
      </c>
      <c r="C2281" s="7" t="s">
        <v>22</v>
      </c>
      <c r="D2281" s="9">
        <v>0</v>
      </c>
      <c r="E2281" s="9">
        <v>0.24</v>
      </c>
      <c r="F2281" s="9">
        <v>0</v>
      </c>
      <c r="G2281" s="9">
        <v>0</v>
      </c>
      <c r="H2281" s="9">
        <v>42.68</v>
      </c>
      <c r="I2281" s="9">
        <v>0</v>
      </c>
      <c r="J2281" s="7" t="s">
        <v>325</v>
      </c>
    </row>
    <row r="2282" spans="1:10" x14ac:dyDescent="0.35">
      <c r="A2282" s="7" t="s">
        <v>74</v>
      </c>
      <c r="B2282" s="7" t="s">
        <v>137</v>
      </c>
      <c r="C2282" s="7" t="s">
        <v>114</v>
      </c>
      <c r="D2282" s="9">
        <v>0</v>
      </c>
      <c r="E2282" s="9">
        <v>0</v>
      </c>
      <c r="F2282" s="9">
        <v>0</v>
      </c>
      <c r="G2282" s="9">
        <v>0</v>
      </c>
      <c r="H2282" s="9">
        <v>0</v>
      </c>
      <c r="I2282" s="9">
        <v>0</v>
      </c>
      <c r="J2282" s="7" t="s">
        <v>325</v>
      </c>
    </row>
    <row r="2283" spans="1:10" x14ac:dyDescent="0.35">
      <c r="A2283" s="7" t="s">
        <v>74</v>
      </c>
      <c r="B2283" s="7" t="s">
        <v>137</v>
      </c>
      <c r="C2283" s="7" t="s">
        <v>84</v>
      </c>
      <c r="D2283" s="9">
        <v>0.02</v>
      </c>
      <c r="E2283" s="9">
        <v>0.02</v>
      </c>
      <c r="F2283" s="9">
        <v>0</v>
      </c>
      <c r="G2283" s="9">
        <v>3</v>
      </c>
      <c r="H2283" s="9">
        <v>2.27</v>
      </c>
      <c r="I2283" s="9">
        <v>0</v>
      </c>
      <c r="J2283" s="7" t="s">
        <v>325</v>
      </c>
    </row>
    <row r="2284" spans="1:10" x14ac:dyDescent="0.35">
      <c r="A2284" s="7" t="s">
        <v>79</v>
      </c>
      <c r="B2284" s="7" t="s">
        <v>92</v>
      </c>
      <c r="C2284" s="7" t="s">
        <v>46</v>
      </c>
      <c r="D2284" s="9">
        <v>0</v>
      </c>
      <c r="E2284" s="9">
        <v>0</v>
      </c>
      <c r="F2284" s="9">
        <v>0</v>
      </c>
      <c r="G2284" s="9">
        <v>0</v>
      </c>
      <c r="H2284" s="9">
        <v>0.02</v>
      </c>
      <c r="I2284" s="9">
        <v>0</v>
      </c>
      <c r="J2284" s="7" t="s">
        <v>325</v>
      </c>
    </row>
    <row r="2285" spans="1:10" ht="26.25" customHeight="1" x14ac:dyDescent="0.35">
      <c r="A2285" s="7" t="s">
        <v>74</v>
      </c>
      <c r="B2285" s="7" t="s">
        <v>137</v>
      </c>
      <c r="C2285" s="7" t="s">
        <v>81</v>
      </c>
      <c r="D2285" s="9">
        <v>0</v>
      </c>
      <c r="E2285" s="9">
        <v>0</v>
      </c>
      <c r="F2285" s="9">
        <v>0</v>
      </c>
      <c r="G2285" s="9">
        <v>0.01</v>
      </c>
      <c r="H2285" s="9">
        <v>0</v>
      </c>
      <c r="I2285" s="9">
        <v>0</v>
      </c>
      <c r="J2285" s="7" t="s">
        <v>325</v>
      </c>
    </row>
    <row r="2286" spans="1:10" x14ac:dyDescent="0.35">
      <c r="A2286" s="7" t="s">
        <v>74</v>
      </c>
      <c r="B2286" s="7" t="s">
        <v>137</v>
      </c>
      <c r="C2286" s="7" t="s">
        <v>72</v>
      </c>
      <c r="D2286" s="9">
        <v>0.01</v>
      </c>
      <c r="E2286" s="9">
        <v>0.01</v>
      </c>
      <c r="F2286" s="9">
        <v>0</v>
      </c>
      <c r="G2286" s="9">
        <v>3.23</v>
      </c>
      <c r="H2286" s="9">
        <v>4.28</v>
      </c>
      <c r="I2286" s="9">
        <v>0</v>
      </c>
      <c r="J2286" s="7" t="s">
        <v>325</v>
      </c>
    </row>
    <row r="2287" spans="1:10" x14ac:dyDescent="0.35">
      <c r="A2287" s="7" t="s">
        <v>79</v>
      </c>
      <c r="B2287" s="7" t="s">
        <v>92</v>
      </c>
      <c r="C2287" s="7" t="s">
        <v>51</v>
      </c>
      <c r="D2287" s="9">
        <v>0</v>
      </c>
      <c r="E2287" s="9">
        <v>0.01</v>
      </c>
      <c r="F2287" s="9">
        <v>0</v>
      </c>
      <c r="G2287" s="9">
        <v>0</v>
      </c>
      <c r="H2287" s="9">
        <v>7.03</v>
      </c>
      <c r="I2287" s="9">
        <v>0</v>
      </c>
      <c r="J2287" s="7" t="s">
        <v>325</v>
      </c>
    </row>
    <row r="2288" spans="1:10" x14ac:dyDescent="0.35">
      <c r="A2288" s="7" t="s">
        <v>79</v>
      </c>
      <c r="B2288" s="7" t="s">
        <v>92</v>
      </c>
      <c r="C2288" s="7" t="s">
        <v>83</v>
      </c>
      <c r="D2288" s="9">
        <v>0</v>
      </c>
      <c r="E2288" s="9">
        <v>0</v>
      </c>
      <c r="F2288" s="9">
        <v>0</v>
      </c>
      <c r="G2288" s="9">
        <v>0</v>
      </c>
      <c r="H2288" s="9">
        <v>0</v>
      </c>
      <c r="I2288" s="9">
        <v>0</v>
      </c>
      <c r="J2288" s="7" t="s">
        <v>325</v>
      </c>
    </row>
    <row r="2289" spans="1:10" x14ac:dyDescent="0.35">
      <c r="A2289" s="7" t="s">
        <v>79</v>
      </c>
      <c r="B2289" s="7" t="s">
        <v>92</v>
      </c>
      <c r="C2289" s="7" t="s">
        <v>142</v>
      </c>
      <c r="D2289" s="9">
        <v>0</v>
      </c>
      <c r="E2289" s="9">
        <v>0.06</v>
      </c>
      <c r="F2289" s="9">
        <v>0</v>
      </c>
      <c r="G2289" s="9">
        <v>0.03</v>
      </c>
      <c r="H2289" s="9">
        <v>1.1000000000000001</v>
      </c>
      <c r="I2289" s="9">
        <v>0</v>
      </c>
      <c r="J2289" s="7" t="s">
        <v>325</v>
      </c>
    </row>
    <row r="2290" spans="1:10" x14ac:dyDescent="0.35">
      <c r="A2290" s="7" t="s">
        <v>74</v>
      </c>
      <c r="B2290" s="7" t="s">
        <v>137</v>
      </c>
      <c r="C2290" s="7" t="s">
        <v>51</v>
      </c>
      <c r="D2290" s="9">
        <v>0</v>
      </c>
      <c r="E2290" s="9">
        <v>0</v>
      </c>
      <c r="F2290" s="9">
        <v>0</v>
      </c>
      <c r="G2290" s="9">
        <v>0</v>
      </c>
      <c r="H2290" s="9">
        <v>0.39</v>
      </c>
      <c r="I2290" s="9">
        <v>0</v>
      </c>
      <c r="J2290" s="7" t="s">
        <v>325</v>
      </c>
    </row>
    <row r="2291" spans="1:10" x14ac:dyDescent="0.35">
      <c r="A2291" s="7" t="s">
        <v>79</v>
      </c>
      <c r="B2291" s="7" t="s">
        <v>92</v>
      </c>
      <c r="C2291" s="7" t="s">
        <v>18</v>
      </c>
      <c r="D2291" s="9">
        <v>0</v>
      </c>
      <c r="E2291" s="9">
        <v>0</v>
      </c>
      <c r="F2291" s="9">
        <v>0</v>
      </c>
      <c r="G2291" s="9">
        <v>0.03</v>
      </c>
      <c r="H2291" s="9">
        <v>0.1</v>
      </c>
      <c r="I2291" s="9">
        <v>0</v>
      </c>
      <c r="J2291" s="7" t="s">
        <v>325</v>
      </c>
    </row>
    <row r="2292" spans="1:10" x14ac:dyDescent="0.35">
      <c r="A2292" s="7" t="s">
        <v>74</v>
      </c>
      <c r="B2292" s="7" t="s">
        <v>137</v>
      </c>
      <c r="C2292" s="7" t="s">
        <v>118</v>
      </c>
      <c r="D2292" s="9">
        <v>0</v>
      </c>
      <c r="E2292" s="9">
        <v>0</v>
      </c>
      <c r="F2292" s="9">
        <v>0</v>
      </c>
      <c r="G2292" s="9">
        <v>0</v>
      </c>
      <c r="H2292" s="9">
        <v>0.01</v>
      </c>
      <c r="I2292" s="9">
        <v>0</v>
      </c>
      <c r="J2292" s="7" t="s">
        <v>325</v>
      </c>
    </row>
    <row r="2293" spans="1:10" ht="26.5" x14ac:dyDescent="0.35">
      <c r="A2293" s="7" t="s">
        <v>212</v>
      </c>
      <c r="B2293" s="7" t="s">
        <v>213</v>
      </c>
      <c r="C2293" s="7" t="s">
        <v>48</v>
      </c>
      <c r="D2293" s="9">
        <v>0.01</v>
      </c>
      <c r="E2293" s="9">
        <v>0</v>
      </c>
      <c r="F2293" s="9">
        <v>0</v>
      </c>
      <c r="G2293" s="9">
        <v>6.66</v>
      </c>
      <c r="H2293" s="9">
        <v>0</v>
      </c>
      <c r="I2293" s="9">
        <v>0</v>
      </c>
      <c r="J2293" s="7" t="s">
        <v>325</v>
      </c>
    </row>
    <row r="2294" spans="1:10" x14ac:dyDescent="0.35">
      <c r="A2294" s="7" t="s">
        <v>74</v>
      </c>
      <c r="B2294" s="7" t="s">
        <v>137</v>
      </c>
      <c r="C2294" s="7" t="s">
        <v>170</v>
      </c>
      <c r="D2294" s="9">
        <v>0.53</v>
      </c>
      <c r="E2294" s="9">
        <v>0.01</v>
      </c>
      <c r="F2294" s="9">
        <v>0</v>
      </c>
      <c r="G2294" s="9">
        <v>194.41</v>
      </c>
      <c r="H2294" s="9">
        <v>4.72</v>
      </c>
      <c r="I2294" s="9">
        <v>0</v>
      </c>
      <c r="J2294" s="7" t="s">
        <v>325</v>
      </c>
    </row>
    <row r="2295" spans="1:10" x14ac:dyDescent="0.35">
      <c r="A2295" s="7" t="s">
        <v>74</v>
      </c>
      <c r="B2295" s="7" t="s">
        <v>137</v>
      </c>
      <c r="C2295" s="7" t="s">
        <v>221</v>
      </c>
      <c r="D2295" s="9">
        <v>0</v>
      </c>
      <c r="E2295" s="9">
        <v>0</v>
      </c>
      <c r="F2295" s="9">
        <v>0</v>
      </c>
      <c r="G2295" s="9">
        <v>0.02</v>
      </c>
      <c r="H2295" s="9">
        <v>0</v>
      </c>
      <c r="I2295" s="9">
        <v>0</v>
      </c>
      <c r="J2295" s="7" t="s">
        <v>325</v>
      </c>
    </row>
    <row r="2296" spans="1:10" x14ac:dyDescent="0.35">
      <c r="A2296" s="7" t="s">
        <v>35</v>
      </c>
      <c r="B2296" s="7" t="s">
        <v>165</v>
      </c>
      <c r="C2296" s="7" t="s">
        <v>102</v>
      </c>
      <c r="D2296" s="9">
        <v>0</v>
      </c>
      <c r="E2296" s="9">
        <v>0</v>
      </c>
      <c r="F2296" s="9">
        <v>0</v>
      </c>
      <c r="G2296" s="9">
        <v>0</v>
      </c>
      <c r="H2296" s="9">
        <v>0.02</v>
      </c>
      <c r="I2296" s="9">
        <v>0</v>
      </c>
      <c r="J2296" s="7" t="s">
        <v>325</v>
      </c>
    </row>
    <row r="2297" spans="1:10" x14ac:dyDescent="0.35">
      <c r="A2297" s="7" t="s">
        <v>74</v>
      </c>
      <c r="B2297" s="7" t="s">
        <v>137</v>
      </c>
      <c r="C2297" s="7" t="s">
        <v>33</v>
      </c>
      <c r="D2297" s="9">
        <v>0.01</v>
      </c>
      <c r="E2297" s="9">
        <v>0</v>
      </c>
      <c r="F2297" s="9">
        <v>0</v>
      </c>
      <c r="G2297" s="9">
        <v>4.46</v>
      </c>
      <c r="H2297" s="9">
        <v>0</v>
      </c>
      <c r="I2297" s="9">
        <v>0</v>
      </c>
      <c r="J2297" s="7" t="s">
        <v>325</v>
      </c>
    </row>
    <row r="2298" spans="1:10" x14ac:dyDescent="0.35">
      <c r="A2298" s="7" t="s">
        <v>74</v>
      </c>
      <c r="B2298" s="7" t="s">
        <v>137</v>
      </c>
      <c r="C2298" s="7" t="s">
        <v>93</v>
      </c>
      <c r="D2298" s="9">
        <v>0</v>
      </c>
      <c r="E2298" s="9">
        <v>0.08</v>
      </c>
      <c r="F2298" s="9">
        <v>0</v>
      </c>
      <c r="G2298" s="9">
        <v>0</v>
      </c>
      <c r="H2298" s="9">
        <v>10.61</v>
      </c>
      <c r="I2298" s="9">
        <v>0</v>
      </c>
      <c r="J2298" s="7" t="s">
        <v>325</v>
      </c>
    </row>
    <row r="2299" spans="1:10" x14ac:dyDescent="0.35">
      <c r="A2299" s="7" t="s">
        <v>35</v>
      </c>
      <c r="B2299" s="7" t="s">
        <v>165</v>
      </c>
      <c r="C2299" s="7" t="s">
        <v>51</v>
      </c>
      <c r="D2299" s="9">
        <v>0</v>
      </c>
      <c r="E2299" s="9">
        <v>0</v>
      </c>
      <c r="F2299" s="9">
        <v>0</v>
      </c>
      <c r="G2299" s="9">
        <v>0</v>
      </c>
      <c r="H2299" s="9">
        <v>0.1</v>
      </c>
      <c r="I2299" s="9">
        <v>0</v>
      </c>
      <c r="J2299" s="7" t="s">
        <v>325</v>
      </c>
    </row>
    <row r="2300" spans="1:10" x14ac:dyDescent="0.35">
      <c r="A2300" s="7" t="s">
        <v>74</v>
      </c>
      <c r="B2300" s="7" t="s">
        <v>75</v>
      </c>
      <c r="C2300" s="7" t="s">
        <v>114</v>
      </c>
      <c r="D2300" s="9">
        <v>0</v>
      </c>
      <c r="E2300" s="9">
        <v>0</v>
      </c>
      <c r="F2300" s="9">
        <v>0</v>
      </c>
      <c r="G2300" s="9">
        <v>0</v>
      </c>
      <c r="H2300" s="9">
        <v>1</v>
      </c>
      <c r="I2300" s="9">
        <v>0</v>
      </c>
      <c r="J2300" s="7" t="s">
        <v>325</v>
      </c>
    </row>
    <row r="2301" spans="1:10" x14ac:dyDescent="0.35">
      <c r="A2301" s="7" t="s">
        <v>74</v>
      </c>
      <c r="B2301" s="7" t="s">
        <v>75</v>
      </c>
      <c r="C2301" s="7" t="s">
        <v>142</v>
      </c>
      <c r="D2301" s="9">
        <v>0</v>
      </c>
      <c r="E2301" s="9">
        <v>0</v>
      </c>
      <c r="F2301" s="9">
        <v>0</v>
      </c>
      <c r="G2301" s="9">
        <v>0.8</v>
      </c>
      <c r="H2301" s="9">
        <v>0.4</v>
      </c>
      <c r="I2301" s="9">
        <v>0</v>
      </c>
      <c r="J2301" s="7" t="s">
        <v>325</v>
      </c>
    </row>
    <row r="2302" spans="1:10" x14ac:dyDescent="0.35">
      <c r="A2302" s="7" t="s">
        <v>35</v>
      </c>
      <c r="B2302" s="7" t="s">
        <v>165</v>
      </c>
      <c r="C2302" s="7" t="s">
        <v>60</v>
      </c>
      <c r="D2302" s="9">
        <v>0</v>
      </c>
      <c r="E2302" s="9">
        <v>0</v>
      </c>
      <c r="F2302" s="9">
        <v>0</v>
      </c>
      <c r="G2302" s="9">
        <v>0</v>
      </c>
      <c r="H2302" s="9">
        <v>0.34</v>
      </c>
      <c r="I2302" s="9">
        <v>0</v>
      </c>
      <c r="J2302" s="7" t="s">
        <v>325</v>
      </c>
    </row>
    <row r="2303" spans="1:10" x14ac:dyDescent="0.35">
      <c r="A2303" s="7" t="s">
        <v>35</v>
      </c>
      <c r="B2303" s="7" t="s">
        <v>38</v>
      </c>
      <c r="C2303" s="7" t="s">
        <v>181</v>
      </c>
      <c r="D2303" s="9">
        <v>0</v>
      </c>
      <c r="E2303" s="9">
        <v>0</v>
      </c>
      <c r="F2303" s="9">
        <v>0</v>
      </c>
      <c r="G2303" s="9">
        <v>0.04</v>
      </c>
      <c r="H2303" s="9">
        <v>0.01</v>
      </c>
      <c r="I2303" s="9">
        <v>0</v>
      </c>
      <c r="J2303" s="7" t="s">
        <v>325</v>
      </c>
    </row>
    <row r="2304" spans="1:10" x14ac:dyDescent="0.35">
      <c r="A2304" s="7" t="s">
        <v>74</v>
      </c>
      <c r="B2304" s="7" t="s">
        <v>75</v>
      </c>
      <c r="C2304" s="7" t="s">
        <v>122</v>
      </c>
      <c r="D2304" s="9">
        <v>0.88</v>
      </c>
      <c r="E2304" s="9">
        <v>1.42</v>
      </c>
      <c r="F2304" s="9">
        <v>0</v>
      </c>
      <c r="G2304" s="8">
        <v>1180.4100000000001</v>
      </c>
      <c r="H2304" s="8">
        <v>3091.14</v>
      </c>
      <c r="I2304" s="9">
        <v>0</v>
      </c>
      <c r="J2304" s="7" t="s">
        <v>325</v>
      </c>
    </row>
    <row r="2305" spans="1:10" x14ac:dyDescent="0.35">
      <c r="A2305" s="7" t="s">
        <v>35</v>
      </c>
      <c r="B2305" s="7" t="s">
        <v>38</v>
      </c>
      <c r="C2305" s="7" t="s">
        <v>93</v>
      </c>
      <c r="D2305" s="9">
        <v>0</v>
      </c>
      <c r="E2305" s="9">
        <v>0.08</v>
      </c>
      <c r="F2305" s="9">
        <v>0</v>
      </c>
      <c r="G2305" s="9">
        <v>0</v>
      </c>
      <c r="H2305" s="9">
        <v>28.49</v>
      </c>
      <c r="I2305" s="9">
        <v>0</v>
      </c>
      <c r="J2305" s="7" t="s">
        <v>325</v>
      </c>
    </row>
    <row r="2306" spans="1:10" x14ac:dyDescent="0.35">
      <c r="A2306" s="7" t="s">
        <v>35</v>
      </c>
      <c r="B2306" s="7" t="s">
        <v>38</v>
      </c>
      <c r="C2306" s="7" t="s">
        <v>221</v>
      </c>
      <c r="D2306" s="9">
        <v>0</v>
      </c>
      <c r="E2306" s="9">
        <v>0.21</v>
      </c>
      <c r="F2306" s="9">
        <v>0</v>
      </c>
      <c r="G2306" s="9">
        <v>0</v>
      </c>
      <c r="H2306" s="9">
        <v>44.18</v>
      </c>
      <c r="I2306" s="9">
        <v>0</v>
      </c>
      <c r="J2306" s="7" t="s">
        <v>325</v>
      </c>
    </row>
    <row r="2307" spans="1:10" x14ac:dyDescent="0.35">
      <c r="A2307" s="7" t="s">
        <v>35</v>
      </c>
      <c r="B2307" s="7" t="s">
        <v>38</v>
      </c>
      <c r="C2307" s="7" t="s">
        <v>102</v>
      </c>
      <c r="D2307" s="9">
        <v>0</v>
      </c>
      <c r="E2307" s="9">
        <v>0.01</v>
      </c>
      <c r="F2307" s="9">
        <v>0</v>
      </c>
      <c r="G2307" s="9">
        <v>4.25</v>
      </c>
      <c r="H2307" s="9">
        <v>4.4800000000000004</v>
      </c>
      <c r="I2307" s="9">
        <v>0</v>
      </c>
      <c r="J2307" s="7" t="s">
        <v>325</v>
      </c>
    </row>
    <row r="2308" spans="1:10" x14ac:dyDescent="0.35">
      <c r="A2308" s="7" t="s">
        <v>35</v>
      </c>
      <c r="B2308" s="7" t="s">
        <v>38</v>
      </c>
      <c r="C2308" s="7" t="s">
        <v>62</v>
      </c>
      <c r="D2308" s="9">
        <v>0</v>
      </c>
      <c r="E2308" s="9">
        <v>0</v>
      </c>
      <c r="F2308" s="9">
        <v>0</v>
      </c>
      <c r="G2308" s="9">
        <v>0.05</v>
      </c>
      <c r="H2308" s="9">
        <v>0</v>
      </c>
      <c r="I2308" s="9">
        <v>0</v>
      </c>
      <c r="J2308" s="7" t="s">
        <v>325</v>
      </c>
    </row>
    <row r="2309" spans="1:10" x14ac:dyDescent="0.35">
      <c r="A2309" s="7" t="s">
        <v>74</v>
      </c>
      <c r="B2309" s="7" t="s">
        <v>75</v>
      </c>
      <c r="C2309" s="7" t="s">
        <v>151</v>
      </c>
      <c r="D2309" s="9">
        <v>0</v>
      </c>
      <c r="E2309" s="9">
        <v>0.03</v>
      </c>
      <c r="F2309" s="9">
        <v>0</v>
      </c>
      <c r="G2309" s="9">
        <v>0</v>
      </c>
      <c r="H2309" s="9">
        <v>13.16</v>
      </c>
      <c r="I2309" s="9">
        <v>0</v>
      </c>
      <c r="J2309" s="7" t="s">
        <v>325</v>
      </c>
    </row>
    <row r="2310" spans="1:10" x14ac:dyDescent="0.35">
      <c r="A2310" s="7" t="s">
        <v>35</v>
      </c>
      <c r="B2310" s="7" t="s">
        <v>38</v>
      </c>
      <c r="C2310" s="7" t="s">
        <v>46</v>
      </c>
      <c r="D2310" s="9">
        <v>0.02</v>
      </c>
      <c r="E2310" s="9">
        <v>0</v>
      </c>
      <c r="F2310" s="9">
        <v>0</v>
      </c>
      <c r="G2310" s="9">
        <v>11.54</v>
      </c>
      <c r="H2310" s="9">
        <v>3.2</v>
      </c>
      <c r="I2310" s="9">
        <v>0</v>
      </c>
      <c r="J2310" s="7" t="s">
        <v>325</v>
      </c>
    </row>
    <row r="2311" spans="1:10" x14ac:dyDescent="0.35">
      <c r="A2311" s="7" t="s">
        <v>35</v>
      </c>
      <c r="B2311" s="7" t="s">
        <v>38</v>
      </c>
      <c r="C2311" s="7" t="s">
        <v>122</v>
      </c>
      <c r="D2311" s="9">
        <v>0</v>
      </c>
      <c r="E2311" s="9">
        <v>0.02</v>
      </c>
      <c r="F2311" s="9">
        <v>0</v>
      </c>
      <c r="G2311" s="9">
        <v>0.01</v>
      </c>
      <c r="H2311" s="9">
        <v>13.25</v>
      </c>
      <c r="I2311" s="9">
        <v>0</v>
      </c>
      <c r="J2311" s="7" t="s">
        <v>325</v>
      </c>
    </row>
    <row r="2312" spans="1:10" x14ac:dyDescent="0.35">
      <c r="A2312" s="7" t="s">
        <v>74</v>
      </c>
      <c r="B2312" s="7" t="s">
        <v>75</v>
      </c>
      <c r="C2312" s="7" t="s">
        <v>118</v>
      </c>
      <c r="D2312" s="9">
        <v>0.01</v>
      </c>
      <c r="E2312" s="9">
        <v>0</v>
      </c>
      <c r="F2312" s="9">
        <v>0</v>
      </c>
      <c r="G2312" s="9">
        <v>2.92</v>
      </c>
      <c r="H2312" s="9">
        <v>0.16</v>
      </c>
      <c r="I2312" s="9">
        <v>0</v>
      </c>
      <c r="J2312" s="7" t="s">
        <v>325</v>
      </c>
    </row>
    <row r="2313" spans="1:10" ht="26.25" customHeight="1" x14ac:dyDescent="0.35">
      <c r="A2313" s="7" t="s">
        <v>35</v>
      </c>
      <c r="B2313" s="7" t="s">
        <v>38</v>
      </c>
      <c r="C2313" s="7" t="s">
        <v>81</v>
      </c>
      <c r="D2313" s="9">
        <v>0</v>
      </c>
      <c r="E2313" s="9">
        <v>0.01</v>
      </c>
      <c r="F2313" s="9">
        <v>0</v>
      </c>
      <c r="G2313" s="9">
        <v>0</v>
      </c>
      <c r="H2313" s="9">
        <v>2.0699999999999998</v>
      </c>
      <c r="I2313" s="9">
        <v>0</v>
      </c>
      <c r="J2313" s="7" t="s">
        <v>325</v>
      </c>
    </row>
    <row r="2314" spans="1:10" x14ac:dyDescent="0.35">
      <c r="A2314" s="7" t="s">
        <v>35</v>
      </c>
      <c r="B2314" s="7" t="s">
        <v>38</v>
      </c>
      <c r="C2314" s="7" t="s">
        <v>179</v>
      </c>
      <c r="D2314" s="9">
        <v>0.02</v>
      </c>
      <c r="E2314" s="9">
        <v>0.01</v>
      </c>
      <c r="F2314" s="9">
        <v>0</v>
      </c>
      <c r="G2314" s="9">
        <v>1.64</v>
      </c>
      <c r="H2314" s="9">
        <v>0.38</v>
      </c>
      <c r="I2314" s="9">
        <v>0</v>
      </c>
      <c r="J2314" s="7" t="s">
        <v>325</v>
      </c>
    </row>
    <row r="2315" spans="1:10" x14ac:dyDescent="0.35">
      <c r="A2315" s="7" t="s">
        <v>74</v>
      </c>
      <c r="B2315" s="7" t="s">
        <v>75</v>
      </c>
      <c r="C2315" s="7" t="s">
        <v>170</v>
      </c>
      <c r="D2315" s="9">
        <v>0</v>
      </c>
      <c r="E2315" s="9">
        <v>0</v>
      </c>
      <c r="F2315" s="9">
        <v>0</v>
      </c>
      <c r="G2315" s="9">
        <v>0.01</v>
      </c>
      <c r="H2315" s="9">
        <v>0</v>
      </c>
      <c r="I2315" s="9">
        <v>0</v>
      </c>
      <c r="J2315" s="7" t="s">
        <v>325</v>
      </c>
    </row>
    <row r="2316" spans="1:10" x14ac:dyDescent="0.35">
      <c r="A2316" s="7" t="s">
        <v>35</v>
      </c>
      <c r="B2316" s="7" t="s">
        <v>36</v>
      </c>
      <c r="C2316" s="7" t="s">
        <v>170</v>
      </c>
      <c r="D2316" s="9">
        <v>0</v>
      </c>
      <c r="E2316" s="9">
        <v>0</v>
      </c>
      <c r="F2316" s="9">
        <v>0</v>
      </c>
      <c r="G2316" s="9">
        <v>0</v>
      </c>
      <c r="H2316" s="9">
        <v>0.42</v>
      </c>
      <c r="I2316" s="9">
        <v>0</v>
      </c>
      <c r="J2316" s="7" t="s">
        <v>325</v>
      </c>
    </row>
    <row r="2317" spans="1:10" x14ac:dyDescent="0.35">
      <c r="A2317" s="7" t="s">
        <v>35</v>
      </c>
      <c r="B2317" s="7" t="s">
        <v>36</v>
      </c>
      <c r="C2317" s="7" t="s">
        <v>116</v>
      </c>
      <c r="D2317" s="9">
        <v>0.01</v>
      </c>
      <c r="E2317" s="9">
        <v>0</v>
      </c>
      <c r="F2317" s="9">
        <v>0</v>
      </c>
      <c r="G2317" s="9">
        <v>3</v>
      </c>
      <c r="H2317" s="9">
        <v>0</v>
      </c>
      <c r="I2317" s="9">
        <v>0</v>
      </c>
      <c r="J2317" s="7" t="s">
        <v>325</v>
      </c>
    </row>
    <row r="2318" spans="1:10" x14ac:dyDescent="0.35">
      <c r="A2318" s="7" t="s">
        <v>74</v>
      </c>
      <c r="B2318" s="7" t="s">
        <v>98</v>
      </c>
      <c r="C2318" s="7" t="s">
        <v>174</v>
      </c>
      <c r="D2318" s="9">
        <v>0</v>
      </c>
      <c r="E2318" s="9">
        <v>0</v>
      </c>
      <c r="F2318" s="9">
        <v>0</v>
      </c>
      <c r="G2318" s="9">
        <v>0</v>
      </c>
      <c r="H2318" s="9">
        <v>3.5</v>
      </c>
      <c r="I2318" s="9">
        <v>0</v>
      </c>
      <c r="J2318" s="7" t="s">
        <v>325</v>
      </c>
    </row>
    <row r="2319" spans="1:10" x14ac:dyDescent="0.35">
      <c r="A2319" s="7" t="s">
        <v>35</v>
      </c>
      <c r="B2319" s="7" t="s">
        <v>36</v>
      </c>
      <c r="C2319" s="7" t="s">
        <v>144</v>
      </c>
      <c r="D2319" s="9">
        <v>0.01</v>
      </c>
      <c r="E2319" s="9">
        <v>0</v>
      </c>
      <c r="F2319" s="9">
        <v>0</v>
      </c>
      <c r="G2319" s="9">
        <v>24.74</v>
      </c>
      <c r="H2319" s="9">
        <v>0.23</v>
      </c>
      <c r="I2319" s="9">
        <v>0</v>
      </c>
      <c r="J2319" s="7" t="s">
        <v>325</v>
      </c>
    </row>
    <row r="2320" spans="1:10" x14ac:dyDescent="0.35">
      <c r="A2320" s="7" t="s">
        <v>35</v>
      </c>
      <c r="B2320" s="7" t="s">
        <v>36</v>
      </c>
      <c r="C2320" s="7" t="s">
        <v>151</v>
      </c>
      <c r="D2320" s="9">
        <v>0.03</v>
      </c>
      <c r="E2320" s="9">
        <v>0.03</v>
      </c>
      <c r="F2320" s="9">
        <v>0</v>
      </c>
      <c r="G2320" s="9">
        <v>13.73</v>
      </c>
      <c r="H2320" s="9">
        <v>11.32</v>
      </c>
      <c r="I2320" s="9">
        <v>0</v>
      </c>
      <c r="J2320" s="7" t="s">
        <v>325</v>
      </c>
    </row>
    <row r="2321" spans="1:10" x14ac:dyDescent="0.35">
      <c r="A2321" s="7" t="s">
        <v>35</v>
      </c>
      <c r="B2321" s="7" t="s">
        <v>36</v>
      </c>
      <c r="C2321" s="7" t="s">
        <v>69</v>
      </c>
      <c r="D2321" s="9">
        <v>0</v>
      </c>
      <c r="E2321" s="9">
        <v>0.05</v>
      </c>
      <c r="F2321" s="9">
        <v>0</v>
      </c>
      <c r="G2321" s="9">
        <v>0</v>
      </c>
      <c r="H2321" s="9">
        <v>6.2</v>
      </c>
      <c r="I2321" s="9">
        <v>0</v>
      </c>
      <c r="J2321" s="7" t="s">
        <v>325</v>
      </c>
    </row>
    <row r="2322" spans="1:10" x14ac:dyDescent="0.35">
      <c r="A2322" s="7" t="s">
        <v>74</v>
      </c>
      <c r="B2322" s="7" t="s">
        <v>98</v>
      </c>
      <c r="C2322" s="7" t="s">
        <v>122</v>
      </c>
      <c r="D2322" s="9">
        <v>0</v>
      </c>
      <c r="E2322" s="9">
        <v>0.05</v>
      </c>
      <c r="F2322" s="9">
        <v>0</v>
      </c>
      <c r="G2322" s="9">
        <v>0</v>
      </c>
      <c r="H2322" s="9">
        <v>76.59</v>
      </c>
      <c r="I2322" s="9">
        <v>0</v>
      </c>
      <c r="J2322" s="7" t="s">
        <v>325</v>
      </c>
    </row>
    <row r="2323" spans="1:10" x14ac:dyDescent="0.35">
      <c r="A2323" s="7" t="s">
        <v>74</v>
      </c>
      <c r="B2323" s="7" t="s">
        <v>98</v>
      </c>
      <c r="C2323" s="7" t="s">
        <v>51</v>
      </c>
      <c r="D2323" s="9">
        <v>0</v>
      </c>
      <c r="E2323" s="9">
        <v>0.03</v>
      </c>
      <c r="F2323" s="9">
        <v>0</v>
      </c>
      <c r="G2323" s="9">
        <v>0</v>
      </c>
      <c r="H2323" s="9">
        <v>9.9600000000000009</v>
      </c>
      <c r="I2323" s="9">
        <v>0</v>
      </c>
      <c r="J2323" s="7" t="s">
        <v>325</v>
      </c>
    </row>
    <row r="2324" spans="1:10" x14ac:dyDescent="0.35">
      <c r="A2324" s="7" t="s">
        <v>35</v>
      </c>
      <c r="B2324" s="7" t="s">
        <v>36</v>
      </c>
      <c r="C2324" s="7" t="s">
        <v>122</v>
      </c>
      <c r="D2324" s="9">
        <v>0</v>
      </c>
      <c r="E2324" s="9">
        <v>0</v>
      </c>
      <c r="F2324" s="9">
        <v>0</v>
      </c>
      <c r="G2324" s="9">
        <v>0</v>
      </c>
      <c r="H2324" s="9">
        <v>0.02</v>
      </c>
      <c r="I2324" s="9">
        <v>0</v>
      </c>
      <c r="J2324" s="7" t="s">
        <v>325</v>
      </c>
    </row>
    <row r="2325" spans="1:10" ht="26.25" customHeight="1" x14ac:dyDescent="0.35">
      <c r="A2325" s="7" t="s">
        <v>35</v>
      </c>
      <c r="B2325" s="7" t="s">
        <v>36</v>
      </c>
      <c r="C2325" s="7" t="s">
        <v>81</v>
      </c>
      <c r="D2325" s="9">
        <v>0</v>
      </c>
      <c r="E2325" s="9">
        <v>0</v>
      </c>
      <c r="F2325" s="9">
        <v>0</v>
      </c>
      <c r="G2325" s="9">
        <v>0</v>
      </c>
      <c r="H2325" s="9">
        <v>0.73</v>
      </c>
      <c r="I2325" s="9">
        <v>0</v>
      </c>
      <c r="J2325" s="7" t="s">
        <v>325</v>
      </c>
    </row>
    <row r="2326" spans="1:10" x14ac:dyDescent="0.35">
      <c r="A2326" s="7" t="s">
        <v>74</v>
      </c>
      <c r="B2326" s="7" t="s">
        <v>98</v>
      </c>
      <c r="C2326" s="7" t="s">
        <v>151</v>
      </c>
      <c r="D2326" s="9">
        <v>0</v>
      </c>
      <c r="E2326" s="9">
        <v>0.05</v>
      </c>
      <c r="F2326" s="9">
        <v>0</v>
      </c>
      <c r="G2326" s="9">
        <v>0</v>
      </c>
      <c r="H2326" s="9">
        <v>17.39</v>
      </c>
      <c r="I2326" s="9">
        <v>0</v>
      </c>
      <c r="J2326" s="7" t="s">
        <v>325</v>
      </c>
    </row>
    <row r="2327" spans="1:10" x14ac:dyDescent="0.35">
      <c r="A2327" s="7" t="s">
        <v>35</v>
      </c>
      <c r="B2327" s="7" t="s">
        <v>36</v>
      </c>
      <c r="C2327" s="7" t="s">
        <v>59</v>
      </c>
      <c r="D2327" s="9">
        <v>0</v>
      </c>
      <c r="E2327" s="9">
        <v>0</v>
      </c>
      <c r="F2327" s="9">
        <v>0</v>
      </c>
      <c r="G2327" s="9">
        <v>0.61</v>
      </c>
      <c r="H2327" s="9">
        <v>0.83</v>
      </c>
      <c r="I2327" s="9">
        <v>0</v>
      </c>
      <c r="J2327" s="7" t="s">
        <v>325</v>
      </c>
    </row>
    <row r="2328" spans="1:10" x14ac:dyDescent="0.35">
      <c r="A2328" s="7" t="s">
        <v>74</v>
      </c>
      <c r="B2328" s="7" t="s">
        <v>98</v>
      </c>
      <c r="C2328" s="7" t="s">
        <v>144</v>
      </c>
      <c r="D2328" s="9">
        <v>0</v>
      </c>
      <c r="E2328" s="9">
        <v>0.06</v>
      </c>
      <c r="F2328" s="9">
        <v>0</v>
      </c>
      <c r="G2328" s="9">
        <v>0</v>
      </c>
      <c r="H2328" s="9">
        <v>24.13</v>
      </c>
      <c r="I2328" s="9">
        <v>0</v>
      </c>
      <c r="J2328" s="7" t="s">
        <v>325</v>
      </c>
    </row>
    <row r="2329" spans="1:10" x14ac:dyDescent="0.35">
      <c r="A2329" s="7" t="s">
        <v>35</v>
      </c>
      <c r="B2329" s="7" t="s">
        <v>198</v>
      </c>
      <c r="C2329" s="7" t="s">
        <v>33</v>
      </c>
      <c r="D2329" s="9">
        <v>0</v>
      </c>
      <c r="E2329" s="9">
        <v>0</v>
      </c>
      <c r="F2329" s="9">
        <v>0</v>
      </c>
      <c r="G2329" s="9">
        <v>0</v>
      </c>
      <c r="H2329" s="9">
        <v>1.93</v>
      </c>
      <c r="I2329" s="9">
        <v>0</v>
      </c>
      <c r="J2329" s="7" t="s">
        <v>325</v>
      </c>
    </row>
    <row r="2330" spans="1:10" x14ac:dyDescent="0.35">
      <c r="A2330" s="7" t="s">
        <v>35</v>
      </c>
      <c r="B2330" s="7" t="s">
        <v>198</v>
      </c>
      <c r="C2330" s="7" t="s">
        <v>42</v>
      </c>
      <c r="D2330" s="9">
        <v>0</v>
      </c>
      <c r="E2330" s="9">
        <v>0</v>
      </c>
      <c r="F2330" s="9">
        <v>0</v>
      </c>
      <c r="G2330" s="9">
        <v>0</v>
      </c>
      <c r="H2330" s="9">
        <v>0.64</v>
      </c>
      <c r="I2330" s="9">
        <v>0</v>
      </c>
      <c r="J2330" s="7" t="s">
        <v>325</v>
      </c>
    </row>
    <row r="2331" spans="1:10" x14ac:dyDescent="0.35">
      <c r="A2331" s="7" t="s">
        <v>74</v>
      </c>
      <c r="B2331" s="7" t="s">
        <v>98</v>
      </c>
      <c r="C2331" s="7" t="s">
        <v>128</v>
      </c>
      <c r="D2331" s="9">
        <v>0</v>
      </c>
      <c r="E2331" s="9">
        <v>0.31</v>
      </c>
      <c r="F2331" s="9">
        <v>0</v>
      </c>
      <c r="G2331" s="9">
        <v>0</v>
      </c>
      <c r="H2331" s="9">
        <v>106.07</v>
      </c>
      <c r="I2331" s="9">
        <v>0</v>
      </c>
      <c r="J2331" s="7" t="s">
        <v>325</v>
      </c>
    </row>
    <row r="2332" spans="1:10" x14ac:dyDescent="0.35">
      <c r="A2332" s="7" t="s">
        <v>35</v>
      </c>
      <c r="B2332" s="7" t="s">
        <v>198</v>
      </c>
      <c r="C2332" s="7" t="s">
        <v>54</v>
      </c>
      <c r="D2332" s="9">
        <v>0</v>
      </c>
      <c r="E2332" s="9">
        <v>0.01</v>
      </c>
      <c r="F2332" s="9">
        <v>0</v>
      </c>
      <c r="G2332" s="9">
        <v>0</v>
      </c>
      <c r="H2332" s="9">
        <v>1.98</v>
      </c>
      <c r="I2332" s="9">
        <v>0</v>
      </c>
      <c r="J2332" s="7" t="s">
        <v>325</v>
      </c>
    </row>
    <row r="2333" spans="1:10" x14ac:dyDescent="0.35">
      <c r="A2333" s="7" t="s">
        <v>35</v>
      </c>
      <c r="B2333" s="7" t="s">
        <v>198</v>
      </c>
      <c r="C2333" s="7" t="s">
        <v>45</v>
      </c>
      <c r="D2333" s="9">
        <v>0</v>
      </c>
      <c r="E2333" s="9">
        <v>0</v>
      </c>
      <c r="F2333" s="9">
        <v>0</v>
      </c>
      <c r="G2333" s="9">
        <v>0</v>
      </c>
      <c r="H2333" s="9">
        <v>0.04</v>
      </c>
      <c r="I2333" s="9">
        <v>0</v>
      </c>
      <c r="J2333" s="7" t="s">
        <v>325</v>
      </c>
    </row>
    <row r="2334" spans="1:10" x14ac:dyDescent="0.35">
      <c r="A2334" s="7" t="s">
        <v>35</v>
      </c>
      <c r="B2334" s="7" t="s">
        <v>198</v>
      </c>
      <c r="C2334" s="7" t="s">
        <v>126</v>
      </c>
      <c r="D2334" s="9">
        <v>0</v>
      </c>
      <c r="E2334" s="9">
        <v>0</v>
      </c>
      <c r="F2334" s="9">
        <v>0</v>
      </c>
      <c r="G2334" s="9">
        <v>0</v>
      </c>
      <c r="H2334" s="9">
        <v>2.25</v>
      </c>
      <c r="I2334" s="9">
        <v>0</v>
      </c>
      <c r="J2334" s="7" t="s">
        <v>325</v>
      </c>
    </row>
    <row r="2335" spans="1:10" x14ac:dyDescent="0.35">
      <c r="A2335" s="7" t="s">
        <v>74</v>
      </c>
      <c r="B2335" s="7" t="s">
        <v>98</v>
      </c>
      <c r="C2335" s="7" t="s">
        <v>113</v>
      </c>
      <c r="D2335" s="9">
        <v>0</v>
      </c>
      <c r="E2335" s="9">
        <v>0.12</v>
      </c>
      <c r="F2335" s="9">
        <v>0</v>
      </c>
      <c r="G2335" s="9">
        <v>0</v>
      </c>
      <c r="H2335" s="9">
        <v>210</v>
      </c>
      <c r="I2335" s="9">
        <v>0</v>
      </c>
      <c r="J2335" s="7" t="s">
        <v>325</v>
      </c>
    </row>
    <row r="2336" spans="1:10" x14ac:dyDescent="0.35">
      <c r="A2336" s="7" t="s">
        <v>243</v>
      </c>
      <c r="B2336" s="7" t="s">
        <v>273</v>
      </c>
      <c r="C2336" s="7" t="s">
        <v>84</v>
      </c>
      <c r="D2336" s="9">
        <v>0</v>
      </c>
      <c r="E2336" s="9">
        <v>0.04</v>
      </c>
      <c r="F2336" s="9">
        <v>0</v>
      </c>
      <c r="G2336" s="9">
        <v>0</v>
      </c>
      <c r="H2336" s="9">
        <v>10</v>
      </c>
      <c r="I2336" s="9">
        <v>0</v>
      </c>
      <c r="J2336" s="7" t="s">
        <v>325</v>
      </c>
    </row>
    <row r="2337" spans="1:10" x14ac:dyDescent="0.35">
      <c r="A2337" s="7" t="s">
        <v>243</v>
      </c>
      <c r="B2337" s="7" t="s">
        <v>273</v>
      </c>
      <c r="C2337" s="7" t="s">
        <v>55</v>
      </c>
      <c r="D2337" s="9">
        <v>0</v>
      </c>
      <c r="E2337" s="9">
        <v>0</v>
      </c>
      <c r="F2337" s="9">
        <v>0</v>
      </c>
      <c r="G2337" s="9">
        <v>21.3</v>
      </c>
      <c r="H2337" s="9">
        <v>0</v>
      </c>
      <c r="I2337" s="9">
        <v>0</v>
      </c>
      <c r="J2337" s="7" t="s">
        <v>325</v>
      </c>
    </row>
    <row r="2338" spans="1:10" x14ac:dyDescent="0.35">
      <c r="A2338" s="7" t="s">
        <v>243</v>
      </c>
      <c r="B2338" s="7" t="s">
        <v>273</v>
      </c>
      <c r="C2338" s="7" t="s">
        <v>27</v>
      </c>
      <c r="D2338" s="9">
        <v>0</v>
      </c>
      <c r="E2338" s="9">
        <v>7.0000000000000007E-2</v>
      </c>
      <c r="F2338" s="9">
        <v>0</v>
      </c>
      <c r="G2338" s="9">
        <v>0</v>
      </c>
      <c r="H2338" s="9">
        <v>150</v>
      </c>
      <c r="I2338" s="9">
        <v>0</v>
      </c>
      <c r="J2338" s="7" t="s">
        <v>325</v>
      </c>
    </row>
    <row r="2339" spans="1:10" x14ac:dyDescent="0.35">
      <c r="A2339" s="7" t="s">
        <v>243</v>
      </c>
      <c r="B2339" s="7" t="s">
        <v>274</v>
      </c>
      <c r="C2339" s="7" t="s">
        <v>45</v>
      </c>
      <c r="D2339" s="9">
        <v>0</v>
      </c>
      <c r="E2339" s="9">
        <v>0.01</v>
      </c>
      <c r="F2339" s="9">
        <v>0</v>
      </c>
      <c r="G2339" s="9">
        <v>0</v>
      </c>
      <c r="H2339" s="9">
        <v>27</v>
      </c>
      <c r="I2339" s="9">
        <v>0</v>
      </c>
      <c r="J2339" s="7" t="s">
        <v>325</v>
      </c>
    </row>
    <row r="2340" spans="1:10" x14ac:dyDescent="0.35">
      <c r="A2340" s="7" t="s">
        <v>243</v>
      </c>
      <c r="B2340" s="7" t="s">
        <v>275</v>
      </c>
      <c r="C2340" s="7" t="s">
        <v>45</v>
      </c>
      <c r="D2340" s="9">
        <v>0</v>
      </c>
      <c r="E2340" s="9">
        <v>0</v>
      </c>
      <c r="F2340" s="9">
        <v>0</v>
      </c>
      <c r="G2340" s="9">
        <v>5</v>
      </c>
      <c r="H2340" s="9">
        <v>0</v>
      </c>
      <c r="I2340" s="9">
        <v>0</v>
      </c>
      <c r="J2340" s="7" t="s">
        <v>325</v>
      </c>
    </row>
    <row r="2341" spans="1:10" x14ac:dyDescent="0.35">
      <c r="A2341" s="7" t="s">
        <v>243</v>
      </c>
      <c r="B2341" s="7" t="s">
        <v>275</v>
      </c>
      <c r="C2341" s="7" t="s">
        <v>54</v>
      </c>
      <c r="D2341" s="9">
        <v>0</v>
      </c>
      <c r="E2341" s="9">
        <v>0</v>
      </c>
      <c r="F2341" s="9">
        <v>0</v>
      </c>
      <c r="G2341" s="9">
        <v>17</v>
      </c>
      <c r="H2341" s="9">
        <v>0</v>
      </c>
      <c r="I2341" s="9">
        <v>0</v>
      </c>
      <c r="J2341" s="7" t="s">
        <v>325</v>
      </c>
    </row>
    <row r="2342" spans="1:10" ht="26.25" customHeight="1" x14ac:dyDescent="0.35">
      <c r="A2342" s="7" t="s">
        <v>243</v>
      </c>
      <c r="B2342" s="7" t="s">
        <v>276</v>
      </c>
      <c r="C2342" s="7" t="s">
        <v>83</v>
      </c>
      <c r="D2342" s="9">
        <v>0.02</v>
      </c>
      <c r="E2342" s="9">
        <v>0</v>
      </c>
      <c r="F2342" s="9">
        <v>0</v>
      </c>
      <c r="G2342" s="9">
        <v>50</v>
      </c>
      <c r="H2342" s="9">
        <v>0</v>
      </c>
      <c r="I2342" s="9">
        <v>0</v>
      </c>
      <c r="J2342" s="7" t="s">
        <v>325</v>
      </c>
    </row>
    <row r="2343" spans="1:10" ht="26.25" customHeight="1" x14ac:dyDescent="0.35">
      <c r="A2343" s="7" t="s">
        <v>243</v>
      </c>
      <c r="B2343" s="7" t="s">
        <v>276</v>
      </c>
      <c r="C2343" s="7" t="s">
        <v>45</v>
      </c>
      <c r="D2343" s="9">
        <v>7.0000000000000007E-2</v>
      </c>
      <c r="E2343" s="9">
        <v>0</v>
      </c>
      <c r="F2343" s="9">
        <v>0</v>
      </c>
      <c r="G2343" s="9">
        <v>264</v>
      </c>
      <c r="H2343" s="9">
        <v>0</v>
      </c>
      <c r="I2343" s="9">
        <v>0</v>
      </c>
      <c r="J2343" s="7" t="s">
        <v>325</v>
      </c>
    </row>
    <row r="2344" spans="1:10" x14ac:dyDescent="0.35">
      <c r="A2344" s="7" t="s">
        <v>243</v>
      </c>
      <c r="B2344" s="7" t="s">
        <v>244</v>
      </c>
      <c r="C2344" s="7" t="s">
        <v>18</v>
      </c>
      <c r="D2344" s="9">
        <v>0</v>
      </c>
      <c r="E2344" s="9">
        <v>0.01</v>
      </c>
      <c r="F2344" s="9">
        <v>0</v>
      </c>
      <c r="G2344" s="9">
        <v>0</v>
      </c>
      <c r="H2344" s="9">
        <v>9</v>
      </c>
      <c r="I2344" s="9">
        <v>0</v>
      </c>
      <c r="J2344" s="7" t="s">
        <v>325</v>
      </c>
    </row>
    <row r="2345" spans="1:10" x14ac:dyDescent="0.35">
      <c r="A2345" s="7" t="s">
        <v>243</v>
      </c>
      <c r="B2345" s="7" t="s">
        <v>244</v>
      </c>
      <c r="C2345" s="7" t="s">
        <v>84</v>
      </c>
      <c r="D2345" s="9">
        <v>0</v>
      </c>
      <c r="E2345" s="9">
        <v>0.1</v>
      </c>
      <c r="F2345" s="9">
        <v>0</v>
      </c>
      <c r="G2345" s="9">
        <v>0</v>
      </c>
      <c r="H2345" s="9">
        <v>21.56</v>
      </c>
      <c r="I2345" s="9">
        <v>0</v>
      </c>
      <c r="J2345" s="7" t="s">
        <v>325</v>
      </c>
    </row>
    <row r="2346" spans="1:10" x14ac:dyDescent="0.35">
      <c r="A2346" s="7" t="s">
        <v>243</v>
      </c>
      <c r="B2346" s="7" t="s">
        <v>244</v>
      </c>
      <c r="C2346" s="7" t="s">
        <v>83</v>
      </c>
      <c r="D2346" s="9">
        <v>0</v>
      </c>
      <c r="E2346" s="9">
        <v>0</v>
      </c>
      <c r="F2346" s="9">
        <v>0</v>
      </c>
      <c r="G2346" s="9">
        <v>6.99</v>
      </c>
      <c r="H2346" s="9">
        <v>0</v>
      </c>
      <c r="I2346" s="9">
        <v>0</v>
      </c>
      <c r="J2346" s="7" t="s">
        <v>325</v>
      </c>
    </row>
    <row r="2347" spans="1:10" x14ac:dyDescent="0.35">
      <c r="A2347" s="7" t="s">
        <v>243</v>
      </c>
      <c r="B2347" s="7" t="s">
        <v>244</v>
      </c>
      <c r="C2347" s="7" t="s">
        <v>55</v>
      </c>
      <c r="D2347" s="9">
        <v>0.02</v>
      </c>
      <c r="E2347" s="9">
        <v>0.08</v>
      </c>
      <c r="F2347" s="9">
        <v>0</v>
      </c>
      <c r="G2347" s="9">
        <v>124.71</v>
      </c>
      <c r="H2347" s="9">
        <v>269.91000000000003</v>
      </c>
      <c r="I2347" s="9">
        <v>0</v>
      </c>
      <c r="J2347" s="7" t="s">
        <v>325</v>
      </c>
    </row>
    <row r="2348" spans="1:10" x14ac:dyDescent="0.35">
      <c r="A2348" s="7" t="s">
        <v>243</v>
      </c>
      <c r="B2348" s="7" t="s">
        <v>244</v>
      </c>
      <c r="C2348" s="7" t="s">
        <v>69</v>
      </c>
      <c r="D2348" s="9">
        <v>0.08</v>
      </c>
      <c r="E2348" s="9">
        <v>0</v>
      </c>
      <c r="F2348" s="9">
        <v>0</v>
      </c>
      <c r="G2348" s="9">
        <v>2.34</v>
      </c>
      <c r="H2348" s="9">
        <v>0</v>
      </c>
      <c r="I2348" s="9">
        <v>0</v>
      </c>
      <c r="J2348" s="7" t="s">
        <v>325</v>
      </c>
    </row>
    <row r="2349" spans="1:10" x14ac:dyDescent="0.35">
      <c r="A2349" s="7" t="s">
        <v>35</v>
      </c>
      <c r="B2349" s="7" t="s">
        <v>198</v>
      </c>
      <c r="C2349" s="7" t="s">
        <v>39</v>
      </c>
      <c r="D2349" s="9">
        <v>0</v>
      </c>
      <c r="E2349" s="9">
        <v>0.06</v>
      </c>
      <c r="F2349" s="9">
        <v>0</v>
      </c>
      <c r="G2349" s="9">
        <v>0.06</v>
      </c>
      <c r="H2349" s="9">
        <v>24.61</v>
      </c>
      <c r="I2349" s="9">
        <v>0</v>
      </c>
      <c r="J2349" s="7" t="s">
        <v>325</v>
      </c>
    </row>
    <row r="2350" spans="1:10" x14ac:dyDescent="0.35">
      <c r="A2350" s="7" t="s">
        <v>243</v>
      </c>
      <c r="B2350" s="7" t="s">
        <v>244</v>
      </c>
      <c r="C2350" s="7" t="s">
        <v>27</v>
      </c>
      <c r="D2350" s="9">
        <v>0</v>
      </c>
      <c r="E2350" s="9">
        <v>0.19</v>
      </c>
      <c r="F2350" s="9">
        <v>0</v>
      </c>
      <c r="G2350" s="9">
        <v>0</v>
      </c>
      <c r="H2350" s="9">
        <v>400</v>
      </c>
      <c r="I2350" s="9">
        <v>0</v>
      </c>
      <c r="J2350" s="7" t="s">
        <v>325</v>
      </c>
    </row>
    <row r="2351" spans="1:10" x14ac:dyDescent="0.35">
      <c r="A2351" s="7" t="s">
        <v>243</v>
      </c>
      <c r="B2351" s="7" t="s">
        <v>244</v>
      </c>
      <c r="C2351" s="7" t="s">
        <v>45</v>
      </c>
      <c r="D2351" s="9">
        <v>0.08</v>
      </c>
      <c r="E2351" s="9">
        <v>0</v>
      </c>
      <c r="F2351" s="9">
        <v>0</v>
      </c>
      <c r="G2351" s="9">
        <v>744.2</v>
      </c>
      <c r="H2351" s="9">
        <v>29.86</v>
      </c>
      <c r="I2351" s="9">
        <v>0</v>
      </c>
      <c r="J2351" s="7" t="s">
        <v>325</v>
      </c>
    </row>
    <row r="2352" spans="1:10" x14ac:dyDescent="0.35">
      <c r="A2352" s="7" t="s">
        <v>243</v>
      </c>
      <c r="B2352" s="7" t="s">
        <v>244</v>
      </c>
      <c r="C2352" s="7" t="s">
        <v>33</v>
      </c>
      <c r="D2352" s="9">
        <v>0.16</v>
      </c>
      <c r="E2352" s="9">
        <v>0.24</v>
      </c>
      <c r="F2352" s="9">
        <v>0</v>
      </c>
      <c r="G2352" s="9">
        <v>176.1</v>
      </c>
      <c r="H2352" s="9">
        <v>242.8</v>
      </c>
      <c r="I2352" s="9">
        <v>0</v>
      </c>
      <c r="J2352" s="7" t="s">
        <v>325</v>
      </c>
    </row>
    <row r="2353" spans="1:10" x14ac:dyDescent="0.35">
      <c r="A2353" s="7" t="s">
        <v>35</v>
      </c>
      <c r="B2353" s="7" t="s">
        <v>198</v>
      </c>
      <c r="C2353" s="7" t="s">
        <v>65</v>
      </c>
      <c r="D2353" s="9">
        <v>0</v>
      </c>
      <c r="E2353" s="9">
        <v>0</v>
      </c>
      <c r="F2353" s="9">
        <v>0</v>
      </c>
      <c r="G2353" s="9">
        <v>0</v>
      </c>
      <c r="H2353" s="9">
        <v>3.69</v>
      </c>
      <c r="I2353" s="9">
        <v>0</v>
      </c>
      <c r="J2353" s="7" t="s">
        <v>325</v>
      </c>
    </row>
    <row r="2354" spans="1:10" x14ac:dyDescent="0.35">
      <c r="A2354" s="7" t="s">
        <v>189</v>
      </c>
      <c r="B2354" s="7" t="s">
        <v>193</v>
      </c>
      <c r="C2354" s="7" t="s">
        <v>18</v>
      </c>
      <c r="D2354" s="9">
        <v>0.04</v>
      </c>
      <c r="E2354" s="9">
        <v>0.02</v>
      </c>
      <c r="F2354" s="9">
        <v>0</v>
      </c>
      <c r="G2354" s="9">
        <v>27.35</v>
      </c>
      <c r="H2354" s="9">
        <v>8.4499999999999993</v>
      </c>
      <c r="I2354" s="9">
        <v>0</v>
      </c>
      <c r="J2354" s="7" t="s">
        <v>325</v>
      </c>
    </row>
    <row r="2355" spans="1:10" x14ac:dyDescent="0.35">
      <c r="A2355" s="7" t="s">
        <v>35</v>
      </c>
      <c r="B2355" s="7" t="s">
        <v>198</v>
      </c>
      <c r="C2355" s="7" t="s">
        <v>62</v>
      </c>
      <c r="D2355" s="9">
        <v>0</v>
      </c>
      <c r="E2355" s="9">
        <v>0</v>
      </c>
      <c r="F2355" s="9">
        <v>0</v>
      </c>
      <c r="G2355" s="9">
        <v>0</v>
      </c>
      <c r="H2355" s="9">
        <v>0.16</v>
      </c>
      <c r="I2355" s="9">
        <v>0</v>
      </c>
      <c r="J2355" s="7" t="s">
        <v>325</v>
      </c>
    </row>
    <row r="2356" spans="1:10" x14ac:dyDescent="0.35">
      <c r="A2356" s="7" t="s">
        <v>35</v>
      </c>
      <c r="B2356" s="7" t="s">
        <v>198</v>
      </c>
      <c r="C2356" s="7" t="s">
        <v>59</v>
      </c>
      <c r="D2356" s="9">
        <v>0</v>
      </c>
      <c r="E2356" s="9">
        <v>0.02</v>
      </c>
      <c r="F2356" s="9">
        <v>0</v>
      </c>
      <c r="G2356" s="9">
        <v>0</v>
      </c>
      <c r="H2356" s="9">
        <v>5</v>
      </c>
      <c r="I2356" s="9">
        <v>0</v>
      </c>
      <c r="J2356" s="7" t="s">
        <v>325</v>
      </c>
    </row>
    <row r="2357" spans="1:10" x14ac:dyDescent="0.35">
      <c r="A2357" s="7" t="s">
        <v>35</v>
      </c>
      <c r="B2357" s="7" t="s">
        <v>198</v>
      </c>
      <c r="C2357" s="7" t="s">
        <v>114</v>
      </c>
      <c r="D2357" s="9">
        <v>3.01</v>
      </c>
      <c r="E2357" s="9">
        <v>0</v>
      </c>
      <c r="F2357" s="9">
        <v>0</v>
      </c>
      <c r="G2357" s="9">
        <v>329.5</v>
      </c>
      <c r="H2357" s="9">
        <v>0</v>
      </c>
      <c r="I2357" s="9">
        <v>0</v>
      </c>
      <c r="J2357" s="7" t="s">
        <v>325</v>
      </c>
    </row>
    <row r="2358" spans="1:10" x14ac:dyDescent="0.35">
      <c r="A2358" s="7" t="s">
        <v>35</v>
      </c>
      <c r="B2358" s="7" t="s">
        <v>198</v>
      </c>
      <c r="C2358" s="7" t="s">
        <v>18</v>
      </c>
      <c r="D2358" s="9">
        <v>0</v>
      </c>
      <c r="E2358" s="9">
        <v>0.01</v>
      </c>
      <c r="F2358" s="9">
        <v>0</v>
      </c>
      <c r="G2358" s="9">
        <v>0</v>
      </c>
      <c r="H2358" s="9">
        <v>8.1</v>
      </c>
      <c r="I2358" s="9">
        <v>0</v>
      </c>
      <c r="J2358" s="7" t="s">
        <v>325</v>
      </c>
    </row>
    <row r="2359" spans="1:10" x14ac:dyDescent="0.35">
      <c r="A2359" s="7" t="s">
        <v>35</v>
      </c>
      <c r="B2359" s="7" t="s">
        <v>198</v>
      </c>
      <c r="C2359" s="7" t="s">
        <v>60</v>
      </c>
      <c r="D2359" s="9">
        <v>0</v>
      </c>
      <c r="E2359" s="9">
        <v>0</v>
      </c>
      <c r="F2359" s="9">
        <v>0</v>
      </c>
      <c r="G2359" s="9">
        <v>0</v>
      </c>
      <c r="H2359" s="9">
        <v>0.72</v>
      </c>
      <c r="I2359" s="9">
        <v>0</v>
      </c>
      <c r="J2359" s="7" t="s">
        <v>325</v>
      </c>
    </row>
    <row r="2360" spans="1:10" x14ac:dyDescent="0.35">
      <c r="A2360" s="7" t="s">
        <v>189</v>
      </c>
      <c r="B2360" s="7" t="s">
        <v>193</v>
      </c>
      <c r="C2360" s="7" t="s">
        <v>65</v>
      </c>
      <c r="D2360" s="9">
        <v>0.01</v>
      </c>
      <c r="E2360" s="9">
        <v>0.02</v>
      </c>
      <c r="F2360" s="9">
        <v>0</v>
      </c>
      <c r="G2360" s="9">
        <v>6.87</v>
      </c>
      <c r="H2360" s="9">
        <v>14</v>
      </c>
      <c r="I2360" s="9">
        <v>0</v>
      </c>
      <c r="J2360" s="7" t="s">
        <v>325</v>
      </c>
    </row>
    <row r="2361" spans="1:10" x14ac:dyDescent="0.35">
      <c r="A2361" s="7" t="s">
        <v>189</v>
      </c>
      <c r="B2361" s="7" t="s">
        <v>193</v>
      </c>
      <c r="C2361" s="7" t="s">
        <v>144</v>
      </c>
      <c r="D2361" s="9">
        <v>0</v>
      </c>
      <c r="E2361" s="9">
        <v>0.01</v>
      </c>
      <c r="F2361" s="9">
        <v>0</v>
      </c>
      <c r="G2361" s="9">
        <v>1.31</v>
      </c>
      <c r="H2361" s="9">
        <v>3.64</v>
      </c>
      <c r="I2361" s="9">
        <v>0</v>
      </c>
      <c r="J2361" s="7" t="s">
        <v>325</v>
      </c>
    </row>
    <row r="2362" spans="1:10" x14ac:dyDescent="0.35">
      <c r="A2362" s="7" t="s">
        <v>35</v>
      </c>
      <c r="B2362" s="7" t="s">
        <v>88</v>
      </c>
      <c r="C2362" s="7" t="s">
        <v>33</v>
      </c>
      <c r="D2362" s="9">
        <v>0.15</v>
      </c>
      <c r="E2362" s="9">
        <v>0.01</v>
      </c>
      <c r="F2362" s="9">
        <v>0</v>
      </c>
      <c r="G2362" s="9">
        <v>97.25</v>
      </c>
      <c r="H2362" s="9">
        <v>13.26</v>
      </c>
      <c r="I2362" s="9">
        <v>0</v>
      </c>
      <c r="J2362" s="7" t="s">
        <v>325</v>
      </c>
    </row>
    <row r="2363" spans="1:10" x14ac:dyDescent="0.35">
      <c r="A2363" s="7" t="s">
        <v>189</v>
      </c>
      <c r="B2363" s="7" t="s">
        <v>193</v>
      </c>
      <c r="C2363" s="7" t="s">
        <v>118</v>
      </c>
      <c r="D2363" s="9">
        <v>0</v>
      </c>
      <c r="E2363" s="9">
        <v>0</v>
      </c>
      <c r="F2363" s="9">
        <v>0</v>
      </c>
      <c r="G2363" s="9">
        <v>0.01</v>
      </c>
      <c r="H2363" s="9">
        <v>0</v>
      </c>
      <c r="I2363" s="9">
        <v>0</v>
      </c>
      <c r="J2363" s="7" t="s">
        <v>325</v>
      </c>
    </row>
    <row r="2364" spans="1:10" x14ac:dyDescent="0.35">
      <c r="A2364" s="7" t="s">
        <v>189</v>
      </c>
      <c r="B2364" s="7" t="s">
        <v>193</v>
      </c>
      <c r="C2364" s="7" t="s">
        <v>27</v>
      </c>
      <c r="D2364" s="9">
        <v>0.28999999999999998</v>
      </c>
      <c r="E2364" s="9">
        <v>0.06</v>
      </c>
      <c r="F2364" s="9">
        <v>0</v>
      </c>
      <c r="G2364" s="9">
        <v>323.22000000000003</v>
      </c>
      <c r="H2364" s="9">
        <v>47.58</v>
      </c>
      <c r="I2364" s="9">
        <v>0</v>
      </c>
      <c r="J2364" s="7" t="s">
        <v>325</v>
      </c>
    </row>
    <row r="2365" spans="1:10" x14ac:dyDescent="0.35">
      <c r="A2365" s="7" t="s">
        <v>189</v>
      </c>
      <c r="B2365" s="7" t="s">
        <v>193</v>
      </c>
      <c r="C2365" s="7" t="s">
        <v>126</v>
      </c>
      <c r="D2365" s="9">
        <v>0.01</v>
      </c>
      <c r="E2365" s="9">
        <v>0</v>
      </c>
      <c r="F2365" s="9">
        <v>0</v>
      </c>
      <c r="G2365" s="9">
        <v>1.9</v>
      </c>
      <c r="H2365" s="9">
        <v>0.12</v>
      </c>
      <c r="I2365" s="9">
        <v>0</v>
      </c>
      <c r="J2365" s="7" t="s">
        <v>325</v>
      </c>
    </row>
    <row r="2366" spans="1:10" x14ac:dyDescent="0.35">
      <c r="A2366" s="7" t="s">
        <v>35</v>
      </c>
      <c r="B2366" s="7" t="s">
        <v>88</v>
      </c>
      <c r="C2366" s="7" t="s">
        <v>42</v>
      </c>
      <c r="D2366" s="9">
        <v>0.02</v>
      </c>
      <c r="E2366" s="9">
        <v>0</v>
      </c>
      <c r="F2366" s="9">
        <v>0</v>
      </c>
      <c r="G2366" s="9">
        <v>8.9600000000000009</v>
      </c>
      <c r="H2366" s="9">
        <v>0</v>
      </c>
      <c r="I2366" s="9">
        <v>0</v>
      </c>
      <c r="J2366" s="7" t="s">
        <v>325</v>
      </c>
    </row>
    <row r="2367" spans="1:10" x14ac:dyDescent="0.35">
      <c r="A2367" s="7" t="s">
        <v>35</v>
      </c>
      <c r="B2367" s="7" t="s">
        <v>88</v>
      </c>
      <c r="C2367" s="7" t="s">
        <v>221</v>
      </c>
      <c r="D2367" s="9">
        <v>7.0000000000000007E-2</v>
      </c>
      <c r="E2367" s="9">
        <v>0</v>
      </c>
      <c r="F2367" s="9">
        <v>0</v>
      </c>
      <c r="G2367" s="9">
        <v>28.5</v>
      </c>
      <c r="H2367" s="9">
        <v>0</v>
      </c>
      <c r="I2367" s="9">
        <v>0</v>
      </c>
      <c r="J2367" s="7" t="s">
        <v>325</v>
      </c>
    </row>
    <row r="2368" spans="1:10" x14ac:dyDescent="0.35">
      <c r="A2368" s="7" t="s">
        <v>35</v>
      </c>
      <c r="B2368" s="7" t="s">
        <v>88</v>
      </c>
      <c r="C2368" s="7" t="s">
        <v>170</v>
      </c>
      <c r="D2368" s="9">
        <v>0.01</v>
      </c>
      <c r="E2368" s="9">
        <v>0</v>
      </c>
      <c r="F2368" s="9">
        <v>0</v>
      </c>
      <c r="G2368" s="9">
        <v>6.01</v>
      </c>
      <c r="H2368" s="9">
        <v>0.03</v>
      </c>
      <c r="I2368" s="9">
        <v>0</v>
      </c>
      <c r="J2368" s="7" t="s">
        <v>325</v>
      </c>
    </row>
    <row r="2369" spans="1:10" x14ac:dyDescent="0.35">
      <c r="A2369" s="7" t="s">
        <v>189</v>
      </c>
      <c r="B2369" s="7" t="s">
        <v>190</v>
      </c>
      <c r="C2369" s="7" t="s">
        <v>48</v>
      </c>
      <c r="D2369" s="9">
        <v>0.47</v>
      </c>
      <c r="E2369" s="9">
        <v>0.16</v>
      </c>
      <c r="F2369" s="9">
        <v>0</v>
      </c>
      <c r="G2369" s="9">
        <v>419.74</v>
      </c>
      <c r="H2369" s="9">
        <v>73.84</v>
      </c>
      <c r="I2369" s="9">
        <v>0</v>
      </c>
      <c r="J2369" s="7" t="s">
        <v>325</v>
      </c>
    </row>
    <row r="2370" spans="1:10" x14ac:dyDescent="0.35">
      <c r="A2370" s="7" t="s">
        <v>35</v>
      </c>
      <c r="B2370" s="7" t="s">
        <v>88</v>
      </c>
      <c r="C2370" s="7" t="s">
        <v>102</v>
      </c>
      <c r="D2370" s="9">
        <v>0</v>
      </c>
      <c r="E2370" s="9">
        <v>0.01</v>
      </c>
      <c r="F2370" s="9">
        <v>0</v>
      </c>
      <c r="G2370" s="9">
        <v>0</v>
      </c>
      <c r="H2370" s="9">
        <v>1.92</v>
      </c>
      <c r="I2370" s="9">
        <v>0</v>
      </c>
      <c r="J2370" s="7" t="s">
        <v>325</v>
      </c>
    </row>
    <row r="2371" spans="1:10" x14ac:dyDescent="0.35">
      <c r="A2371" s="7" t="s">
        <v>35</v>
      </c>
      <c r="B2371" s="7" t="s">
        <v>88</v>
      </c>
      <c r="C2371" s="7" t="s">
        <v>45</v>
      </c>
      <c r="D2371" s="9">
        <v>0</v>
      </c>
      <c r="E2371" s="9">
        <v>0</v>
      </c>
      <c r="F2371" s="9">
        <v>0</v>
      </c>
      <c r="G2371" s="9">
        <v>1.57</v>
      </c>
      <c r="H2371" s="9">
        <v>0</v>
      </c>
      <c r="I2371" s="9">
        <v>0</v>
      </c>
      <c r="J2371" s="7" t="s">
        <v>325</v>
      </c>
    </row>
    <row r="2372" spans="1:10" x14ac:dyDescent="0.35">
      <c r="A2372" s="7" t="s">
        <v>35</v>
      </c>
      <c r="B2372" s="7" t="s">
        <v>88</v>
      </c>
      <c r="C2372" s="7" t="s">
        <v>126</v>
      </c>
      <c r="D2372" s="9">
        <v>0</v>
      </c>
      <c r="E2372" s="9">
        <v>0</v>
      </c>
      <c r="F2372" s="9">
        <v>0</v>
      </c>
      <c r="G2372" s="9">
        <v>3</v>
      </c>
      <c r="H2372" s="9">
        <v>0</v>
      </c>
      <c r="I2372" s="9">
        <v>0</v>
      </c>
      <c r="J2372" s="7" t="s">
        <v>325</v>
      </c>
    </row>
    <row r="2373" spans="1:10" x14ac:dyDescent="0.35">
      <c r="A2373" s="7" t="s">
        <v>189</v>
      </c>
      <c r="B2373" s="7" t="s">
        <v>190</v>
      </c>
      <c r="C2373" s="7" t="s">
        <v>27</v>
      </c>
      <c r="D2373" s="9">
        <v>0</v>
      </c>
      <c r="E2373" s="9">
        <v>0.08</v>
      </c>
      <c r="F2373" s="9">
        <v>0</v>
      </c>
      <c r="G2373" s="9">
        <v>0</v>
      </c>
      <c r="H2373" s="9">
        <v>162.72</v>
      </c>
      <c r="I2373" s="9">
        <v>0</v>
      </c>
      <c r="J2373" s="7" t="s">
        <v>325</v>
      </c>
    </row>
    <row r="2374" spans="1:10" x14ac:dyDescent="0.35">
      <c r="A2374" s="7" t="s">
        <v>35</v>
      </c>
      <c r="B2374" s="7" t="s">
        <v>88</v>
      </c>
      <c r="C2374" s="7" t="s">
        <v>151</v>
      </c>
      <c r="D2374" s="9">
        <v>0.04</v>
      </c>
      <c r="E2374" s="9">
        <v>0</v>
      </c>
      <c r="F2374" s="9">
        <v>0</v>
      </c>
      <c r="G2374" s="9">
        <v>18</v>
      </c>
      <c r="H2374" s="9">
        <v>0</v>
      </c>
      <c r="I2374" s="9">
        <v>0</v>
      </c>
      <c r="J2374" s="7" t="s">
        <v>325</v>
      </c>
    </row>
    <row r="2375" spans="1:10" x14ac:dyDescent="0.35">
      <c r="A2375" s="7" t="s">
        <v>189</v>
      </c>
      <c r="B2375" s="7" t="s">
        <v>227</v>
      </c>
      <c r="C2375" s="7" t="s">
        <v>179</v>
      </c>
      <c r="D2375" s="9">
        <v>0</v>
      </c>
      <c r="E2375" s="9">
        <v>0</v>
      </c>
      <c r="F2375" s="9">
        <v>0</v>
      </c>
      <c r="G2375" s="9">
        <v>0.1</v>
      </c>
      <c r="H2375" s="9">
        <v>0</v>
      </c>
      <c r="I2375" s="9">
        <v>0</v>
      </c>
      <c r="J2375" s="7" t="s">
        <v>325</v>
      </c>
    </row>
    <row r="2376" spans="1:10" x14ac:dyDescent="0.35">
      <c r="A2376" s="7" t="s">
        <v>35</v>
      </c>
      <c r="B2376" s="7" t="s">
        <v>88</v>
      </c>
      <c r="C2376" s="7" t="s">
        <v>53</v>
      </c>
      <c r="D2376" s="9">
        <v>0.21</v>
      </c>
      <c r="E2376" s="9">
        <v>0</v>
      </c>
      <c r="F2376" s="9">
        <v>0</v>
      </c>
      <c r="G2376" s="9">
        <v>264.72000000000003</v>
      </c>
      <c r="H2376" s="9">
        <v>1</v>
      </c>
      <c r="I2376" s="9">
        <v>0</v>
      </c>
      <c r="J2376" s="7" t="s">
        <v>325</v>
      </c>
    </row>
    <row r="2377" spans="1:10" x14ac:dyDescent="0.35">
      <c r="A2377" s="7" t="s">
        <v>35</v>
      </c>
      <c r="B2377" s="7" t="s">
        <v>88</v>
      </c>
      <c r="C2377" s="7" t="s">
        <v>69</v>
      </c>
      <c r="D2377" s="9">
        <v>0.01</v>
      </c>
      <c r="E2377" s="9">
        <v>0.01</v>
      </c>
      <c r="F2377" s="9">
        <v>0</v>
      </c>
      <c r="G2377" s="9">
        <v>9</v>
      </c>
      <c r="H2377" s="9">
        <v>0.48</v>
      </c>
      <c r="I2377" s="9">
        <v>0</v>
      </c>
      <c r="J2377" s="7" t="s">
        <v>325</v>
      </c>
    </row>
    <row r="2378" spans="1:10" x14ac:dyDescent="0.35">
      <c r="A2378" s="7" t="s">
        <v>189</v>
      </c>
      <c r="B2378" s="7" t="s">
        <v>227</v>
      </c>
      <c r="C2378" s="7" t="s">
        <v>76</v>
      </c>
      <c r="D2378" s="9">
        <v>0.11</v>
      </c>
      <c r="E2378" s="9">
        <v>0.02</v>
      </c>
      <c r="F2378" s="9">
        <v>0</v>
      </c>
      <c r="G2378" s="9">
        <v>309.49</v>
      </c>
      <c r="H2378" s="9">
        <v>34.119999999999997</v>
      </c>
      <c r="I2378" s="9">
        <v>0</v>
      </c>
      <c r="J2378" s="7" t="s">
        <v>325</v>
      </c>
    </row>
    <row r="2379" spans="1:10" x14ac:dyDescent="0.35">
      <c r="A2379" s="7" t="s">
        <v>35</v>
      </c>
      <c r="B2379" s="7" t="s">
        <v>88</v>
      </c>
      <c r="C2379" s="7" t="s">
        <v>76</v>
      </c>
      <c r="D2379" s="9">
        <v>0</v>
      </c>
      <c r="E2379" s="9">
        <v>0</v>
      </c>
      <c r="F2379" s="9">
        <v>0</v>
      </c>
      <c r="G2379" s="9">
        <v>0</v>
      </c>
      <c r="H2379" s="9">
        <v>0</v>
      </c>
      <c r="I2379" s="9">
        <v>0</v>
      </c>
      <c r="J2379" s="7" t="s">
        <v>325</v>
      </c>
    </row>
    <row r="2380" spans="1:10" x14ac:dyDescent="0.35">
      <c r="A2380" s="7" t="s">
        <v>35</v>
      </c>
      <c r="B2380" s="7" t="s">
        <v>88</v>
      </c>
      <c r="C2380" s="7" t="s">
        <v>59</v>
      </c>
      <c r="D2380" s="9">
        <v>0.01</v>
      </c>
      <c r="E2380" s="9">
        <v>0</v>
      </c>
      <c r="F2380" s="9">
        <v>0</v>
      </c>
      <c r="G2380" s="9">
        <v>1.26</v>
      </c>
      <c r="H2380" s="9">
        <v>0.02</v>
      </c>
      <c r="I2380" s="9">
        <v>0</v>
      </c>
      <c r="J2380" s="7" t="s">
        <v>325</v>
      </c>
    </row>
    <row r="2381" spans="1:10" x14ac:dyDescent="0.35">
      <c r="A2381" s="7" t="s">
        <v>189</v>
      </c>
      <c r="B2381" s="7" t="s">
        <v>227</v>
      </c>
      <c r="C2381" s="7" t="s">
        <v>144</v>
      </c>
      <c r="D2381" s="9">
        <v>0</v>
      </c>
      <c r="E2381" s="9">
        <v>0</v>
      </c>
      <c r="F2381" s="9">
        <v>0</v>
      </c>
      <c r="G2381" s="9">
        <v>0.5</v>
      </c>
      <c r="H2381" s="9">
        <v>0</v>
      </c>
      <c r="I2381" s="9">
        <v>0</v>
      </c>
      <c r="J2381" s="7" t="s">
        <v>325</v>
      </c>
    </row>
    <row r="2382" spans="1:10" x14ac:dyDescent="0.35">
      <c r="A2382" s="7" t="s">
        <v>35</v>
      </c>
      <c r="B2382" s="7" t="s">
        <v>88</v>
      </c>
      <c r="C2382" s="7" t="s">
        <v>179</v>
      </c>
      <c r="D2382" s="9">
        <v>0</v>
      </c>
      <c r="E2382" s="9">
        <v>0</v>
      </c>
      <c r="F2382" s="9">
        <v>0</v>
      </c>
      <c r="G2382" s="9">
        <v>0.06</v>
      </c>
      <c r="H2382" s="9">
        <v>0</v>
      </c>
      <c r="I2382" s="9">
        <v>0</v>
      </c>
      <c r="J2382" s="7" t="s">
        <v>325</v>
      </c>
    </row>
    <row r="2383" spans="1:10" x14ac:dyDescent="0.35">
      <c r="A2383" s="7" t="s">
        <v>35</v>
      </c>
      <c r="B2383" s="7" t="s">
        <v>88</v>
      </c>
      <c r="C2383" s="7" t="s">
        <v>60</v>
      </c>
      <c r="D2383" s="9">
        <v>0</v>
      </c>
      <c r="E2383" s="9">
        <v>0.11</v>
      </c>
      <c r="F2383" s="9">
        <v>0</v>
      </c>
      <c r="G2383" s="9">
        <v>0</v>
      </c>
      <c r="H2383" s="9">
        <v>13.11</v>
      </c>
      <c r="I2383" s="9">
        <v>0</v>
      </c>
      <c r="J2383" s="7" t="s">
        <v>325</v>
      </c>
    </row>
    <row r="2384" spans="1:10" x14ac:dyDescent="0.35">
      <c r="A2384" s="7" t="s">
        <v>35</v>
      </c>
      <c r="B2384" s="7" t="s">
        <v>37</v>
      </c>
      <c r="C2384" s="7" t="s">
        <v>33</v>
      </c>
      <c r="D2384" s="9">
        <v>0.06</v>
      </c>
      <c r="E2384" s="9">
        <v>0.03</v>
      </c>
      <c r="F2384" s="9">
        <v>0</v>
      </c>
      <c r="G2384" s="9">
        <v>45.19</v>
      </c>
      <c r="H2384" s="9">
        <v>26.14</v>
      </c>
      <c r="I2384" s="9">
        <v>0</v>
      </c>
      <c r="J2384" s="7" t="s">
        <v>325</v>
      </c>
    </row>
    <row r="2385" spans="1:10" x14ac:dyDescent="0.35">
      <c r="A2385" s="7" t="s">
        <v>35</v>
      </c>
      <c r="B2385" s="7" t="s">
        <v>37</v>
      </c>
      <c r="C2385" s="7" t="s">
        <v>54</v>
      </c>
      <c r="D2385" s="9">
        <v>0.08</v>
      </c>
      <c r="E2385" s="9">
        <v>0.14000000000000001</v>
      </c>
      <c r="F2385" s="9">
        <v>0</v>
      </c>
      <c r="G2385" s="9">
        <v>20.67</v>
      </c>
      <c r="H2385" s="9">
        <v>13.77</v>
      </c>
      <c r="I2385" s="9">
        <v>0</v>
      </c>
      <c r="J2385" s="7" t="s">
        <v>325</v>
      </c>
    </row>
    <row r="2386" spans="1:10" x14ac:dyDescent="0.35">
      <c r="A2386" s="7" t="s">
        <v>189</v>
      </c>
      <c r="B2386" s="7" t="s">
        <v>227</v>
      </c>
      <c r="C2386" s="7" t="s">
        <v>54</v>
      </c>
      <c r="D2386" s="9">
        <v>0</v>
      </c>
      <c r="E2386" s="9">
        <v>0</v>
      </c>
      <c r="F2386" s="9">
        <v>0</v>
      </c>
      <c r="G2386" s="9">
        <v>0.14000000000000001</v>
      </c>
      <c r="H2386" s="9">
        <v>0</v>
      </c>
      <c r="I2386" s="9">
        <v>0</v>
      </c>
      <c r="J2386" s="7" t="s">
        <v>325</v>
      </c>
    </row>
    <row r="2387" spans="1:10" x14ac:dyDescent="0.35">
      <c r="A2387" s="7" t="s">
        <v>35</v>
      </c>
      <c r="B2387" s="7" t="s">
        <v>37</v>
      </c>
      <c r="C2387" s="7" t="s">
        <v>170</v>
      </c>
      <c r="D2387" s="9">
        <v>0</v>
      </c>
      <c r="E2387" s="9">
        <v>0.02</v>
      </c>
      <c r="F2387" s="9">
        <v>0</v>
      </c>
      <c r="G2387" s="9">
        <v>0</v>
      </c>
      <c r="H2387" s="9">
        <v>1</v>
      </c>
      <c r="I2387" s="9">
        <v>0</v>
      </c>
      <c r="J2387" s="7" t="s">
        <v>325</v>
      </c>
    </row>
    <row r="2388" spans="1:10" x14ac:dyDescent="0.35">
      <c r="A2388" s="7" t="s">
        <v>35</v>
      </c>
      <c r="B2388" s="7" t="s">
        <v>37</v>
      </c>
      <c r="C2388" s="7" t="s">
        <v>102</v>
      </c>
      <c r="D2388" s="9">
        <v>0</v>
      </c>
      <c r="E2388" s="9">
        <v>0.03</v>
      </c>
      <c r="F2388" s="9">
        <v>0</v>
      </c>
      <c r="G2388" s="9">
        <v>1.99</v>
      </c>
      <c r="H2388" s="9">
        <v>47.73</v>
      </c>
      <c r="I2388" s="9">
        <v>0</v>
      </c>
      <c r="J2388" s="7" t="s">
        <v>325</v>
      </c>
    </row>
    <row r="2389" spans="1:10" x14ac:dyDescent="0.35">
      <c r="A2389" s="7" t="s">
        <v>35</v>
      </c>
      <c r="B2389" s="7" t="s">
        <v>37</v>
      </c>
      <c r="C2389" s="7" t="s">
        <v>45</v>
      </c>
      <c r="D2389" s="9">
        <v>0.01</v>
      </c>
      <c r="E2389" s="9">
        <v>0</v>
      </c>
      <c r="F2389" s="9">
        <v>0</v>
      </c>
      <c r="G2389" s="9">
        <v>3.46</v>
      </c>
      <c r="H2389" s="9">
        <v>0</v>
      </c>
      <c r="I2389" s="9">
        <v>0</v>
      </c>
      <c r="J2389" s="7" t="s">
        <v>325</v>
      </c>
    </row>
    <row r="2390" spans="1:10" x14ac:dyDescent="0.35">
      <c r="A2390" s="7" t="s">
        <v>23</v>
      </c>
      <c r="B2390" s="7" t="s">
        <v>177</v>
      </c>
      <c r="C2390" s="7" t="s">
        <v>170</v>
      </c>
      <c r="D2390" s="9">
        <v>25.41</v>
      </c>
      <c r="E2390" s="9">
        <v>0</v>
      </c>
      <c r="F2390" s="9">
        <v>0</v>
      </c>
      <c r="G2390" s="8">
        <v>5614.75</v>
      </c>
      <c r="H2390" s="9">
        <v>0</v>
      </c>
      <c r="I2390" s="9">
        <v>0</v>
      </c>
      <c r="J2390" s="7" t="s">
        <v>325</v>
      </c>
    </row>
    <row r="2391" spans="1:10" x14ac:dyDescent="0.35">
      <c r="A2391" s="7" t="s">
        <v>23</v>
      </c>
      <c r="B2391" s="7" t="s">
        <v>230</v>
      </c>
      <c r="C2391" s="7" t="s">
        <v>122</v>
      </c>
      <c r="D2391" s="9">
        <v>0</v>
      </c>
      <c r="E2391" s="9">
        <v>0</v>
      </c>
      <c r="F2391" s="9">
        <v>0</v>
      </c>
      <c r="G2391" s="9">
        <v>0.26</v>
      </c>
      <c r="H2391" s="9">
        <v>0.26</v>
      </c>
      <c r="I2391" s="9">
        <v>0</v>
      </c>
      <c r="J2391" s="7" t="s">
        <v>325</v>
      </c>
    </row>
    <row r="2392" spans="1:10" x14ac:dyDescent="0.35">
      <c r="A2392" s="7" t="s">
        <v>35</v>
      </c>
      <c r="B2392" s="7" t="s">
        <v>37</v>
      </c>
      <c r="C2392" s="7" t="s">
        <v>126</v>
      </c>
      <c r="D2392" s="9">
        <v>0.03</v>
      </c>
      <c r="E2392" s="9">
        <v>0.01</v>
      </c>
      <c r="F2392" s="9">
        <v>0</v>
      </c>
      <c r="G2392" s="9">
        <v>17.54</v>
      </c>
      <c r="H2392" s="9">
        <v>9.51</v>
      </c>
      <c r="I2392" s="9">
        <v>0</v>
      </c>
      <c r="J2392" s="7" t="s">
        <v>325</v>
      </c>
    </row>
    <row r="2393" spans="1:10" x14ac:dyDescent="0.35">
      <c r="A2393" s="7" t="s">
        <v>35</v>
      </c>
      <c r="B2393" s="7" t="s">
        <v>37</v>
      </c>
      <c r="C2393" s="7" t="s">
        <v>27</v>
      </c>
      <c r="D2393" s="9">
        <v>0</v>
      </c>
      <c r="E2393" s="9">
        <v>0</v>
      </c>
      <c r="F2393" s="9">
        <v>0</v>
      </c>
      <c r="G2393" s="9">
        <v>0.01</v>
      </c>
      <c r="H2393" s="9">
        <v>3</v>
      </c>
      <c r="I2393" s="9">
        <v>0</v>
      </c>
      <c r="J2393" s="7" t="s">
        <v>325</v>
      </c>
    </row>
    <row r="2394" spans="1:10" x14ac:dyDescent="0.35">
      <c r="A2394" s="7" t="s">
        <v>23</v>
      </c>
      <c r="B2394" s="7" t="s">
        <v>230</v>
      </c>
      <c r="C2394" s="7" t="s">
        <v>54</v>
      </c>
      <c r="D2394" s="9">
        <v>0</v>
      </c>
      <c r="E2394" s="9">
        <v>0</v>
      </c>
      <c r="F2394" s="9">
        <v>0</v>
      </c>
      <c r="G2394" s="9">
        <v>2.57</v>
      </c>
      <c r="H2394" s="9">
        <v>0</v>
      </c>
      <c r="I2394" s="9">
        <v>0</v>
      </c>
      <c r="J2394" s="7" t="s">
        <v>325</v>
      </c>
    </row>
    <row r="2395" spans="1:10" x14ac:dyDescent="0.35">
      <c r="A2395" s="7" t="s">
        <v>23</v>
      </c>
      <c r="B2395" s="7" t="s">
        <v>230</v>
      </c>
      <c r="C2395" s="7" t="s">
        <v>33</v>
      </c>
      <c r="D2395" s="9">
        <v>0</v>
      </c>
      <c r="E2395" s="9">
        <v>0</v>
      </c>
      <c r="F2395" s="9">
        <v>0</v>
      </c>
      <c r="G2395" s="9">
        <v>2.95</v>
      </c>
      <c r="H2395" s="9">
        <v>0.89</v>
      </c>
      <c r="I2395" s="9">
        <v>0</v>
      </c>
      <c r="J2395" s="7" t="s">
        <v>325</v>
      </c>
    </row>
    <row r="2396" spans="1:10" x14ac:dyDescent="0.35">
      <c r="A2396" s="7" t="s">
        <v>35</v>
      </c>
      <c r="B2396" s="7" t="s">
        <v>37</v>
      </c>
      <c r="C2396" s="7" t="s">
        <v>65</v>
      </c>
      <c r="D2396" s="9">
        <v>0.05</v>
      </c>
      <c r="E2396" s="9">
        <v>0</v>
      </c>
      <c r="F2396" s="9">
        <v>0</v>
      </c>
      <c r="G2396" s="9">
        <v>40.82</v>
      </c>
      <c r="H2396" s="9">
        <v>0</v>
      </c>
      <c r="I2396" s="9">
        <v>0</v>
      </c>
      <c r="J2396" s="7" t="s">
        <v>325</v>
      </c>
    </row>
    <row r="2397" spans="1:10" x14ac:dyDescent="0.35">
      <c r="A2397" s="7" t="s">
        <v>23</v>
      </c>
      <c r="B2397" s="7" t="s">
        <v>24</v>
      </c>
      <c r="C2397" s="7" t="s">
        <v>125</v>
      </c>
      <c r="D2397" s="9">
        <v>3.49</v>
      </c>
      <c r="E2397" s="9">
        <v>0.94</v>
      </c>
      <c r="F2397" s="9">
        <v>0</v>
      </c>
      <c r="G2397" s="9">
        <v>436.38</v>
      </c>
      <c r="H2397" s="9">
        <v>377.5</v>
      </c>
      <c r="I2397" s="9">
        <v>0</v>
      </c>
      <c r="J2397" s="7" t="s">
        <v>325</v>
      </c>
    </row>
    <row r="2398" spans="1:10" x14ac:dyDescent="0.35">
      <c r="A2398" s="7" t="s">
        <v>23</v>
      </c>
      <c r="B2398" s="7" t="s">
        <v>24</v>
      </c>
      <c r="C2398" s="7" t="s">
        <v>18</v>
      </c>
      <c r="D2398" s="9">
        <v>0</v>
      </c>
      <c r="E2398" s="9">
        <v>0</v>
      </c>
      <c r="F2398" s="9">
        <v>0</v>
      </c>
      <c r="G2398" s="9">
        <v>3</v>
      </c>
      <c r="H2398" s="9">
        <v>0</v>
      </c>
      <c r="I2398" s="9">
        <v>0</v>
      </c>
      <c r="J2398" s="7" t="s">
        <v>325</v>
      </c>
    </row>
    <row r="2399" spans="1:10" x14ac:dyDescent="0.35">
      <c r="A2399" s="7" t="s">
        <v>35</v>
      </c>
      <c r="B2399" s="7" t="s">
        <v>37</v>
      </c>
      <c r="C2399" s="7" t="s">
        <v>151</v>
      </c>
      <c r="D2399" s="9">
        <v>0.02</v>
      </c>
      <c r="E2399" s="9">
        <v>0</v>
      </c>
      <c r="F2399" s="9">
        <v>0</v>
      </c>
      <c r="G2399" s="9">
        <v>7.2</v>
      </c>
      <c r="H2399" s="9">
        <v>0</v>
      </c>
      <c r="I2399" s="9">
        <v>0</v>
      </c>
      <c r="J2399" s="7" t="s">
        <v>325</v>
      </c>
    </row>
    <row r="2400" spans="1:10" x14ac:dyDescent="0.35">
      <c r="A2400" s="7" t="s">
        <v>23</v>
      </c>
      <c r="B2400" s="7" t="s">
        <v>24</v>
      </c>
      <c r="C2400" s="7" t="s">
        <v>150</v>
      </c>
      <c r="D2400" s="9">
        <v>0</v>
      </c>
      <c r="E2400" s="9">
        <v>0</v>
      </c>
      <c r="F2400" s="9">
        <v>0</v>
      </c>
      <c r="G2400" s="9">
        <v>0.03</v>
      </c>
      <c r="H2400" s="9">
        <v>0</v>
      </c>
      <c r="I2400" s="9">
        <v>0</v>
      </c>
      <c r="J2400" s="7" t="s">
        <v>325</v>
      </c>
    </row>
    <row r="2401" spans="1:10" x14ac:dyDescent="0.35">
      <c r="A2401" s="7" t="s">
        <v>35</v>
      </c>
      <c r="B2401" s="7" t="s">
        <v>37</v>
      </c>
      <c r="C2401" s="7" t="s">
        <v>53</v>
      </c>
      <c r="D2401" s="9">
        <v>0.13</v>
      </c>
      <c r="E2401" s="9">
        <v>0.03</v>
      </c>
      <c r="F2401" s="9">
        <v>0</v>
      </c>
      <c r="G2401" s="9">
        <v>43.95</v>
      </c>
      <c r="H2401" s="9">
        <v>23.88</v>
      </c>
      <c r="I2401" s="9">
        <v>0</v>
      </c>
      <c r="J2401" s="7" t="s">
        <v>325</v>
      </c>
    </row>
    <row r="2402" spans="1:10" x14ac:dyDescent="0.35">
      <c r="A2402" s="7" t="s">
        <v>23</v>
      </c>
      <c r="B2402" s="7" t="s">
        <v>24</v>
      </c>
      <c r="C2402" s="7" t="s">
        <v>59</v>
      </c>
      <c r="D2402" s="9">
        <v>0</v>
      </c>
      <c r="E2402" s="9">
        <v>0.01</v>
      </c>
      <c r="F2402" s="9">
        <v>0</v>
      </c>
      <c r="G2402" s="9">
        <v>0</v>
      </c>
      <c r="H2402" s="9">
        <v>0.23</v>
      </c>
      <c r="I2402" s="9">
        <v>0</v>
      </c>
      <c r="J2402" s="7" t="s">
        <v>325</v>
      </c>
    </row>
    <row r="2403" spans="1:10" x14ac:dyDescent="0.35">
      <c r="A2403" s="7" t="s">
        <v>35</v>
      </c>
      <c r="B2403" s="7" t="s">
        <v>37</v>
      </c>
      <c r="C2403" s="7" t="s">
        <v>46</v>
      </c>
      <c r="D2403" s="9">
        <v>0.03</v>
      </c>
      <c r="E2403" s="9">
        <v>1.1000000000000001</v>
      </c>
      <c r="F2403" s="9">
        <v>0</v>
      </c>
      <c r="G2403" s="9">
        <v>25.96</v>
      </c>
      <c r="H2403" s="9">
        <v>706.82</v>
      </c>
      <c r="I2403" s="9">
        <v>0</v>
      </c>
      <c r="J2403" s="7" t="s">
        <v>325</v>
      </c>
    </row>
    <row r="2404" spans="1:10" x14ac:dyDescent="0.35">
      <c r="A2404" s="7" t="s">
        <v>35</v>
      </c>
      <c r="B2404" s="7" t="s">
        <v>37</v>
      </c>
      <c r="C2404" s="7" t="s">
        <v>84</v>
      </c>
      <c r="D2404" s="9">
        <v>0.01</v>
      </c>
      <c r="E2404" s="9">
        <v>0</v>
      </c>
      <c r="F2404" s="9">
        <v>0</v>
      </c>
      <c r="G2404" s="9">
        <v>2</v>
      </c>
      <c r="H2404" s="9">
        <v>0</v>
      </c>
      <c r="I2404" s="9">
        <v>0</v>
      </c>
      <c r="J2404" s="7" t="s">
        <v>325</v>
      </c>
    </row>
    <row r="2405" spans="1:10" x14ac:dyDescent="0.35">
      <c r="A2405" s="7" t="s">
        <v>23</v>
      </c>
      <c r="B2405" s="7" t="s">
        <v>24</v>
      </c>
      <c r="C2405" s="7" t="s">
        <v>65</v>
      </c>
      <c r="D2405" s="9">
        <v>0</v>
      </c>
      <c r="E2405" s="9">
        <v>0</v>
      </c>
      <c r="F2405" s="9">
        <v>0</v>
      </c>
      <c r="G2405" s="9">
        <v>2.0499999999999998</v>
      </c>
      <c r="H2405" s="9">
        <v>0</v>
      </c>
      <c r="I2405" s="9">
        <v>0</v>
      </c>
      <c r="J2405" s="7" t="s">
        <v>325</v>
      </c>
    </row>
    <row r="2406" spans="1:10" x14ac:dyDescent="0.35">
      <c r="A2406" s="7" t="s">
        <v>23</v>
      </c>
      <c r="B2406" s="7" t="s">
        <v>24</v>
      </c>
      <c r="C2406" s="7" t="s">
        <v>144</v>
      </c>
      <c r="D2406" s="9">
        <v>0</v>
      </c>
      <c r="E2406" s="9">
        <v>0</v>
      </c>
      <c r="F2406" s="9">
        <v>0</v>
      </c>
      <c r="G2406" s="9">
        <v>0.06</v>
      </c>
      <c r="H2406" s="9">
        <v>0</v>
      </c>
      <c r="I2406" s="9">
        <v>0</v>
      </c>
      <c r="J2406" s="7" t="s">
        <v>325</v>
      </c>
    </row>
    <row r="2407" spans="1:10" x14ac:dyDescent="0.35">
      <c r="A2407" s="7" t="s">
        <v>35</v>
      </c>
      <c r="B2407" s="7" t="s">
        <v>37</v>
      </c>
      <c r="C2407" s="7" t="s">
        <v>114</v>
      </c>
      <c r="D2407" s="9">
        <v>1.38</v>
      </c>
      <c r="E2407" s="9">
        <v>0</v>
      </c>
      <c r="F2407" s="9">
        <v>0</v>
      </c>
      <c r="G2407" s="9">
        <v>161</v>
      </c>
      <c r="H2407" s="9">
        <v>0</v>
      </c>
      <c r="I2407" s="9">
        <v>0</v>
      </c>
      <c r="J2407" s="7" t="s">
        <v>325</v>
      </c>
    </row>
    <row r="2408" spans="1:10" x14ac:dyDescent="0.35">
      <c r="A2408" s="7" t="s">
        <v>35</v>
      </c>
      <c r="B2408" s="7" t="s">
        <v>37</v>
      </c>
      <c r="C2408" s="7" t="s">
        <v>18</v>
      </c>
      <c r="D2408" s="9">
        <v>7.69</v>
      </c>
      <c r="E2408" s="9">
        <v>0</v>
      </c>
      <c r="F2408" s="9">
        <v>0</v>
      </c>
      <c r="G2408" s="8">
        <v>6397.56</v>
      </c>
      <c r="H2408" s="9">
        <v>1.95</v>
      </c>
      <c r="I2408" s="9">
        <v>0</v>
      </c>
      <c r="J2408" s="7" t="s">
        <v>325</v>
      </c>
    </row>
    <row r="2409" spans="1:10" x14ac:dyDescent="0.35">
      <c r="A2409" s="7" t="s">
        <v>23</v>
      </c>
      <c r="B2409" s="7" t="s">
        <v>24</v>
      </c>
      <c r="C2409" s="7" t="s">
        <v>126</v>
      </c>
      <c r="D2409" s="9">
        <v>0</v>
      </c>
      <c r="E2409" s="9">
        <v>0</v>
      </c>
      <c r="F2409" s="9">
        <v>0</v>
      </c>
      <c r="G2409" s="9">
        <v>0.01</v>
      </c>
      <c r="H2409" s="9">
        <v>0.01</v>
      </c>
      <c r="I2409" s="9">
        <v>0</v>
      </c>
      <c r="J2409" s="7" t="s">
        <v>325</v>
      </c>
    </row>
    <row r="2410" spans="1:10" x14ac:dyDescent="0.35">
      <c r="A2410" s="7" t="s">
        <v>23</v>
      </c>
      <c r="B2410" s="7" t="s">
        <v>24</v>
      </c>
      <c r="C2410" s="7" t="s">
        <v>45</v>
      </c>
      <c r="D2410" s="9">
        <v>0.05</v>
      </c>
      <c r="E2410" s="9">
        <v>0.06</v>
      </c>
      <c r="F2410" s="9">
        <v>0</v>
      </c>
      <c r="G2410" s="9">
        <v>2.5099999999999998</v>
      </c>
      <c r="H2410" s="9">
        <v>3.35</v>
      </c>
      <c r="I2410" s="9">
        <v>0</v>
      </c>
      <c r="J2410" s="7" t="s">
        <v>325</v>
      </c>
    </row>
    <row r="2411" spans="1:10" x14ac:dyDescent="0.35">
      <c r="A2411" s="7" t="s">
        <v>23</v>
      </c>
      <c r="B2411" s="7" t="s">
        <v>24</v>
      </c>
      <c r="C2411" s="7" t="s">
        <v>170</v>
      </c>
      <c r="D2411" s="9">
        <v>2.11</v>
      </c>
      <c r="E2411" s="9">
        <v>0</v>
      </c>
      <c r="F2411" s="9">
        <v>0</v>
      </c>
      <c r="G2411" s="9">
        <v>459.12</v>
      </c>
      <c r="H2411" s="9">
        <v>0</v>
      </c>
      <c r="I2411" s="9">
        <v>0</v>
      </c>
      <c r="J2411" s="7" t="s">
        <v>325</v>
      </c>
    </row>
    <row r="2412" spans="1:10" x14ac:dyDescent="0.35">
      <c r="A2412" s="7" t="s">
        <v>35</v>
      </c>
      <c r="B2412" s="7" t="s">
        <v>47</v>
      </c>
      <c r="C2412" s="7" t="s">
        <v>93</v>
      </c>
      <c r="D2412" s="9">
        <v>0</v>
      </c>
      <c r="E2412" s="9">
        <v>0.03</v>
      </c>
      <c r="F2412" s="9">
        <v>0</v>
      </c>
      <c r="G2412" s="9">
        <v>0</v>
      </c>
      <c r="H2412" s="9">
        <v>5</v>
      </c>
      <c r="I2412" s="9">
        <v>0</v>
      </c>
      <c r="J2412" s="7" t="s">
        <v>325</v>
      </c>
    </row>
    <row r="2413" spans="1:10" x14ac:dyDescent="0.35">
      <c r="A2413" s="7" t="s">
        <v>35</v>
      </c>
      <c r="B2413" s="7" t="s">
        <v>47</v>
      </c>
      <c r="C2413" s="7" t="s">
        <v>221</v>
      </c>
      <c r="D2413" s="9">
        <v>0.57999999999999996</v>
      </c>
      <c r="E2413" s="9">
        <v>0</v>
      </c>
      <c r="F2413" s="9">
        <v>0</v>
      </c>
      <c r="G2413" s="9">
        <v>256.5</v>
      </c>
      <c r="H2413" s="9">
        <v>0</v>
      </c>
      <c r="I2413" s="9">
        <v>0</v>
      </c>
      <c r="J2413" s="7" t="s">
        <v>325</v>
      </c>
    </row>
    <row r="2414" spans="1:10" x14ac:dyDescent="0.35">
      <c r="A2414" s="7" t="s">
        <v>23</v>
      </c>
      <c r="B2414" s="7" t="s">
        <v>277</v>
      </c>
      <c r="C2414" s="7" t="s">
        <v>83</v>
      </c>
      <c r="D2414" s="9">
        <v>0</v>
      </c>
      <c r="E2414" s="9">
        <v>0</v>
      </c>
      <c r="F2414" s="9">
        <v>0</v>
      </c>
      <c r="G2414" s="9">
        <v>1.1599999999999999</v>
      </c>
      <c r="H2414" s="9">
        <v>0</v>
      </c>
      <c r="I2414" s="9">
        <v>0</v>
      </c>
      <c r="J2414" s="7" t="s">
        <v>325</v>
      </c>
    </row>
    <row r="2415" spans="1:10" x14ac:dyDescent="0.35">
      <c r="A2415" s="7" t="s">
        <v>23</v>
      </c>
      <c r="B2415" s="7" t="s">
        <v>277</v>
      </c>
      <c r="C2415" s="7" t="s">
        <v>76</v>
      </c>
      <c r="D2415" s="9">
        <v>0</v>
      </c>
      <c r="E2415" s="9">
        <v>0</v>
      </c>
      <c r="F2415" s="9">
        <v>0</v>
      </c>
      <c r="G2415" s="9">
        <v>7.01</v>
      </c>
      <c r="H2415" s="9">
        <v>0</v>
      </c>
      <c r="I2415" s="9">
        <v>0</v>
      </c>
      <c r="J2415" s="7" t="s">
        <v>325</v>
      </c>
    </row>
    <row r="2416" spans="1:10" x14ac:dyDescent="0.35">
      <c r="A2416" s="7" t="s">
        <v>23</v>
      </c>
      <c r="B2416" s="7" t="s">
        <v>277</v>
      </c>
      <c r="C2416" s="7" t="s">
        <v>45</v>
      </c>
      <c r="D2416" s="9">
        <v>0</v>
      </c>
      <c r="E2416" s="9">
        <v>0</v>
      </c>
      <c r="F2416" s="9">
        <v>0</v>
      </c>
      <c r="G2416" s="9">
        <v>13.57</v>
      </c>
      <c r="H2416" s="9">
        <v>0</v>
      </c>
      <c r="I2416" s="9">
        <v>0</v>
      </c>
      <c r="J2416" s="7" t="s">
        <v>325</v>
      </c>
    </row>
    <row r="2417" spans="1:10" x14ac:dyDescent="0.35">
      <c r="A2417" s="7" t="s">
        <v>23</v>
      </c>
      <c r="B2417" s="7" t="s">
        <v>277</v>
      </c>
      <c r="C2417" s="7" t="s">
        <v>102</v>
      </c>
      <c r="D2417" s="9">
        <v>0</v>
      </c>
      <c r="E2417" s="9">
        <v>0</v>
      </c>
      <c r="F2417" s="9">
        <v>0</v>
      </c>
      <c r="G2417" s="9">
        <v>27.62</v>
      </c>
      <c r="H2417" s="9">
        <v>0</v>
      </c>
      <c r="I2417" s="9">
        <v>0</v>
      </c>
      <c r="J2417" s="7" t="s">
        <v>325</v>
      </c>
    </row>
    <row r="2418" spans="1:10" x14ac:dyDescent="0.35">
      <c r="A2418" s="7" t="s">
        <v>23</v>
      </c>
      <c r="B2418" s="7" t="s">
        <v>277</v>
      </c>
      <c r="C2418" s="7" t="s">
        <v>54</v>
      </c>
      <c r="D2418" s="9">
        <v>0</v>
      </c>
      <c r="E2418" s="9">
        <v>0</v>
      </c>
      <c r="F2418" s="9">
        <v>0</v>
      </c>
      <c r="G2418" s="9">
        <v>0.6</v>
      </c>
      <c r="H2418" s="9">
        <v>0</v>
      </c>
      <c r="I2418" s="9">
        <v>0</v>
      </c>
      <c r="J2418" s="7" t="s">
        <v>325</v>
      </c>
    </row>
    <row r="2419" spans="1:10" x14ac:dyDescent="0.35">
      <c r="A2419" s="7" t="s">
        <v>23</v>
      </c>
      <c r="B2419" s="7" t="s">
        <v>277</v>
      </c>
      <c r="C2419" s="7" t="s">
        <v>42</v>
      </c>
      <c r="D2419" s="9">
        <v>0</v>
      </c>
      <c r="E2419" s="9">
        <v>0</v>
      </c>
      <c r="F2419" s="9">
        <v>0</v>
      </c>
      <c r="G2419" s="9">
        <v>5.84</v>
      </c>
      <c r="H2419" s="9">
        <v>0</v>
      </c>
      <c r="I2419" s="9">
        <v>0</v>
      </c>
      <c r="J2419" s="7" t="s">
        <v>325</v>
      </c>
    </row>
    <row r="2420" spans="1:10" x14ac:dyDescent="0.35">
      <c r="A2420" s="7" t="s">
        <v>23</v>
      </c>
      <c r="B2420" s="7" t="s">
        <v>277</v>
      </c>
      <c r="C2420" s="7" t="s">
        <v>33</v>
      </c>
      <c r="D2420" s="9">
        <v>0</v>
      </c>
      <c r="E2420" s="9">
        <v>0</v>
      </c>
      <c r="F2420" s="9">
        <v>0</v>
      </c>
      <c r="G2420" s="9">
        <v>0.1</v>
      </c>
      <c r="H2420" s="9">
        <v>0</v>
      </c>
      <c r="I2420" s="9">
        <v>0</v>
      </c>
      <c r="J2420" s="7" t="s">
        <v>325</v>
      </c>
    </row>
    <row r="2421" spans="1:10" x14ac:dyDescent="0.35">
      <c r="A2421" s="7" t="s">
        <v>23</v>
      </c>
      <c r="B2421" s="7" t="s">
        <v>191</v>
      </c>
      <c r="C2421" s="7" t="s">
        <v>60</v>
      </c>
      <c r="D2421" s="9">
        <v>0</v>
      </c>
      <c r="E2421" s="9">
        <v>7.0000000000000007E-2</v>
      </c>
      <c r="F2421" s="9">
        <v>0</v>
      </c>
      <c r="G2421" s="9">
        <v>0</v>
      </c>
      <c r="H2421" s="9">
        <v>3.4</v>
      </c>
      <c r="I2421" s="9">
        <v>0</v>
      </c>
      <c r="J2421" s="7" t="s">
        <v>325</v>
      </c>
    </row>
    <row r="2422" spans="1:10" x14ac:dyDescent="0.35">
      <c r="A2422" s="7" t="s">
        <v>35</v>
      </c>
      <c r="B2422" s="7" t="s">
        <v>47</v>
      </c>
      <c r="C2422" s="7" t="s">
        <v>170</v>
      </c>
      <c r="D2422" s="9">
        <v>7.0000000000000007E-2</v>
      </c>
      <c r="E2422" s="9">
        <v>0</v>
      </c>
      <c r="F2422" s="9">
        <v>0</v>
      </c>
      <c r="G2422" s="9">
        <v>18.64</v>
      </c>
      <c r="H2422" s="9">
        <v>0</v>
      </c>
      <c r="I2422" s="9">
        <v>0</v>
      </c>
      <c r="J2422" s="7" t="s">
        <v>325</v>
      </c>
    </row>
    <row r="2423" spans="1:10" x14ac:dyDescent="0.35">
      <c r="A2423" s="7" t="s">
        <v>23</v>
      </c>
      <c r="B2423" s="7" t="s">
        <v>191</v>
      </c>
      <c r="C2423" s="7" t="s">
        <v>142</v>
      </c>
      <c r="D2423" s="9">
        <v>0.02</v>
      </c>
      <c r="E2423" s="9">
        <v>0</v>
      </c>
      <c r="F2423" s="9">
        <v>0</v>
      </c>
      <c r="G2423" s="9">
        <v>0.97</v>
      </c>
      <c r="H2423" s="9">
        <v>0</v>
      </c>
      <c r="I2423" s="9">
        <v>0</v>
      </c>
      <c r="J2423" s="7" t="s">
        <v>325</v>
      </c>
    </row>
    <row r="2424" spans="1:10" x14ac:dyDescent="0.35">
      <c r="A2424" s="7" t="s">
        <v>35</v>
      </c>
      <c r="B2424" s="7" t="s">
        <v>47</v>
      </c>
      <c r="C2424" s="7" t="s">
        <v>45</v>
      </c>
      <c r="D2424" s="9">
        <v>0.01</v>
      </c>
      <c r="E2424" s="9">
        <v>0.02</v>
      </c>
      <c r="F2424" s="9">
        <v>0</v>
      </c>
      <c r="G2424" s="9">
        <v>0.85</v>
      </c>
      <c r="H2424" s="9">
        <v>1.1100000000000001</v>
      </c>
      <c r="I2424" s="9">
        <v>0</v>
      </c>
      <c r="J2424" s="7" t="s">
        <v>325</v>
      </c>
    </row>
    <row r="2425" spans="1:10" x14ac:dyDescent="0.35">
      <c r="A2425" s="7" t="s">
        <v>23</v>
      </c>
      <c r="B2425" s="7" t="s">
        <v>191</v>
      </c>
      <c r="C2425" s="7" t="s">
        <v>59</v>
      </c>
      <c r="D2425" s="9">
        <v>0</v>
      </c>
      <c r="E2425" s="9">
        <v>0.02</v>
      </c>
      <c r="F2425" s="9">
        <v>0</v>
      </c>
      <c r="G2425" s="9">
        <v>0</v>
      </c>
      <c r="H2425" s="9">
        <v>9.4700000000000006</v>
      </c>
      <c r="I2425" s="9">
        <v>0</v>
      </c>
      <c r="J2425" s="7" t="s">
        <v>325</v>
      </c>
    </row>
    <row r="2426" spans="1:10" x14ac:dyDescent="0.35">
      <c r="A2426" s="7" t="s">
        <v>23</v>
      </c>
      <c r="B2426" s="7" t="s">
        <v>191</v>
      </c>
      <c r="C2426" s="7" t="s">
        <v>72</v>
      </c>
      <c r="D2426" s="9">
        <v>0</v>
      </c>
      <c r="E2426" s="9">
        <v>0</v>
      </c>
      <c r="F2426" s="9">
        <v>0</v>
      </c>
      <c r="G2426" s="9">
        <v>0</v>
      </c>
      <c r="H2426" s="9">
        <v>0.1</v>
      </c>
      <c r="I2426" s="9">
        <v>0</v>
      </c>
      <c r="J2426" s="7" t="s">
        <v>325</v>
      </c>
    </row>
    <row r="2427" spans="1:10" x14ac:dyDescent="0.35">
      <c r="A2427" s="7" t="s">
        <v>35</v>
      </c>
      <c r="B2427" s="7" t="s">
        <v>47</v>
      </c>
      <c r="C2427" s="7" t="s">
        <v>126</v>
      </c>
      <c r="D2427" s="9">
        <v>0</v>
      </c>
      <c r="E2427" s="9">
        <v>0</v>
      </c>
      <c r="F2427" s="9">
        <v>0</v>
      </c>
      <c r="G2427" s="9">
        <v>0.39</v>
      </c>
      <c r="H2427" s="9">
        <v>0</v>
      </c>
      <c r="I2427" s="9">
        <v>0</v>
      </c>
      <c r="J2427" s="7" t="s">
        <v>325</v>
      </c>
    </row>
    <row r="2428" spans="1:10" x14ac:dyDescent="0.35">
      <c r="A2428" s="7" t="s">
        <v>35</v>
      </c>
      <c r="B2428" s="7" t="s">
        <v>47</v>
      </c>
      <c r="C2428" s="7" t="s">
        <v>27</v>
      </c>
      <c r="D2428" s="9">
        <v>0</v>
      </c>
      <c r="E2428" s="9">
        <v>0.01</v>
      </c>
      <c r="F2428" s="9">
        <v>0</v>
      </c>
      <c r="G2428" s="9">
        <v>0</v>
      </c>
      <c r="H2428" s="9">
        <v>7.96</v>
      </c>
      <c r="I2428" s="9">
        <v>0</v>
      </c>
      <c r="J2428" s="7" t="s">
        <v>325</v>
      </c>
    </row>
    <row r="2429" spans="1:10" x14ac:dyDescent="0.35">
      <c r="A2429" s="7" t="s">
        <v>23</v>
      </c>
      <c r="B2429" s="7" t="s">
        <v>191</v>
      </c>
      <c r="C2429" s="7" t="s">
        <v>51</v>
      </c>
      <c r="D2429" s="9">
        <v>0</v>
      </c>
      <c r="E2429" s="9">
        <v>0.01</v>
      </c>
      <c r="F2429" s="9">
        <v>0</v>
      </c>
      <c r="G2429" s="9">
        <v>0</v>
      </c>
      <c r="H2429" s="9">
        <v>9</v>
      </c>
      <c r="I2429" s="9">
        <v>0</v>
      </c>
      <c r="J2429" s="7" t="s">
        <v>325</v>
      </c>
    </row>
    <row r="2430" spans="1:10" x14ac:dyDescent="0.35">
      <c r="A2430" s="7" t="s">
        <v>35</v>
      </c>
      <c r="B2430" s="7" t="s">
        <v>47</v>
      </c>
      <c r="C2430" s="7" t="s">
        <v>144</v>
      </c>
      <c r="D2430" s="9">
        <v>0</v>
      </c>
      <c r="E2430" s="9">
        <v>0</v>
      </c>
      <c r="F2430" s="9">
        <v>0</v>
      </c>
      <c r="G2430" s="9">
        <v>3.92</v>
      </c>
      <c r="H2430" s="9">
        <v>0</v>
      </c>
      <c r="I2430" s="9">
        <v>0</v>
      </c>
      <c r="J2430" s="7" t="s">
        <v>325</v>
      </c>
    </row>
    <row r="2431" spans="1:10" x14ac:dyDescent="0.35">
      <c r="A2431" s="7" t="s">
        <v>35</v>
      </c>
      <c r="B2431" s="7" t="s">
        <v>47</v>
      </c>
      <c r="C2431" s="7" t="s">
        <v>62</v>
      </c>
      <c r="D2431" s="9">
        <v>0</v>
      </c>
      <c r="E2431" s="9">
        <v>0</v>
      </c>
      <c r="F2431" s="9">
        <v>0</v>
      </c>
      <c r="G2431" s="9">
        <v>1.71</v>
      </c>
      <c r="H2431" s="9">
        <v>0</v>
      </c>
      <c r="I2431" s="9">
        <v>0</v>
      </c>
      <c r="J2431" s="7" t="s">
        <v>325</v>
      </c>
    </row>
    <row r="2432" spans="1:10" x14ac:dyDescent="0.35">
      <c r="A2432" s="7" t="s">
        <v>35</v>
      </c>
      <c r="B2432" s="7" t="s">
        <v>47</v>
      </c>
      <c r="C2432" s="7" t="s">
        <v>72</v>
      </c>
      <c r="D2432" s="9">
        <v>0.66</v>
      </c>
      <c r="E2432" s="9">
        <v>0</v>
      </c>
      <c r="F2432" s="9">
        <v>0</v>
      </c>
      <c r="G2432" s="9">
        <v>136.47</v>
      </c>
      <c r="H2432" s="9">
        <v>0.45</v>
      </c>
      <c r="I2432" s="9">
        <v>0</v>
      </c>
      <c r="J2432" s="7" t="s">
        <v>325</v>
      </c>
    </row>
    <row r="2433" spans="1:10" x14ac:dyDescent="0.35">
      <c r="A2433" s="7" t="s">
        <v>35</v>
      </c>
      <c r="B2433" s="7" t="s">
        <v>47</v>
      </c>
      <c r="C2433" s="7" t="s">
        <v>150</v>
      </c>
      <c r="D2433" s="9">
        <v>0</v>
      </c>
      <c r="E2433" s="9">
        <v>0.01</v>
      </c>
      <c r="F2433" s="9">
        <v>0</v>
      </c>
      <c r="G2433" s="9">
        <v>0</v>
      </c>
      <c r="H2433" s="9">
        <v>0.71</v>
      </c>
      <c r="I2433" s="9">
        <v>0</v>
      </c>
      <c r="J2433" s="7" t="s">
        <v>325</v>
      </c>
    </row>
    <row r="2434" spans="1:10" x14ac:dyDescent="0.35">
      <c r="A2434" s="7" t="s">
        <v>35</v>
      </c>
      <c r="B2434" s="7" t="s">
        <v>47</v>
      </c>
      <c r="C2434" s="7" t="s">
        <v>179</v>
      </c>
      <c r="D2434" s="9">
        <v>0</v>
      </c>
      <c r="E2434" s="9">
        <v>0</v>
      </c>
      <c r="F2434" s="9">
        <v>0</v>
      </c>
      <c r="G2434" s="9">
        <v>0.45</v>
      </c>
      <c r="H2434" s="9">
        <v>0</v>
      </c>
      <c r="I2434" s="9">
        <v>0</v>
      </c>
      <c r="J2434" s="7" t="s">
        <v>325</v>
      </c>
    </row>
    <row r="2435" spans="1:10" x14ac:dyDescent="0.35">
      <c r="A2435" s="7" t="s">
        <v>35</v>
      </c>
      <c r="B2435" s="7" t="s">
        <v>47</v>
      </c>
      <c r="C2435" s="7" t="s">
        <v>84</v>
      </c>
      <c r="D2435" s="9">
        <v>0</v>
      </c>
      <c r="E2435" s="9">
        <v>0.03</v>
      </c>
      <c r="F2435" s="9">
        <v>0</v>
      </c>
      <c r="G2435" s="9">
        <v>0</v>
      </c>
      <c r="H2435" s="9">
        <v>2.7</v>
      </c>
      <c r="I2435" s="9">
        <v>0</v>
      </c>
      <c r="J2435" s="7" t="s">
        <v>325</v>
      </c>
    </row>
    <row r="2436" spans="1:10" x14ac:dyDescent="0.35">
      <c r="A2436" s="7" t="s">
        <v>35</v>
      </c>
      <c r="B2436" s="7" t="s">
        <v>47</v>
      </c>
      <c r="C2436" s="7" t="s">
        <v>114</v>
      </c>
      <c r="D2436" s="9">
        <v>0</v>
      </c>
      <c r="E2436" s="9">
        <v>0</v>
      </c>
      <c r="F2436" s="9">
        <v>0</v>
      </c>
      <c r="G2436" s="9">
        <v>0.1</v>
      </c>
      <c r="H2436" s="9">
        <v>0</v>
      </c>
      <c r="I2436" s="9">
        <v>0</v>
      </c>
      <c r="J2436" s="7" t="s">
        <v>325</v>
      </c>
    </row>
    <row r="2437" spans="1:10" x14ac:dyDescent="0.35">
      <c r="A2437" s="7" t="s">
        <v>35</v>
      </c>
      <c r="B2437" s="7" t="s">
        <v>47</v>
      </c>
      <c r="C2437" s="7" t="s">
        <v>60</v>
      </c>
      <c r="D2437" s="9">
        <v>4.01</v>
      </c>
      <c r="E2437" s="9">
        <v>0.51</v>
      </c>
      <c r="F2437" s="9">
        <v>0</v>
      </c>
      <c r="G2437" s="9">
        <v>844.05</v>
      </c>
      <c r="H2437" s="9">
        <v>161.88999999999999</v>
      </c>
      <c r="I2437" s="9">
        <v>0</v>
      </c>
      <c r="J2437" s="7" t="s">
        <v>325</v>
      </c>
    </row>
    <row r="2438" spans="1:10" x14ac:dyDescent="0.35">
      <c r="A2438" s="7" t="s">
        <v>35</v>
      </c>
      <c r="B2438" s="7" t="s">
        <v>201</v>
      </c>
      <c r="C2438" s="7" t="s">
        <v>42</v>
      </c>
      <c r="D2438" s="9">
        <v>0</v>
      </c>
      <c r="E2438" s="9">
        <v>0.01</v>
      </c>
      <c r="F2438" s="9">
        <v>0</v>
      </c>
      <c r="G2438" s="9">
        <v>0</v>
      </c>
      <c r="H2438" s="9">
        <v>3.11</v>
      </c>
      <c r="I2438" s="9">
        <v>0</v>
      </c>
      <c r="J2438" s="7" t="s">
        <v>325</v>
      </c>
    </row>
    <row r="2439" spans="1:10" x14ac:dyDescent="0.35">
      <c r="A2439" s="7" t="s">
        <v>23</v>
      </c>
      <c r="B2439" s="7" t="s">
        <v>278</v>
      </c>
      <c r="C2439" s="7" t="s">
        <v>118</v>
      </c>
      <c r="D2439" s="9">
        <v>1.05</v>
      </c>
      <c r="E2439" s="9">
        <v>0</v>
      </c>
      <c r="F2439" s="9">
        <v>0</v>
      </c>
      <c r="G2439" s="9">
        <v>688.2</v>
      </c>
      <c r="H2439" s="9">
        <v>0</v>
      </c>
      <c r="I2439" s="9">
        <v>0</v>
      </c>
      <c r="J2439" s="7" t="s">
        <v>325</v>
      </c>
    </row>
    <row r="2440" spans="1:10" x14ac:dyDescent="0.35">
      <c r="A2440" s="7" t="s">
        <v>35</v>
      </c>
      <c r="B2440" s="7" t="s">
        <v>201</v>
      </c>
      <c r="C2440" s="7" t="s">
        <v>170</v>
      </c>
      <c r="D2440" s="9">
        <v>0.08</v>
      </c>
      <c r="E2440" s="9">
        <v>0</v>
      </c>
      <c r="F2440" s="9">
        <v>0</v>
      </c>
      <c r="G2440" s="9">
        <v>18</v>
      </c>
      <c r="H2440" s="9">
        <v>0</v>
      </c>
      <c r="I2440" s="9">
        <v>0</v>
      </c>
      <c r="J2440" s="7" t="s">
        <v>325</v>
      </c>
    </row>
    <row r="2441" spans="1:10" x14ac:dyDescent="0.35">
      <c r="A2441" s="7" t="s">
        <v>23</v>
      </c>
      <c r="B2441" s="7" t="s">
        <v>148</v>
      </c>
      <c r="C2441" s="7" t="s">
        <v>125</v>
      </c>
      <c r="D2441" s="9">
        <v>0</v>
      </c>
      <c r="E2441" s="9">
        <v>0.04</v>
      </c>
      <c r="F2441" s="9">
        <v>0</v>
      </c>
      <c r="G2441" s="9">
        <v>0</v>
      </c>
      <c r="H2441" s="9">
        <v>28</v>
      </c>
      <c r="I2441" s="9">
        <v>0</v>
      </c>
      <c r="J2441" s="7" t="s">
        <v>325</v>
      </c>
    </row>
    <row r="2442" spans="1:10" x14ac:dyDescent="0.35">
      <c r="A2442" s="7" t="s">
        <v>23</v>
      </c>
      <c r="B2442" s="7" t="s">
        <v>148</v>
      </c>
      <c r="C2442" s="7" t="s">
        <v>18</v>
      </c>
      <c r="D2442" s="9">
        <v>0.16</v>
      </c>
      <c r="E2442" s="9">
        <v>0</v>
      </c>
      <c r="F2442" s="9">
        <v>0</v>
      </c>
      <c r="G2442" s="9">
        <v>81.069999999999993</v>
      </c>
      <c r="H2442" s="9">
        <v>0</v>
      </c>
      <c r="I2442" s="9">
        <v>0</v>
      </c>
      <c r="J2442" s="7" t="s">
        <v>325</v>
      </c>
    </row>
    <row r="2443" spans="1:10" x14ac:dyDescent="0.35">
      <c r="A2443" s="7" t="s">
        <v>35</v>
      </c>
      <c r="B2443" s="7" t="s">
        <v>201</v>
      </c>
      <c r="C2443" s="7" t="s">
        <v>118</v>
      </c>
      <c r="D2443" s="9">
        <v>0.08</v>
      </c>
      <c r="E2443" s="9">
        <v>0.04</v>
      </c>
      <c r="F2443" s="9">
        <v>0</v>
      </c>
      <c r="G2443" s="9">
        <v>21.25</v>
      </c>
      <c r="H2443" s="9">
        <v>8.5</v>
      </c>
      <c r="I2443" s="9">
        <v>0</v>
      </c>
      <c r="J2443" s="7" t="s">
        <v>325</v>
      </c>
    </row>
    <row r="2444" spans="1:10" x14ac:dyDescent="0.35">
      <c r="A2444" s="7" t="s">
        <v>23</v>
      </c>
      <c r="B2444" s="7" t="s">
        <v>148</v>
      </c>
      <c r="C2444" s="7" t="s">
        <v>48</v>
      </c>
      <c r="D2444" s="9">
        <v>0.08</v>
      </c>
      <c r="E2444" s="9">
        <v>0.06</v>
      </c>
      <c r="F2444" s="9">
        <v>0</v>
      </c>
      <c r="G2444" s="9">
        <v>74.34</v>
      </c>
      <c r="H2444" s="9">
        <v>61.88</v>
      </c>
      <c r="I2444" s="9">
        <v>0</v>
      </c>
      <c r="J2444" s="7" t="s">
        <v>325</v>
      </c>
    </row>
    <row r="2445" spans="1:10" x14ac:dyDescent="0.35">
      <c r="A2445" s="7" t="s">
        <v>23</v>
      </c>
      <c r="B2445" s="7" t="s">
        <v>148</v>
      </c>
      <c r="C2445" s="7" t="s">
        <v>59</v>
      </c>
      <c r="D2445" s="9">
        <v>0</v>
      </c>
      <c r="E2445" s="9">
        <v>0</v>
      </c>
      <c r="F2445" s="9">
        <v>0</v>
      </c>
      <c r="G2445" s="9">
        <v>0</v>
      </c>
      <c r="H2445" s="9">
        <v>0.2</v>
      </c>
      <c r="I2445" s="9">
        <v>0</v>
      </c>
      <c r="J2445" s="7" t="s">
        <v>325</v>
      </c>
    </row>
    <row r="2446" spans="1:10" x14ac:dyDescent="0.35">
      <c r="A2446" s="7" t="s">
        <v>35</v>
      </c>
      <c r="B2446" s="7" t="s">
        <v>201</v>
      </c>
      <c r="C2446" s="7" t="s">
        <v>53</v>
      </c>
      <c r="D2446" s="9">
        <v>0.06</v>
      </c>
      <c r="E2446" s="9">
        <v>0.02</v>
      </c>
      <c r="F2446" s="9">
        <v>0</v>
      </c>
      <c r="G2446" s="9">
        <v>51.6</v>
      </c>
      <c r="H2446" s="9">
        <v>13.15</v>
      </c>
      <c r="I2446" s="9">
        <v>0</v>
      </c>
      <c r="J2446" s="7" t="s">
        <v>325</v>
      </c>
    </row>
    <row r="2447" spans="1:10" x14ac:dyDescent="0.35">
      <c r="A2447" s="7" t="s">
        <v>23</v>
      </c>
      <c r="B2447" s="7" t="s">
        <v>148</v>
      </c>
      <c r="C2447" s="7" t="s">
        <v>65</v>
      </c>
      <c r="D2447" s="9">
        <v>0</v>
      </c>
      <c r="E2447" s="9">
        <v>0</v>
      </c>
      <c r="F2447" s="9">
        <v>0</v>
      </c>
      <c r="G2447" s="9">
        <v>1.82</v>
      </c>
      <c r="H2447" s="9">
        <v>0</v>
      </c>
      <c r="I2447" s="9">
        <v>0</v>
      </c>
      <c r="J2447" s="7" t="s">
        <v>325</v>
      </c>
    </row>
    <row r="2448" spans="1:10" x14ac:dyDescent="0.35">
      <c r="A2448" s="7" t="s">
        <v>23</v>
      </c>
      <c r="B2448" s="7" t="s">
        <v>148</v>
      </c>
      <c r="C2448" s="7" t="s">
        <v>39</v>
      </c>
      <c r="D2448" s="9">
        <v>0.01</v>
      </c>
      <c r="E2448" s="9">
        <v>0</v>
      </c>
      <c r="F2448" s="9">
        <v>0</v>
      </c>
      <c r="G2448" s="9">
        <v>1.25</v>
      </c>
      <c r="H2448" s="9">
        <v>0</v>
      </c>
      <c r="I2448" s="9">
        <v>0</v>
      </c>
      <c r="J2448" s="7" t="s">
        <v>325</v>
      </c>
    </row>
    <row r="2449" spans="1:10" x14ac:dyDescent="0.35">
      <c r="A2449" s="7" t="s">
        <v>35</v>
      </c>
      <c r="B2449" s="7" t="s">
        <v>201</v>
      </c>
      <c r="C2449" s="7" t="s">
        <v>60</v>
      </c>
      <c r="D2449" s="9">
        <v>0.04</v>
      </c>
      <c r="E2449" s="9">
        <v>0</v>
      </c>
      <c r="F2449" s="9">
        <v>0</v>
      </c>
      <c r="G2449" s="9">
        <v>14.36</v>
      </c>
      <c r="H2449" s="9">
        <v>0</v>
      </c>
      <c r="I2449" s="9">
        <v>0</v>
      </c>
      <c r="J2449" s="7" t="s">
        <v>325</v>
      </c>
    </row>
    <row r="2450" spans="1:10" x14ac:dyDescent="0.35">
      <c r="A2450" s="7" t="s">
        <v>23</v>
      </c>
      <c r="B2450" s="7" t="s">
        <v>148</v>
      </c>
      <c r="C2450" s="7" t="s">
        <v>27</v>
      </c>
      <c r="D2450" s="9">
        <v>0.27</v>
      </c>
      <c r="E2450" s="9">
        <v>0</v>
      </c>
      <c r="F2450" s="9">
        <v>0</v>
      </c>
      <c r="G2450" s="9">
        <v>276.24</v>
      </c>
      <c r="H2450" s="9">
        <v>0</v>
      </c>
      <c r="I2450" s="9">
        <v>0</v>
      </c>
      <c r="J2450" s="7" t="s">
        <v>325</v>
      </c>
    </row>
    <row r="2451" spans="1:10" x14ac:dyDescent="0.35">
      <c r="A2451" s="7" t="s">
        <v>23</v>
      </c>
      <c r="B2451" s="7" t="s">
        <v>148</v>
      </c>
      <c r="C2451" s="7" t="s">
        <v>126</v>
      </c>
      <c r="D2451" s="9">
        <v>0</v>
      </c>
      <c r="E2451" s="9">
        <v>0</v>
      </c>
      <c r="F2451" s="9">
        <v>0</v>
      </c>
      <c r="G2451" s="9">
        <v>0.01</v>
      </c>
      <c r="H2451" s="9">
        <v>0</v>
      </c>
      <c r="I2451" s="9">
        <v>0</v>
      </c>
      <c r="J2451" s="7" t="s">
        <v>325</v>
      </c>
    </row>
    <row r="2452" spans="1:10" x14ac:dyDescent="0.35">
      <c r="A2452" s="7" t="s">
        <v>23</v>
      </c>
      <c r="B2452" s="7" t="s">
        <v>148</v>
      </c>
      <c r="C2452" s="7" t="s">
        <v>45</v>
      </c>
      <c r="D2452" s="9">
        <v>0.02</v>
      </c>
      <c r="E2452" s="9">
        <v>0</v>
      </c>
      <c r="F2452" s="9">
        <v>0</v>
      </c>
      <c r="G2452" s="9">
        <v>7.18</v>
      </c>
      <c r="H2452" s="9">
        <v>1.1000000000000001</v>
      </c>
      <c r="I2452" s="9">
        <v>0</v>
      </c>
      <c r="J2452" s="7" t="s">
        <v>325</v>
      </c>
    </row>
    <row r="2453" spans="1:10" x14ac:dyDescent="0.35">
      <c r="A2453" s="7" t="s">
        <v>23</v>
      </c>
      <c r="B2453" s="7" t="s">
        <v>148</v>
      </c>
      <c r="C2453" s="7" t="s">
        <v>54</v>
      </c>
      <c r="D2453" s="9">
        <v>0.02</v>
      </c>
      <c r="E2453" s="9">
        <v>0.03</v>
      </c>
      <c r="F2453" s="9">
        <v>0</v>
      </c>
      <c r="G2453" s="9">
        <v>21</v>
      </c>
      <c r="H2453" s="9">
        <v>24.19</v>
      </c>
      <c r="I2453" s="9">
        <v>0</v>
      </c>
      <c r="J2453" s="7" t="s">
        <v>325</v>
      </c>
    </row>
    <row r="2454" spans="1:10" x14ac:dyDescent="0.35">
      <c r="A2454" s="7" t="s">
        <v>35</v>
      </c>
      <c r="B2454" s="7" t="s">
        <v>279</v>
      </c>
      <c r="C2454" s="7" t="s">
        <v>18</v>
      </c>
      <c r="D2454" s="9">
        <v>0</v>
      </c>
      <c r="E2454" s="9">
        <v>0.06</v>
      </c>
      <c r="F2454" s="9">
        <v>0</v>
      </c>
      <c r="G2454" s="9">
        <v>0</v>
      </c>
      <c r="H2454" s="9">
        <v>42</v>
      </c>
      <c r="I2454" s="9">
        <v>0</v>
      </c>
      <c r="J2454" s="7" t="s">
        <v>325</v>
      </c>
    </row>
    <row r="2455" spans="1:10" x14ac:dyDescent="0.35">
      <c r="A2455" s="7" t="s">
        <v>35</v>
      </c>
      <c r="B2455" s="7" t="s">
        <v>96</v>
      </c>
      <c r="C2455" s="7" t="s">
        <v>33</v>
      </c>
      <c r="D2455" s="9">
        <v>0</v>
      </c>
      <c r="E2455" s="9">
        <v>0</v>
      </c>
      <c r="F2455" s="9">
        <v>0</v>
      </c>
      <c r="G2455" s="9">
        <v>0</v>
      </c>
      <c r="H2455" s="9">
        <v>0.21</v>
      </c>
      <c r="I2455" s="9">
        <v>0</v>
      </c>
      <c r="J2455" s="7" t="s">
        <v>325</v>
      </c>
    </row>
    <row r="2456" spans="1:10" x14ac:dyDescent="0.35">
      <c r="A2456" s="7" t="s">
        <v>23</v>
      </c>
      <c r="B2456" s="7" t="s">
        <v>148</v>
      </c>
      <c r="C2456" s="7" t="s">
        <v>93</v>
      </c>
      <c r="D2456" s="9">
        <v>0</v>
      </c>
      <c r="E2456" s="9">
        <v>0.03</v>
      </c>
      <c r="F2456" s="9">
        <v>0</v>
      </c>
      <c r="G2456" s="9">
        <v>0</v>
      </c>
      <c r="H2456" s="9">
        <v>5</v>
      </c>
      <c r="I2456" s="9">
        <v>0</v>
      </c>
      <c r="J2456" s="7" t="s">
        <v>325</v>
      </c>
    </row>
    <row r="2457" spans="1:10" x14ac:dyDescent="0.35">
      <c r="A2457" s="7" t="s">
        <v>35</v>
      </c>
      <c r="B2457" s="7" t="s">
        <v>96</v>
      </c>
      <c r="C2457" s="7" t="s">
        <v>42</v>
      </c>
      <c r="D2457" s="9">
        <v>0</v>
      </c>
      <c r="E2457" s="9">
        <v>0</v>
      </c>
      <c r="F2457" s="9">
        <v>0</v>
      </c>
      <c r="G2457" s="9">
        <v>0.5</v>
      </c>
      <c r="H2457" s="9">
        <v>2.23</v>
      </c>
      <c r="I2457" s="9">
        <v>0</v>
      </c>
      <c r="J2457" s="7" t="s">
        <v>325</v>
      </c>
    </row>
    <row r="2458" spans="1:10" x14ac:dyDescent="0.35">
      <c r="A2458" s="7" t="s">
        <v>23</v>
      </c>
      <c r="B2458" s="7" t="s">
        <v>30</v>
      </c>
      <c r="C2458" s="7" t="s">
        <v>125</v>
      </c>
      <c r="D2458" s="9">
        <v>0.78</v>
      </c>
      <c r="E2458" s="9">
        <v>0</v>
      </c>
      <c r="F2458" s="9">
        <v>0</v>
      </c>
      <c r="G2458" s="9">
        <v>409.32</v>
      </c>
      <c r="H2458" s="9">
        <v>0</v>
      </c>
      <c r="I2458" s="9">
        <v>0</v>
      </c>
      <c r="J2458" s="7" t="s">
        <v>325</v>
      </c>
    </row>
    <row r="2459" spans="1:10" x14ac:dyDescent="0.35">
      <c r="A2459" s="7" t="s">
        <v>35</v>
      </c>
      <c r="B2459" s="7" t="s">
        <v>96</v>
      </c>
      <c r="C2459" s="7" t="s">
        <v>54</v>
      </c>
      <c r="D2459" s="9">
        <v>0</v>
      </c>
      <c r="E2459" s="9">
        <v>0</v>
      </c>
      <c r="F2459" s="9">
        <v>0</v>
      </c>
      <c r="G2459" s="9">
        <v>0</v>
      </c>
      <c r="H2459" s="9">
        <v>0.49</v>
      </c>
      <c r="I2459" s="9">
        <v>0</v>
      </c>
      <c r="J2459" s="7" t="s">
        <v>325</v>
      </c>
    </row>
    <row r="2460" spans="1:10" x14ac:dyDescent="0.35">
      <c r="A2460" s="7" t="s">
        <v>35</v>
      </c>
      <c r="B2460" s="7" t="s">
        <v>96</v>
      </c>
      <c r="C2460" s="7" t="s">
        <v>45</v>
      </c>
      <c r="D2460" s="9">
        <v>0</v>
      </c>
      <c r="E2460" s="9">
        <v>0</v>
      </c>
      <c r="F2460" s="9">
        <v>0</v>
      </c>
      <c r="G2460" s="9">
        <v>0.25</v>
      </c>
      <c r="H2460" s="9">
        <v>0</v>
      </c>
      <c r="I2460" s="9">
        <v>0</v>
      </c>
      <c r="J2460" s="7" t="s">
        <v>325</v>
      </c>
    </row>
    <row r="2461" spans="1:10" x14ac:dyDescent="0.35">
      <c r="A2461" s="7" t="s">
        <v>35</v>
      </c>
      <c r="B2461" s="7" t="s">
        <v>96</v>
      </c>
      <c r="C2461" s="7" t="s">
        <v>39</v>
      </c>
      <c r="D2461" s="9">
        <v>0</v>
      </c>
      <c r="E2461" s="9">
        <v>0.1</v>
      </c>
      <c r="F2461" s="9">
        <v>0</v>
      </c>
      <c r="G2461" s="9">
        <v>0</v>
      </c>
      <c r="H2461" s="9">
        <v>29.64</v>
      </c>
      <c r="I2461" s="9">
        <v>0</v>
      </c>
      <c r="J2461" s="7" t="s">
        <v>325</v>
      </c>
    </row>
    <row r="2462" spans="1:10" x14ac:dyDescent="0.35">
      <c r="A2462" s="7" t="s">
        <v>35</v>
      </c>
      <c r="B2462" s="7" t="s">
        <v>96</v>
      </c>
      <c r="C2462" s="7" t="s">
        <v>53</v>
      </c>
      <c r="D2462" s="9">
        <v>0</v>
      </c>
      <c r="E2462" s="9">
        <v>0</v>
      </c>
      <c r="F2462" s="9">
        <v>0</v>
      </c>
      <c r="G2462" s="9">
        <v>0</v>
      </c>
      <c r="H2462" s="9">
        <v>0.05</v>
      </c>
      <c r="I2462" s="9">
        <v>0</v>
      </c>
      <c r="J2462" s="7" t="s">
        <v>325</v>
      </c>
    </row>
    <row r="2463" spans="1:10" x14ac:dyDescent="0.35">
      <c r="A2463" s="7" t="s">
        <v>23</v>
      </c>
      <c r="B2463" s="7" t="s">
        <v>30</v>
      </c>
      <c r="C2463" s="7" t="s">
        <v>179</v>
      </c>
      <c r="D2463" s="9">
        <v>0</v>
      </c>
      <c r="E2463" s="9">
        <v>0</v>
      </c>
      <c r="F2463" s="9">
        <v>0</v>
      </c>
      <c r="G2463" s="9">
        <v>0.01</v>
      </c>
      <c r="H2463" s="9">
        <v>0</v>
      </c>
      <c r="I2463" s="9">
        <v>0</v>
      </c>
      <c r="J2463" s="7" t="s">
        <v>325</v>
      </c>
    </row>
    <row r="2464" spans="1:10" x14ac:dyDescent="0.35">
      <c r="A2464" s="7" t="s">
        <v>35</v>
      </c>
      <c r="B2464" s="7" t="s">
        <v>96</v>
      </c>
      <c r="C2464" s="7" t="s">
        <v>72</v>
      </c>
      <c r="D2464" s="9">
        <v>0</v>
      </c>
      <c r="E2464" s="9">
        <v>0</v>
      </c>
      <c r="F2464" s="9">
        <v>0</v>
      </c>
      <c r="G2464" s="9">
        <v>0</v>
      </c>
      <c r="H2464" s="9">
        <v>0.06</v>
      </c>
      <c r="I2464" s="9">
        <v>0</v>
      </c>
      <c r="J2464" s="7" t="s">
        <v>325</v>
      </c>
    </row>
    <row r="2465" spans="1:10" x14ac:dyDescent="0.35">
      <c r="A2465" s="7" t="s">
        <v>35</v>
      </c>
      <c r="B2465" s="7" t="s">
        <v>96</v>
      </c>
      <c r="C2465" s="7" t="s">
        <v>48</v>
      </c>
      <c r="D2465" s="9">
        <v>0</v>
      </c>
      <c r="E2465" s="9">
        <v>0.03</v>
      </c>
      <c r="F2465" s="9">
        <v>0</v>
      </c>
      <c r="G2465" s="9">
        <v>0</v>
      </c>
      <c r="H2465" s="9">
        <v>14.21</v>
      </c>
      <c r="I2465" s="9">
        <v>0</v>
      </c>
      <c r="J2465" s="7" t="s">
        <v>325</v>
      </c>
    </row>
    <row r="2466" spans="1:10" x14ac:dyDescent="0.35">
      <c r="A2466" s="7" t="s">
        <v>16</v>
      </c>
      <c r="B2466" s="7" t="s">
        <v>105</v>
      </c>
      <c r="C2466" s="7" t="s">
        <v>181</v>
      </c>
      <c r="D2466" s="9">
        <v>0</v>
      </c>
      <c r="E2466" s="9">
        <v>0.13</v>
      </c>
      <c r="F2466" s="9">
        <v>0</v>
      </c>
      <c r="G2466" s="9">
        <v>0</v>
      </c>
      <c r="H2466" s="9">
        <v>54</v>
      </c>
      <c r="I2466" s="9">
        <v>0</v>
      </c>
      <c r="J2466" s="7" t="s">
        <v>325</v>
      </c>
    </row>
    <row r="2467" spans="1:10" x14ac:dyDescent="0.35">
      <c r="A2467" s="7" t="s">
        <v>23</v>
      </c>
      <c r="B2467" s="7" t="s">
        <v>30</v>
      </c>
      <c r="C2467" s="7" t="s">
        <v>122</v>
      </c>
      <c r="D2467" s="9">
        <v>0</v>
      </c>
      <c r="E2467" s="9">
        <v>0</v>
      </c>
      <c r="F2467" s="9">
        <v>0</v>
      </c>
      <c r="G2467" s="9">
        <v>0.72</v>
      </c>
      <c r="H2467" s="9">
        <v>0.52</v>
      </c>
      <c r="I2467" s="9">
        <v>0</v>
      </c>
      <c r="J2467" s="7" t="s">
        <v>325</v>
      </c>
    </row>
    <row r="2468" spans="1:10" x14ac:dyDescent="0.35">
      <c r="A2468" s="7" t="s">
        <v>16</v>
      </c>
      <c r="B2468" s="7" t="s">
        <v>105</v>
      </c>
      <c r="C2468" s="7" t="s">
        <v>42</v>
      </c>
      <c r="D2468" s="9">
        <v>0</v>
      </c>
      <c r="E2468" s="9">
        <v>0</v>
      </c>
      <c r="F2468" s="9">
        <v>0</v>
      </c>
      <c r="G2468" s="9">
        <v>0.2</v>
      </c>
      <c r="H2468" s="9">
        <v>0</v>
      </c>
      <c r="I2468" s="9">
        <v>0</v>
      </c>
      <c r="J2468" s="7" t="s">
        <v>325</v>
      </c>
    </row>
    <row r="2469" spans="1:10" x14ac:dyDescent="0.35">
      <c r="A2469" s="7" t="s">
        <v>16</v>
      </c>
      <c r="B2469" s="7" t="s">
        <v>105</v>
      </c>
      <c r="C2469" s="7" t="s">
        <v>54</v>
      </c>
      <c r="D2469" s="9">
        <v>0.03</v>
      </c>
      <c r="E2469" s="9">
        <v>0</v>
      </c>
      <c r="F2469" s="9">
        <v>0</v>
      </c>
      <c r="G2469" s="9">
        <v>1.52</v>
      </c>
      <c r="H2469" s="9">
        <v>0</v>
      </c>
      <c r="I2469" s="9">
        <v>0</v>
      </c>
      <c r="J2469" s="7" t="s">
        <v>325</v>
      </c>
    </row>
    <row r="2470" spans="1:10" x14ac:dyDescent="0.35">
      <c r="A2470" s="7" t="s">
        <v>16</v>
      </c>
      <c r="B2470" s="7" t="s">
        <v>105</v>
      </c>
      <c r="C2470" s="7" t="s">
        <v>65</v>
      </c>
      <c r="D2470" s="9">
        <v>0</v>
      </c>
      <c r="E2470" s="9">
        <v>0</v>
      </c>
      <c r="F2470" s="9">
        <v>0</v>
      </c>
      <c r="G2470" s="9">
        <v>0.06</v>
      </c>
      <c r="H2470" s="9">
        <v>0</v>
      </c>
      <c r="I2470" s="9">
        <v>0</v>
      </c>
      <c r="J2470" s="7" t="s">
        <v>325</v>
      </c>
    </row>
    <row r="2471" spans="1:10" x14ac:dyDescent="0.35">
      <c r="A2471" s="7" t="s">
        <v>23</v>
      </c>
      <c r="B2471" s="7" t="s">
        <v>30</v>
      </c>
      <c r="C2471" s="7" t="s">
        <v>46</v>
      </c>
      <c r="D2471" s="9">
        <v>0.09</v>
      </c>
      <c r="E2471" s="9">
        <v>0.05</v>
      </c>
      <c r="F2471" s="9">
        <v>0</v>
      </c>
      <c r="G2471" s="9">
        <v>28.8</v>
      </c>
      <c r="H2471" s="9">
        <v>20.45</v>
      </c>
      <c r="I2471" s="9">
        <v>0</v>
      </c>
      <c r="J2471" s="7" t="s">
        <v>325</v>
      </c>
    </row>
    <row r="2472" spans="1:10" x14ac:dyDescent="0.35">
      <c r="A2472" s="7" t="s">
        <v>16</v>
      </c>
      <c r="B2472" s="7" t="s">
        <v>105</v>
      </c>
      <c r="C2472" s="7" t="s">
        <v>60</v>
      </c>
      <c r="D2472" s="9">
        <v>0</v>
      </c>
      <c r="E2472" s="9">
        <v>0.34</v>
      </c>
      <c r="F2472" s="9">
        <v>0</v>
      </c>
      <c r="G2472" s="9">
        <v>0</v>
      </c>
      <c r="H2472" s="9">
        <v>13.79</v>
      </c>
      <c r="I2472" s="9">
        <v>0</v>
      </c>
      <c r="J2472" s="7" t="s">
        <v>325</v>
      </c>
    </row>
    <row r="2473" spans="1:10" x14ac:dyDescent="0.35">
      <c r="A2473" s="7" t="s">
        <v>16</v>
      </c>
      <c r="B2473" s="7" t="s">
        <v>140</v>
      </c>
      <c r="C2473" s="7" t="s">
        <v>181</v>
      </c>
      <c r="D2473" s="9">
        <v>0.13</v>
      </c>
      <c r="E2473" s="9">
        <v>0</v>
      </c>
      <c r="F2473" s="9">
        <v>0</v>
      </c>
      <c r="G2473" s="9">
        <v>180</v>
      </c>
      <c r="H2473" s="9">
        <v>0</v>
      </c>
      <c r="I2473" s="9">
        <v>0</v>
      </c>
      <c r="J2473" s="7" t="s">
        <v>325</v>
      </c>
    </row>
    <row r="2474" spans="1:10" x14ac:dyDescent="0.35">
      <c r="A2474" s="7" t="s">
        <v>16</v>
      </c>
      <c r="B2474" s="7" t="s">
        <v>140</v>
      </c>
      <c r="C2474" s="7" t="s">
        <v>170</v>
      </c>
      <c r="D2474" s="9">
        <v>3.46</v>
      </c>
      <c r="E2474" s="9">
        <v>0</v>
      </c>
      <c r="F2474" s="9">
        <v>0</v>
      </c>
      <c r="G2474" s="9">
        <v>899</v>
      </c>
      <c r="H2474" s="9">
        <v>0</v>
      </c>
      <c r="I2474" s="9">
        <v>0</v>
      </c>
      <c r="J2474" s="7" t="s">
        <v>325</v>
      </c>
    </row>
    <row r="2475" spans="1:10" x14ac:dyDescent="0.35">
      <c r="A2475" s="7" t="s">
        <v>16</v>
      </c>
      <c r="B2475" s="7" t="s">
        <v>140</v>
      </c>
      <c r="C2475" s="7" t="s">
        <v>45</v>
      </c>
      <c r="D2475" s="9">
        <v>1.06</v>
      </c>
      <c r="E2475" s="9">
        <v>0.01</v>
      </c>
      <c r="F2475" s="9">
        <v>0</v>
      </c>
      <c r="G2475" s="8">
        <v>2448.5100000000002</v>
      </c>
      <c r="H2475" s="9">
        <v>24.42</v>
      </c>
      <c r="I2475" s="9">
        <v>0</v>
      </c>
      <c r="J2475" s="7" t="s">
        <v>325</v>
      </c>
    </row>
    <row r="2476" spans="1:10" x14ac:dyDescent="0.35">
      <c r="A2476" s="7" t="s">
        <v>23</v>
      </c>
      <c r="B2476" s="7" t="s">
        <v>30</v>
      </c>
      <c r="C2476" s="7" t="s">
        <v>126</v>
      </c>
      <c r="D2476" s="9">
        <v>0.01</v>
      </c>
      <c r="E2476" s="9">
        <v>0</v>
      </c>
      <c r="F2476" s="9">
        <v>0</v>
      </c>
      <c r="G2476" s="9">
        <v>2.63</v>
      </c>
      <c r="H2476" s="9">
        <v>0</v>
      </c>
      <c r="I2476" s="9">
        <v>0</v>
      </c>
      <c r="J2476" s="7" t="s">
        <v>325</v>
      </c>
    </row>
    <row r="2477" spans="1:10" x14ac:dyDescent="0.35">
      <c r="A2477" s="7" t="s">
        <v>16</v>
      </c>
      <c r="B2477" s="7" t="s">
        <v>140</v>
      </c>
      <c r="C2477" s="7" t="s">
        <v>144</v>
      </c>
      <c r="D2477" s="9">
        <v>0</v>
      </c>
      <c r="E2477" s="9">
        <v>0</v>
      </c>
      <c r="F2477" s="9">
        <v>0</v>
      </c>
      <c r="G2477" s="9">
        <v>0.03</v>
      </c>
      <c r="H2477" s="9">
        <v>0</v>
      </c>
      <c r="I2477" s="9">
        <v>0</v>
      </c>
      <c r="J2477" s="7" t="s">
        <v>325</v>
      </c>
    </row>
    <row r="2478" spans="1:10" x14ac:dyDescent="0.35">
      <c r="A2478" s="7" t="s">
        <v>23</v>
      </c>
      <c r="B2478" s="7" t="s">
        <v>30</v>
      </c>
      <c r="C2478" s="7" t="s">
        <v>102</v>
      </c>
      <c r="D2478" s="9">
        <v>0.03</v>
      </c>
      <c r="E2478" s="9">
        <v>0</v>
      </c>
      <c r="F2478" s="9">
        <v>0</v>
      </c>
      <c r="G2478" s="9">
        <v>71.8</v>
      </c>
      <c r="H2478" s="9">
        <v>0</v>
      </c>
      <c r="I2478" s="9">
        <v>0</v>
      </c>
      <c r="J2478" s="7" t="s">
        <v>325</v>
      </c>
    </row>
    <row r="2479" spans="1:10" x14ac:dyDescent="0.35">
      <c r="A2479" s="7" t="s">
        <v>23</v>
      </c>
      <c r="B2479" s="7" t="s">
        <v>30</v>
      </c>
      <c r="C2479" s="7" t="s">
        <v>170</v>
      </c>
      <c r="D2479" s="9">
        <v>0</v>
      </c>
      <c r="E2479" s="9">
        <v>0</v>
      </c>
      <c r="F2479" s="9">
        <v>0</v>
      </c>
      <c r="G2479" s="9">
        <v>0.09</v>
      </c>
      <c r="H2479" s="9">
        <v>0.01</v>
      </c>
      <c r="I2479" s="9">
        <v>0</v>
      </c>
      <c r="J2479" s="7" t="s">
        <v>325</v>
      </c>
    </row>
    <row r="2480" spans="1:10" x14ac:dyDescent="0.35">
      <c r="A2480" s="7" t="s">
        <v>23</v>
      </c>
      <c r="B2480" s="7" t="s">
        <v>30</v>
      </c>
      <c r="C2480" s="7" t="s">
        <v>128</v>
      </c>
      <c r="D2480" s="9">
        <v>0</v>
      </c>
      <c r="E2480" s="9">
        <v>0</v>
      </c>
      <c r="F2480" s="9">
        <v>0</v>
      </c>
      <c r="G2480" s="9">
        <v>0.2</v>
      </c>
      <c r="H2480" s="9">
        <v>0</v>
      </c>
      <c r="I2480" s="9">
        <v>0</v>
      </c>
      <c r="J2480" s="7" t="s">
        <v>325</v>
      </c>
    </row>
    <row r="2481" spans="1:10" x14ac:dyDescent="0.35">
      <c r="A2481" s="7" t="s">
        <v>16</v>
      </c>
      <c r="B2481" s="7" t="s">
        <v>140</v>
      </c>
      <c r="C2481" s="7" t="s">
        <v>53</v>
      </c>
      <c r="D2481" s="9">
        <v>0.09</v>
      </c>
      <c r="E2481" s="9">
        <v>0</v>
      </c>
      <c r="F2481" s="9">
        <v>0</v>
      </c>
      <c r="G2481" s="9">
        <v>66.3</v>
      </c>
      <c r="H2481" s="9">
        <v>0.45</v>
      </c>
      <c r="I2481" s="9">
        <v>0</v>
      </c>
      <c r="J2481" s="7" t="s">
        <v>325</v>
      </c>
    </row>
    <row r="2482" spans="1:10" x14ac:dyDescent="0.35">
      <c r="A2482" s="7" t="s">
        <v>16</v>
      </c>
      <c r="B2482" s="7" t="s">
        <v>280</v>
      </c>
      <c r="C2482" s="7" t="s">
        <v>39</v>
      </c>
      <c r="D2482" s="9">
        <v>0</v>
      </c>
      <c r="E2482" s="9">
        <v>0</v>
      </c>
      <c r="F2482" s="9">
        <v>0</v>
      </c>
      <c r="G2482" s="9">
        <v>0.01</v>
      </c>
      <c r="H2482" s="9">
        <v>0</v>
      </c>
      <c r="I2482" s="9">
        <v>0</v>
      </c>
      <c r="J2482" s="7" t="s">
        <v>325</v>
      </c>
    </row>
    <row r="2483" spans="1:10" x14ac:dyDescent="0.35">
      <c r="A2483" s="7" t="s">
        <v>23</v>
      </c>
      <c r="B2483" s="7" t="s">
        <v>30</v>
      </c>
      <c r="C2483" s="7" t="s">
        <v>181</v>
      </c>
      <c r="D2483" s="9">
        <v>0</v>
      </c>
      <c r="E2483" s="9">
        <v>0</v>
      </c>
      <c r="F2483" s="9">
        <v>0</v>
      </c>
      <c r="G2483" s="9">
        <v>0.24</v>
      </c>
      <c r="H2483" s="9">
        <v>0</v>
      </c>
      <c r="I2483" s="9">
        <v>0</v>
      </c>
      <c r="J2483" s="7" t="s">
        <v>325</v>
      </c>
    </row>
    <row r="2484" spans="1:10" x14ac:dyDescent="0.35">
      <c r="A2484" s="7" t="s">
        <v>16</v>
      </c>
      <c r="B2484" s="7" t="s">
        <v>280</v>
      </c>
      <c r="C2484" s="7" t="s">
        <v>60</v>
      </c>
      <c r="D2484" s="9">
        <v>0</v>
      </c>
      <c r="E2484" s="9">
        <v>0</v>
      </c>
      <c r="F2484" s="9">
        <v>0</v>
      </c>
      <c r="G2484" s="9">
        <v>0.54</v>
      </c>
      <c r="H2484" s="9">
        <v>0</v>
      </c>
      <c r="I2484" s="9">
        <v>0</v>
      </c>
      <c r="J2484" s="7" t="s">
        <v>325</v>
      </c>
    </row>
    <row r="2485" spans="1:10" x14ac:dyDescent="0.35">
      <c r="A2485" s="7" t="s">
        <v>16</v>
      </c>
      <c r="B2485" s="7" t="s">
        <v>172</v>
      </c>
      <c r="C2485" s="7" t="s">
        <v>55</v>
      </c>
      <c r="D2485" s="9">
        <v>0.14000000000000001</v>
      </c>
      <c r="E2485" s="9">
        <v>0</v>
      </c>
      <c r="F2485" s="9">
        <v>0</v>
      </c>
      <c r="G2485" s="9">
        <v>610</v>
      </c>
      <c r="H2485" s="9">
        <v>0</v>
      </c>
      <c r="I2485" s="9">
        <v>0</v>
      </c>
      <c r="J2485" s="7" t="s">
        <v>325</v>
      </c>
    </row>
    <row r="2486" spans="1:10" x14ac:dyDescent="0.35">
      <c r="A2486" s="7" t="s">
        <v>16</v>
      </c>
      <c r="B2486" s="7" t="s">
        <v>172</v>
      </c>
      <c r="C2486" s="7" t="s">
        <v>122</v>
      </c>
      <c r="D2486" s="9">
        <v>0</v>
      </c>
      <c r="E2486" s="9">
        <v>0</v>
      </c>
      <c r="F2486" s="9">
        <v>0</v>
      </c>
      <c r="G2486" s="9">
        <v>0</v>
      </c>
      <c r="H2486" s="9">
        <v>3</v>
      </c>
      <c r="I2486" s="9">
        <v>0</v>
      </c>
      <c r="J2486" s="7" t="s">
        <v>325</v>
      </c>
    </row>
    <row r="2487" spans="1:10" x14ac:dyDescent="0.35">
      <c r="A2487" s="7" t="s">
        <v>16</v>
      </c>
      <c r="B2487" s="7" t="s">
        <v>52</v>
      </c>
      <c r="C2487" s="7" t="s">
        <v>45</v>
      </c>
      <c r="D2487" s="9">
        <v>0</v>
      </c>
      <c r="E2487" s="9">
        <v>0</v>
      </c>
      <c r="F2487" s="9">
        <v>0</v>
      </c>
      <c r="G2487" s="9">
        <v>2</v>
      </c>
      <c r="H2487" s="9">
        <v>0</v>
      </c>
      <c r="I2487" s="9">
        <v>0</v>
      </c>
      <c r="J2487" s="7" t="s">
        <v>325</v>
      </c>
    </row>
    <row r="2488" spans="1:10" x14ac:dyDescent="0.35">
      <c r="A2488" s="7" t="s">
        <v>23</v>
      </c>
      <c r="B2488" s="7" t="s">
        <v>43</v>
      </c>
      <c r="C2488" s="7" t="s">
        <v>72</v>
      </c>
      <c r="D2488" s="9">
        <v>0</v>
      </c>
      <c r="E2488" s="9">
        <v>0.06</v>
      </c>
      <c r="F2488" s="9">
        <v>0</v>
      </c>
      <c r="G2488" s="9">
        <v>0</v>
      </c>
      <c r="H2488" s="9">
        <v>14.8</v>
      </c>
      <c r="I2488" s="9">
        <v>0</v>
      </c>
      <c r="J2488" s="7" t="s">
        <v>325</v>
      </c>
    </row>
    <row r="2489" spans="1:10" x14ac:dyDescent="0.35">
      <c r="A2489" s="7" t="s">
        <v>23</v>
      </c>
      <c r="B2489" s="7" t="s">
        <v>43</v>
      </c>
      <c r="C2489" s="7" t="s">
        <v>51</v>
      </c>
      <c r="D2489" s="9">
        <v>0</v>
      </c>
      <c r="E2489" s="9">
        <v>0.22</v>
      </c>
      <c r="F2489" s="9">
        <v>0</v>
      </c>
      <c r="G2489" s="9">
        <v>0</v>
      </c>
      <c r="H2489" s="9">
        <v>240</v>
      </c>
      <c r="I2489" s="9">
        <v>0</v>
      </c>
      <c r="J2489" s="7" t="s">
        <v>325</v>
      </c>
    </row>
    <row r="2490" spans="1:10" x14ac:dyDescent="0.35">
      <c r="A2490" s="7" t="s">
        <v>16</v>
      </c>
      <c r="B2490" s="7" t="s">
        <v>52</v>
      </c>
      <c r="C2490" s="7" t="s">
        <v>27</v>
      </c>
      <c r="D2490" s="9">
        <v>0.06</v>
      </c>
      <c r="E2490" s="9">
        <v>3.73</v>
      </c>
      <c r="F2490" s="9">
        <v>0</v>
      </c>
      <c r="G2490" s="9">
        <v>130.05000000000001</v>
      </c>
      <c r="H2490" s="8">
        <v>9820</v>
      </c>
      <c r="I2490" s="9">
        <v>0</v>
      </c>
      <c r="J2490" s="7" t="s">
        <v>325</v>
      </c>
    </row>
    <row r="2491" spans="1:10" x14ac:dyDescent="0.35">
      <c r="A2491" s="7" t="s">
        <v>16</v>
      </c>
      <c r="B2491" s="7" t="s">
        <v>52</v>
      </c>
      <c r="C2491" s="7" t="s">
        <v>118</v>
      </c>
      <c r="D2491" s="9">
        <v>0</v>
      </c>
      <c r="E2491" s="9">
        <v>0</v>
      </c>
      <c r="F2491" s="9">
        <v>0</v>
      </c>
      <c r="G2491" s="9">
        <v>1</v>
      </c>
      <c r="H2491" s="9">
        <v>0</v>
      </c>
      <c r="I2491" s="9">
        <v>0</v>
      </c>
      <c r="J2491" s="7" t="s">
        <v>325</v>
      </c>
    </row>
    <row r="2492" spans="1:10" x14ac:dyDescent="0.35">
      <c r="A2492" s="7" t="s">
        <v>23</v>
      </c>
      <c r="B2492" s="7" t="s">
        <v>43</v>
      </c>
      <c r="C2492" s="7" t="s">
        <v>118</v>
      </c>
      <c r="D2492" s="9">
        <v>0.04</v>
      </c>
      <c r="E2492" s="9">
        <v>0</v>
      </c>
      <c r="F2492" s="9">
        <v>0</v>
      </c>
      <c r="G2492" s="9">
        <v>18.66</v>
      </c>
      <c r="H2492" s="9">
        <v>0</v>
      </c>
      <c r="I2492" s="9">
        <v>0</v>
      </c>
      <c r="J2492" s="7" t="s">
        <v>325</v>
      </c>
    </row>
    <row r="2493" spans="1:10" x14ac:dyDescent="0.35">
      <c r="A2493" s="7" t="s">
        <v>23</v>
      </c>
      <c r="B2493" s="7" t="s">
        <v>43</v>
      </c>
      <c r="C2493" s="7" t="s">
        <v>27</v>
      </c>
      <c r="D2493" s="9">
        <v>0</v>
      </c>
      <c r="E2493" s="9">
        <v>0.06</v>
      </c>
      <c r="F2493" s="9">
        <v>0</v>
      </c>
      <c r="G2493" s="9">
        <v>0</v>
      </c>
      <c r="H2493" s="9">
        <v>130.03</v>
      </c>
      <c r="I2493" s="9">
        <v>0</v>
      </c>
      <c r="J2493" s="7" t="s">
        <v>325</v>
      </c>
    </row>
    <row r="2494" spans="1:10" x14ac:dyDescent="0.35">
      <c r="A2494" s="7" t="s">
        <v>23</v>
      </c>
      <c r="B2494" s="7" t="s">
        <v>43</v>
      </c>
      <c r="C2494" s="7" t="s">
        <v>102</v>
      </c>
      <c r="D2494" s="9">
        <v>0.01</v>
      </c>
      <c r="E2494" s="9">
        <v>0</v>
      </c>
      <c r="F2494" s="9">
        <v>0</v>
      </c>
      <c r="G2494" s="9">
        <v>41</v>
      </c>
      <c r="H2494" s="9">
        <v>0</v>
      </c>
      <c r="I2494" s="9">
        <v>0</v>
      </c>
      <c r="J2494" s="7" t="s">
        <v>325</v>
      </c>
    </row>
    <row r="2495" spans="1:10" x14ac:dyDescent="0.35">
      <c r="A2495" s="7" t="s">
        <v>23</v>
      </c>
      <c r="B2495" s="7" t="s">
        <v>43</v>
      </c>
      <c r="C2495" s="7" t="s">
        <v>42</v>
      </c>
      <c r="D2495" s="9">
        <v>0</v>
      </c>
      <c r="E2495" s="9">
        <v>0</v>
      </c>
      <c r="F2495" s="9">
        <v>0</v>
      </c>
      <c r="G2495" s="9">
        <v>0</v>
      </c>
      <c r="H2495" s="9">
        <v>0.6</v>
      </c>
      <c r="I2495" s="9">
        <v>0</v>
      </c>
      <c r="J2495" s="7" t="s">
        <v>325</v>
      </c>
    </row>
    <row r="2496" spans="1:10" x14ac:dyDescent="0.35">
      <c r="A2496" s="7" t="s">
        <v>23</v>
      </c>
      <c r="B2496" s="7" t="s">
        <v>43</v>
      </c>
      <c r="C2496" s="7" t="s">
        <v>93</v>
      </c>
      <c r="D2496" s="9">
        <v>0.21</v>
      </c>
      <c r="E2496" s="9">
        <v>0.3</v>
      </c>
      <c r="F2496" s="9">
        <v>0</v>
      </c>
      <c r="G2496" s="9">
        <v>44.93</v>
      </c>
      <c r="H2496" s="9">
        <v>55.66</v>
      </c>
      <c r="I2496" s="9">
        <v>0</v>
      </c>
      <c r="J2496" s="7" t="s">
        <v>325</v>
      </c>
    </row>
    <row r="2497" spans="1:10" x14ac:dyDescent="0.35">
      <c r="A2497" s="7" t="s">
        <v>16</v>
      </c>
      <c r="B2497" s="7" t="s">
        <v>52</v>
      </c>
      <c r="C2497" s="7" t="s">
        <v>62</v>
      </c>
      <c r="D2497" s="9">
        <v>0</v>
      </c>
      <c r="E2497" s="9">
        <v>0.01</v>
      </c>
      <c r="F2497" s="9">
        <v>0</v>
      </c>
      <c r="G2497" s="9">
        <v>0</v>
      </c>
      <c r="H2497" s="9">
        <v>48</v>
      </c>
      <c r="I2497" s="9">
        <v>0</v>
      </c>
      <c r="J2497" s="7" t="s">
        <v>325</v>
      </c>
    </row>
    <row r="2498" spans="1:10" x14ac:dyDescent="0.35">
      <c r="A2498" s="7" t="s">
        <v>16</v>
      </c>
      <c r="B2498" s="7" t="s">
        <v>52</v>
      </c>
      <c r="C2498" s="7" t="s">
        <v>69</v>
      </c>
      <c r="D2498" s="9">
        <v>0</v>
      </c>
      <c r="E2498" s="9">
        <v>0</v>
      </c>
      <c r="F2498" s="9">
        <v>0</v>
      </c>
      <c r="G2498" s="9">
        <v>2</v>
      </c>
      <c r="H2498" s="9">
        <v>0</v>
      </c>
      <c r="I2498" s="9">
        <v>0</v>
      </c>
      <c r="J2498" s="7" t="s">
        <v>325</v>
      </c>
    </row>
    <row r="2499" spans="1:10" x14ac:dyDescent="0.35">
      <c r="A2499" s="7" t="s">
        <v>16</v>
      </c>
      <c r="B2499" s="7" t="s">
        <v>52</v>
      </c>
      <c r="C2499" s="7" t="s">
        <v>122</v>
      </c>
      <c r="D2499" s="9">
        <v>0</v>
      </c>
      <c r="E2499" s="9">
        <v>0</v>
      </c>
      <c r="F2499" s="9">
        <v>0</v>
      </c>
      <c r="G2499" s="9">
        <v>0.05</v>
      </c>
      <c r="H2499" s="9">
        <v>0.12</v>
      </c>
      <c r="I2499" s="9">
        <v>0</v>
      </c>
      <c r="J2499" s="7" t="s">
        <v>325</v>
      </c>
    </row>
    <row r="2500" spans="1:10" x14ac:dyDescent="0.35">
      <c r="A2500" s="7" t="s">
        <v>16</v>
      </c>
      <c r="B2500" s="7" t="s">
        <v>52</v>
      </c>
      <c r="C2500" s="7" t="s">
        <v>59</v>
      </c>
      <c r="D2500" s="9">
        <v>0</v>
      </c>
      <c r="E2500" s="9">
        <v>0.13</v>
      </c>
      <c r="F2500" s="9">
        <v>0</v>
      </c>
      <c r="G2500" s="9">
        <v>0.44</v>
      </c>
      <c r="H2500" s="9">
        <v>70.09</v>
      </c>
      <c r="I2500" s="9">
        <v>0</v>
      </c>
      <c r="J2500" s="7" t="s">
        <v>325</v>
      </c>
    </row>
    <row r="2501" spans="1:10" x14ac:dyDescent="0.35">
      <c r="A2501" s="7" t="s">
        <v>23</v>
      </c>
      <c r="B2501" s="7" t="s">
        <v>138</v>
      </c>
      <c r="C2501" s="7" t="s">
        <v>59</v>
      </c>
      <c r="D2501" s="9">
        <v>0</v>
      </c>
      <c r="E2501" s="9">
        <v>0</v>
      </c>
      <c r="F2501" s="9">
        <v>0</v>
      </c>
      <c r="G2501" s="9">
        <v>0</v>
      </c>
      <c r="H2501" s="9">
        <v>0.04</v>
      </c>
      <c r="I2501" s="9">
        <v>0</v>
      </c>
      <c r="J2501" s="7" t="s">
        <v>325</v>
      </c>
    </row>
    <row r="2502" spans="1:10" x14ac:dyDescent="0.35">
      <c r="A2502" s="7" t="s">
        <v>23</v>
      </c>
      <c r="B2502" s="7" t="s">
        <v>138</v>
      </c>
      <c r="C2502" s="7" t="s">
        <v>72</v>
      </c>
      <c r="D2502" s="9">
        <v>0</v>
      </c>
      <c r="E2502" s="9">
        <v>0.01</v>
      </c>
      <c r="F2502" s="9">
        <v>0</v>
      </c>
      <c r="G2502" s="9">
        <v>0</v>
      </c>
      <c r="H2502" s="9">
        <v>0.98</v>
      </c>
      <c r="I2502" s="9">
        <v>0</v>
      </c>
      <c r="J2502" s="7" t="s">
        <v>325</v>
      </c>
    </row>
    <row r="2503" spans="1:10" x14ac:dyDescent="0.35">
      <c r="A2503" s="7" t="s">
        <v>23</v>
      </c>
      <c r="B2503" s="7" t="s">
        <v>138</v>
      </c>
      <c r="C2503" s="7" t="s">
        <v>53</v>
      </c>
      <c r="D2503" s="9">
        <v>0</v>
      </c>
      <c r="E2503" s="9">
        <v>0</v>
      </c>
      <c r="F2503" s="9">
        <v>0</v>
      </c>
      <c r="G2503" s="9">
        <v>0</v>
      </c>
      <c r="H2503" s="9">
        <v>0.34</v>
      </c>
      <c r="I2503" s="9">
        <v>0</v>
      </c>
      <c r="J2503" s="7" t="s">
        <v>325</v>
      </c>
    </row>
    <row r="2504" spans="1:10" x14ac:dyDescent="0.35">
      <c r="A2504" s="7" t="s">
        <v>16</v>
      </c>
      <c r="B2504" s="7" t="s">
        <v>52</v>
      </c>
      <c r="C2504" s="7" t="s">
        <v>142</v>
      </c>
      <c r="D2504" s="9">
        <v>0</v>
      </c>
      <c r="E2504" s="9">
        <v>0.01</v>
      </c>
      <c r="F2504" s="9">
        <v>0</v>
      </c>
      <c r="G2504" s="9">
        <v>0</v>
      </c>
      <c r="H2504" s="9">
        <v>20.27</v>
      </c>
      <c r="I2504" s="9">
        <v>0</v>
      </c>
      <c r="J2504" s="7" t="s">
        <v>325</v>
      </c>
    </row>
    <row r="2505" spans="1:10" x14ac:dyDescent="0.35">
      <c r="A2505" s="7" t="s">
        <v>16</v>
      </c>
      <c r="B2505" s="7" t="s">
        <v>52</v>
      </c>
      <c r="C2505" s="7" t="s">
        <v>150</v>
      </c>
      <c r="D2505" s="9">
        <v>0.01</v>
      </c>
      <c r="E2505" s="9">
        <v>0</v>
      </c>
      <c r="F2505" s="9">
        <v>0</v>
      </c>
      <c r="G2505" s="9">
        <v>1</v>
      </c>
      <c r="H2505" s="9">
        <v>0</v>
      </c>
      <c r="I2505" s="9">
        <v>0</v>
      </c>
      <c r="J2505" s="7" t="s">
        <v>325</v>
      </c>
    </row>
    <row r="2506" spans="1:10" x14ac:dyDescent="0.35">
      <c r="A2506" s="7" t="s">
        <v>23</v>
      </c>
      <c r="B2506" s="7" t="s">
        <v>138</v>
      </c>
      <c r="C2506" s="7" t="s">
        <v>170</v>
      </c>
      <c r="D2506" s="9">
        <v>0</v>
      </c>
      <c r="E2506" s="9">
        <v>0</v>
      </c>
      <c r="F2506" s="9">
        <v>0</v>
      </c>
      <c r="G2506" s="9">
        <v>0</v>
      </c>
      <c r="H2506" s="9">
        <v>0.17</v>
      </c>
      <c r="I2506" s="9">
        <v>0</v>
      </c>
      <c r="J2506" s="7" t="s">
        <v>325</v>
      </c>
    </row>
    <row r="2507" spans="1:10" x14ac:dyDescent="0.35">
      <c r="A2507" s="7" t="s">
        <v>16</v>
      </c>
      <c r="B2507" s="7" t="s">
        <v>52</v>
      </c>
      <c r="C2507" s="7" t="s">
        <v>18</v>
      </c>
      <c r="D2507" s="9">
        <v>0.01</v>
      </c>
      <c r="E2507" s="9">
        <v>0</v>
      </c>
      <c r="F2507" s="9">
        <v>0</v>
      </c>
      <c r="G2507" s="9">
        <v>10</v>
      </c>
      <c r="H2507" s="9">
        <v>0</v>
      </c>
      <c r="I2507" s="9">
        <v>0</v>
      </c>
      <c r="J2507" s="7" t="s">
        <v>325</v>
      </c>
    </row>
    <row r="2508" spans="1:10" x14ac:dyDescent="0.35">
      <c r="A2508" s="7" t="s">
        <v>16</v>
      </c>
      <c r="B2508" s="7" t="s">
        <v>281</v>
      </c>
      <c r="C2508" s="7" t="s">
        <v>39</v>
      </c>
      <c r="D2508" s="9">
        <v>0</v>
      </c>
      <c r="E2508" s="9">
        <v>0</v>
      </c>
      <c r="F2508" s="9">
        <v>0</v>
      </c>
      <c r="G2508" s="9">
        <v>0.02</v>
      </c>
      <c r="H2508" s="9">
        <v>0</v>
      </c>
      <c r="I2508" s="9">
        <v>0</v>
      </c>
      <c r="J2508" s="7" t="s">
        <v>325</v>
      </c>
    </row>
    <row r="2509" spans="1:10" x14ac:dyDescent="0.35">
      <c r="A2509" s="7" t="s">
        <v>23</v>
      </c>
      <c r="B2509" s="7" t="s">
        <v>120</v>
      </c>
      <c r="C2509" s="7" t="s">
        <v>59</v>
      </c>
      <c r="D2509" s="9">
        <v>0</v>
      </c>
      <c r="E2509" s="9">
        <v>0</v>
      </c>
      <c r="F2509" s="9">
        <v>0</v>
      </c>
      <c r="G2509" s="9">
        <v>0.1</v>
      </c>
      <c r="H2509" s="9">
        <v>0.04</v>
      </c>
      <c r="I2509" s="9">
        <v>0</v>
      </c>
      <c r="J2509" s="7" t="s">
        <v>325</v>
      </c>
    </row>
    <row r="2510" spans="1:10" x14ac:dyDescent="0.35">
      <c r="A2510" s="7" t="s">
        <v>23</v>
      </c>
      <c r="B2510" s="7" t="s">
        <v>120</v>
      </c>
      <c r="C2510" s="7" t="s">
        <v>122</v>
      </c>
      <c r="D2510" s="9">
        <v>0</v>
      </c>
      <c r="E2510" s="9">
        <v>0.01</v>
      </c>
      <c r="F2510" s="9">
        <v>0</v>
      </c>
      <c r="G2510" s="9">
        <v>0</v>
      </c>
      <c r="H2510" s="9">
        <v>14.96</v>
      </c>
      <c r="I2510" s="9">
        <v>0</v>
      </c>
      <c r="J2510" s="7" t="s">
        <v>325</v>
      </c>
    </row>
    <row r="2511" spans="1:10" x14ac:dyDescent="0.35">
      <c r="A2511" s="7" t="s">
        <v>16</v>
      </c>
      <c r="B2511" s="7" t="s">
        <v>281</v>
      </c>
      <c r="C2511" s="7" t="s">
        <v>53</v>
      </c>
      <c r="D2511" s="9">
        <v>0</v>
      </c>
      <c r="E2511" s="9">
        <v>0</v>
      </c>
      <c r="F2511" s="9">
        <v>0</v>
      </c>
      <c r="G2511" s="9">
        <v>0</v>
      </c>
      <c r="H2511" s="9">
        <v>0</v>
      </c>
      <c r="I2511" s="9">
        <v>0</v>
      </c>
      <c r="J2511" s="7" t="s">
        <v>325</v>
      </c>
    </row>
    <row r="2512" spans="1:10" x14ac:dyDescent="0.35">
      <c r="A2512" s="7" t="s">
        <v>16</v>
      </c>
      <c r="B2512" s="7" t="s">
        <v>143</v>
      </c>
      <c r="C2512" s="7" t="s">
        <v>33</v>
      </c>
      <c r="D2512" s="9">
        <v>0</v>
      </c>
      <c r="E2512" s="9">
        <v>0.08</v>
      </c>
      <c r="F2512" s="9">
        <v>0</v>
      </c>
      <c r="G2512" s="9">
        <v>0</v>
      </c>
      <c r="H2512" s="9">
        <v>104.08</v>
      </c>
      <c r="I2512" s="9">
        <v>0</v>
      </c>
      <c r="J2512" s="7" t="s">
        <v>325</v>
      </c>
    </row>
    <row r="2513" spans="1:10" x14ac:dyDescent="0.35">
      <c r="A2513" s="7" t="s">
        <v>16</v>
      </c>
      <c r="B2513" s="7" t="s">
        <v>143</v>
      </c>
      <c r="C2513" s="7" t="s">
        <v>42</v>
      </c>
      <c r="D2513" s="9">
        <v>0</v>
      </c>
      <c r="E2513" s="9">
        <v>0</v>
      </c>
      <c r="F2513" s="9">
        <v>0</v>
      </c>
      <c r="G2513" s="9">
        <v>0</v>
      </c>
      <c r="H2513" s="9">
        <v>1.1499999999999999</v>
      </c>
      <c r="I2513" s="9">
        <v>0</v>
      </c>
      <c r="J2513" s="7" t="s">
        <v>325</v>
      </c>
    </row>
    <row r="2514" spans="1:10" x14ac:dyDescent="0.35">
      <c r="A2514" s="7" t="s">
        <v>16</v>
      </c>
      <c r="B2514" s="7" t="s">
        <v>143</v>
      </c>
      <c r="C2514" s="7" t="s">
        <v>126</v>
      </c>
      <c r="D2514" s="9">
        <v>7.0000000000000007E-2</v>
      </c>
      <c r="E2514" s="9">
        <v>0</v>
      </c>
      <c r="F2514" s="9">
        <v>0</v>
      </c>
      <c r="G2514" s="9">
        <v>200</v>
      </c>
      <c r="H2514" s="9">
        <v>0</v>
      </c>
      <c r="I2514" s="9">
        <v>0</v>
      </c>
      <c r="J2514" s="7" t="s">
        <v>325</v>
      </c>
    </row>
    <row r="2515" spans="1:10" x14ac:dyDescent="0.35">
      <c r="A2515" s="7" t="s">
        <v>23</v>
      </c>
      <c r="B2515" s="7" t="s">
        <v>120</v>
      </c>
      <c r="C2515" s="7" t="s">
        <v>126</v>
      </c>
      <c r="D2515" s="9">
        <v>0</v>
      </c>
      <c r="E2515" s="9">
        <v>0.01</v>
      </c>
      <c r="F2515" s="9">
        <v>0</v>
      </c>
      <c r="G2515" s="9">
        <v>0</v>
      </c>
      <c r="H2515" s="9">
        <v>3.59</v>
      </c>
      <c r="I2515" s="9">
        <v>0</v>
      </c>
      <c r="J2515" s="7" t="s">
        <v>325</v>
      </c>
    </row>
    <row r="2516" spans="1:10" x14ac:dyDescent="0.35">
      <c r="A2516" s="7" t="s">
        <v>23</v>
      </c>
      <c r="B2516" s="7" t="s">
        <v>120</v>
      </c>
      <c r="C2516" s="7" t="s">
        <v>102</v>
      </c>
      <c r="D2516" s="9">
        <v>0</v>
      </c>
      <c r="E2516" s="9">
        <v>0</v>
      </c>
      <c r="F2516" s="9">
        <v>0</v>
      </c>
      <c r="G2516" s="9">
        <v>0</v>
      </c>
      <c r="H2516" s="9">
        <v>0.1</v>
      </c>
      <c r="I2516" s="9">
        <v>0</v>
      </c>
      <c r="J2516" s="7" t="s">
        <v>325</v>
      </c>
    </row>
    <row r="2517" spans="1:10" x14ac:dyDescent="0.35">
      <c r="A2517" s="7" t="s">
        <v>23</v>
      </c>
      <c r="B2517" s="7" t="s">
        <v>120</v>
      </c>
      <c r="C2517" s="7" t="s">
        <v>54</v>
      </c>
      <c r="D2517" s="9">
        <v>0.01</v>
      </c>
      <c r="E2517" s="9">
        <v>0</v>
      </c>
      <c r="F2517" s="9">
        <v>0</v>
      </c>
      <c r="G2517" s="9">
        <v>3.29</v>
      </c>
      <c r="H2517" s="9">
        <v>0</v>
      </c>
      <c r="I2517" s="9">
        <v>0</v>
      </c>
      <c r="J2517" s="7" t="s">
        <v>325</v>
      </c>
    </row>
    <row r="2518" spans="1:10" x14ac:dyDescent="0.35">
      <c r="A2518" s="7" t="s">
        <v>23</v>
      </c>
      <c r="B2518" s="7" t="s">
        <v>120</v>
      </c>
      <c r="C2518" s="7" t="s">
        <v>42</v>
      </c>
      <c r="D2518" s="9">
        <v>0.01</v>
      </c>
      <c r="E2518" s="9">
        <v>0</v>
      </c>
      <c r="F2518" s="9">
        <v>0</v>
      </c>
      <c r="G2518" s="9">
        <v>4.25</v>
      </c>
      <c r="H2518" s="9">
        <v>0</v>
      </c>
      <c r="I2518" s="9">
        <v>0</v>
      </c>
      <c r="J2518" s="7" t="s">
        <v>325</v>
      </c>
    </row>
    <row r="2519" spans="1:10" x14ac:dyDescent="0.35">
      <c r="A2519" s="7" t="s">
        <v>23</v>
      </c>
      <c r="B2519" s="7" t="s">
        <v>120</v>
      </c>
      <c r="C2519" s="7" t="s">
        <v>33</v>
      </c>
      <c r="D2519" s="9">
        <v>0.05</v>
      </c>
      <c r="E2519" s="9">
        <v>0</v>
      </c>
      <c r="F2519" s="9">
        <v>0</v>
      </c>
      <c r="G2519" s="9">
        <v>41.26</v>
      </c>
      <c r="H2519" s="9">
        <v>0.21</v>
      </c>
      <c r="I2519" s="9">
        <v>0</v>
      </c>
      <c r="J2519" s="7" t="s">
        <v>325</v>
      </c>
    </row>
    <row r="2520" spans="1:10" x14ac:dyDescent="0.35">
      <c r="A2520" s="7" t="s">
        <v>23</v>
      </c>
      <c r="B2520" s="7" t="s">
        <v>44</v>
      </c>
      <c r="C2520" s="7" t="s">
        <v>174</v>
      </c>
      <c r="D2520" s="9">
        <v>0</v>
      </c>
      <c r="E2520" s="9">
        <v>0.02</v>
      </c>
      <c r="F2520" s="9">
        <v>0</v>
      </c>
      <c r="G2520" s="9">
        <v>0</v>
      </c>
      <c r="H2520" s="9">
        <v>9.36</v>
      </c>
      <c r="I2520" s="9">
        <v>0</v>
      </c>
      <c r="J2520" s="7" t="s">
        <v>325</v>
      </c>
    </row>
    <row r="2521" spans="1:10" x14ac:dyDescent="0.35">
      <c r="A2521" s="7" t="s">
        <v>16</v>
      </c>
      <c r="B2521" s="7" t="s">
        <v>143</v>
      </c>
      <c r="C2521" s="7" t="s">
        <v>39</v>
      </c>
      <c r="D2521" s="9">
        <v>0.01</v>
      </c>
      <c r="E2521" s="9">
        <v>0.15</v>
      </c>
      <c r="F2521" s="9">
        <v>0</v>
      </c>
      <c r="G2521" s="9">
        <v>48</v>
      </c>
      <c r="H2521" s="9">
        <v>400</v>
      </c>
      <c r="I2521" s="9">
        <v>0</v>
      </c>
      <c r="J2521" s="7" t="s">
        <v>325</v>
      </c>
    </row>
    <row r="2522" spans="1:10" x14ac:dyDescent="0.35">
      <c r="A2522" s="7" t="s">
        <v>16</v>
      </c>
      <c r="B2522" s="7" t="s">
        <v>143</v>
      </c>
      <c r="C2522" s="7" t="s">
        <v>65</v>
      </c>
      <c r="D2522" s="9">
        <v>1.28</v>
      </c>
      <c r="E2522" s="9">
        <v>0</v>
      </c>
      <c r="F2522" s="9">
        <v>0</v>
      </c>
      <c r="G2522" s="8">
        <v>3200</v>
      </c>
      <c r="H2522" s="9">
        <v>0</v>
      </c>
      <c r="I2522" s="9">
        <v>0</v>
      </c>
      <c r="J2522" s="7" t="s">
        <v>325</v>
      </c>
    </row>
    <row r="2523" spans="1:10" x14ac:dyDescent="0.35">
      <c r="A2523" s="7" t="s">
        <v>16</v>
      </c>
      <c r="B2523" s="7" t="s">
        <v>143</v>
      </c>
      <c r="C2523" s="7" t="s">
        <v>53</v>
      </c>
      <c r="D2523" s="9">
        <v>0</v>
      </c>
      <c r="E2523" s="9">
        <v>0</v>
      </c>
      <c r="F2523" s="9">
        <v>0</v>
      </c>
      <c r="G2523" s="9">
        <v>0</v>
      </c>
      <c r="H2523" s="9">
        <v>1.63</v>
      </c>
      <c r="I2523" s="9">
        <v>0</v>
      </c>
      <c r="J2523" s="7" t="s">
        <v>325</v>
      </c>
    </row>
    <row r="2524" spans="1:10" x14ac:dyDescent="0.35">
      <c r="A2524" s="7" t="s">
        <v>16</v>
      </c>
      <c r="B2524" s="7" t="s">
        <v>143</v>
      </c>
      <c r="C2524" s="7" t="s">
        <v>48</v>
      </c>
      <c r="D2524" s="9">
        <v>0</v>
      </c>
      <c r="E2524" s="9">
        <v>0.02</v>
      </c>
      <c r="F2524" s="9">
        <v>0</v>
      </c>
      <c r="G2524" s="9">
        <v>0</v>
      </c>
      <c r="H2524" s="9">
        <v>21.25</v>
      </c>
      <c r="I2524" s="9">
        <v>0</v>
      </c>
      <c r="J2524" s="7" t="s">
        <v>325</v>
      </c>
    </row>
    <row r="2525" spans="1:10" x14ac:dyDescent="0.35">
      <c r="A2525" s="7" t="s">
        <v>16</v>
      </c>
      <c r="B2525" s="7" t="s">
        <v>239</v>
      </c>
      <c r="C2525" s="7" t="s">
        <v>33</v>
      </c>
      <c r="D2525" s="9">
        <v>1.32</v>
      </c>
      <c r="E2525" s="9">
        <v>0.03</v>
      </c>
      <c r="F2525" s="9">
        <v>0</v>
      </c>
      <c r="G2525" s="9">
        <v>725</v>
      </c>
      <c r="H2525" s="9">
        <v>20.5</v>
      </c>
      <c r="I2525" s="9">
        <v>0</v>
      </c>
      <c r="J2525" s="7" t="s">
        <v>325</v>
      </c>
    </row>
    <row r="2526" spans="1:10" x14ac:dyDescent="0.35">
      <c r="A2526" s="7" t="s">
        <v>16</v>
      </c>
      <c r="B2526" s="7" t="s">
        <v>239</v>
      </c>
      <c r="C2526" s="7" t="s">
        <v>54</v>
      </c>
      <c r="D2526" s="9">
        <v>0.06</v>
      </c>
      <c r="E2526" s="9">
        <v>0.41</v>
      </c>
      <c r="F2526" s="9">
        <v>0</v>
      </c>
      <c r="G2526" s="9">
        <v>26</v>
      </c>
      <c r="H2526" s="9">
        <v>311.42</v>
      </c>
      <c r="I2526" s="9">
        <v>0</v>
      </c>
      <c r="J2526" s="7" t="s">
        <v>325</v>
      </c>
    </row>
    <row r="2527" spans="1:10" x14ac:dyDescent="0.35">
      <c r="A2527" s="7" t="s">
        <v>16</v>
      </c>
      <c r="B2527" s="7" t="s">
        <v>239</v>
      </c>
      <c r="C2527" s="7" t="s">
        <v>27</v>
      </c>
      <c r="D2527" s="9">
        <v>0.7</v>
      </c>
      <c r="E2527" s="9">
        <v>0</v>
      </c>
      <c r="F2527" s="9">
        <v>0</v>
      </c>
      <c r="G2527" s="8">
        <v>1399.65</v>
      </c>
      <c r="H2527" s="9">
        <v>0</v>
      </c>
      <c r="I2527" s="9">
        <v>0</v>
      </c>
      <c r="J2527" s="7" t="s">
        <v>325</v>
      </c>
    </row>
    <row r="2528" spans="1:10" x14ac:dyDescent="0.35">
      <c r="A2528" s="7" t="s">
        <v>16</v>
      </c>
      <c r="B2528" s="7" t="s">
        <v>239</v>
      </c>
      <c r="C2528" s="7" t="s">
        <v>39</v>
      </c>
      <c r="D2528" s="9">
        <v>0</v>
      </c>
      <c r="E2528" s="9">
        <v>0.22</v>
      </c>
      <c r="F2528" s="9">
        <v>0</v>
      </c>
      <c r="G2528" s="9">
        <v>0</v>
      </c>
      <c r="H2528" s="9">
        <v>59.3</v>
      </c>
      <c r="I2528" s="9">
        <v>0</v>
      </c>
      <c r="J2528" s="7" t="s">
        <v>325</v>
      </c>
    </row>
    <row r="2529" spans="1:10" ht="26.25" customHeight="1" x14ac:dyDescent="0.35">
      <c r="A2529" s="7" t="s">
        <v>23</v>
      </c>
      <c r="B2529" s="7" t="s">
        <v>44</v>
      </c>
      <c r="C2529" s="7" t="s">
        <v>81</v>
      </c>
      <c r="D2529" s="9">
        <v>0</v>
      </c>
      <c r="E2529" s="9">
        <v>0</v>
      </c>
      <c r="F2529" s="9">
        <v>0</v>
      </c>
      <c r="G2529" s="9">
        <v>0.6</v>
      </c>
      <c r="H2529" s="9">
        <v>0</v>
      </c>
      <c r="I2529" s="9">
        <v>0</v>
      </c>
      <c r="J2529" s="7" t="s">
        <v>325</v>
      </c>
    </row>
    <row r="2530" spans="1:10" x14ac:dyDescent="0.35">
      <c r="A2530" s="7" t="s">
        <v>16</v>
      </c>
      <c r="B2530" s="7" t="s">
        <v>239</v>
      </c>
      <c r="C2530" s="7" t="s">
        <v>144</v>
      </c>
      <c r="D2530" s="9">
        <v>0.75</v>
      </c>
      <c r="E2530" s="9">
        <v>0</v>
      </c>
      <c r="F2530" s="9">
        <v>0</v>
      </c>
      <c r="G2530" s="8">
        <v>1444.15</v>
      </c>
      <c r="H2530" s="9">
        <v>0</v>
      </c>
      <c r="I2530" s="9">
        <v>0</v>
      </c>
      <c r="J2530" s="7" t="s">
        <v>325</v>
      </c>
    </row>
    <row r="2531" spans="1:10" x14ac:dyDescent="0.35">
      <c r="A2531" s="7" t="s">
        <v>23</v>
      </c>
      <c r="B2531" s="7" t="s">
        <v>44</v>
      </c>
      <c r="C2531" s="7" t="s">
        <v>76</v>
      </c>
      <c r="D2531" s="9">
        <v>0.02</v>
      </c>
      <c r="E2531" s="9">
        <v>0</v>
      </c>
      <c r="F2531" s="9">
        <v>0</v>
      </c>
      <c r="G2531" s="9">
        <v>19.55</v>
      </c>
      <c r="H2531" s="9">
        <v>0</v>
      </c>
      <c r="I2531" s="9">
        <v>0</v>
      </c>
      <c r="J2531" s="7" t="s">
        <v>325</v>
      </c>
    </row>
    <row r="2532" spans="1:10" x14ac:dyDescent="0.35">
      <c r="A2532" s="7" t="s">
        <v>23</v>
      </c>
      <c r="B2532" s="7" t="s">
        <v>44</v>
      </c>
      <c r="C2532" s="7" t="s">
        <v>69</v>
      </c>
      <c r="D2532" s="9">
        <v>0</v>
      </c>
      <c r="E2532" s="9">
        <v>0</v>
      </c>
      <c r="F2532" s="9">
        <v>0</v>
      </c>
      <c r="G2532" s="9">
        <v>0.18</v>
      </c>
      <c r="H2532" s="9">
        <v>0.18</v>
      </c>
      <c r="I2532" s="9">
        <v>0</v>
      </c>
      <c r="J2532" s="7" t="s">
        <v>325</v>
      </c>
    </row>
    <row r="2533" spans="1:10" x14ac:dyDescent="0.35">
      <c r="A2533" s="7" t="s">
        <v>16</v>
      </c>
      <c r="B2533" s="7" t="s">
        <v>239</v>
      </c>
      <c r="C2533" s="7" t="s">
        <v>65</v>
      </c>
      <c r="D2533" s="9">
        <v>0</v>
      </c>
      <c r="E2533" s="9">
        <v>0</v>
      </c>
      <c r="F2533" s="9">
        <v>0</v>
      </c>
      <c r="G2533" s="9">
        <v>0</v>
      </c>
      <c r="H2533" s="9">
        <v>2</v>
      </c>
      <c r="I2533" s="9">
        <v>0</v>
      </c>
      <c r="J2533" s="7" t="s">
        <v>325</v>
      </c>
    </row>
    <row r="2534" spans="1:10" x14ac:dyDescent="0.35">
      <c r="A2534" s="7" t="s">
        <v>16</v>
      </c>
      <c r="B2534" s="7" t="s">
        <v>239</v>
      </c>
      <c r="C2534" s="7" t="s">
        <v>53</v>
      </c>
      <c r="D2534" s="9">
        <v>0.03</v>
      </c>
      <c r="E2534" s="9">
        <v>0</v>
      </c>
      <c r="F2534" s="9">
        <v>0</v>
      </c>
      <c r="G2534" s="9">
        <v>31.36</v>
      </c>
      <c r="H2534" s="9">
        <v>0</v>
      </c>
      <c r="I2534" s="9">
        <v>0</v>
      </c>
      <c r="J2534" s="7" t="s">
        <v>325</v>
      </c>
    </row>
    <row r="2535" spans="1:10" x14ac:dyDescent="0.35">
      <c r="A2535" s="7" t="s">
        <v>16</v>
      </c>
      <c r="B2535" s="7" t="s">
        <v>239</v>
      </c>
      <c r="C2535" s="7" t="s">
        <v>69</v>
      </c>
      <c r="D2535" s="9">
        <v>0.38</v>
      </c>
      <c r="E2535" s="9">
        <v>0</v>
      </c>
      <c r="F2535" s="9">
        <v>0</v>
      </c>
      <c r="G2535" s="9">
        <v>246.98</v>
      </c>
      <c r="H2535" s="9">
        <v>0</v>
      </c>
      <c r="I2535" s="9">
        <v>0</v>
      </c>
      <c r="J2535" s="7" t="s">
        <v>325</v>
      </c>
    </row>
    <row r="2536" spans="1:10" x14ac:dyDescent="0.35">
      <c r="A2536" s="7" t="s">
        <v>16</v>
      </c>
      <c r="B2536" s="7" t="s">
        <v>239</v>
      </c>
      <c r="C2536" s="7" t="s">
        <v>48</v>
      </c>
      <c r="D2536" s="9">
        <v>0.01</v>
      </c>
      <c r="E2536" s="9">
        <v>0</v>
      </c>
      <c r="F2536" s="9">
        <v>0</v>
      </c>
      <c r="G2536" s="9">
        <v>4.75</v>
      </c>
      <c r="H2536" s="9">
        <v>0</v>
      </c>
      <c r="I2536" s="9">
        <v>0</v>
      </c>
      <c r="J2536" s="7" t="s">
        <v>325</v>
      </c>
    </row>
    <row r="2537" spans="1:10" x14ac:dyDescent="0.35">
      <c r="A2537" s="7" t="s">
        <v>16</v>
      </c>
      <c r="B2537" s="7" t="s">
        <v>239</v>
      </c>
      <c r="C2537" s="7" t="s">
        <v>84</v>
      </c>
      <c r="D2537" s="9">
        <v>0</v>
      </c>
      <c r="E2537" s="9">
        <v>0.03</v>
      </c>
      <c r="F2537" s="9">
        <v>0</v>
      </c>
      <c r="G2537" s="9">
        <v>0</v>
      </c>
      <c r="H2537" s="9">
        <v>3</v>
      </c>
      <c r="I2537" s="9">
        <v>0</v>
      </c>
      <c r="J2537" s="7" t="s">
        <v>325</v>
      </c>
    </row>
    <row r="2538" spans="1:10" x14ac:dyDescent="0.35">
      <c r="A2538" s="7" t="s">
        <v>16</v>
      </c>
      <c r="B2538" s="7" t="s">
        <v>239</v>
      </c>
      <c r="C2538" s="7" t="s">
        <v>18</v>
      </c>
      <c r="D2538" s="9">
        <v>4.2300000000000004</v>
      </c>
      <c r="E2538" s="9">
        <v>0</v>
      </c>
      <c r="F2538" s="9">
        <v>0</v>
      </c>
      <c r="G2538" s="8">
        <v>4427.1099999999997</v>
      </c>
      <c r="H2538" s="9">
        <v>0</v>
      </c>
      <c r="I2538" s="9">
        <v>0</v>
      </c>
      <c r="J2538" s="7" t="s">
        <v>325</v>
      </c>
    </row>
    <row r="2539" spans="1:10" x14ac:dyDescent="0.35">
      <c r="A2539" s="7" t="s">
        <v>16</v>
      </c>
      <c r="B2539" s="7" t="s">
        <v>17</v>
      </c>
      <c r="C2539" s="7" t="s">
        <v>221</v>
      </c>
      <c r="D2539" s="9">
        <v>0.01</v>
      </c>
      <c r="E2539" s="9">
        <v>0</v>
      </c>
      <c r="F2539" s="9">
        <v>0</v>
      </c>
      <c r="G2539" s="9">
        <v>2</v>
      </c>
      <c r="H2539" s="9">
        <v>0</v>
      </c>
      <c r="I2539" s="9">
        <v>0</v>
      </c>
      <c r="J2539" s="7" t="s">
        <v>325</v>
      </c>
    </row>
    <row r="2540" spans="1:10" x14ac:dyDescent="0.35">
      <c r="A2540" s="7" t="s">
        <v>16</v>
      </c>
      <c r="B2540" s="7" t="s">
        <v>17</v>
      </c>
      <c r="C2540" s="7" t="s">
        <v>261</v>
      </c>
      <c r="D2540" s="9">
        <v>0</v>
      </c>
      <c r="E2540" s="9">
        <v>0</v>
      </c>
      <c r="F2540" s="9">
        <v>0</v>
      </c>
      <c r="G2540" s="9">
        <v>0.95</v>
      </c>
      <c r="H2540" s="9">
        <v>0</v>
      </c>
      <c r="I2540" s="9">
        <v>0</v>
      </c>
      <c r="J2540" s="7" t="s">
        <v>325</v>
      </c>
    </row>
    <row r="2541" spans="1:10" x14ac:dyDescent="0.35">
      <c r="A2541" s="7" t="s">
        <v>16</v>
      </c>
      <c r="B2541" s="7" t="s">
        <v>17</v>
      </c>
      <c r="C2541" s="7" t="s">
        <v>22</v>
      </c>
      <c r="D2541" s="9">
        <v>0</v>
      </c>
      <c r="E2541" s="9">
        <v>0.39</v>
      </c>
      <c r="F2541" s="9">
        <v>0</v>
      </c>
      <c r="G2541" s="9">
        <v>0.06</v>
      </c>
      <c r="H2541" s="9">
        <v>81</v>
      </c>
      <c r="I2541" s="9">
        <v>0</v>
      </c>
      <c r="J2541" s="7" t="s">
        <v>325</v>
      </c>
    </row>
    <row r="2542" spans="1:10" x14ac:dyDescent="0.35">
      <c r="A2542" s="7" t="s">
        <v>16</v>
      </c>
      <c r="B2542" s="7" t="s">
        <v>17</v>
      </c>
      <c r="C2542" s="7" t="s">
        <v>174</v>
      </c>
      <c r="D2542" s="9">
        <v>0.04</v>
      </c>
      <c r="E2542" s="9">
        <v>0</v>
      </c>
      <c r="F2542" s="9">
        <v>0</v>
      </c>
      <c r="G2542" s="9">
        <v>4.5</v>
      </c>
      <c r="H2542" s="9">
        <v>0</v>
      </c>
      <c r="I2542" s="9">
        <v>0</v>
      </c>
      <c r="J2542" s="7" t="s">
        <v>325</v>
      </c>
    </row>
    <row r="2543" spans="1:10" x14ac:dyDescent="0.35">
      <c r="A2543" s="7" t="s">
        <v>16</v>
      </c>
      <c r="B2543" s="7" t="s">
        <v>28</v>
      </c>
      <c r="C2543" s="7" t="s">
        <v>170</v>
      </c>
      <c r="D2543" s="9">
        <v>0.65</v>
      </c>
      <c r="E2543" s="9">
        <v>0</v>
      </c>
      <c r="F2543" s="9">
        <v>0</v>
      </c>
      <c r="G2543" s="9">
        <v>84.46</v>
      </c>
      <c r="H2543" s="9">
        <v>0</v>
      </c>
      <c r="I2543" s="9">
        <v>0</v>
      </c>
      <c r="J2543" s="7" t="s">
        <v>325</v>
      </c>
    </row>
    <row r="2544" spans="1:10" x14ac:dyDescent="0.35">
      <c r="A2544" s="7" t="s">
        <v>16</v>
      </c>
      <c r="B2544" s="7" t="s">
        <v>28</v>
      </c>
      <c r="C2544" s="7" t="s">
        <v>126</v>
      </c>
      <c r="D2544" s="9">
        <v>7.0000000000000007E-2</v>
      </c>
      <c r="E2544" s="9">
        <v>0.03</v>
      </c>
      <c r="F2544" s="9">
        <v>0</v>
      </c>
      <c r="G2544" s="9">
        <v>45</v>
      </c>
      <c r="H2544" s="9">
        <v>34</v>
      </c>
      <c r="I2544" s="9">
        <v>0</v>
      </c>
      <c r="J2544" s="7" t="s">
        <v>325</v>
      </c>
    </row>
    <row r="2545" spans="1:10" x14ac:dyDescent="0.35">
      <c r="A2545" s="7" t="s">
        <v>16</v>
      </c>
      <c r="B2545" s="7" t="s">
        <v>28</v>
      </c>
      <c r="C2545" s="7" t="s">
        <v>151</v>
      </c>
      <c r="D2545" s="9">
        <v>0</v>
      </c>
      <c r="E2545" s="9">
        <v>0</v>
      </c>
      <c r="F2545" s="9">
        <v>0</v>
      </c>
      <c r="G2545" s="9">
        <v>0</v>
      </c>
      <c r="H2545" s="9">
        <v>0.12</v>
      </c>
      <c r="I2545" s="9">
        <v>0</v>
      </c>
      <c r="J2545" s="7" t="s">
        <v>325</v>
      </c>
    </row>
    <row r="2546" spans="1:10" x14ac:dyDescent="0.35">
      <c r="A2546" s="7" t="s">
        <v>16</v>
      </c>
      <c r="B2546" s="7" t="s">
        <v>28</v>
      </c>
      <c r="C2546" s="7" t="s">
        <v>122</v>
      </c>
      <c r="D2546" s="9">
        <v>0</v>
      </c>
      <c r="E2546" s="9">
        <v>0</v>
      </c>
      <c r="F2546" s="9">
        <v>0</v>
      </c>
      <c r="G2546" s="9">
        <v>0</v>
      </c>
      <c r="H2546" s="9">
        <v>0</v>
      </c>
      <c r="I2546" s="9">
        <v>0</v>
      </c>
      <c r="J2546" s="7" t="s">
        <v>325</v>
      </c>
    </row>
    <row r="2547" spans="1:10" x14ac:dyDescent="0.35">
      <c r="A2547" s="7" t="s">
        <v>16</v>
      </c>
      <c r="B2547" s="7" t="s">
        <v>28</v>
      </c>
      <c r="C2547" s="7" t="s">
        <v>84</v>
      </c>
      <c r="D2547" s="9">
        <v>0</v>
      </c>
      <c r="E2547" s="9">
        <v>0</v>
      </c>
      <c r="F2547" s="9">
        <v>0</v>
      </c>
      <c r="G2547" s="9">
        <v>0</v>
      </c>
      <c r="H2547" s="9">
        <v>0.02</v>
      </c>
      <c r="I2547" s="9">
        <v>0</v>
      </c>
      <c r="J2547" s="7" t="s">
        <v>325</v>
      </c>
    </row>
    <row r="2548" spans="1:10" x14ac:dyDescent="0.35">
      <c r="A2548" s="7" t="s">
        <v>23</v>
      </c>
      <c r="B2548" s="7" t="s">
        <v>44</v>
      </c>
      <c r="C2548" s="7" t="s">
        <v>93</v>
      </c>
      <c r="D2548" s="9">
        <v>0.32</v>
      </c>
      <c r="E2548" s="9">
        <v>1.85</v>
      </c>
      <c r="F2548" s="9">
        <v>0</v>
      </c>
      <c r="G2548" s="9">
        <v>90.52</v>
      </c>
      <c r="H2548" s="9">
        <v>249.02</v>
      </c>
      <c r="I2548" s="9">
        <v>0</v>
      </c>
      <c r="J2548" s="7" t="s">
        <v>325</v>
      </c>
    </row>
    <row r="2549" spans="1:10" x14ac:dyDescent="0.35">
      <c r="A2549" s="7" t="s">
        <v>23</v>
      </c>
      <c r="B2549" s="7" t="s">
        <v>44</v>
      </c>
      <c r="C2549" s="7" t="s">
        <v>181</v>
      </c>
      <c r="D2549" s="9">
        <v>0</v>
      </c>
      <c r="E2549" s="9">
        <v>0</v>
      </c>
      <c r="F2549" s="9">
        <v>0</v>
      </c>
      <c r="G2549" s="9">
        <v>0.03</v>
      </c>
      <c r="H2549" s="9">
        <v>0.01</v>
      </c>
      <c r="I2549" s="9">
        <v>0</v>
      </c>
      <c r="J2549" s="7" t="s">
        <v>325</v>
      </c>
    </row>
    <row r="2550" spans="1:10" x14ac:dyDescent="0.35">
      <c r="A2550" s="7" t="s">
        <v>16</v>
      </c>
      <c r="B2550" s="7" t="s">
        <v>282</v>
      </c>
      <c r="C2550" s="7" t="s">
        <v>33</v>
      </c>
      <c r="D2550" s="9">
        <v>0.46</v>
      </c>
      <c r="E2550" s="9">
        <v>0</v>
      </c>
      <c r="F2550" s="9">
        <v>0</v>
      </c>
      <c r="G2550" s="9">
        <v>312.76</v>
      </c>
      <c r="H2550" s="9">
        <v>0</v>
      </c>
      <c r="I2550" s="9">
        <v>0</v>
      </c>
      <c r="J2550" s="7" t="s">
        <v>325</v>
      </c>
    </row>
    <row r="2551" spans="1:10" x14ac:dyDescent="0.35">
      <c r="A2551" s="7" t="s">
        <v>16</v>
      </c>
      <c r="B2551" s="7" t="s">
        <v>282</v>
      </c>
      <c r="C2551" s="7" t="s">
        <v>42</v>
      </c>
      <c r="D2551" s="9">
        <v>0.48</v>
      </c>
      <c r="E2551" s="9">
        <v>0</v>
      </c>
      <c r="F2551" s="9">
        <v>0</v>
      </c>
      <c r="G2551" s="9">
        <v>95.99</v>
      </c>
      <c r="H2551" s="9">
        <v>0</v>
      </c>
      <c r="I2551" s="9">
        <v>0</v>
      </c>
      <c r="J2551" s="7" t="s">
        <v>325</v>
      </c>
    </row>
    <row r="2552" spans="1:10" x14ac:dyDescent="0.35">
      <c r="A2552" s="7" t="s">
        <v>23</v>
      </c>
      <c r="B2552" s="7" t="s">
        <v>136</v>
      </c>
      <c r="C2552" s="7" t="s">
        <v>84</v>
      </c>
      <c r="D2552" s="9">
        <v>0</v>
      </c>
      <c r="E2552" s="9">
        <v>0</v>
      </c>
      <c r="F2552" s="9">
        <v>0</v>
      </c>
      <c r="G2552" s="9">
        <v>7.0000000000000007E-2</v>
      </c>
      <c r="H2552" s="9">
        <v>0</v>
      </c>
      <c r="I2552" s="9">
        <v>0</v>
      </c>
      <c r="J2552" s="7" t="s">
        <v>325</v>
      </c>
    </row>
    <row r="2553" spans="1:10" x14ac:dyDescent="0.35">
      <c r="A2553" s="7" t="s">
        <v>16</v>
      </c>
      <c r="B2553" s="7" t="s">
        <v>282</v>
      </c>
      <c r="C2553" s="7" t="s">
        <v>54</v>
      </c>
      <c r="D2553" s="9">
        <v>0</v>
      </c>
      <c r="E2553" s="9">
        <v>0</v>
      </c>
      <c r="F2553" s="9">
        <v>0</v>
      </c>
      <c r="G2553" s="9">
        <v>2.2799999999999998</v>
      </c>
      <c r="H2553" s="9">
        <v>0</v>
      </c>
      <c r="I2553" s="9">
        <v>0</v>
      </c>
      <c r="J2553" s="7" t="s">
        <v>325</v>
      </c>
    </row>
    <row r="2554" spans="1:10" x14ac:dyDescent="0.35">
      <c r="A2554" s="7" t="s">
        <v>23</v>
      </c>
      <c r="B2554" s="7" t="s">
        <v>136</v>
      </c>
      <c r="C2554" s="7" t="s">
        <v>59</v>
      </c>
      <c r="D2554" s="9">
        <v>0</v>
      </c>
      <c r="E2554" s="9">
        <v>0</v>
      </c>
      <c r="F2554" s="9">
        <v>0</v>
      </c>
      <c r="G2554" s="9">
        <v>0.03</v>
      </c>
      <c r="H2554" s="9">
        <v>0.15</v>
      </c>
      <c r="I2554" s="9">
        <v>0</v>
      </c>
      <c r="J2554" s="7" t="s">
        <v>325</v>
      </c>
    </row>
    <row r="2555" spans="1:10" x14ac:dyDescent="0.35">
      <c r="A2555" s="7" t="s">
        <v>23</v>
      </c>
      <c r="B2555" s="7" t="s">
        <v>136</v>
      </c>
      <c r="C2555" s="7" t="s">
        <v>122</v>
      </c>
      <c r="D2555" s="9">
        <v>0</v>
      </c>
      <c r="E2555" s="9">
        <v>0</v>
      </c>
      <c r="F2555" s="9">
        <v>0</v>
      </c>
      <c r="G2555" s="9">
        <v>7.0000000000000007E-2</v>
      </c>
      <c r="H2555" s="9">
        <v>0</v>
      </c>
      <c r="I2555" s="9">
        <v>0</v>
      </c>
      <c r="J2555" s="7" t="s">
        <v>325</v>
      </c>
    </row>
    <row r="2556" spans="1:10" x14ac:dyDescent="0.35">
      <c r="A2556" s="7" t="s">
        <v>23</v>
      </c>
      <c r="B2556" s="7" t="s">
        <v>136</v>
      </c>
      <c r="C2556" s="7" t="s">
        <v>51</v>
      </c>
      <c r="D2556" s="9">
        <v>0</v>
      </c>
      <c r="E2556" s="9">
        <v>0</v>
      </c>
      <c r="F2556" s="9">
        <v>0</v>
      </c>
      <c r="G2556" s="9">
        <v>0.65</v>
      </c>
      <c r="H2556" s="9">
        <v>1</v>
      </c>
      <c r="I2556" s="9">
        <v>0</v>
      </c>
      <c r="J2556" s="7" t="s">
        <v>325</v>
      </c>
    </row>
    <row r="2557" spans="1:10" x14ac:dyDescent="0.35">
      <c r="A2557" s="7" t="s">
        <v>16</v>
      </c>
      <c r="B2557" s="7" t="s">
        <v>282</v>
      </c>
      <c r="C2557" s="7" t="s">
        <v>116</v>
      </c>
      <c r="D2557" s="9">
        <v>0.01</v>
      </c>
      <c r="E2557" s="9">
        <v>0</v>
      </c>
      <c r="F2557" s="9">
        <v>0</v>
      </c>
      <c r="G2557" s="9">
        <v>25</v>
      </c>
      <c r="H2557" s="9">
        <v>0</v>
      </c>
      <c r="I2557" s="9">
        <v>0</v>
      </c>
      <c r="J2557" s="7" t="s">
        <v>325</v>
      </c>
    </row>
    <row r="2558" spans="1:10" x14ac:dyDescent="0.35">
      <c r="A2558" s="7" t="s">
        <v>16</v>
      </c>
      <c r="B2558" s="7" t="s">
        <v>282</v>
      </c>
      <c r="C2558" s="7" t="s">
        <v>45</v>
      </c>
      <c r="D2558" s="9">
        <v>0.02</v>
      </c>
      <c r="E2558" s="9">
        <v>0</v>
      </c>
      <c r="F2558" s="9">
        <v>0</v>
      </c>
      <c r="G2558" s="9">
        <v>3.04</v>
      </c>
      <c r="H2558" s="9">
        <v>0</v>
      </c>
      <c r="I2558" s="9">
        <v>0</v>
      </c>
      <c r="J2558" s="7" t="s">
        <v>325</v>
      </c>
    </row>
    <row r="2559" spans="1:10" x14ac:dyDescent="0.35">
      <c r="A2559" s="7" t="s">
        <v>16</v>
      </c>
      <c r="B2559" s="7" t="s">
        <v>282</v>
      </c>
      <c r="C2559" s="7" t="s">
        <v>39</v>
      </c>
      <c r="D2559" s="9">
        <v>0.16</v>
      </c>
      <c r="E2559" s="9">
        <v>0</v>
      </c>
      <c r="F2559" s="9">
        <v>0</v>
      </c>
      <c r="G2559" s="9">
        <v>32.020000000000003</v>
      </c>
      <c r="H2559" s="9">
        <v>0</v>
      </c>
      <c r="I2559" s="9">
        <v>0</v>
      </c>
      <c r="J2559" s="7" t="s">
        <v>325</v>
      </c>
    </row>
    <row r="2560" spans="1:10" x14ac:dyDescent="0.35">
      <c r="A2560" s="7" t="s">
        <v>16</v>
      </c>
      <c r="B2560" s="7" t="s">
        <v>282</v>
      </c>
      <c r="C2560" s="7" t="s">
        <v>69</v>
      </c>
      <c r="D2560" s="9">
        <v>0.02</v>
      </c>
      <c r="E2560" s="9">
        <v>0</v>
      </c>
      <c r="F2560" s="9">
        <v>0</v>
      </c>
      <c r="G2560" s="9">
        <v>5.42</v>
      </c>
      <c r="H2560" s="9">
        <v>0</v>
      </c>
      <c r="I2560" s="9">
        <v>0</v>
      </c>
      <c r="J2560" s="7" t="s">
        <v>325</v>
      </c>
    </row>
    <row r="2561" spans="1:10" x14ac:dyDescent="0.35">
      <c r="A2561" s="7" t="s">
        <v>16</v>
      </c>
      <c r="B2561" s="7" t="s">
        <v>282</v>
      </c>
      <c r="C2561" s="7" t="s">
        <v>59</v>
      </c>
      <c r="D2561" s="9">
        <v>0</v>
      </c>
      <c r="E2561" s="9">
        <v>0</v>
      </c>
      <c r="F2561" s="9">
        <v>0</v>
      </c>
      <c r="G2561" s="9">
        <v>0.03</v>
      </c>
      <c r="H2561" s="9">
        <v>0</v>
      </c>
      <c r="I2561" s="9">
        <v>0</v>
      </c>
      <c r="J2561" s="7" t="s">
        <v>325</v>
      </c>
    </row>
    <row r="2562" spans="1:10" x14ac:dyDescent="0.35">
      <c r="A2562" s="7" t="s">
        <v>16</v>
      </c>
      <c r="B2562" s="7" t="s">
        <v>282</v>
      </c>
      <c r="C2562" s="7" t="s">
        <v>48</v>
      </c>
      <c r="D2562" s="9">
        <v>0.05</v>
      </c>
      <c r="E2562" s="9">
        <v>0</v>
      </c>
      <c r="F2562" s="9">
        <v>0</v>
      </c>
      <c r="G2562" s="9">
        <v>16.920000000000002</v>
      </c>
      <c r="H2562" s="9">
        <v>0</v>
      </c>
      <c r="I2562" s="9">
        <v>0</v>
      </c>
      <c r="J2562" s="7" t="s">
        <v>325</v>
      </c>
    </row>
    <row r="2563" spans="1:10" x14ac:dyDescent="0.35">
      <c r="A2563" s="7" t="s">
        <v>16</v>
      </c>
      <c r="B2563" s="7" t="s">
        <v>282</v>
      </c>
      <c r="C2563" s="7" t="s">
        <v>22</v>
      </c>
      <c r="D2563" s="9">
        <v>0.05</v>
      </c>
      <c r="E2563" s="9">
        <v>0</v>
      </c>
      <c r="F2563" s="9">
        <v>0</v>
      </c>
      <c r="G2563" s="9">
        <v>1.4</v>
      </c>
      <c r="H2563" s="9">
        <v>0</v>
      </c>
      <c r="I2563" s="9">
        <v>0</v>
      </c>
      <c r="J2563" s="7" t="s">
        <v>325</v>
      </c>
    </row>
    <row r="2564" spans="1:10" x14ac:dyDescent="0.35">
      <c r="A2564" s="7" t="s">
        <v>23</v>
      </c>
      <c r="B2564" s="7" t="s">
        <v>34</v>
      </c>
      <c r="C2564" s="7" t="s">
        <v>18</v>
      </c>
      <c r="D2564" s="9">
        <v>0</v>
      </c>
      <c r="E2564" s="9">
        <v>0.11</v>
      </c>
      <c r="F2564" s="9">
        <v>0</v>
      </c>
      <c r="G2564" s="9">
        <v>0</v>
      </c>
      <c r="H2564" s="9">
        <v>152.01</v>
      </c>
      <c r="I2564" s="9">
        <v>0</v>
      </c>
      <c r="J2564" s="7" t="s">
        <v>325</v>
      </c>
    </row>
    <row r="2565" spans="1:10" x14ac:dyDescent="0.35">
      <c r="A2565" s="7" t="s">
        <v>16</v>
      </c>
      <c r="B2565" s="7" t="s">
        <v>155</v>
      </c>
      <c r="C2565" s="7" t="s">
        <v>42</v>
      </c>
      <c r="D2565" s="9">
        <v>0.01</v>
      </c>
      <c r="E2565" s="9">
        <v>0</v>
      </c>
      <c r="F2565" s="9">
        <v>0</v>
      </c>
      <c r="G2565" s="9">
        <v>4.0999999999999996</v>
      </c>
      <c r="H2565" s="9">
        <v>0</v>
      </c>
      <c r="I2565" s="9">
        <v>0</v>
      </c>
      <c r="J2565" s="7" t="s">
        <v>325</v>
      </c>
    </row>
    <row r="2566" spans="1:10" x14ac:dyDescent="0.35">
      <c r="A2566" s="7" t="s">
        <v>23</v>
      </c>
      <c r="B2566" s="7" t="s">
        <v>34</v>
      </c>
      <c r="C2566" s="7" t="s">
        <v>114</v>
      </c>
      <c r="D2566" s="9">
        <v>0</v>
      </c>
      <c r="E2566" s="9">
        <v>0</v>
      </c>
      <c r="F2566" s="9">
        <v>0</v>
      </c>
      <c r="G2566" s="9">
        <v>0.12</v>
      </c>
      <c r="H2566" s="9">
        <v>0.05</v>
      </c>
      <c r="I2566" s="9">
        <v>0</v>
      </c>
      <c r="J2566" s="7" t="s">
        <v>325</v>
      </c>
    </row>
    <row r="2567" spans="1:10" x14ac:dyDescent="0.35">
      <c r="A2567" s="7" t="s">
        <v>16</v>
      </c>
      <c r="B2567" s="7" t="s">
        <v>155</v>
      </c>
      <c r="C2567" s="7" t="s">
        <v>65</v>
      </c>
      <c r="D2567" s="9">
        <v>0</v>
      </c>
      <c r="E2567" s="9">
        <v>0</v>
      </c>
      <c r="F2567" s="9">
        <v>0</v>
      </c>
      <c r="G2567" s="9">
        <v>3.52</v>
      </c>
      <c r="H2567" s="9">
        <v>0</v>
      </c>
      <c r="I2567" s="9">
        <v>0</v>
      </c>
      <c r="J2567" s="7" t="s">
        <v>325</v>
      </c>
    </row>
    <row r="2568" spans="1:10" x14ac:dyDescent="0.35">
      <c r="A2568" s="7" t="s">
        <v>16</v>
      </c>
      <c r="B2568" s="7" t="s">
        <v>155</v>
      </c>
      <c r="C2568" s="7" t="s">
        <v>48</v>
      </c>
      <c r="D2568" s="9">
        <v>0.6</v>
      </c>
      <c r="E2568" s="9">
        <v>0</v>
      </c>
      <c r="F2568" s="9">
        <v>0</v>
      </c>
      <c r="G2568" s="9">
        <v>261.14999999999998</v>
      </c>
      <c r="H2568" s="9">
        <v>2.42</v>
      </c>
      <c r="I2568" s="9">
        <v>0</v>
      </c>
      <c r="J2568" s="7" t="s">
        <v>325</v>
      </c>
    </row>
    <row r="2569" spans="1:10" x14ac:dyDescent="0.35">
      <c r="A2569" s="7" t="s">
        <v>23</v>
      </c>
      <c r="B2569" s="7" t="s">
        <v>34</v>
      </c>
      <c r="C2569" s="7" t="s">
        <v>122</v>
      </c>
      <c r="D2569" s="9">
        <v>0.01</v>
      </c>
      <c r="E2569" s="9">
        <v>0</v>
      </c>
      <c r="F2569" s="9">
        <v>0</v>
      </c>
      <c r="G2569" s="9">
        <v>15.27</v>
      </c>
      <c r="H2569" s="9">
        <v>0</v>
      </c>
      <c r="I2569" s="9">
        <v>0</v>
      </c>
      <c r="J2569" s="7" t="s">
        <v>325</v>
      </c>
    </row>
    <row r="2570" spans="1:10" x14ac:dyDescent="0.35">
      <c r="A2570" s="7" t="s">
        <v>16</v>
      </c>
      <c r="B2570" s="7" t="s">
        <v>89</v>
      </c>
      <c r="C2570" s="7" t="s">
        <v>170</v>
      </c>
      <c r="D2570" s="9">
        <v>0</v>
      </c>
      <c r="E2570" s="9">
        <v>0.01</v>
      </c>
      <c r="F2570" s="9">
        <v>0</v>
      </c>
      <c r="G2570" s="9">
        <v>3</v>
      </c>
      <c r="H2570" s="9">
        <v>0.7</v>
      </c>
      <c r="I2570" s="9">
        <v>0</v>
      </c>
      <c r="J2570" s="7" t="s">
        <v>325</v>
      </c>
    </row>
    <row r="2571" spans="1:10" x14ac:dyDescent="0.35">
      <c r="A2571" s="7" t="s">
        <v>16</v>
      </c>
      <c r="B2571" s="7" t="s">
        <v>89</v>
      </c>
      <c r="C2571" s="7" t="s">
        <v>51</v>
      </c>
      <c r="D2571" s="9">
        <v>0</v>
      </c>
      <c r="E2571" s="9">
        <v>0</v>
      </c>
      <c r="F2571" s="9">
        <v>0</v>
      </c>
      <c r="G2571" s="9">
        <v>0.11</v>
      </c>
      <c r="H2571" s="9">
        <v>0</v>
      </c>
      <c r="I2571" s="9">
        <v>0</v>
      </c>
      <c r="J2571" s="7" t="s">
        <v>325</v>
      </c>
    </row>
    <row r="2572" spans="1:10" x14ac:dyDescent="0.35">
      <c r="A2572" s="7" t="s">
        <v>16</v>
      </c>
      <c r="B2572" s="7" t="s">
        <v>89</v>
      </c>
      <c r="C2572" s="7" t="s">
        <v>69</v>
      </c>
      <c r="D2572" s="9">
        <v>0.04</v>
      </c>
      <c r="E2572" s="9">
        <v>0.02</v>
      </c>
      <c r="F2572" s="9">
        <v>0</v>
      </c>
      <c r="G2572" s="9">
        <v>4.37</v>
      </c>
      <c r="H2572" s="9">
        <v>1.52</v>
      </c>
      <c r="I2572" s="9">
        <v>0</v>
      </c>
      <c r="J2572" s="7" t="s">
        <v>325</v>
      </c>
    </row>
    <row r="2573" spans="1:10" x14ac:dyDescent="0.35">
      <c r="A2573" s="7" t="s">
        <v>16</v>
      </c>
      <c r="B2573" s="7" t="s">
        <v>89</v>
      </c>
      <c r="C2573" s="7" t="s">
        <v>55</v>
      </c>
      <c r="D2573" s="9">
        <v>0</v>
      </c>
      <c r="E2573" s="9">
        <v>0</v>
      </c>
      <c r="F2573" s="9">
        <v>0</v>
      </c>
      <c r="G2573" s="9">
        <v>0.37</v>
      </c>
      <c r="H2573" s="9">
        <v>0</v>
      </c>
      <c r="I2573" s="9">
        <v>0</v>
      </c>
      <c r="J2573" s="7" t="s">
        <v>325</v>
      </c>
    </row>
    <row r="2574" spans="1:10" x14ac:dyDescent="0.35">
      <c r="A2574" s="7" t="s">
        <v>16</v>
      </c>
      <c r="B2574" s="7" t="s">
        <v>89</v>
      </c>
      <c r="C2574" s="7" t="s">
        <v>122</v>
      </c>
      <c r="D2574" s="9">
        <v>0</v>
      </c>
      <c r="E2574" s="9">
        <v>0</v>
      </c>
      <c r="F2574" s="9">
        <v>0</v>
      </c>
      <c r="G2574" s="9">
        <v>0.54</v>
      </c>
      <c r="H2574" s="9">
        <v>0</v>
      </c>
      <c r="I2574" s="9">
        <v>0</v>
      </c>
      <c r="J2574" s="7" t="s">
        <v>325</v>
      </c>
    </row>
    <row r="2575" spans="1:10" x14ac:dyDescent="0.35">
      <c r="A2575" s="7" t="s">
        <v>16</v>
      </c>
      <c r="B2575" s="7" t="s">
        <v>89</v>
      </c>
      <c r="C2575" s="7" t="s">
        <v>59</v>
      </c>
      <c r="D2575" s="9">
        <v>0.09</v>
      </c>
      <c r="E2575" s="9">
        <v>0</v>
      </c>
      <c r="F2575" s="9">
        <v>0</v>
      </c>
      <c r="G2575" s="9">
        <v>29.5</v>
      </c>
      <c r="H2575" s="9">
        <v>0.06</v>
      </c>
      <c r="I2575" s="9">
        <v>0</v>
      </c>
      <c r="J2575" s="7" t="s">
        <v>325</v>
      </c>
    </row>
    <row r="2576" spans="1:10" x14ac:dyDescent="0.35">
      <c r="A2576" s="7" t="s">
        <v>23</v>
      </c>
      <c r="B2576" s="7" t="s">
        <v>34</v>
      </c>
      <c r="C2576" s="7" t="s">
        <v>126</v>
      </c>
      <c r="D2576" s="9">
        <v>0</v>
      </c>
      <c r="E2576" s="9">
        <v>0</v>
      </c>
      <c r="F2576" s="9">
        <v>0</v>
      </c>
      <c r="G2576" s="9">
        <v>0</v>
      </c>
      <c r="H2576" s="9">
        <v>0.08</v>
      </c>
      <c r="I2576" s="9">
        <v>0</v>
      </c>
      <c r="J2576" s="7" t="s">
        <v>325</v>
      </c>
    </row>
    <row r="2577" spans="1:10" x14ac:dyDescent="0.35">
      <c r="A2577" s="7" t="s">
        <v>16</v>
      </c>
      <c r="B2577" s="7" t="s">
        <v>89</v>
      </c>
      <c r="C2577" s="7" t="s">
        <v>150</v>
      </c>
      <c r="D2577" s="9">
        <v>0</v>
      </c>
      <c r="E2577" s="9">
        <v>0</v>
      </c>
      <c r="F2577" s="9">
        <v>0</v>
      </c>
      <c r="G2577" s="9">
        <v>0.22</v>
      </c>
      <c r="H2577" s="9">
        <v>0</v>
      </c>
      <c r="I2577" s="9">
        <v>0</v>
      </c>
      <c r="J2577" s="7" t="s">
        <v>325</v>
      </c>
    </row>
    <row r="2578" spans="1:10" x14ac:dyDescent="0.35">
      <c r="A2578" s="7" t="s">
        <v>23</v>
      </c>
      <c r="B2578" s="7" t="s">
        <v>34</v>
      </c>
      <c r="C2578" s="7" t="s">
        <v>102</v>
      </c>
      <c r="D2578" s="9">
        <v>0</v>
      </c>
      <c r="E2578" s="9">
        <v>0</v>
      </c>
      <c r="F2578" s="9">
        <v>0</v>
      </c>
      <c r="G2578" s="9">
        <v>0</v>
      </c>
      <c r="H2578" s="9">
        <v>26.15</v>
      </c>
      <c r="I2578" s="9">
        <v>0</v>
      </c>
      <c r="J2578" s="7" t="s">
        <v>325</v>
      </c>
    </row>
    <row r="2579" spans="1:10" x14ac:dyDescent="0.35">
      <c r="A2579" s="7" t="s">
        <v>23</v>
      </c>
      <c r="B2579" s="7" t="s">
        <v>34</v>
      </c>
      <c r="C2579" s="7" t="s">
        <v>170</v>
      </c>
      <c r="D2579" s="9">
        <v>0</v>
      </c>
      <c r="E2579" s="9">
        <v>7.0000000000000007E-2</v>
      </c>
      <c r="F2579" s="9">
        <v>0</v>
      </c>
      <c r="G2579" s="9">
        <v>1</v>
      </c>
      <c r="H2579" s="9">
        <v>11.42</v>
      </c>
      <c r="I2579" s="9">
        <v>0</v>
      </c>
      <c r="J2579" s="7" t="s">
        <v>325</v>
      </c>
    </row>
    <row r="2580" spans="1:10" x14ac:dyDescent="0.35">
      <c r="A2580" s="7" t="s">
        <v>16</v>
      </c>
      <c r="B2580" s="7" t="s">
        <v>89</v>
      </c>
      <c r="C2580" s="7" t="s">
        <v>179</v>
      </c>
      <c r="D2580" s="9">
        <v>0.3</v>
      </c>
      <c r="E2580" s="9">
        <v>0</v>
      </c>
      <c r="F2580" s="9">
        <v>0</v>
      </c>
      <c r="G2580" s="9">
        <v>24.48</v>
      </c>
      <c r="H2580" s="9">
        <v>0.05</v>
      </c>
      <c r="I2580" s="9">
        <v>0</v>
      </c>
      <c r="J2580" s="7" t="s">
        <v>325</v>
      </c>
    </row>
    <row r="2581" spans="1:10" x14ac:dyDescent="0.35">
      <c r="A2581" s="7" t="s">
        <v>23</v>
      </c>
      <c r="B2581" s="7" t="s">
        <v>34</v>
      </c>
      <c r="C2581" s="7" t="s">
        <v>221</v>
      </c>
      <c r="D2581" s="9">
        <v>0.14000000000000001</v>
      </c>
      <c r="E2581" s="9">
        <v>0</v>
      </c>
      <c r="F2581" s="9">
        <v>0</v>
      </c>
      <c r="G2581" s="9">
        <v>57</v>
      </c>
      <c r="H2581" s="9">
        <v>0</v>
      </c>
      <c r="I2581" s="9">
        <v>0</v>
      </c>
      <c r="J2581" s="7" t="s">
        <v>325</v>
      </c>
    </row>
    <row r="2582" spans="1:10" x14ac:dyDescent="0.35">
      <c r="A2582" s="7" t="s">
        <v>23</v>
      </c>
      <c r="B2582" s="7" t="s">
        <v>34</v>
      </c>
      <c r="C2582" s="7" t="s">
        <v>33</v>
      </c>
      <c r="D2582" s="9">
        <v>0.02</v>
      </c>
      <c r="E2582" s="9">
        <v>0.09</v>
      </c>
      <c r="F2582" s="9">
        <v>0</v>
      </c>
      <c r="G2582" s="9">
        <v>14.27</v>
      </c>
      <c r="H2582" s="9">
        <v>67.510000000000005</v>
      </c>
      <c r="I2582" s="9">
        <v>0</v>
      </c>
      <c r="J2582" s="7" t="s">
        <v>325</v>
      </c>
    </row>
    <row r="2583" spans="1:10" x14ac:dyDescent="0.35">
      <c r="A2583" s="7" t="s">
        <v>16</v>
      </c>
      <c r="B2583" s="7" t="s">
        <v>115</v>
      </c>
      <c r="C2583" s="7" t="s">
        <v>170</v>
      </c>
      <c r="D2583" s="9">
        <v>0</v>
      </c>
      <c r="E2583" s="9">
        <v>0</v>
      </c>
      <c r="F2583" s="9">
        <v>0</v>
      </c>
      <c r="G2583" s="9">
        <v>0.33</v>
      </c>
      <c r="H2583" s="9">
        <v>0</v>
      </c>
      <c r="I2583" s="9">
        <v>0</v>
      </c>
      <c r="J2583" s="7" t="s">
        <v>325</v>
      </c>
    </row>
    <row r="2584" spans="1:10" x14ac:dyDescent="0.35">
      <c r="A2584" s="7" t="s">
        <v>23</v>
      </c>
      <c r="B2584" s="7" t="s">
        <v>187</v>
      </c>
      <c r="C2584" s="7" t="s">
        <v>48</v>
      </c>
      <c r="D2584" s="9">
        <v>0.05</v>
      </c>
      <c r="E2584" s="9">
        <v>0</v>
      </c>
      <c r="F2584" s="9">
        <v>0</v>
      </c>
      <c r="G2584" s="9">
        <v>39.43</v>
      </c>
      <c r="H2584" s="9">
        <v>0</v>
      </c>
      <c r="I2584" s="9">
        <v>0</v>
      </c>
      <c r="J2584" s="7" t="s">
        <v>325</v>
      </c>
    </row>
    <row r="2585" spans="1:10" x14ac:dyDescent="0.35">
      <c r="A2585" s="7" t="s">
        <v>23</v>
      </c>
      <c r="B2585" s="7" t="s">
        <v>187</v>
      </c>
      <c r="C2585" s="7" t="s">
        <v>122</v>
      </c>
      <c r="D2585" s="9">
        <v>0</v>
      </c>
      <c r="E2585" s="9">
        <v>0</v>
      </c>
      <c r="F2585" s="9">
        <v>0</v>
      </c>
      <c r="G2585" s="9">
        <v>0.95</v>
      </c>
      <c r="H2585" s="9">
        <v>0</v>
      </c>
      <c r="I2585" s="9">
        <v>0</v>
      </c>
      <c r="J2585" s="7" t="s">
        <v>325</v>
      </c>
    </row>
    <row r="2586" spans="1:10" x14ac:dyDescent="0.35">
      <c r="A2586" s="7" t="s">
        <v>23</v>
      </c>
      <c r="B2586" s="7" t="s">
        <v>187</v>
      </c>
      <c r="C2586" s="7" t="s">
        <v>69</v>
      </c>
      <c r="D2586" s="9">
        <v>0</v>
      </c>
      <c r="E2586" s="9">
        <v>0.12</v>
      </c>
      <c r="F2586" s="9">
        <v>0</v>
      </c>
      <c r="G2586" s="9">
        <v>0</v>
      </c>
      <c r="H2586" s="9">
        <v>160</v>
      </c>
      <c r="I2586" s="9">
        <v>0</v>
      </c>
      <c r="J2586" s="7" t="s">
        <v>325</v>
      </c>
    </row>
    <row r="2587" spans="1:10" x14ac:dyDescent="0.35">
      <c r="A2587" s="7" t="s">
        <v>23</v>
      </c>
      <c r="B2587" s="7" t="s">
        <v>187</v>
      </c>
      <c r="C2587" s="7" t="s">
        <v>62</v>
      </c>
      <c r="D2587" s="9">
        <v>0.27</v>
      </c>
      <c r="E2587" s="9">
        <v>0</v>
      </c>
      <c r="F2587" s="9">
        <v>0</v>
      </c>
      <c r="G2587" s="8">
        <v>1005.93</v>
      </c>
      <c r="H2587" s="9">
        <v>0</v>
      </c>
      <c r="I2587" s="9">
        <v>0</v>
      </c>
      <c r="J2587" s="7" t="s">
        <v>325</v>
      </c>
    </row>
    <row r="2588" spans="1:10" x14ac:dyDescent="0.35">
      <c r="A2588" s="7" t="s">
        <v>23</v>
      </c>
      <c r="B2588" s="7" t="s">
        <v>187</v>
      </c>
      <c r="C2588" s="7" t="s">
        <v>54</v>
      </c>
      <c r="D2588" s="9">
        <v>0.01</v>
      </c>
      <c r="E2588" s="9">
        <v>0</v>
      </c>
      <c r="F2588" s="9">
        <v>0</v>
      </c>
      <c r="G2588" s="9">
        <v>4.46</v>
      </c>
      <c r="H2588" s="9">
        <v>0</v>
      </c>
      <c r="I2588" s="9">
        <v>0</v>
      </c>
      <c r="J2588" s="7" t="s">
        <v>325</v>
      </c>
    </row>
    <row r="2589" spans="1:10" x14ac:dyDescent="0.35">
      <c r="A2589" s="7" t="s">
        <v>23</v>
      </c>
      <c r="B2589" s="7" t="s">
        <v>187</v>
      </c>
      <c r="C2589" s="7" t="s">
        <v>113</v>
      </c>
      <c r="D2589" s="9">
        <v>0.02</v>
      </c>
      <c r="E2589" s="9">
        <v>0</v>
      </c>
      <c r="F2589" s="9">
        <v>0</v>
      </c>
      <c r="G2589" s="9">
        <v>69.06</v>
      </c>
      <c r="H2589" s="9">
        <v>0</v>
      </c>
      <c r="I2589" s="9">
        <v>0</v>
      </c>
      <c r="J2589" s="7" t="s">
        <v>325</v>
      </c>
    </row>
    <row r="2590" spans="1:10" x14ac:dyDescent="0.35">
      <c r="A2590" s="7" t="s">
        <v>16</v>
      </c>
      <c r="B2590" s="7" t="s">
        <v>115</v>
      </c>
      <c r="C2590" s="7" t="s">
        <v>150</v>
      </c>
      <c r="D2590" s="9">
        <v>0</v>
      </c>
      <c r="E2590" s="9">
        <v>0</v>
      </c>
      <c r="F2590" s="9">
        <v>0</v>
      </c>
      <c r="G2590" s="9">
        <v>0</v>
      </c>
      <c r="H2590" s="9">
        <v>0.34</v>
      </c>
      <c r="I2590" s="9">
        <v>0</v>
      </c>
      <c r="J2590" s="7" t="s">
        <v>325</v>
      </c>
    </row>
    <row r="2591" spans="1:10" x14ac:dyDescent="0.35">
      <c r="A2591" s="7" t="s">
        <v>16</v>
      </c>
      <c r="B2591" s="7" t="s">
        <v>115</v>
      </c>
      <c r="C2591" s="7" t="s">
        <v>179</v>
      </c>
      <c r="D2591" s="9">
        <v>0</v>
      </c>
      <c r="E2591" s="9">
        <v>0.01</v>
      </c>
      <c r="F2591" s="9">
        <v>0</v>
      </c>
      <c r="G2591" s="9">
        <v>0</v>
      </c>
      <c r="H2591" s="9">
        <v>0.56000000000000005</v>
      </c>
      <c r="I2591" s="9">
        <v>0</v>
      </c>
      <c r="J2591" s="7" t="s">
        <v>325</v>
      </c>
    </row>
    <row r="2592" spans="1:10" x14ac:dyDescent="0.35">
      <c r="A2592" s="7" t="s">
        <v>16</v>
      </c>
      <c r="B2592" s="7" t="s">
        <v>115</v>
      </c>
      <c r="C2592" s="7" t="s">
        <v>18</v>
      </c>
      <c r="D2592" s="9">
        <v>0.06</v>
      </c>
      <c r="E2592" s="9">
        <v>0</v>
      </c>
      <c r="F2592" s="9">
        <v>0</v>
      </c>
      <c r="G2592" s="9">
        <v>72.2</v>
      </c>
      <c r="H2592" s="9">
        <v>0</v>
      </c>
      <c r="I2592" s="9">
        <v>0</v>
      </c>
      <c r="J2592" s="7" t="s">
        <v>325</v>
      </c>
    </row>
    <row r="2593" spans="1:10" x14ac:dyDescent="0.35">
      <c r="A2593" s="7" t="s">
        <v>23</v>
      </c>
      <c r="B2593" s="7" t="s">
        <v>124</v>
      </c>
      <c r="C2593" s="7" t="s">
        <v>51</v>
      </c>
      <c r="D2593" s="9">
        <v>0</v>
      </c>
      <c r="E2593" s="9">
        <v>0.21</v>
      </c>
      <c r="F2593" s="9">
        <v>0</v>
      </c>
      <c r="G2593" s="9">
        <v>0</v>
      </c>
      <c r="H2593" s="9">
        <v>211.2</v>
      </c>
      <c r="I2593" s="9">
        <v>0</v>
      </c>
      <c r="J2593" s="7" t="s">
        <v>325</v>
      </c>
    </row>
    <row r="2594" spans="1:10" x14ac:dyDescent="0.35">
      <c r="A2594" s="7" t="s">
        <v>16</v>
      </c>
      <c r="B2594" s="7" t="s">
        <v>90</v>
      </c>
      <c r="C2594" s="7" t="s">
        <v>116</v>
      </c>
      <c r="D2594" s="9">
        <v>0.02</v>
      </c>
      <c r="E2594" s="9">
        <v>0</v>
      </c>
      <c r="F2594" s="9">
        <v>0</v>
      </c>
      <c r="G2594" s="9">
        <v>21</v>
      </c>
      <c r="H2594" s="9">
        <v>0</v>
      </c>
      <c r="I2594" s="9">
        <v>0</v>
      </c>
      <c r="J2594" s="7" t="s">
        <v>325</v>
      </c>
    </row>
    <row r="2595" spans="1:10" x14ac:dyDescent="0.35">
      <c r="A2595" s="7" t="s">
        <v>23</v>
      </c>
      <c r="B2595" s="7" t="s">
        <v>124</v>
      </c>
      <c r="C2595" s="7" t="s">
        <v>151</v>
      </c>
      <c r="D2595" s="9">
        <v>0</v>
      </c>
      <c r="E2595" s="9">
        <v>0</v>
      </c>
      <c r="F2595" s="9">
        <v>0</v>
      </c>
      <c r="G2595" s="9">
        <v>0</v>
      </c>
      <c r="H2595" s="9">
        <v>0.08</v>
      </c>
      <c r="I2595" s="9">
        <v>0</v>
      </c>
      <c r="J2595" s="7" t="s">
        <v>325</v>
      </c>
    </row>
    <row r="2596" spans="1:10" x14ac:dyDescent="0.35">
      <c r="A2596" s="7" t="s">
        <v>23</v>
      </c>
      <c r="B2596" s="7" t="s">
        <v>124</v>
      </c>
      <c r="C2596" s="7" t="s">
        <v>144</v>
      </c>
      <c r="D2596" s="9">
        <v>0</v>
      </c>
      <c r="E2596" s="9">
        <v>0</v>
      </c>
      <c r="F2596" s="9">
        <v>0</v>
      </c>
      <c r="G2596" s="9">
        <v>0</v>
      </c>
      <c r="H2596" s="9">
        <v>25.5</v>
      </c>
      <c r="I2596" s="9">
        <v>0</v>
      </c>
      <c r="J2596" s="7" t="s">
        <v>325</v>
      </c>
    </row>
    <row r="2597" spans="1:10" x14ac:dyDescent="0.35">
      <c r="A2597" s="7" t="s">
        <v>23</v>
      </c>
      <c r="B2597" s="7" t="s">
        <v>124</v>
      </c>
      <c r="C2597" s="7" t="s">
        <v>39</v>
      </c>
      <c r="D2597" s="9">
        <v>0</v>
      </c>
      <c r="E2597" s="9">
        <v>0</v>
      </c>
      <c r="F2597" s="9">
        <v>0</v>
      </c>
      <c r="G2597" s="9">
        <v>0</v>
      </c>
      <c r="H2597" s="9">
        <v>0</v>
      </c>
      <c r="I2597" s="9">
        <v>0.01</v>
      </c>
      <c r="J2597" s="7" t="s">
        <v>325</v>
      </c>
    </row>
    <row r="2598" spans="1:10" x14ac:dyDescent="0.35">
      <c r="A2598" s="7" t="s">
        <v>16</v>
      </c>
      <c r="B2598" s="7" t="s">
        <v>90</v>
      </c>
      <c r="C2598" s="7" t="s">
        <v>114</v>
      </c>
      <c r="D2598" s="9">
        <v>0.11</v>
      </c>
      <c r="E2598" s="9">
        <v>0.06</v>
      </c>
      <c r="F2598" s="9">
        <v>0</v>
      </c>
      <c r="G2598" s="9">
        <v>13.25</v>
      </c>
      <c r="H2598" s="9">
        <v>22</v>
      </c>
      <c r="I2598" s="9">
        <v>0</v>
      </c>
      <c r="J2598" s="7" t="s">
        <v>325</v>
      </c>
    </row>
    <row r="2599" spans="1:10" x14ac:dyDescent="0.35">
      <c r="A2599" s="7" t="s">
        <v>16</v>
      </c>
      <c r="B2599" s="7" t="s">
        <v>109</v>
      </c>
      <c r="C2599" s="7" t="s">
        <v>76</v>
      </c>
      <c r="D2599" s="9">
        <v>0</v>
      </c>
      <c r="E2599" s="9">
        <v>0</v>
      </c>
      <c r="F2599" s="9">
        <v>0</v>
      </c>
      <c r="G2599" s="9">
        <v>0.1</v>
      </c>
      <c r="H2599" s="9">
        <v>0</v>
      </c>
      <c r="I2599" s="9">
        <v>0</v>
      </c>
      <c r="J2599" s="7" t="s">
        <v>325</v>
      </c>
    </row>
    <row r="2600" spans="1:10" x14ac:dyDescent="0.35">
      <c r="A2600" s="7" t="s">
        <v>23</v>
      </c>
      <c r="B2600" s="7" t="s">
        <v>182</v>
      </c>
      <c r="C2600" s="7" t="s">
        <v>18</v>
      </c>
      <c r="D2600" s="9">
        <v>0</v>
      </c>
      <c r="E2600" s="9">
        <v>0</v>
      </c>
      <c r="F2600" s="9">
        <v>0</v>
      </c>
      <c r="G2600" s="9">
        <v>0</v>
      </c>
      <c r="H2600" s="9">
        <v>0.4</v>
      </c>
      <c r="I2600" s="9">
        <v>0</v>
      </c>
      <c r="J2600" s="7" t="s">
        <v>325</v>
      </c>
    </row>
    <row r="2601" spans="1:10" x14ac:dyDescent="0.35">
      <c r="A2601" s="7" t="s">
        <v>23</v>
      </c>
      <c r="B2601" s="7" t="s">
        <v>182</v>
      </c>
      <c r="C2601" s="7" t="s">
        <v>179</v>
      </c>
      <c r="D2601" s="9">
        <v>0</v>
      </c>
      <c r="E2601" s="9">
        <v>0</v>
      </c>
      <c r="F2601" s="9">
        <v>0</v>
      </c>
      <c r="G2601" s="9">
        <v>0</v>
      </c>
      <c r="H2601" s="9">
        <v>0.02</v>
      </c>
      <c r="I2601" s="9">
        <v>0</v>
      </c>
      <c r="J2601" s="7" t="s">
        <v>325</v>
      </c>
    </row>
    <row r="2602" spans="1:10" x14ac:dyDescent="0.35">
      <c r="A2602" s="7" t="s">
        <v>23</v>
      </c>
      <c r="B2602" s="7" t="s">
        <v>182</v>
      </c>
      <c r="C2602" s="7" t="s">
        <v>150</v>
      </c>
      <c r="D2602" s="9">
        <v>0</v>
      </c>
      <c r="E2602" s="9">
        <v>0</v>
      </c>
      <c r="F2602" s="9">
        <v>0</v>
      </c>
      <c r="G2602" s="9">
        <v>0</v>
      </c>
      <c r="H2602" s="9">
        <v>0.12</v>
      </c>
      <c r="I2602" s="9">
        <v>0</v>
      </c>
      <c r="J2602" s="7" t="s">
        <v>325</v>
      </c>
    </row>
    <row r="2603" spans="1:10" x14ac:dyDescent="0.35">
      <c r="A2603" s="7" t="s">
        <v>23</v>
      </c>
      <c r="B2603" s="7" t="s">
        <v>182</v>
      </c>
      <c r="C2603" s="7" t="s">
        <v>48</v>
      </c>
      <c r="D2603" s="9">
        <v>0</v>
      </c>
      <c r="E2603" s="9">
        <v>0</v>
      </c>
      <c r="F2603" s="9">
        <v>0</v>
      </c>
      <c r="G2603" s="9">
        <v>0</v>
      </c>
      <c r="H2603" s="9">
        <v>0.14000000000000001</v>
      </c>
      <c r="I2603" s="9">
        <v>0</v>
      </c>
      <c r="J2603" s="7" t="s">
        <v>325</v>
      </c>
    </row>
    <row r="2604" spans="1:10" x14ac:dyDescent="0.35">
      <c r="A2604" s="7" t="s">
        <v>23</v>
      </c>
      <c r="B2604" s="7" t="s">
        <v>182</v>
      </c>
      <c r="C2604" s="7" t="s">
        <v>122</v>
      </c>
      <c r="D2604" s="9">
        <v>0.01</v>
      </c>
      <c r="E2604" s="9">
        <v>0.01</v>
      </c>
      <c r="F2604" s="9">
        <v>0</v>
      </c>
      <c r="G2604" s="9">
        <v>0.32</v>
      </c>
      <c r="H2604" s="9">
        <v>0.83</v>
      </c>
      <c r="I2604" s="9">
        <v>0</v>
      </c>
      <c r="J2604" s="7" t="s">
        <v>325</v>
      </c>
    </row>
    <row r="2605" spans="1:10" ht="26.25" customHeight="1" x14ac:dyDescent="0.35">
      <c r="A2605" s="7" t="s">
        <v>16</v>
      </c>
      <c r="B2605" s="7" t="s">
        <v>109</v>
      </c>
      <c r="C2605" s="7" t="s">
        <v>81</v>
      </c>
      <c r="D2605" s="9">
        <v>0</v>
      </c>
      <c r="E2605" s="9">
        <v>0</v>
      </c>
      <c r="F2605" s="9">
        <v>0</v>
      </c>
      <c r="G2605" s="9">
        <v>0</v>
      </c>
      <c r="H2605" s="9">
        <v>0.47</v>
      </c>
      <c r="I2605" s="9">
        <v>0</v>
      </c>
      <c r="J2605" s="7" t="s">
        <v>325</v>
      </c>
    </row>
    <row r="2606" spans="1:10" x14ac:dyDescent="0.35">
      <c r="A2606" s="7" t="s">
        <v>23</v>
      </c>
      <c r="B2606" s="7" t="s">
        <v>182</v>
      </c>
      <c r="C2606" s="7" t="s">
        <v>39</v>
      </c>
      <c r="D2606" s="9">
        <v>0</v>
      </c>
      <c r="E2606" s="9">
        <v>0</v>
      </c>
      <c r="F2606" s="9">
        <v>0</v>
      </c>
      <c r="G2606" s="9">
        <v>0</v>
      </c>
      <c r="H2606" s="9">
        <v>7.0000000000000007E-2</v>
      </c>
      <c r="I2606" s="9">
        <v>0</v>
      </c>
      <c r="J2606" s="7" t="s">
        <v>325</v>
      </c>
    </row>
    <row r="2607" spans="1:10" x14ac:dyDescent="0.35">
      <c r="A2607" s="7" t="s">
        <v>23</v>
      </c>
      <c r="B2607" s="7" t="s">
        <v>182</v>
      </c>
      <c r="C2607" s="7" t="s">
        <v>27</v>
      </c>
      <c r="D2607" s="9">
        <v>0</v>
      </c>
      <c r="E2607" s="9">
        <v>0.01</v>
      </c>
      <c r="F2607" s="9">
        <v>0</v>
      </c>
      <c r="G2607" s="9">
        <v>0</v>
      </c>
      <c r="H2607" s="9">
        <v>1</v>
      </c>
      <c r="I2607" s="9">
        <v>0</v>
      </c>
      <c r="J2607" s="7" t="s">
        <v>325</v>
      </c>
    </row>
    <row r="2608" spans="1:10" x14ac:dyDescent="0.35">
      <c r="A2608" s="7" t="s">
        <v>16</v>
      </c>
      <c r="B2608" s="7" t="s">
        <v>109</v>
      </c>
      <c r="C2608" s="7" t="s">
        <v>142</v>
      </c>
      <c r="D2608" s="9">
        <v>0.02</v>
      </c>
      <c r="E2608" s="9">
        <v>0</v>
      </c>
      <c r="F2608" s="9">
        <v>0</v>
      </c>
      <c r="G2608" s="9">
        <v>20</v>
      </c>
      <c r="H2608" s="9">
        <v>5.7</v>
      </c>
      <c r="I2608" s="9">
        <v>0</v>
      </c>
      <c r="J2608" s="7" t="s">
        <v>325</v>
      </c>
    </row>
    <row r="2609" spans="1:10" x14ac:dyDescent="0.35">
      <c r="A2609" s="7" t="s">
        <v>23</v>
      </c>
      <c r="B2609" s="7" t="s">
        <v>182</v>
      </c>
      <c r="C2609" s="7" t="s">
        <v>54</v>
      </c>
      <c r="D2609" s="9">
        <v>0</v>
      </c>
      <c r="E2609" s="9">
        <v>0</v>
      </c>
      <c r="F2609" s="9">
        <v>0</v>
      </c>
      <c r="G2609" s="9">
        <v>1</v>
      </c>
      <c r="H2609" s="9">
        <v>0.08</v>
      </c>
      <c r="I2609" s="9">
        <v>0</v>
      </c>
      <c r="J2609" s="7" t="s">
        <v>325</v>
      </c>
    </row>
    <row r="2610" spans="1:10" x14ac:dyDescent="0.35">
      <c r="A2610" s="7" t="s">
        <v>23</v>
      </c>
      <c r="B2610" s="7" t="s">
        <v>182</v>
      </c>
      <c r="C2610" s="7" t="s">
        <v>42</v>
      </c>
      <c r="D2610" s="9">
        <v>0</v>
      </c>
      <c r="E2610" s="9">
        <v>0</v>
      </c>
      <c r="F2610" s="9">
        <v>0</v>
      </c>
      <c r="G2610" s="9">
        <v>0.41</v>
      </c>
      <c r="H2610" s="9">
        <v>5.17</v>
      </c>
      <c r="I2610" s="9">
        <v>0</v>
      </c>
      <c r="J2610" s="7" t="s">
        <v>325</v>
      </c>
    </row>
    <row r="2611" spans="1:10" x14ac:dyDescent="0.35">
      <c r="A2611" s="7" t="s">
        <v>23</v>
      </c>
      <c r="B2611" s="7" t="s">
        <v>182</v>
      </c>
      <c r="C2611" s="7" t="s">
        <v>33</v>
      </c>
      <c r="D2611" s="9">
        <v>0</v>
      </c>
      <c r="E2611" s="9">
        <v>0</v>
      </c>
      <c r="F2611" s="9">
        <v>0</v>
      </c>
      <c r="G2611" s="9">
        <v>0.1</v>
      </c>
      <c r="H2611" s="9">
        <v>4.4800000000000004</v>
      </c>
      <c r="I2611" s="9">
        <v>0</v>
      </c>
      <c r="J2611" s="7" t="s">
        <v>325</v>
      </c>
    </row>
    <row r="2612" spans="1:10" x14ac:dyDescent="0.35">
      <c r="A2612" s="7" t="s">
        <v>16</v>
      </c>
      <c r="B2612" s="7" t="s">
        <v>109</v>
      </c>
      <c r="C2612" s="7" t="s">
        <v>60</v>
      </c>
      <c r="D2612" s="9">
        <v>0</v>
      </c>
      <c r="E2612" s="9">
        <v>0</v>
      </c>
      <c r="F2612" s="9">
        <v>0</v>
      </c>
      <c r="G2612" s="9">
        <v>0.2</v>
      </c>
      <c r="H2612" s="9">
        <v>0</v>
      </c>
      <c r="I2612" s="9">
        <v>0</v>
      </c>
      <c r="J2612" s="7" t="s">
        <v>325</v>
      </c>
    </row>
    <row r="2613" spans="1:10" x14ac:dyDescent="0.35">
      <c r="A2613" s="7" t="s">
        <v>16</v>
      </c>
      <c r="B2613" s="7" t="s">
        <v>109</v>
      </c>
      <c r="C2613" s="7" t="s">
        <v>174</v>
      </c>
      <c r="D2613" s="9">
        <v>0</v>
      </c>
      <c r="E2613" s="9">
        <v>0</v>
      </c>
      <c r="F2613" s="9">
        <v>0</v>
      </c>
      <c r="G2613" s="9">
        <v>0</v>
      </c>
      <c r="H2613" s="9">
        <v>0.01</v>
      </c>
      <c r="I2613" s="9">
        <v>0</v>
      </c>
      <c r="J2613" s="7" t="s">
        <v>325</v>
      </c>
    </row>
    <row r="2614" spans="1:10" x14ac:dyDescent="0.35">
      <c r="A2614" s="7" t="s">
        <v>16</v>
      </c>
      <c r="B2614" s="7" t="s">
        <v>283</v>
      </c>
      <c r="C2614" s="7" t="s">
        <v>181</v>
      </c>
      <c r="D2614" s="9">
        <v>0</v>
      </c>
      <c r="E2614" s="9">
        <v>0.17</v>
      </c>
      <c r="F2614" s="9">
        <v>0</v>
      </c>
      <c r="G2614" s="9">
        <v>0</v>
      </c>
      <c r="H2614" s="9">
        <v>18</v>
      </c>
      <c r="I2614" s="9">
        <v>0</v>
      </c>
      <c r="J2614" s="7" t="s">
        <v>325</v>
      </c>
    </row>
    <row r="2615" spans="1:10" x14ac:dyDescent="0.35">
      <c r="A2615" s="7" t="s">
        <v>16</v>
      </c>
      <c r="B2615" s="7" t="s">
        <v>283</v>
      </c>
      <c r="C2615" s="7" t="s">
        <v>39</v>
      </c>
      <c r="D2615" s="9">
        <v>1.1100000000000001</v>
      </c>
      <c r="E2615" s="9">
        <v>1.24</v>
      </c>
      <c r="F2615" s="9">
        <v>0</v>
      </c>
      <c r="G2615" s="9">
        <v>53.72</v>
      </c>
      <c r="H2615" s="9">
        <v>45.68</v>
      </c>
      <c r="I2615" s="9">
        <v>0</v>
      </c>
      <c r="J2615" s="7" t="s">
        <v>325</v>
      </c>
    </row>
    <row r="2616" spans="1:10" x14ac:dyDescent="0.35">
      <c r="A2616" s="7" t="s">
        <v>23</v>
      </c>
      <c r="B2616" s="7" t="s">
        <v>123</v>
      </c>
      <c r="C2616" s="7" t="s">
        <v>179</v>
      </c>
      <c r="D2616" s="9">
        <v>0.02</v>
      </c>
      <c r="E2616" s="9">
        <v>0.02</v>
      </c>
      <c r="F2616" s="9">
        <v>0</v>
      </c>
      <c r="G2616" s="9">
        <v>25</v>
      </c>
      <c r="H2616" s="9">
        <v>20</v>
      </c>
      <c r="I2616" s="9">
        <v>0</v>
      </c>
      <c r="J2616" s="7" t="s">
        <v>325</v>
      </c>
    </row>
    <row r="2617" spans="1:10" x14ac:dyDescent="0.35">
      <c r="A2617" s="7" t="s">
        <v>23</v>
      </c>
      <c r="B2617" s="7" t="s">
        <v>123</v>
      </c>
      <c r="C2617" s="7" t="s">
        <v>150</v>
      </c>
      <c r="D2617" s="9">
        <v>0</v>
      </c>
      <c r="E2617" s="9">
        <v>0</v>
      </c>
      <c r="F2617" s="9">
        <v>0</v>
      </c>
      <c r="G2617" s="9">
        <v>0</v>
      </c>
      <c r="H2617" s="9">
        <v>0.08</v>
      </c>
      <c r="I2617" s="9">
        <v>0</v>
      </c>
      <c r="J2617" s="7" t="s">
        <v>325</v>
      </c>
    </row>
    <row r="2618" spans="1:10" x14ac:dyDescent="0.35">
      <c r="A2618" s="7" t="s">
        <v>16</v>
      </c>
      <c r="B2618" s="7" t="s">
        <v>135</v>
      </c>
      <c r="C2618" s="7" t="s">
        <v>181</v>
      </c>
      <c r="D2618" s="9">
        <v>0</v>
      </c>
      <c r="E2618" s="9">
        <v>0</v>
      </c>
      <c r="F2618" s="9">
        <v>0</v>
      </c>
      <c r="G2618" s="9">
        <v>0</v>
      </c>
      <c r="H2618" s="9">
        <v>0.04</v>
      </c>
      <c r="I2618" s="9">
        <v>0</v>
      </c>
      <c r="J2618" s="7" t="s">
        <v>325</v>
      </c>
    </row>
    <row r="2619" spans="1:10" x14ac:dyDescent="0.35">
      <c r="A2619" s="7" t="s">
        <v>16</v>
      </c>
      <c r="B2619" s="7" t="s">
        <v>135</v>
      </c>
      <c r="C2619" s="7" t="s">
        <v>33</v>
      </c>
      <c r="D2619" s="9">
        <v>0</v>
      </c>
      <c r="E2619" s="9">
        <v>0.01</v>
      </c>
      <c r="F2619" s="9">
        <v>0</v>
      </c>
      <c r="G2619" s="9">
        <v>0</v>
      </c>
      <c r="H2619" s="9">
        <v>3.7</v>
      </c>
      <c r="I2619" s="9">
        <v>0</v>
      </c>
      <c r="J2619" s="7" t="s">
        <v>325</v>
      </c>
    </row>
    <row r="2620" spans="1:10" x14ac:dyDescent="0.35">
      <c r="A2620" s="7" t="s">
        <v>16</v>
      </c>
      <c r="B2620" s="7" t="s">
        <v>135</v>
      </c>
      <c r="C2620" s="7" t="s">
        <v>128</v>
      </c>
      <c r="D2620" s="9">
        <v>0</v>
      </c>
      <c r="E2620" s="9">
        <v>0</v>
      </c>
      <c r="F2620" s="9">
        <v>0</v>
      </c>
      <c r="G2620" s="9">
        <v>0</v>
      </c>
      <c r="H2620" s="9">
        <v>0.1</v>
      </c>
      <c r="I2620" s="9">
        <v>0</v>
      </c>
      <c r="J2620" s="7" t="s">
        <v>325</v>
      </c>
    </row>
    <row r="2621" spans="1:10" ht="26.25" customHeight="1" x14ac:dyDescent="0.35">
      <c r="A2621" s="7" t="s">
        <v>23</v>
      </c>
      <c r="B2621" s="7" t="s">
        <v>123</v>
      </c>
      <c r="C2621" s="7" t="s">
        <v>81</v>
      </c>
      <c r="D2621" s="9">
        <v>0</v>
      </c>
      <c r="E2621" s="9">
        <v>0.04</v>
      </c>
      <c r="F2621" s="9">
        <v>0</v>
      </c>
      <c r="G2621" s="9">
        <v>5.95</v>
      </c>
      <c r="H2621" s="9">
        <v>28.81</v>
      </c>
      <c r="I2621" s="9">
        <v>0</v>
      </c>
      <c r="J2621" s="7" t="s">
        <v>325</v>
      </c>
    </row>
    <row r="2622" spans="1:10" x14ac:dyDescent="0.35">
      <c r="A2622" s="7" t="s">
        <v>16</v>
      </c>
      <c r="B2622" s="7" t="s">
        <v>135</v>
      </c>
      <c r="C2622" s="7" t="s">
        <v>126</v>
      </c>
      <c r="D2622" s="9">
        <v>0</v>
      </c>
      <c r="E2622" s="9">
        <v>0</v>
      </c>
      <c r="F2622" s="9">
        <v>0</v>
      </c>
      <c r="G2622" s="9">
        <v>0.65</v>
      </c>
      <c r="H2622" s="9">
        <v>0.03</v>
      </c>
      <c r="I2622" s="9">
        <v>0</v>
      </c>
      <c r="J2622" s="7" t="s">
        <v>325</v>
      </c>
    </row>
    <row r="2623" spans="1:10" x14ac:dyDescent="0.35">
      <c r="A2623" s="7" t="s">
        <v>23</v>
      </c>
      <c r="B2623" s="7" t="s">
        <v>123</v>
      </c>
      <c r="C2623" s="7" t="s">
        <v>76</v>
      </c>
      <c r="D2623" s="9">
        <v>0.17</v>
      </c>
      <c r="E2623" s="9">
        <v>0.45</v>
      </c>
      <c r="F2623" s="9">
        <v>0</v>
      </c>
      <c r="G2623" s="9">
        <v>477.8</v>
      </c>
      <c r="H2623" s="8">
        <v>1447.85</v>
      </c>
      <c r="I2623" s="9">
        <v>0</v>
      </c>
      <c r="J2623" s="7" t="s">
        <v>325</v>
      </c>
    </row>
    <row r="2624" spans="1:10" x14ac:dyDescent="0.35">
      <c r="A2624" s="7" t="s">
        <v>16</v>
      </c>
      <c r="B2624" s="7" t="s">
        <v>135</v>
      </c>
      <c r="C2624" s="7" t="s">
        <v>51</v>
      </c>
      <c r="D2624" s="9">
        <v>0</v>
      </c>
      <c r="E2624" s="9">
        <v>0.01</v>
      </c>
      <c r="F2624" s="9">
        <v>0</v>
      </c>
      <c r="G2624" s="9">
        <v>0.3</v>
      </c>
      <c r="H2624" s="9">
        <v>1.5</v>
      </c>
      <c r="I2624" s="9">
        <v>0</v>
      </c>
      <c r="J2624" s="7" t="s">
        <v>325</v>
      </c>
    </row>
    <row r="2625" spans="1:10" x14ac:dyDescent="0.35">
      <c r="A2625" s="7" t="s">
        <v>16</v>
      </c>
      <c r="B2625" s="7" t="s">
        <v>135</v>
      </c>
      <c r="C2625" s="7" t="s">
        <v>142</v>
      </c>
      <c r="D2625" s="9">
        <v>0</v>
      </c>
      <c r="E2625" s="9">
        <v>0</v>
      </c>
      <c r="F2625" s="9">
        <v>0</v>
      </c>
      <c r="G2625" s="9">
        <v>0.06</v>
      </c>
      <c r="H2625" s="9">
        <v>0.02</v>
      </c>
      <c r="I2625" s="9">
        <v>0</v>
      </c>
      <c r="J2625" s="7" t="s">
        <v>325</v>
      </c>
    </row>
    <row r="2626" spans="1:10" x14ac:dyDescent="0.35">
      <c r="A2626" s="7" t="s">
        <v>16</v>
      </c>
      <c r="B2626" s="7" t="s">
        <v>135</v>
      </c>
      <c r="C2626" s="7" t="s">
        <v>150</v>
      </c>
      <c r="D2626" s="9">
        <v>0</v>
      </c>
      <c r="E2626" s="9">
        <v>0</v>
      </c>
      <c r="F2626" s="9">
        <v>0</v>
      </c>
      <c r="G2626" s="9">
        <v>0.14000000000000001</v>
      </c>
      <c r="H2626" s="9">
        <v>0.2</v>
      </c>
      <c r="I2626" s="9">
        <v>0</v>
      </c>
      <c r="J2626" s="7" t="s">
        <v>325</v>
      </c>
    </row>
    <row r="2627" spans="1:10" x14ac:dyDescent="0.35">
      <c r="A2627" s="7" t="s">
        <v>16</v>
      </c>
      <c r="B2627" s="7" t="s">
        <v>135</v>
      </c>
      <c r="C2627" s="7" t="s">
        <v>84</v>
      </c>
      <c r="D2627" s="9">
        <v>0</v>
      </c>
      <c r="E2627" s="9">
        <v>0.01</v>
      </c>
      <c r="F2627" s="9">
        <v>0</v>
      </c>
      <c r="G2627" s="9">
        <v>0</v>
      </c>
      <c r="H2627" s="9">
        <v>1.1000000000000001</v>
      </c>
      <c r="I2627" s="9">
        <v>0</v>
      </c>
      <c r="J2627" s="7" t="s">
        <v>325</v>
      </c>
    </row>
    <row r="2628" spans="1:10" x14ac:dyDescent="0.35">
      <c r="A2628" s="7" t="s">
        <v>23</v>
      </c>
      <c r="B2628" s="7" t="s">
        <v>123</v>
      </c>
      <c r="C2628" s="7" t="s">
        <v>118</v>
      </c>
      <c r="D2628" s="9">
        <v>0.18</v>
      </c>
      <c r="E2628" s="9">
        <v>0</v>
      </c>
      <c r="F2628" s="9">
        <v>0</v>
      </c>
      <c r="G2628" s="9">
        <v>54.72</v>
      </c>
      <c r="H2628" s="9">
        <v>0</v>
      </c>
      <c r="I2628" s="9">
        <v>0</v>
      </c>
      <c r="J2628" s="7" t="s">
        <v>325</v>
      </c>
    </row>
    <row r="2629" spans="1:10" x14ac:dyDescent="0.35">
      <c r="A2629" s="7" t="s">
        <v>16</v>
      </c>
      <c r="B2629" s="7" t="s">
        <v>135</v>
      </c>
      <c r="C2629" s="7" t="s">
        <v>22</v>
      </c>
      <c r="D2629" s="9">
        <v>0.02</v>
      </c>
      <c r="E2629" s="9">
        <v>0</v>
      </c>
      <c r="F2629" s="9">
        <v>0</v>
      </c>
      <c r="G2629" s="9">
        <v>0.5</v>
      </c>
      <c r="H2629" s="9">
        <v>0</v>
      </c>
      <c r="I2629" s="9">
        <v>0</v>
      </c>
      <c r="J2629" s="7" t="s">
        <v>325</v>
      </c>
    </row>
    <row r="2630" spans="1:10" x14ac:dyDescent="0.35">
      <c r="A2630" s="7" t="s">
        <v>16</v>
      </c>
      <c r="B2630" s="7" t="s">
        <v>135</v>
      </c>
      <c r="C2630" s="7" t="s">
        <v>18</v>
      </c>
      <c r="D2630" s="9">
        <v>0</v>
      </c>
      <c r="E2630" s="9">
        <v>0</v>
      </c>
      <c r="F2630" s="9">
        <v>0</v>
      </c>
      <c r="G2630" s="9">
        <v>0</v>
      </c>
      <c r="H2630" s="9">
        <v>0.34</v>
      </c>
      <c r="I2630" s="9">
        <v>0</v>
      </c>
      <c r="J2630" s="7" t="s">
        <v>325</v>
      </c>
    </row>
    <row r="2631" spans="1:10" x14ac:dyDescent="0.35">
      <c r="A2631" s="7" t="s">
        <v>16</v>
      </c>
      <c r="B2631" s="7" t="s">
        <v>135</v>
      </c>
      <c r="C2631" s="7" t="s">
        <v>60</v>
      </c>
      <c r="D2631" s="9">
        <v>0</v>
      </c>
      <c r="E2631" s="9">
        <v>0</v>
      </c>
      <c r="F2631" s="9">
        <v>0</v>
      </c>
      <c r="G2631" s="9">
        <v>0</v>
      </c>
      <c r="H2631" s="9">
        <v>0</v>
      </c>
      <c r="I2631" s="9">
        <v>0</v>
      </c>
      <c r="J2631" s="7" t="s">
        <v>325</v>
      </c>
    </row>
    <row r="2632" spans="1:10" x14ac:dyDescent="0.35">
      <c r="A2632" s="7" t="s">
        <v>166</v>
      </c>
      <c r="B2632" s="7" t="s">
        <v>167</v>
      </c>
      <c r="C2632" s="7" t="s">
        <v>150</v>
      </c>
      <c r="D2632" s="9">
        <v>0.01</v>
      </c>
      <c r="E2632" s="9">
        <v>0.03</v>
      </c>
      <c r="F2632" s="9">
        <v>0</v>
      </c>
      <c r="G2632" s="9">
        <v>1.2</v>
      </c>
      <c r="H2632" s="9">
        <v>2.79</v>
      </c>
      <c r="I2632" s="9">
        <v>0</v>
      </c>
      <c r="J2632" s="7" t="s">
        <v>325</v>
      </c>
    </row>
    <row r="2633" spans="1:10" x14ac:dyDescent="0.35">
      <c r="A2633" s="7" t="s">
        <v>166</v>
      </c>
      <c r="B2633" s="7" t="s">
        <v>200</v>
      </c>
      <c r="C2633" s="7" t="s">
        <v>33</v>
      </c>
      <c r="D2633" s="9">
        <v>0</v>
      </c>
      <c r="E2633" s="9">
        <v>0</v>
      </c>
      <c r="F2633" s="9">
        <v>0</v>
      </c>
      <c r="G2633" s="9">
        <v>0</v>
      </c>
      <c r="H2633" s="9">
        <v>0.17</v>
      </c>
      <c r="I2633" s="9">
        <v>0</v>
      </c>
      <c r="J2633" s="7" t="s">
        <v>325</v>
      </c>
    </row>
    <row r="2634" spans="1:10" x14ac:dyDescent="0.35">
      <c r="A2634" s="7" t="s">
        <v>166</v>
      </c>
      <c r="B2634" s="7" t="s">
        <v>200</v>
      </c>
      <c r="C2634" s="7" t="s">
        <v>54</v>
      </c>
      <c r="D2634" s="9">
        <v>0</v>
      </c>
      <c r="E2634" s="9">
        <v>0</v>
      </c>
      <c r="F2634" s="9">
        <v>0</v>
      </c>
      <c r="G2634" s="9">
        <v>0.02</v>
      </c>
      <c r="H2634" s="9">
        <v>0.65</v>
      </c>
      <c r="I2634" s="9">
        <v>0</v>
      </c>
      <c r="J2634" s="7" t="s">
        <v>325</v>
      </c>
    </row>
    <row r="2635" spans="1:10" x14ac:dyDescent="0.35">
      <c r="A2635" s="7" t="s">
        <v>166</v>
      </c>
      <c r="B2635" s="7" t="s">
        <v>200</v>
      </c>
      <c r="C2635" s="7" t="s">
        <v>151</v>
      </c>
      <c r="D2635" s="9">
        <v>0</v>
      </c>
      <c r="E2635" s="9">
        <v>0</v>
      </c>
      <c r="F2635" s="9">
        <v>0</v>
      </c>
      <c r="G2635" s="9">
        <v>0.01</v>
      </c>
      <c r="H2635" s="9">
        <v>0</v>
      </c>
      <c r="I2635" s="9">
        <v>0</v>
      </c>
      <c r="J2635" s="7" t="s">
        <v>325</v>
      </c>
    </row>
    <row r="2636" spans="1:10" x14ac:dyDescent="0.35">
      <c r="A2636" s="7" t="s">
        <v>166</v>
      </c>
      <c r="B2636" s="7" t="s">
        <v>200</v>
      </c>
      <c r="C2636" s="7" t="s">
        <v>53</v>
      </c>
      <c r="D2636" s="9">
        <v>0</v>
      </c>
      <c r="E2636" s="9">
        <v>0</v>
      </c>
      <c r="F2636" s="9">
        <v>0</v>
      </c>
      <c r="G2636" s="9">
        <v>0</v>
      </c>
      <c r="H2636" s="9">
        <v>0.13</v>
      </c>
      <c r="I2636" s="9">
        <v>0</v>
      </c>
      <c r="J2636" s="7" t="s">
        <v>325</v>
      </c>
    </row>
    <row r="2637" spans="1:10" x14ac:dyDescent="0.35">
      <c r="A2637" s="7" t="s">
        <v>23</v>
      </c>
      <c r="B2637" s="7" t="s">
        <v>228</v>
      </c>
      <c r="C2637" s="7" t="s">
        <v>144</v>
      </c>
      <c r="D2637" s="9">
        <v>0</v>
      </c>
      <c r="E2637" s="9">
        <v>0</v>
      </c>
      <c r="F2637" s="9">
        <v>0</v>
      </c>
      <c r="G2637" s="9">
        <v>0</v>
      </c>
      <c r="H2637" s="9">
        <v>0.03</v>
      </c>
      <c r="I2637" s="9">
        <v>0.01</v>
      </c>
      <c r="J2637" s="7" t="s">
        <v>325</v>
      </c>
    </row>
    <row r="2638" spans="1:10" x14ac:dyDescent="0.35">
      <c r="A2638" s="7" t="s">
        <v>166</v>
      </c>
      <c r="B2638" s="7" t="s">
        <v>248</v>
      </c>
      <c r="C2638" s="7" t="s">
        <v>33</v>
      </c>
      <c r="D2638" s="9">
        <v>0</v>
      </c>
      <c r="E2638" s="9">
        <v>0</v>
      </c>
      <c r="F2638" s="9">
        <v>0</v>
      </c>
      <c r="G2638" s="9">
        <v>0.28999999999999998</v>
      </c>
      <c r="H2638" s="9">
        <v>0.05</v>
      </c>
      <c r="I2638" s="9">
        <v>0</v>
      </c>
      <c r="J2638" s="7" t="s">
        <v>325</v>
      </c>
    </row>
    <row r="2639" spans="1:10" x14ac:dyDescent="0.35">
      <c r="A2639" s="7" t="s">
        <v>23</v>
      </c>
      <c r="B2639" s="7" t="s">
        <v>228</v>
      </c>
      <c r="C2639" s="7" t="s">
        <v>170</v>
      </c>
      <c r="D2639" s="9">
        <v>0.05</v>
      </c>
      <c r="E2639" s="9">
        <v>0</v>
      </c>
      <c r="F2639" s="9">
        <v>0</v>
      </c>
      <c r="G2639" s="9">
        <v>56</v>
      </c>
      <c r="H2639" s="9">
        <v>0</v>
      </c>
      <c r="I2639" s="9">
        <v>0</v>
      </c>
      <c r="J2639" s="7" t="s">
        <v>325</v>
      </c>
    </row>
    <row r="2640" spans="1:10" x14ac:dyDescent="0.35">
      <c r="A2640" s="7" t="s">
        <v>23</v>
      </c>
      <c r="B2640" s="7" t="s">
        <v>228</v>
      </c>
      <c r="C2640" s="7" t="s">
        <v>181</v>
      </c>
      <c r="D2640" s="9">
        <v>0</v>
      </c>
      <c r="E2640" s="9">
        <v>0.65</v>
      </c>
      <c r="F2640" s="9">
        <v>0</v>
      </c>
      <c r="G2640" s="9">
        <v>0</v>
      </c>
      <c r="H2640" s="9">
        <v>83.6</v>
      </c>
      <c r="I2640" s="9">
        <v>0</v>
      </c>
      <c r="J2640" s="7" t="s">
        <v>325</v>
      </c>
    </row>
    <row r="2641" spans="1:10" x14ac:dyDescent="0.35">
      <c r="A2641" s="7" t="s">
        <v>23</v>
      </c>
      <c r="B2641" s="7" t="s">
        <v>185</v>
      </c>
      <c r="C2641" s="7" t="s">
        <v>59</v>
      </c>
      <c r="D2641" s="9">
        <v>0</v>
      </c>
      <c r="E2641" s="9">
        <v>0</v>
      </c>
      <c r="F2641" s="9">
        <v>0</v>
      </c>
      <c r="G2641" s="9">
        <v>0.2</v>
      </c>
      <c r="H2641" s="9">
        <v>0</v>
      </c>
      <c r="I2641" s="9">
        <v>0</v>
      </c>
      <c r="J2641" s="7" t="s">
        <v>325</v>
      </c>
    </row>
    <row r="2642" spans="1:10" x14ac:dyDescent="0.35">
      <c r="A2642" s="7" t="s">
        <v>166</v>
      </c>
      <c r="B2642" s="7" t="s">
        <v>248</v>
      </c>
      <c r="C2642" s="7" t="s">
        <v>42</v>
      </c>
      <c r="D2642" s="9">
        <v>0</v>
      </c>
      <c r="E2642" s="9">
        <v>0</v>
      </c>
      <c r="F2642" s="9">
        <v>0</v>
      </c>
      <c r="G2642" s="9">
        <v>0.66</v>
      </c>
      <c r="H2642" s="9">
        <v>1.88</v>
      </c>
      <c r="I2642" s="9">
        <v>0</v>
      </c>
      <c r="J2642" s="7" t="s">
        <v>325</v>
      </c>
    </row>
    <row r="2643" spans="1:10" x14ac:dyDescent="0.35">
      <c r="A2643" s="7" t="s">
        <v>23</v>
      </c>
      <c r="B2643" s="7" t="s">
        <v>185</v>
      </c>
      <c r="C2643" s="7" t="s">
        <v>51</v>
      </c>
      <c r="D2643" s="9">
        <v>0.1</v>
      </c>
      <c r="E2643" s="9">
        <v>0</v>
      </c>
      <c r="F2643" s="9">
        <v>0</v>
      </c>
      <c r="G2643" s="9">
        <v>233.44</v>
      </c>
      <c r="H2643" s="9">
        <v>0</v>
      </c>
      <c r="I2643" s="9">
        <v>0</v>
      </c>
      <c r="J2643" s="7" t="s">
        <v>325</v>
      </c>
    </row>
    <row r="2644" spans="1:10" x14ac:dyDescent="0.35">
      <c r="A2644" s="7" t="s">
        <v>23</v>
      </c>
      <c r="B2644" s="7" t="s">
        <v>185</v>
      </c>
      <c r="C2644" s="7" t="s">
        <v>62</v>
      </c>
      <c r="D2644" s="9">
        <v>0.03</v>
      </c>
      <c r="E2644" s="9">
        <v>0</v>
      </c>
      <c r="F2644" s="9">
        <v>0</v>
      </c>
      <c r="G2644" s="9">
        <v>108.16</v>
      </c>
      <c r="H2644" s="9">
        <v>0</v>
      </c>
      <c r="I2644" s="9">
        <v>0</v>
      </c>
      <c r="J2644" s="7" t="s">
        <v>325</v>
      </c>
    </row>
    <row r="2645" spans="1:10" x14ac:dyDescent="0.35">
      <c r="A2645" s="7" t="s">
        <v>23</v>
      </c>
      <c r="B2645" s="7" t="s">
        <v>185</v>
      </c>
      <c r="C2645" s="7" t="s">
        <v>39</v>
      </c>
      <c r="D2645" s="9">
        <v>0</v>
      </c>
      <c r="E2645" s="9">
        <v>0.01</v>
      </c>
      <c r="F2645" s="9">
        <v>0</v>
      </c>
      <c r="G2645" s="9">
        <v>0</v>
      </c>
      <c r="H2645" s="9">
        <v>57.9</v>
      </c>
      <c r="I2645" s="9">
        <v>0</v>
      </c>
      <c r="J2645" s="7" t="s">
        <v>325</v>
      </c>
    </row>
    <row r="2646" spans="1:10" x14ac:dyDescent="0.35">
      <c r="A2646" s="7" t="s">
        <v>166</v>
      </c>
      <c r="B2646" s="7" t="s">
        <v>248</v>
      </c>
      <c r="C2646" s="7" t="s">
        <v>54</v>
      </c>
      <c r="D2646" s="9">
        <v>0</v>
      </c>
      <c r="E2646" s="9">
        <v>0.01</v>
      </c>
      <c r="F2646" s="9">
        <v>0</v>
      </c>
      <c r="G2646" s="9">
        <v>0</v>
      </c>
      <c r="H2646" s="9">
        <v>1.6</v>
      </c>
      <c r="I2646" s="9">
        <v>0</v>
      </c>
      <c r="J2646" s="7" t="s">
        <v>325</v>
      </c>
    </row>
    <row r="2647" spans="1:10" x14ac:dyDescent="0.35">
      <c r="A2647" s="7" t="s">
        <v>166</v>
      </c>
      <c r="B2647" s="7" t="s">
        <v>248</v>
      </c>
      <c r="C2647" s="7" t="s">
        <v>39</v>
      </c>
      <c r="D2647" s="9">
        <v>0</v>
      </c>
      <c r="E2647" s="9">
        <v>0</v>
      </c>
      <c r="F2647" s="9">
        <v>0</v>
      </c>
      <c r="G2647" s="9">
        <v>0</v>
      </c>
      <c r="H2647" s="9">
        <v>0</v>
      </c>
      <c r="I2647" s="9">
        <v>0.02</v>
      </c>
      <c r="J2647" s="7" t="s">
        <v>325</v>
      </c>
    </row>
    <row r="2648" spans="1:10" x14ac:dyDescent="0.35">
      <c r="A2648" s="7" t="s">
        <v>23</v>
      </c>
      <c r="B2648" s="7" t="s">
        <v>185</v>
      </c>
      <c r="C2648" s="7" t="s">
        <v>33</v>
      </c>
      <c r="D2648" s="9">
        <v>0.11</v>
      </c>
      <c r="E2648" s="9">
        <v>0</v>
      </c>
      <c r="F2648" s="9">
        <v>0</v>
      </c>
      <c r="G2648" s="9">
        <v>140.46</v>
      </c>
      <c r="H2648" s="9">
        <v>0</v>
      </c>
      <c r="I2648" s="9">
        <v>0</v>
      </c>
      <c r="J2648" s="7" t="s">
        <v>325</v>
      </c>
    </row>
    <row r="2649" spans="1:10" x14ac:dyDescent="0.35">
      <c r="A2649" s="7" t="s">
        <v>166</v>
      </c>
      <c r="B2649" s="7" t="s">
        <v>248</v>
      </c>
      <c r="C2649" s="7" t="s">
        <v>55</v>
      </c>
      <c r="D2649" s="9">
        <v>0</v>
      </c>
      <c r="E2649" s="9">
        <v>0</v>
      </c>
      <c r="F2649" s="9">
        <v>0</v>
      </c>
      <c r="G2649" s="9">
        <v>0.89</v>
      </c>
      <c r="H2649" s="9">
        <v>0.46</v>
      </c>
      <c r="I2649" s="9">
        <v>0</v>
      </c>
      <c r="J2649" s="7" t="s">
        <v>325</v>
      </c>
    </row>
    <row r="2650" spans="1:10" x14ac:dyDescent="0.35">
      <c r="A2650" s="7" t="s">
        <v>23</v>
      </c>
      <c r="B2650" s="7" t="s">
        <v>284</v>
      </c>
      <c r="C2650" s="7" t="s">
        <v>27</v>
      </c>
      <c r="D2650" s="9">
        <v>0.01</v>
      </c>
      <c r="E2650" s="9">
        <v>0</v>
      </c>
      <c r="F2650" s="9">
        <v>0</v>
      </c>
      <c r="G2650" s="9">
        <v>20</v>
      </c>
      <c r="H2650" s="9">
        <v>0</v>
      </c>
      <c r="I2650" s="9">
        <v>0</v>
      </c>
      <c r="J2650" s="7" t="s">
        <v>325</v>
      </c>
    </row>
    <row r="2651" spans="1:10" x14ac:dyDescent="0.35">
      <c r="A2651" s="7" t="s">
        <v>166</v>
      </c>
      <c r="B2651" s="7" t="s">
        <v>248</v>
      </c>
      <c r="C2651" s="7" t="s">
        <v>122</v>
      </c>
      <c r="D2651" s="9">
        <v>0</v>
      </c>
      <c r="E2651" s="9">
        <v>0</v>
      </c>
      <c r="F2651" s="9">
        <v>0</v>
      </c>
      <c r="G2651" s="9">
        <v>0</v>
      </c>
      <c r="H2651" s="9">
        <v>0.61</v>
      </c>
      <c r="I2651" s="9">
        <v>0</v>
      </c>
      <c r="J2651" s="7" t="s">
        <v>325</v>
      </c>
    </row>
    <row r="2652" spans="1:10" x14ac:dyDescent="0.35">
      <c r="A2652" s="7" t="s">
        <v>166</v>
      </c>
      <c r="B2652" s="7" t="s">
        <v>248</v>
      </c>
      <c r="C2652" s="7" t="s">
        <v>48</v>
      </c>
      <c r="D2652" s="9">
        <v>0.02</v>
      </c>
      <c r="E2652" s="9">
        <v>0</v>
      </c>
      <c r="F2652" s="9">
        <v>0</v>
      </c>
      <c r="G2652" s="9">
        <v>10.58</v>
      </c>
      <c r="H2652" s="9">
        <v>0</v>
      </c>
      <c r="I2652" s="9">
        <v>0</v>
      </c>
      <c r="J2652" s="7" t="s">
        <v>325</v>
      </c>
    </row>
    <row r="2653" spans="1:10" x14ac:dyDescent="0.35">
      <c r="A2653" s="7" t="s">
        <v>86</v>
      </c>
      <c r="B2653" s="7" t="s">
        <v>207</v>
      </c>
      <c r="C2653" s="7" t="s">
        <v>170</v>
      </c>
      <c r="D2653" s="9">
        <v>0</v>
      </c>
      <c r="E2653" s="9">
        <v>1.02</v>
      </c>
      <c r="F2653" s="9">
        <v>0</v>
      </c>
      <c r="G2653" s="9">
        <v>0.36</v>
      </c>
      <c r="H2653" s="9">
        <v>133.12</v>
      </c>
      <c r="I2653" s="9">
        <v>0</v>
      </c>
      <c r="J2653" s="7" t="s">
        <v>325</v>
      </c>
    </row>
    <row r="2654" spans="1:10" ht="26.25" customHeight="1" x14ac:dyDescent="0.35">
      <c r="A2654" s="7" t="s">
        <v>31</v>
      </c>
      <c r="B2654" s="7" t="s">
        <v>171</v>
      </c>
      <c r="C2654" s="7" t="s">
        <v>81</v>
      </c>
      <c r="D2654" s="9">
        <v>0</v>
      </c>
      <c r="E2654" s="9">
        <v>0</v>
      </c>
      <c r="F2654" s="9">
        <v>0</v>
      </c>
      <c r="G2654" s="9">
        <v>1.5</v>
      </c>
      <c r="H2654" s="9">
        <v>0</v>
      </c>
      <c r="I2654" s="9">
        <v>0</v>
      </c>
      <c r="J2654" s="7" t="s">
        <v>325</v>
      </c>
    </row>
    <row r="2655" spans="1:10" x14ac:dyDescent="0.35">
      <c r="A2655" s="7" t="s">
        <v>86</v>
      </c>
      <c r="B2655" s="7" t="s">
        <v>207</v>
      </c>
      <c r="C2655" s="7" t="s">
        <v>102</v>
      </c>
      <c r="D2655" s="9">
        <v>0</v>
      </c>
      <c r="E2655" s="9">
        <v>0</v>
      </c>
      <c r="F2655" s="9">
        <v>0</v>
      </c>
      <c r="G2655" s="9">
        <v>0</v>
      </c>
      <c r="H2655" s="9">
        <v>0.01</v>
      </c>
      <c r="I2655" s="9">
        <v>0</v>
      </c>
      <c r="J2655" s="7" t="s">
        <v>325</v>
      </c>
    </row>
    <row r="2656" spans="1:10" x14ac:dyDescent="0.35">
      <c r="A2656" s="7" t="s">
        <v>31</v>
      </c>
      <c r="B2656" s="7" t="s">
        <v>171</v>
      </c>
      <c r="C2656" s="7" t="s">
        <v>76</v>
      </c>
      <c r="D2656" s="9">
        <v>0.12</v>
      </c>
      <c r="E2656" s="9">
        <v>0.04</v>
      </c>
      <c r="F2656" s="9">
        <v>0</v>
      </c>
      <c r="G2656" s="9">
        <v>335.73</v>
      </c>
      <c r="H2656" s="9">
        <v>84.41</v>
      </c>
      <c r="I2656" s="9">
        <v>0.09</v>
      </c>
      <c r="J2656" s="7" t="s">
        <v>325</v>
      </c>
    </row>
    <row r="2657" spans="1:10" x14ac:dyDescent="0.35">
      <c r="A2657" s="7" t="s">
        <v>86</v>
      </c>
      <c r="B2657" s="7" t="s">
        <v>207</v>
      </c>
      <c r="C2657" s="7" t="s">
        <v>45</v>
      </c>
      <c r="D2657" s="9">
        <v>0</v>
      </c>
      <c r="E2657" s="9">
        <v>0</v>
      </c>
      <c r="F2657" s="9">
        <v>0</v>
      </c>
      <c r="G2657" s="9">
        <v>0</v>
      </c>
      <c r="H2657" s="9">
        <v>1.32</v>
      </c>
      <c r="I2657" s="9">
        <v>0</v>
      </c>
      <c r="J2657" s="7" t="s">
        <v>325</v>
      </c>
    </row>
    <row r="2658" spans="1:10" x14ac:dyDescent="0.35">
      <c r="A2658" s="7" t="s">
        <v>31</v>
      </c>
      <c r="B2658" s="7" t="s">
        <v>171</v>
      </c>
      <c r="C2658" s="7" t="s">
        <v>69</v>
      </c>
      <c r="D2658" s="9">
        <v>0</v>
      </c>
      <c r="E2658" s="9">
        <v>0.01</v>
      </c>
      <c r="F2658" s="9">
        <v>0</v>
      </c>
      <c r="G2658" s="9">
        <v>0</v>
      </c>
      <c r="H2658" s="9">
        <v>4.99</v>
      </c>
      <c r="I2658" s="9">
        <v>0</v>
      </c>
      <c r="J2658" s="7" t="s">
        <v>325</v>
      </c>
    </row>
    <row r="2659" spans="1:10" x14ac:dyDescent="0.35">
      <c r="A2659" s="7" t="s">
        <v>31</v>
      </c>
      <c r="B2659" s="7" t="s">
        <v>171</v>
      </c>
      <c r="C2659" s="7" t="s">
        <v>62</v>
      </c>
      <c r="D2659" s="9">
        <v>0</v>
      </c>
      <c r="E2659" s="9">
        <v>0.18</v>
      </c>
      <c r="F2659" s="9">
        <v>0</v>
      </c>
      <c r="G2659" s="9">
        <v>0</v>
      </c>
      <c r="H2659" s="9">
        <v>792.66</v>
      </c>
      <c r="I2659" s="9">
        <v>0</v>
      </c>
      <c r="J2659" s="7" t="s">
        <v>325</v>
      </c>
    </row>
    <row r="2660" spans="1:10" x14ac:dyDescent="0.35">
      <c r="A2660" s="7" t="s">
        <v>31</v>
      </c>
      <c r="B2660" s="7" t="s">
        <v>171</v>
      </c>
      <c r="C2660" s="7" t="s">
        <v>151</v>
      </c>
      <c r="D2660" s="9">
        <v>0</v>
      </c>
      <c r="E2660" s="9">
        <v>0</v>
      </c>
      <c r="F2660" s="9">
        <v>0</v>
      </c>
      <c r="G2660" s="9">
        <v>0.24</v>
      </c>
      <c r="H2660" s="9">
        <v>0</v>
      </c>
      <c r="I2660" s="9">
        <v>0</v>
      </c>
      <c r="J2660" s="7" t="s">
        <v>325</v>
      </c>
    </row>
    <row r="2661" spans="1:10" x14ac:dyDescent="0.35">
      <c r="A2661" s="7" t="s">
        <v>31</v>
      </c>
      <c r="B2661" s="7" t="s">
        <v>171</v>
      </c>
      <c r="C2661" s="7" t="s">
        <v>65</v>
      </c>
      <c r="D2661" s="9">
        <v>0</v>
      </c>
      <c r="E2661" s="9">
        <v>0</v>
      </c>
      <c r="F2661" s="9">
        <v>0</v>
      </c>
      <c r="G2661" s="9">
        <v>0</v>
      </c>
      <c r="H2661" s="9">
        <v>0.8</v>
      </c>
      <c r="I2661" s="9">
        <v>0</v>
      </c>
      <c r="J2661" s="7" t="s">
        <v>325</v>
      </c>
    </row>
    <row r="2662" spans="1:10" x14ac:dyDescent="0.35">
      <c r="A2662" s="7" t="s">
        <v>31</v>
      </c>
      <c r="B2662" s="7" t="s">
        <v>171</v>
      </c>
      <c r="C2662" s="7" t="s">
        <v>126</v>
      </c>
      <c r="D2662" s="9">
        <v>0</v>
      </c>
      <c r="E2662" s="9">
        <v>0</v>
      </c>
      <c r="F2662" s="9">
        <v>0</v>
      </c>
      <c r="G2662" s="9">
        <v>0</v>
      </c>
      <c r="H2662" s="9">
        <v>12.02</v>
      </c>
      <c r="I2662" s="9">
        <v>0</v>
      </c>
      <c r="J2662" s="7" t="s">
        <v>325</v>
      </c>
    </row>
    <row r="2663" spans="1:10" x14ac:dyDescent="0.35">
      <c r="A2663" s="7" t="s">
        <v>86</v>
      </c>
      <c r="B2663" s="7" t="s">
        <v>207</v>
      </c>
      <c r="C2663" s="7" t="s">
        <v>151</v>
      </c>
      <c r="D2663" s="9">
        <v>0</v>
      </c>
      <c r="E2663" s="9">
        <v>0.02</v>
      </c>
      <c r="F2663" s="9">
        <v>0</v>
      </c>
      <c r="G2663" s="9">
        <v>0</v>
      </c>
      <c r="H2663" s="9">
        <v>3.57</v>
      </c>
      <c r="I2663" s="9">
        <v>0</v>
      </c>
      <c r="J2663" s="7" t="s">
        <v>325</v>
      </c>
    </row>
    <row r="2664" spans="1:10" x14ac:dyDescent="0.35">
      <c r="A2664" s="7" t="s">
        <v>86</v>
      </c>
      <c r="B2664" s="7" t="s">
        <v>207</v>
      </c>
      <c r="C2664" s="7" t="s">
        <v>46</v>
      </c>
      <c r="D2664" s="9">
        <v>0</v>
      </c>
      <c r="E2664" s="9">
        <v>0</v>
      </c>
      <c r="F2664" s="9">
        <v>0</v>
      </c>
      <c r="G2664" s="9">
        <v>0</v>
      </c>
      <c r="H2664" s="9">
        <v>0.5</v>
      </c>
      <c r="I2664" s="9">
        <v>0</v>
      </c>
      <c r="J2664" s="7" t="s">
        <v>325</v>
      </c>
    </row>
    <row r="2665" spans="1:10" x14ac:dyDescent="0.35">
      <c r="A2665" s="7" t="s">
        <v>31</v>
      </c>
      <c r="B2665" s="7" t="s">
        <v>171</v>
      </c>
      <c r="C2665" s="7" t="s">
        <v>116</v>
      </c>
      <c r="D2665" s="9">
        <v>0</v>
      </c>
      <c r="E2665" s="9">
        <v>0.01</v>
      </c>
      <c r="F2665" s="9">
        <v>0</v>
      </c>
      <c r="G2665" s="9">
        <v>0</v>
      </c>
      <c r="H2665" s="9">
        <v>73.13</v>
      </c>
      <c r="I2665" s="9">
        <v>0</v>
      </c>
      <c r="J2665" s="7" t="s">
        <v>325</v>
      </c>
    </row>
    <row r="2666" spans="1:10" x14ac:dyDescent="0.35">
      <c r="A2666" s="7" t="s">
        <v>86</v>
      </c>
      <c r="B2666" s="7" t="s">
        <v>207</v>
      </c>
      <c r="C2666" s="7" t="s">
        <v>51</v>
      </c>
      <c r="D2666" s="9">
        <v>0</v>
      </c>
      <c r="E2666" s="9">
        <v>0</v>
      </c>
      <c r="F2666" s="9">
        <v>0</v>
      </c>
      <c r="G2666" s="9">
        <v>0</v>
      </c>
      <c r="H2666" s="9">
        <v>0.26</v>
      </c>
      <c r="I2666" s="9">
        <v>0</v>
      </c>
      <c r="J2666" s="7" t="s">
        <v>325</v>
      </c>
    </row>
    <row r="2667" spans="1:10" x14ac:dyDescent="0.35">
      <c r="A2667" s="7" t="s">
        <v>86</v>
      </c>
      <c r="B2667" s="7" t="s">
        <v>207</v>
      </c>
      <c r="C2667" s="7" t="s">
        <v>122</v>
      </c>
      <c r="D2667" s="9">
        <v>0</v>
      </c>
      <c r="E2667" s="9">
        <v>0</v>
      </c>
      <c r="F2667" s="9">
        <v>0</v>
      </c>
      <c r="G2667" s="9">
        <v>0</v>
      </c>
      <c r="H2667" s="9">
        <v>1.87</v>
      </c>
      <c r="I2667" s="9">
        <v>0</v>
      </c>
      <c r="J2667" s="7" t="s">
        <v>325</v>
      </c>
    </row>
    <row r="2668" spans="1:10" x14ac:dyDescent="0.35">
      <c r="A2668" s="7" t="s">
        <v>31</v>
      </c>
      <c r="B2668" s="7" t="s">
        <v>169</v>
      </c>
      <c r="C2668" s="7" t="s">
        <v>84</v>
      </c>
      <c r="D2668" s="9">
        <v>7.0000000000000007E-2</v>
      </c>
      <c r="E2668" s="9">
        <v>0</v>
      </c>
      <c r="F2668" s="9">
        <v>0</v>
      </c>
      <c r="G2668" s="9">
        <v>20</v>
      </c>
      <c r="H2668" s="9">
        <v>0</v>
      </c>
      <c r="I2668" s="9">
        <v>0</v>
      </c>
      <c r="J2668" s="7" t="s">
        <v>325</v>
      </c>
    </row>
    <row r="2669" spans="1:10" x14ac:dyDescent="0.35">
      <c r="A2669" s="7" t="s">
        <v>31</v>
      </c>
      <c r="B2669" s="7" t="s">
        <v>169</v>
      </c>
      <c r="C2669" s="7" t="s">
        <v>48</v>
      </c>
      <c r="D2669" s="9">
        <v>0.04</v>
      </c>
      <c r="E2669" s="9">
        <v>0</v>
      </c>
      <c r="F2669" s="9">
        <v>0</v>
      </c>
      <c r="G2669" s="9">
        <v>72.05</v>
      </c>
      <c r="H2669" s="9">
        <v>0</v>
      </c>
      <c r="I2669" s="9">
        <v>0</v>
      </c>
      <c r="J2669" s="7" t="s">
        <v>325</v>
      </c>
    </row>
    <row r="2670" spans="1:10" x14ac:dyDescent="0.35">
      <c r="A2670" s="7" t="s">
        <v>31</v>
      </c>
      <c r="B2670" s="7" t="s">
        <v>169</v>
      </c>
      <c r="C2670" s="7" t="s">
        <v>55</v>
      </c>
      <c r="D2670" s="9">
        <v>0.1</v>
      </c>
      <c r="E2670" s="9">
        <v>0.21</v>
      </c>
      <c r="F2670" s="9">
        <v>0</v>
      </c>
      <c r="G2670" s="9">
        <v>297.89999999999998</v>
      </c>
      <c r="H2670" s="9">
        <v>750</v>
      </c>
      <c r="I2670" s="9">
        <v>0</v>
      </c>
      <c r="J2670" s="7" t="s">
        <v>325</v>
      </c>
    </row>
    <row r="2671" spans="1:10" x14ac:dyDescent="0.35">
      <c r="A2671" s="7" t="s">
        <v>31</v>
      </c>
      <c r="B2671" s="7" t="s">
        <v>169</v>
      </c>
      <c r="C2671" s="7" t="s">
        <v>53</v>
      </c>
      <c r="D2671" s="9">
        <v>0.04</v>
      </c>
      <c r="E2671" s="9">
        <v>0</v>
      </c>
      <c r="F2671" s="9">
        <v>0</v>
      </c>
      <c r="G2671" s="9">
        <v>57.9</v>
      </c>
      <c r="H2671" s="9">
        <v>0</v>
      </c>
      <c r="I2671" s="9">
        <v>0</v>
      </c>
      <c r="J2671" s="7" t="s">
        <v>325</v>
      </c>
    </row>
    <row r="2672" spans="1:10" x14ac:dyDescent="0.35">
      <c r="A2672" s="7" t="s">
        <v>86</v>
      </c>
      <c r="B2672" s="7" t="s">
        <v>106</v>
      </c>
      <c r="C2672" s="7" t="s">
        <v>181</v>
      </c>
      <c r="D2672" s="9">
        <v>0</v>
      </c>
      <c r="E2672" s="9">
        <v>0</v>
      </c>
      <c r="F2672" s="9">
        <v>0</v>
      </c>
      <c r="G2672" s="9">
        <v>0.37</v>
      </c>
      <c r="H2672" s="9">
        <v>0</v>
      </c>
      <c r="I2672" s="9">
        <v>0</v>
      </c>
      <c r="J2672" s="7" t="s">
        <v>325</v>
      </c>
    </row>
    <row r="2673" spans="1:10" x14ac:dyDescent="0.35">
      <c r="A2673" s="7" t="s">
        <v>31</v>
      </c>
      <c r="B2673" s="7" t="s">
        <v>169</v>
      </c>
      <c r="C2673" s="7" t="s">
        <v>39</v>
      </c>
      <c r="D2673" s="9">
        <v>0.01</v>
      </c>
      <c r="E2673" s="9">
        <v>0</v>
      </c>
      <c r="F2673" s="9">
        <v>0</v>
      </c>
      <c r="G2673" s="9">
        <v>15</v>
      </c>
      <c r="H2673" s="9">
        <v>0</v>
      </c>
      <c r="I2673" s="9">
        <v>0</v>
      </c>
      <c r="J2673" s="7" t="s">
        <v>325</v>
      </c>
    </row>
    <row r="2674" spans="1:10" x14ac:dyDescent="0.35">
      <c r="A2674" s="7" t="s">
        <v>31</v>
      </c>
      <c r="B2674" s="7" t="s">
        <v>169</v>
      </c>
      <c r="C2674" s="7" t="s">
        <v>27</v>
      </c>
      <c r="D2674" s="9">
        <v>0</v>
      </c>
      <c r="E2674" s="9">
        <v>0.04</v>
      </c>
      <c r="F2674" s="9">
        <v>0</v>
      </c>
      <c r="G2674" s="9">
        <v>0</v>
      </c>
      <c r="H2674" s="9">
        <v>100</v>
      </c>
      <c r="I2674" s="9">
        <v>0</v>
      </c>
      <c r="J2674" s="7" t="s">
        <v>325</v>
      </c>
    </row>
    <row r="2675" spans="1:10" x14ac:dyDescent="0.35">
      <c r="A2675" s="7" t="s">
        <v>31</v>
      </c>
      <c r="B2675" s="7" t="s">
        <v>169</v>
      </c>
      <c r="C2675" s="7" t="s">
        <v>102</v>
      </c>
      <c r="D2675" s="9">
        <v>0.21</v>
      </c>
      <c r="E2675" s="9">
        <v>0.06</v>
      </c>
      <c r="F2675" s="9">
        <v>0</v>
      </c>
      <c r="G2675" s="8">
        <v>1212.03</v>
      </c>
      <c r="H2675" s="9">
        <v>188.1</v>
      </c>
      <c r="I2675" s="9">
        <v>0</v>
      </c>
      <c r="J2675" s="7" t="s">
        <v>325</v>
      </c>
    </row>
    <row r="2676" spans="1:10" x14ac:dyDescent="0.35">
      <c r="A2676" s="7" t="s">
        <v>86</v>
      </c>
      <c r="B2676" s="7" t="s">
        <v>106</v>
      </c>
      <c r="C2676" s="7" t="s">
        <v>76</v>
      </c>
      <c r="D2676" s="9">
        <v>0</v>
      </c>
      <c r="E2676" s="9">
        <v>0</v>
      </c>
      <c r="F2676" s="9">
        <v>0</v>
      </c>
      <c r="G2676" s="9">
        <v>0</v>
      </c>
      <c r="H2676" s="9">
        <v>0</v>
      </c>
      <c r="I2676" s="9">
        <v>0</v>
      </c>
      <c r="J2676" s="7" t="s">
        <v>325</v>
      </c>
    </row>
    <row r="2677" spans="1:10" x14ac:dyDescent="0.35">
      <c r="A2677" s="7" t="s">
        <v>86</v>
      </c>
      <c r="B2677" s="7" t="s">
        <v>106</v>
      </c>
      <c r="C2677" s="7" t="s">
        <v>122</v>
      </c>
      <c r="D2677" s="9">
        <v>0.01</v>
      </c>
      <c r="E2677" s="9">
        <v>0.02</v>
      </c>
      <c r="F2677" s="9">
        <v>0</v>
      </c>
      <c r="G2677" s="9">
        <v>0.56999999999999995</v>
      </c>
      <c r="H2677" s="9">
        <v>1.96</v>
      </c>
      <c r="I2677" s="9">
        <v>0</v>
      </c>
      <c r="J2677" s="7" t="s">
        <v>325</v>
      </c>
    </row>
    <row r="2678" spans="1:10" x14ac:dyDescent="0.35">
      <c r="A2678" s="7" t="s">
        <v>31</v>
      </c>
      <c r="B2678" s="7" t="s">
        <v>217</v>
      </c>
      <c r="C2678" s="7" t="s">
        <v>170</v>
      </c>
      <c r="D2678" s="9">
        <v>0.61</v>
      </c>
      <c r="E2678" s="9">
        <v>0.02</v>
      </c>
      <c r="F2678" s="9">
        <v>0</v>
      </c>
      <c r="G2678" s="9">
        <v>180</v>
      </c>
      <c r="H2678" s="9">
        <v>26.25</v>
      </c>
      <c r="I2678" s="9">
        <v>0</v>
      </c>
      <c r="J2678" s="7" t="s">
        <v>325</v>
      </c>
    </row>
    <row r="2679" spans="1:10" x14ac:dyDescent="0.35">
      <c r="A2679" s="7" t="s">
        <v>86</v>
      </c>
      <c r="B2679" s="7" t="s">
        <v>106</v>
      </c>
      <c r="C2679" s="7" t="s">
        <v>110</v>
      </c>
      <c r="D2679" s="9">
        <v>0</v>
      </c>
      <c r="E2679" s="9">
        <v>0</v>
      </c>
      <c r="F2679" s="9">
        <v>0</v>
      </c>
      <c r="G2679" s="9">
        <v>0.1</v>
      </c>
      <c r="H2679" s="9">
        <v>0</v>
      </c>
      <c r="I2679" s="9">
        <v>0</v>
      </c>
      <c r="J2679" s="7" t="s">
        <v>325</v>
      </c>
    </row>
    <row r="2680" spans="1:10" ht="26.25" customHeight="1" x14ac:dyDescent="0.35">
      <c r="A2680" s="7" t="s">
        <v>86</v>
      </c>
      <c r="B2680" s="7" t="s">
        <v>106</v>
      </c>
      <c r="C2680" s="7" t="s">
        <v>81</v>
      </c>
      <c r="D2680" s="9">
        <v>0</v>
      </c>
      <c r="E2680" s="9">
        <v>0.01</v>
      </c>
      <c r="F2680" s="9">
        <v>0</v>
      </c>
      <c r="G2680" s="9">
        <v>1.9</v>
      </c>
      <c r="H2680" s="9">
        <v>4.28</v>
      </c>
      <c r="I2680" s="9">
        <v>0</v>
      </c>
      <c r="J2680" s="7" t="s">
        <v>325</v>
      </c>
    </row>
    <row r="2681" spans="1:10" x14ac:dyDescent="0.35">
      <c r="A2681" s="7" t="s">
        <v>31</v>
      </c>
      <c r="B2681" s="7" t="s">
        <v>152</v>
      </c>
      <c r="C2681" s="7" t="s">
        <v>55</v>
      </c>
      <c r="D2681" s="9">
        <v>76.739999999999995</v>
      </c>
      <c r="E2681" s="9">
        <v>11.91</v>
      </c>
      <c r="F2681" s="9">
        <v>0</v>
      </c>
      <c r="G2681" s="8">
        <v>284905.08</v>
      </c>
      <c r="H2681" s="8">
        <v>38747.980000000003</v>
      </c>
      <c r="I2681" s="9">
        <v>0</v>
      </c>
      <c r="J2681" s="7" t="s">
        <v>325</v>
      </c>
    </row>
    <row r="2682" spans="1:10" x14ac:dyDescent="0.35">
      <c r="A2682" s="7" t="s">
        <v>86</v>
      </c>
      <c r="B2682" s="7" t="s">
        <v>106</v>
      </c>
      <c r="C2682" s="7" t="s">
        <v>142</v>
      </c>
      <c r="D2682" s="9">
        <v>0.01</v>
      </c>
      <c r="E2682" s="9">
        <v>0</v>
      </c>
      <c r="F2682" s="9">
        <v>0</v>
      </c>
      <c r="G2682" s="9">
        <v>0.8</v>
      </c>
      <c r="H2682" s="9">
        <v>0</v>
      </c>
      <c r="I2682" s="9">
        <v>0</v>
      </c>
      <c r="J2682" s="7" t="s">
        <v>325</v>
      </c>
    </row>
    <row r="2683" spans="1:10" x14ac:dyDescent="0.35">
      <c r="A2683" s="7" t="s">
        <v>86</v>
      </c>
      <c r="B2683" s="7" t="s">
        <v>106</v>
      </c>
      <c r="C2683" s="7" t="s">
        <v>179</v>
      </c>
      <c r="D2683" s="9">
        <v>0</v>
      </c>
      <c r="E2683" s="9">
        <v>0.02</v>
      </c>
      <c r="F2683" s="9">
        <v>0</v>
      </c>
      <c r="G2683" s="9">
        <v>0.16</v>
      </c>
      <c r="H2683" s="9">
        <v>1.6</v>
      </c>
      <c r="I2683" s="9">
        <v>0</v>
      </c>
      <c r="J2683" s="7" t="s">
        <v>325</v>
      </c>
    </row>
    <row r="2684" spans="1:10" x14ac:dyDescent="0.35">
      <c r="A2684" s="7" t="s">
        <v>86</v>
      </c>
      <c r="B2684" s="7" t="s">
        <v>106</v>
      </c>
      <c r="C2684" s="7" t="s">
        <v>114</v>
      </c>
      <c r="D2684" s="9">
        <v>0.09</v>
      </c>
      <c r="E2684" s="9">
        <v>0</v>
      </c>
      <c r="F2684" s="9">
        <v>0</v>
      </c>
      <c r="G2684" s="9">
        <v>8.6199999999999992</v>
      </c>
      <c r="H2684" s="9">
        <v>1</v>
      </c>
      <c r="I2684" s="9">
        <v>0</v>
      </c>
      <c r="J2684" s="7" t="s">
        <v>325</v>
      </c>
    </row>
    <row r="2685" spans="1:10" x14ac:dyDescent="0.35">
      <c r="A2685" s="7" t="s">
        <v>31</v>
      </c>
      <c r="B2685" s="7" t="s">
        <v>152</v>
      </c>
      <c r="C2685" s="7" t="s">
        <v>116</v>
      </c>
      <c r="D2685" s="9">
        <v>0.06</v>
      </c>
      <c r="E2685" s="9">
        <v>0</v>
      </c>
      <c r="F2685" s="9">
        <v>0</v>
      </c>
      <c r="G2685" s="9">
        <v>315.38</v>
      </c>
      <c r="H2685" s="9">
        <v>0</v>
      </c>
      <c r="I2685" s="9">
        <v>0</v>
      </c>
      <c r="J2685" s="7" t="s">
        <v>325</v>
      </c>
    </row>
    <row r="2686" spans="1:10" x14ac:dyDescent="0.35">
      <c r="A2686" s="7" t="s">
        <v>86</v>
      </c>
      <c r="B2686" s="7" t="s">
        <v>87</v>
      </c>
      <c r="C2686" s="7" t="s">
        <v>113</v>
      </c>
      <c r="D2686" s="9">
        <v>0</v>
      </c>
      <c r="E2686" s="9">
        <v>0</v>
      </c>
      <c r="F2686" s="9">
        <v>0</v>
      </c>
      <c r="G2686" s="9">
        <v>0.03</v>
      </c>
      <c r="H2686" s="9">
        <v>0</v>
      </c>
      <c r="I2686" s="9">
        <v>0</v>
      </c>
      <c r="J2686" s="7" t="s">
        <v>325</v>
      </c>
    </row>
    <row r="2687" spans="1:10" x14ac:dyDescent="0.35">
      <c r="A2687" s="7" t="s">
        <v>31</v>
      </c>
      <c r="B2687" s="7" t="s">
        <v>101</v>
      </c>
      <c r="C2687" s="7" t="s">
        <v>18</v>
      </c>
      <c r="D2687" s="9">
        <v>0.1</v>
      </c>
      <c r="E2687" s="9">
        <v>0.11</v>
      </c>
      <c r="F2687" s="9">
        <v>0</v>
      </c>
      <c r="G2687" s="9">
        <v>93.3</v>
      </c>
      <c r="H2687" s="9">
        <v>238.95</v>
      </c>
      <c r="I2687" s="9">
        <v>0</v>
      </c>
      <c r="J2687" s="7" t="s">
        <v>325</v>
      </c>
    </row>
    <row r="2688" spans="1:10" x14ac:dyDescent="0.35">
      <c r="A2688" s="7" t="s">
        <v>31</v>
      </c>
      <c r="B2688" s="7" t="s">
        <v>101</v>
      </c>
      <c r="C2688" s="7" t="s">
        <v>22</v>
      </c>
      <c r="D2688" s="9">
        <v>0</v>
      </c>
      <c r="E2688" s="9">
        <v>0</v>
      </c>
      <c r="F2688" s="9">
        <v>0</v>
      </c>
      <c r="G2688" s="9">
        <v>1</v>
      </c>
      <c r="H2688" s="9">
        <v>0</v>
      </c>
      <c r="I2688" s="9">
        <v>0</v>
      </c>
      <c r="J2688" s="7" t="s">
        <v>325</v>
      </c>
    </row>
    <row r="2689" spans="1:10" x14ac:dyDescent="0.35">
      <c r="A2689" s="7" t="s">
        <v>86</v>
      </c>
      <c r="B2689" s="7" t="s">
        <v>87</v>
      </c>
      <c r="C2689" s="7" t="s">
        <v>126</v>
      </c>
      <c r="D2689" s="9">
        <v>0.01</v>
      </c>
      <c r="E2689" s="9">
        <v>0.01</v>
      </c>
      <c r="F2689" s="9">
        <v>0</v>
      </c>
      <c r="G2689" s="9">
        <v>0.89</v>
      </c>
      <c r="H2689" s="9">
        <v>1.63</v>
      </c>
      <c r="I2689" s="9">
        <v>0.01</v>
      </c>
      <c r="J2689" s="7" t="s">
        <v>325</v>
      </c>
    </row>
    <row r="2690" spans="1:10" x14ac:dyDescent="0.35">
      <c r="A2690" s="7" t="s">
        <v>31</v>
      </c>
      <c r="B2690" s="7" t="s">
        <v>101</v>
      </c>
      <c r="C2690" s="7" t="s">
        <v>55</v>
      </c>
      <c r="D2690" s="9">
        <v>30.04</v>
      </c>
      <c r="E2690" s="9">
        <v>3.41</v>
      </c>
      <c r="F2690" s="9">
        <v>0</v>
      </c>
      <c r="G2690" s="8">
        <v>134819.54999999999</v>
      </c>
      <c r="H2690" s="8">
        <v>13113.5</v>
      </c>
      <c r="I2690" s="9">
        <v>0</v>
      </c>
      <c r="J2690" s="7" t="s">
        <v>325</v>
      </c>
    </row>
    <row r="2691" spans="1:10" x14ac:dyDescent="0.35">
      <c r="A2691" s="7" t="s">
        <v>86</v>
      </c>
      <c r="B2691" s="7" t="s">
        <v>87</v>
      </c>
      <c r="C2691" s="7" t="s">
        <v>151</v>
      </c>
      <c r="D2691" s="9">
        <v>0</v>
      </c>
      <c r="E2691" s="9">
        <v>0</v>
      </c>
      <c r="F2691" s="9">
        <v>0</v>
      </c>
      <c r="G2691" s="9">
        <v>0.14000000000000001</v>
      </c>
      <c r="H2691" s="9">
        <v>0</v>
      </c>
      <c r="I2691" s="9">
        <v>0</v>
      </c>
      <c r="J2691" s="7" t="s">
        <v>325</v>
      </c>
    </row>
    <row r="2692" spans="1:10" x14ac:dyDescent="0.35">
      <c r="A2692" s="7" t="s">
        <v>31</v>
      </c>
      <c r="B2692" s="7" t="s">
        <v>101</v>
      </c>
      <c r="C2692" s="7" t="s">
        <v>53</v>
      </c>
      <c r="D2692" s="9">
        <v>0.15</v>
      </c>
      <c r="E2692" s="9">
        <v>0.02</v>
      </c>
      <c r="F2692" s="9">
        <v>0</v>
      </c>
      <c r="G2692" s="9">
        <v>250.88</v>
      </c>
      <c r="H2692" s="9">
        <v>29.56</v>
      </c>
      <c r="I2692" s="9">
        <v>0</v>
      </c>
      <c r="J2692" s="7" t="s">
        <v>325</v>
      </c>
    </row>
    <row r="2693" spans="1:10" x14ac:dyDescent="0.35">
      <c r="A2693" s="7" t="s">
        <v>86</v>
      </c>
      <c r="B2693" s="7" t="s">
        <v>87</v>
      </c>
      <c r="C2693" s="7" t="s">
        <v>51</v>
      </c>
      <c r="D2693" s="9">
        <v>0</v>
      </c>
      <c r="E2693" s="9">
        <v>0</v>
      </c>
      <c r="F2693" s="9">
        <v>0</v>
      </c>
      <c r="G2693" s="9">
        <v>0.2</v>
      </c>
      <c r="H2693" s="9">
        <v>0</v>
      </c>
      <c r="I2693" s="9">
        <v>0</v>
      </c>
      <c r="J2693" s="7" t="s">
        <v>325</v>
      </c>
    </row>
    <row r="2694" spans="1:10" x14ac:dyDescent="0.35">
      <c r="A2694" s="7" t="s">
        <v>86</v>
      </c>
      <c r="B2694" s="7" t="s">
        <v>87</v>
      </c>
      <c r="C2694" s="7" t="s">
        <v>55</v>
      </c>
      <c r="D2694" s="9">
        <v>0</v>
      </c>
      <c r="E2694" s="9">
        <v>0</v>
      </c>
      <c r="F2694" s="9">
        <v>0</v>
      </c>
      <c r="G2694" s="9">
        <v>3.61</v>
      </c>
      <c r="H2694" s="9">
        <v>0.15</v>
      </c>
      <c r="I2694" s="9">
        <v>0</v>
      </c>
      <c r="J2694" s="7" t="s">
        <v>325</v>
      </c>
    </row>
    <row r="2695" spans="1:10" x14ac:dyDescent="0.35">
      <c r="A2695" s="7" t="s">
        <v>86</v>
      </c>
      <c r="B2695" s="7" t="s">
        <v>87</v>
      </c>
      <c r="C2695" s="7" t="s">
        <v>83</v>
      </c>
      <c r="D2695" s="9">
        <v>0</v>
      </c>
      <c r="E2695" s="9">
        <v>0.04</v>
      </c>
      <c r="F2695" s="9">
        <v>0</v>
      </c>
      <c r="G2695" s="9">
        <v>0.03</v>
      </c>
      <c r="H2695" s="9">
        <v>25.1</v>
      </c>
      <c r="I2695" s="9">
        <v>0</v>
      </c>
      <c r="J2695" s="7" t="s">
        <v>325</v>
      </c>
    </row>
    <row r="2696" spans="1:10" x14ac:dyDescent="0.35">
      <c r="A2696" s="7" t="s">
        <v>86</v>
      </c>
      <c r="B2696" s="7" t="s">
        <v>87</v>
      </c>
      <c r="C2696" s="7" t="s">
        <v>142</v>
      </c>
      <c r="D2696" s="9">
        <v>0</v>
      </c>
      <c r="E2696" s="9">
        <v>0</v>
      </c>
      <c r="F2696" s="9">
        <v>0</v>
      </c>
      <c r="G2696" s="9">
        <v>0</v>
      </c>
      <c r="H2696" s="9">
        <v>0</v>
      </c>
      <c r="I2696" s="9">
        <v>0</v>
      </c>
      <c r="J2696" s="7" t="s">
        <v>325</v>
      </c>
    </row>
    <row r="2697" spans="1:10" x14ac:dyDescent="0.35">
      <c r="A2697" s="7" t="s">
        <v>31</v>
      </c>
      <c r="B2697" s="7" t="s">
        <v>101</v>
      </c>
      <c r="C2697" s="7" t="s">
        <v>116</v>
      </c>
      <c r="D2697" s="9">
        <v>2.0499999999999998</v>
      </c>
      <c r="E2697" s="9">
        <v>0</v>
      </c>
      <c r="F2697" s="9">
        <v>0</v>
      </c>
      <c r="G2697" s="8">
        <v>10248.19</v>
      </c>
      <c r="H2697" s="9">
        <v>0</v>
      </c>
      <c r="I2697" s="9">
        <v>0</v>
      </c>
      <c r="J2697" s="7" t="s">
        <v>325</v>
      </c>
    </row>
    <row r="2698" spans="1:10" x14ac:dyDescent="0.35">
      <c r="A2698" s="7" t="s">
        <v>86</v>
      </c>
      <c r="B2698" s="7" t="s">
        <v>87</v>
      </c>
      <c r="C2698" s="7" t="s">
        <v>179</v>
      </c>
      <c r="D2698" s="9">
        <v>0</v>
      </c>
      <c r="E2698" s="9">
        <v>0</v>
      </c>
      <c r="F2698" s="9">
        <v>0</v>
      </c>
      <c r="G2698" s="9">
        <v>0.3</v>
      </c>
      <c r="H2698" s="9">
        <v>7.0000000000000007E-2</v>
      </c>
      <c r="I2698" s="9">
        <v>0</v>
      </c>
      <c r="J2698" s="7" t="s">
        <v>325</v>
      </c>
    </row>
    <row r="2699" spans="1:10" x14ac:dyDescent="0.35">
      <c r="A2699" s="7" t="s">
        <v>86</v>
      </c>
      <c r="B2699" s="7" t="s">
        <v>87</v>
      </c>
      <c r="C2699" s="7" t="s">
        <v>114</v>
      </c>
      <c r="D2699" s="9">
        <v>0.04</v>
      </c>
      <c r="E2699" s="9">
        <v>0.01</v>
      </c>
      <c r="F2699" s="9">
        <v>0</v>
      </c>
      <c r="G2699" s="9">
        <v>3.85</v>
      </c>
      <c r="H2699" s="9">
        <v>0.56000000000000005</v>
      </c>
      <c r="I2699" s="9">
        <v>0</v>
      </c>
      <c r="J2699" s="7" t="s">
        <v>325</v>
      </c>
    </row>
    <row r="2700" spans="1:10" x14ac:dyDescent="0.35">
      <c r="A2700" s="7" t="s">
        <v>31</v>
      </c>
      <c r="B2700" s="7" t="s">
        <v>285</v>
      </c>
      <c r="C2700" s="7" t="s">
        <v>27</v>
      </c>
      <c r="D2700" s="9">
        <v>0.95</v>
      </c>
      <c r="E2700" s="9">
        <v>0.28000000000000003</v>
      </c>
      <c r="F2700" s="9">
        <v>0</v>
      </c>
      <c r="G2700" s="8">
        <v>2612.88</v>
      </c>
      <c r="H2700" s="9">
        <v>917.5</v>
      </c>
      <c r="I2700" s="9">
        <v>0</v>
      </c>
      <c r="J2700" s="7" t="s">
        <v>325</v>
      </c>
    </row>
    <row r="2701" spans="1:10" x14ac:dyDescent="0.35">
      <c r="A2701" s="7" t="s">
        <v>31</v>
      </c>
      <c r="B2701" s="7" t="s">
        <v>131</v>
      </c>
      <c r="C2701" s="7" t="s">
        <v>125</v>
      </c>
      <c r="D2701" s="9">
        <v>0</v>
      </c>
      <c r="E2701" s="9">
        <v>0</v>
      </c>
      <c r="F2701" s="9">
        <v>0</v>
      </c>
      <c r="G2701" s="9">
        <v>0.13</v>
      </c>
      <c r="H2701" s="9">
        <v>0.01</v>
      </c>
      <c r="I2701" s="9">
        <v>0</v>
      </c>
      <c r="J2701" s="7" t="s">
        <v>325</v>
      </c>
    </row>
    <row r="2702" spans="1:10" x14ac:dyDescent="0.35">
      <c r="A2702" s="7" t="s">
        <v>94</v>
      </c>
      <c r="B2702" s="7" t="s">
        <v>95</v>
      </c>
      <c r="C2702" s="7" t="s">
        <v>142</v>
      </c>
      <c r="D2702" s="9">
        <v>0.03</v>
      </c>
      <c r="E2702" s="9">
        <v>0</v>
      </c>
      <c r="F2702" s="9">
        <v>0</v>
      </c>
      <c r="G2702" s="9">
        <v>33.61</v>
      </c>
      <c r="H2702" s="9">
        <v>3.62</v>
      </c>
      <c r="I2702" s="9">
        <v>0</v>
      </c>
      <c r="J2702" s="7" t="s">
        <v>325</v>
      </c>
    </row>
    <row r="2703" spans="1:10" x14ac:dyDescent="0.35">
      <c r="A2703" s="7" t="s">
        <v>31</v>
      </c>
      <c r="B2703" s="7" t="s">
        <v>131</v>
      </c>
      <c r="C2703" s="7" t="s">
        <v>114</v>
      </c>
      <c r="D2703" s="9">
        <v>0</v>
      </c>
      <c r="E2703" s="9">
        <v>0</v>
      </c>
      <c r="F2703" s="9">
        <v>0</v>
      </c>
      <c r="G2703" s="9">
        <v>0</v>
      </c>
      <c r="H2703" s="9">
        <v>0</v>
      </c>
      <c r="I2703" s="9">
        <v>0</v>
      </c>
      <c r="J2703" s="7" t="s">
        <v>325</v>
      </c>
    </row>
    <row r="2704" spans="1:10" x14ac:dyDescent="0.35">
      <c r="A2704" s="7" t="s">
        <v>94</v>
      </c>
      <c r="B2704" s="7" t="s">
        <v>238</v>
      </c>
      <c r="C2704" s="7" t="s">
        <v>46</v>
      </c>
      <c r="D2704" s="9">
        <v>0</v>
      </c>
      <c r="E2704" s="9">
        <v>0</v>
      </c>
      <c r="F2704" s="9">
        <v>0</v>
      </c>
      <c r="G2704" s="9">
        <v>0</v>
      </c>
      <c r="H2704" s="9">
        <v>0</v>
      </c>
      <c r="I2704" s="9">
        <v>0.03</v>
      </c>
      <c r="J2704" s="7" t="s">
        <v>325</v>
      </c>
    </row>
    <row r="2705" spans="1:10" x14ac:dyDescent="0.35">
      <c r="A2705" s="7" t="s">
        <v>94</v>
      </c>
      <c r="B2705" s="7" t="s">
        <v>238</v>
      </c>
      <c r="C2705" s="7" t="s">
        <v>76</v>
      </c>
      <c r="D2705" s="9">
        <v>0</v>
      </c>
      <c r="E2705" s="9">
        <v>0.01</v>
      </c>
      <c r="F2705" s="9">
        <v>0</v>
      </c>
      <c r="G2705" s="9">
        <v>0</v>
      </c>
      <c r="H2705" s="9">
        <v>1.2</v>
      </c>
      <c r="I2705" s="9">
        <v>0</v>
      </c>
      <c r="J2705" s="7" t="s">
        <v>325</v>
      </c>
    </row>
    <row r="2706" spans="1:10" x14ac:dyDescent="0.35">
      <c r="A2706" s="7" t="s">
        <v>94</v>
      </c>
      <c r="B2706" s="7" t="s">
        <v>188</v>
      </c>
      <c r="C2706" s="7" t="s">
        <v>170</v>
      </c>
      <c r="D2706" s="9">
        <v>0.01</v>
      </c>
      <c r="E2706" s="9">
        <v>0</v>
      </c>
      <c r="F2706" s="9">
        <v>0</v>
      </c>
      <c r="G2706" s="9">
        <v>3.3</v>
      </c>
      <c r="H2706" s="9">
        <v>0</v>
      </c>
      <c r="I2706" s="9">
        <v>0</v>
      </c>
      <c r="J2706" s="7" t="s">
        <v>325</v>
      </c>
    </row>
    <row r="2707" spans="1:10" x14ac:dyDescent="0.35">
      <c r="A2707" s="7" t="s">
        <v>94</v>
      </c>
      <c r="B2707" s="7" t="s">
        <v>188</v>
      </c>
      <c r="C2707" s="7" t="s">
        <v>151</v>
      </c>
      <c r="D2707" s="9">
        <v>0</v>
      </c>
      <c r="E2707" s="9">
        <v>0.02</v>
      </c>
      <c r="F2707" s="9">
        <v>0</v>
      </c>
      <c r="G2707" s="9">
        <v>0</v>
      </c>
      <c r="H2707" s="9">
        <v>47.3</v>
      </c>
      <c r="I2707" s="9">
        <v>0</v>
      </c>
      <c r="J2707" s="7" t="s">
        <v>325</v>
      </c>
    </row>
    <row r="2708" spans="1:10" x14ac:dyDescent="0.35">
      <c r="A2708" s="7" t="s">
        <v>94</v>
      </c>
      <c r="B2708" s="7" t="s">
        <v>188</v>
      </c>
      <c r="C2708" s="7" t="s">
        <v>62</v>
      </c>
      <c r="D2708" s="9">
        <v>0.41</v>
      </c>
      <c r="E2708" s="9">
        <v>0.2</v>
      </c>
      <c r="F2708" s="9">
        <v>0</v>
      </c>
      <c r="G2708" s="8">
        <v>1275.3</v>
      </c>
      <c r="H2708" s="9">
        <v>399</v>
      </c>
      <c r="I2708" s="9">
        <v>0</v>
      </c>
      <c r="J2708" s="7" t="s">
        <v>325</v>
      </c>
    </row>
    <row r="2709" spans="1:10" x14ac:dyDescent="0.35">
      <c r="A2709" s="7" t="s">
        <v>94</v>
      </c>
      <c r="B2709" s="7" t="s">
        <v>188</v>
      </c>
      <c r="C2709" s="7" t="s">
        <v>51</v>
      </c>
      <c r="D2709" s="9">
        <v>0.04</v>
      </c>
      <c r="E2709" s="9">
        <v>0</v>
      </c>
      <c r="F2709" s="9">
        <v>0</v>
      </c>
      <c r="G2709" s="9">
        <v>54</v>
      </c>
      <c r="H2709" s="9">
        <v>0</v>
      </c>
      <c r="I2709" s="9">
        <v>0</v>
      </c>
      <c r="J2709" s="7" t="s">
        <v>325</v>
      </c>
    </row>
    <row r="2710" spans="1:10" x14ac:dyDescent="0.35">
      <c r="A2710" s="7" t="s">
        <v>94</v>
      </c>
      <c r="B2710" s="7" t="s">
        <v>188</v>
      </c>
      <c r="C2710" s="7" t="s">
        <v>69</v>
      </c>
      <c r="D2710" s="9">
        <v>0.04</v>
      </c>
      <c r="E2710" s="9">
        <v>0.1</v>
      </c>
      <c r="F2710" s="9">
        <v>0</v>
      </c>
      <c r="G2710" s="9">
        <v>15.5</v>
      </c>
      <c r="H2710" s="9">
        <v>55</v>
      </c>
      <c r="I2710" s="9">
        <v>0</v>
      </c>
      <c r="J2710" s="7" t="s">
        <v>325</v>
      </c>
    </row>
    <row r="2711" spans="1:10" x14ac:dyDescent="0.35">
      <c r="A2711" s="7" t="s">
        <v>94</v>
      </c>
      <c r="B2711" s="7" t="s">
        <v>188</v>
      </c>
      <c r="C2711" s="7" t="s">
        <v>76</v>
      </c>
      <c r="D2711" s="9">
        <v>0.01</v>
      </c>
      <c r="E2711" s="9">
        <v>0.02</v>
      </c>
      <c r="F2711" s="9">
        <v>0</v>
      </c>
      <c r="G2711" s="9">
        <v>17.09</v>
      </c>
      <c r="H2711" s="9">
        <v>83.97</v>
      </c>
      <c r="I2711" s="9">
        <v>0</v>
      </c>
      <c r="J2711" s="7" t="s">
        <v>325</v>
      </c>
    </row>
    <row r="2712" spans="1:10" x14ac:dyDescent="0.35">
      <c r="A2712" s="7" t="s">
        <v>94</v>
      </c>
      <c r="B2712" s="7" t="s">
        <v>188</v>
      </c>
      <c r="C2712" s="7" t="s">
        <v>72</v>
      </c>
      <c r="D2712" s="9">
        <v>0</v>
      </c>
      <c r="E2712" s="9">
        <v>0</v>
      </c>
      <c r="F2712" s="9">
        <v>0</v>
      </c>
      <c r="G2712" s="9">
        <v>0</v>
      </c>
      <c r="H2712" s="9">
        <v>0.49</v>
      </c>
      <c r="I2712" s="9">
        <v>0</v>
      </c>
      <c r="J2712" s="7" t="s">
        <v>325</v>
      </c>
    </row>
    <row r="2713" spans="1:10" x14ac:dyDescent="0.35">
      <c r="A2713" s="7" t="s">
        <v>94</v>
      </c>
      <c r="B2713" s="7" t="s">
        <v>188</v>
      </c>
      <c r="C2713" s="7" t="s">
        <v>18</v>
      </c>
      <c r="D2713" s="9">
        <v>0.17</v>
      </c>
      <c r="E2713" s="9">
        <v>0.08</v>
      </c>
      <c r="F2713" s="9">
        <v>0</v>
      </c>
      <c r="G2713" s="9">
        <v>274.52</v>
      </c>
      <c r="H2713" s="9">
        <v>130.43</v>
      </c>
      <c r="I2713" s="9">
        <v>0</v>
      </c>
      <c r="J2713" s="7" t="s">
        <v>325</v>
      </c>
    </row>
    <row r="2714" spans="1:10" x14ac:dyDescent="0.35">
      <c r="A2714" s="7" t="s">
        <v>94</v>
      </c>
      <c r="B2714" s="7" t="s">
        <v>257</v>
      </c>
      <c r="C2714" s="7" t="s">
        <v>45</v>
      </c>
      <c r="D2714" s="9">
        <v>0</v>
      </c>
      <c r="E2714" s="9">
        <v>0</v>
      </c>
      <c r="F2714" s="9">
        <v>0</v>
      </c>
      <c r="G2714" s="9">
        <v>0.5</v>
      </c>
      <c r="H2714" s="9">
        <v>0</v>
      </c>
      <c r="I2714" s="9">
        <v>0</v>
      </c>
      <c r="J2714" s="7" t="s">
        <v>325</v>
      </c>
    </row>
    <row r="2715" spans="1:10" x14ac:dyDescent="0.35">
      <c r="A2715" s="7" t="s">
        <v>94</v>
      </c>
      <c r="B2715" s="7" t="s">
        <v>286</v>
      </c>
      <c r="C2715" s="7" t="s">
        <v>102</v>
      </c>
      <c r="D2715" s="9">
        <v>0.01</v>
      </c>
      <c r="E2715" s="9">
        <v>0</v>
      </c>
      <c r="F2715" s="9">
        <v>0</v>
      </c>
      <c r="G2715" s="9">
        <v>41.4</v>
      </c>
      <c r="H2715" s="9">
        <v>0</v>
      </c>
      <c r="I2715" s="9">
        <v>0</v>
      </c>
      <c r="J2715" s="7" t="s">
        <v>325</v>
      </c>
    </row>
    <row r="2716" spans="1:10" x14ac:dyDescent="0.35">
      <c r="A2716" s="7" t="s">
        <v>94</v>
      </c>
      <c r="B2716" s="7" t="s">
        <v>286</v>
      </c>
      <c r="C2716" s="7" t="s">
        <v>45</v>
      </c>
      <c r="D2716" s="9">
        <v>0.02</v>
      </c>
      <c r="E2716" s="9">
        <v>0</v>
      </c>
      <c r="F2716" s="9">
        <v>0</v>
      </c>
      <c r="G2716" s="9">
        <v>47.09</v>
      </c>
      <c r="H2716" s="9">
        <v>0</v>
      </c>
      <c r="I2716" s="9">
        <v>0</v>
      </c>
      <c r="J2716" s="7" t="s">
        <v>325</v>
      </c>
    </row>
    <row r="2717" spans="1:10" x14ac:dyDescent="0.35">
      <c r="A2717" s="7" t="s">
        <v>94</v>
      </c>
      <c r="B2717" s="7" t="s">
        <v>286</v>
      </c>
      <c r="C2717" s="7" t="s">
        <v>55</v>
      </c>
      <c r="D2717" s="9">
        <v>0.05</v>
      </c>
      <c r="E2717" s="9">
        <v>0</v>
      </c>
      <c r="F2717" s="9">
        <v>0</v>
      </c>
      <c r="G2717" s="9">
        <v>173.38</v>
      </c>
      <c r="H2717" s="9">
        <v>0</v>
      </c>
      <c r="I2717" s="9">
        <v>0</v>
      </c>
      <c r="J2717" s="7" t="s">
        <v>325</v>
      </c>
    </row>
    <row r="2718" spans="1:10" x14ac:dyDescent="0.35">
      <c r="A2718" s="7" t="s">
        <v>94</v>
      </c>
      <c r="B2718" s="7" t="s">
        <v>286</v>
      </c>
      <c r="C2718" s="7" t="s">
        <v>83</v>
      </c>
      <c r="D2718" s="9">
        <v>0</v>
      </c>
      <c r="E2718" s="9">
        <v>0</v>
      </c>
      <c r="F2718" s="9">
        <v>0</v>
      </c>
      <c r="G2718" s="9">
        <v>0.76</v>
      </c>
      <c r="H2718" s="9">
        <v>0</v>
      </c>
      <c r="I2718" s="9">
        <v>0</v>
      </c>
      <c r="J2718" s="7" t="s">
        <v>325</v>
      </c>
    </row>
    <row r="2719" spans="1:10" x14ac:dyDescent="0.35">
      <c r="A2719" s="7" t="s">
        <v>94</v>
      </c>
      <c r="B2719" s="7" t="s">
        <v>112</v>
      </c>
      <c r="C2719" s="7" t="s">
        <v>151</v>
      </c>
      <c r="D2719" s="9">
        <v>0</v>
      </c>
      <c r="E2719" s="9">
        <v>0.01</v>
      </c>
      <c r="F2719" s="9">
        <v>0</v>
      </c>
      <c r="G2719" s="9">
        <v>0</v>
      </c>
      <c r="H2719" s="9">
        <v>26.88</v>
      </c>
      <c r="I2719" s="9">
        <v>0</v>
      </c>
      <c r="J2719" s="7" t="s">
        <v>325</v>
      </c>
    </row>
    <row r="2720" spans="1:10" x14ac:dyDescent="0.35">
      <c r="A2720" s="7" t="s">
        <v>94</v>
      </c>
      <c r="B2720" s="7" t="s">
        <v>112</v>
      </c>
      <c r="C2720" s="7" t="s">
        <v>150</v>
      </c>
      <c r="D2720" s="9">
        <v>0</v>
      </c>
      <c r="E2720" s="9">
        <v>0</v>
      </c>
      <c r="F2720" s="9">
        <v>0</v>
      </c>
      <c r="G2720" s="9">
        <v>0</v>
      </c>
      <c r="H2720" s="9">
        <v>0.83</v>
      </c>
      <c r="I2720" s="9">
        <v>0</v>
      </c>
      <c r="J2720" s="7" t="s">
        <v>325</v>
      </c>
    </row>
    <row r="2721" spans="1:10" x14ac:dyDescent="0.35">
      <c r="A2721" s="7" t="s">
        <v>94</v>
      </c>
      <c r="B2721" s="7" t="s">
        <v>287</v>
      </c>
      <c r="C2721" s="7" t="s">
        <v>54</v>
      </c>
      <c r="D2721" s="9">
        <v>0</v>
      </c>
      <c r="E2721" s="9">
        <v>7.0000000000000007E-2</v>
      </c>
      <c r="F2721" s="9">
        <v>0</v>
      </c>
      <c r="G2721" s="9">
        <v>0</v>
      </c>
      <c r="H2721" s="9">
        <v>4.8</v>
      </c>
      <c r="I2721" s="9">
        <v>0</v>
      </c>
      <c r="J2721" s="7" t="s">
        <v>325</v>
      </c>
    </row>
    <row r="2722" spans="1:10" x14ac:dyDescent="0.35">
      <c r="A2722" s="7" t="s">
        <v>31</v>
      </c>
      <c r="B2722" s="7" t="s">
        <v>131</v>
      </c>
      <c r="C2722" s="7" t="s">
        <v>93</v>
      </c>
      <c r="D2722" s="9">
        <v>0</v>
      </c>
      <c r="E2722" s="9">
        <v>0</v>
      </c>
      <c r="F2722" s="9">
        <v>0</v>
      </c>
      <c r="G2722" s="9">
        <v>0.5</v>
      </c>
      <c r="H2722" s="9">
        <v>0</v>
      </c>
      <c r="I2722" s="9">
        <v>0</v>
      </c>
      <c r="J2722" s="7" t="s">
        <v>325</v>
      </c>
    </row>
    <row r="2723" spans="1:10" x14ac:dyDescent="0.35">
      <c r="A2723" s="7" t="s">
        <v>94</v>
      </c>
      <c r="B2723" s="7" t="s">
        <v>287</v>
      </c>
      <c r="C2723" s="7" t="s">
        <v>27</v>
      </c>
      <c r="D2723" s="9">
        <v>0</v>
      </c>
      <c r="E2723" s="9">
        <v>0.15</v>
      </c>
      <c r="F2723" s="9">
        <v>0</v>
      </c>
      <c r="G2723" s="9">
        <v>0</v>
      </c>
      <c r="H2723" s="9">
        <v>464.87</v>
      </c>
      <c r="I2723" s="9">
        <v>0</v>
      </c>
      <c r="J2723" s="7" t="s">
        <v>325</v>
      </c>
    </row>
    <row r="2724" spans="1:10" x14ac:dyDescent="0.35">
      <c r="A2724" s="7" t="s">
        <v>94</v>
      </c>
      <c r="B2724" s="7" t="s">
        <v>287</v>
      </c>
      <c r="C2724" s="7" t="s">
        <v>62</v>
      </c>
      <c r="D2724" s="9">
        <v>0</v>
      </c>
      <c r="E2724" s="9">
        <v>0.01</v>
      </c>
      <c r="F2724" s="9">
        <v>0</v>
      </c>
      <c r="G2724" s="9">
        <v>0</v>
      </c>
      <c r="H2724" s="9">
        <v>21</v>
      </c>
      <c r="I2724" s="9">
        <v>0</v>
      </c>
      <c r="J2724" s="7" t="s">
        <v>325</v>
      </c>
    </row>
    <row r="2725" spans="1:10" x14ac:dyDescent="0.35">
      <c r="A2725" s="7" t="s">
        <v>31</v>
      </c>
      <c r="B2725" s="7" t="s">
        <v>288</v>
      </c>
      <c r="C2725" s="7" t="s">
        <v>48</v>
      </c>
      <c r="D2725" s="9">
        <v>0.05</v>
      </c>
      <c r="E2725" s="9">
        <v>0</v>
      </c>
      <c r="F2725" s="9">
        <v>0</v>
      </c>
      <c r="G2725" s="9">
        <v>5.84</v>
      </c>
      <c r="H2725" s="9">
        <v>0</v>
      </c>
      <c r="I2725" s="9">
        <v>0</v>
      </c>
      <c r="J2725" s="7" t="s">
        <v>325</v>
      </c>
    </row>
    <row r="2726" spans="1:10" x14ac:dyDescent="0.35">
      <c r="A2726" s="7" t="s">
        <v>31</v>
      </c>
      <c r="B2726" s="7" t="s">
        <v>288</v>
      </c>
      <c r="C2726" s="7" t="s">
        <v>39</v>
      </c>
      <c r="D2726" s="9">
        <v>0.21</v>
      </c>
      <c r="E2726" s="9">
        <v>0.01</v>
      </c>
      <c r="F2726" s="9">
        <v>0</v>
      </c>
      <c r="G2726" s="9">
        <v>94.3</v>
      </c>
      <c r="H2726" s="9">
        <v>1.45</v>
      </c>
      <c r="I2726" s="9">
        <v>0</v>
      </c>
      <c r="J2726" s="7" t="s">
        <v>325</v>
      </c>
    </row>
    <row r="2727" spans="1:10" x14ac:dyDescent="0.35">
      <c r="A2727" s="7" t="s">
        <v>31</v>
      </c>
      <c r="B2727" s="7" t="s">
        <v>192</v>
      </c>
      <c r="C2727" s="7" t="s">
        <v>48</v>
      </c>
      <c r="D2727" s="9">
        <v>0</v>
      </c>
      <c r="E2727" s="9">
        <v>0.05</v>
      </c>
      <c r="F2727" s="9">
        <v>0</v>
      </c>
      <c r="G2727" s="9">
        <v>0.32</v>
      </c>
      <c r="H2727" s="9">
        <v>34.01</v>
      </c>
      <c r="I2727" s="9">
        <v>0</v>
      </c>
      <c r="J2727" s="7" t="s">
        <v>325</v>
      </c>
    </row>
    <row r="2728" spans="1:10" ht="26.25" customHeight="1" x14ac:dyDescent="0.35">
      <c r="A2728" s="7" t="s">
        <v>31</v>
      </c>
      <c r="B2728" s="7" t="s">
        <v>192</v>
      </c>
      <c r="C2728" s="7" t="s">
        <v>81</v>
      </c>
      <c r="D2728" s="9">
        <v>0</v>
      </c>
      <c r="E2728" s="9">
        <v>0</v>
      </c>
      <c r="F2728" s="9">
        <v>0</v>
      </c>
      <c r="G2728" s="9">
        <v>0</v>
      </c>
      <c r="H2728" s="9">
        <v>0.02</v>
      </c>
      <c r="I2728" s="9">
        <v>0</v>
      </c>
      <c r="J2728" s="7" t="s">
        <v>325</v>
      </c>
    </row>
    <row r="2729" spans="1:10" x14ac:dyDescent="0.35">
      <c r="A2729" s="7" t="s">
        <v>31</v>
      </c>
      <c r="B2729" s="7" t="s">
        <v>192</v>
      </c>
      <c r="C2729" s="7" t="s">
        <v>72</v>
      </c>
      <c r="D2729" s="9">
        <v>0</v>
      </c>
      <c r="E2729" s="9">
        <v>0</v>
      </c>
      <c r="F2729" s="9">
        <v>0</v>
      </c>
      <c r="G2729" s="9">
        <v>0.06</v>
      </c>
      <c r="H2729" s="9">
        <v>0.11</v>
      </c>
      <c r="I2729" s="9">
        <v>0</v>
      </c>
      <c r="J2729" s="7" t="s">
        <v>325</v>
      </c>
    </row>
    <row r="2730" spans="1:10" x14ac:dyDescent="0.35">
      <c r="A2730" s="7" t="s">
        <v>94</v>
      </c>
      <c r="B2730" s="7" t="s">
        <v>287</v>
      </c>
      <c r="C2730" s="7" t="s">
        <v>76</v>
      </c>
      <c r="D2730" s="9">
        <v>0</v>
      </c>
      <c r="E2730" s="9">
        <v>0.01</v>
      </c>
      <c r="F2730" s="9">
        <v>0</v>
      </c>
      <c r="G2730" s="9">
        <v>0</v>
      </c>
      <c r="H2730" s="9">
        <v>11.47</v>
      </c>
      <c r="I2730" s="9">
        <v>0</v>
      </c>
      <c r="J2730" s="7" t="s">
        <v>325</v>
      </c>
    </row>
    <row r="2731" spans="1:10" x14ac:dyDescent="0.35">
      <c r="A2731" s="7" t="s">
        <v>94</v>
      </c>
      <c r="B2731" s="7" t="s">
        <v>287</v>
      </c>
      <c r="C2731" s="7" t="s">
        <v>48</v>
      </c>
      <c r="D2731" s="9">
        <v>0</v>
      </c>
      <c r="E2731" s="9">
        <v>0.02</v>
      </c>
      <c r="F2731" s="9">
        <v>0</v>
      </c>
      <c r="G2731" s="9">
        <v>0</v>
      </c>
      <c r="H2731" s="9">
        <v>1.68</v>
      </c>
      <c r="I2731" s="9">
        <v>0</v>
      </c>
      <c r="J2731" s="7" t="s">
        <v>325</v>
      </c>
    </row>
    <row r="2732" spans="1:10" x14ac:dyDescent="0.35">
      <c r="A2732" s="7" t="s">
        <v>94</v>
      </c>
      <c r="B2732" s="7" t="s">
        <v>247</v>
      </c>
      <c r="C2732" s="7" t="s">
        <v>102</v>
      </c>
      <c r="D2732" s="9">
        <v>0</v>
      </c>
      <c r="E2732" s="9">
        <v>0</v>
      </c>
      <c r="F2732" s="9">
        <v>0</v>
      </c>
      <c r="G2732" s="9">
        <v>48.45</v>
      </c>
      <c r="H2732" s="9">
        <v>16</v>
      </c>
      <c r="I2732" s="9">
        <v>0</v>
      </c>
      <c r="J2732" s="7" t="s">
        <v>325</v>
      </c>
    </row>
    <row r="2733" spans="1:10" x14ac:dyDescent="0.35">
      <c r="A2733" s="7" t="s">
        <v>31</v>
      </c>
      <c r="B2733" s="7" t="s">
        <v>192</v>
      </c>
      <c r="C2733" s="7" t="s">
        <v>53</v>
      </c>
      <c r="D2733" s="9">
        <v>0.09</v>
      </c>
      <c r="E2733" s="9">
        <v>0</v>
      </c>
      <c r="F2733" s="9">
        <v>0</v>
      </c>
      <c r="G2733" s="9">
        <v>12.19</v>
      </c>
      <c r="H2733" s="9">
        <v>1.7</v>
      </c>
      <c r="I2733" s="9">
        <v>0</v>
      </c>
      <c r="J2733" s="7" t="s">
        <v>325</v>
      </c>
    </row>
    <row r="2734" spans="1:10" x14ac:dyDescent="0.35">
      <c r="A2734" s="7" t="s">
        <v>94</v>
      </c>
      <c r="B2734" s="7" t="s">
        <v>247</v>
      </c>
      <c r="C2734" s="7" t="s">
        <v>45</v>
      </c>
      <c r="D2734" s="9">
        <v>0</v>
      </c>
      <c r="E2734" s="9">
        <v>0</v>
      </c>
      <c r="F2734" s="9">
        <v>0</v>
      </c>
      <c r="G2734" s="9">
        <v>3.22</v>
      </c>
      <c r="H2734" s="9">
        <v>7.9</v>
      </c>
      <c r="I2734" s="9">
        <v>0</v>
      </c>
      <c r="J2734" s="7" t="s">
        <v>325</v>
      </c>
    </row>
    <row r="2735" spans="1:10" x14ac:dyDescent="0.35">
      <c r="A2735" s="7" t="s">
        <v>31</v>
      </c>
      <c r="B2735" s="7" t="s">
        <v>192</v>
      </c>
      <c r="C2735" s="7" t="s">
        <v>27</v>
      </c>
      <c r="D2735" s="9">
        <v>0</v>
      </c>
      <c r="E2735" s="9">
        <v>0</v>
      </c>
      <c r="F2735" s="9">
        <v>0</v>
      </c>
      <c r="G2735" s="9">
        <v>0</v>
      </c>
      <c r="H2735" s="9">
        <v>0.03</v>
      </c>
      <c r="I2735" s="9">
        <v>0</v>
      </c>
      <c r="J2735" s="7" t="s">
        <v>325</v>
      </c>
    </row>
    <row r="2736" spans="1:10" x14ac:dyDescent="0.35">
      <c r="A2736" s="7" t="s">
        <v>94</v>
      </c>
      <c r="B2736" s="7" t="s">
        <v>247</v>
      </c>
      <c r="C2736" s="7" t="s">
        <v>151</v>
      </c>
      <c r="D2736" s="9">
        <v>0</v>
      </c>
      <c r="E2736" s="9">
        <v>0.01</v>
      </c>
      <c r="F2736" s="9">
        <v>0</v>
      </c>
      <c r="G2736" s="9">
        <v>0</v>
      </c>
      <c r="H2736" s="9">
        <v>23.22</v>
      </c>
      <c r="I2736" s="9">
        <v>0</v>
      </c>
      <c r="J2736" s="7" t="s">
        <v>325</v>
      </c>
    </row>
    <row r="2737" spans="1:10" x14ac:dyDescent="0.35">
      <c r="A2737" s="7" t="s">
        <v>94</v>
      </c>
      <c r="B2737" s="7" t="s">
        <v>247</v>
      </c>
      <c r="C2737" s="7" t="s">
        <v>53</v>
      </c>
      <c r="D2737" s="9">
        <v>0</v>
      </c>
      <c r="E2737" s="9">
        <v>0</v>
      </c>
      <c r="F2737" s="9">
        <v>0</v>
      </c>
      <c r="G2737" s="9">
        <v>9.85</v>
      </c>
      <c r="H2737" s="9">
        <v>0</v>
      </c>
      <c r="I2737" s="9">
        <v>0</v>
      </c>
      <c r="J2737" s="7" t="s">
        <v>325</v>
      </c>
    </row>
    <row r="2738" spans="1:10" x14ac:dyDescent="0.35">
      <c r="A2738" s="7" t="s">
        <v>94</v>
      </c>
      <c r="B2738" s="7" t="s">
        <v>247</v>
      </c>
      <c r="C2738" s="7" t="s">
        <v>55</v>
      </c>
      <c r="D2738" s="9">
        <v>0</v>
      </c>
      <c r="E2738" s="9">
        <v>0</v>
      </c>
      <c r="F2738" s="9">
        <v>0</v>
      </c>
      <c r="G2738" s="9">
        <v>0</v>
      </c>
      <c r="H2738" s="9">
        <v>5.5</v>
      </c>
      <c r="I2738" s="9">
        <v>0</v>
      </c>
      <c r="J2738" s="7" t="s">
        <v>325</v>
      </c>
    </row>
    <row r="2739" spans="1:10" x14ac:dyDescent="0.35">
      <c r="A2739" s="7" t="s">
        <v>94</v>
      </c>
      <c r="B2739" s="7" t="s">
        <v>247</v>
      </c>
      <c r="C2739" s="7" t="s">
        <v>72</v>
      </c>
      <c r="D2739" s="9">
        <v>0</v>
      </c>
      <c r="E2739" s="9">
        <v>0</v>
      </c>
      <c r="F2739" s="9">
        <v>0</v>
      </c>
      <c r="G2739" s="9">
        <v>1</v>
      </c>
      <c r="H2739" s="9">
        <v>0</v>
      </c>
      <c r="I2739" s="9">
        <v>0</v>
      </c>
      <c r="J2739" s="7" t="s">
        <v>325</v>
      </c>
    </row>
    <row r="2740" spans="1:10" x14ac:dyDescent="0.35">
      <c r="A2740" s="7" t="s">
        <v>94</v>
      </c>
      <c r="B2740" s="7" t="s">
        <v>247</v>
      </c>
      <c r="C2740" s="7" t="s">
        <v>59</v>
      </c>
      <c r="D2740" s="9">
        <v>0</v>
      </c>
      <c r="E2740" s="9">
        <v>0.03</v>
      </c>
      <c r="F2740" s="9">
        <v>0</v>
      </c>
      <c r="G2740" s="9">
        <v>0</v>
      </c>
      <c r="H2740" s="9">
        <v>3.62</v>
      </c>
      <c r="I2740" s="9">
        <v>0</v>
      </c>
      <c r="J2740" s="7" t="s">
        <v>325</v>
      </c>
    </row>
    <row r="2741" spans="1:10" x14ac:dyDescent="0.35">
      <c r="A2741" s="7" t="s">
        <v>31</v>
      </c>
      <c r="B2741" s="7" t="s">
        <v>192</v>
      </c>
      <c r="C2741" s="7" t="s">
        <v>93</v>
      </c>
      <c r="D2741" s="9">
        <v>0.03</v>
      </c>
      <c r="E2741" s="9">
        <v>0.1</v>
      </c>
      <c r="F2741" s="9">
        <v>0</v>
      </c>
      <c r="G2741" s="9">
        <v>2.37</v>
      </c>
      <c r="H2741" s="9">
        <v>9.34</v>
      </c>
      <c r="I2741" s="9">
        <v>0</v>
      </c>
      <c r="J2741" s="7" t="s">
        <v>325</v>
      </c>
    </row>
    <row r="2742" spans="1:10" x14ac:dyDescent="0.35">
      <c r="A2742" s="7" t="s">
        <v>31</v>
      </c>
      <c r="B2742" s="7" t="s">
        <v>32</v>
      </c>
      <c r="C2742" s="7" t="s">
        <v>60</v>
      </c>
      <c r="D2742" s="9">
        <v>0.03</v>
      </c>
      <c r="E2742" s="9">
        <v>0.04</v>
      </c>
      <c r="F2742" s="9">
        <v>0</v>
      </c>
      <c r="G2742" s="9">
        <v>19.5</v>
      </c>
      <c r="H2742" s="9">
        <v>17.71</v>
      </c>
      <c r="I2742" s="9">
        <v>0</v>
      </c>
      <c r="J2742" s="7" t="s">
        <v>325</v>
      </c>
    </row>
    <row r="2743" spans="1:10" x14ac:dyDescent="0.35">
      <c r="A2743" s="7" t="s">
        <v>31</v>
      </c>
      <c r="B2743" s="7" t="s">
        <v>32</v>
      </c>
      <c r="C2743" s="7" t="s">
        <v>125</v>
      </c>
      <c r="D2743" s="9">
        <v>0.28999999999999998</v>
      </c>
      <c r="E2743" s="9">
        <v>0</v>
      </c>
      <c r="F2743" s="9">
        <v>0</v>
      </c>
      <c r="G2743" s="9">
        <v>57.5</v>
      </c>
      <c r="H2743" s="9">
        <v>0</v>
      </c>
      <c r="I2743" s="9">
        <v>0</v>
      </c>
      <c r="J2743" s="7" t="s">
        <v>325</v>
      </c>
    </row>
    <row r="2744" spans="1:10" x14ac:dyDescent="0.35">
      <c r="A2744" s="7" t="s">
        <v>94</v>
      </c>
      <c r="B2744" s="7" t="s">
        <v>247</v>
      </c>
      <c r="C2744" s="7" t="s">
        <v>48</v>
      </c>
      <c r="D2744" s="9">
        <v>0</v>
      </c>
      <c r="E2744" s="9">
        <v>0</v>
      </c>
      <c r="F2744" s="9">
        <v>0</v>
      </c>
      <c r="G2744" s="9">
        <v>0.17</v>
      </c>
      <c r="H2744" s="9">
        <v>0</v>
      </c>
      <c r="I2744" s="9">
        <v>0</v>
      </c>
      <c r="J2744" s="7" t="s">
        <v>325</v>
      </c>
    </row>
    <row r="2745" spans="1:10" x14ac:dyDescent="0.35">
      <c r="A2745" s="7" t="s">
        <v>94</v>
      </c>
      <c r="B2745" s="7" t="s">
        <v>184</v>
      </c>
      <c r="C2745" s="7" t="s">
        <v>54</v>
      </c>
      <c r="D2745" s="9">
        <v>0</v>
      </c>
      <c r="E2745" s="9">
        <v>0</v>
      </c>
      <c r="F2745" s="9">
        <v>0</v>
      </c>
      <c r="G2745" s="9">
        <v>0.37</v>
      </c>
      <c r="H2745" s="9">
        <v>0</v>
      </c>
      <c r="I2745" s="9">
        <v>0</v>
      </c>
      <c r="J2745" s="7" t="s">
        <v>325</v>
      </c>
    </row>
    <row r="2746" spans="1:10" x14ac:dyDescent="0.35">
      <c r="A2746" s="7" t="s">
        <v>94</v>
      </c>
      <c r="B2746" s="7" t="s">
        <v>184</v>
      </c>
      <c r="C2746" s="7" t="s">
        <v>116</v>
      </c>
      <c r="D2746" s="9">
        <v>7.0000000000000007E-2</v>
      </c>
      <c r="E2746" s="9">
        <v>0</v>
      </c>
      <c r="F2746" s="9">
        <v>0</v>
      </c>
      <c r="G2746" s="9">
        <v>313.12</v>
      </c>
      <c r="H2746" s="9">
        <v>0</v>
      </c>
      <c r="I2746" s="9">
        <v>0</v>
      </c>
      <c r="J2746" s="7" t="s">
        <v>325</v>
      </c>
    </row>
    <row r="2747" spans="1:10" x14ac:dyDescent="0.35">
      <c r="A2747" s="7" t="s">
        <v>94</v>
      </c>
      <c r="B2747" s="7" t="s">
        <v>184</v>
      </c>
      <c r="C2747" s="7" t="s">
        <v>126</v>
      </c>
      <c r="D2747" s="9">
        <v>0.02</v>
      </c>
      <c r="E2747" s="9">
        <v>0</v>
      </c>
      <c r="F2747" s="9">
        <v>0</v>
      </c>
      <c r="G2747" s="9">
        <v>40</v>
      </c>
      <c r="H2747" s="9">
        <v>0</v>
      </c>
      <c r="I2747" s="9">
        <v>0</v>
      </c>
      <c r="J2747" s="7" t="s">
        <v>325</v>
      </c>
    </row>
    <row r="2748" spans="1:10" x14ac:dyDescent="0.35">
      <c r="A2748" s="7" t="s">
        <v>94</v>
      </c>
      <c r="B2748" s="7" t="s">
        <v>184</v>
      </c>
      <c r="C2748" s="7" t="s">
        <v>39</v>
      </c>
      <c r="D2748" s="9">
        <v>3.75</v>
      </c>
      <c r="E2748" s="9">
        <v>0</v>
      </c>
      <c r="F2748" s="9">
        <v>0</v>
      </c>
      <c r="G2748" s="8">
        <v>1488.74</v>
      </c>
      <c r="H2748" s="9">
        <v>0</v>
      </c>
      <c r="I2748" s="9">
        <v>0</v>
      </c>
      <c r="J2748" s="7" t="s">
        <v>325</v>
      </c>
    </row>
    <row r="2749" spans="1:10" ht="26.25" customHeight="1" x14ac:dyDescent="0.35">
      <c r="A2749" s="7" t="s">
        <v>31</v>
      </c>
      <c r="B2749" s="7" t="s">
        <v>32</v>
      </c>
      <c r="C2749" s="7" t="s">
        <v>81</v>
      </c>
      <c r="D2749" s="9">
        <v>0</v>
      </c>
      <c r="E2749" s="9">
        <v>0</v>
      </c>
      <c r="F2749" s="9">
        <v>0</v>
      </c>
      <c r="G2749" s="9">
        <v>0</v>
      </c>
      <c r="H2749" s="9">
        <v>0.26</v>
      </c>
      <c r="I2749" s="9">
        <v>0</v>
      </c>
      <c r="J2749" s="7" t="s">
        <v>325</v>
      </c>
    </row>
    <row r="2750" spans="1:10" x14ac:dyDescent="0.35">
      <c r="A2750" s="7" t="s">
        <v>94</v>
      </c>
      <c r="B2750" s="7" t="s">
        <v>184</v>
      </c>
      <c r="C2750" s="7" t="s">
        <v>151</v>
      </c>
      <c r="D2750" s="9">
        <v>0</v>
      </c>
      <c r="E2750" s="9">
        <v>0</v>
      </c>
      <c r="F2750" s="9">
        <v>0</v>
      </c>
      <c r="G2750" s="9">
        <v>0</v>
      </c>
      <c r="H2750" s="9">
        <v>0.16</v>
      </c>
      <c r="I2750" s="9">
        <v>0</v>
      </c>
      <c r="J2750" s="7" t="s">
        <v>325</v>
      </c>
    </row>
    <row r="2751" spans="1:10" x14ac:dyDescent="0.35">
      <c r="A2751" s="7" t="s">
        <v>94</v>
      </c>
      <c r="B2751" s="7" t="s">
        <v>184</v>
      </c>
      <c r="C2751" s="7" t="s">
        <v>62</v>
      </c>
      <c r="D2751" s="9">
        <v>1.44</v>
      </c>
      <c r="E2751" s="9">
        <v>0.44</v>
      </c>
      <c r="F2751" s="9">
        <v>0</v>
      </c>
      <c r="G2751" s="8">
        <v>5632.32</v>
      </c>
      <c r="H2751" s="8">
        <v>1778.03</v>
      </c>
      <c r="I2751" s="9">
        <v>0</v>
      </c>
      <c r="J2751" s="7" t="s">
        <v>325</v>
      </c>
    </row>
    <row r="2752" spans="1:10" x14ac:dyDescent="0.35">
      <c r="A2752" s="7" t="s">
        <v>94</v>
      </c>
      <c r="B2752" s="7" t="s">
        <v>184</v>
      </c>
      <c r="C2752" s="7" t="s">
        <v>53</v>
      </c>
      <c r="D2752" s="9">
        <v>0</v>
      </c>
      <c r="E2752" s="9">
        <v>0</v>
      </c>
      <c r="F2752" s="9">
        <v>0</v>
      </c>
      <c r="G2752" s="9">
        <v>1</v>
      </c>
      <c r="H2752" s="9">
        <v>0</v>
      </c>
      <c r="I2752" s="9">
        <v>0</v>
      </c>
      <c r="J2752" s="7" t="s">
        <v>325</v>
      </c>
    </row>
    <row r="2753" spans="1:10" x14ac:dyDescent="0.35">
      <c r="A2753" s="7" t="s">
        <v>31</v>
      </c>
      <c r="B2753" s="7" t="s">
        <v>32</v>
      </c>
      <c r="C2753" s="7" t="s">
        <v>55</v>
      </c>
      <c r="D2753" s="9">
        <v>0.01</v>
      </c>
      <c r="E2753" s="9">
        <v>0</v>
      </c>
      <c r="F2753" s="9">
        <v>0</v>
      </c>
      <c r="G2753" s="9">
        <v>28</v>
      </c>
      <c r="H2753" s="9">
        <v>0</v>
      </c>
      <c r="I2753" s="9">
        <v>0</v>
      </c>
      <c r="J2753" s="7" t="s">
        <v>325</v>
      </c>
    </row>
    <row r="2754" spans="1:10" x14ac:dyDescent="0.35">
      <c r="A2754" s="7" t="s">
        <v>94</v>
      </c>
      <c r="B2754" s="7" t="s">
        <v>184</v>
      </c>
      <c r="C2754" s="7" t="s">
        <v>69</v>
      </c>
      <c r="D2754" s="9">
        <v>0</v>
      </c>
      <c r="E2754" s="9">
        <v>0</v>
      </c>
      <c r="F2754" s="9">
        <v>0</v>
      </c>
      <c r="G2754" s="9">
        <v>0.55000000000000004</v>
      </c>
      <c r="H2754" s="9">
        <v>0</v>
      </c>
      <c r="I2754" s="9">
        <v>0</v>
      </c>
      <c r="J2754" s="7" t="s">
        <v>325</v>
      </c>
    </row>
    <row r="2755" spans="1:10" x14ac:dyDescent="0.35">
      <c r="A2755" s="7" t="s">
        <v>31</v>
      </c>
      <c r="B2755" s="7" t="s">
        <v>32</v>
      </c>
      <c r="C2755" s="7" t="s">
        <v>51</v>
      </c>
      <c r="D2755" s="9">
        <v>0</v>
      </c>
      <c r="E2755" s="9">
        <v>0</v>
      </c>
      <c r="F2755" s="9">
        <v>0</v>
      </c>
      <c r="G2755" s="9">
        <v>0.01</v>
      </c>
      <c r="H2755" s="9">
        <v>0</v>
      </c>
      <c r="I2755" s="9">
        <v>0</v>
      </c>
      <c r="J2755" s="7" t="s">
        <v>325</v>
      </c>
    </row>
    <row r="2756" spans="1:10" x14ac:dyDescent="0.35">
      <c r="A2756" s="7" t="s">
        <v>94</v>
      </c>
      <c r="B2756" s="7" t="s">
        <v>184</v>
      </c>
      <c r="C2756" s="7" t="s">
        <v>83</v>
      </c>
      <c r="D2756" s="9">
        <v>0.01</v>
      </c>
      <c r="E2756" s="9">
        <v>0</v>
      </c>
      <c r="F2756" s="9">
        <v>0</v>
      </c>
      <c r="G2756" s="9">
        <v>15.57</v>
      </c>
      <c r="H2756" s="9">
        <v>0.15</v>
      </c>
      <c r="I2756" s="9">
        <v>0</v>
      </c>
      <c r="J2756" s="7" t="s">
        <v>325</v>
      </c>
    </row>
    <row r="2757" spans="1:10" x14ac:dyDescent="0.35">
      <c r="A2757" s="7" t="s">
        <v>31</v>
      </c>
      <c r="B2757" s="7" t="s">
        <v>32</v>
      </c>
      <c r="C2757" s="7" t="s">
        <v>151</v>
      </c>
      <c r="D2757" s="9">
        <v>0</v>
      </c>
      <c r="E2757" s="9">
        <v>0.01</v>
      </c>
      <c r="F2757" s="9">
        <v>0</v>
      </c>
      <c r="G2757" s="9">
        <v>0.61</v>
      </c>
      <c r="H2757" s="9">
        <v>1.79</v>
      </c>
      <c r="I2757" s="9">
        <v>0</v>
      </c>
      <c r="J2757" s="7" t="s">
        <v>325</v>
      </c>
    </row>
    <row r="2758" spans="1:10" x14ac:dyDescent="0.35">
      <c r="A2758" s="7" t="s">
        <v>94</v>
      </c>
      <c r="B2758" s="7" t="s">
        <v>184</v>
      </c>
      <c r="C2758" s="7" t="s">
        <v>59</v>
      </c>
      <c r="D2758" s="9">
        <v>0.01</v>
      </c>
      <c r="E2758" s="9">
        <v>0</v>
      </c>
      <c r="F2758" s="9">
        <v>0</v>
      </c>
      <c r="G2758" s="9">
        <v>1.34</v>
      </c>
      <c r="H2758" s="9">
        <v>0</v>
      </c>
      <c r="I2758" s="9">
        <v>0</v>
      </c>
      <c r="J2758" s="7" t="s">
        <v>325</v>
      </c>
    </row>
    <row r="2759" spans="1:10" x14ac:dyDescent="0.35">
      <c r="A2759" s="7" t="s">
        <v>94</v>
      </c>
      <c r="B2759" s="7" t="s">
        <v>184</v>
      </c>
      <c r="C2759" s="7" t="s">
        <v>48</v>
      </c>
      <c r="D2759" s="9">
        <v>0.03</v>
      </c>
      <c r="E2759" s="9">
        <v>0</v>
      </c>
      <c r="F2759" s="9">
        <v>0</v>
      </c>
      <c r="G2759" s="9">
        <v>17.61</v>
      </c>
      <c r="H2759" s="9">
        <v>0</v>
      </c>
      <c r="I2759" s="9">
        <v>0</v>
      </c>
      <c r="J2759" s="7" t="s">
        <v>325</v>
      </c>
    </row>
    <row r="2760" spans="1:10" x14ac:dyDescent="0.35">
      <c r="A2760" s="7" t="s">
        <v>94</v>
      </c>
      <c r="B2760" s="7" t="s">
        <v>184</v>
      </c>
      <c r="C2760" s="7" t="s">
        <v>60</v>
      </c>
      <c r="D2760" s="9">
        <v>0</v>
      </c>
      <c r="E2760" s="9">
        <v>0</v>
      </c>
      <c r="F2760" s="9">
        <v>0</v>
      </c>
      <c r="G2760" s="9">
        <v>1.23</v>
      </c>
      <c r="H2760" s="9">
        <v>0</v>
      </c>
      <c r="I2760" s="9">
        <v>0</v>
      </c>
      <c r="J2760" s="7" t="s">
        <v>325</v>
      </c>
    </row>
    <row r="2761" spans="1:10" x14ac:dyDescent="0.35">
      <c r="A2761" s="7" t="s">
        <v>31</v>
      </c>
      <c r="B2761" s="7" t="s">
        <v>32</v>
      </c>
      <c r="C2761" s="7" t="s">
        <v>118</v>
      </c>
      <c r="D2761" s="9">
        <v>0.06</v>
      </c>
      <c r="E2761" s="9">
        <v>0</v>
      </c>
      <c r="F2761" s="9">
        <v>0</v>
      </c>
      <c r="G2761" s="9">
        <v>15.07</v>
      </c>
      <c r="H2761" s="9">
        <v>0</v>
      </c>
      <c r="I2761" s="9">
        <v>0</v>
      </c>
      <c r="J2761" s="7" t="s">
        <v>325</v>
      </c>
    </row>
    <row r="2762" spans="1:10" x14ac:dyDescent="0.35">
      <c r="A2762" s="7" t="s">
        <v>31</v>
      </c>
      <c r="B2762" s="7" t="s">
        <v>32</v>
      </c>
      <c r="C2762" s="7" t="s">
        <v>126</v>
      </c>
      <c r="D2762" s="9">
        <v>0</v>
      </c>
      <c r="E2762" s="9">
        <v>0</v>
      </c>
      <c r="F2762" s="9">
        <v>0</v>
      </c>
      <c r="G2762" s="9">
        <v>0.42</v>
      </c>
      <c r="H2762" s="9">
        <v>0</v>
      </c>
      <c r="I2762" s="9">
        <v>0</v>
      </c>
      <c r="J2762" s="7" t="s">
        <v>325</v>
      </c>
    </row>
    <row r="2763" spans="1:10" x14ac:dyDescent="0.35">
      <c r="A2763" s="7" t="s">
        <v>94</v>
      </c>
      <c r="B2763" s="7" t="s">
        <v>203</v>
      </c>
      <c r="C2763" s="7" t="s">
        <v>51</v>
      </c>
      <c r="D2763" s="9">
        <v>0</v>
      </c>
      <c r="E2763" s="9">
        <v>0</v>
      </c>
      <c r="F2763" s="9">
        <v>0</v>
      </c>
      <c r="G2763" s="9">
        <v>3</v>
      </c>
      <c r="H2763" s="9">
        <v>0</v>
      </c>
      <c r="I2763" s="9">
        <v>0</v>
      </c>
      <c r="J2763" s="7" t="s">
        <v>325</v>
      </c>
    </row>
    <row r="2764" spans="1:10" x14ac:dyDescent="0.35">
      <c r="A2764" s="7" t="s">
        <v>94</v>
      </c>
      <c r="B2764" s="7" t="s">
        <v>203</v>
      </c>
      <c r="C2764" s="7" t="s">
        <v>60</v>
      </c>
      <c r="D2764" s="9">
        <v>0</v>
      </c>
      <c r="E2764" s="9">
        <v>0</v>
      </c>
      <c r="F2764" s="9">
        <v>0</v>
      </c>
      <c r="G2764" s="9">
        <v>0.26</v>
      </c>
      <c r="H2764" s="9">
        <v>0</v>
      </c>
      <c r="I2764" s="9">
        <v>0</v>
      </c>
      <c r="J2764" s="7" t="s">
        <v>325</v>
      </c>
    </row>
    <row r="2765" spans="1:10" x14ac:dyDescent="0.35">
      <c r="A2765" s="7" t="s">
        <v>159</v>
      </c>
      <c r="B2765" s="7" t="s">
        <v>289</v>
      </c>
      <c r="C2765" s="7" t="s">
        <v>27</v>
      </c>
      <c r="D2765" s="9">
        <v>0</v>
      </c>
      <c r="E2765" s="9">
        <v>0.59</v>
      </c>
      <c r="F2765" s="9">
        <v>0</v>
      </c>
      <c r="G2765" s="9">
        <v>0</v>
      </c>
      <c r="H2765" s="8">
        <v>1386.06</v>
      </c>
      <c r="I2765" s="9">
        <v>0</v>
      </c>
      <c r="J2765" s="7" t="s">
        <v>325</v>
      </c>
    </row>
    <row r="2766" spans="1:10" x14ac:dyDescent="0.35">
      <c r="A2766" s="7" t="s">
        <v>31</v>
      </c>
      <c r="B2766" s="7" t="s">
        <v>32</v>
      </c>
      <c r="C2766" s="7" t="s">
        <v>170</v>
      </c>
      <c r="D2766" s="9">
        <v>0</v>
      </c>
      <c r="E2766" s="9">
        <v>0.3</v>
      </c>
      <c r="F2766" s="9">
        <v>0</v>
      </c>
      <c r="G2766" s="9">
        <v>0</v>
      </c>
      <c r="H2766" s="9">
        <v>172.41</v>
      </c>
      <c r="I2766" s="9">
        <v>0</v>
      </c>
      <c r="J2766" s="7" t="s">
        <v>325</v>
      </c>
    </row>
    <row r="2767" spans="1:10" x14ac:dyDescent="0.35">
      <c r="A2767" s="7" t="s">
        <v>159</v>
      </c>
      <c r="B2767" s="7" t="s">
        <v>289</v>
      </c>
      <c r="C2767" s="7" t="s">
        <v>55</v>
      </c>
      <c r="D2767" s="9">
        <v>0</v>
      </c>
      <c r="E2767" s="9">
        <v>0.03</v>
      </c>
      <c r="F2767" s="9">
        <v>0</v>
      </c>
      <c r="G2767" s="9">
        <v>0</v>
      </c>
      <c r="H2767" s="9">
        <v>111.1</v>
      </c>
      <c r="I2767" s="9">
        <v>0</v>
      </c>
      <c r="J2767" s="7" t="s">
        <v>325</v>
      </c>
    </row>
    <row r="2768" spans="1:10" x14ac:dyDescent="0.35">
      <c r="A2768" s="7" t="s">
        <v>159</v>
      </c>
      <c r="B2768" s="7" t="s">
        <v>253</v>
      </c>
      <c r="C2768" s="7" t="s">
        <v>55</v>
      </c>
      <c r="D2768" s="9">
        <v>0</v>
      </c>
      <c r="E2768" s="9">
        <v>0.02</v>
      </c>
      <c r="F2768" s="9">
        <v>0</v>
      </c>
      <c r="G2768" s="9">
        <v>0</v>
      </c>
      <c r="H2768" s="9">
        <v>90</v>
      </c>
      <c r="I2768" s="9">
        <v>0</v>
      </c>
      <c r="J2768" s="7" t="s">
        <v>325</v>
      </c>
    </row>
    <row r="2769" spans="1:10" x14ac:dyDescent="0.35">
      <c r="A2769" s="7" t="s">
        <v>31</v>
      </c>
      <c r="B2769" s="7" t="s">
        <v>32</v>
      </c>
      <c r="C2769" s="7" t="s">
        <v>221</v>
      </c>
      <c r="D2769" s="9">
        <v>0</v>
      </c>
      <c r="E2769" s="9">
        <v>0</v>
      </c>
      <c r="F2769" s="9">
        <v>0</v>
      </c>
      <c r="G2769" s="9">
        <v>0</v>
      </c>
      <c r="H2769" s="9">
        <v>0.02</v>
      </c>
      <c r="I2769" s="9">
        <v>0</v>
      </c>
      <c r="J2769" s="7" t="s">
        <v>325</v>
      </c>
    </row>
    <row r="2770" spans="1:10" x14ac:dyDescent="0.35">
      <c r="A2770" s="7" t="s">
        <v>159</v>
      </c>
      <c r="B2770" s="7" t="s">
        <v>218</v>
      </c>
      <c r="C2770" s="7" t="s">
        <v>42</v>
      </c>
      <c r="D2770" s="9">
        <v>0</v>
      </c>
      <c r="E2770" s="9">
        <v>0</v>
      </c>
      <c r="F2770" s="9">
        <v>0</v>
      </c>
      <c r="G2770" s="9">
        <v>0</v>
      </c>
      <c r="H2770" s="9">
        <v>0.26</v>
      </c>
      <c r="I2770" s="9">
        <v>0</v>
      </c>
      <c r="J2770" s="7" t="s">
        <v>325</v>
      </c>
    </row>
    <row r="2771" spans="1:10" x14ac:dyDescent="0.35">
      <c r="A2771" s="7" t="s">
        <v>159</v>
      </c>
      <c r="B2771" s="7" t="s">
        <v>218</v>
      </c>
      <c r="C2771" s="7" t="s">
        <v>102</v>
      </c>
      <c r="D2771" s="9">
        <v>0</v>
      </c>
      <c r="E2771" s="9">
        <v>0</v>
      </c>
      <c r="F2771" s="9">
        <v>0</v>
      </c>
      <c r="G2771" s="9">
        <v>0</v>
      </c>
      <c r="H2771" s="9">
        <v>0.91</v>
      </c>
      <c r="I2771" s="9">
        <v>0</v>
      </c>
      <c r="J2771" s="7" t="s">
        <v>325</v>
      </c>
    </row>
    <row r="2772" spans="1:10" ht="26.25" customHeight="1" x14ac:dyDescent="0.35">
      <c r="A2772" s="7" t="s">
        <v>31</v>
      </c>
      <c r="B2772" s="7" t="s">
        <v>146</v>
      </c>
      <c r="C2772" s="7" t="s">
        <v>18</v>
      </c>
      <c r="D2772" s="9">
        <v>0</v>
      </c>
      <c r="E2772" s="9">
        <v>0</v>
      </c>
      <c r="F2772" s="9">
        <v>0</v>
      </c>
      <c r="G2772" s="9">
        <v>0</v>
      </c>
      <c r="H2772" s="9">
        <v>5.4</v>
      </c>
      <c r="I2772" s="9">
        <v>0</v>
      </c>
      <c r="J2772" s="7" t="s">
        <v>325</v>
      </c>
    </row>
    <row r="2773" spans="1:10" x14ac:dyDescent="0.35">
      <c r="A2773" s="7" t="s">
        <v>159</v>
      </c>
      <c r="B2773" s="7" t="s">
        <v>218</v>
      </c>
      <c r="C2773" s="7" t="s">
        <v>45</v>
      </c>
      <c r="D2773" s="9">
        <v>0</v>
      </c>
      <c r="E2773" s="9">
        <v>0</v>
      </c>
      <c r="F2773" s="9">
        <v>0</v>
      </c>
      <c r="G2773" s="9">
        <v>0</v>
      </c>
      <c r="H2773" s="9">
        <v>0.1</v>
      </c>
      <c r="I2773" s="9">
        <v>0</v>
      </c>
      <c r="J2773" s="7" t="s">
        <v>325</v>
      </c>
    </row>
    <row r="2774" spans="1:10" ht="26.25" customHeight="1" x14ac:dyDescent="0.35">
      <c r="A2774" s="7" t="s">
        <v>31</v>
      </c>
      <c r="B2774" s="7" t="s">
        <v>146</v>
      </c>
      <c r="C2774" s="7" t="s">
        <v>150</v>
      </c>
      <c r="D2774" s="9">
        <v>0</v>
      </c>
      <c r="E2774" s="9">
        <v>0</v>
      </c>
      <c r="F2774" s="9">
        <v>0</v>
      </c>
      <c r="G2774" s="9">
        <v>0</v>
      </c>
      <c r="H2774" s="9">
        <v>0.32</v>
      </c>
      <c r="I2774" s="9">
        <v>0</v>
      </c>
      <c r="J2774" s="7" t="s">
        <v>325</v>
      </c>
    </row>
    <row r="2775" spans="1:10" x14ac:dyDescent="0.35">
      <c r="A2775" s="7" t="s">
        <v>159</v>
      </c>
      <c r="B2775" s="7" t="s">
        <v>218</v>
      </c>
      <c r="C2775" s="7" t="s">
        <v>53</v>
      </c>
      <c r="D2775" s="9">
        <v>0</v>
      </c>
      <c r="E2775" s="9">
        <v>0</v>
      </c>
      <c r="F2775" s="9">
        <v>0</v>
      </c>
      <c r="G2775" s="9">
        <v>7.0000000000000007E-2</v>
      </c>
      <c r="H2775" s="9">
        <v>0</v>
      </c>
      <c r="I2775" s="9">
        <v>0</v>
      </c>
      <c r="J2775" s="7" t="s">
        <v>325</v>
      </c>
    </row>
    <row r="2776" spans="1:10" ht="26.25" customHeight="1" x14ac:dyDescent="0.35">
      <c r="A2776" s="7" t="s">
        <v>31</v>
      </c>
      <c r="B2776" s="7" t="s">
        <v>146</v>
      </c>
      <c r="C2776" s="7" t="s">
        <v>55</v>
      </c>
      <c r="D2776" s="9">
        <v>78.63</v>
      </c>
      <c r="E2776" s="9">
        <v>9.85</v>
      </c>
      <c r="F2776" s="9">
        <v>0</v>
      </c>
      <c r="G2776" s="8">
        <v>294222.46999999997</v>
      </c>
      <c r="H2776" s="8">
        <v>32562</v>
      </c>
      <c r="I2776" s="9">
        <v>0</v>
      </c>
      <c r="J2776" s="7" t="s">
        <v>325</v>
      </c>
    </row>
    <row r="2777" spans="1:10" ht="26.25" customHeight="1" x14ac:dyDescent="0.35">
      <c r="A2777" s="7" t="s">
        <v>31</v>
      </c>
      <c r="B2777" s="7" t="s">
        <v>146</v>
      </c>
      <c r="C2777" s="7" t="s">
        <v>69</v>
      </c>
      <c r="D2777" s="9">
        <v>0.04</v>
      </c>
      <c r="E2777" s="9">
        <v>0.02</v>
      </c>
      <c r="F2777" s="9">
        <v>0</v>
      </c>
      <c r="G2777" s="9">
        <v>40</v>
      </c>
      <c r="H2777" s="9">
        <v>16</v>
      </c>
      <c r="I2777" s="9">
        <v>0</v>
      </c>
      <c r="J2777" s="7" t="s">
        <v>325</v>
      </c>
    </row>
    <row r="2778" spans="1:10" x14ac:dyDescent="0.35">
      <c r="A2778" s="7" t="s">
        <v>159</v>
      </c>
      <c r="B2778" s="7" t="s">
        <v>218</v>
      </c>
      <c r="C2778" s="7" t="s">
        <v>55</v>
      </c>
      <c r="D2778" s="9">
        <v>0</v>
      </c>
      <c r="E2778" s="9">
        <v>0</v>
      </c>
      <c r="F2778" s="9">
        <v>0</v>
      </c>
      <c r="G2778" s="9">
        <v>0</v>
      </c>
      <c r="H2778" s="9">
        <v>0.2</v>
      </c>
      <c r="I2778" s="9">
        <v>0</v>
      </c>
      <c r="J2778" s="7" t="s">
        <v>325</v>
      </c>
    </row>
    <row r="2779" spans="1:10" x14ac:dyDescent="0.35">
      <c r="A2779" s="7" t="s">
        <v>159</v>
      </c>
      <c r="B2779" s="7" t="s">
        <v>218</v>
      </c>
      <c r="C2779" s="7" t="s">
        <v>59</v>
      </c>
      <c r="D2779" s="9">
        <v>0</v>
      </c>
      <c r="E2779" s="9">
        <v>0</v>
      </c>
      <c r="F2779" s="9">
        <v>0</v>
      </c>
      <c r="G2779" s="9">
        <v>0.01</v>
      </c>
      <c r="H2779" s="9">
        <v>0.02</v>
      </c>
      <c r="I2779" s="9">
        <v>0</v>
      </c>
      <c r="J2779" s="7" t="s">
        <v>325</v>
      </c>
    </row>
    <row r="2780" spans="1:10" x14ac:dyDescent="0.35">
      <c r="A2780" s="7" t="s">
        <v>159</v>
      </c>
      <c r="B2780" s="7" t="s">
        <v>246</v>
      </c>
      <c r="C2780" s="7" t="s">
        <v>55</v>
      </c>
      <c r="D2780" s="9">
        <v>0</v>
      </c>
      <c r="E2780" s="9">
        <v>0.04</v>
      </c>
      <c r="F2780" s="9">
        <v>0</v>
      </c>
      <c r="G2780" s="9">
        <v>0</v>
      </c>
      <c r="H2780" s="9">
        <v>149.52000000000001</v>
      </c>
      <c r="I2780" s="9">
        <v>0</v>
      </c>
      <c r="J2780" s="7" t="s">
        <v>325</v>
      </c>
    </row>
    <row r="2781" spans="1:10" x14ac:dyDescent="0.35">
      <c r="A2781" s="7" t="s">
        <v>159</v>
      </c>
      <c r="B2781" s="7" t="s">
        <v>246</v>
      </c>
      <c r="C2781" s="7" t="s">
        <v>83</v>
      </c>
      <c r="D2781" s="9">
        <v>0</v>
      </c>
      <c r="E2781" s="9">
        <v>0</v>
      </c>
      <c r="F2781" s="9">
        <v>0</v>
      </c>
      <c r="G2781" s="9">
        <v>0</v>
      </c>
      <c r="H2781" s="9">
        <v>5.4</v>
      </c>
      <c r="I2781" s="9">
        <v>0</v>
      </c>
      <c r="J2781" s="7" t="s">
        <v>325</v>
      </c>
    </row>
    <row r="2782" spans="1:10" x14ac:dyDescent="0.35">
      <c r="A2782" s="7" t="s">
        <v>159</v>
      </c>
      <c r="B2782" s="7" t="s">
        <v>160</v>
      </c>
      <c r="C2782" s="7" t="s">
        <v>181</v>
      </c>
      <c r="D2782" s="9">
        <v>0</v>
      </c>
      <c r="E2782" s="9">
        <v>0</v>
      </c>
      <c r="F2782" s="9">
        <v>0</v>
      </c>
      <c r="G2782" s="9">
        <v>0</v>
      </c>
      <c r="H2782" s="9">
        <v>0.01</v>
      </c>
      <c r="I2782" s="9">
        <v>0</v>
      </c>
      <c r="J2782" s="7" t="s">
        <v>325</v>
      </c>
    </row>
    <row r="2783" spans="1:10" x14ac:dyDescent="0.35">
      <c r="A2783" s="7" t="s">
        <v>159</v>
      </c>
      <c r="B2783" s="7" t="s">
        <v>160</v>
      </c>
      <c r="C2783" s="7" t="s">
        <v>110</v>
      </c>
      <c r="D2783" s="9">
        <v>0</v>
      </c>
      <c r="E2783" s="9">
        <v>0.01</v>
      </c>
      <c r="F2783" s="9">
        <v>0</v>
      </c>
      <c r="G2783" s="9">
        <v>0</v>
      </c>
      <c r="H2783" s="9">
        <v>17.29</v>
      </c>
      <c r="I2783" s="9">
        <v>0</v>
      </c>
      <c r="J2783" s="7" t="s">
        <v>325</v>
      </c>
    </row>
    <row r="2784" spans="1:10" ht="26.25" customHeight="1" x14ac:dyDescent="0.35">
      <c r="A2784" s="7" t="s">
        <v>31</v>
      </c>
      <c r="B2784" s="7" t="s">
        <v>146</v>
      </c>
      <c r="C2784" s="7" t="s">
        <v>116</v>
      </c>
      <c r="D2784" s="9">
        <v>2.3199999999999998</v>
      </c>
      <c r="E2784" s="9">
        <v>0</v>
      </c>
      <c r="F2784" s="9">
        <v>0</v>
      </c>
      <c r="G2784" s="8">
        <v>11292.78</v>
      </c>
      <c r="H2784" s="9">
        <v>15</v>
      </c>
      <c r="I2784" s="9">
        <v>0</v>
      </c>
      <c r="J2784" s="7" t="s">
        <v>325</v>
      </c>
    </row>
    <row r="2785" spans="1:10" x14ac:dyDescent="0.35">
      <c r="A2785" s="7" t="s">
        <v>159</v>
      </c>
      <c r="B2785" s="7" t="s">
        <v>160</v>
      </c>
      <c r="C2785" s="7" t="s">
        <v>84</v>
      </c>
      <c r="D2785" s="9">
        <v>0</v>
      </c>
      <c r="E2785" s="9">
        <v>0.01</v>
      </c>
      <c r="F2785" s="9">
        <v>0</v>
      </c>
      <c r="G2785" s="9">
        <v>0.05</v>
      </c>
      <c r="H2785" s="9">
        <v>0.52</v>
      </c>
      <c r="I2785" s="9">
        <v>0</v>
      </c>
      <c r="J2785" s="7" t="s">
        <v>325</v>
      </c>
    </row>
    <row r="2786" spans="1:10" x14ac:dyDescent="0.35">
      <c r="A2786" s="7" t="s">
        <v>159</v>
      </c>
      <c r="B2786" s="7" t="s">
        <v>160</v>
      </c>
      <c r="C2786" s="7" t="s">
        <v>60</v>
      </c>
      <c r="D2786" s="9">
        <v>0.06</v>
      </c>
      <c r="E2786" s="9">
        <v>0</v>
      </c>
      <c r="F2786" s="9">
        <v>0</v>
      </c>
      <c r="G2786" s="9">
        <v>23</v>
      </c>
      <c r="H2786" s="9">
        <v>9.81</v>
      </c>
      <c r="I2786" s="9">
        <v>0</v>
      </c>
      <c r="J2786" s="7" t="s">
        <v>325</v>
      </c>
    </row>
    <row r="2787" spans="1:10" x14ac:dyDescent="0.35">
      <c r="A2787" s="7" t="s">
        <v>31</v>
      </c>
      <c r="B2787" s="7" t="s">
        <v>290</v>
      </c>
      <c r="C2787" s="7" t="s">
        <v>114</v>
      </c>
      <c r="D2787" s="9">
        <v>0</v>
      </c>
      <c r="E2787" s="9">
        <v>0</v>
      </c>
      <c r="F2787" s="9">
        <v>0</v>
      </c>
      <c r="G2787" s="9">
        <v>0</v>
      </c>
      <c r="H2787" s="9">
        <v>0.01</v>
      </c>
      <c r="I2787" s="9">
        <v>0</v>
      </c>
      <c r="J2787" s="7" t="s">
        <v>325</v>
      </c>
    </row>
    <row r="2788" spans="1:10" x14ac:dyDescent="0.35">
      <c r="A2788" s="7" t="s">
        <v>31</v>
      </c>
      <c r="B2788" s="7" t="s">
        <v>290</v>
      </c>
      <c r="C2788" s="7" t="s">
        <v>48</v>
      </c>
      <c r="D2788" s="9">
        <v>0</v>
      </c>
      <c r="E2788" s="9">
        <v>0</v>
      </c>
      <c r="F2788" s="9">
        <v>0</v>
      </c>
      <c r="G2788" s="9">
        <v>0.05</v>
      </c>
      <c r="H2788" s="9">
        <v>0</v>
      </c>
      <c r="I2788" s="9">
        <v>0</v>
      </c>
      <c r="J2788" s="7" t="s">
        <v>325</v>
      </c>
    </row>
    <row r="2789" spans="1:10" ht="26.25" customHeight="1" x14ac:dyDescent="0.35">
      <c r="A2789" s="7" t="s">
        <v>31</v>
      </c>
      <c r="B2789" s="7" t="s">
        <v>290</v>
      </c>
      <c r="C2789" s="7" t="s">
        <v>81</v>
      </c>
      <c r="D2789" s="9">
        <v>0</v>
      </c>
      <c r="E2789" s="9">
        <v>0</v>
      </c>
      <c r="F2789" s="9">
        <v>0</v>
      </c>
      <c r="G2789" s="9">
        <v>0.45</v>
      </c>
      <c r="H2789" s="9">
        <v>0</v>
      </c>
      <c r="I2789" s="9">
        <v>0</v>
      </c>
      <c r="J2789" s="7" t="s">
        <v>325</v>
      </c>
    </row>
    <row r="2790" spans="1:10" x14ac:dyDescent="0.35">
      <c r="A2790" s="7" t="s">
        <v>31</v>
      </c>
      <c r="B2790" s="7" t="s">
        <v>290</v>
      </c>
      <c r="C2790" s="7" t="s">
        <v>83</v>
      </c>
      <c r="D2790" s="9">
        <v>0</v>
      </c>
      <c r="E2790" s="9">
        <v>0</v>
      </c>
      <c r="F2790" s="9">
        <v>0</v>
      </c>
      <c r="G2790" s="9">
        <v>0.09</v>
      </c>
      <c r="H2790" s="9">
        <v>0</v>
      </c>
      <c r="I2790" s="9">
        <v>0</v>
      </c>
      <c r="J2790" s="7" t="s">
        <v>325</v>
      </c>
    </row>
    <row r="2791" spans="1:10" x14ac:dyDescent="0.35">
      <c r="A2791" s="7" t="s">
        <v>31</v>
      </c>
      <c r="B2791" s="7" t="s">
        <v>290</v>
      </c>
      <c r="C2791" s="7" t="s">
        <v>76</v>
      </c>
      <c r="D2791" s="9">
        <v>0</v>
      </c>
      <c r="E2791" s="9">
        <v>0</v>
      </c>
      <c r="F2791" s="9">
        <v>0</v>
      </c>
      <c r="G2791" s="9">
        <v>0.11</v>
      </c>
      <c r="H2791" s="9">
        <v>0</v>
      </c>
      <c r="I2791" s="9">
        <v>0</v>
      </c>
      <c r="J2791" s="7" t="s">
        <v>325</v>
      </c>
    </row>
    <row r="2792" spans="1:10" x14ac:dyDescent="0.35">
      <c r="A2792" s="7" t="s">
        <v>31</v>
      </c>
      <c r="B2792" s="7" t="s">
        <v>290</v>
      </c>
      <c r="C2792" s="7" t="s">
        <v>55</v>
      </c>
      <c r="D2792" s="9">
        <v>0</v>
      </c>
      <c r="E2792" s="9">
        <v>0</v>
      </c>
      <c r="F2792" s="9">
        <v>0</v>
      </c>
      <c r="G2792" s="9">
        <v>5.26</v>
      </c>
      <c r="H2792" s="9">
        <v>0</v>
      </c>
      <c r="I2792" s="9">
        <v>0</v>
      </c>
      <c r="J2792" s="7" t="s">
        <v>325</v>
      </c>
    </row>
    <row r="2793" spans="1:10" x14ac:dyDescent="0.35">
      <c r="A2793" s="7" t="s">
        <v>31</v>
      </c>
      <c r="B2793" s="7" t="s">
        <v>290</v>
      </c>
      <c r="C2793" s="7" t="s">
        <v>53</v>
      </c>
      <c r="D2793" s="9">
        <v>0</v>
      </c>
      <c r="E2793" s="9">
        <v>0</v>
      </c>
      <c r="F2793" s="9">
        <v>0</v>
      </c>
      <c r="G2793" s="9">
        <v>0.35</v>
      </c>
      <c r="H2793" s="9">
        <v>0</v>
      </c>
      <c r="I2793" s="9">
        <v>0</v>
      </c>
      <c r="J2793" s="7" t="s">
        <v>325</v>
      </c>
    </row>
    <row r="2794" spans="1:10" x14ac:dyDescent="0.35">
      <c r="A2794" s="7" t="s">
        <v>31</v>
      </c>
      <c r="B2794" s="7" t="s">
        <v>290</v>
      </c>
      <c r="C2794" s="7" t="s">
        <v>62</v>
      </c>
      <c r="D2794" s="9">
        <v>0</v>
      </c>
      <c r="E2794" s="9">
        <v>0</v>
      </c>
      <c r="F2794" s="9">
        <v>0</v>
      </c>
      <c r="G2794" s="9">
        <v>6.96</v>
      </c>
      <c r="H2794" s="9">
        <v>1.5</v>
      </c>
      <c r="I2794" s="9">
        <v>0</v>
      </c>
      <c r="J2794" s="7" t="s">
        <v>325</v>
      </c>
    </row>
    <row r="2795" spans="1:10" x14ac:dyDescent="0.35">
      <c r="A2795" s="7" t="s">
        <v>31</v>
      </c>
      <c r="B2795" s="7" t="s">
        <v>290</v>
      </c>
      <c r="C2795" s="7" t="s">
        <v>65</v>
      </c>
      <c r="D2795" s="9">
        <v>0</v>
      </c>
      <c r="E2795" s="9">
        <v>0</v>
      </c>
      <c r="F2795" s="9">
        <v>0</v>
      </c>
      <c r="G2795" s="9">
        <v>4.55</v>
      </c>
      <c r="H2795" s="9">
        <v>0</v>
      </c>
      <c r="I2795" s="9">
        <v>0</v>
      </c>
      <c r="J2795" s="7" t="s">
        <v>325</v>
      </c>
    </row>
    <row r="2796" spans="1:10" x14ac:dyDescent="0.35">
      <c r="A2796" s="7" t="s">
        <v>31</v>
      </c>
      <c r="B2796" s="7" t="s">
        <v>290</v>
      </c>
      <c r="C2796" s="7" t="s">
        <v>27</v>
      </c>
      <c r="D2796" s="9">
        <v>7.0000000000000007E-2</v>
      </c>
      <c r="E2796" s="9">
        <v>0</v>
      </c>
      <c r="F2796" s="9">
        <v>0</v>
      </c>
      <c r="G2796" s="9">
        <v>129.91</v>
      </c>
      <c r="H2796" s="9">
        <v>0</v>
      </c>
      <c r="I2796" s="9">
        <v>0</v>
      </c>
      <c r="J2796" s="7" t="s">
        <v>325</v>
      </c>
    </row>
    <row r="2797" spans="1:10" x14ac:dyDescent="0.35">
      <c r="A2797" s="7" t="s">
        <v>31</v>
      </c>
      <c r="B2797" s="7" t="s">
        <v>290</v>
      </c>
      <c r="C2797" s="7" t="s">
        <v>45</v>
      </c>
      <c r="D2797" s="9">
        <v>0</v>
      </c>
      <c r="E2797" s="9">
        <v>0</v>
      </c>
      <c r="F2797" s="9">
        <v>0</v>
      </c>
      <c r="G2797" s="9">
        <v>2.87</v>
      </c>
      <c r="H2797" s="9">
        <v>0</v>
      </c>
      <c r="I2797" s="9">
        <v>0</v>
      </c>
      <c r="J2797" s="7" t="s">
        <v>325</v>
      </c>
    </row>
    <row r="2798" spans="1:10" x14ac:dyDescent="0.35">
      <c r="A2798" s="7" t="s">
        <v>31</v>
      </c>
      <c r="B2798" s="7" t="s">
        <v>290</v>
      </c>
      <c r="C2798" s="7" t="s">
        <v>102</v>
      </c>
      <c r="D2798" s="9">
        <v>0.01</v>
      </c>
      <c r="E2798" s="9">
        <v>0</v>
      </c>
      <c r="F2798" s="9">
        <v>0</v>
      </c>
      <c r="G2798" s="9">
        <v>14.88</v>
      </c>
      <c r="H2798" s="9">
        <v>0</v>
      </c>
      <c r="I2798" s="9">
        <v>0</v>
      </c>
      <c r="J2798" s="7" t="s">
        <v>325</v>
      </c>
    </row>
    <row r="2799" spans="1:10" x14ac:dyDescent="0.35">
      <c r="A2799" s="7" t="s">
        <v>31</v>
      </c>
      <c r="B2799" s="7" t="s">
        <v>290</v>
      </c>
      <c r="C2799" s="7" t="s">
        <v>54</v>
      </c>
      <c r="D2799" s="9">
        <v>0</v>
      </c>
      <c r="E2799" s="9">
        <v>0</v>
      </c>
      <c r="F2799" s="9">
        <v>0</v>
      </c>
      <c r="G2799" s="9">
        <v>0.99</v>
      </c>
      <c r="H2799" s="9">
        <v>0</v>
      </c>
      <c r="I2799" s="9">
        <v>0</v>
      </c>
      <c r="J2799" s="7" t="s">
        <v>325</v>
      </c>
    </row>
    <row r="2800" spans="1:10" x14ac:dyDescent="0.35">
      <c r="A2800" s="7" t="s">
        <v>31</v>
      </c>
      <c r="B2800" s="7" t="s">
        <v>242</v>
      </c>
      <c r="C2800" s="7" t="s">
        <v>84</v>
      </c>
      <c r="D2800" s="9">
        <v>0</v>
      </c>
      <c r="E2800" s="9">
        <v>0.1</v>
      </c>
      <c r="F2800" s="9">
        <v>0</v>
      </c>
      <c r="G2800" s="9">
        <v>0</v>
      </c>
      <c r="H2800" s="9">
        <v>23.5</v>
      </c>
      <c r="I2800" s="9">
        <v>0</v>
      </c>
      <c r="J2800" s="7" t="s">
        <v>325</v>
      </c>
    </row>
    <row r="2801" spans="1:10" x14ac:dyDescent="0.35">
      <c r="A2801" s="7" t="s">
        <v>31</v>
      </c>
      <c r="B2801" s="7" t="s">
        <v>242</v>
      </c>
      <c r="C2801" s="7" t="s">
        <v>48</v>
      </c>
      <c r="D2801" s="9">
        <v>0.14000000000000001</v>
      </c>
      <c r="E2801" s="9">
        <v>0</v>
      </c>
      <c r="F2801" s="9">
        <v>0</v>
      </c>
      <c r="G2801" s="9">
        <v>237.89</v>
      </c>
      <c r="H2801" s="9">
        <v>0</v>
      </c>
      <c r="I2801" s="9">
        <v>0</v>
      </c>
      <c r="J2801" s="7" t="s">
        <v>325</v>
      </c>
    </row>
    <row r="2802" spans="1:10" x14ac:dyDescent="0.35">
      <c r="A2802" s="7" t="s">
        <v>31</v>
      </c>
      <c r="B2802" s="7" t="s">
        <v>242</v>
      </c>
      <c r="C2802" s="7" t="s">
        <v>55</v>
      </c>
      <c r="D2802" s="9">
        <v>0.38</v>
      </c>
      <c r="E2802" s="9">
        <v>0.13</v>
      </c>
      <c r="F2802" s="9">
        <v>0</v>
      </c>
      <c r="G2802" s="8">
        <v>1730.8</v>
      </c>
      <c r="H2802" s="9">
        <v>450</v>
      </c>
      <c r="I2802" s="9">
        <v>0</v>
      </c>
      <c r="J2802" s="7" t="s">
        <v>325</v>
      </c>
    </row>
    <row r="2803" spans="1:10" x14ac:dyDescent="0.35">
      <c r="A2803" s="7" t="s">
        <v>159</v>
      </c>
      <c r="B2803" s="7" t="s">
        <v>262</v>
      </c>
      <c r="C2803" s="7" t="s">
        <v>102</v>
      </c>
      <c r="D2803" s="9">
        <v>0</v>
      </c>
      <c r="E2803" s="9">
        <v>0</v>
      </c>
      <c r="F2803" s="9">
        <v>0</v>
      </c>
      <c r="G2803" s="9">
        <v>0</v>
      </c>
      <c r="H2803" s="9">
        <v>0.1</v>
      </c>
      <c r="I2803" s="9">
        <v>0</v>
      </c>
      <c r="J2803" s="7" t="s">
        <v>325</v>
      </c>
    </row>
    <row r="2804" spans="1:10" x14ac:dyDescent="0.35">
      <c r="A2804" s="7" t="s">
        <v>31</v>
      </c>
      <c r="B2804" s="7" t="s">
        <v>242</v>
      </c>
      <c r="C2804" s="7" t="s">
        <v>27</v>
      </c>
      <c r="D2804" s="9">
        <v>0</v>
      </c>
      <c r="E2804" s="9">
        <v>0.33</v>
      </c>
      <c r="F2804" s="9">
        <v>0</v>
      </c>
      <c r="G2804" s="9">
        <v>0</v>
      </c>
      <c r="H2804" s="9">
        <v>817</v>
      </c>
      <c r="I2804" s="9">
        <v>0</v>
      </c>
      <c r="J2804" s="7" t="s">
        <v>325</v>
      </c>
    </row>
    <row r="2805" spans="1:10" x14ac:dyDescent="0.35">
      <c r="A2805" s="7" t="s">
        <v>31</v>
      </c>
      <c r="B2805" s="7" t="s">
        <v>242</v>
      </c>
      <c r="C2805" s="7" t="s">
        <v>102</v>
      </c>
      <c r="D2805" s="9">
        <v>0.06</v>
      </c>
      <c r="E2805" s="9">
        <v>0</v>
      </c>
      <c r="F2805" s="9">
        <v>0</v>
      </c>
      <c r="G2805" s="9">
        <v>100</v>
      </c>
      <c r="H2805" s="9">
        <v>0</v>
      </c>
      <c r="I2805" s="9">
        <v>0</v>
      </c>
      <c r="J2805" s="7" t="s">
        <v>325</v>
      </c>
    </row>
    <row r="2806" spans="1:10" x14ac:dyDescent="0.35">
      <c r="A2806" s="7" t="s">
        <v>31</v>
      </c>
      <c r="B2806" s="7" t="s">
        <v>242</v>
      </c>
      <c r="C2806" s="7" t="s">
        <v>33</v>
      </c>
      <c r="D2806" s="9">
        <v>7.0000000000000007E-2</v>
      </c>
      <c r="E2806" s="9">
        <v>0</v>
      </c>
      <c r="F2806" s="9">
        <v>0</v>
      </c>
      <c r="G2806" s="9">
        <v>97.07</v>
      </c>
      <c r="H2806" s="9">
        <v>0</v>
      </c>
      <c r="I2806" s="9">
        <v>0</v>
      </c>
      <c r="J2806" s="7" t="s">
        <v>325</v>
      </c>
    </row>
    <row r="2807" spans="1:10" x14ac:dyDescent="0.35">
      <c r="A2807" s="7" t="s">
        <v>31</v>
      </c>
      <c r="B2807" s="7" t="s">
        <v>249</v>
      </c>
      <c r="C2807" s="7" t="s">
        <v>48</v>
      </c>
      <c r="D2807" s="9">
        <v>0</v>
      </c>
      <c r="E2807" s="9">
        <v>0</v>
      </c>
      <c r="F2807" s="9">
        <v>0</v>
      </c>
      <c r="G2807" s="9">
        <v>0.3</v>
      </c>
      <c r="H2807" s="9">
        <v>7.02</v>
      </c>
      <c r="I2807" s="9">
        <v>0</v>
      </c>
      <c r="J2807" s="7" t="s">
        <v>325</v>
      </c>
    </row>
    <row r="2808" spans="1:10" x14ac:dyDescent="0.35">
      <c r="A2808" s="7" t="s">
        <v>31</v>
      </c>
      <c r="B2808" s="7" t="s">
        <v>249</v>
      </c>
      <c r="C2808" s="7" t="s">
        <v>83</v>
      </c>
      <c r="D2808" s="9">
        <v>0</v>
      </c>
      <c r="E2808" s="9">
        <v>0</v>
      </c>
      <c r="F2808" s="9">
        <v>0</v>
      </c>
      <c r="G2808" s="9">
        <v>0</v>
      </c>
      <c r="H2808" s="9">
        <v>0.08</v>
      </c>
      <c r="I2808" s="9">
        <v>0</v>
      </c>
      <c r="J2808" s="7" t="s">
        <v>325</v>
      </c>
    </row>
    <row r="2809" spans="1:10" x14ac:dyDescent="0.35">
      <c r="A2809" s="7" t="s">
        <v>31</v>
      </c>
      <c r="B2809" s="7" t="s">
        <v>249</v>
      </c>
      <c r="C2809" s="7" t="s">
        <v>55</v>
      </c>
      <c r="D2809" s="9">
        <v>0</v>
      </c>
      <c r="E2809" s="9">
        <v>0</v>
      </c>
      <c r="F2809" s="9">
        <v>0</v>
      </c>
      <c r="G2809" s="9">
        <v>0</v>
      </c>
      <c r="H2809" s="9">
        <v>1.58</v>
      </c>
      <c r="I2809" s="9">
        <v>0</v>
      </c>
      <c r="J2809" s="7" t="s">
        <v>325</v>
      </c>
    </row>
    <row r="2810" spans="1:10" x14ac:dyDescent="0.35">
      <c r="A2810" s="7" t="s">
        <v>31</v>
      </c>
      <c r="B2810" s="7" t="s">
        <v>249</v>
      </c>
      <c r="C2810" s="7" t="s">
        <v>65</v>
      </c>
      <c r="D2810" s="9">
        <v>0</v>
      </c>
      <c r="E2810" s="9">
        <v>0.01</v>
      </c>
      <c r="F2810" s="9">
        <v>0</v>
      </c>
      <c r="G2810" s="9">
        <v>0</v>
      </c>
      <c r="H2810" s="9">
        <v>21.4</v>
      </c>
      <c r="I2810" s="9">
        <v>0</v>
      </c>
      <c r="J2810" s="7" t="s">
        <v>325</v>
      </c>
    </row>
    <row r="2811" spans="1:10" x14ac:dyDescent="0.35">
      <c r="A2811" s="7" t="s">
        <v>31</v>
      </c>
      <c r="B2811" s="7" t="s">
        <v>249</v>
      </c>
      <c r="C2811" s="7" t="s">
        <v>39</v>
      </c>
      <c r="D2811" s="9">
        <v>0.12</v>
      </c>
      <c r="E2811" s="9">
        <v>0</v>
      </c>
      <c r="F2811" s="9">
        <v>0</v>
      </c>
      <c r="G2811" s="9">
        <v>0.01</v>
      </c>
      <c r="H2811" s="9">
        <v>0</v>
      </c>
      <c r="I2811" s="9">
        <v>0</v>
      </c>
      <c r="J2811" s="7" t="s">
        <v>325</v>
      </c>
    </row>
    <row r="2812" spans="1:10" x14ac:dyDescent="0.35">
      <c r="A2812" s="7" t="s">
        <v>31</v>
      </c>
      <c r="B2812" s="7" t="s">
        <v>249</v>
      </c>
      <c r="C2812" s="7" t="s">
        <v>45</v>
      </c>
      <c r="D2812" s="9">
        <v>0</v>
      </c>
      <c r="E2812" s="9">
        <v>0</v>
      </c>
      <c r="F2812" s="9">
        <v>0</v>
      </c>
      <c r="G2812" s="9">
        <v>0</v>
      </c>
      <c r="H2812" s="9">
        <v>2.5</v>
      </c>
      <c r="I2812" s="9">
        <v>0</v>
      </c>
      <c r="J2812" s="7" t="s">
        <v>325</v>
      </c>
    </row>
    <row r="2813" spans="1:10" x14ac:dyDescent="0.35">
      <c r="A2813" s="7" t="s">
        <v>31</v>
      </c>
      <c r="B2813" s="7" t="s">
        <v>249</v>
      </c>
      <c r="C2813" s="7" t="s">
        <v>102</v>
      </c>
      <c r="D2813" s="9">
        <v>0</v>
      </c>
      <c r="E2813" s="9">
        <v>0</v>
      </c>
      <c r="F2813" s="9">
        <v>0</v>
      </c>
      <c r="G2813" s="9">
        <v>0</v>
      </c>
      <c r="H2813" s="9">
        <v>12.18</v>
      </c>
      <c r="I2813" s="9">
        <v>0</v>
      </c>
      <c r="J2813" s="7" t="s">
        <v>325</v>
      </c>
    </row>
    <row r="2814" spans="1:10" x14ac:dyDescent="0.35">
      <c r="A2814" s="7" t="s">
        <v>31</v>
      </c>
      <c r="B2814" s="7" t="s">
        <v>249</v>
      </c>
      <c r="C2814" s="7" t="s">
        <v>54</v>
      </c>
      <c r="D2814" s="9">
        <v>0</v>
      </c>
      <c r="E2814" s="9">
        <v>0</v>
      </c>
      <c r="F2814" s="9">
        <v>0</v>
      </c>
      <c r="G2814" s="9">
        <v>0</v>
      </c>
      <c r="H2814" s="9">
        <v>0.75</v>
      </c>
      <c r="I2814" s="9">
        <v>0</v>
      </c>
      <c r="J2814" s="7" t="s">
        <v>325</v>
      </c>
    </row>
    <row r="2815" spans="1:10" x14ac:dyDescent="0.35">
      <c r="A2815" s="7" t="s">
        <v>159</v>
      </c>
      <c r="B2815" s="7" t="s">
        <v>262</v>
      </c>
      <c r="C2815" s="7" t="s">
        <v>27</v>
      </c>
      <c r="D2815" s="9">
        <v>0</v>
      </c>
      <c r="E2815" s="9">
        <v>0</v>
      </c>
      <c r="F2815" s="9">
        <v>0</v>
      </c>
      <c r="G2815" s="9">
        <v>0</v>
      </c>
      <c r="H2815" s="9">
        <v>1.02</v>
      </c>
      <c r="I2815" s="9">
        <v>0</v>
      </c>
      <c r="J2815" s="7" t="s">
        <v>325</v>
      </c>
    </row>
    <row r="2816" spans="1:10" x14ac:dyDescent="0.35">
      <c r="A2816" s="7" t="s">
        <v>31</v>
      </c>
      <c r="B2816" s="7" t="s">
        <v>215</v>
      </c>
      <c r="C2816" s="7" t="s">
        <v>84</v>
      </c>
      <c r="D2816" s="9">
        <v>0.01</v>
      </c>
      <c r="E2816" s="9">
        <v>0</v>
      </c>
      <c r="F2816" s="9">
        <v>0</v>
      </c>
      <c r="G2816" s="9">
        <v>1.06</v>
      </c>
      <c r="H2816" s="9">
        <v>0.01</v>
      </c>
      <c r="I2816" s="9">
        <v>0</v>
      </c>
      <c r="J2816" s="7" t="s">
        <v>325</v>
      </c>
    </row>
    <row r="2817" spans="1:10" x14ac:dyDescent="0.35">
      <c r="A2817" s="7" t="s">
        <v>31</v>
      </c>
      <c r="B2817" s="7" t="s">
        <v>215</v>
      </c>
      <c r="C2817" s="7" t="s">
        <v>179</v>
      </c>
      <c r="D2817" s="9">
        <v>0</v>
      </c>
      <c r="E2817" s="9">
        <v>0</v>
      </c>
      <c r="F2817" s="9">
        <v>0</v>
      </c>
      <c r="G2817" s="9">
        <v>0.09</v>
      </c>
      <c r="H2817" s="9">
        <v>0</v>
      </c>
      <c r="I2817" s="9">
        <v>0</v>
      </c>
      <c r="J2817" s="7" t="s">
        <v>325</v>
      </c>
    </row>
    <row r="2818" spans="1:10" x14ac:dyDescent="0.35">
      <c r="A2818" s="7" t="s">
        <v>159</v>
      </c>
      <c r="B2818" s="7" t="s">
        <v>262</v>
      </c>
      <c r="C2818" s="7" t="s">
        <v>118</v>
      </c>
      <c r="D2818" s="9">
        <v>0</v>
      </c>
      <c r="E2818" s="9">
        <v>0</v>
      </c>
      <c r="F2818" s="9">
        <v>0</v>
      </c>
      <c r="G2818" s="9">
        <v>0</v>
      </c>
      <c r="H2818" s="9">
        <v>0</v>
      </c>
      <c r="I2818" s="9">
        <v>0.01</v>
      </c>
      <c r="J2818" s="7" t="s">
        <v>325</v>
      </c>
    </row>
    <row r="2819" spans="1:10" x14ac:dyDescent="0.35">
      <c r="A2819" s="7" t="s">
        <v>31</v>
      </c>
      <c r="B2819" s="7" t="s">
        <v>215</v>
      </c>
      <c r="C2819" s="7" t="s">
        <v>72</v>
      </c>
      <c r="D2819" s="9">
        <v>0.02</v>
      </c>
      <c r="E2819" s="9">
        <v>0</v>
      </c>
      <c r="F2819" s="9">
        <v>0</v>
      </c>
      <c r="G2819" s="9">
        <v>7.52</v>
      </c>
      <c r="H2819" s="9">
        <v>0</v>
      </c>
      <c r="I2819" s="9">
        <v>0</v>
      </c>
      <c r="J2819" s="7" t="s">
        <v>325</v>
      </c>
    </row>
    <row r="2820" spans="1:10" x14ac:dyDescent="0.35">
      <c r="A2820" s="7" t="s">
        <v>31</v>
      </c>
      <c r="B2820" s="7" t="s">
        <v>215</v>
      </c>
      <c r="C2820" s="7" t="s">
        <v>76</v>
      </c>
      <c r="D2820" s="9">
        <v>0</v>
      </c>
      <c r="E2820" s="9">
        <v>0</v>
      </c>
      <c r="F2820" s="9">
        <v>0</v>
      </c>
      <c r="G2820" s="9">
        <v>0</v>
      </c>
      <c r="H2820" s="9">
        <v>0.79</v>
      </c>
      <c r="I2820" s="9">
        <v>0</v>
      </c>
      <c r="J2820" s="7" t="s">
        <v>325</v>
      </c>
    </row>
    <row r="2821" spans="1:10" x14ac:dyDescent="0.35">
      <c r="A2821" s="7" t="s">
        <v>159</v>
      </c>
      <c r="B2821" s="7" t="s">
        <v>291</v>
      </c>
      <c r="C2821" s="7" t="s">
        <v>102</v>
      </c>
      <c r="D2821" s="9">
        <v>0</v>
      </c>
      <c r="E2821" s="9">
        <v>0</v>
      </c>
      <c r="F2821" s="9">
        <v>0</v>
      </c>
      <c r="G2821" s="9">
        <v>5</v>
      </c>
      <c r="H2821" s="9">
        <v>0</v>
      </c>
      <c r="I2821" s="9">
        <v>0</v>
      </c>
      <c r="J2821" s="7" t="s">
        <v>325</v>
      </c>
    </row>
    <row r="2822" spans="1:10" x14ac:dyDescent="0.35">
      <c r="A2822" s="7" t="s">
        <v>159</v>
      </c>
      <c r="B2822" s="7" t="s">
        <v>291</v>
      </c>
      <c r="C2822" s="7" t="s">
        <v>62</v>
      </c>
      <c r="D2822" s="9">
        <v>0</v>
      </c>
      <c r="E2822" s="9">
        <v>0</v>
      </c>
      <c r="F2822" s="9">
        <v>0</v>
      </c>
      <c r="G2822" s="9">
        <v>21</v>
      </c>
      <c r="H2822" s="9">
        <v>0</v>
      </c>
      <c r="I2822" s="9">
        <v>0</v>
      </c>
      <c r="J2822" s="7" t="s">
        <v>325</v>
      </c>
    </row>
    <row r="2823" spans="1:10" x14ac:dyDescent="0.35">
      <c r="A2823" s="7" t="s">
        <v>159</v>
      </c>
      <c r="B2823" s="7" t="s">
        <v>186</v>
      </c>
      <c r="C2823" s="7" t="s">
        <v>181</v>
      </c>
      <c r="D2823" s="9">
        <v>0</v>
      </c>
      <c r="E2823" s="9">
        <v>0</v>
      </c>
      <c r="F2823" s="9">
        <v>0</v>
      </c>
      <c r="G2823" s="9">
        <v>0</v>
      </c>
      <c r="H2823" s="9">
        <v>0</v>
      </c>
      <c r="I2823" s="9">
        <v>0</v>
      </c>
      <c r="J2823" s="7" t="s">
        <v>325</v>
      </c>
    </row>
    <row r="2824" spans="1:10" x14ac:dyDescent="0.35">
      <c r="A2824" s="7" t="s">
        <v>31</v>
      </c>
      <c r="B2824" s="7" t="s">
        <v>215</v>
      </c>
      <c r="C2824" s="7" t="s">
        <v>118</v>
      </c>
      <c r="D2824" s="9">
        <v>0</v>
      </c>
      <c r="E2824" s="9">
        <v>0</v>
      </c>
      <c r="F2824" s="9">
        <v>0</v>
      </c>
      <c r="G2824" s="9">
        <v>0.08</v>
      </c>
      <c r="H2824" s="9">
        <v>0</v>
      </c>
      <c r="I2824" s="9">
        <v>0</v>
      </c>
      <c r="J2824" s="7" t="s">
        <v>325</v>
      </c>
    </row>
    <row r="2825" spans="1:10" x14ac:dyDescent="0.35">
      <c r="A2825" s="7" t="s">
        <v>31</v>
      </c>
      <c r="B2825" s="7" t="s">
        <v>204</v>
      </c>
      <c r="C2825" s="7" t="s">
        <v>33</v>
      </c>
      <c r="D2825" s="9">
        <v>0.51</v>
      </c>
      <c r="E2825" s="9">
        <v>0</v>
      </c>
      <c r="F2825" s="9">
        <v>0</v>
      </c>
      <c r="G2825" s="9">
        <v>748.63</v>
      </c>
      <c r="H2825" s="9">
        <v>0</v>
      </c>
      <c r="I2825" s="9">
        <v>0</v>
      </c>
      <c r="J2825" s="7" t="s">
        <v>325</v>
      </c>
    </row>
    <row r="2826" spans="1:10" x14ac:dyDescent="0.35">
      <c r="A2826" s="7" t="s">
        <v>159</v>
      </c>
      <c r="B2826" s="7" t="s">
        <v>186</v>
      </c>
      <c r="C2826" s="7" t="s">
        <v>51</v>
      </c>
      <c r="D2826" s="9">
        <v>0</v>
      </c>
      <c r="E2826" s="9">
        <v>0</v>
      </c>
      <c r="F2826" s="9">
        <v>0</v>
      </c>
      <c r="G2826" s="9">
        <v>0</v>
      </c>
      <c r="H2826" s="9">
        <v>0.02</v>
      </c>
      <c r="I2826" s="9">
        <v>0</v>
      </c>
      <c r="J2826" s="7" t="s">
        <v>325</v>
      </c>
    </row>
    <row r="2827" spans="1:10" x14ac:dyDescent="0.35">
      <c r="A2827" s="7" t="s">
        <v>31</v>
      </c>
      <c r="B2827" s="7" t="s">
        <v>139</v>
      </c>
      <c r="C2827" s="7" t="s">
        <v>60</v>
      </c>
      <c r="D2827" s="9">
        <v>0</v>
      </c>
      <c r="E2827" s="9">
        <v>0</v>
      </c>
      <c r="F2827" s="9">
        <v>0</v>
      </c>
      <c r="G2827" s="9">
        <v>0</v>
      </c>
      <c r="H2827" s="9">
        <v>0.37</v>
      </c>
      <c r="I2827" s="9">
        <v>0</v>
      </c>
      <c r="J2827" s="7" t="s">
        <v>325</v>
      </c>
    </row>
    <row r="2828" spans="1:10" x14ac:dyDescent="0.35">
      <c r="A2828" s="7" t="s">
        <v>159</v>
      </c>
      <c r="B2828" s="7" t="s">
        <v>186</v>
      </c>
      <c r="C2828" s="7" t="s">
        <v>179</v>
      </c>
      <c r="D2828" s="9">
        <v>0</v>
      </c>
      <c r="E2828" s="9">
        <v>0</v>
      </c>
      <c r="F2828" s="9">
        <v>0</v>
      </c>
      <c r="G2828" s="9">
        <v>0.06</v>
      </c>
      <c r="H2828" s="9">
        <v>0</v>
      </c>
      <c r="I2828" s="9">
        <v>0</v>
      </c>
      <c r="J2828" s="7" t="s">
        <v>325</v>
      </c>
    </row>
    <row r="2829" spans="1:10" x14ac:dyDescent="0.35">
      <c r="A2829" s="7" t="s">
        <v>159</v>
      </c>
      <c r="B2829" s="7" t="s">
        <v>186</v>
      </c>
      <c r="C2829" s="7" t="s">
        <v>84</v>
      </c>
      <c r="D2829" s="9">
        <v>0</v>
      </c>
      <c r="E2829" s="9">
        <v>0</v>
      </c>
      <c r="F2829" s="9">
        <v>0</v>
      </c>
      <c r="G2829" s="9">
        <v>0.12</v>
      </c>
      <c r="H2829" s="9">
        <v>0.02</v>
      </c>
      <c r="I2829" s="9">
        <v>0</v>
      </c>
      <c r="J2829" s="7" t="s">
        <v>325</v>
      </c>
    </row>
    <row r="2830" spans="1:10" x14ac:dyDescent="0.35">
      <c r="A2830" s="7" t="s">
        <v>159</v>
      </c>
      <c r="B2830" s="7" t="s">
        <v>186</v>
      </c>
      <c r="C2830" s="7" t="s">
        <v>60</v>
      </c>
      <c r="D2830" s="9">
        <v>0</v>
      </c>
      <c r="E2830" s="9">
        <v>0</v>
      </c>
      <c r="F2830" s="9">
        <v>0</v>
      </c>
      <c r="G2830" s="9">
        <v>0</v>
      </c>
      <c r="H2830" s="9">
        <v>4.72</v>
      </c>
      <c r="I2830" s="9">
        <v>0.01</v>
      </c>
      <c r="J2830" s="7" t="s">
        <v>325</v>
      </c>
    </row>
    <row r="2831" spans="1:10" x14ac:dyDescent="0.35">
      <c r="A2831" s="7" t="s">
        <v>25</v>
      </c>
      <c r="B2831" s="7" t="s">
        <v>206</v>
      </c>
      <c r="C2831" s="7" t="s">
        <v>54</v>
      </c>
      <c r="D2831" s="9">
        <v>0</v>
      </c>
      <c r="E2831" s="9">
        <v>0</v>
      </c>
      <c r="F2831" s="9">
        <v>0</v>
      </c>
      <c r="G2831" s="9">
        <v>0</v>
      </c>
      <c r="H2831" s="9">
        <v>4.5999999999999996</v>
      </c>
      <c r="I2831" s="9">
        <v>0</v>
      </c>
      <c r="J2831" s="7" t="s">
        <v>325</v>
      </c>
    </row>
    <row r="2832" spans="1:10" x14ac:dyDescent="0.35">
      <c r="A2832" s="7" t="s">
        <v>31</v>
      </c>
      <c r="B2832" s="7" t="s">
        <v>139</v>
      </c>
      <c r="C2832" s="7" t="s">
        <v>69</v>
      </c>
      <c r="D2832" s="9">
        <v>0.04</v>
      </c>
      <c r="E2832" s="9">
        <v>0.02</v>
      </c>
      <c r="F2832" s="9">
        <v>0</v>
      </c>
      <c r="G2832" s="9">
        <v>51.8</v>
      </c>
      <c r="H2832" s="9">
        <v>12</v>
      </c>
      <c r="I2832" s="9">
        <v>0</v>
      </c>
      <c r="J2832" s="7" t="s">
        <v>325</v>
      </c>
    </row>
    <row r="2833" spans="1:10" x14ac:dyDescent="0.35">
      <c r="A2833" s="7" t="s">
        <v>25</v>
      </c>
      <c r="B2833" s="7" t="s">
        <v>206</v>
      </c>
      <c r="C2833" s="7" t="s">
        <v>45</v>
      </c>
      <c r="D2833" s="9">
        <v>0</v>
      </c>
      <c r="E2833" s="9">
        <v>0.19</v>
      </c>
      <c r="F2833" s="9">
        <v>0</v>
      </c>
      <c r="G2833" s="9">
        <v>0</v>
      </c>
      <c r="H2833" s="9">
        <v>25.08</v>
      </c>
      <c r="I2833" s="9">
        <v>0</v>
      </c>
      <c r="J2833" s="7" t="s">
        <v>325</v>
      </c>
    </row>
    <row r="2834" spans="1:10" x14ac:dyDescent="0.35">
      <c r="A2834" s="7" t="s">
        <v>25</v>
      </c>
      <c r="B2834" s="7" t="s">
        <v>29</v>
      </c>
      <c r="C2834" s="7" t="s">
        <v>42</v>
      </c>
      <c r="D2834" s="9">
        <v>0.14000000000000001</v>
      </c>
      <c r="E2834" s="9">
        <v>0.23</v>
      </c>
      <c r="F2834" s="9">
        <v>0</v>
      </c>
      <c r="G2834" s="9">
        <v>121.08</v>
      </c>
      <c r="H2834" s="9">
        <v>77.17</v>
      </c>
      <c r="I2834" s="9">
        <v>0</v>
      </c>
      <c r="J2834" s="7" t="s">
        <v>325</v>
      </c>
    </row>
    <row r="2835" spans="1:10" x14ac:dyDescent="0.35">
      <c r="A2835" s="7" t="s">
        <v>25</v>
      </c>
      <c r="B2835" s="7" t="s">
        <v>29</v>
      </c>
      <c r="C2835" s="7" t="s">
        <v>170</v>
      </c>
      <c r="D2835" s="9">
        <v>0.31</v>
      </c>
      <c r="E2835" s="9">
        <v>0</v>
      </c>
      <c r="F2835" s="9">
        <v>0</v>
      </c>
      <c r="G2835" s="9">
        <v>216</v>
      </c>
      <c r="H2835" s="9">
        <v>0</v>
      </c>
      <c r="I2835" s="9">
        <v>0</v>
      </c>
      <c r="J2835" s="7" t="s">
        <v>325</v>
      </c>
    </row>
    <row r="2836" spans="1:10" x14ac:dyDescent="0.35">
      <c r="A2836" s="7" t="s">
        <v>31</v>
      </c>
      <c r="B2836" s="7" t="s">
        <v>139</v>
      </c>
      <c r="C2836" s="7" t="s">
        <v>65</v>
      </c>
      <c r="D2836" s="9">
        <v>0.01</v>
      </c>
      <c r="E2836" s="9">
        <v>0</v>
      </c>
      <c r="F2836" s="9">
        <v>0</v>
      </c>
      <c r="G2836" s="9">
        <v>30</v>
      </c>
      <c r="H2836" s="9">
        <v>0</v>
      </c>
      <c r="I2836" s="9">
        <v>0</v>
      </c>
      <c r="J2836" s="7" t="s">
        <v>325</v>
      </c>
    </row>
    <row r="2837" spans="1:10" x14ac:dyDescent="0.35">
      <c r="A2837" s="7" t="s">
        <v>25</v>
      </c>
      <c r="B2837" s="7" t="s">
        <v>29</v>
      </c>
      <c r="C2837" s="7" t="s">
        <v>126</v>
      </c>
      <c r="D2837" s="9">
        <v>0</v>
      </c>
      <c r="E2837" s="9">
        <v>0</v>
      </c>
      <c r="F2837" s="9">
        <v>0</v>
      </c>
      <c r="G2837" s="9">
        <v>2.2799999999999998</v>
      </c>
      <c r="H2837" s="9">
        <v>0.36</v>
      </c>
      <c r="I2837" s="9">
        <v>0</v>
      </c>
      <c r="J2837" s="7" t="s">
        <v>325</v>
      </c>
    </row>
    <row r="2838" spans="1:10" x14ac:dyDescent="0.35">
      <c r="A2838" s="7" t="s">
        <v>25</v>
      </c>
      <c r="B2838" s="7" t="s">
        <v>29</v>
      </c>
      <c r="C2838" s="7" t="s">
        <v>118</v>
      </c>
      <c r="D2838" s="9">
        <v>0</v>
      </c>
      <c r="E2838" s="9">
        <v>0</v>
      </c>
      <c r="F2838" s="9">
        <v>0</v>
      </c>
      <c r="G2838" s="9">
        <v>0.04</v>
      </c>
      <c r="H2838" s="9">
        <v>0.01</v>
      </c>
      <c r="I2838" s="9">
        <v>0</v>
      </c>
      <c r="J2838" s="7" t="s">
        <v>325</v>
      </c>
    </row>
    <row r="2839" spans="1:10" x14ac:dyDescent="0.35">
      <c r="A2839" s="7" t="s">
        <v>25</v>
      </c>
      <c r="B2839" s="7" t="s">
        <v>29</v>
      </c>
      <c r="C2839" s="7" t="s">
        <v>144</v>
      </c>
      <c r="D2839" s="9">
        <v>0</v>
      </c>
      <c r="E2839" s="9">
        <v>0</v>
      </c>
      <c r="F2839" s="9">
        <v>0</v>
      </c>
      <c r="G2839" s="9">
        <v>0.6</v>
      </c>
      <c r="H2839" s="9">
        <v>0.13</v>
      </c>
      <c r="I2839" s="9">
        <v>0</v>
      </c>
      <c r="J2839" s="7" t="s">
        <v>325</v>
      </c>
    </row>
    <row r="2840" spans="1:10" x14ac:dyDescent="0.35">
      <c r="A2840" s="7" t="s">
        <v>31</v>
      </c>
      <c r="B2840" s="7" t="s">
        <v>139</v>
      </c>
      <c r="C2840" s="7" t="s">
        <v>126</v>
      </c>
      <c r="D2840" s="9">
        <v>0</v>
      </c>
      <c r="E2840" s="9">
        <v>0</v>
      </c>
      <c r="F2840" s="9">
        <v>0</v>
      </c>
      <c r="G2840" s="9">
        <v>1.5</v>
      </c>
      <c r="H2840" s="9">
        <v>1</v>
      </c>
      <c r="I2840" s="9">
        <v>0</v>
      </c>
      <c r="J2840" s="7" t="s">
        <v>325</v>
      </c>
    </row>
    <row r="2841" spans="1:10" x14ac:dyDescent="0.35">
      <c r="A2841" s="7" t="s">
        <v>25</v>
      </c>
      <c r="B2841" s="7" t="s">
        <v>29</v>
      </c>
      <c r="C2841" s="7" t="s">
        <v>46</v>
      </c>
      <c r="D2841" s="9">
        <v>0</v>
      </c>
      <c r="E2841" s="9">
        <v>0</v>
      </c>
      <c r="F2841" s="9">
        <v>0</v>
      </c>
      <c r="G2841" s="9">
        <v>2</v>
      </c>
      <c r="H2841" s="9">
        <v>0</v>
      </c>
      <c r="I2841" s="9">
        <v>0</v>
      </c>
      <c r="J2841" s="7" t="s">
        <v>325</v>
      </c>
    </row>
    <row r="2842" spans="1:10" x14ac:dyDescent="0.35">
      <c r="A2842" s="7" t="s">
        <v>25</v>
      </c>
      <c r="B2842" s="7" t="s">
        <v>29</v>
      </c>
      <c r="C2842" s="7" t="s">
        <v>51</v>
      </c>
      <c r="D2842" s="9">
        <v>0</v>
      </c>
      <c r="E2842" s="9">
        <v>0.62</v>
      </c>
      <c r="F2842" s="9">
        <v>0</v>
      </c>
      <c r="G2842" s="9">
        <v>1.27</v>
      </c>
      <c r="H2842" s="9">
        <v>577.37</v>
      </c>
      <c r="I2842" s="9">
        <v>0</v>
      </c>
      <c r="J2842" s="7" t="s">
        <v>325</v>
      </c>
    </row>
    <row r="2843" spans="1:10" x14ac:dyDescent="0.35">
      <c r="A2843" s="7" t="s">
        <v>25</v>
      </c>
      <c r="B2843" s="7" t="s">
        <v>29</v>
      </c>
      <c r="C2843" s="7" t="s">
        <v>69</v>
      </c>
      <c r="D2843" s="9">
        <v>0</v>
      </c>
      <c r="E2843" s="9">
        <v>0</v>
      </c>
      <c r="F2843" s="9">
        <v>0</v>
      </c>
      <c r="G2843" s="9">
        <v>0.08</v>
      </c>
      <c r="H2843" s="9">
        <v>0</v>
      </c>
      <c r="I2843" s="9">
        <v>0</v>
      </c>
      <c r="J2843" s="7" t="s">
        <v>325</v>
      </c>
    </row>
    <row r="2844" spans="1:10" x14ac:dyDescent="0.35">
      <c r="A2844" s="7" t="s">
        <v>25</v>
      </c>
      <c r="B2844" s="7" t="s">
        <v>29</v>
      </c>
      <c r="C2844" s="7" t="s">
        <v>110</v>
      </c>
      <c r="D2844" s="9">
        <v>0.61</v>
      </c>
      <c r="E2844" s="9">
        <v>0.09</v>
      </c>
      <c r="F2844" s="9">
        <v>0</v>
      </c>
      <c r="G2844" s="8">
        <v>3165.56</v>
      </c>
      <c r="H2844" s="8">
        <v>1382.4</v>
      </c>
      <c r="I2844" s="9">
        <v>0</v>
      </c>
      <c r="J2844" s="7" t="s">
        <v>325</v>
      </c>
    </row>
    <row r="2845" spans="1:10" x14ac:dyDescent="0.35">
      <c r="A2845" s="7" t="s">
        <v>25</v>
      </c>
      <c r="B2845" s="7" t="s">
        <v>29</v>
      </c>
      <c r="C2845" s="7" t="s">
        <v>72</v>
      </c>
      <c r="D2845" s="9">
        <v>0.01</v>
      </c>
      <c r="E2845" s="9">
        <v>0.01</v>
      </c>
      <c r="F2845" s="9">
        <v>0</v>
      </c>
      <c r="G2845" s="9">
        <v>3.57</v>
      </c>
      <c r="H2845" s="9">
        <v>0.61</v>
      </c>
      <c r="I2845" s="9">
        <v>0</v>
      </c>
      <c r="J2845" s="7" t="s">
        <v>325</v>
      </c>
    </row>
    <row r="2846" spans="1:10" x14ac:dyDescent="0.35">
      <c r="A2846" s="7" t="s">
        <v>31</v>
      </c>
      <c r="B2846" s="7" t="s">
        <v>139</v>
      </c>
      <c r="C2846" s="7" t="s">
        <v>181</v>
      </c>
      <c r="D2846" s="9">
        <v>0</v>
      </c>
      <c r="E2846" s="9">
        <v>0</v>
      </c>
      <c r="F2846" s="9">
        <v>0</v>
      </c>
      <c r="G2846" s="9">
        <v>0.01</v>
      </c>
      <c r="H2846" s="9">
        <v>0</v>
      </c>
      <c r="I2846" s="9">
        <v>0</v>
      </c>
      <c r="J2846" s="7" t="s">
        <v>325</v>
      </c>
    </row>
    <row r="2847" spans="1:10" ht="26.25" customHeight="1" x14ac:dyDescent="0.35">
      <c r="A2847" s="7" t="s">
        <v>25</v>
      </c>
      <c r="B2847" s="7" t="s">
        <v>29</v>
      </c>
      <c r="C2847" s="7" t="s">
        <v>81</v>
      </c>
      <c r="D2847" s="9">
        <v>0</v>
      </c>
      <c r="E2847" s="9">
        <v>0</v>
      </c>
      <c r="F2847" s="9">
        <v>0</v>
      </c>
      <c r="G2847" s="9">
        <v>0</v>
      </c>
      <c r="H2847" s="9">
        <v>0</v>
      </c>
      <c r="I2847" s="9">
        <v>0</v>
      </c>
      <c r="J2847" s="7" t="s">
        <v>325</v>
      </c>
    </row>
    <row r="2848" spans="1:10" x14ac:dyDescent="0.35">
      <c r="A2848" s="7" t="s">
        <v>31</v>
      </c>
      <c r="B2848" s="7" t="s">
        <v>141</v>
      </c>
      <c r="C2848" s="7" t="s">
        <v>60</v>
      </c>
      <c r="D2848" s="9">
        <v>0</v>
      </c>
      <c r="E2848" s="9">
        <v>0</v>
      </c>
      <c r="F2848" s="9">
        <v>0</v>
      </c>
      <c r="G2848" s="9">
        <v>0.23</v>
      </c>
      <c r="H2848" s="9">
        <v>0</v>
      </c>
      <c r="I2848" s="9">
        <v>0</v>
      </c>
      <c r="J2848" s="7" t="s">
        <v>325</v>
      </c>
    </row>
    <row r="2849" spans="1:10" x14ac:dyDescent="0.35">
      <c r="A2849" s="7" t="s">
        <v>31</v>
      </c>
      <c r="B2849" s="7" t="s">
        <v>141</v>
      </c>
      <c r="C2849" s="7" t="s">
        <v>18</v>
      </c>
      <c r="D2849" s="9">
        <v>1.38</v>
      </c>
      <c r="E2849" s="9">
        <v>0.06</v>
      </c>
      <c r="F2849" s="9">
        <v>0</v>
      </c>
      <c r="G2849" s="8">
        <v>1181.81</v>
      </c>
      <c r="H2849" s="9">
        <v>40</v>
      </c>
      <c r="I2849" s="9">
        <v>0</v>
      </c>
      <c r="J2849" s="7" t="s">
        <v>325</v>
      </c>
    </row>
    <row r="2850" spans="1:10" x14ac:dyDescent="0.35">
      <c r="A2850" s="7" t="s">
        <v>25</v>
      </c>
      <c r="B2850" s="7" t="s">
        <v>29</v>
      </c>
      <c r="C2850" s="7" t="s">
        <v>59</v>
      </c>
      <c r="D2850" s="9">
        <v>0</v>
      </c>
      <c r="E2850" s="9">
        <v>0.01</v>
      </c>
      <c r="F2850" s="9">
        <v>0</v>
      </c>
      <c r="G2850" s="9">
        <v>0</v>
      </c>
      <c r="H2850" s="9">
        <v>0.7</v>
      </c>
      <c r="I2850" s="9">
        <v>0</v>
      </c>
      <c r="J2850" s="7" t="s">
        <v>325</v>
      </c>
    </row>
    <row r="2851" spans="1:10" x14ac:dyDescent="0.35">
      <c r="A2851" s="7" t="s">
        <v>31</v>
      </c>
      <c r="B2851" s="7" t="s">
        <v>141</v>
      </c>
      <c r="C2851" s="7" t="s">
        <v>84</v>
      </c>
      <c r="D2851" s="9">
        <v>0.01</v>
      </c>
      <c r="E2851" s="9">
        <v>0.08</v>
      </c>
      <c r="F2851" s="9">
        <v>0</v>
      </c>
      <c r="G2851" s="9">
        <v>5.52</v>
      </c>
      <c r="H2851" s="9">
        <v>42.31</v>
      </c>
      <c r="I2851" s="9">
        <v>0</v>
      </c>
      <c r="J2851" s="7" t="s">
        <v>325</v>
      </c>
    </row>
    <row r="2852" spans="1:10" x14ac:dyDescent="0.35">
      <c r="A2852" s="7" t="s">
        <v>31</v>
      </c>
      <c r="B2852" s="7" t="s">
        <v>141</v>
      </c>
      <c r="C2852" s="7" t="s">
        <v>179</v>
      </c>
      <c r="D2852" s="9">
        <v>0</v>
      </c>
      <c r="E2852" s="9">
        <v>7.0000000000000007E-2</v>
      </c>
      <c r="F2852" s="9">
        <v>0</v>
      </c>
      <c r="G2852" s="9">
        <v>0</v>
      </c>
      <c r="H2852" s="9">
        <v>34</v>
      </c>
      <c r="I2852" s="9">
        <v>0</v>
      </c>
      <c r="J2852" s="7" t="s">
        <v>325</v>
      </c>
    </row>
    <row r="2853" spans="1:10" x14ac:dyDescent="0.35">
      <c r="A2853" s="7" t="s">
        <v>25</v>
      </c>
      <c r="B2853" s="7" t="s">
        <v>29</v>
      </c>
      <c r="C2853" s="7" t="s">
        <v>142</v>
      </c>
      <c r="D2853" s="9">
        <v>0.14000000000000001</v>
      </c>
      <c r="E2853" s="9">
        <v>0.24</v>
      </c>
      <c r="F2853" s="9">
        <v>0</v>
      </c>
      <c r="G2853" s="9">
        <v>207.15</v>
      </c>
      <c r="H2853" s="9">
        <v>373.25</v>
      </c>
      <c r="I2853" s="9">
        <v>0</v>
      </c>
      <c r="J2853" s="7" t="s">
        <v>325</v>
      </c>
    </row>
    <row r="2854" spans="1:10" x14ac:dyDescent="0.35">
      <c r="A2854" s="7" t="s">
        <v>25</v>
      </c>
      <c r="B2854" s="7" t="s">
        <v>29</v>
      </c>
      <c r="C2854" s="7" t="s">
        <v>179</v>
      </c>
      <c r="D2854" s="9">
        <v>2.16</v>
      </c>
      <c r="E2854" s="9">
        <v>0</v>
      </c>
      <c r="F2854" s="9">
        <v>0</v>
      </c>
      <c r="G2854" s="8">
        <v>1997.23</v>
      </c>
      <c r="H2854" s="9">
        <v>0</v>
      </c>
      <c r="I2854" s="9">
        <v>0</v>
      </c>
      <c r="J2854" s="7" t="s">
        <v>325</v>
      </c>
    </row>
    <row r="2855" spans="1:10" x14ac:dyDescent="0.35">
      <c r="A2855" s="7" t="s">
        <v>31</v>
      </c>
      <c r="B2855" s="7" t="s">
        <v>141</v>
      </c>
      <c r="C2855" s="7" t="s">
        <v>110</v>
      </c>
      <c r="D2855" s="9">
        <v>0</v>
      </c>
      <c r="E2855" s="9">
        <v>0</v>
      </c>
      <c r="F2855" s="9">
        <v>0</v>
      </c>
      <c r="G2855" s="9">
        <v>61.95</v>
      </c>
      <c r="H2855" s="9">
        <v>0</v>
      </c>
      <c r="I2855" s="9">
        <v>0</v>
      </c>
      <c r="J2855" s="7" t="s">
        <v>325</v>
      </c>
    </row>
    <row r="2856" spans="1:10" x14ac:dyDescent="0.35">
      <c r="A2856" s="7" t="s">
        <v>25</v>
      </c>
      <c r="B2856" s="7" t="s">
        <v>29</v>
      </c>
      <c r="C2856" s="7" t="s">
        <v>125</v>
      </c>
      <c r="D2856" s="9">
        <v>0.12</v>
      </c>
      <c r="E2856" s="9">
        <v>1.0900000000000001</v>
      </c>
      <c r="F2856" s="9">
        <v>0</v>
      </c>
      <c r="G2856" s="9">
        <v>85.5</v>
      </c>
      <c r="H2856" s="9">
        <v>864</v>
      </c>
      <c r="I2856" s="9">
        <v>0</v>
      </c>
      <c r="J2856" s="7" t="s">
        <v>325</v>
      </c>
    </row>
    <row r="2857" spans="1:10" x14ac:dyDescent="0.35">
      <c r="A2857" s="7" t="s">
        <v>31</v>
      </c>
      <c r="B2857" s="7" t="s">
        <v>141</v>
      </c>
      <c r="C2857" s="7" t="s">
        <v>55</v>
      </c>
      <c r="D2857" s="9">
        <v>1.63</v>
      </c>
      <c r="E2857" s="9">
        <v>0.13</v>
      </c>
      <c r="F2857" s="9">
        <v>0</v>
      </c>
      <c r="G2857" s="8">
        <v>8692.25</v>
      </c>
      <c r="H2857" s="9">
        <v>444.33</v>
      </c>
      <c r="I2857" s="9">
        <v>0</v>
      </c>
      <c r="J2857" s="7" t="s">
        <v>325</v>
      </c>
    </row>
    <row r="2858" spans="1:10" x14ac:dyDescent="0.35">
      <c r="A2858" s="7" t="s">
        <v>25</v>
      </c>
      <c r="B2858" s="7" t="s">
        <v>63</v>
      </c>
      <c r="C2858" s="7" t="s">
        <v>33</v>
      </c>
      <c r="D2858" s="9">
        <v>0.03</v>
      </c>
      <c r="E2858" s="9">
        <v>0</v>
      </c>
      <c r="F2858" s="9">
        <v>0</v>
      </c>
      <c r="G2858" s="9">
        <v>19.920000000000002</v>
      </c>
      <c r="H2858" s="9">
        <v>0</v>
      </c>
      <c r="I2858" s="9">
        <v>0</v>
      </c>
      <c r="J2858" s="7" t="s">
        <v>325</v>
      </c>
    </row>
    <row r="2859" spans="1:10" x14ac:dyDescent="0.35">
      <c r="A2859" s="7" t="s">
        <v>25</v>
      </c>
      <c r="B2859" s="7" t="s">
        <v>63</v>
      </c>
      <c r="C2859" s="7" t="s">
        <v>42</v>
      </c>
      <c r="D2859" s="9">
        <v>0.13</v>
      </c>
      <c r="E2859" s="9">
        <v>0</v>
      </c>
      <c r="F2859" s="9">
        <v>0</v>
      </c>
      <c r="G2859" s="9">
        <v>236.06</v>
      </c>
      <c r="H2859" s="9">
        <v>0</v>
      </c>
      <c r="I2859" s="9">
        <v>0</v>
      </c>
      <c r="J2859" s="7" t="s">
        <v>325</v>
      </c>
    </row>
    <row r="2860" spans="1:10" x14ac:dyDescent="0.35">
      <c r="A2860" s="7" t="s">
        <v>25</v>
      </c>
      <c r="B2860" s="7" t="s">
        <v>63</v>
      </c>
      <c r="C2860" s="7" t="s">
        <v>54</v>
      </c>
      <c r="D2860" s="9">
        <v>0.05</v>
      </c>
      <c r="E2860" s="9">
        <v>0</v>
      </c>
      <c r="F2860" s="9">
        <v>0</v>
      </c>
      <c r="G2860" s="9">
        <v>34.36</v>
      </c>
      <c r="H2860" s="9">
        <v>0</v>
      </c>
      <c r="I2860" s="9">
        <v>0</v>
      </c>
      <c r="J2860" s="7" t="s">
        <v>325</v>
      </c>
    </row>
    <row r="2861" spans="1:10" x14ac:dyDescent="0.35">
      <c r="A2861" s="7" t="s">
        <v>25</v>
      </c>
      <c r="B2861" s="7" t="s">
        <v>63</v>
      </c>
      <c r="C2861" s="7" t="s">
        <v>126</v>
      </c>
      <c r="D2861" s="9">
        <v>0.04</v>
      </c>
      <c r="E2861" s="9">
        <v>0</v>
      </c>
      <c r="F2861" s="9">
        <v>0</v>
      </c>
      <c r="G2861" s="9">
        <v>69</v>
      </c>
      <c r="H2861" s="9">
        <v>0</v>
      </c>
      <c r="I2861" s="9">
        <v>0</v>
      </c>
      <c r="J2861" s="7" t="s">
        <v>325</v>
      </c>
    </row>
    <row r="2862" spans="1:10" x14ac:dyDescent="0.35">
      <c r="A2862" s="7" t="s">
        <v>25</v>
      </c>
      <c r="B2862" s="7" t="s">
        <v>63</v>
      </c>
      <c r="C2862" s="7" t="s">
        <v>27</v>
      </c>
      <c r="D2862" s="9">
        <v>76.53</v>
      </c>
      <c r="E2862" s="9">
        <v>0</v>
      </c>
      <c r="F2862" s="9">
        <v>0</v>
      </c>
      <c r="G2862" s="8">
        <v>205866.06</v>
      </c>
      <c r="H2862" s="9">
        <v>0</v>
      </c>
      <c r="I2862" s="9">
        <v>0</v>
      </c>
      <c r="J2862" s="7" t="s">
        <v>325</v>
      </c>
    </row>
    <row r="2863" spans="1:10" x14ac:dyDescent="0.35">
      <c r="A2863" s="7" t="s">
        <v>25</v>
      </c>
      <c r="B2863" s="7" t="s">
        <v>63</v>
      </c>
      <c r="C2863" s="7" t="s">
        <v>39</v>
      </c>
      <c r="D2863" s="9">
        <v>0.28000000000000003</v>
      </c>
      <c r="E2863" s="9">
        <v>0</v>
      </c>
      <c r="F2863" s="9">
        <v>0</v>
      </c>
      <c r="G2863" s="9">
        <v>611.67999999999995</v>
      </c>
      <c r="H2863" s="9">
        <v>0</v>
      </c>
      <c r="I2863" s="9">
        <v>0</v>
      </c>
      <c r="J2863" s="7" t="s">
        <v>325</v>
      </c>
    </row>
    <row r="2864" spans="1:10" x14ac:dyDescent="0.35">
      <c r="A2864" s="7" t="s">
        <v>25</v>
      </c>
      <c r="B2864" s="7" t="s">
        <v>63</v>
      </c>
      <c r="C2864" s="7" t="s">
        <v>144</v>
      </c>
      <c r="D2864" s="9">
        <v>0.1</v>
      </c>
      <c r="E2864" s="9">
        <v>0</v>
      </c>
      <c r="F2864" s="9">
        <v>0</v>
      </c>
      <c r="G2864" s="9">
        <v>177.92</v>
      </c>
      <c r="H2864" s="9">
        <v>0</v>
      </c>
      <c r="I2864" s="9">
        <v>0</v>
      </c>
      <c r="J2864" s="7" t="s">
        <v>325</v>
      </c>
    </row>
    <row r="2865" spans="1:10" x14ac:dyDescent="0.35">
      <c r="A2865" s="7" t="s">
        <v>25</v>
      </c>
      <c r="B2865" s="7" t="s">
        <v>63</v>
      </c>
      <c r="C2865" s="7" t="s">
        <v>65</v>
      </c>
      <c r="D2865" s="9">
        <v>0</v>
      </c>
      <c r="E2865" s="9">
        <v>0</v>
      </c>
      <c r="F2865" s="9">
        <v>0</v>
      </c>
      <c r="G2865" s="9">
        <v>3.1</v>
      </c>
      <c r="H2865" s="9">
        <v>0</v>
      </c>
      <c r="I2865" s="9">
        <v>0</v>
      </c>
      <c r="J2865" s="7" t="s">
        <v>325</v>
      </c>
    </row>
    <row r="2866" spans="1:10" x14ac:dyDescent="0.35">
      <c r="A2866" s="7" t="s">
        <v>25</v>
      </c>
      <c r="B2866" s="7" t="s">
        <v>63</v>
      </c>
      <c r="C2866" s="7" t="s">
        <v>53</v>
      </c>
      <c r="D2866" s="9">
        <v>0</v>
      </c>
      <c r="E2866" s="9">
        <v>0</v>
      </c>
      <c r="F2866" s="9">
        <v>0</v>
      </c>
      <c r="G2866" s="9">
        <v>0.5</v>
      </c>
      <c r="H2866" s="9">
        <v>0</v>
      </c>
      <c r="I2866" s="9">
        <v>0</v>
      </c>
      <c r="J2866" s="7" t="s">
        <v>325</v>
      </c>
    </row>
    <row r="2867" spans="1:10" x14ac:dyDescent="0.35">
      <c r="A2867" s="7" t="s">
        <v>25</v>
      </c>
      <c r="B2867" s="7" t="s">
        <v>63</v>
      </c>
      <c r="C2867" s="7" t="s">
        <v>48</v>
      </c>
      <c r="D2867" s="9">
        <v>0.02</v>
      </c>
      <c r="E2867" s="9">
        <v>0</v>
      </c>
      <c r="F2867" s="9">
        <v>0</v>
      </c>
      <c r="G2867" s="9">
        <v>13.1</v>
      </c>
      <c r="H2867" s="9">
        <v>0</v>
      </c>
      <c r="I2867" s="9">
        <v>0</v>
      </c>
      <c r="J2867" s="7" t="s">
        <v>325</v>
      </c>
    </row>
    <row r="2868" spans="1:10" x14ac:dyDescent="0.35">
      <c r="A2868" s="7" t="s">
        <v>25</v>
      </c>
      <c r="B2868" s="7" t="s">
        <v>26</v>
      </c>
      <c r="C2868" s="7" t="s">
        <v>39</v>
      </c>
      <c r="D2868" s="9">
        <v>0.02</v>
      </c>
      <c r="E2868" s="9">
        <v>0.01</v>
      </c>
      <c r="F2868" s="9">
        <v>0</v>
      </c>
      <c r="G2868" s="9">
        <v>4.58</v>
      </c>
      <c r="H2868" s="9">
        <v>4.07</v>
      </c>
      <c r="I2868" s="9">
        <v>0</v>
      </c>
      <c r="J2868" s="7" t="s">
        <v>325</v>
      </c>
    </row>
    <row r="2869" spans="1:10" x14ac:dyDescent="0.35">
      <c r="A2869" s="7" t="s">
        <v>31</v>
      </c>
      <c r="B2869" s="7" t="s">
        <v>141</v>
      </c>
      <c r="C2869" s="7" t="s">
        <v>116</v>
      </c>
      <c r="D2869" s="9">
        <v>0.14000000000000001</v>
      </c>
      <c r="E2869" s="9">
        <v>0</v>
      </c>
      <c r="F2869" s="9">
        <v>0</v>
      </c>
      <c r="G2869" s="9">
        <v>706.3</v>
      </c>
      <c r="H2869" s="9">
        <v>0</v>
      </c>
      <c r="I2869" s="9">
        <v>0</v>
      </c>
      <c r="J2869" s="7" t="s">
        <v>325</v>
      </c>
    </row>
    <row r="2870" spans="1:10" x14ac:dyDescent="0.35">
      <c r="A2870" s="7" t="s">
        <v>31</v>
      </c>
      <c r="B2870" s="7" t="s">
        <v>141</v>
      </c>
      <c r="C2870" s="7" t="s">
        <v>128</v>
      </c>
      <c r="D2870" s="9">
        <v>0</v>
      </c>
      <c r="E2870" s="9">
        <v>0</v>
      </c>
      <c r="F2870" s="9">
        <v>0</v>
      </c>
      <c r="G2870" s="9">
        <v>0.01</v>
      </c>
      <c r="H2870" s="9">
        <v>0</v>
      </c>
      <c r="I2870" s="9">
        <v>0</v>
      </c>
      <c r="J2870" s="7" t="s">
        <v>325</v>
      </c>
    </row>
    <row r="2871" spans="1:10" x14ac:dyDescent="0.35">
      <c r="A2871" s="7" t="s">
        <v>25</v>
      </c>
      <c r="B2871" s="7" t="s">
        <v>254</v>
      </c>
      <c r="C2871" s="7" t="s">
        <v>54</v>
      </c>
      <c r="D2871" s="9">
        <v>0</v>
      </c>
      <c r="E2871" s="9">
        <v>0</v>
      </c>
      <c r="F2871" s="9">
        <v>0</v>
      </c>
      <c r="G2871" s="9">
        <v>0.25</v>
      </c>
      <c r="H2871" s="9">
        <v>0.33</v>
      </c>
      <c r="I2871" s="9">
        <v>0</v>
      </c>
      <c r="J2871" s="7" t="s">
        <v>325</v>
      </c>
    </row>
    <row r="2872" spans="1:10" x14ac:dyDescent="0.35">
      <c r="A2872" s="7" t="s">
        <v>25</v>
      </c>
      <c r="B2872" s="7" t="s">
        <v>254</v>
      </c>
      <c r="C2872" s="7" t="s">
        <v>39</v>
      </c>
      <c r="D2872" s="9">
        <v>0</v>
      </c>
      <c r="E2872" s="9">
        <v>0</v>
      </c>
      <c r="F2872" s="9">
        <v>0</v>
      </c>
      <c r="G2872" s="9">
        <v>3</v>
      </c>
      <c r="H2872" s="9">
        <v>0</v>
      </c>
      <c r="I2872" s="9">
        <v>0</v>
      </c>
      <c r="J2872" s="7" t="s">
        <v>325</v>
      </c>
    </row>
    <row r="2873" spans="1:10" x14ac:dyDescent="0.35">
      <c r="A2873" s="7" t="s">
        <v>25</v>
      </c>
      <c r="B2873" s="7" t="s">
        <v>254</v>
      </c>
      <c r="C2873" s="7" t="s">
        <v>69</v>
      </c>
      <c r="D2873" s="9">
        <v>0.54</v>
      </c>
      <c r="E2873" s="9">
        <v>0.05</v>
      </c>
      <c r="F2873" s="9">
        <v>0</v>
      </c>
      <c r="G2873" s="9">
        <v>343</v>
      </c>
      <c r="H2873" s="9">
        <v>49.4</v>
      </c>
      <c r="I2873" s="9">
        <v>0</v>
      </c>
      <c r="J2873" s="7" t="s">
        <v>325</v>
      </c>
    </row>
    <row r="2874" spans="1:10" x14ac:dyDescent="0.35">
      <c r="A2874" s="7" t="s">
        <v>31</v>
      </c>
      <c r="B2874" s="7" t="s">
        <v>292</v>
      </c>
      <c r="C2874" s="7" t="s">
        <v>62</v>
      </c>
      <c r="D2874" s="9">
        <v>8.3699999999999992</v>
      </c>
      <c r="E2874" s="9">
        <v>0</v>
      </c>
      <c r="F2874" s="9">
        <v>0</v>
      </c>
      <c r="G2874" s="8">
        <v>34191.97</v>
      </c>
      <c r="H2874" s="9">
        <v>0</v>
      </c>
      <c r="I2874" s="9">
        <v>0</v>
      </c>
      <c r="J2874" s="7" t="s">
        <v>325</v>
      </c>
    </row>
    <row r="2875" spans="1:10" x14ac:dyDescent="0.35">
      <c r="A2875" s="7" t="s">
        <v>31</v>
      </c>
      <c r="B2875" s="7" t="s">
        <v>292</v>
      </c>
      <c r="C2875" s="7" t="s">
        <v>116</v>
      </c>
      <c r="D2875" s="9">
        <v>0.44</v>
      </c>
      <c r="E2875" s="9">
        <v>0</v>
      </c>
      <c r="F2875" s="9">
        <v>0</v>
      </c>
      <c r="G2875" s="8">
        <v>2249.27</v>
      </c>
      <c r="H2875" s="9">
        <v>0</v>
      </c>
      <c r="I2875" s="9">
        <v>0</v>
      </c>
      <c r="J2875" s="7" t="s">
        <v>325</v>
      </c>
    </row>
    <row r="2876" spans="1:10" x14ac:dyDescent="0.35">
      <c r="A2876" s="7" t="s">
        <v>31</v>
      </c>
      <c r="B2876" s="7" t="s">
        <v>133</v>
      </c>
      <c r="C2876" s="7" t="s">
        <v>27</v>
      </c>
      <c r="D2876" s="9">
        <v>0</v>
      </c>
      <c r="E2876" s="9">
        <v>3.41</v>
      </c>
      <c r="F2876" s="9">
        <v>0</v>
      </c>
      <c r="G2876" s="9">
        <v>0</v>
      </c>
      <c r="H2876" s="8">
        <v>7311.27</v>
      </c>
      <c r="I2876" s="9">
        <v>0</v>
      </c>
      <c r="J2876" s="7" t="s">
        <v>325</v>
      </c>
    </row>
    <row r="2877" spans="1:10" x14ac:dyDescent="0.35">
      <c r="A2877" s="7" t="s">
        <v>25</v>
      </c>
      <c r="B2877" s="7" t="s">
        <v>195</v>
      </c>
      <c r="C2877" s="7" t="s">
        <v>54</v>
      </c>
      <c r="D2877" s="9">
        <v>0</v>
      </c>
      <c r="E2877" s="9">
        <v>0.06</v>
      </c>
      <c r="F2877" s="9">
        <v>0</v>
      </c>
      <c r="G2877" s="9">
        <v>0</v>
      </c>
      <c r="H2877" s="9">
        <v>87</v>
      </c>
      <c r="I2877" s="9">
        <v>0</v>
      </c>
      <c r="J2877" s="7" t="s">
        <v>325</v>
      </c>
    </row>
    <row r="2878" spans="1:10" x14ac:dyDescent="0.35">
      <c r="A2878" s="7" t="s">
        <v>25</v>
      </c>
      <c r="B2878" s="7" t="s">
        <v>195</v>
      </c>
      <c r="C2878" s="7" t="s">
        <v>45</v>
      </c>
      <c r="D2878" s="9">
        <v>0</v>
      </c>
      <c r="E2878" s="9">
        <v>0.02</v>
      </c>
      <c r="F2878" s="9">
        <v>0</v>
      </c>
      <c r="G2878" s="9">
        <v>0</v>
      </c>
      <c r="H2878" s="9">
        <v>29</v>
      </c>
      <c r="I2878" s="9">
        <v>0</v>
      </c>
      <c r="J2878" s="7" t="s">
        <v>325</v>
      </c>
    </row>
    <row r="2879" spans="1:10" x14ac:dyDescent="0.35">
      <c r="A2879" s="7" t="s">
        <v>25</v>
      </c>
      <c r="B2879" s="7" t="s">
        <v>195</v>
      </c>
      <c r="C2879" s="7" t="s">
        <v>62</v>
      </c>
      <c r="D2879" s="9">
        <v>8.15</v>
      </c>
      <c r="E2879" s="9">
        <v>0</v>
      </c>
      <c r="F2879" s="9">
        <v>0</v>
      </c>
      <c r="G2879" s="8">
        <v>31200</v>
      </c>
      <c r="H2879" s="9">
        <v>0</v>
      </c>
      <c r="I2879" s="9">
        <v>0</v>
      </c>
      <c r="J2879" s="7" t="s">
        <v>325</v>
      </c>
    </row>
    <row r="2880" spans="1:10" x14ac:dyDescent="0.35">
      <c r="A2880" s="7" t="s">
        <v>20</v>
      </c>
      <c r="B2880" s="7" t="s">
        <v>222</v>
      </c>
      <c r="C2880" s="7" t="s">
        <v>93</v>
      </c>
      <c r="D2880" s="9">
        <v>0</v>
      </c>
      <c r="E2880" s="9">
        <v>0.32</v>
      </c>
      <c r="F2880" s="9">
        <v>0</v>
      </c>
      <c r="G2880" s="9">
        <v>0</v>
      </c>
      <c r="H2880" s="9">
        <v>35.97</v>
      </c>
      <c r="I2880" s="9">
        <v>0</v>
      </c>
      <c r="J2880" s="7" t="s">
        <v>325</v>
      </c>
    </row>
    <row r="2881" spans="1:10" x14ac:dyDescent="0.35">
      <c r="A2881" s="7" t="s">
        <v>258</v>
      </c>
      <c r="B2881" s="7" t="s">
        <v>293</v>
      </c>
      <c r="C2881" s="7" t="s">
        <v>84</v>
      </c>
      <c r="D2881" s="9">
        <v>0</v>
      </c>
      <c r="E2881" s="9">
        <v>0</v>
      </c>
      <c r="F2881" s="9">
        <v>0</v>
      </c>
      <c r="G2881" s="9">
        <v>0</v>
      </c>
      <c r="H2881" s="9">
        <v>1</v>
      </c>
      <c r="I2881" s="9">
        <v>0</v>
      </c>
      <c r="J2881" s="7" t="s">
        <v>325</v>
      </c>
    </row>
    <row r="2882" spans="1:10" ht="26.25" customHeight="1" x14ac:dyDescent="0.35">
      <c r="A2882" s="7" t="s">
        <v>20</v>
      </c>
      <c r="B2882" s="7" t="s">
        <v>294</v>
      </c>
      <c r="C2882" s="7" t="s">
        <v>39</v>
      </c>
      <c r="D2882" s="9">
        <v>0</v>
      </c>
      <c r="E2882" s="9">
        <v>0</v>
      </c>
      <c r="F2882" s="9">
        <v>0</v>
      </c>
      <c r="G2882" s="9">
        <v>0</v>
      </c>
      <c r="H2882" s="9">
        <v>0</v>
      </c>
      <c r="I2882" s="9">
        <v>0</v>
      </c>
      <c r="J2882" s="7" t="s">
        <v>325</v>
      </c>
    </row>
    <row r="2883" spans="1:10" x14ac:dyDescent="0.35">
      <c r="A2883" s="7" t="s">
        <v>258</v>
      </c>
      <c r="B2883" s="7" t="s">
        <v>293</v>
      </c>
      <c r="C2883" s="7" t="s">
        <v>27</v>
      </c>
      <c r="D2883" s="9">
        <v>0</v>
      </c>
      <c r="E2883" s="9">
        <v>0.22</v>
      </c>
      <c r="F2883" s="9">
        <v>0</v>
      </c>
      <c r="G2883" s="9">
        <v>0</v>
      </c>
      <c r="H2883" s="9">
        <v>595</v>
      </c>
      <c r="I2883" s="9">
        <v>0</v>
      </c>
      <c r="J2883" s="7" t="s">
        <v>325</v>
      </c>
    </row>
    <row r="2884" spans="1:10" x14ac:dyDescent="0.35">
      <c r="A2884" s="7" t="s">
        <v>258</v>
      </c>
      <c r="B2884" s="7" t="s">
        <v>293</v>
      </c>
      <c r="C2884" s="7" t="s">
        <v>45</v>
      </c>
      <c r="D2884" s="9">
        <v>0</v>
      </c>
      <c r="E2884" s="9">
        <v>0</v>
      </c>
      <c r="F2884" s="9">
        <v>0</v>
      </c>
      <c r="G2884" s="9">
        <v>0</v>
      </c>
      <c r="H2884" s="9">
        <v>4</v>
      </c>
      <c r="I2884" s="9">
        <v>0</v>
      </c>
      <c r="J2884" s="7" t="s">
        <v>325</v>
      </c>
    </row>
    <row r="2885" spans="1:10" x14ac:dyDescent="0.35">
      <c r="A2885" s="7" t="s">
        <v>258</v>
      </c>
      <c r="B2885" s="7" t="s">
        <v>293</v>
      </c>
      <c r="C2885" s="7" t="s">
        <v>54</v>
      </c>
      <c r="D2885" s="9">
        <v>0</v>
      </c>
      <c r="E2885" s="9">
        <v>0.01</v>
      </c>
      <c r="F2885" s="9">
        <v>0</v>
      </c>
      <c r="G2885" s="9">
        <v>0</v>
      </c>
      <c r="H2885" s="9">
        <v>5</v>
      </c>
      <c r="I2885" s="9">
        <v>0</v>
      </c>
      <c r="J2885" s="7" t="s">
        <v>325</v>
      </c>
    </row>
    <row r="2886" spans="1:10" x14ac:dyDescent="0.35">
      <c r="A2886" s="7" t="s">
        <v>20</v>
      </c>
      <c r="B2886" s="7" t="s">
        <v>222</v>
      </c>
      <c r="C2886" s="7" t="s">
        <v>54</v>
      </c>
      <c r="D2886" s="9">
        <v>0</v>
      </c>
      <c r="E2886" s="9">
        <v>0</v>
      </c>
      <c r="F2886" s="9">
        <v>0</v>
      </c>
      <c r="G2886" s="9">
        <v>0</v>
      </c>
      <c r="H2886" s="9">
        <v>0.43</v>
      </c>
      <c r="I2886" s="9">
        <v>0</v>
      </c>
      <c r="J2886" s="7" t="s">
        <v>325</v>
      </c>
    </row>
    <row r="2887" spans="1:10" x14ac:dyDescent="0.35">
      <c r="A2887" s="7" t="s">
        <v>129</v>
      </c>
      <c r="B2887" s="7" t="s">
        <v>147</v>
      </c>
      <c r="C2887" s="7" t="s">
        <v>150</v>
      </c>
      <c r="D2887" s="9">
        <v>0</v>
      </c>
      <c r="E2887" s="9">
        <v>0</v>
      </c>
      <c r="F2887" s="9">
        <v>0</v>
      </c>
      <c r="G2887" s="9">
        <v>0</v>
      </c>
      <c r="H2887" s="9">
        <v>0.02</v>
      </c>
      <c r="I2887" s="9">
        <v>0</v>
      </c>
      <c r="J2887" s="7" t="s">
        <v>325</v>
      </c>
    </row>
    <row r="2888" spans="1:10" x14ac:dyDescent="0.35">
      <c r="A2888" s="7" t="s">
        <v>129</v>
      </c>
      <c r="B2888" s="7" t="s">
        <v>147</v>
      </c>
      <c r="C2888" s="7" t="s">
        <v>142</v>
      </c>
      <c r="D2888" s="9">
        <v>0.04</v>
      </c>
      <c r="E2888" s="9">
        <v>0.02</v>
      </c>
      <c r="F2888" s="9">
        <v>0</v>
      </c>
      <c r="G2888" s="9">
        <v>59.93</v>
      </c>
      <c r="H2888" s="9">
        <v>30</v>
      </c>
      <c r="I2888" s="9">
        <v>0</v>
      </c>
      <c r="J2888" s="7" t="s">
        <v>325</v>
      </c>
    </row>
    <row r="2889" spans="1:10" x14ac:dyDescent="0.35">
      <c r="A2889" s="7" t="s">
        <v>20</v>
      </c>
      <c r="B2889" s="7" t="s">
        <v>222</v>
      </c>
      <c r="C2889" s="7" t="s">
        <v>65</v>
      </c>
      <c r="D2889" s="9">
        <v>0</v>
      </c>
      <c r="E2889" s="9">
        <v>0</v>
      </c>
      <c r="F2889" s="9">
        <v>0</v>
      </c>
      <c r="G2889" s="9">
        <v>0</v>
      </c>
      <c r="H2889" s="9">
        <v>0.01</v>
      </c>
      <c r="I2889" s="9">
        <v>0</v>
      </c>
      <c r="J2889" s="7" t="s">
        <v>325</v>
      </c>
    </row>
    <row r="2890" spans="1:10" x14ac:dyDescent="0.35">
      <c r="A2890" s="7" t="s">
        <v>129</v>
      </c>
      <c r="B2890" s="7" t="s">
        <v>147</v>
      </c>
      <c r="C2890" s="7" t="s">
        <v>59</v>
      </c>
      <c r="D2890" s="9">
        <v>0</v>
      </c>
      <c r="E2890" s="9">
        <v>0</v>
      </c>
      <c r="F2890" s="9">
        <v>0</v>
      </c>
      <c r="G2890" s="9">
        <v>0.49</v>
      </c>
      <c r="H2890" s="9">
        <v>0</v>
      </c>
      <c r="I2890" s="9">
        <v>0</v>
      </c>
      <c r="J2890" s="7" t="s">
        <v>325</v>
      </c>
    </row>
    <row r="2891" spans="1:10" x14ac:dyDescent="0.35">
      <c r="A2891" s="7" t="s">
        <v>20</v>
      </c>
      <c r="B2891" s="7" t="s">
        <v>222</v>
      </c>
      <c r="C2891" s="7" t="s">
        <v>83</v>
      </c>
      <c r="D2891" s="9">
        <v>0</v>
      </c>
      <c r="E2891" s="9">
        <v>0</v>
      </c>
      <c r="F2891" s="9">
        <v>0</v>
      </c>
      <c r="G2891" s="9">
        <v>0</v>
      </c>
      <c r="H2891" s="9">
        <v>0.1</v>
      </c>
      <c r="I2891" s="9">
        <v>0</v>
      </c>
      <c r="J2891" s="7" t="s">
        <v>325</v>
      </c>
    </row>
    <row r="2892" spans="1:10" x14ac:dyDescent="0.35">
      <c r="A2892" s="7" t="s">
        <v>20</v>
      </c>
      <c r="B2892" s="7" t="s">
        <v>222</v>
      </c>
      <c r="C2892" s="7" t="s">
        <v>122</v>
      </c>
      <c r="D2892" s="9">
        <v>0</v>
      </c>
      <c r="E2892" s="9">
        <v>0.01</v>
      </c>
      <c r="F2892" s="9">
        <v>0</v>
      </c>
      <c r="G2892" s="9">
        <v>0.45</v>
      </c>
      <c r="H2892" s="9">
        <v>1.96</v>
      </c>
      <c r="I2892" s="9">
        <v>0</v>
      </c>
      <c r="J2892" s="7" t="s">
        <v>325</v>
      </c>
    </row>
    <row r="2893" spans="1:10" x14ac:dyDescent="0.35">
      <c r="A2893" s="7" t="s">
        <v>129</v>
      </c>
      <c r="B2893" s="7" t="s">
        <v>147</v>
      </c>
      <c r="C2893" s="7" t="s">
        <v>69</v>
      </c>
      <c r="D2893" s="9">
        <v>0</v>
      </c>
      <c r="E2893" s="9">
        <v>0.01</v>
      </c>
      <c r="F2893" s="9">
        <v>0</v>
      </c>
      <c r="G2893" s="9">
        <v>0</v>
      </c>
      <c r="H2893" s="9">
        <v>1.5</v>
      </c>
      <c r="I2893" s="9">
        <v>0</v>
      </c>
      <c r="J2893" s="7" t="s">
        <v>325</v>
      </c>
    </row>
    <row r="2894" spans="1:10" x14ac:dyDescent="0.35">
      <c r="A2894" s="7" t="s">
        <v>20</v>
      </c>
      <c r="B2894" s="7" t="s">
        <v>222</v>
      </c>
      <c r="C2894" s="7" t="s">
        <v>48</v>
      </c>
      <c r="D2894" s="9">
        <v>0</v>
      </c>
      <c r="E2894" s="9">
        <v>0</v>
      </c>
      <c r="F2894" s="9">
        <v>0</v>
      </c>
      <c r="G2894" s="9">
        <v>0</v>
      </c>
      <c r="H2894" s="9">
        <v>0.06</v>
      </c>
      <c r="I2894" s="9">
        <v>0</v>
      </c>
      <c r="J2894" s="7" t="s">
        <v>325</v>
      </c>
    </row>
    <row r="2895" spans="1:10" x14ac:dyDescent="0.35">
      <c r="A2895" s="7" t="s">
        <v>20</v>
      </c>
      <c r="B2895" s="7" t="s">
        <v>21</v>
      </c>
      <c r="C2895" s="7" t="s">
        <v>116</v>
      </c>
      <c r="D2895" s="9">
        <v>0</v>
      </c>
      <c r="E2895" s="9">
        <v>0.01</v>
      </c>
      <c r="F2895" s="9">
        <v>0</v>
      </c>
      <c r="G2895" s="9">
        <v>0</v>
      </c>
      <c r="H2895" s="9">
        <v>16</v>
      </c>
      <c r="I2895" s="9">
        <v>0</v>
      </c>
      <c r="J2895" s="7" t="s">
        <v>325</v>
      </c>
    </row>
    <row r="2896" spans="1:10" x14ac:dyDescent="0.35">
      <c r="A2896" s="7" t="s">
        <v>20</v>
      </c>
      <c r="B2896" s="7" t="s">
        <v>21</v>
      </c>
      <c r="C2896" s="7" t="s">
        <v>261</v>
      </c>
      <c r="D2896" s="9">
        <v>0.01</v>
      </c>
      <c r="E2896" s="9">
        <v>0</v>
      </c>
      <c r="F2896" s="9">
        <v>0</v>
      </c>
      <c r="G2896" s="9">
        <v>1.53</v>
      </c>
      <c r="H2896" s="9">
        <v>0</v>
      </c>
      <c r="I2896" s="9">
        <v>0</v>
      </c>
      <c r="J2896" s="7" t="s">
        <v>325</v>
      </c>
    </row>
    <row r="2897" spans="1:10" x14ac:dyDescent="0.35">
      <c r="A2897" s="7" t="s">
        <v>129</v>
      </c>
      <c r="B2897" s="7" t="s">
        <v>147</v>
      </c>
      <c r="C2897" s="7" t="s">
        <v>151</v>
      </c>
      <c r="D2897" s="9">
        <v>0</v>
      </c>
      <c r="E2897" s="9">
        <v>0</v>
      </c>
      <c r="F2897" s="9">
        <v>0</v>
      </c>
      <c r="G2897" s="9">
        <v>0.27</v>
      </c>
      <c r="H2897" s="9">
        <v>0</v>
      </c>
      <c r="I2897" s="9">
        <v>0</v>
      </c>
      <c r="J2897" s="7" t="s">
        <v>325</v>
      </c>
    </row>
    <row r="2898" spans="1:10" x14ac:dyDescent="0.35">
      <c r="A2898" s="7" t="s">
        <v>129</v>
      </c>
      <c r="B2898" s="7" t="s">
        <v>147</v>
      </c>
      <c r="C2898" s="7" t="s">
        <v>144</v>
      </c>
      <c r="D2898" s="9">
        <v>0</v>
      </c>
      <c r="E2898" s="9">
        <v>0</v>
      </c>
      <c r="F2898" s="9">
        <v>0</v>
      </c>
      <c r="G2898" s="9">
        <v>0.01</v>
      </c>
      <c r="H2898" s="9">
        <v>0</v>
      </c>
      <c r="I2898" s="9">
        <v>0</v>
      </c>
      <c r="J2898" s="7" t="s">
        <v>325</v>
      </c>
    </row>
    <row r="2899" spans="1:10" x14ac:dyDescent="0.35">
      <c r="A2899" s="7" t="s">
        <v>20</v>
      </c>
      <c r="B2899" s="7" t="s">
        <v>245</v>
      </c>
      <c r="C2899" s="7" t="s">
        <v>33</v>
      </c>
      <c r="D2899" s="9">
        <v>0</v>
      </c>
      <c r="E2899" s="9">
        <v>0</v>
      </c>
      <c r="F2899" s="9">
        <v>0</v>
      </c>
      <c r="G2899" s="9">
        <v>0.05</v>
      </c>
      <c r="H2899" s="9">
        <v>0</v>
      </c>
      <c r="I2899" s="9">
        <v>0</v>
      </c>
      <c r="J2899" s="7" t="s">
        <v>325</v>
      </c>
    </row>
    <row r="2900" spans="1:10" x14ac:dyDescent="0.35">
      <c r="A2900" s="7" t="s">
        <v>20</v>
      </c>
      <c r="B2900" s="7" t="s">
        <v>245</v>
      </c>
      <c r="C2900" s="7" t="s">
        <v>27</v>
      </c>
      <c r="D2900" s="9">
        <v>0</v>
      </c>
      <c r="E2900" s="9">
        <v>0</v>
      </c>
      <c r="F2900" s="9">
        <v>0</v>
      </c>
      <c r="G2900" s="9">
        <v>0</v>
      </c>
      <c r="H2900" s="9">
        <v>0</v>
      </c>
      <c r="I2900" s="9">
        <v>0</v>
      </c>
      <c r="J2900" s="7" t="s">
        <v>325</v>
      </c>
    </row>
    <row r="2901" spans="1:10" x14ac:dyDescent="0.35">
      <c r="A2901" s="7" t="s">
        <v>129</v>
      </c>
      <c r="B2901" s="7" t="s">
        <v>147</v>
      </c>
      <c r="C2901" s="7" t="s">
        <v>42</v>
      </c>
      <c r="D2901" s="9">
        <v>7.0000000000000007E-2</v>
      </c>
      <c r="E2901" s="9">
        <v>0.01</v>
      </c>
      <c r="F2901" s="9">
        <v>0</v>
      </c>
      <c r="G2901" s="9">
        <v>106.65</v>
      </c>
      <c r="H2901" s="9">
        <v>69.86</v>
      </c>
      <c r="I2901" s="9">
        <v>0</v>
      </c>
      <c r="J2901" s="7" t="s">
        <v>325</v>
      </c>
    </row>
    <row r="2902" spans="1:10" x14ac:dyDescent="0.35">
      <c r="A2902" s="7" t="s">
        <v>20</v>
      </c>
      <c r="B2902" s="7" t="s">
        <v>245</v>
      </c>
      <c r="C2902" s="7" t="s">
        <v>151</v>
      </c>
      <c r="D2902" s="9">
        <v>0.01</v>
      </c>
      <c r="E2902" s="9">
        <v>0</v>
      </c>
      <c r="F2902" s="9">
        <v>0</v>
      </c>
      <c r="G2902" s="9">
        <v>0.9</v>
      </c>
      <c r="H2902" s="9">
        <v>0</v>
      </c>
      <c r="I2902" s="9">
        <v>0</v>
      </c>
      <c r="J2902" s="7" t="s">
        <v>325</v>
      </c>
    </row>
    <row r="2903" spans="1:10" x14ac:dyDescent="0.35">
      <c r="A2903" s="7" t="s">
        <v>129</v>
      </c>
      <c r="B2903" s="7" t="s">
        <v>147</v>
      </c>
      <c r="C2903" s="7" t="s">
        <v>181</v>
      </c>
      <c r="D2903" s="9">
        <v>0</v>
      </c>
      <c r="E2903" s="9">
        <v>0</v>
      </c>
      <c r="F2903" s="9">
        <v>0</v>
      </c>
      <c r="G2903" s="9">
        <v>0.06</v>
      </c>
      <c r="H2903" s="9">
        <v>0.03</v>
      </c>
      <c r="I2903" s="9">
        <v>0</v>
      </c>
      <c r="J2903" s="7" t="s">
        <v>325</v>
      </c>
    </row>
    <row r="2904" spans="1:10" x14ac:dyDescent="0.35">
      <c r="A2904" s="7" t="s">
        <v>20</v>
      </c>
      <c r="B2904" s="7" t="s">
        <v>245</v>
      </c>
      <c r="C2904" s="7" t="s">
        <v>62</v>
      </c>
      <c r="D2904" s="9">
        <v>0</v>
      </c>
      <c r="E2904" s="9">
        <v>0</v>
      </c>
      <c r="F2904" s="9">
        <v>0</v>
      </c>
      <c r="G2904" s="9">
        <v>0.01</v>
      </c>
      <c r="H2904" s="9">
        <v>0</v>
      </c>
      <c r="I2904" s="9">
        <v>0</v>
      </c>
      <c r="J2904" s="7" t="s">
        <v>325</v>
      </c>
    </row>
    <row r="2905" spans="1:10" x14ac:dyDescent="0.35">
      <c r="A2905" s="7" t="s">
        <v>129</v>
      </c>
      <c r="B2905" s="7" t="s">
        <v>295</v>
      </c>
      <c r="C2905" s="7" t="s">
        <v>84</v>
      </c>
      <c r="D2905" s="9">
        <v>0</v>
      </c>
      <c r="E2905" s="9">
        <v>0</v>
      </c>
      <c r="F2905" s="9">
        <v>0</v>
      </c>
      <c r="G2905" s="9">
        <v>0.1</v>
      </c>
      <c r="H2905" s="9">
        <v>0</v>
      </c>
      <c r="I2905" s="9">
        <v>0</v>
      </c>
      <c r="J2905" s="7" t="s">
        <v>325</v>
      </c>
    </row>
    <row r="2906" spans="1:10" x14ac:dyDescent="0.35">
      <c r="A2906" s="7" t="s">
        <v>129</v>
      </c>
      <c r="B2906" s="7" t="s">
        <v>295</v>
      </c>
      <c r="C2906" s="7" t="s">
        <v>76</v>
      </c>
      <c r="D2906" s="9">
        <v>0</v>
      </c>
      <c r="E2906" s="9">
        <v>0</v>
      </c>
      <c r="F2906" s="9">
        <v>0</v>
      </c>
      <c r="G2906" s="9">
        <v>0</v>
      </c>
      <c r="H2906" s="9">
        <v>8.61</v>
      </c>
      <c r="I2906" s="9">
        <v>0</v>
      </c>
      <c r="J2906" s="7" t="s">
        <v>325</v>
      </c>
    </row>
    <row r="2907" spans="1:10" x14ac:dyDescent="0.35">
      <c r="A2907" s="7" t="s">
        <v>129</v>
      </c>
      <c r="B2907" s="7" t="s">
        <v>295</v>
      </c>
      <c r="C2907" s="7" t="s">
        <v>45</v>
      </c>
      <c r="D2907" s="9">
        <v>0</v>
      </c>
      <c r="E2907" s="9">
        <v>0</v>
      </c>
      <c r="F2907" s="9">
        <v>0</v>
      </c>
      <c r="G2907" s="9">
        <v>0</v>
      </c>
      <c r="H2907" s="9">
        <v>5</v>
      </c>
      <c r="I2907" s="9">
        <v>0</v>
      </c>
      <c r="J2907" s="7" t="s">
        <v>325</v>
      </c>
    </row>
    <row r="2908" spans="1:10" x14ac:dyDescent="0.35">
      <c r="A2908" s="7" t="s">
        <v>129</v>
      </c>
      <c r="B2908" s="7" t="s">
        <v>295</v>
      </c>
      <c r="C2908" s="7" t="s">
        <v>102</v>
      </c>
      <c r="D2908" s="9">
        <v>0</v>
      </c>
      <c r="E2908" s="9">
        <v>0.02</v>
      </c>
      <c r="F2908" s="9">
        <v>0</v>
      </c>
      <c r="G2908" s="9">
        <v>0</v>
      </c>
      <c r="H2908" s="9">
        <v>40.15</v>
      </c>
      <c r="I2908" s="9">
        <v>0</v>
      </c>
      <c r="J2908" s="7" t="s">
        <v>325</v>
      </c>
    </row>
    <row r="2909" spans="1:10" x14ac:dyDescent="0.35">
      <c r="A2909" s="7" t="s">
        <v>20</v>
      </c>
      <c r="B2909" s="7" t="s">
        <v>245</v>
      </c>
      <c r="C2909" s="7" t="s">
        <v>53</v>
      </c>
      <c r="D2909" s="9">
        <v>0</v>
      </c>
      <c r="E2909" s="9">
        <v>0</v>
      </c>
      <c r="F2909" s="9">
        <v>0</v>
      </c>
      <c r="G2909" s="9">
        <v>0</v>
      </c>
      <c r="H2909" s="9">
        <v>0.01</v>
      </c>
      <c r="I2909" s="9">
        <v>0</v>
      </c>
      <c r="J2909" s="7" t="s">
        <v>325</v>
      </c>
    </row>
    <row r="2910" spans="1:10" x14ac:dyDescent="0.35">
      <c r="A2910" s="7" t="s">
        <v>20</v>
      </c>
      <c r="B2910" s="7" t="s">
        <v>245</v>
      </c>
      <c r="C2910" s="7" t="s">
        <v>72</v>
      </c>
      <c r="D2910" s="9">
        <v>0</v>
      </c>
      <c r="E2910" s="9">
        <v>0</v>
      </c>
      <c r="F2910" s="9">
        <v>0</v>
      </c>
      <c r="G2910" s="9">
        <v>0.24</v>
      </c>
      <c r="H2910" s="9">
        <v>0</v>
      </c>
      <c r="I2910" s="9">
        <v>0</v>
      </c>
      <c r="J2910" s="7" t="s">
        <v>325</v>
      </c>
    </row>
    <row r="2911" spans="1:10" x14ac:dyDescent="0.35">
      <c r="A2911" s="7" t="s">
        <v>251</v>
      </c>
      <c r="B2911" s="7" t="s">
        <v>252</v>
      </c>
      <c r="C2911" s="7" t="s">
        <v>142</v>
      </c>
      <c r="D2911" s="9">
        <v>0.24</v>
      </c>
      <c r="E2911" s="9">
        <v>0.35</v>
      </c>
      <c r="F2911" s="9">
        <v>0</v>
      </c>
      <c r="G2911" s="9">
        <v>520.04999999999995</v>
      </c>
      <c r="H2911" s="9">
        <v>538</v>
      </c>
      <c r="I2911" s="9">
        <v>0</v>
      </c>
      <c r="J2911" s="7" t="s">
        <v>325</v>
      </c>
    </row>
    <row r="2912" spans="1:10" x14ac:dyDescent="0.35">
      <c r="A2912" s="7" t="s">
        <v>20</v>
      </c>
      <c r="B2912" s="7" t="s">
        <v>296</v>
      </c>
      <c r="C2912" s="7" t="s">
        <v>33</v>
      </c>
      <c r="D2912" s="9">
        <v>0</v>
      </c>
      <c r="E2912" s="9">
        <v>0</v>
      </c>
      <c r="F2912" s="9">
        <v>0</v>
      </c>
      <c r="G2912" s="9">
        <v>0</v>
      </c>
      <c r="H2912" s="9">
        <v>2.44</v>
      </c>
      <c r="I2912" s="9">
        <v>0</v>
      </c>
      <c r="J2912" s="7" t="s">
        <v>325</v>
      </c>
    </row>
    <row r="2913" spans="1:10" x14ac:dyDescent="0.35">
      <c r="A2913" s="7" t="s">
        <v>251</v>
      </c>
      <c r="B2913" s="7" t="s">
        <v>252</v>
      </c>
      <c r="C2913" s="7" t="s">
        <v>72</v>
      </c>
      <c r="D2913" s="9">
        <v>0.01</v>
      </c>
      <c r="E2913" s="9">
        <v>0</v>
      </c>
      <c r="F2913" s="9">
        <v>0</v>
      </c>
      <c r="G2913" s="9">
        <v>0.72</v>
      </c>
      <c r="H2913" s="9">
        <v>0</v>
      </c>
      <c r="I2913" s="9">
        <v>0</v>
      </c>
      <c r="J2913" s="7" t="s">
        <v>325</v>
      </c>
    </row>
    <row r="2914" spans="1:10" x14ac:dyDescent="0.35">
      <c r="A2914" s="7" t="s">
        <v>20</v>
      </c>
      <c r="B2914" s="7" t="s">
        <v>296</v>
      </c>
      <c r="C2914" s="7" t="s">
        <v>42</v>
      </c>
      <c r="D2914" s="9">
        <v>0</v>
      </c>
      <c r="E2914" s="9">
        <v>0</v>
      </c>
      <c r="F2914" s="9">
        <v>0</v>
      </c>
      <c r="G2914" s="9">
        <v>0</v>
      </c>
      <c r="H2914" s="9">
        <v>0.34</v>
      </c>
      <c r="I2914" s="9">
        <v>0</v>
      </c>
      <c r="J2914" s="7" t="s">
        <v>325</v>
      </c>
    </row>
    <row r="2915" spans="1:10" x14ac:dyDescent="0.35">
      <c r="A2915" s="7" t="s">
        <v>251</v>
      </c>
      <c r="B2915" s="7" t="s">
        <v>252</v>
      </c>
      <c r="C2915" s="7" t="s">
        <v>62</v>
      </c>
      <c r="D2915" s="9">
        <v>0</v>
      </c>
      <c r="E2915" s="9">
        <v>0</v>
      </c>
      <c r="F2915" s="9">
        <v>0</v>
      </c>
      <c r="G2915" s="9">
        <v>0.2</v>
      </c>
      <c r="H2915" s="9">
        <v>0.57999999999999996</v>
      </c>
      <c r="I2915" s="9">
        <v>0</v>
      </c>
      <c r="J2915" s="7" t="s">
        <v>325</v>
      </c>
    </row>
    <row r="2916" spans="1:10" x14ac:dyDescent="0.35">
      <c r="A2916" s="7" t="s">
        <v>251</v>
      </c>
      <c r="B2916" s="7" t="s">
        <v>252</v>
      </c>
      <c r="C2916" s="7" t="s">
        <v>65</v>
      </c>
      <c r="D2916" s="9">
        <v>0</v>
      </c>
      <c r="E2916" s="9">
        <v>0.01</v>
      </c>
      <c r="F2916" s="9">
        <v>0</v>
      </c>
      <c r="G2916" s="9">
        <v>0</v>
      </c>
      <c r="H2916" s="9">
        <v>8.61</v>
      </c>
      <c r="I2916" s="9">
        <v>0</v>
      </c>
      <c r="J2916" s="7" t="s">
        <v>325</v>
      </c>
    </row>
    <row r="2917" spans="1:10" x14ac:dyDescent="0.35">
      <c r="A2917" s="7" t="s">
        <v>251</v>
      </c>
      <c r="B2917" s="7" t="s">
        <v>252</v>
      </c>
      <c r="C2917" s="7" t="s">
        <v>27</v>
      </c>
      <c r="D2917" s="9">
        <v>0</v>
      </c>
      <c r="E2917" s="9">
        <v>0</v>
      </c>
      <c r="F2917" s="9">
        <v>0</v>
      </c>
      <c r="G2917" s="9">
        <v>0</v>
      </c>
      <c r="H2917" s="9">
        <v>0.1</v>
      </c>
      <c r="I2917" s="9">
        <v>0</v>
      </c>
      <c r="J2917" s="7" t="s">
        <v>325</v>
      </c>
    </row>
    <row r="2918" spans="1:10" x14ac:dyDescent="0.35">
      <c r="A2918" s="7" t="s">
        <v>251</v>
      </c>
      <c r="B2918" s="7" t="s">
        <v>252</v>
      </c>
      <c r="C2918" s="7" t="s">
        <v>42</v>
      </c>
      <c r="D2918" s="9">
        <v>0</v>
      </c>
      <c r="E2918" s="9">
        <v>0</v>
      </c>
      <c r="F2918" s="9">
        <v>0</v>
      </c>
      <c r="G2918" s="9">
        <v>0</v>
      </c>
      <c r="H2918" s="9">
        <v>0.13</v>
      </c>
      <c r="I2918" s="9">
        <v>0</v>
      </c>
      <c r="J2918" s="7" t="s">
        <v>325</v>
      </c>
    </row>
    <row r="2919" spans="1:10" x14ac:dyDescent="0.35">
      <c r="A2919" s="7" t="s">
        <v>251</v>
      </c>
      <c r="B2919" s="7" t="s">
        <v>252</v>
      </c>
      <c r="C2919" s="7" t="s">
        <v>181</v>
      </c>
      <c r="D2919" s="9">
        <v>0</v>
      </c>
      <c r="E2919" s="9">
        <v>0.01</v>
      </c>
      <c r="F2919" s="9">
        <v>0</v>
      </c>
      <c r="G2919" s="9">
        <v>0.15</v>
      </c>
      <c r="H2919" s="9">
        <v>0.56000000000000005</v>
      </c>
      <c r="I2919" s="9">
        <v>0</v>
      </c>
      <c r="J2919" s="7" t="s">
        <v>325</v>
      </c>
    </row>
    <row r="2920" spans="1:10" x14ac:dyDescent="0.35">
      <c r="A2920" s="7" t="s">
        <v>66</v>
      </c>
      <c r="B2920" s="7" t="s">
        <v>219</v>
      </c>
      <c r="C2920" s="7" t="s">
        <v>18</v>
      </c>
      <c r="D2920" s="9">
        <v>0</v>
      </c>
      <c r="E2920" s="9">
        <v>0.03</v>
      </c>
      <c r="F2920" s="9">
        <v>0</v>
      </c>
      <c r="G2920" s="9">
        <v>0.04</v>
      </c>
      <c r="H2920" s="9">
        <v>28.75</v>
      </c>
      <c r="I2920" s="9">
        <v>0</v>
      </c>
      <c r="J2920" s="7" t="s">
        <v>325</v>
      </c>
    </row>
    <row r="2921" spans="1:10" x14ac:dyDescent="0.35">
      <c r="A2921" s="7" t="s">
        <v>66</v>
      </c>
      <c r="B2921" s="7" t="s">
        <v>219</v>
      </c>
      <c r="C2921" s="7" t="s">
        <v>72</v>
      </c>
      <c r="D2921" s="9">
        <v>0</v>
      </c>
      <c r="E2921" s="9">
        <v>0</v>
      </c>
      <c r="F2921" s="9">
        <v>0</v>
      </c>
      <c r="G2921" s="9">
        <v>0.14000000000000001</v>
      </c>
      <c r="H2921" s="9">
        <v>0</v>
      </c>
      <c r="I2921" s="9">
        <v>0</v>
      </c>
      <c r="J2921" s="7" t="s">
        <v>325</v>
      </c>
    </row>
    <row r="2922" spans="1:10" x14ac:dyDescent="0.35">
      <c r="A2922" s="7" t="s">
        <v>20</v>
      </c>
      <c r="B2922" s="7" t="s">
        <v>296</v>
      </c>
      <c r="C2922" s="7" t="s">
        <v>54</v>
      </c>
      <c r="D2922" s="9">
        <v>0</v>
      </c>
      <c r="E2922" s="9">
        <v>0</v>
      </c>
      <c r="F2922" s="9">
        <v>0</v>
      </c>
      <c r="G2922" s="9">
        <v>0</v>
      </c>
      <c r="H2922" s="9">
        <v>0.32</v>
      </c>
      <c r="I2922" s="9">
        <v>0</v>
      </c>
      <c r="J2922" s="7" t="s">
        <v>325</v>
      </c>
    </row>
    <row r="2923" spans="1:10" x14ac:dyDescent="0.35">
      <c r="A2923" s="7" t="s">
        <v>66</v>
      </c>
      <c r="B2923" s="7" t="s">
        <v>219</v>
      </c>
      <c r="C2923" s="7" t="s">
        <v>55</v>
      </c>
      <c r="D2923" s="9">
        <v>0</v>
      </c>
      <c r="E2923" s="9">
        <v>0</v>
      </c>
      <c r="F2923" s="9">
        <v>0</v>
      </c>
      <c r="G2923" s="9">
        <v>0</v>
      </c>
      <c r="H2923" s="9">
        <v>0.02</v>
      </c>
      <c r="I2923" s="9">
        <v>0</v>
      </c>
      <c r="J2923" s="7" t="s">
        <v>325</v>
      </c>
    </row>
    <row r="2924" spans="1:10" x14ac:dyDescent="0.35">
      <c r="A2924" s="7" t="s">
        <v>66</v>
      </c>
      <c r="B2924" s="7" t="s">
        <v>219</v>
      </c>
      <c r="C2924" s="7" t="s">
        <v>53</v>
      </c>
      <c r="D2924" s="9">
        <v>0</v>
      </c>
      <c r="E2924" s="9">
        <v>0</v>
      </c>
      <c r="F2924" s="9">
        <v>0</v>
      </c>
      <c r="G2924" s="9">
        <v>0.6</v>
      </c>
      <c r="H2924" s="9">
        <v>0</v>
      </c>
      <c r="I2924" s="9">
        <v>0</v>
      </c>
      <c r="J2924" s="7" t="s">
        <v>325</v>
      </c>
    </row>
    <row r="2925" spans="1:10" x14ac:dyDescent="0.35">
      <c r="A2925" s="7" t="s">
        <v>20</v>
      </c>
      <c r="B2925" s="7" t="s">
        <v>296</v>
      </c>
      <c r="C2925" s="7" t="s">
        <v>170</v>
      </c>
      <c r="D2925" s="9">
        <v>0</v>
      </c>
      <c r="E2925" s="9">
        <v>0</v>
      </c>
      <c r="F2925" s="9">
        <v>0</v>
      </c>
      <c r="G2925" s="9">
        <v>0</v>
      </c>
      <c r="H2925" s="9">
        <v>0.01</v>
      </c>
      <c r="I2925" s="9">
        <v>0</v>
      </c>
      <c r="J2925" s="7" t="s">
        <v>325</v>
      </c>
    </row>
    <row r="2926" spans="1:10" x14ac:dyDescent="0.35">
      <c r="A2926" s="7" t="s">
        <v>66</v>
      </c>
      <c r="B2926" s="7" t="s">
        <v>219</v>
      </c>
      <c r="C2926" s="7" t="s">
        <v>27</v>
      </c>
      <c r="D2926" s="9">
        <v>0</v>
      </c>
      <c r="E2926" s="9">
        <v>0</v>
      </c>
      <c r="F2926" s="9">
        <v>0</v>
      </c>
      <c r="G2926" s="9">
        <v>0</v>
      </c>
      <c r="H2926" s="9">
        <v>0.01</v>
      </c>
      <c r="I2926" s="9">
        <v>0</v>
      </c>
      <c r="J2926" s="7" t="s">
        <v>325</v>
      </c>
    </row>
    <row r="2927" spans="1:10" x14ac:dyDescent="0.35">
      <c r="A2927" s="7" t="s">
        <v>20</v>
      </c>
      <c r="B2927" s="7" t="s">
        <v>296</v>
      </c>
      <c r="C2927" s="7" t="s">
        <v>102</v>
      </c>
      <c r="D2927" s="9">
        <v>0</v>
      </c>
      <c r="E2927" s="9">
        <v>0</v>
      </c>
      <c r="F2927" s="9">
        <v>0</v>
      </c>
      <c r="G2927" s="9">
        <v>0</v>
      </c>
      <c r="H2927" s="9">
        <v>0.9</v>
      </c>
      <c r="I2927" s="9">
        <v>0</v>
      </c>
      <c r="J2927" s="7" t="s">
        <v>325</v>
      </c>
    </row>
    <row r="2928" spans="1:10" x14ac:dyDescent="0.35">
      <c r="A2928" s="7" t="s">
        <v>20</v>
      </c>
      <c r="B2928" s="7" t="s">
        <v>296</v>
      </c>
      <c r="C2928" s="7" t="s">
        <v>45</v>
      </c>
      <c r="D2928" s="9">
        <v>0</v>
      </c>
      <c r="E2928" s="9">
        <v>0</v>
      </c>
      <c r="F2928" s="9">
        <v>0</v>
      </c>
      <c r="G2928" s="9">
        <v>0</v>
      </c>
      <c r="H2928" s="9">
        <v>0.01</v>
      </c>
      <c r="I2928" s="9">
        <v>0</v>
      </c>
      <c r="J2928" s="7" t="s">
        <v>325</v>
      </c>
    </row>
    <row r="2929" spans="1:10" x14ac:dyDescent="0.35">
      <c r="A2929" s="7" t="s">
        <v>66</v>
      </c>
      <c r="B2929" s="7" t="s">
        <v>219</v>
      </c>
      <c r="C2929" s="7" t="s">
        <v>170</v>
      </c>
      <c r="D2929" s="9">
        <v>0.01</v>
      </c>
      <c r="E2929" s="9">
        <v>0</v>
      </c>
      <c r="F2929" s="9">
        <v>0</v>
      </c>
      <c r="G2929" s="9">
        <v>4.5999999999999996</v>
      </c>
      <c r="H2929" s="9">
        <v>0</v>
      </c>
      <c r="I2929" s="9">
        <v>0</v>
      </c>
      <c r="J2929" s="7" t="s">
        <v>325</v>
      </c>
    </row>
    <row r="2930" spans="1:10" x14ac:dyDescent="0.35">
      <c r="A2930" s="7" t="s">
        <v>66</v>
      </c>
      <c r="B2930" s="7" t="s">
        <v>219</v>
      </c>
      <c r="C2930" s="7" t="s">
        <v>54</v>
      </c>
      <c r="D2930" s="9">
        <v>0</v>
      </c>
      <c r="E2930" s="9">
        <v>0</v>
      </c>
      <c r="F2930" s="9">
        <v>0</v>
      </c>
      <c r="G2930" s="9">
        <v>0</v>
      </c>
      <c r="H2930" s="9">
        <v>0.2</v>
      </c>
      <c r="I2930" s="9">
        <v>0</v>
      </c>
      <c r="J2930" s="7" t="s">
        <v>325</v>
      </c>
    </row>
    <row r="2931" spans="1:10" x14ac:dyDescent="0.35">
      <c r="A2931" s="7" t="s">
        <v>20</v>
      </c>
      <c r="B2931" s="7" t="s">
        <v>296</v>
      </c>
      <c r="C2931" s="7" t="s">
        <v>126</v>
      </c>
      <c r="D2931" s="9">
        <v>0</v>
      </c>
      <c r="E2931" s="9">
        <v>0</v>
      </c>
      <c r="F2931" s="9">
        <v>0</v>
      </c>
      <c r="G2931" s="9">
        <v>0</v>
      </c>
      <c r="H2931" s="9">
        <v>0.02</v>
      </c>
      <c r="I2931" s="9">
        <v>0</v>
      </c>
      <c r="J2931" s="7" t="s">
        <v>325</v>
      </c>
    </row>
    <row r="2932" spans="1:10" x14ac:dyDescent="0.35">
      <c r="A2932" s="7" t="s">
        <v>66</v>
      </c>
      <c r="B2932" s="7" t="s">
        <v>219</v>
      </c>
      <c r="C2932" s="7" t="s">
        <v>33</v>
      </c>
      <c r="D2932" s="9">
        <v>0</v>
      </c>
      <c r="E2932" s="9">
        <v>0</v>
      </c>
      <c r="F2932" s="9">
        <v>0</v>
      </c>
      <c r="G2932" s="9">
        <v>0.53</v>
      </c>
      <c r="H2932" s="9">
        <v>0</v>
      </c>
      <c r="I2932" s="9">
        <v>0</v>
      </c>
      <c r="J2932" s="7" t="s">
        <v>325</v>
      </c>
    </row>
    <row r="2933" spans="1:10" x14ac:dyDescent="0.35">
      <c r="A2933" s="7" t="s">
        <v>66</v>
      </c>
      <c r="B2933" s="7" t="s">
        <v>67</v>
      </c>
      <c r="C2933" s="7" t="s">
        <v>18</v>
      </c>
      <c r="D2933" s="9">
        <v>0.01</v>
      </c>
      <c r="E2933" s="9">
        <v>0.14000000000000001</v>
      </c>
      <c r="F2933" s="9">
        <v>0</v>
      </c>
      <c r="G2933" s="9">
        <v>5.7</v>
      </c>
      <c r="H2933" s="9">
        <v>307</v>
      </c>
      <c r="I2933" s="9">
        <v>0</v>
      </c>
      <c r="J2933" s="7" t="s">
        <v>325</v>
      </c>
    </row>
    <row r="2934" spans="1:10" x14ac:dyDescent="0.35">
      <c r="A2934" s="7" t="s">
        <v>20</v>
      </c>
      <c r="B2934" s="7" t="s">
        <v>296</v>
      </c>
      <c r="C2934" s="7" t="s">
        <v>27</v>
      </c>
      <c r="D2934" s="9">
        <v>0</v>
      </c>
      <c r="E2934" s="9">
        <v>0</v>
      </c>
      <c r="F2934" s="9">
        <v>0</v>
      </c>
      <c r="G2934" s="9">
        <v>0</v>
      </c>
      <c r="H2934" s="9">
        <v>6.51</v>
      </c>
      <c r="I2934" s="9">
        <v>0</v>
      </c>
      <c r="J2934" s="7" t="s">
        <v>325</v>
      </c>
    </row>
    <row r="2935" spans="1:10" x14ac:dyDescent="0.35">
      <c r="A2935" s="7" t="s">
        <v>66</v>
      </c>
      <c r="B2935" s="7" t="s">
        <v>67</v>
      </c>
      <c r="C2935" s="7" t="s">
        <v>59</v>
      </c>
      <c r="D2935" s="9">
        <v>0</v>
      </c>
      <c r="E2935" s="9">
        <v>0</v>
      </c>
      <c r="F2935" s="9">
        <v>0</v>
      </c>
      <c r="G2935" s="9">
        <v>0.26</v>
      </c>
      <c r="H2935" s="9">
        <v>0.02</v>
      </c>
      <c r="I2935" s="9">
        <v>0</v>
      </c>
      <c r="J2935" s="7" t="s">
        <v>325</v>
      </c>
    </row>
    <row r="2936" spans="1:10" x14ac:dyDescent="0.35">
      <c r="A2936" s="7" t="s">
        <v>66</v>
      </c>
      <c r="B2936" s="7" t="s">
        <v>67</v>
      </c>
      <c r="C2936" s="7" t="s">
        <v>46</v>
      </c>
      <c r="D2936" s="9">
        <v>0.02</v>
      </c>
      <c r="E2936" s="9">
        <v>0</v>
      </c>
      <c r="F2936" s="9">
        <v>0</v>
      </c>
      <c r="G2936" s="9">
        <v>16.440000000000001</v>
      </c>
      <c r="H2936" s="9">
        <v>0</v>
      </c>
      <c r="I2936" s="9">
        <v>0</v>
      </c>
      <c r="J2936" s="7" t="s">
        <v>325</v>
      </c>
    </row>
    <row r="2937" spans="1:10" x14ac:dyDescent="0.35">
      <c r="A2937" s="7" t="s">
        <v>66</v>
      </c>
      <c r="B2937" s="7" t="s">
        <v>67</v>
      </c>
      <c r="C2937" s="7" t="s">
        <v>53</v>
      </c>
      <c r="D2937" s="9">
        <v>0</v>
      </c>
      <c r="E2937" s="9">
        <v>0</v>
      </c>
      <c r="F2937" s="9">
        <v>0</v>
      </c>
      <c r="G2937" s="9">
        <v>0.08</v>
      </c>
      <c r="H2937" s="9">
        <v>0.18</v>
      </c>
      <c r="I2937" s="9">
        <v>0</v>
      </c>
      <c r="J2937" s="7" t="s">
        <v>325</v>
      </c>
    </row>
    <row r="2938" spans="1:10" x14ac:dyDescent="0.35">
      <c r="A2938" s="7" t="s">
        <v>66</v>
      </c>
      <c r="B2938" s="7" t="s">
        <v>67</v>
      </c>
      <c r="C2938" s="7" t="s">
        <v>65</v>
      </c>
      <c r="D2938" s="9">
        <v>0</v>
      </c>
      <c r="E2938" s="9">
        <v>0</v>
      </c>
      <c r="F2938" s="9">
        <v>0</v>
      </c>
      <c r="G2938" s="9">
        <v>0</v>
      </c>
      <c r="H2938" s="9">
        <v>0.7</v>
      </c>
      <c r="I2938" s="9">
        <v>0</v>
      </c>
      <c r="J2938" s="7" t="s">
        <v>325</v>
      </c>
    </row>
    <row r="2939" spans="1:10" x14ac:dyDescent="0.35">
      <c r="A2939" s="7" t="s">
        <v>66</v>
      </c>
      <c r="B2939" s="7" t="s">
        <v>67</v>
      </c>
      <c r="C2939" s="7" t="s">
        <v>144</v>
      </c>
      <c r="D2939" s="9">
        <v>0</v>
      </c>
      <c r="E2939" s="9">
        <v>0</v>
      </c>
      <c r="F2939" s="9">
        <v>0</v>
      </c>
      <c r="G2939" s="9">
        <v>0</v>
      </c>
      <c r="H2939" s="9">
        <v>0.02</v>
      </c>
      <c r="I2939" s="9">
        <v>0</v>
      </c>
      <c r="J2939" s="7" t="s">
        <v>325</v>
      </c>
    </row>
    <row r="2940" spans="1:10" x14ac:dyDescent="0.35">
      <c r="A2940" s="7" t="s">
        <v>20</v>
      </c>
      <c r="B2940" s="7" t="s">
        <v>296</v>
      </c>
      <c r="C2940" s="7" t="s">
        <v>39</v>
      </c>
      <c r="D2940" s="9">
        <v>0</v>
      </c>
      <c r="E2940" s="9">
        <v>0</v>
      </c>
      <c r="F2940" s="9">
        <v>0</v>
      </c>
      <c r="G2940" s="9">
        <v>0.2</v>
      </c>
      <c r="H2940" s="9">
        <v>1.53</v>
      </c>
      <c r="I2940" s="9">
        <v>0</v>
      </c>
      <c r="J2940" s="7" t="s">
        <v>325</v>
      </c>
    </row>
    <row r="2941" spans="1:10" x14ac:dyDescent="0.35">
      <c r="A2941" s="7" t="s">
        <v>20</v>
      </c>
      <c r="B2941" s="7" t="s">
        <v>296</v>
      </c>
      <c r="C2941" s="7" t="s">
        <v>144</v>
      </c>
      <c r="D2941" s="9">
        <v>0</v>
      </c>
      <c r="E2941" s="9">
        <v>0</v>
      </c>
      <c r="F2941" s="9">
        <v>0</v>
      </c>
      <c r="G2941" s="9">
        <v>0.12</v>
      </c>
      <c r="H2941" s="9">
        <v>0.06</v>
      </c>
      <c r="I2941" s="9">
        <v>0</v>
      </c>
      <c r="J2941" s="7" t="s">
        <v>325</v>
      </c>
    </row>
    <row r="2942" spans="1:10" x14ac:dyDescent="0.35">
      <c r="A2942" s="7" t="s">
        <v>66</v>
      </c>
      <c r="B2942" s="7" t="s">
        <v>67</v>
      </c>
      <c r="C2942" s="7" t="s">
        <v>45</v>
      </c>
      <c r="D2942" s="9">
        <v>0.01</v>
      </c>
      <c r="E2942" s="9">
        <v>0</v>
      </c>
      <c r="F2942" s="9">
        <v>0</v>
      </c>
      <c r="G2942" s="9">
        <v>2.1800000000000002</v>
      </c>
      <c r="H2942" s="9">
        <v>0</v>
      </c>
      <c r="I2942" s="9">
        <v>0</v>
      </c>
      <c r="J2942" s="7" t="s">
        <v>325</v>
      </c>
    </row>
    <row r="2943" spans="1:10" x14ac:dyDescent="0.35">
      <c r="A2943" s="7" t="s">
        <v>66</v>
      </c>
      <c r="B2943" s="7" t="s">
        <v>67</v>
      </c>
      <c r="C2943" s="7" t="s">
        <v>54</v>
      </c>
      <c r="D2943" s="9">
        <v>0</v>
      </c>
      <c r="E2943" s="9">
        <v>0</v>
      </c>
      <c r="F2943" s="9">
        <v>0</v>
      </c>
      <c r="G2943" s="9">
        <v>0.06</v>
      </c>
      <c r="H2943" s="9">
        <v>2.08</v>
      </c>
      <c r="I2943" s="9">
        <v>0</v>
      </c>
      <c r="J2943" s="7" t="s">
        <v>325</v>
      </c>
    </row>
    <row r="2944" spans="1:10" x14ac:dyDescent="0.35">
      <c r="A2944" s="7" t="s">
        <v>20</v>
      </c>
      <c r="B2944" s="7" t="s">
        <v>296</v>
      </c>
      <c r="C2944" s="7" t="s">
        <v>65</v>
      </c>
      <c r="D2944" s="9">
        <v>0</v>
      </c>
      <c r="E2944" s="9">
        <v>0</v>
      </c>
      <c r="F2944" s="9">
        <v>0</v>
      </c>
      <c r="G2944" s="9">
        <v>0</v>
      </c>
      <c r="H2944" s="9">
        <v>0.21</v>
      </c>
      <c r="I2944" s="9">
        <v>0</v>
      </c>
      <c r="J2944" s="7" t="s">
        <v>325</v>
      </c>
    </row>
    <row r="2945" spans="1:10" x14ac:dyDescent="0.35">
      <c r="A2945" s="7" t="s">
        <v>66</v>
      </c>
      <c r="B2945" s="7" t="s">
        <v>67</v>
      </c>
      <c r="C2945" s="7" t="s">
        <v>33</v>
      </c>
      <c r="D2945" s="9">
        <v>0</v>
      </c>
      <c r="E2945" s="9">
        <v>0.01</v>
      </c>
      <c r="F2945" s="9">
        <v>0</v>
      </c>
      <c r="G2945" s="9">
        <v>1.96</v>
      </c>
      <c r="H2945" s="9">
        <v>5.32</v>
      </c>
      <c r="I2945" s="9">
        <v>0</v>
      </c>
      <c r="J2945" s="7" t="s">
        <v>325</v>
      </c>
    </row>
    <row r="2946" spans="1:10" x14ac:dyDescent="0.35">
      <c r="A2946" s="7" t="s">
        <v>66</v>
      </c>
      <c r="B2946" s="7" t="s">
        <v>297</v>
      </c>
      <c r="C2946" s="7" t="s">
        <v>48</v>
      </c>
      <c r="D2946" s="9">
        <v>0.01</v>
      </c>
      <c r="E2946" s="9">
        <v>0</v>
      </c>
      <c r="F2946" s="9">
        <v>0</v>
      </c>
      <c r="G2946" s="9">
        <v>3.8</v>
      </c>
      <c r="H2946" s="9">
        <v>0</v>
      </c>
      <c r="I2946" s="9">
        <v>0</v>
      </c>
      <c r="J2946" s="7" t="s">
        <v>325</v>
      </c>
    </row>
    <row r="2947" spans="1:10" x14ac:dyDescent="0.35">
      <c r="A2947" s="7" t="s">
        <v>20</v>
      </c>
      <c r="B2947" s="7" t="s">
        <v>296</v>
      </c>
      <c r="C2947" s="7" t="s">
        <v>62</v>
      </c>
      <c r="D2947" s="9">
        <v>0</v>
      </c>
      <c r="E2947" s="9">
        <v>0</v>
      </c>
      <c r="F2947" s="9">
        <v>0</v>
      </c>
      <c r="G2947" s="9">
        <v>0</v>
      </c>
      <c r="H2947" s="9">
        <v>0.02</v>
      </c>
      <c r="I2947" s="9">
        <v>0</v>
      </c>
      <c r="J2947" s="7" t="s">
        <v>325</v>
      </c>
    </row>
    <row r="2948" spans="1:10" x14ac:dyDescent="0.35">
      <c r="A2948" s="7" t="s">
        <v>66</v>
      </c>
      <c r="B2948" s="7" t="s">
        <v>224</v>
      </c>
      <c r="C2948" s="7" t="s">
        <v>27</v>
      </c>
      <c r="D2948" s="9">
        <v>0.1</v>
      </c>
      <c r="E2948" s="9">
        <v>0.02</v>
      </c>
      <c r="F2948" s="9">
        <v>0</v>
      </c>
      <c r="G2948" s="9">
        <v>81.27</v>
      </c>
      <c r="H2948" s="9">
        <v>21.99</v>
      </c>
      <c r="I2948" s="9">
        <v>0</v>
      </c>
      <c r="J2948" s="7" t="s">
        <v>325</v>
      </c>
    </row>
    <row r="2949" spans="1:10" x14ac:dyDescent="0.35">
      <c r="A2949" s="7" t="s">
        <v>20</v>
      </c>
      <c r="B2949" s="7" t="s">
        <v>296</v>
      </c>
      <c r="C2949" s="7" t="s">
        <v>53</v>
      </c>
      <c r="D2949" s="9">
        <v>0</v>
      </c>
      <c r="E2949" s="9">
        <v>0</v>
      </c>
      <c r="F2949" s="9">
        <v>0</v>
      </c>
      <c r="G2949" s="9">
        <v>0</v>
      </c>
      <c r="H2949" s="9">
        <v>0.04</v>
      </c>
      <c r="I2949" s="9">
        <v>0</v>
      </c>
      <c r="J2949" s="7" t="s">
        <v>325</v>
      </c>
    </row>
    <row r="2950" spans="1:10" x14ac:dyDescent="0.35">
      <c r="A2950" s="7" t="s">
        <v>20</v>
      </c>
      <c r="B2950" s="7" t="s">
        <v>296</v>
      </c>
      <c r="C2950" s="7" t="s">
        <v>51</v>
      </c>
      <c r="D2950" s="9">
        <v>0</v>
      </c>
      <c r="E2950" s="9">
        <v>0</v>
      </c>
      <c r="F2950" s="9">
        <v>0</v>
      </c>
      <c r="G2950" s="9">
        <v>0</v>
      </c>
      <c r="H2950" s="9">
        <v>0.23</v>
      </c>
      <c r="I2950" s="9">
        <v>0</v>
      </c>
      <c r="J2950" s="7" t="s">
        <v>325</v>
      </c>
    </row>
    <row r="2951" spans="1:10" x14ac:dyDescent="0.35">
      <c r="A2951" s="7" t="s">
        <v>20</v>
      </c>
      <c r="B2951" s="7" t="s">
        <v>296</v>
      </c>
      <c r="C2951" s="7" t="s">
        <v>72</v>
      </c>
      <c r="D2951" s="9">
        <v>0</v>
      </c>
      <c r="E2951" s="9">
        <v>0.01</v>
      </c>
      <c r="F2951" s="9">
        <v>0</v>
      </c>
      <c r="G2951" s="9">
        <v>0</v>
      </c>
      <c r="H2951" s="9">
        <v>6.21</v>
      </c>
      <c r="I2951" s="9">
        <v>0</v>
      </c>
      <c r="J2951" s="7" t="s">
        <v>325</v>
      </c>
    </row>
    <row r="2952" spans="1:10" x14ac:dyDescent="0.35">
      <c r="A2952" s="7" t="s">
        <v>66</v>
      </c>
      <c r="B2952" s="7" t="s">
        <v>71</v>
      </c>
      <c r="C2952" s="7" t="s">
        <v>59</v>
      </c>
      <c r="D2952" s="9">
        <v>0</v>
      </c>
      <c r="E2952" s="9">
        <v>0</v>
      </c>
      <c r="F2952" s="9">
        <v>0</v>
      </c>
      <c r="G2952" s="9">
        <v>0.34</v>
      </c>
      <c r="H2952" s="9">
        <v>0.69</v>
      </c>
      <c r="I2952" s="9">
        <v>0</v>
      </c>
      <c r="J2952" s="7" t="s">
        <v>325</v>
      </c>
    </row>
    <row r="2953" spans="1:10" x14ac:dyDescent="0.35">
      <c r="A2953" s="7" t="s">
        <v>66</v>
      </c>
      <c r="B2953" s="7" t="s">
        <v>71</v>
      </c>
      <c r="C2953" s="7" t="s">
        <v>69</v>
      </c>
      <c r="D2953" s="9">
        <v>0.2</v>
      </c>
      <c r="E2953" s="9">
        <v>0</v>
      </c>
      <c r="F2953" s="9">
        <v>0</v>
      </c>
      <c r="G2953" s="9">
        <v>122.4</v>
      </c>
      <c r="H2953" s="9">
        <v>0</v>
      </c>
      <c r="I2953" s="9">
        <v>0</v>
      </c>
      <c r="J2953" s="7" t="s">
        <v>325</v>
      </c>
    </row>
    <row r="2954" spans="1:10" x14ac:dyDescent="0.35">
      <c r="A2954" s="7" t="s">
        <v>66</v>
      </c>
      <c r="B2954" s="7" t="s">
        <v>71</v>
      </c>
      <c r="C2954" s="7" t="s">
        <v>51</v>
      </c>
      <c r="D2954" s="9">
        <v>0.01</v>
      </c>
      <c r="E2954" s="9">
        <v>0</v>
      </c>
      <c r="F2954" s="9">
        <v>0</v>
      </c>
      <c r="G2954" s="9">
        <v>6</v>
      </c>
      <c r="H2954" s="9">
        <v>0</v>
      </c>
      <c r="I2954" s="9">
        <v>0</v>
      </c>
      <c r="J2954" s="7" t="s">
        <v>325</v>
      </c>
    </row>
    <row r="2955" spans="1:10" x14ac:dyDescent="0.35">
      <c r="A2955" s="7" t="s">
        <v>20</v>
      </c>
      <c r="B2955" s="7" t="s">
        <v>296</v>
      </c>
      <c r="C2955" s="7" t="s">
        <v>48</v>
      </c>
      <c r="D2955" s="9">
        <v>0</v>
      </c>
      <c r="E2955" s="9">
        <v>0</v>
      </c>
      <c r="F2955" s="9">
        <v>0</v>
      </c>
      <c r="G2955" s="9">
        <v>0</v>
      </c>
      <c r="H2955" s="9">
        <v>1.73</v>
      </c>
      <c r="I2955" s="9">
        <v>0</v>
      </c>
      <c r="J2955" s="7" t="s">
        <v>325</v>
      </c>
    </row>
    <row r="2956" spans="1:10" x14ac:dyDescent="0.35">
      <c r="A2956" s="7" t="s">
        <v>66</v>
      </c>
      <c r="B2956" s="7" t="s">
        <v>71</v>
      </c>
      <c r="C2956" s="7" t="s">
        <v>144</v>
      </c>
      <c r="D2956" s="9">
        <v>0</v>
      </c>
      <c r="E2956" s="9">
        <v>0</v>
      </c>
      <c r="F2956" s="9">
        <v>0</v>
      </c>
      <c r="G2956" s="9">
        <v>3.44</v>
      </c>
      <c r="H2956" s="9">
        <v>0</v>
      </c>
      <c r="I2956" s="9">
        <v>0</v>
      </c>
      <c r="J2956" s="7" t="s">
        <v>325</v>
      </c>
    </row>
    <row r="2957" spans="1:10" x14ac:dyDescent="0.35">
      <c r="A2957" s="7" t="s">
        <v>20</v>
      </c>
      <c r="B2957" s="7" t="s">
        <v>296</v>
      </c>
      <c r="C2957" s="7" t="s">
        <v>179</v>
      </c>
      <c r="D2957" s="9">
        <v>0</v>
      </c>
      <c r="E2957" s="9">
        <v>0</v>
      </c>
      <c r="F2957" s="9">
        <v>0</v>
      </c>
      <c r="G2957" s="9">
        <v>0</v>
      </c>
      <c r="H2957" s="9">
        <v>0.01</v>
      </c>
      <c r="I2957" s="9">
        <v>0</v>
      </c>
      <c r="J2957" s="7" t="s">
        <v>325</v>
      </c>
    </row>
    <row r="2958" spans="1:10" x14ac:dyDescent="0.35">
      <c r="A2958" s="7" t="s">
        <v>20</v>
      </c>
      <c r="B2958" s="7" t="s">
        <v>296</v>
      </c>
      <c r="C2958" s="7" t="s">
        <v>84</v>
      </c>
      <c r="D2958" s="9">
        <v>0</v>
      </c>
      <c r="E2958" s="9">
        <v>0</v>
      </c>
      <c r="F2958" s="9">
        <v>0</v>
      </c>
      <c r="G2958" s="9">
        <v>0</v>
      </c>
      <c r="H2958" s="9">
        <v>0.03</v>
      </c>
      <c r="I2958" s="9">
        <v>0</v>
      </c>
      <c r="J2958" s="7" t="s">
        <v>325</v>
      </c>
    </row>
    <row r="2959" spans="1:10" x14ac:dyDescent="0.35">
      <c r="A2959" s="7" t="s">
        <v>20</v>
      </c>
      <c r="B2959" s="7" t="s">
        <v>68</v>
      </c>
      <c r="C2959" s="7" t="s">
        <v>113</v>
      </c>
      <c r="D2959" s="9">
        <v>0</v>
      </c>
      <c r="E2959" s="9">
        <v>0.01</v>
      </c>
      <c r="F2959" s="9">
        <v>0</v>
      </c>
      <c r="G2959" s="9">
        <v>0</v>
      </c>
      <c r="H2959" s="9">
        <v>1.5</v>
      </c>
      <c r="I2959" s="9">
        <v>0</v>
      </c>
      <c r="J2959" s="7" t="s">
        <v>325</v>
      </c>
    </row>
    <row r="2960" spans="1:10" x14ac:dyDescent="0.35">
      <c r="A2960" s="7" t="s">
        <v>20</v>
      </c>
      <c r="B2960" s="7" t="s">
        <v>68</v>
      </c>
      <c r="C2960" s="7" t="s">
        <v>221</v>
      </c>
      <c r="D2960" s="9">
        <v>0</v>
      </c>
      <c r="E2960" s="9">
        <v>0</v>
      </c>
      <c r="F2960" s="9">
        <v>0</v>
      </c>
      <c r="G2960" s="9">
        <v>0.03</v>
      </c>
      <c r="H2960" s="9">
        <v>0.01</v>
      </c>
      <c r="I2960" s="9">
        <v>0</v>
      </c>
      <c r="J2960" s="7" t="s">
        <v>325</v>
      </c>
    </row>
    <row r="2961" spans="1:10" x14ac:dyDescent="0.35">
      <c r="A2961" s="7" t="s">
        <v>20</v>
      </c>
      <c r="B2961" s="7" t="s">
        <v>68</v>
      </c>
      <c r="C2961" s="7" t="s">
        <v>126</v>
      </c>
      <c r="D2961" s="9">
        <v>0</v>
      </c>
      <c r="E2961" s="9">
        <v>0</v>
      </c>
      <c r="F2961" s="9">
        <v>0</v>
      </c>
      <c r="G2961" s="9">
        <v>1.51</v>
      </c>
      <c r="H2961" s="9">
        <v>0.36</v>
      </c>
      <c r="I2961" s="9">
        <v>0</v>
      </c>
      <c r="J2961" s="7" t="s">
        <v>325</v>
      </c>
    </row>
    <row r="2962" spans="1:10" x14ac:dyDescent="0.35">
      <c r="A2962" s="7" t="s">
        <v>66</v>
      </c>
      <c r="B2962" s="7" t="s">
        <v>73</v>
      </c>
      <c r="C2962" s="7" t="s">
        <v>150</v>
      </c>
      <c r="D2962" s="9">
        <v>0</v>
      </c>
      <c r="E2962" s="9">
        <v>0</v>
      </c>
      <c r="F2962" s="9">
        <v>0</v>
      </c>
      <c r="G2962" s="9">
        <v>0.08</v>
      </c>
      <c r="H2962" s="9">
        <v>0</v>
      </c>
      <c r="I2962" s="9">
        <v>0</v>
      </c>
      <c r="J2962" s="7" t="s">
        <v>325</v>
      </c>
    </row>
    <row r="2963" spans="1:10" ht="26.25" customHeight="1" x14ac:dyDescent="0.35">
      <c r="A2963" s="7" t="s">
        <v>66</v>
      </c>
      <c r="B2963" s="7" t="s">
        <v>73</v>
      </c>
      <c r="C2963" s="7" t="s">
        <v>81</v>
      </c>
      <c r="D2963" s="9">
        <v>0</v>
      </c>
      <c r="E2963" s="9">
        <v>0</v>
      </c>
      <c r="F2963" s="9">
        <v>0</v>
      </c>
      <c r="G2963" s="9">
        <v>0</v>
      </c>
      <c r="H2963" s="9">
        <v>0.84</v>
      </c>
      <c r="I2963" s="9">
        <v>0</v>
      </c>
      <c r="J2963" s="7" t="s">
        <v>325</v>
      </c>
    </row>
    <row r="2964" spans="1:10" x14ac:dyDescent="0.35">
      <c r="A2964" s="7" t="s">
        <v>20</v>
      </c>
      <c r="B2964" s="7" t="s">
        <v>68</v>
      </c>
      <c r="C2964" s="7" t="s">
        <v>51</v>
      </c>
      <c r="D2964" s="9">
        <v>0</v>
      </c>
      <c r="E2964" s="9">
        <v>0</v>
      </c>
      <c r="F2964" s="9">
        <v>0</v>
      </c>
      <c r="G2964" s="9">
        <v>0.12</v>
      </c>
      <c r="H2964" s="9">
        <v>0.16</v>
      </c>
      <c r="I2964" s="9">
        <v>0</v>
      </c>
      <c r="J2964" s="7" t="s">
        <v>325</v>
      </c>
    </row>
    <row r="2965" spans="1:10" x14ac:dyDescent="0.35">
      <c r="A2965" s="7" t="s">
        <v>66</v>
      </c>
      <c r="B2965" s="7" t="s">
        <v>73</v>
      </c>
      <c r="C2965" s="7" t="s">
        <v>122</v>
      </c>
      <c r="D2965" s="9">
        <v>0</v>
      </c>
      <c r="E2965" s="9">
        <v>0</v>
      </c>
      <c r="F2965" s="9">
        <v>0</v>
      </c>
      <c r="G2965" s="9">
        <v>0.05</v>
      </c>
      <c r="H2965" s="9">
        <v>0.02</v>
      </c>
      <c r="I2965" s="9">
        <v>0</v>
      </c>
      <c r="J2965" s="7" t="s">
        <v>325</v>
      </c>
    </row>
    <row r="2966" spans="1:10" ht="26.25" customHeight="1" x14ac:dyDescent="0.35">
      <c r="A2966" s="7" t="s">
        <v>20</v>
      </c>
      <c r="B2966" s="7" t="s">
        <v>68</v>
      </c>
      <c r="C2966" s="7" t="s">
        <v>81</v>
      </c>
      <c r="D2966" s="9">
        <v>0.02</v>
      </c>
      <c r="E2966" s="9">
        <v>0.01</v>
      </c>
      <c r="F2966" s="9">
        <v>0</v>
      </c>
      <c r="G2966" s="9">
        <v>19.260000000000002</v>
      </c>
      <c r="H2966" s="9">
        <v>7.99</v>
      </c>
      <c r="I2966" s="9">
        <v>0.02</v>
      </c>
      <c r="J2966" s="7" t="s">
        <v>325</v>
      </c>
    </row>
    <row r="2967" spans="1:10" x14ac:dyDescent="0.35">
      <c r="A2967" s="7" t="s">
        <v>66</v>
      </c>
      <c r="B2967" s="7" t="s">
        <v>73</v>
      </c>
      <c r="C2967" s="7" t="s">
        <v>62</v>
      </c>
      <c r="D2967" s="9">
        <v>0</v>
      </c>
      <c r="E2967" s="9">
        <v>0</v>
      </c>
      <c r="F2967" s="9">
        <v>0</v>
      </c>
      <c r="G2967" s="9">
        <v>0</v>
      </c>
      <c r="H2967" s="9">
        <v>1.21</v>
      </c>
      <c r="I2967" s="9">
        <v>0</v>
      </c>
      <c r="J2967" s="7" t="s">
        <v>325</v>
      </c>
    </row>
    <row r="2968" spans="1:10" x14ac:dyDescent="0.35">
      <c r="A2968" s="7" t="s">
        <v>66</v>
      </c>
      <c r="B2968" s="7" t="s">
        <v>73</v>
      </c>
      <c r="C2968" s="7" t="s">
        <v>151</v>
      </c>
      <c r="D2968" s="9">
        <v>0.01</v>
      </c>
      <c r="E2968" s="9">
        <v>0.01</v>
      </c>
      <c r="F2968" s="9">
        <v>0</v>
      </c>
      <c r="G2968" s="9">
        <v>2.54</v>
      </c>
      <c r="H2968" s="9">
        <v>2.4500000000000002</v>
      </c>
      <c r="I2968" s="9">
        <v>0</v>
      </c>
      <c r="J2968" s="7" t="s">
        <v>325</v>
      </c>
    </row>
    <row r="2969" spans="1:10" x14ac:dyDescent="0.35">
      <c r="A2969" s="7" t="s">
        <v>66</v>
      </c>
      <c r="B2969" s="7" t="s">
        <v>73</v>
      </c>
      <c r="C2969" s="7" t="s">
        <v>144</v>
      </c>
      <c r="D2969" s="9">
        <v>0</v>
      </c>
      <c r="E2969" s="9">
        <v>0</v>
      </c>
      <c r="F2969" s="9">
        <v>0</v>
      </c>
      <c r="G2969" s="9">
        <v>6.81</v>
      </c>
      <c r="H2969" s="9">
        <v>1.77</v>
      </c>
      <c r="I2969" s="9">
        <v>0</v>
      </c>
      <c r="J2969" s="7" t="s">
        <v>325</v>
      </c>
    </row>
    <row r="2970" spans="1:10" ht="26.25" customHeight="1" x14ac:dyDescent="0.35">
      <c r="A2970" s="7" t="s">
        <v>20</v>
      </c>
      <c r="B2970" s="7" t="s">
        <v>298</v>
      </c>
      <c r="C2970" s="7" t="s">
        <v>33</v>
      </c>
      <c r="D2970" s="9">
        <v>0.86</v>
      </c>
      <c r="E2970" s="9">
        <v>0</v>
      </c>
      <c r="F2970" s="9">
        <v>0</v>
      </c>
      <c r="G2970" s="9">
        <v>604.13</v>
      </c>
      <c r="H2970" s="9">
        <v>0</v>
      </c>
      <c r="I2970" s="9">
        <v>0</v>
      </c>
      <c r="J2970" s="7" t="s">
        <v>325</v>
      </c>
    </row>
    <row r="2971" spans="1:10" ht="26.25" customHeight="1" x14ac:dyDescent="0.35">
      <c r="A2971" s="7" t="s">
        <v>20</v>
      </c>
      <c r="B2971" s="7" t="s">
        <v>298</v>
      </c>
      <c r="C2971" s="7" t="s">
        <v>39</v>
      </c>
      <c r="D2971" s="9">
        <v>0</v>
      </c>
      <c r="E2971" s="9">
        <v>0</v>
      </c>
      <c r="F2971" s="9">
        <v>0</v>
      </c>
      <c r="G2971" s="9">
        <v>0</v>
      </c>
      <c r="H2971" s="9">
        <v>0.01</v>
      </c>
      <c r="I2971" s="9">
        <v>0</v>
      </c>
      <c r="J2971" s="7" t="s">
        <v>325</v>
      </c>
    </row>
    <row r="2972" spans="1:10" x14ac:dyDescent="0.35">
      <c r="A2972" s="7" t="s">
        <v>66</v>
      </c>
      <c r="B2972" s="7" t="s">
        <v>73</v>
      </c>
      <c r="C2972" s="7" t="s">
        <v>126</v>
      </c>
      <c r="D2972" s="9">
        <v>0.01</v>
      </c>
      <c r="E2972" s="9">
        <v>0</v>
      </c>
      <c r="F2972" s="9">
        <v>0</v>
      </c>
      <c r="G2972" s="9">
        <v>2.89</v>
      </c>
      <c r="H2972" s="9">
        <v>0</v>
      </c>
      <c r="I2972" s="9">
        <v>0</v>
      </c>
      <c r="J2972" s="7" t="s">
        <v>325</v>
      </c>
    </row>
    <row r="2973" spans="1:10" ht="26.25" customHeight="1" x14ac:dyDescent="0.35">
      <c r="A2973" s="7" t="s">
        <v>20</v>
      </c>
      <c r="B2973" s="7" t="s">
        <v>299</v>
      </c>
      <c r="C2973" s="7" t="s">
        <v>72</v>
      </c>
      <c r="D2973" s="9">
        <v>0</v>
      </c>
      <c r="E2973" s="9">
        <v>0</v>
      </c>
      <c r="F2973" s="9">
        <v>0</v>
      </c>
      <c r="G2973" s="9">
        <v>0</v>
      </c>
      <c r="H2973" s="9">
        <v>0</v>
      </c>
      <c r="I2973" s="9">
        <v>0</v>
      </c>
      <c r="J2973" s="7" t="s">
        <v>325</v>
      </c>
    </row>
    <row r="2974" spans="1:10" x14ac:dyDescent="0.35">
      <c r="A2974" s="7" t="s">
        <v>66</v>
      </c>
      <c r="B2974" s="7" t="s">
        <v>73</v>
      </c>
      <c r="C2974" s="7" t="s">
        <v>102</v>
      </c>
      <c r="D2974" s="9">
        <v>0.02</v>
      </c>
      <c r="E2974" s="9">
        <v>0.02</v>
      </c>
      <c r="F2974" s="9">
        <v>0</v>
      </c>
      <c r="G2974" s="9">
        <v>36.97</v>
      </c>
      <c r="H2974" s="9">
        <v>23</v>
      </c>
      <c r="I2974" s="9">
        <v>0</v>
      </c>
      <c r="J2974" s="7" t="s">
        <v>325</v>
      </c>
    </row>
    <row r="2975" spans="1:10" x14ac:dyDescent="0.35">
      <c r="A2975" s="7" t="s">
        <v>66</v>
      </c>
      <c r="B2975" s="7" t="s">
        <v>73</v>
      </c>
      <c r="C2975" s="7" t="s">
        <v>170</v>
      </c>
      <c r="D2975" s="9">
        <v>0</v>
      </c>
      <c r="E2975" s="9">
        <v>0.02</v>
      </c>
      <c r="F2975" s="9">
        <v>0</v>
      </c>
      <c r="G2975" s="9">
        <v>0</v>
      </c>
      <c r="H2975" s="9">
        <v>0.79</v>
      </c>
      <c r="I2975" s="9">
        <v>0</v>
      </c>
      <c r="J2975" s="7" t="s">
        <v>325</v>
      </c>
    </row>
    <row r="2976" spans="1:10" x14ac:dyDescent="0.35">
      <c r="A2976" s="7" t="s">
        <v>20</v>
      </c>
      <c r="B2976" s="7" t="s">
        <v>156</v>
      </c>
      <c r="C2976" s="7" t="s">
        <v>181</v>
      </c>
      <c r="D2976" s="9">
        <v>0</v>
      </c>
      <c r="E2976" s="9">
        <v>0.15</v>
      </c>
      <c r="F2976" s="9">
        <v>0</v>
      </c>
      <c r="G2976" s="9">
        <v>0</v>
      </c>
      <c r="H2976" s="9">
        <v>48.58</v>
      </c>
      <c r="I2976" s="9">
        <v>0</v>
      </c>
      <c r="J2976" s="7" t="s">
        <v>325</v>
      </c>
    </row>
    <row r="2977" spans="1:10" x14ac:dyDescent="0.35">
      <c r="A2977" s="7" t="s">
        <v>20</v>
      </c>
      <c r="B2977" s="7" t="s">
        <v>156</v>
      </c>
      <c r="C2977" s="7" t="s">
        <v>42</v>
      </c>
      <c r="D2977" s="9">
        <v>0</v>
      </c>
      <c r="E2977" s="9">
        <v>0.01</v>
      </c>
      <c r="F2977" s="9">
        <v>0</v>
      </c>
      <c r="G2977" s="9">
        <v>0</v>
      </c>
      <c r="H2977" s="9">
        <v>1</v>
      </c>
      <c r="I2977" s="9">
        <v>0</v>
      </c>
      <c r="J2977" s="7" t="s">
        <v>325</v>
      </c>
    </row>
    <row r="2978" spans="1:10" x14ac:dyDescent="0.35">
      <c r="A2978" s="7" t="s">
        <v>20</v>
      </c>
      <c r="B2978" s="7" t="s">
        <v>156</v>
      </c>
      <c r="C2978" s="7" t="s">
        <v>59</v>
      </c>
      <c r="D2978" s="9">
        <v>0.26</v>
      </c>
      <c r="E2978" s="9">
        <v>0.02</v>
      </c>
      <c r="F2978" s="9">
        <v>0</v>
      </c>
      <c r="G2978" s="9">
        <v>133.65</v>
      </c>
      <c r="H2978" s="9">
        <v>12.87</v>
      </c>
      <c r="I2978" s="9">
        <v>0</v>
      </c>
      <c r="J2978" s="7" t="s">
        <v>325</v>
      </c>
    </row>
    <row r="2979" spans="1:10" x14ac:dyDescent="0.35">
      <c r="A2979" s="7" t="s">
        <v>20</v>
      </c>
      <c r="B2979" s="7" t="s">
        <v>265</v>
      </c>
      <c r="C2979" s="7" t="s">
        <v>93</v>
      </c>
      <c r="D2979" s="9">
        <v>0</v>
      </c>
      <c r="E2979" s="9">
        <v>0</v>
      </c>
      <c r="F2979" s="9">
        <v>0</v>
      </c>
      <c r="G2979" s="9">
        <v>0</v>
      </c>
      <c r="H2979" s="9">
        <v>0.1</v>
      </c>
      <c r="I2979" s="9">
        <v>0</v>
      </c>
      <c r="J2979" s="7" t="s">
        <v>325</v>
      </c>
    </row>
    <row r="2980" spans="1:10" x14ac:dyDescent="0.35">
      <c r="A2980" s="7" t="s">
        <v>66</v>
      </c>
      <c r="B2980" s="7" t="s">
        <v>73</v>
      </c>
      <c r="C2980" s="7" t="s">
        <v>181</v>
      </c>
      <c r="D2980" s="9">
        <v>0</v>
      </c>
      <c r="E2980" s="9">
        <v>0.23</v>
      </c>
      <c r="F2980" s="9">
        <v>0</v>
      </c>
      <c r="G2980" s="9">
        <v>0</v>
      </c>
      <c r="H2980" s="9">
        <v>24.98</v>
      </c>
      <c r="I2980" s="9">
        <v>0</v>
      </c>
      <c r="J2980" s="7" t="s">
        <v>325</v>
      </c>
    </row>
    <row r="2981" spans="1:10" x14ac:dyDescent="0.35">
      <c r="A2981" s="7" t="s">
        <v>66</v>
      </c>
      <c r="B2981" s="7" t="s">
        <v>300</v>
      </c>
      <c r="C2981" s="7" t="s">
        <v>118</v>
      </c>
      <c r="D2981" s="9">
        <v>0</v>
      </c>
      <c r="E2981" s="9">
        <v>0.05</v>
      </c>
      <c r="F2981" s="9">
        <v>0</v>
      </c>
      <c r="G2981" s="9">
        <v>0</v>
      </c>
      <c r="H2981" s="9">
        <v>33</v>
      </c>
      <c r="I2981" s="9">
        <v>0</v>
      </c>
      <c r="J2981" s="7" t="s">
        <v>325</v>
      </c>
    </row>
    <row r="2982" spans="1:10" x14ac:dyDescent="0.35">
      <c r="A2982" s="7" t="s">
        <v>66</v>
      </c>
      <c r="B2982" s="7" t="s">
        <v>208</v>
      </c>
      <c r="C2982" s="7" t="s">
        <v>60</v>
      </c>
      <c r="D2982" s="9">
        <v>0.15</v>
      </c>
      <c r="E2982" s="9">
        <v>0.02</v>
      </c>
      <c r="F2982" s="9">
        <v>0</v>
      </c>
      <c r="G2982" s="9">
        <v>167.5</v>
      </c>
      <c r="H2982" s="9">
        <v>8</v>
      </c>
      <c r="I2982" s="9">
        <v>0</v>
      </c>
      <c r="J2982" s="7" t="s">
        <v>325</v>
      </c>
    </row>
    <row r="2983" spans="1:10" x14ac:dyDescent="0.35">
      <c r="A2983" s="7" t="s">
        <v>66</v>
      </c>
      <c r="B2983" s="7" t="s">
        <v>208</v>
      </c>
      <c r="C2983" s="7" t="s">
        <v>18</v>
      </c>
      <c r="D2983" s="9">
        <v>0.02</v>
      </c>
      <c r="E2983" s="9">
        <v>0.09</v>
      </c>
      <c r="F2983" s="9">
        <v>0</v>
      </c>
      <c r="G2983" s="9">
        <v>16.940000000000001</v>
      </c>
      <c r="H2983" s="9">
        <v>97.15</v>
      </c>
      <c r="I2983" s="9">
        <v>0</v>
      </c>
      <c r="J2983" s="7" t="s">
        <v>325</v>
      </c>
    </row>
    <row r="2984" spans="1:10" x14ac:dyDescent="0.35">
      <c r="A2984" s="7" t="s">
        <v>66</v>
      </c>
      <c r="B2984" s="7" t="s">
        <v>208</v>
      </c>
      <c r="C2984" s="7" t="s">
        <v>114</v>
      </c>
      <c r="D2984" s="9">
        <v>0</v>
      </c>
      <c r="E2984" s="9">
        <v>0.26</v>
      </c>
      <c r="F2984" s="9">
        <v>0</v>
      </c>
      <c r="G2984" s="9">
        <v>0</v>
      </c>
      <c r="H2984" s="9">
        <v>33</v>
      </c>
      <c r="I2984" s="9">
        <v>0</v>
      </c>
      <c r="J2984" s="7" t="s">
        <v>325</v>
      </c>
    </row>
    <row r="2985" spans="1:10" x14ac:dyDescent="0.35">
      <c r="A2985" s="7" t="s">
        <v>66</v>
      </c>
      <c r="B2985" s="7" t="s">
        <v>208</v>
      </c>
      <c r="C2985" s="7" t="s">
        <v>150</v>
      </c>
      <c r="D2985" s="9">
        <v>0.02</v>
      </c>
      <c r="E2985" s="9">
        <v>0</v>
      </c>
      <c r="F2985" s="9">
        <v>0</v>
      </c>
      <c r="G2985" s="9">
        <v>1.89</v>
      </c>
      <c r="H2985" s="9">
        <v>0</v>
      </c>
      <c r="I2985" s="9">
        <v>0</v>
      </c>
      <c r="J2985" s="7" t="s">
        <v>325</v>
      </c>
    </row>
    <row r="2986" spans="1:10" x14ac:dyDescent="0.35">
      <c r="A2986" s="7" t="s">
        <v>20</v>
      </c>
      <c r="B2986" s="7" t="s">
        <v>265</v>
      </c>
      <c r="C2986" s="7" t="s">
        <v>33</v>
      </c>
      <c r="D2986" s="9">
        <v>0</v>
      </c>
      <c r="E2986" s="9">
        <v>0</v>
      </c>
      <c r="F2986" s="9">
        <v>0</v>
      </c>
      <c r="G2986" s="9">
        <v>0</v>
      </c>
      <c r="H2986" s="9">
        <v>0.09</v>
      </c>
      <c r="I2986" s="9">
        <v>0.01</v>
      </c>
      <c r="J2986" s="7" t="s">
        <v>325</v>
      </c>
    </row>
    <row r="2987" spans="1:10" x14ac:dyDescent="0.35">
      <c r="A2987" s="7" t="s">
        <v>20</v>
      </c>
      <c r="B2987" s="7" t="s">
        <v>265</v>
      </c>
      <c r="C2987" s="7" t="s">
        <v>42</v>
      </c>
      <c r="D2987" s="9">
        <v>0</v>
      </c>
      <c r="E2987" s="9">
        <v>0</v>
      </c>
      <c r="F2987" s="9">
        <v>0</v>
      </c>
      <c r="G2987" s="9">
        <v>0</v>
      </c>
      <c r="H2987" s="9">
        <v>0.31</v>
      </c>
      <c r="I2987" s="9">
        <v>0.1</v>
      </c>
      <c r="J2987" s="7" t="s">
        <v>325</v>
      </c>
    </row>
    <row r="2988" spans="1:10" x14ac:dyDescent="0.35">
      <c r="A2988" s="7" t="s">
        <v>66</v>
      </c>
      <c r="B2988" s="7" t="s">
        <v>208</v>
      </c>
      <c r="C2988" s="7" t="s">
        <v>122</v>
      </c>
      <c r="D2988" s="9">
        <v>0</v>
      </c>
      <c r="E2988" s="9">
        <v>0</v>
      </c>
      <c r="F2988" s="9">
        <v>0</v>
      </c>
      <c r="G2988" s="9">
        <v>0.01</v>
      </c>
      <c r="H2988" s="9">
        <v>0</v>
      </c>
      <c r="I2988" s="9">
        <v>0</v>
      </c>
      <c r="J2988" s="7" t="s">
        <v>325</v>
      </c>
    </row>
    <row r="2989" spans="1:10" x14ac:dyDescent="0.35">
      <c r="A2989" s="7" t="s">
        <v>66</v>
      </c>
      <c r="B2989" s="7" t="s">
        <v>208</v>
      </c>
      <c r="C2989" s="7" t="s">
        <v>69</v>
      </c>
      <c r="D2989" s="9">
        <v>0</v>
      </c>
      <c r="E2989" s="9">
        <v>0</v>
      </c>
      <c r="F2989" s="9">
        <v>0</v>
      </c>
      <c r="G2989" s="9">
        <v>0</v>
      </c>
      <c r="H2989" s="9">
        <v>0.03</v>
      </c>
      <c r="I2989" s="9">
        <v>0</v>
      </c>
      <c r="J2989" s="7" t="s">
        <v>325</v>
      </c>
    </row>
    <row r="2990" spans="1:10" x14ac:dyDescent="0.35">
      <c r="A2990" s="7" t="s">
        <v>20</v>
      </c>
      <c r="B2990" s="7" t="s">
        <v>265</v>
      </c>
      <c r="C2990" s="7" t="s">
        <v>221</v>
      </c>
      <c r="D2990" s="9">
        <v>0</v>
      </c>
      <c r="E2990" s="9">
        <v>0</v>
      </c>
      <c r="F2990" s="9">
        <v>0</v>
      </c>
      <c r="G2990" s="9">
        <v>0</v>
      </c>
      <c r="H2990" s="9">
        <v>0</v>
      </c>
      <c r="I2990" s="9">
        <v>0</v>
      </c>
      <c r="J2990" s="7" t="s">
        <v>325</v>
      </c>
    </row>
    <row r="2991" spans="1:10" x14ac:dyDescent="0.35">
      <c r="A2991" s="7" t="s">
        <v>66</v>
      </c>
      <c r="B2991" s="7" t="s">
        <v>208</v>
      </c>
      <c r="C2991" s="7" t="s">
        <v>151</v>
      </c>
      <c r="D2991" s="9">
        <v>0</v>
      </c>
      <c r="E2991" s="9">
        <v>0</v>
      </c>
      <c r="F2991" s="9">
        <v>0</v>
      </c>
      <c r="G2991" s="9">
        <v>0</v>
      </c>
      <c r="H2991" s="9">
        <v>2.08</v>
      </c>
      <c r="I2991" s="9">
        <v>0</v>
      </c>
      <c r="J2991" s="7" t="s">
        <v>325</v>
      </c>
    </row>
    <row r="2992" spans="1:10" x14ac:dyDescent="0.35">
      <c r="A2992" s="7" t="s">
        <v>20</v>
      </c>
      <c r="B2992" s="7" t="s">
        <v>265</v>
      </c>
      <c r="C2992" s="7" t="s">
        <v>54</v>
      </c>
      <c r="D2992" s="9">
        <v>0</v>
      </c>
      <c r="E2992" s="9">
        <v>0</v>
      </c>
      <c r="F2992" s="9">
        <v>0</v>
      </c>
      <c r="G2992" s="9">
        <v>0</v>
      </c>
      <c r="H2992" s="9">
        <v>0.26</v>
      </c>
      <c r="I2992" s="9">
        <v>0</v>
      </c>
      <c r="J2992" s="7" t="s">
        <v>325</v>
      </c>
    </row>
    <row r="2993" spans="1:10" x14ac:dyDescent="0.35">
      <c r="A2993" s="7" t="s">
        <v>66</v>
      </c>
      <c r="B2993" s="7" t="s">
        <v>208</v>
      </c>
      <c r="C2993" s="7" t="s">
        <v>144</v>
      </c>
      <c r="D2993" s="9">
        <v>0.01</v>
      </c>
      <c r="E2993" s="9">
        <v>0</v>
      </c>
      <c r="F2993" s="9">
        <v>0</v>
      </c>
      <c r="G2993" s="9">
        <v>8.48</v>
      </c>
      <c r="H2993" s="9">
        <v>0</v>
      </c>
      <c r="I2993" s="9">
        <v>0</v>
      </c>
      <c r="J2993" s="7" t="s">
        <v>325</v>
      </c>
    </row>
    <row r="2994" spans="1:10" x14ac:dyDescent="0.35">
      <c r="A2994" s="7" t="s">
        <v>20</v>
      </c>
      <c r="B2994" s="7" t="s">
        <v>265</v>
      </c>
      <c r="C2994" s="7" t="s">
        <v>128</v>
      </c>
      <c r="D2994" s="9">
        <v>0</v>
      </c>
      <c r="E2994" s="9">
        <v>0</v>
      </c>
      <c r="F2994" s="9">
        <v>0</v>
      </c>
      <c r="G2994" s="9">
        <v>0</v>
      </c>
      <c r="H2994" s="9">
        <v>0.46</v>
      </c>
      <c r="I2994" s="9">
        <v>0.04</v>
      </c>
      <c r="J2994" s="7" t="s">
        <v>325</v>
      </c>
    </row>
    <row r="2995" spans="1:10" x14ac:dyDescent="0.35">
      <c r="A2995" s="7" t="s">
        <v>66</v>
      </c>
      <c r="B2995" s="7" t="s">
        <v>208</v>
      </c>
      <c r="C2995" s="7" t="s">
        <v>118</v>
      </c>
      <c r="D2995" s="9">
        <v>0.09</v>
      </c>
      <c r="E2995" s="9">
        <v>0.04</v>
      </c>
      <c r="F2995" s="9">
        <v>0</v>
      </c>
      <c r="G2995" s="9">
        <v>55.8</v>
      </c>
      <c r="H2995" s="9">
        <v>18.899999999999999</v>
      </c>
      <c r="I2995" s="9">
        <v>0</v>
      </c>
      <c r="J2995" s="7" t="s">
        <v>325</v>
      </c>
    </row>
    <row r="2996" spans="1:10" x14ac:dyDescent="0.35">
      <c r="A2996" s="7" t="s">
        <v>66</v>
      </c>
      <c r="B2996" s="7" t="s">
        <v>208</v>
      </c>
      <c r="C2996" s="7" t="s">
        <v>27</v>
      </c>
      <c r="D2996" s="9">
        <v>0</v>
      </c>
      <c r="E2996" s="9">
        <v>0</v>
      </c>
      <c r="F2996" s="9">
        <v>0</v>
      </c>
      <c r="G2996" s="9">
        <v>0</v>
      </c>
      <c r="H2996" s="9">
        <v>0.48</v>
      </c>
      <c r="I2996" s="9">
        <v>0</v>
      </c>
      <c r="J2996" s="7" t="s">
        <v>325</v>
      </c>
    </row>
    <row r="2997" spans="1:10" x14ac:dyDescent="0.35">
      <c r="A2997" s="7" t="s">
        <v>66</v>
      </c>
      <c r="B2997" s="7" t="s">
        <v>208</v>
      </c>
      <c r="C2997" s="7" t="s">
        <v>126</v>
      </c>
      <c r="D2997" s="9">
        <v>0.01</v>
      </c>
      <c r="E2997" s="9">
        <v>0</v>
      </c>
      <c r="F2997" s="9">
        <v>0</v>
      </c>
      <c r="G2997" s="9">
        <v>5</v>
      </c>
      <c r="H2997" s="9">
        <v>0</v>
      </c>
      <c r="I2997" s="9">
        <v>0</v>
      </c>
      <c r="J2997" s="7" t="s">
        <v>325</v>
      </c>
    </row>
    <row r="2998" spans="1:10" x14ac:dyDescent="0.35">
      <c r="A2998" s="7" t="s">
        <v>20</v>
      </c>
      <c r="B2998" s="7" t="s">
        <v>265</v>
      </c>
      <c r="C2998" s="7" t="s">
        <v>261</v>
      </c>
      <c r="D2998" s="9">
        <v>0</v>
      </c>
      <c r="E2998" s="9">
        <v>0</v>
      </c>
      <c r="F2998" s="9">
        <v>0</v>
      </c>
      <c r="G2998" s="9">
        <v>0</v>
      </c>
      <c r="H2998" s="9">
        <v>0.21</v>
      </c>
      <c r="I2998" s="9">
        <v>0</v>
      </c>
      <c r="J2998" s="7" t="s">
        <v>325</v>
      </c>
    </row>
    <row r="2999" spans="1:10" x14ac:dyDescent="0.35">
      <c r="A2999" s="7" t="s">
        <v>66</v>
      </c>
      <c r="B2999" s="7" t="s">
        <v>208</v>
      </c>
      <c r="C2999" s="7" t="s">
        <v>102</v>
      </c>
      <c r="D2999" s="9">
        <v>0</v>
      </c>
      <c r="E2999" s="9">
        <v>0</v>
      </c>
      <c r="F2999" s="9">
        <v>0</v>
      </c>
      <c r="G2999" s="9">
        <v>0.3</v>
      </c>
      <c r="H2999" s="9">
        <v>0</v>
      </c>
      <c r="I2999" s="9">
        <v>0</v>
      </c>
      <c r="J2999" s="7" t="s">
        <v>325</v>
      </c>
    </row>
    <row r="3000" spans="1:10" x14ac:dyDescent="0.35">
      <c r="A3000" s="7" t="s">
        <v>20</v>
      </c>
      <c r="B3000" s="7" t="s">
        <v>265</v>
      </c>
      <c r="C3000" s="7" t="s">
        <v>27</v>
      </c>
      <c r="D3000" s="9">
        <v>0</v>
      </c>
      <c r="E3000" s="9">
        <v>0</v>
      </c>
      <c r="F3000" s="9">
        <v>0</v>
      </c>
      <c r="G3000" s="9">
        <v>0</v>
      </c>
      <c r="H3000" s="9">
        <v>0.27</v>
      </c>
      <c r="I3000" s="9">
        <v>0</v>
      </c>
      <c r="J3000" s="7" t="s">
        <v>325</v>
      </c>
    </row>
    <row r="3001" spans="1:10" x14ac:dyDescent="0.35">
      <c r="A3001" s="7" t="s">
        <v>20</v>
      </c>
      <c r="B3001" s="7" t="s">
        <v>265</v>
      </c>
      <c r="C3001" s="7" t="s">
        <v>118</v>
      </c>
      <c r="D3001" s="9">
        <v>0</v>
      </c>
      <c r="E3001" s="9">
        <v>0</v>
      </c>
      <c r="F3001" s="9">
        <v>0</v>
      </c>
      <c r="G3001" s="9">
        <v>0</v>
      </c>
      <c r="H3001" s="9">
        <v>0.01</v>
      </c>
      <c r="I3001" s="9">
        <v>0</v>
      </c>
      <c r="J3001" s="7" t="s">
        <v>325</v>
      </c>
    </row>
    <row r="3002" spans="1:10" x14ac:dyDescent="0.35">
      <c r="A3002" s="7" t="s">
        <v>20</v>
      </c>
      <c r="B3002" s="7" t="s">
        <v>265</v>
      </c>
      <c r="C3002" s="7" t="s">
        <v>65</v>
      </c>
      <c r="D3002" s="9">
        <v>0</v>
      </c>
      <c r="E3002" s="9">
        <v>0</v>
      </c>
      <c r="F3002" s="9">
        <v>0</v>
      </c>
      <c r="G3002" s="9">
        <v>0</v>
      </c>
      <c r="H3002" s="9">
        <v>7.0000000000000007E-2</v>
      </c>
      <c r="I3002" s="9">
        <v>0</v>
      </c>
      <c r="J3002" s="7" t="s">
        <v>325</v>
      </c>
    </row>
    <row r="3003" spans="1:10" x14ac:dyDescent="0.35">
      <c r="A3003" s="7" t="s">
        <v>66</v>
      </c>
      <c r="B3003" s="7" t="s">
        <v>127</v>
      </c>
      <c r="C3003" s="7" t="s">
        <v>150</v>
      </c>
      <c r="D3003" s="9">
        <v>0.03</v>
      </c>
      <c r="E3003" s="9">
        <v>0</v>
      </c>
      <c r="F3003" s="9">
        <v>0</v>
      </c>
      <c r="G3003" s="9">
        <v>3</v>
      </c>
      <c r="H3003" s="9">
        <v>0.16</v>
      </c>
      <c r="I3003" s="9">
        <v>0</v>
      </c>
      <c r="J3003" s="7" t="s">
        <v>325</v>
      </c>
    </row>
    <row r="3004" spans="1:10" x14ac:dyDescent="0.35">
      <c r="A3004" s="7" t="s">
        <v>20</v>
      </c>
      <c r="B3004" s="7" t="s">
        <v>265</v>
      </c>
      <c r="C3004" s="7" t="s">
        <v>53</v>
      </c>
      <c r="D3004" s="9">
        <v>0</v>
      </c>
      <c r="E3004" s="9">
        <v>0</v>
      </c>
      <c r="F3004" s="9">
        <v>0</v>
      </c>
      <c r="G3004" s="9">
        <v>0</v>
      </c>
      <c r="H3004" s="9">
        <v>0</v>
      </c>
      <c r="I3004" s="9">
        <v>0</v>
      </c>
      <c r="J3004" s="7" t="s">
        <v>325</v>
      </c>
    </row>
    <row r="3005" spans="1:10" x14ac:dyDescent="0.35">
      <c r="A3005" s="7" t="s">
        <v>20</v>
      </c>
      <c r="B3005" s="7" t="s">
        <v>265</v>
      </c>
      <c r="C3005" s="7" t="s">
        <v>55</v>
      </c>
      <c r="D3005" s="9">
        <v>0</v>
      </c>
      <c r="E3005" s="9">
        <v>0</v>
      </c>
      <c r="F3005" s="9">
        <v>0</v>
      </c>
      <c r="G3005" s="9">
        <v>0</v>
      </c>
      <c r="H3005" s="9">
        <v>0.01</v>
      </c>
      <c r="I3005" s="9">
        <v>0.01</v>
      </c>
      <c r="J3005" s="7" t="s">
        <v>325</v>
      </c>
    </row>
    <row r="3006" spans="1:10" x14ac:dyDescent="0.35">
      <c r="A3006" s="7" t="s">
        <v>20</v>
      </c>
      <c r="B3006" s="7" t="s">
        <v>265</v>
      </c>
      <c r="C3006" s="7" t="s">
        <v>76</v>
      </c>
      <c r="D3006" s="9">
        <v>0</v>
      </c>
      <c r="E3006" s="9">
        <v>0</v>
      </c>
      <c r="F3006" s="9">
        <v>0</v>
      </c>
      <c r="G3006" s="9">
        <v>0</v>
      </c>
      <c r="H3006" s="9">
        <v>0.01</v>
      </c>
      <c r="I3006" s="9">
        <v>0</v>
      </c>
      <c r="J3006" s="7" t="s">
        <v>325</v>
      </c>
    </row>
    <row r="3007" spans="1:10" x14ac:dyDescent="0.35">
      <c r="A3007" s="7" t="s">
        <v>66</v>
      </c>
      <c r="B3007" s="7" t="s">
        <v>127</v>
      </c>
      <c r="C3007" s="7" t="s">
        <v>51</v>
      </c>
      <c r="D3007" s="9">
        <v>0</v>
      </c>
      <c r="E3007" s="9">
        <v>0</v>
      </c>
      <c r="F3007" s="9">
        <v>0</v>
      </c>
      <c r="G3007" s="9">
        <v>0.69</v>
      </c>
      <c r="H3007" s="9">
        <v>0.53</v>
      </c>
      <c r="I3007" s="9">
        <v>0</v>
      </c>
      <c r="J3007" s="7" t="s">
        <v>325</v>
      </c>
    </row>
    <row r="3008" spans="1:10" x14ac:dyDescent="0.35">
      <c r="A3008" s="7" t="s">
        <v>20</v>
      </c>
      <c r="B3008" s="7" t="s">
        <v>265</v>
      </c>
      <c r="C3008" s="7" t="s">
        <v>83</v>
      </c>
      <c r="D3008" s="9">
        <v>0</v>
      </c>
      <c r="E3008" s="9">
        <v>0</v>
      </c>
      <c r="F3008" s="9">
        <v>0</v>
      </c>
      <c r="G3008" s="9">
        <v>0</v>
      </c>
      <c r="H3008" s="9">
        <v>0.02</v>
      </c>
      <c r="I3008" s="9">
        <v>0</v>
      </c>
      <c r="J3008" s="7" t="s">
        <v>325</v>
      </c>
    </row>
    <row r="3009" spans="1:10" x14ac:dyDescent="0.35">
      <c r="A3009" s="7" t="s">
        <v>66</v>
      </c>
      <c r="B3009" s="7" t="s">
        <v>127</v>
      </c>
      <c r="C3009" s="7" t="s">
        <v>62</v>
      </c>
      <c r="D3009" s="9">
        <v>0</v>
      </c>
      <c r="E3009" s="9">
        <v>0</v>
      </c>
      <c r="F3009" s="9">
        <v>0</v>
      </c>
      <c r="G3009" s="9">
        <v>0</v>
      </c>
      <c r="H3009" s="9">
        <v>1</v>
      </c>
      <c r="I3009" s="9">
        <v>0</v>
      </c>
      <c r="J3009" s="7" t="s">
        <v>325</v>
      </c>
    </row>
    <row r="3010" spans="1:10" x14ac:dyDescent="0.35">
      <c r="A3010" s="7" t="s">
        <v>66</v>
      </c>
      <c r="B3010" s="7" t="s">
        <v>127</v>
      </c>
      <c r="C3010" s="7" t="s">
        <v>151</v>
      </c>
      <c r="D3010" s="9">
        <v>0</v>
      </c>
      <c r="E3010" s="9">
        <v>0</v>
      </c>
      <c r="F3010" s="9">
        <v>0</v>
      </c>
      <c r="G3010" s="9">
        <v>0.36</v>
      </c>
      <c r="H3010" s="9">
        <v>0</v>
      </c>
      <c r="I3010" s="9">
        <v>0</v>
      </c>
      <c r="J3010" s="7" t="s">
        <v>325</v>
      </c>
    </row>
    <row r="3011" spans="1:10" x14ac:dyDescent="0.35">
      <c r="A3011" s="7" t="s">
        <v>20</v>
      </c>
      <c r="B3011" s="7" t="s">
        <v>265</v>
      </c>
      <c r="C3011" s="7" t="s">
        <v>122</v>
      </c>
      <c r="D3011" s="9">
        <v>0</v>
      </c>
      <c r="E3011" s="9">
        <v>0</v>
      </c>
      <c r="F3011" s="9">
        <v>0</v>
      </c>
      <c r="G3011" s="9">
        <v>0</v>
      </c>
      <c r="H3011" s="9">
        <v>0</v>
      </c>
      <c r="I3011" s="9">
        <v>0</v>
      </c>
      <c r="J3011" s="7" t="s">
        <v>325</v>
      </c>
    </row>
    <row r="3012" spans="1:10" x14ac:dyDescent="0.35">
      <c r="A3012" s="7" t="s">
        <v>20</v>
      </c>
      <c r="B3012" s="7" t="s">
        <v>265</v>
      </c>
      <c r="C3012" s="7" t="s">
        <v>110</v>
      </c>
      <c r="D3012" s="9">
        <v>0</v>
      </c>
      <c r="E3012" s="9">
        <v>0</v>
      </c>
      <c r="F3012" s="9">
        <v>0</v>
      </c>
      <c r="G3012" s="9">
        <v>0</v>
      </c>
      <c r="H3012" s="9">
        <v>3.96</v>
      </c>
      <c r="I3012" s="9">
        <v>0</v>
      </c>
      <c r="J3012" s="7" t="s">
        <v>325</v>
      </c>
    </row>
    <row r="3013" spans="1:10" x14ac:dyDescent="0.35">
      <c r="A3013" s="7" t="s">
        <v>20</v>
      </c>
      <c r="B3013" s="7" t="s">
        <v>265</v>
      </c>
      <c r="C3013" s="7" t="s">
        <v>59</v>
      </c>
      <c r="D3013" s="9">
        <v>0</v>
      </c>
      <c r="E3013" s="9">
        <v>0</v>
      </c>
      <c r="F3013" s="9">
        <v>0</v>
      </c>
      <c r="G3013" s="9">
        <v>0</v>
      </c>
      <c r="H3013" s="9">
        <v>0.02</v>
      </c>
      <c r="I3013" s="9">
        <v>0</v>
      </c>
      <c r="J3013" s="7" t="s">
        <v>325</v>
      </c>
    </row>
    <row r="3014" spans="1:10" x14ac:dyDescent="0.35">
      <c r="A3014" s="7" t="s">
        <v>20</v>
      </c>
      <c r="B3014" s="7" t="s">
        <v>265</v>
      </c>
      <c r="C3014" s="7" t="s">
        <v>84</v>
      </c>
      <c r="D3014" s="9">
        <v>0</v>
      </c>
      <c r="E3014" s="9">
        <v>0</v>
      </c>
      <c r="F3014" s="9">
        <v>0</v>
      </c>
      <c r="G3014" s="9">
        <v>0</v>
      </c>
      <c r="H3014" s="9">
        <v>0</v>
      </c>
      <c r="I3014" s="9">
        <v>0</v>
      </c>
      <c r="J3014" s="7" t="s">
        <v>325</v>
      </c>
    </row>
    <row r="3015" spans="1:10" x14ac:dyDescent="0.35">
      <c r="A3015" s="7" t="s">
        <v>20</v>
      </c>
      <c r="B3015" s="7" t="s">
        <v>265</v>
      </c>
      <c r="C3015" s="7" t="s">
        <v>18</v>
      </c>
      <c r="D3015" s="9">
        <v>0</v>
      </c>
      <c r="E3015" s="9">
        <v>0</v>
      </c>
      <c r="F3015" s="9">
        <v>0</v>
      </c>
      <c r="G3015" s="9">
        <v>0</v>
      </c>
      <c r="H3015" s="9">
        <v>0</v>
      </c>
      <c r="I3015" s="9">
        <v>0.03</v>
      </c>
      <c r="J3015" s="7" t="s">
        <v>325</v>
      </c>
    </row>
    <row r="3016" spans="1:10" x14ac:dyDescent="0.35">
      <c r="A3016" s="7" t="s">
        <v>66</v>
      </c>
      <c r="B3016" s="7" t="s">
        <v>127</v>
      </c>
      <c r="C3016" s="7" t="s">
        <v>102</v>
      </c>
      <c r="D3016" s="9">
        <v>0</v>
      </c>
      <c r="E3016" s="9">
        <v>0</v>
      </c>
      <c r="F3016" s="9">
        <v>0</v>
      </c>
      <c r="G3016" s="9">
        <v>6.84</v>
      </c>
      <c r="H3016" s="9">
        <v>0</v>
      </c>
      <c r="I3016" s="9">
        <v>0</v>
      </c>
      <c r="J3016" s="7" t="s">
        <v>325</v>
      </c>
    </row>
    <row r="3017" spans="1:10" x14ac:dyDescent="0.35">
      <c r="A3017" s="7" t="s">
        <v>20</v>
      </c>
      <c r="B3017" s="7" t="s">
        <v>265</v>
      </c>
      <c r="C3017" s="7" t="s">
        <v>60</v>
      </c>
      <c r="D3017" s="9">
        <v>0</v>
      </c>
      <c r="E3017" s="9">
        <v>0</v>
      </c>
      <c r="F3017" s="9">
        <v>0</v>
      </c>
      <c r="G3017" s="9">
        <v>0</v>
      </c>
      <c r="H3017" s="9">
        <v>0.03</v>
      </c>
      <c r="I3017" s="9">
        <v>0</v>
      </c>
      <c r="J3017" s="7" t="s">
        <v>325</v>
      </c>
    </row>
    <row r="3018" spans="1:10" x14ac:dyDescent="0.35">
      <c r="A3018" s="7" t="s">
        <v>20</v>
      </c>
      <c r="B3018" s="7" t="s">
        <v>301</v>
      </c>
      <c r="C3018" s="7" t="s">
        <v>93</v>
      </c>
      <c r="D3018" s="9">
        <v>0.08</v>
      </c>
      <c r="E3018" s="9">
        <v>0</v>
      </c>
      <c r="F3018" s="9">
        <v>0</v>
      </c>
      <c r="G3018" s="9">
        <v>13.7</v>
      </c>
      <c r="H3018" s="9">
        <v>0</v>
      </c>
      <c r="I3018" s="9">
        <v>0</v>
      </c>
      <c r="J3018" s="7" t="s">
        <v>325</v>
      </c>
    </row>
    <row r="3019" spans="1:10" x14ac:dyDescent="0.35">
      <c r="A3019" s="7" t="s">
        <v>20</v>
      </c>
      <c r="B3019" s="7" t="s">
        <v>301</v>
      </c>
      <c r="C3019" s="7" t="s">
        <v>33</v>
      </c>
      <c r="D3019" s="9">
        <v>0.42</v>
      </c>
      <c r="E3019" s="9">
        <v>0</v>
      </c>
      <c r="F3019" s="9">
        <v>0</v>
      </c>
      <c r="G3019" s="9">
        <v>232.05</v>
      </c>
      <c r="H3019" s="9">
        <v>0</v>
      </c>
      <c r="I3019" s="9">
        <v>0</v>
      </c>
      <c r="J3019" s="7" t="s">
        <v>325</v>
      </c>
    </row>
    <row r="3020" spans="1:10" x14ac:dyDescent="0.35">
      <c r="A3020" s="7" t="s">
        <v>20</v>
      </c>
      <c r="B3020" s="7" t="s">
        <v>301</v>
      </c>
      <c r="C3020" s="7" t="s">
        <v>42</v>
      </c>
      <c r="D3020" s="9">
        <v>1.36</v>
      </c>
      <c r="E3020" s="9">
        <v>0</v>
      </c>
      <c r="F3020" s="9">
        <v>0</v>
      </c>
      <c r="G3020" s="8">
        <v>1087.25</v>
      </c>
      <c r="H3020" s="9">
        <v>0</v>
      </c>
      <c r="I3020" s="9">
        <v>0</v>
      </c>
      <c r="J3020" s="7" t="s">
        <v>325</v>
      </c>
    </row>
    <row r="3021" spans="1:10" x14ac:dyDescent="0.35">
      <c r="A3021" s="7" t="s">
        <v>66</v>
      </c>
      <c r="B3021" s="7" t="s">
        <v>127</v>
      </c>
      <c r="C3021" s="7" t="s">
        <v>181</v>
      </c>
      <c r="D3021" s="9">
        <v>0</v>
      </c>
      <c r="E3021" s="9">
        <v>0</v>
      </c>
      <c r="F3021" s="9">
        <v>0</v>
      </c>
      <c r="G3021" s="9">
        <v>0</v>
      </c>
      <c r="H3021" s="9">
        <v>0.06</v>
      </c>
      <c r="I3021" s="9">
        <v>0</v>
      </c>
      <c r="J3021" s="7" t="s">
        <v>325</v>
      </c>
    </row>
    <row r="3022" spans="1:10" x14ac:dyDescent="0.35">
      <c r="A3022" s="7" t="s">
        <v>20</v>
      </c>
      <c r="B3022" s="7" t="s">
        <v>301</v>
      </c>
      <c r="C3022" s="7" t="s">
        <v>221</v>
      </c>
      <c r="D3022" s="9">
        <v>0.06</v>
      </c>
      <c r="E3022" s="9">
        <v>0</v>
      </c>
      <c r="F3022" s="9">
        <v>0</v>
      </c>
      <c r="G3022" s="9">
        <v>15</v>
      </c>
      <c r="H3022" s="9">
        <v>0</v>
      </c>
      <c r="I3022" s="9">
        <v>0</v>
      </c>
      <c r="J3022" s="7" t="s">
        <v>325</v>
      </c>
    </row>
    <row r="3023" spans="1:10" x14ac:dyDescent="0.35">
      <c r="A3023" s="7" t="s">
        <v>20</v>
      </c>
      <c r="B3023" s="7" t="s">
        <v>301</v>
      </c>
      <c r="C3023" s="7" t="s">
        <v>54</v>
      </c>
      <c r="D3023" s="9">
        <v>4.5</v>
      </c>
      <c r="E3023" s="9">
        <v>0</v>
      </c>
      <c r="F3023" s="9">
        <v>0</v>
      </c>
      <c r="G3023" s="8">
        <v>3691.66</v>
      </c>
      <c r="H3023" s="9">
        <v>0</v>
      </c>
      <c r="I3023" s="9">
        <v>0</v>
      </c>
      <c r="J3023" s="7" t="s">
        <v>325</v>
      </c>
    </row>
    <row r="3024" spans="1:10" x14ac:dyDescent="0.35">
      <c r="A3024" s="7" t="s">
        <v>66</v>
      </c>
      <c r="B3024" s="7" t="s">
        <v>108</v>
      </c>
      <c r="C3024" s="7" t="s">
        <v>179</v>
      </c>
      <c r="D3024" s="9">
        <v>0</v>
      </c>
      <c r="E3024" s="9">
        <v>0</v>
      </c>
      <c r="F3024" s="9">
        <v>0</v>
      </c>
      <c r="G3024" s="9">
        <v>0.15</v>
      </c>
      <c r="H3024" s="9">
        <v>0.06</v>
      </c>
      <c r="I3024" s="9">
        <v>0</v>
      </c>
      <c r="J3024" s="7" t="s">
        <v>325</v>
      </c>
    </row>
    <row r="3025" spans="1:10" x14ac:dyDescent="0.35">
      <c r="A3025" s="7" t="s">
        <v>66</v>
      </c>
      <c r="B3025" s="7" t="s">
        <v>108</v>
      </c>
      <c r="C3025" s="7" t="s">
        <v>150</v>
      </c>
      <c r="D3025" s="9">
        <v>0</v>
      </c>
      <c r="E3025" s="9">
        <v>0</v>
      </c>
      <c r="F3025" s="9">
        <v>0</v>
      </c>
      <c r="G3025" s="9">
        <v>0</v>
      </c>
      <c r="H3025" s="9">
        <v>7.0000000000000007E-2</v>
      </c>
      <c r="I3025" s="9">
        <v>0</v>
      </c>
      <c r="J3025" s="7" t="s">
        <v>325</v>
      </c>
    </row>
    <row r="3026" spans="1:10" x14ac:dyDescent="0.35">
      <c r="A3026" s="7" t="s">
        <v>20</v>
      </c>
      <c r="B3026" s="7" t="s">
        <v>301</v>
      </c>
      <c r="C3026" s="7" t="s">
        <v>128</v>
      </c>
      <c r="D3026" s="9">
        <v>0.6</v>
      </c>
      <c r="E3026" s="9">
        <v>0</v>
      </c>
      <c r="F3026" s="9">
        <v>0</v>
      </c>
      <c r="G3026" s="9">
        <v>308.02999999999997</v>
      </c>
      <c r="H3026" s="9">
        <v>0</v>
      </c>
      <c r="I3026" s="9">
        <v>0</v>
      </c>
      <c r="J3026" s="7" t="s">
        <v>325</v>
      </c>
    </row>
    <row r="3027" spans="1:10" x14ac:dyDescent="0.35">
      <c r="A3027" s="7" t="s">
        <v>20</v>
      </c>
      <c r="B3027" s="7" t="s">
        <v>301</v>
      </c>
      <c r="C3027" s="7" t="s">
        <v>102</v>
      </c>
      <c r="D3027" s="9">
        <v>0.06</v>
      </c>
      <c r="E3027" s="9">
        <v>0</v>
      </c>
      <c r="F3027" s="9">
        <v>0</v>
      </c>
      <c r="G3027" s="9">
        <v>85.44</v>
      </c>
      <c r="H3027" s="9">
        <v>0</v>
      </c>
      <c r="I3027" s="9">
        <v>0</v>
      </c>
      <c r="J3027" s="7" t="s">
        <v>325</v>
      </c>
    </row>
    <row r="3028" spans="1:10" x14ac:dyDescent="0.35">
      <c r="A3028" s="7" t="s">
        <v>66</v>
      </c>
      <c r="B3028" s="7" t="s">
        <v>108</v>
      </c>
      <c r="C3028" s="7" t="s">
        <v>122</v>
      </c>
      <c r="D3028" s="9">
        <v>0.01</v>
      </c>
      <c r="E3028" s="9">
        <v>0</v>
      </c>
      <c r="F3028" s="9">
        <v>0</v>
      </c>
      <c r="G3028" s="9">
        <v>0.49</v>
      </c>
      <c r="H3028" s="9">
        <v>0</v>
      </c>
      <c r="I3028" s="9">
        <v>0</v>
      </c>
      <c r="J3028" s="7" t="s">
        <v>325</v>
      </c>
    </row>
    <row r="3029" spans="1:10" x14ac:dyDescent="0.35">
      <c r="A3029" s="7" t="s">
        <v>20</v>
      </c>
      <c r="B3029" s="7" t="s">
        <v>301</v>
      </c>
      <c r="C3029" s="7" t="s">
        <v>45</v>
      </c>
      <c r="D3029" s="9">
        <v>7.63</v>
      </c>
      <c r="E3029" s="9">
        <v>0</v>
      </c>
      <c r="F3029" s="9">
        <v>0</v>
      </c>
      <c r="G3029" s="8">
        <v>12696.98</v>
      </c>
      <c r="H3029" s="9">
        <v>0</v>
      </c>
      <c r="I3029" s="9">
        <v>0</v>
      </c>
      <c r="J3029" s="7" t="s">
        <v>325</v>
      </c>
    </row>
    <row r="3030" spans="1:10" x14ac:dyDescent="0.35">
      <c r="A3030" s="7" t="s">
        <v>20</v>
      </c>
      <c r="B3030" s="7" t="s">
        <v>301</v>
      </c>
      <c r="C3030" s="7" t="s">
        <v>126</v>
      </c>
      <c r="D3030" s="9">
        <v>0.02</v>
      </c>
      <c r="E3030" s="9">
        <v>0</v>
      </c>
      <c r="F3030" s="9">
        <v>0</v>
      </c>
      <c r="G3030" s="9">
        <v>7.26</v>
      </c>
      <c r="H3030" s="9">
        <v>0</v>
      </c>
      <c r="I3030" s="9">
        <v>0</v>
      </c>
      <c r="J3030" s="7" t="s">
        <v>325</v>
      </c>
    </row>
    <row r="3031" spans="1:10" x14ac:dyDescent="0.35">
      <c r="A3031" s="7" t="s">
        <v>20</v>
      </c>
      <c r="B3031" s="7" t="s">
        <v>301</v>
      </c>
      <c r="C3031" s="7" t="s">
        <v>27</v>
      </c>
      <c r="D3031" s="9">
        <v>4.59</v>
      </c>
      <c r="E3031" s="9">
        <v>0</v>
      </c>
      <c r="F3031" s="9">
        <v>0</v>
      </c>
      <c r="G3031" s="8">
        <v>10241.969999999999</v>
      </c>
      <c r="H3031" s="9">
        <v>0</v>
      </c>
      <c r="I3031" s="9">
        <v>0</v>
      </c>
      <c r="J3031" s="7" t="s">
        <v>325</v>
      </c>
    </row>
    <row r="3032" spans="1:10" x14ac:dyDescent="0.35">
      <c r="A3032" s="7" t="s">
        <v>20</v>
      </c>
      <c r="B3032" s="7" t="s">
        <v>301</v>
      </c>
      <c r="C3032" s="7" t="s">
        <v>39</v>
      </c>
      <c r="D3032" s="9">
        <v>2.33</v>
      </c>
      <c r="E3032" s="9">
        <v>0</v>
      </c>
      <c r="F3032" s="9">
        <v>0</v>
      </c>
      <c r="G3032" s="8">
        <v>1012.07</v>
      </c>
      <c r="H3032" s="9">
        <v>0</v>
      </c>
      <c r="I3032" s="9">
        <v>0</v>
      </c>
      <c r="J3032" s="7" t="s">
        <v>325</v>
      </c>
    </row>
    <row r="3033" spans="1:10" x14ac:dyDescent="0.35">
      <c r="A3033" s="7" t="s">
        <v>20</v>
      </c>
      <c r="B3033" s="7" t="s">
        <v>301</v>
      </c>
      <c r="C3033" s="7" t="s">
        <v>144</v>
      </c>
      <c r="D3033" s="9">
        <v>0</v>
      </c>
      <c r="E3033" s="9">
        <v>0</v>
      </c>
      <c r="F3033" s="9">
        <v>0</v>
      </c>
      <c r="G3033" s="9">
        <v>2.2000000000000002</v>
      </c>
      <c r="H3033" s="9">
        <v>0</v>
      </c>
      <c r="I3033" s="9">
        <v>0</v>
      </c>
      <c r="J3033" s="7" t="s">
        <v>325</v>
      </c>
    </row>
    <row r="3034" spans="1:10" x14ac:dyDescent="0.35">
      <c r="A3034" s="7" t="s">
        <v>20</v>
      </c>
      <c r="B3034" s="7" t="s">
        <v>301</v>
      </c>
      <c r="C3034" s="7" t="s">
        <v>65</v>
      </c>
      <c r="D3034" s="9">
        <v>0.02</v>
      </c>
      <c r="E3034" s="9">
        <v>0</v>
      </c>
      <c r="F3034" s="9">
        <v>0</v>
      </c>
      <c r="G3034" s="9">
        <v>23.85</v>
      </c>
      <c r="H3034" s="9">
        <v>0</v>
      </c>
      <c r="I3034" s="9">
        <v>0</v>
      </c>
      <c r="J3034" s="7" t="s">
        <v>325</v>
      </c>
    </row>
    <row r="3035" spans="1:10" x14ac:dyDescent="0.35">
      <c r="A3035" s="7" t="s">
        <v>66</v>
      </c>
      <c r="B3035" s="7" t="s">
        <v>108</v>
      </c>
      <c r="C3035" s="7" t="s">
        <v>126</v>
      </c>
      <c r="D3035" s="9">
        <v>0.02</v>
      </c>
      <c r="E3035" s="9">
        <v>0</v>
      </c>
      <c r="F3035" s="9">
        <v>0</v>
      </c>
      <c r="G3035" s="9">
        <v>7.01</v>
      </c>
      <c r="H3035" s="9">
        <v>1.29</v>
      </c>
      <c r="I3035" s="9">
        <v>0</v>
      </c>
      <c r="J3035" s="7" t="s">
        <v>325</v>
      </c>
    </row>
    <row r="3036" spans="1:10" x14ac:dyDescent="0.35">
      <c r="A3036" s="7" t="s">
        <v>66</v>
      </c>
      <c r="B3036" s="7" t="s">
        <v>108</v>
      </c>
      <c r="C3036" s="7" t="s">
        <v>45</v>
      </c>
      <c r="D3036" s="9">
        <v>0</v>
      </c>
      <c r="E3036" s="9">
        <v>0.01</v>
      </c>
      <c r="F3036" s="9">
        <v>0</v>
      </c>
      <c r="G3036" s="9">
        <v>0.05</v>
      </c>
      <c r="H3036" s="9">
        <v>5.32</v>
      </c>
      <c r="I3036" s="9">
        <v>0</v>
      </c>
      <c r="J3036" s="7" t="s">
        <v>325</v>
      </c>
    </row>
    <row r="3037" spans="1:10" x14ac:dyDescent="0.35">
      <c r="A3037" s="7" t="s">
        <v>66</v>
      </c>
      <c r="B3037" s="7" t="s">
        <v>108</v>
      </c>
      <c r="C3037" s="7" t="s">
        <v>102</v>
      </c>
      <c r="D3037" s="9">
        <v>0</v>
      </c>
      <c r="E3037" s="9">
        <v>0</v>
      </c>
      <c r="F3037" s="9">
        <v>0</v>
      </c>
      <c r="G3037" s="9">
        <v>0</v>
      </c>
      <c r="H3037" s="9">
        <v>2</v>
      </c>
      <c r="I3037" s="9">
        <v>0</v>
      </c>
      <c r="J3037" s="7" t="s">
        <v>325</v>
      </c>
    </row>
    <row r="3038" spans="1:10" x14ac:dyDescent="0.35">
      <c r="A3038" s="7" t="s">
        <v>66</v>
      </c>
      <c r="B3038" s="7" t="s">
        <v>108</v>
      </c>
      <c r="C3038" s="7" t="s">
        <v>170</v>
      </c>
      <c r="D3038" s="9">
        <v>0</v>
      </c>
      <c r="E3038" s="9">
        <v>0.14000000000000001</v>
      </c>
      <c r="F3038" s="9">
        <v>0</v>
      </c>
      <c r="G3038" s="9">
        <v>0</v>
      </c>
      <c r="H3038" s="9">
        <v>108</v>
      </c>
      <c r="I3038" s="9">
        <v>0</v>
      </c>
      <c r="J3038" s="7" t="s">
        <v>325</v>
      </c>
    </row>
    <row r="3039" spans="1:10" x14ac:dyDescent="0.35">
      <c r="A3039" s="7" t="s">
        <v>20</v>
      </c>
      <c r="B3039" s="7" t="s">
        <v>301</v>
      </c>
      <c r="C3039" s="7" t="s">
        <v>53</v>
      </c>
      <c r="D3039" s="9">
        <v>0.01</v>
      </c>
      <c r="E3039" s="9">
        <v>0</v>
      </c>
      <c r="F3039" s="9">
        <v>0</v>
      </c>
      <c r="G3039" s="9">
        <v>7.57</v>
      </c>
      <c r="H3039" s="9">
        <v>0</v>
      </c>
      <c r="I3039" s="9">
        <v>0</v>
      </c>
      <c r="J3039" s="7" t="s">
        <v>325</v>
      </c>
    </row>
    <row r="3040" spans="1:10" x14ac:dyDescent="0.35">
      <c r="A3040" s="7" t="s">
        <v>20</v>
      </c>
      <c r="B3040" s="7" t="s">
        <v>301</v>
      </c>
      <c r="C3040" s="7" t="s">
        <v>51</v>
      </c>
      <c r="D3040" s="9">
        <v>0</v>
      </c>
      <c r="E3040" s="9">
        <v>0</v>
      </c>
      <c r="F3040" s="9">
        <v>0</v>
      </c>
      <c r="G3040" s="9">
        <v>0.26</v>
      </c>
      <c r="H3040" s="9">
        <v>0</v>
      </c>
      <c r="I3040" s="9">
        <v>0</v>
      </c>
      <c r="J3040" s="7" t="s">
        <v>325</v>
      </c>
    </row>
    <row r="3041" spans="1:10" x14ac:dyDescent="0.35">
      <c r="A3041" s="7" t="s">
        <v>20</v>
      </c>
      <c r="B3041" s="7" t="s">
        <v>301</v>
      </c>
      <c r="C3041" s="7" t="s">
        <v>69</v>
      </c>
      <c r="D3041" s="9">
        <v>0.01</v>
      </c>
      <c r="E3041" s="9">
        <v>0</v>
      </c>
      <c r="F3041" s="9">
        <v>0</v>
      </c>
      <c r="G3041" s="9">
        <v>4</v>
      </c>
      <c r="H3041" s="9">
        <v>0</v>
      </c>
      <c r="I3041" s="9">
        <v>0</v>
      </c>
      <c r="J3041" s="7" t="s">
        <v>325</v>
      </c>
    </row>
    <row r="3042" spans="1:10" x14ac:dyDescent="0.35">
      <c r="A3042" s="7" t="s">
        <v>66</v>
      </c>
      <c r="B3042" s="7" t="s">
        <v>108</v>
      </c>
      <c r="C3042" s="7" t="s">
        <v>181</v>
      </c>
      <c r="D3042" s="9">
        <v>0.05</v>
      </c>
      <c r="E3042" s="9">
        <v>0.06</v>
      </c>
      <c r="F3042" s="9">
        <v>0</v>
      </c>
      <c r="G3042" s="9">
        <v>13.5</v>
      </c>
      <c r="H3042" s="9">
        <v>20.059999999999999</v>
      </c>
      <c r="I3042" s="9">
        <v>0</v>
      </c>
      <c r="J3042" s="7" t="s">
        <v>325</v>
      </c>
    </row>
    <row r="3043" spans="1:10" x14ac:dyDescent="0.35">
      <c r="A3043" s="7" t="s">
        <v>20</v>
      </c>
      <c r="B3043" s="7" t="s">
        <v>301</v>
      </c>
      <c r="C3043" s="7" t="s">
        <v>55</v>
      </c>
      <c r="D3043" s="9">
        <v>0.01</v>
      </c>
      <c r="E3043" s="9">
        <v>0</v>
      </c>
      <c r="F3043" s="9">
        <v>0</v>
      </c>
      <c r="G3043" s="9">
        <v>17.5</v>
      </c>
      <c r="H3043" s="9">
        <v>0</v>
      </c>
      <c r="I3043" s="9">
        <v>0</v>
      </c>
      <c r="J3043" s="7" t="s">
        <v>325</v>
      </c>
    </row>
    <row r="3044" spans="1:10" x14ac:dyDescent="0.35">
      <c r="A3044" s="7" t="s">
        <v>20</v>
      </c>
      <c r="B3044" s="7" t="s">
        <v>301</v>
      </c>
      <c r="C3044" s="7" t="s">
        <v>76</v>
      </c>
      <c r="D3044" s="9">
        <v>0.44</v>
      </c>
      <c r="E3044" s="9">
        <v>0</v>
      </c>
      <c r="F3044" s="9">
        <v>0</v>
      </c>
      <c r="G3044" s="9">
        <v>355.32</v>
      </c>
      <c r="H3044" s="9">
        <v>0</v>
      </c>
      <c r="I3044" s="9">
        <v>0</v>
      </c>
      <c r="J3044" s="7" t="s">
        <v>325</v>
      </c>
    </row>
    <row r="3045" spans="1:10" x14ac:dyDescent="0.35">
      <c r="A3045" s="7" t="s">
        <v>20</v>
      </c>
      <c r="B3045" s="7" t="s">
        <v>301</v>
      </c>
      <c r="C3045" s="7" t="s">
        <v>83</v>
      </c>
      <c r="D3045" s="9">
        <v>34.28</v>
      </c>
      <c r="E3045" s="9">
        <v>0</v>
      </c>
      <c r="F3045" s="9">
        <v>0</v>
      </c>
      <c r="G3045" s="8">
        <v>20230.77</v>
      </c>
      <c r="H3045" s="9">
        <v>0</v>
      </c>
      <c r="I3045" s="9">
        <v>0</v>
      </c>
      <c r="J3045" s="7" t="s">
        <v>325</v>
      </c>
    </row>
    <row r="3046" spans="1:10" x14ac:dyDescent="0.35">
      <c r="A3046" s="7" t="s">
        <v>66</v>
      </c>
      <c r="B3046" s="7" t="s">
        <v>100</v>
      </c>
      <c r="C3046" s="7" t="s">
        <v>59</v>
      </c>
      <c r="D3046" s="9">
        <v>0</v>
      </c>
      <c r="E3046" s="9">
        <v>0</v>
      </c>
      <c r="F3046" s="9">
        <v>0</v>
      </c>
      <c r="G3046" s="9">
        <v>0</v>
      </c>
      <c r="H3046" s="9">
        <v>1.44</v>
      </c>
      <c r="I3046" s="9">
        <v>0</v>
      </c>
      <c r="J3046" s="7" t="s">
        <v>325</v>
      </c>
    </row>
    <row r="3047" spans="1:10" x14ac:dyDescent="0.35">
      <c r="A3047" s="7" t="s">
        <v>20</v>
      </c>
      <c r="B3047" s="7" t="s">
        <v>301</v>
      </c>
      <c r="C3047" s="7" t="s">
        <v>72</v>
      </c>
      <c r="D3047" s="9">
        <v>0.02</v>
      </c>
      <c r="E3047" s="9">
        <v>0</v>
      </c>
      <c r="F3047" s="9">
        <v>0</v>
      </c>
      <c r="G3047" s="9">
        <v>12.89</v>
      </c>
      <c r="H3047" s="9">
        <v>0</v>
      </c>
      <c r="I3047" s="9">
        <v>0</v>
      </c>
      <c r="J3047" s="7" t="s">
        <v>325</v>
      </c>
    </row>
    <row r="3048" spans="1:10" x14ac:dyDescent="0.35">
      <c r="A3048" s="7" t="s">
        <v>20</v>
      </c>
      <c r="B3048" s="7" t="s">
        <v>301</v>
      </c>
      <c r="C3048" s="7" t="s">
        <v>48</v>
      </c>
      <c r="D3048" s="9">
        <v>0.03</v>
      </c>
      <c r="E3048" s="9">
        <v>0</v>
      </c>
      <c r="F3048" s="9">
        <v>0</v>
      </c>
      <c r="G3048" s="9">
        <v>7.15</v>
      </c>
      <c r="H3048" s="9">
        <v>0</v>
      </c>
      <c r="I3048" s="9">
        <v>0</v>
      </c>
      <c r="J3048" s="7" t="s">
        <v>325</v>
      </c>
    </row>
    <row r="3049" spans="1:10" x14ac:dyDescent="0.35">
      <c r="A3049" s="7" t="s">
        <v>20</v>
      </c>
      <c r="B3049" s="7" t="s">
        <v>301</v>
      </c>
      <c r="C3049" s="7" t="s">
        <v>179</v>
      </c>
      <c r="D3049" s="9">
        <v>0</v>
      </c>
      <c r="E3049" s="9">
        <v>0</v>
      </c>
      <c r="F3049" s="9">
        <v>0</v>
      </c>
      <c r="G3049" s="9">
        <v>0.11</v>
      </c>
      <c r="H3049" s="9">
        <v>0</v>
      </c>
      <c r="I3049" s="9">
        <v>0</v>
      </c>
      <c r="J3049" s="7" t="s">
        <v>325</v>
      </c>
    </row>
    <row r="3050" spans="1:10" x14ac:dyDescent="0.35">
      <c r="A3050" s="7" t="s">
        <v>20</v>
      </c>
      <c r="B3050" s="7" t="s">
        <v>301</v>
      </c>
      <c r="C3050" s="7" t="s">
        <v>84</v>
      </c>
      <c r="D3050" s="9">
        <v>0</v>
      </c>
      <c r="E3050" s="9">
        <v>0</v>
      </c>
      <c r="F3050" s="9">
        <v>0</v>
      </c>
      <c r="G3050" s="9">
        <v>0.01</v>
      </c>
      <c r="H3050" s="9">
        <v>0</v>
      </c>
      <c r="I3050" s="9">
        <v>0</v>
      </c>
      <c r="J3050" s="7" t="s">
        <v>325</v>
      </c>
    </row>
    <row r="3051" spans="1:10" x14ac:dyDescent="0.35">
      <c r="A3051" s="7" t="s">
        <v>20</v>
      </c>
      <c r="B3051" s="7" t="s">
        <v>301</v>
      </c>
      <c r="C3051" s="7" t="s">
        <v>22</v>
      </c>
      <c r="D3051" s="9">
        <v>113.68</v>
      </c>
      <c r="E3051" s="9">
        <v>0</v>
      </c>
      <c r="F3051" s="9">
        <v>0</v>
      </c>
      <c r="G3051" s="8">
        <v>34913.949999999997</v>
      </c>
      <c r="H3051" s="9">
        <v>0</v>
      </c>
      <c r="I3051" s="9">
        <v>0</v>
      </c>
      <c r="J3051" s="7" t="s">
        <v>325</v>
      </c>
    </row>
    <row r="3052" spans="1:10" x14ac:dyDescent="0.35">
      <c r="A3052" s="7" t="s">
        <v>20</v>
      </c>
      <c r="B3052" s="7" t="s">
        <v>301</v>
      </c>
      <c r="C3052" s="7" t="s">
        <v>18</v>
      </c>
      <c r="D3052" s="9">
        <v>0.11</v>
      </c>
      <c r="E3052" s="9">
        <v>0</v>
      </c>
      <c r="F3052" s="9">
        <v>0</v>
      </c>
      <c r="G3052" s="9">
        <v>66.290000000000006</v>
      </c>
      <c r="H3052" s="9">
        <v>0</v>
      </c>
      <c r="I3052" s="9">
        <v>0</v>
      </c>
      <c r="J3052" s="7" t="s">
        <v>325</v>
      </c>
    </row>
    <row r="3053" spans="1:10" x14ac:dyDescent="0.35">
      <c r="A3053" s="7" t="s">
        <v>20</v>
      </c>
      <c r="B3053" s="7" t="s">
        <v>301</v>
      </c>
      <c r="C3053" s="7" t="s">
        <v>125</v>
      </c>
      <c r="D3053" s="9">
        <v>1.1599999999999999</v>
      </c>
      <c r="E3053" s="9">
        <v>0</v>
      </c>
      <c r="F3053" s="9">
        <v>0</v>
      </c>
      <c r="G3053" s="9">
        <v>401</v>
      </c>
      <c r="H3053" s="9">
        <v>0</v>
      </c>
      <c r="I3053" s="9">
        <v>0</v>
      </c>
      <c r="J3053" s="7" t="s">
        <v>325</v>
      </c>
    </row>
    <row r="3054" spans="1:10" x14ac:dyDescent="0.35">
      <c r="A3054" s="7" t="s">
        <v>20</v>
      </c>
      <c r="B3054" s="7" t="s">
        <v>145</v>
      </c>
      <c r="C3054" s="7" t="s">
        <v>128</v>
      </c>
      <c r="D3054" s="9">
        <v>0</v>
      </c>
      <c r="E3054" s="9">
        <v>0.36</v>
      </c>
      <c r="F3054" s="9">
        <v>0</v>
      </c>
      <c r="G3054" s="9">
        <v>0</v>
      </c>
      <c r="H3054" s="9">
        <v>187.26</v>
      </c>
      <c r="I3054" s="9">
        <v>0</v>
      </c>
      <c r="J3054" s="7" t="s">
        <v>325</v>
      </c>
    </row>
    <row r="3055" spans="1:10" x14ac:dyDescent="0.35">
      <c r="A3055" s="7" t="s">
        <v>20</v>
      </c>
      <c r="B3055" s="7" t="s">
        <v>145</v>
      </c>
      <c r="C3055" s="7" t="s">
        <v>102</v>
      </c>
      <c r="D3055" s="9">
        <v>0</v>
      </c>
      <c r="E3055" s="9">
        <v>0.01</v>
      </c>
      <c r="F3055" s="9">
        <v>0</v>
      </c>
      <c r="G3055" s="9">
        <v>0</v>
      </c>
      <c r="H3055" s="9">
        <v>14.12</v>
      </c>
      <c r="I3055" s="9">
        <v>0</v>
      </c>
      <c r="J3055" s="7" t="s">
        <v>325</v>
      </c>
    </row>
    <row r="3056" spans="1:10" x14ac:dyDescent="0.35">
      <c r="A3056" s="7" t="s">
        <v>49</v>
      </c>
      <c r="B3056" s="7" t="s">
        <v>302</v>
      </c>
      <c r="C3056" s="7" t="s">
        <v>18</v>
      </c>
      <c r="D3056" s="9">
        <v>0.03</v>
      </c>
      <c r="E3056" s="9">
        <v>0</v>
      </c>
      <c r="F3056" s="9">
        <v>0</v>
      </c>
      <c r="G3056" s="9">
        <v>37.090000000000003</v>
      </c>
      <c r="H3056" s="9">
        <v>0</v>
      </c>
      <c r="I3056" s="9">
        <v>0</v>
      </c>
      <c r="J3056" s="7" t="s">
        <v>325</v>
      </c>
    </row>
    <row r="3057" spans="1:10" x14ac:dyDescent="0.35">
      <c r="A3057" s="7" t="s">
        <v>49</v>
      </c>
      <c r="B3057" s="7" t="s">
        <v>302</v>
      </c>
      <c r="C3057" s="7" t="s">
        <v>84</v>
      </c>
      <c r="D3057" s="9">
        <v>0</v>
      </c>
      <c r="E3057" s="9">
        <v>0</v>
      </c>
      <c r="F3057" s="9">
        <v>0</v>
      </c>
      <c r="G3057" s="9">
        <v>0.05</v>
      </c>
      <c r="H3057" s="9">
        <v>0</v>
      </c>
      <c r="I3057" s="9">
        <v>0</v>
      </c>
      <c r="J3057" s="7" t="s">
        <v>325</v>
      </c>
    </row>
    <row r="3058" spans="1:10" x14ac:dyDescent="0.35">
      <c r="A3058" s="7" t="s">
        <v>49</v>
      </c>
      <c r="B3058" s="7" t="s">
        <v>302</v>
      </c>
      <c r="C3058" s="7" t="s">
        <v>48</v>
      </c>
      <c r="D3058" s="9">
        <v>0.01</v>
      </c>
      <c r="E3058" s="9">
        <v>0</v>
      </c>
      <c r="F3058" s="9">
        <v>0</v>
      </c>
      <c r="G3058" s="9">
        <v>4.4800000000000004</v>
      </c>
      <c r="H3058" s="9">
        <v>0</v>
      </c>
      <c r="I3058" s="9">
        <v>0</v>
      </c>
      <c r="J3058" s="7" t="s">
        <v>325</v>
      </c>
    </row>
    <row r="3059" spans="1:10" x14ac:dyDescent="0.35">
      <c r="A3059" s="7" t="s">
        <v>49</v>
      </c>
      <c r="B3059" s="7" t="s">
        <v>302</v>
      </c>
      <c r="C3059" s="7" t="s">
        <v>59</v>
      </c>
      <c r="D3059" s="9">
        <v>0.02</v>
      </c>
      <c r="E3059" s="9">
        <v>0</v>
      </c>
      <c r="F3059" s="9">
        <v>0</v>
      </c>
      <c r="G3059" s="9">
        <v>7.24</v>
      </c>
      <c r="H3059" s="9">
        <v>0</v>
      </c>
      <c r="I3059" s="9">
        <v>0</v>
      </c>
      <c r="J3059" s="7" t="s">
        <v>325</v>
      </c>
    </row>
    <row r="3060" spans="1:10" x14ac:dyDescent="0.35">
      <c r="A3060" s="7" t="s">
        <v>49</v>
      </c>
      <c r="B3060" s="7" t="s">
        <v>302</v>
      </c>
      <c r="C3060" s="7" t="s">
        <v>72</v>
      </c>
      <c r="D3060" s="9">
        <v>0.04</v>
      </c>
      <c r="E3060" s="9">
        <v>0</v>
      </c>
      <c r="F3060" s="9">
        <v>0</v>
      </c>
      <c r="G3060" s="9">
        <v>7.77</v>
      </c>
      <c r="H3060" s="9">
        <v>0</v>
      </c>
      <c r="I3060" s="9">
        <v>0</v>
      </c>
      <c r="J3060" s="7" t="s">
        <v>325</v>
      </c>
    </row>
    <row r="3061" spans="1:10" x14ac:dyDescent="0.35">
      <c r="A3061" s="7" t="s">
        <v>49</v>
      </c>
      <c r="B3061" s="7" t="s">
        <v>302</v>
      </c>
      <c r="C3061" s="7" t="s">
        <v>51</v>
      </c>
      <c r="D3061" s="9">
        <v>0</v>
      </c>
      <c r="E3061" s="9">
        <v>0</v>
      </c>
      <c r="F3061" s="9">
        <v>0</v>
      </c>
      <c r="G3061" s="9">
        <v>0.2</v>
      </c>
      <c r="H3061" s="9">
        <v>0</v>
      </c>
      <c r="I3061" s="9">
        <v>0</v>
      </c>
      <c r="J3061" s="7" t="s">
        <v>325</v>
      </c>
    </row>
    <row r="3062" spans="1:10" x14ac:dyDescent="0.35">
      <c r="A3062" s="7" t="s">
        <v>49</v>
      </c>
      <c r="B3062" s="7" t="s">
        <v>302</v>
      </c>
      <c r="C3062" s="7" t="s">
        <v>46</v>
      </c>
      <c r="D3062" s="9">
        <v>0.03</v>
      </c>
      <c r="E3062" s="9">
        <v>0</v>
      </c>
      <c r="F3062" s="9">
        <v>0</v>
      </c>
      <c r="G3062" s="9">
        <v>20</v>
      </c>
      <c r="H3062" s="9">
        <v>0</v>
      </c>
      <c r="I3062" s="9">
        <v>0</v>
      </c>
      <c r="J3062" s="7" t="s">
        <v>325</v>
      </c>
    </row>
    <row r="3063" spans="1:10" x14ac:dyDescent="0.35">
      <c r="A3063" s="7" t="s">
        <v>49</v>
      </c>
      <c r="B3063" s="7" t="s">
        <v>302</v>
      </c>
      <c r="C3063" s="7" t="s">
        <v>53</v>
      </c>
      <c r="D3063" s="9">
        <v>0.03</v>
      </c>
      <c r="E3063" s="9">
        <v>0</v>
      </c>
      <c r="F3063" s="9">
        <v>0</v>
      </c>
      <c r="G3063" s="9">
        <v>10.62</v>
      </c>
      <c r="H3063" s="9">
        <v>0</v>
      </c>
      <c r="I3063" s="9">
        <v>0</v>
      </c>
      <c r="J3063" s="7" t="s">
        <v>325</v>
      </c>
    </row>
    <row r="3064" spans="1:10" x14ac:dyDescent="0.35">
      <c r="A3064" s="7" t="s">
        <v>49</v>
      </c>
      <c r="B3064" s="7" t="s">
        <v>302</v>
      </c>
      <c r="C3064" s="7" t="s">
        <v>65</v>
      </c>
      <c r="D3064" s="9">
        <v>0.01</v>
      </c>
      <c r="E3064" s="9">
        <v>0</v>
      </c>
      <c r="F3064" s="9">
        <v>0</v>
      </c>
      <c r="G3064" s="9">
        <v>13.59</v>
      </c>
      <c r="H3064" s="9">
        <v>0</v>
      </c>
      <c r="I3064" s="9">
        <v>0</v>
      </c>
      <c r="J3064" s="7" t="s">
        <v>325</v>
      </c>
    </row>
    <row r="3065" spans="1:10" x14ac:dyDescent="0.35">
      <c r="A3065" s="7" t="s">
        <v>49</v>
      </c>
      <c r="B3065" s="7" t="s">
        <v>302</v>
      </c>
      <c r="C3065" s="7" t="s">
        <v>39</v>
      </c>
      <c r="D3065" s="9">
        <v>0.02</v>
      </c>
      <c r="E3065" s="9">
        <v>0</v>
      </c>
      <c r="F3065" s="9">
        <v>0</v>
      </c>
      <c r="G3065" s="9">
        <v>6.03</v>
      </c>
      <c r="H3065" s="9">
        <v>0</v>
      </c>
      <c r="I3065" s="9">
        <v>0</v>
      </c>
      <c r="J3065" s="7" t="s">
        <v>325</v>
      </c>
    </row>
    <row r="3066" spans="1:10" x14ac:dyDescent="0.35">
      <c r="A3066" s="7" t="s">
        <v>49</v>
      </c>
      <c r="B3066" s="7" t="s">
        <v>302</v>
      </c>
      <c r="C3066" s="7" t="s">
        <v>45</v>
      </c>
      <c r="D3066" s="9">
        <v>0</v>
      </c>
      <c r="E3066" s="9">
        <v>0</v>
      </c>
      <c r="F3066" s="9">
        <v>0</v>
      </c>
      <c r="G3066" s="9">
        <v>0.05</v>
      </c>
      <c r="H3066" s="9">
        <v>0</v>
      </c>
      <c r="I3066" s="9">
        <v>0</v>
      </c>
      <c r="J3066" s="7" t="s">
        <v>325</v>
      </c>
    </row>
    <row r="3067" spans="1:10" x14ac:dyDescent="0.35">
      <c r="A3067" s="7" t="s">
        <v>49</v>
      </c>
      <c r="B3067" s="7" t="s">
        <v>302</v>
      </c>
      <c r="C3067" s="7" t="s">
        <v>54</v>
      </c>
      <c r="D3067" s="9">
        <v>0</v>
      </c>
      <c r="E3067" s="9">
        <v>0</v>
      </c>
      <c r="F3067" s="9">
        <v>0</v>
      </c>
      <c r="G3067" s="9">
        <v>0.42</v>
      </c>
      <c r="H3067" s="9">
        <v>0</v>
      </c>
      <c r="I3067" s="9">
        <v>0</v>
      </c>
      <c r="J3067" s="7" t="s">
        <v>325</v>
      </c>
    </row>
    <row r="3068" spans="1:10" x14ac:dyDescent="0.35">
      <c r="A3068" s="7" t="s">
        <v>49</v>
      </c>
      <c r="B3068" s="7" t="s">
        <v>302</v>
      </c>
      <c r="C3068" s="7" t="s">
        <v>42</v>
      </c>
      <c r="D3068" s="9">
        <v>0.02</v>
      </c>
      <c r="E3068" s="9">
        <v>0</v>
      </c>
      <c r="F3068" s="9">
        <v>0</v>
      </c>
      <c r="G3068" s="9">
        <v>8.66</v>
      </c>
      <c r="H3068" s="9">
        <v>0</v>
      </c>
      <c r="I3068" s="9">
        <v>0</v>
      </c>
      <c r="J3068" s="7" t="s">
        <v>325</v>
      </c>
    </row>
    <row r="3069" spans="1:10" x14ac:dyDescent="0.35">
      <c r="A3069" s="7" t="s">
        <v>49</v>
      </c>
      <c r="B3069" s="7" t="s">
        <v>302</v>
      </c>
      <c r="C3069" s="7" t="s">
        <v>33</v>
      </c>
      <c r="D3069" s="9">
        <v>0.05</v>
      </c>
      <c r="E3069" s="9">
        <v>0</v>
      </c>
      <c r="F3069" s="9">
        <v>0</v>
      </c>
      <c r="G3069" s="9">
        <v>32.979999999999997</v>
      </c>
      <c r="H3069" s="9">
        <v>0</v>
      </c>
      <c r="I3069" s="9">
        <v>0</v>
      </c>
      <c r="J3069" s="7" t="s">
        <v>325</v>
      </c>
    </row>
    <row r="3070" spans="1:10" x14ac:dyDescent="0.35">
      <c r="A3070" s="7" t="s">
        <v>20</v>
      </c>
      <c r="B3070" s="7" t="s">
        <v>145</v>
      </c>
      <c r="C3070" s="7" t="s">
        <v>151</v>
      </c>
      <c r="D3070" s="9">
        <v>0</v>
      </c>
      <c r="E3070" s="9">
        <v>0.13</v>
      </c>
      <c r="F3070" s="9">
        <v>0</v>
      </c>
      <c r="G3070" s="9">
        <v>0</v>
      </c>
      <c r="H3070" s="9">
        <v>161.54</v>
      </c>
      <c r="I3070" s="9">
        <v>0</v>
      </c>
      <c r="J3070" s="7" t="s">
        <v>325</v>
      </c>
    </row>
    <row r="3071" spans="1:10" x14ac:dyDescent="0.35">
      <c r="A3071" s="7" t="s">
        <v>20</v>
      </c>
      <c r="B3071" s="7" t="s">
        <v>145</v>
      </c>
      <c r="C3071" s="7" t="s">
        <v>53</v>
      </c>
      <c r="D3071" s="9">
        <v>0</v>
      </c>
      <c r="E3071" s="9">
        <v>0</v>
      </c>
      <c r="F3071" s="9">
        <v>0</v>
      </c>
      <c r="G3071" s="9">
        <v>0</v>
      </c>
      <c r="H3071" s="9">
        <v>0</v>
      </c>
      <c r="I3071" s="9">
        <v>0.05</v>
      </c>
      <c r="J3071" s="7" t="s">
        <v>325</v>
      </c>
    </row>
    <row r="3072" spans="1:10" x14ac:dyDescent="0.35">
      <c r="A3072" s="7" t="s">
        <v>20</v>
      </c>
      <c r="B3072" s="7" t="s">
        <v>145</v>
      </c>
      <c r="C3072" s="7" t="s">
        <v>46</v>
      </c>
      <c r="D3072" s="9">
        <v>0</v>
      </c>
      <c r="E3072" s="9">
        <v>0</v>
      </c>
      <c r="F3072" s="9">
        <v>0</v>
      </c>
      <c r="G3072" s="9">
        <v>0</v>
      </c>
      <c r="H3072" s="9">
        <v>0.06</v>
      </c>
      <c r="I3072" s="9">
        <v>0</v>
      </c>
      <c r="J3072" s="7" t="s">
        <v>325</v>
      </c>
    </row>
    <row r="3073" spans="1:10" x14ac:dyDescent="0.35">
      <c r="A3073" s="7" t="s">
        <v>20</v>
      </c>
      <c r="B3073" s="7" t="s">
        <v>145</v>
      </c>
      <c r="C3073" s="7" t="s">
        <v>122</v>
      </c>
      <c r="D3073" s="9">
        <v>0</v>
      </c>
      <c r="E3073" s="9">
        <v>0.02</v>
      </c>
      <c r="F3073" s="9">
        <v>0</v>
      </c>
      <c r="G3073" s="9">
        <v>0</v>
      </c>
      <c r="H3073" s="9">
        <v>23</v>
      </c>
      <c r="I3073" s="9">
        <v>0</v>
      </c>
      <c r="J3073" s="7" t="s">
        <v>325</v>
      </c>
    </row>
    <row r="3074" spans="1:10" x14ac:dyDescent="0.35">
      <c r="A3074" s="7" t="s">
        <v>49</v>
      </c>
      <c r="B3074" s="7" t="s">
        <v>70</v>
      </c>
      <c r="C3074" s="7" t="s">
        <v>45</v>
      </c>
      <c r="D3074" s="9">
        <v>0.02</v>
      </c>
      <c r="E3074" s="9">
        <v>0</v>
      </c>
      <c r="F3074" s="9">
        <v>0</v>
      </c>
      <c r="G3074" s="9">
        <v>4.33</v>
      </c>
      <c r="H3074" s="9">
        <v>0</v>
      </c>
      <c r="I3074" s="9">
        <v>0</v>
      </c>
      <c r="J3074" s="7" t="s">
        <v>325</v>
      </c>
    </row>
    <row r="3075" spans="1:10" x14ac:dyDescent="0.35">
      <c r="A3075" s="7" t="s">
        <v>49</v>
      </c>
      <c r="B3075" s="7" t="s">
        <v>70</v>
      </c>
      <c r="C3075" s="7" t="s">
        <v>54</v>
      </c>
      <c r="D3075" s="9">
        <v>0.02</v>
      </c>
      <c r="E3075" s="9">
        <v>0.04</v>
      </c>
      <c r="F3075" s="9">
        <v>0</v>
      </c>
      <c r="G3075" s="9">
        <v>6</v>
      </c>
      <c r="H3075" s="9">
        <v>14.14</v>
      </c>
      <c r="I3075" s="9">
        <v>0</v>
      </c>
      <c r="J3075" s="7" t="s">
        <v>325</v>
      </c>
    </row>
    <row r="3076" spans="1:10" x14ac:dyDescent="0.35">
      <c r="A3076" s="7" t="s">
        <v>20</v>
      </c>
      <c r="B3076" s="7" t="s">
        <v>145</v>
      </c>
      <c r="C3076" s="7" t="s">
        <v>22</v>
      </c>
      <c r="D3076" s="9">
        <v>0</v>
      </c>
      <c r="E3076" s="9">
        <v>29.77</v>
      </c>
      <c r="F3076" s="9">
        <v>0</v>
      </c>
      <c r="G3076" s="9">
        <v>0</v>
      </c>
      <c r="H3076" s="8">
        <v>7459.42</v>
      </c>
      <c r="I3076" s="9">
        <v>0</v>
      </c>
      <c r="J3076" s="7" t="s">
        <v>325</v>
      </c>
    </row>
    <row r="3077" spans="1:10" x14ac:dyDescent="0.35">
      <c r="A3077" s="7" t="s">
        <v>20</v>
      </c>
      <c r="B3077" s="7" t="s">
        <v>145</v>
      </c>
      <c r="C3077" s="7" t="s">
        <v>125</v>
      </c>
      <c r="D3077" s="9">
        <v>0</v>
      </c>
      <c r="E3077" s="9">
        <v>7.0000000000000007E-2</v>
      </c>
      <c r="F3077" s="9">
        <v>0</v>
      </c>
      <c r="G3077" s="9">
        <v>0</v>
      </c>
      <c r="H3077" s="9">
        <v>38</v>
      </c>
      <c r="I3077" s="9">
        <v>0</v>
      </c>
      <c r="J3077" s="7" t="s">
        <v>325</v>
      </c>
    </row>
    <row r="3078" spans="1:10" x14ac:dyDescent="0.35">
      <c r="A3078" s="7" t="s">
        <v>49</v>
      </c>
      <c r="B3078" s="7" t="s">
        <v>176</v>
      </c>
      <c r="C3078" s="7" t="s">
        <v>150</v>
      </c>
      <c r="D3078" s="9">
        <v>0</v>
      </c>
      <c r="E3078" s="9">
        <v>0</v>
      </c>
      <c r="F3078" s="9">
        <v>0</v>
      </c>
      <c r="G3078" s="9">
        <v>0</v>
      </c>
      <c r="H3078" s="9">
        <v>0.04</v>
      </c>
      <c r="I3078" s="9">
        <v>0</v>
      </c>
      <c r="J3078" s="7" t="s">
        <v>325</v>
      </c>
    </row>
    <row r="3079" spans="1:10" x14ac:dyDescent="0.35">
      <c r="A3079" s="7" t="s">
        <v>20</v>
      </c>
      <c r="B3079" s="7" t="s">
        <v>134</v>
      </c>
      <c r="C3079" s="7" t="s">
        <v>144</v>
      </c>
      <c r="D3079" s="9">
        <v>0</v>
      </c>
      <c r="E3079" s="9">
        <v>0</v>
      </c>
      <c r="F3079" s="9">
        <v>0</v>
      </c>
      <c r="G3079" s="9">
        <v>0</v>
      </c>
      <c r="H3079" s="9">
        <v>0.61</v>
      </c>
      <c r="I3079" s="9">
        <v>0</v>
      </c>
      <c r="J3079" s="7" t="s">
        <v>325</v>
      </c>
    </row>
    <row r="3080" spans="1:10" x14ac:dyDescent="0.35">
      <c r="A3080" s="7" t="s">
        <v>49</v>
      </c>
      <c r="B3080" s="7" t="s">
        <v>176</v>
      </c>
      <c r="C3080" s="7" t="s">
        <v>122</v>
      </c>
      <c r="D3080" s="9">
        <v>0.01</v>
      </c>
      <c r="E3080" s="9">
        <v>0</v>
      </c>
      <c r="F3080" s="9">
        <v>0</v>
      </c>
      <c r="G3080" s="9">
        <v>0.63</v>
      </c>
      <c r="H3080" s="9">
        <v>0</v>
      </c>
      <c r="I3080" s="9">
        <v>0</v>
      </c>
      <c r="J3080" s="7" t="s">
        <v>325</v>
      </c>
    </row>
    <row r="3081" spans="1:10" x14ac:dyDescent="0.35">
      <c r="A3081" s="7" t="s">
        <v>49</v>
      </c>
      <c r="B3081" s="7" t="s">
        <v>176</v>
      </c>
      <c r="C3081" s="7" t="s">
        <v>55</v>
      </c>
      <c r="D3081" s="9">
        <v>0</v>
      </c>
      <c r="E3081" s="9">
        <v>0</v>
      </c>
      <c r="F3081" s="9">
        <v>0</v>
      </c>
      <c r="G3081" s="9">
        <v>0</v>
      </c>
      <c r="H3081" s="9">
        <v>2.13</v>
      </c>
      <c r="I3081" s="9">
        <v>0</v>
      </c>
      <c r="J3081" s="7" t="s">
        <v>325</v>
      </c>
    </row>
    <row r="3082" spans="1:10" x14ac:dyDescent="0.35">
      <c r="A3082" s="7" t="s">
        <v>20</v>
      </c>
      <c r="B3082" s="7" t="s">
        <v>134</v>
      </c>
      <c r="C3082" s="7" t="s">
        <v>69</v>
      </c>
      <c r="D3082" s="9">
        <v>0</v>
      </c>
      <c r="E3082" s="9">
        <v>0</v>
      </c>
      <c r="F3082" s="9">
        <v>0</v>
      </c>
      <c r="G3082" s="9">
        <v>0</v>
      </c>
      <c r="H3082" s="9">
        <v>0</v>
      </c>
      <c r="I3082" s="9">
        <v>0.01</v>
      </c>
      <c r="J3082" s="7" t="s">
        <v>325</v>
      </c>
    </row>
    <row r="3083" spans="1:10" x14ac:dyDescent="0.35">
      <c r="A3083" s="7" t="s">
        <v>20</v>
      </c>
      <c r="B3083" s="7" t="s">
        <v>134</v>
      </c>
      <c r="C3083" s="7" t="s">
        <v>76</v>
      </c>
      <c r="D3083" s="9">
        <v>0</v>
      </c>
      <c r="E3083" s="9">
        <v>0.04</v>
      </c>
      <c r="F3083" s="9">
        <v>0</v>
      </c>
      <c r="G3083" s="9">
        <v>0</v>
      </c>
      <c r="H3083" s="9">
        <v>26.75</v>
      </c>
      <c r="I3083" s="9">
        <v>0</v>
      </c>
      <c r="J3083" s="7" t="s">
        <v>325</v>
      </c>
    </row>
    <row r="3084" spans="1:10" x14ac:dyDescent="0.35">
      <c r="A3084" s="7" t="s">
        <v>20</v>
      </c>
      <c r="B3084" s="7" t="s">
        <v>56</v>
      </c>
      <c r="C3084" s="7" t="s">
        <v>45</v>
      </c>
      <c r="D3084" s="9">
        <v>0</v>
      </c>
      <c r="E3084" s="9">
        <v>7.0000000000000007E-2</v>
      </c>
      <c r="F3084" s="9">
        <v>0</v>
      </c>
      <c r="G3084" s="9">
        <v>0.54</v>
      </c>
      <c r="H3084" s="9">
        <v>16.91</v>
      </c>
      <c r="I3084" s="9">
        <v>0</v>
      </c>
      <c r="J3084" s="7" t="s">
        <v>325</v>
      </c>
    </row>
    <row r="3085" spans="1:10" x14ac:dyDescent="0.35">
      <c r="A3085" s="7" t="s">
        <v>20</v>
      </c>
      <c r="B3085" s="7" t="s">
        <v>56</v>
      </c>
      <c r="C3085" s="7" t="s">
        <v>118</v>
      </c>
      <c r="D3085" s="9">
        <v>0</v>
      </c>
      <c r="E3085" s="9">
        <v>0</v>
      </c>
      <c r="F3085" s="9">
        <v>0</v>
      </c>
      <c r="G3085" s="9">
        <v>0.02</v>
      </c>
      <c r="H3085" s="9">
        <v>0</v>
      </c>
      <c r="I3085" s="9">
        <v>0</v>
      </c>
      <c r="J3085" s="7" t="s">
        <v>325</v>
      </c>
    </row>
    <row r="3086" spans="1:10" x14ac:dyDescent="0.35">
      <c r="A3086" s="7" t="s">
        <v>20</v>
      </c>
      <c r="B3086" s="7" t="s">
        <v>56</v>
      </c>
      <c r="C3086" s="7" t="s">
        <v>144</v>
      </c>
      <c r="D3086" s="9">
        <v>0.01</v>
      </c>
      <c r="E3086" s="9">
        <v>0</v>
      </c>
      <c r="F3086" s="9">
        <v>0</v>
      </c>
      <c r="G3086" s="9">
        <v>21.75</v>
      </c>
      <c r="H3086" s="9">
        <v>0</v>
      </c>
      <c r="I3086" s="9">
        <v>0</v>
      </c>
      <c r="J3086" s="7" t="s">
        <v>325</v>
      </c>
    </row>
    <row r="3087" spans="1:10" x14ac:dyDescent="0.35">
      <c r="A3087" s="7" t="s">
        <v>49</v>
      </c>
      <c r="B3087" s="7" t="s">
        <v>176</v>
      </c>
      <c r="C3087" s="7" t="s">
        <v>102</v>
      </c>
      <c r="D3087" s="9">
        <v>0</v>
      </c>
      <c r="E3087" s="9">
        <v>0.01</v>
      </c>
      <c r="F3087" s="9">
        <v>0</v>
      </c>
      <c r="G3087" s="9">
        <v>0.01</v>
      </c>
      <c r="H3087" s="9">
        <v>0.89</v>
      </c>
      <c r="I3087" s="9">
        <v>0</v>
      </c>
      <c r="J3087" s="7" t="s">
        <v>325</v>
      </c>
    </row>
    <row r="3088" spans="1:10" x14ac:dyDescent="0.35">
      <c r="A3088" s="7" t="s">
        <v>49</v>
      </c>
      <c r="B3088" s="7" t="s">
        <v>176</v>
      </c>
      <c r="C3088" s="7" t="s">
        <v>116</v>
      </c>
      <c r="D3088" s="9">
        <v>0.06</v>
      </c>
      <c r="E3088" s="9">
        <v>0</v>
      </c>
      <c r="F3088" s="9">
        <v>0</v>
      </c>
      <c r="G3088" s="9">
        <v>182.67</v>
      </c>
      <c r="H3088" s="9">
        <v>0</v>
      </c>
      <c r="I3088" s="9">
        <v>0</v>
      </c>
      <c r="J3088" s="7" t="s">
        <v>325</v>
      </c>
    </row>
    <row r="3089" spans="1:10" x14ac:dyDescent="0.35">
      <c r="A3089" s="7" t="s">
        <v>20</v>
      </c>
      <c r="B3089" s="7" t="s">
        <v>56</v>
      </c>
      <c r="C3089" s="7" t="s">
        <v>65</v>
      </c>
      <c r="D3089" s="9">
        <v>0.01</v>
      </c>
      <c r="E3089" s="9">
        <v>0.02</v>
      </c>
      <c r="F3089" s="9">
        <v>0</v>
      </c>
      <c r="G3089" s="9">
        <v>31.54</v>
      </c>
      <c r="H3089" s="9">
        <v>49.88</v>
      </c>
      <c r="I3089" s="9">
        <v>0</v>
      </c>
      <c r="J3089" s="7" t="s">
        <v>325</v>
      </c>
    </row>
    <row r="3090" spans="1:10" x14ac:dyDescent="0.35">
      <c r="A3090" s="7" t="s">
        <v>20</v>
      </c>
      <c r="B3090" s="7" t="s">
        <v>56</v>
      </c>
      <c r="C3090" s="7" t="s">
        <v>151</v>
      </c>
      <c r="D3090" s="9">
        <v>0</v>
      </c>
      <c r="E3090" s="9">
        <v>0.01</v>
      </c>
      <c r="F3090" s="9">
        <v>0</v>
      </c>
      <c r="G3090" s="9">
        <v>0</v>
      </c>
      <c r="H3090" s="9">
        <v>0.21</v>
      </c>
      <c r="I3090" s="9">
        <v>0</v>
      </c>
      <c r="J3090" s="7" t="s">
        <v>325</v>
      </c>
    </row>
    <row r="3091" spans="1:10" x14ac:dyDescent="0.35">
      <c r="A3091" s="7" t="s">
        <v>49</v>
      </c>
      <c r="B3091" s="7" t="s">
        <v>176</v>
      </c>
      <c r="C3091" s="7" t="s">
        <v>181</v>
      </c>
      <c r="D3091" s="9">
        <v>0</v>
      </c>
      <c r="E3091" s="9">
        <v>0</v>
      </c>
      <c r="F3091" s="9">
        <v>0</v>
      </c>
      <c r="G3091" s="9">
        <v>0</v>
      </c>
      <c r="H3091" s="9">
        <v>0.01</v>
      </c>
      <c r="I3091" s="9">
        <v>0</v>
      </c>
      <c r="J3091" s="7" t="s">
        <v>325</v>
      </c>
    </row>
    <row r="3092" spans="1:10" x14ac:dyDescent="0.35">
      <c r="A3092" s="7" t="s">
        <v>20</v>
      </c>
      <c r="B3092" s="7" t="s">
        <v>56</v>
      </c>
      <c r="C3092" s="7" t="s">
        <v>69</v>
      </c>
      <c r="D3092" s="9">
        <v>0.02</v>
      </c>
      <c r="E3092" s="9">
        <v>0</v>
      </c>
      <c r="F3092" s="9">
        <v>0</v>
      </c>
      <c r="G3092" s="9">
        <v>7</v>
      </c>
      <c r="H3092" s="9">
        <v>0</v>
      </c>
      <c r="I3092" s="9">
        <v>0</v>
      </c>
      <c r="J3092" s="7" t="s">
        <v>325</v>
      </c>
    </row>
    <row r="3093" spans="1:10" x14ac:dyDescent="0.35">
      <c r="A3093" s="7" t="s">
        <v>49</v>
      </c>
      <c r="B3093" s="7" t="s">
        <v>158</v>
      </c>
      <c r="C3093" s="7" t="s">
        <v>53</v>
      </c>
      <c r="D3093" s="9">
        <v>0.02</v>
      </c>
      <c r="E3093" s="9">
        <v>0</v>
      </c>
      <c r="F3093" s="9">
        <v>0</v>
      </c>
      <c r="G3093" s="9">
        <v>25</v>
      </c>
      <c r="H3093" s="9">
        <v>0</v>
      </c>
      <c r="I3093" s="9">
        <v>0</v>
      </c>
      <c r="J3093" s="7" t="s">
        <v>325</v>
      </c>
    </row>
    <row r="3094" spans="1:10" x14ac:dyDescent="0.35">
      <c r="A3094" s="7" t="s">
        <v>20</v>
      </c>
      <c r="B3094" s="7" t="s">
        <v>56</v>
      </c>
      <c r="C3094" s="7" t="s">
        <v>59</v>
      </c>
      <c r="D3094" s="9">
        <v>0.15</v>
      </c>
      <c r="E3094" s="9">
        <v>0</v>
      </c>
      <c r="F3094" s="9">
        <v>0</v>
      </c>
      <c r="G3094" s="9">
        <v>24.48</v>
      </c>
      <c r="H3094" s="9">
        <v>0.01</v>
      </c>
      <c r="I3094" s="9">
        <v>0</v>
      </c>
      <c r="J3094" s="7" t="s">
        <v>325</v>
      </c>
    </row>
    <row r="3095" spans="1:10" x14ac:dyDescent="0.35">
      <c r="A3095" s="7" t="s">
        <v>20</v>
      </c>
      <c r="B3095" s="7" t="s">
        <v>56</v>
      </c>
      <c r="C3095" s="7" t="s">
        <v>114</v>
      </c>
      <c r="D3095" s="9">
        <v>0</v>
      </c>
      <c r="E3095" s="9">
        <v>0.03</v>
      </c>
      <c r="F3095" s="9">
        <v>0</v>
      </c>
      <c r="G3095" s="9">
        <v>0</v>
      </c>
      <c r="H3095" s="9">
        <v>2.52</v>
      </c>
      <c r="I3095" s="9">
        <v>0</v>
      </c>
      <c r="J3095" s="7" t="s">
        <v>325</v>
      </c>
    </row>
    <row r="3096" spans="1:10" x14ac:dyDescent="0.35">
      <c r="A3096" s="7" t="s">
        <v>20</v>
      </c>
      <c r="B3096" s="7" t="s">
        <v>154</v>
      </c>
      <c r="C3096" s="7" t="s">
        <v>53</v>
      </c>
      <c r="D3096" s="9">
        <v>0.3</v>
      </c>
      <c r="E3096" s="9">
        <v>0</v>
      </c>
      <c r="F3096" s="9">
        <v>0</v>
      </c>
      <c r="G3096" s="9">
        <v>15.07</v>
      </c>
      <c r="H3096" s="9">
        <v>0</v>
      </c>
      <c r="I3096" s="9">
        <v>0</v>
      </c>
      <c r="J3096" s="7" t="s">
        <v>325</v>
      </c>
    </row>
    <row r="3097" spans="1:10" x14ac:dyDescent="0.35">
      <c r="A3097" s="7" t="s">
        <v>20</v>
      </c>
      <c r="B3097" s="7" t="s">
        <v>154</v>
      </c>
      <c r="C3097" s="7" t="s">
        <v>46</v>
      </c>
      <c r="D3097" s="9">
        <v>0.62</v>
      </c>
      <c r="E3097" s="9">
        <v>0.55000000000000004</v>
      </c>
      <c r="F3097" s="9">
        <v>0</v>
      </c>
      <c r="G3097" s="9">
        <v>99.45</v>
      </c>
      <c r="H3097" s="9">
        <v>80.5</v>
      </c>
      <c r="I3097" s="9">
        <v>0</v>
      </c>
      <c r="J3097" s="7" t="s">
        <v>325</v>
      </c>
    </row>
    <row r="3098" spans="1:10" x14ac:dyDescent="0.35">
      <c r="A3098" s="7" t="s">
        <v>20</v>
      </c>
      <c r="B3098" s="7" t="s">
        <v>154</v>
      </c>
      <c r="C3098" s="7" t="s">
        <v>59</v>
      </c>
      <c r="D3098" s="9">
        <v>0.08</v>
      </c>
      <c r="E3098" s="9">
        <v>0</v>
      </c>
      <c r="F3098" s="9">
        <v>0</v>
      </c>
      <c r="G3098" s="9">
        <v>3.13</v>
      </c>
      <c r="H3098" s="9">
        <v>0</v>
      </c>
      <c r="I3098" s="9">
        <v>0</v>
      </c>
      <c r="J3098" s="7" t="s">
        <v>325</v>
      </c>
    </row>
    <row r="3099" spans="1:10" x14ac:dyDescent="0.35">
      <c r="A3099" s="7" t="s">
        <v>49</v>
      </c>
      <c r="B3099" s="7" t="s">
        <v>303</v>
      </c>
      <c r="C3099" s="7" t="s">
        <v>59</v>
      </c>
      <c r="D3099" s="9">
        <v>0</v>
      </c>
      <c r="E3099" s="9">
        <v>0</v>
      </c>
      <c r="F3099" s="9">
        <v>0</v>
      </c>
      <c r="G3099" s="9">
        <v>0.25</v>
      </c>
      <c r="H3099" s="9">
        <v>0</v>
      </c>
      <c r="I3099" s="9">
        <v>0</v>
      </c>
      <c r="J3099" s="7" t="s">
        <v>325</v>
      </c>
    </row>
    <row r="3100" spans="1:10" x14ac:dyDescent="0.35">
      <c r="A3100" s="7" t="s">
        <v>49</v>
      </c>
      <c r="B3100" s="7" t="s">
        <v>303</v>
      </c>
      <c r="C3100" s="7" t="s">
        <v>46</v>
      </c>
      <c r="D3100" s="9">
        <v>0.01</v>
      </c>
      <c r="E3100" s="9">
        <v>0</v>
      </c>
      <c r="F3100" s="9">
        <v>0</v>
      </c>
      <c r="G3100" s="9">
        <v>3</v>
      </c>
      <c r="H3100" s="9">
        <v>0</v>
      </c>
      <c r="I3100" s="9">
        <v>0</v>
      </c>
      <c r="J3100" s="7" t="s">
        <v>325</v>
      </c>
    </row>
    <row r="3101" spans="1:10" x14ac:dyDescent="0.35">
      <c r="A3101" s="7" t="s">
        <v>49</v>
      </c>
      <c r="B3101" s="7" t="s">
        <v>303</v>
      </c>
      <c r="C3101" s="7" t="s">
        <v>144</v>
      </c>
      <c r="D3101" s="9">
        <v>0</v>
      </c>
      <c r="E3101" s="9">
        <v>0</v>
      </c>
      <c r="F3101" s="9">
        <v>0</v>
      </c>
      <c r="G3101" s="9">
        <v>0.7</v>
      </c>
      <c r="H3101" s="9">
        <v>0</v>
      </c>
      <c r="I3101" s="9">
        <v>0</v>
      </c>
      <c r="J3101" s="7" t="s">
        <v>325</v>
      </c>
    </row>
    <row r="3102" spans="1:10" x14ac:dyDescent="0.35">
      <c r="A3102" s="7" t="s">
        <v>49</v>
      </c>
      <c r="B3102" s="7" t="s">
        <v>303</v>
      </c>
      <c r="C3102" s="7" t="s">
        <v>39</v>
      </c>
      <c r="D3102" s="9">
        <v>0.01</v>
      </c>
      <c r="E3102" s="9">
        <v>0</v>
      </c>
      <c r="F3102" s="9">
        <v>0</v>
      </c>
      <c r="G3102" s="9">
        <v>3.38</v>
      </c>
      <c r="H3102" s="9">
        <v>0</v>
      </c>
      <c r="I3102" s="9">
        <v>0</v>
      </c>
      <c r="J3102" s="7" t="s">
        <v>325</v>
      </c>
    </row>
    <row r="3103" spans="1:10" x14ac:dyDescent="0.35">
      <c r="A3103" s="7" t="s">
        <v>49</v>
      </c>
      <c r="B3103" s="7" t="s">
        <v>303</v>
      </c>
      <c r="C3103" s="7" t="s">
        <v>102</v>
      </c>
      <c r="D3103" s="9">
        <v>0</v>
      </c>
      <c r="E3103" s="9">
        <v>0</v>
      </c>
      <c r="F3103" s="9">
        <v>0</v>
      </c>
      <c r="G3103" s="9">
        <v>0.1</v>
      </c>
      <c r="H3103" s="9">
        <v>0</v>
      </c>
      <c r="I3103" s="9">
        <v>0</v>
      </c>
      <c r="J3103" s="7" t="s">
        <v>325</v>
      </c>
    </row>
    <row r="3104" spans="1:10" x14ac:dyDescent="0.35">
      <c r="A3104" s="7" t="s">
        <v>49</v>
      </c>
      <c r="B3104" s="7" t="s">
        <v>303</v>
      </c>
      <c r="C3104" s="7" t="s">
        <v>42</v>
      </c>
      <c r="D3104" s="9">
        <v>0</v>
      </c>
      <c r="E3104" s="9">
        <v>0</v>
      </c>
      <c r="F3104" s="9">
        <v>0</v>
      </c>
      <c r="G3104" s="9">
        <v>0.15</v>
      </c>
      <c r="H3104" s="9">
        <v>0</v>
      </c>
      <c r="I3104" s="9">
        <v>0</v>
      </c>
      <c r="J3104" s="7" t="s">
        <v>325</v>
      </c>
    </row>
    <row r="3105" spans="1:10" x14ac:dyDescent="0.35">
      <c r="A3105" s="7" t="s">
        <v>20</v>
      </c>
      <c r="B3105" s="7" t="s">
        <v>154</v>
      </c>
      <c r="C3105" s="7" t="s">
        <v>48</v>
      </c>
      <c r="D3105" s="9">
        <v>0.06</v>
      </c>
      <c r="E3105" s="9">
        <v>0</v>
      </c>
      <c r="F3105" s="9">
        <v>0</v>
      </c>
      <c r="G3105" s="9">
        <v>4.3099999999999996</v>
      </c>
      <c r="H3105" s="9">
        <v>0</v>
      </c>
      <c r="I3105" s="9">
        <v>0</v>
      </c>
      <c r="J3105" s="7" t="s">
        <v>325</v>
      </c>
    </row>
    <row r="3106" spans="1:10" x14ac:dyDescent="0.35">
      <c r="A3106" s="7" t="s">
        <v>49</v>
      </c>
      <c r="B3106" s="7" t="s">
        <v>121</v>
      </c>
      <c r="C3106" s="7" t="s">
        <v>84</v>
      </c>
      <c r="D3106" s="9">
        <v>0.01</v>
      </c>
      <c r="E3106" s="9">
        <v>0</v>
      </c>
      <c r="F3106" s="9">
        <v>0</v>
      </c>
      <c r="G3106" s="9">
        <v>3</v>
      </c>
      <c r="H3106" s="9">
        <v>0</v>
      </c>
      <c r="I3106" s="9">
        <v>0</v>
      </c>
      <c r="J3106" s="7" t="s">
        <v>325</v>
      </c>
    </row>
    <row r="3107" spans="1:10" x14ac:dyDescent="0.35">
      <c r="A3107" s="7" t="s">
        <v>49</v>
      </c>
      <c r="B3107" s="7" t="s">
        <v>121</v>
      </c>
      <c r="C3107" s="7" t="s">
        <v>179</v>
      </c>
      <c r="D3107" s="9">
        <v>0.01</v>
      </c>
      <c r="E3107" s="9">
        <v>0</v>
      </c>
      <c r="F3107" s="9">
        <v>0</v>
      </c>
      <c r="G3107" s="9">
        <v>0.47</v>
      </c>
      <c r="H3107" s="9">
        <v>0</v>
      </c>
      <c r="I3107" s="9">
        <v>0</v>
      </c>
      <c r="J3107" s="7" t="s">
        <v>325</v>
      </c>
    </row>
    <row r="3108" spans="1:10" x14ac:dyDescent="0.35">
      <c r="A3108" s="7" t="s">
        <v>20</v>
      </c>
      <c r="B3108" s="7" t="s">
        <v>82</v>
      </c>
      <c r="C3108" s="7" t="s">
        <v>33</v>
      </c>
      <c r="D3108" s="9">
        <v>0.02</v>
      </c>
      <c r="E3108" s="9">
        <v>0</v>
      </c>
      <c r="F3108" s="9">
        <v>0</v>
      </c>
      <c r="G3108" s="9">
        <v>12.19</v>
      </c>
      <c r="H3108" s="9">
        <v>0</v>
      </c>
      <c r="I3108" s="9">
        <v>0</v>
      </c>
      <c r="J3108" s="7" t="s">
        <v>325</v>
      </c>
    </row>
    <row r="3109" spans="1:10" x14ac:dyDescent="0.35">
      <c r="A3109" s="7" t="s">
        <v>49</v>
      </c>
      <c r="B3109" s="7" t="s">
        <v>121</v>
      </c>
      <c r="C3109" s="7" t="s">
        <v>72</v>
      </c>
      <c r="D3109" s="9">
        <v>0</v>
      </c>
      <c r="E3109" s="9">
        <v>0.05</v>
      </c>
      <c r="F3109" s="9">
        <v>0</v>
      </c>
      <c r="G3109" s="9">
        <v>0</v>
      </c>
      <c r="H3109" s="9">
        <v>3.6</v>
      </c>
      <c r="I3109" s="9">
        <v>0</v>
      </c>
      <c r="J3109" s="7" t="s">
        <v>325</v>
      </c>
    </row>
    <row r="3110" spans="1:10" x14ac:dyDescent="0.35">
      <c r="A3110" s="7" t="s">
        <v>49</v>
      </c>
      <c r="B3110" s="7" t="s">
        <v>121</v>
      </c>
      <c r="C3110" s="7" t="s">
        <v>122</v>
      </c>
      <c r="D3110" s="9">
        <v>0</v>
      </c>
      <c r="E3110" s="9">
        <v>0</v>
      </c>
      <c r="F3110" s="9">
        <v>0</v>
      </c>
      <c r="G3110" s="9">
        <v>0</v>
      </c>
      <c r="H3110" s="9">
        <v>0.04</v>
      </c>
      <c r="I3110" s="9">
        <v>0</v>
      </c>
      <c r="J3110" s="7" t="s">
        <v>325</v>
      </c>
    </row>
    <row r="3111" spans="1:10" x14ac:dyDescent="0.35">
      <c r="A3111" s="7" t="s">
        <v>20</v>
      </c>
      <c r="B3111" s="7" t="s">
        <v>82</v>
      </c>
      <c r="C3111" s="7" t="s">
        <v>128</v>
      </c>
      <c r="D3111" s="9">
        <v>0.01</v>
      </c>
      <c r="E3111" s="9">
        <v>0</v>
      </c>
      <c r="F3111" s="9">
        <v>0</v>
      </c>
      <c r="G3111" s="9">
        <v>5.0199999999999996</v>
      </c>
      <c r="H3111" s="9">
        <v>0</v>
      </c>
      <c r="I3111" s="9">
        <v>0</v>
      </c>
      <c r="J3111" s="7" t="s">
        <v>325</v>
      </c>
    </row>
    <row r="3112" spans="1:10" x14ac:dyDescent="0.35">
      <c r="A3112" s="7" t="s">
        <v>49</v>
      </c>
      <c r="B3112" s="7" t="s">
        <v>121</v>
      </c>
      <c r="C3112" s="7" t="s">
        <v>53</v>
      </c>
      <c r="D3112" s="9">
        <v>0.08</v>
      </c>
      <c r="E3112" s="9">
        <v>0.01</v>
      </c>
      <c r="F3112" s="9">
        <v>0</v>
      </c>
      <c r="G3112" s="9">
        <v>48.46</v>
      </c>
      <c r="H3112" s="9">
        <v>3.84</v>
      </c>
      <c r="I3112" s="9">
        <v>0</v>
      </c>
      <c r="J3112" s="7" t="s">
        <v>325</v>
      </c>
    </row>
    <row r="3113" spans="1:10" x14ac:dyDescent="0.35">
      <c r="A3113" s="7" t="s">
        <v>20</v>
      </c>
      <c r="B3113" s="7" t="s">
        <v>82</v>
      </c>
      <c r="C3113" s="7" t="s">
        <v>65</v>
      </c>
      <c r="D3113" s="9">
        <v>0.03</v>
      </c>
      <c r="E3113" s="9">
        <v>0</v>
      </c>
      <c r="F3113" s="9">
        <v>0</v>
      </c>
      <c r="G3113" s="9">
        <v>84.25</v>
      </c>
      <c r="H3113" s="9">
        <v>0</v>
      </c>
      <c r="I3113" s="9">
        <v>0</v>
      </c>
      <c r="J3113" s="7" t="s">
        <v>325</v>
      </c>
    </row>
    <row r="3114" spans="1:10" x14ac:dyDescent="0.35">
      <c r="A3114" s="7" t="s">
        <v>20</v>
      </c>
      <c r="B3114" s="7" t="s">
        <v>82</v>
      </c>
      <c r="C3114" s="7" t="s">
        <v>51</v>
      </c>
      <c r="D3114" s="9">
        <v>0</v>
      </c>
      <c r="E3114" s="9">
        <v>0</v>
      </c>
      <c r="F3114" s="9">
        <v>0</v>
      </c>
      <c r="G3114" s="9">
        <v>0.19</v>
      </c>
      <c r="H3114" s="9">
        <v>0</v>
      </c>
      <c r="I3114" s="9">
        <v>0</v>
      </c>
      <c r="J3114" s="7" t="s">
        <v>325</v>
      </c>
    </row>
    <row r="3115" spans="1:10" x14ac:dyDescent="0.35">
      <c r="A3115" s="7" t="s">
        <v>20</v>
      </c>
      <c r="B3115" s="7" t="s">
        <v>82</v>
      </c>
      <c r="C3115" s="7" t="s">
        <v>69</v>
      </c>
      <c r="D3115" s="9">
        <v>0.01</v>
      </c>
      <c r="E3115" s="9">
        <v>0</v>
      </c>
      <c r="F3115" s="9">
        <v>0</v>
      </c>
      <c r="G3115" s="9">
        <v>10.95</v>
      </c>
      <c r="H3115" s="9">
        <v>0</v>
      </c>
      <c r="I3115" s="9">
        <v>0</v>
      </c>
      <c r="J3115" s="7" t="s">
        <v>325</v>
      </c>
    </row>
    <row r="3116" spans="1:10" x14ac:dyDescent="0.35">
      <c r="A3116" s="7" t="s">
        <v>20</v>
      </c>
      <c r="B3116" s="7" t="s">
        <v>82</v>
      </c>
      <c r="C3116" s="7" t="s">
        <v>76</v>
      </c>
      <c r="D3116" s="9">
        <v>0.06</v>
      </c>
      <c r="E3116" s="9">
        <v>0</v>
      </c>
      <c r="F3116" s="9">
        <v>0</v>
      </c>
      <c r="G3116" s="9">
        <v>51.71</v>
      </c>
      <c r="H3116" s="9">
        <v>0</v>
      </c>
      <c r="I3116" s="9">
        <v>0</v>
      </c>
      <c r="J3116" s="7" t="s">
        <v>325</v>
      </c>
    </row>
    <row r="3117" spans="1:10" x14ac:dyDescent="0.35">
      <c r="A3117" s="7" t="s">
        <v>20</v>
      </c>
      <c r="B3117" s="7" t="s">
        <v>82</v>
      </c>
      <c r="C3117" s="7" t="s">
        <v>72</v>
      </c>
      <c r="D3117" s="9">
        <v>6.99</v>
      </c>
      <c r="E3117" s="9">
        <v>0.18</v>
      </c>
      <c r="F3117" s="9">
        <v>0</v>
      </c>
      <c r="G3117" s="8">
        <v>1711.88</v>
      </c>
      <c r="H3117" s="9">
        <v>40.24</v>
      </c>
      <c r="I3117" s="9">
        <v>0</v>
      </c>
      <c r="J3117" s="7" t="s">
        <v>325</v>
      </c>
    </row>
    <row r="3118" spans="1:10" x14ac:dyDescent="0.35">
      <c r="A3118" s="7" t="s">
        <v>20</v>
      </c>
      <c r="B3118" s="7" t="s">
        <v>82</v>
      </c>
      <c r="C3118" s="7" t="s">
        <v>59</v>
      </c>
      <c r="D3118" s="9">
        <v>0</v>
      </c>
      <c r="E3118" s="9">
        <v>0</v>
      </c>
      <c r="F3118" s="9">
        <v>0</v>
      </c>
      <c r="G3118" s="9">
        <v>0</v>
      </c>
      <c r="H3118" s="9">
        <v>0.01</v>
      </c>
      <c r="I3118" s="9">
        <v>0</v>
      </c>
      <c r="J3118" s="7" t="s">
        <v>325</v>
      </c>
    </row>
    <row r="3119" spans="1:10" x14ac:dyDescent="0.35">
      <c r="A3119" s="7" t="s">
        <v>20</v>
      </c>
      <c r="B3119" s="7" t="s">
        <v>82</v>
      </c>
      <c r="C3119" s="7" t="s">
        <v>179</v>
      </c>
      <c r="D3119" s="9">
        <v>0</v>
      </c>
      <c r="E3119" s="9">
        <v>0</v>
      </c>
      <c r="F3119" s="9">
        <v>0</v>
      </c>
      <c r="G3119" s="9">
        <v>0.01</v>
      </c>
      <c r="H3119" s="9">
        <v>0</v>
      </c>
      <c r="I3119" s="9">
        <v>0</v>
      </c>
      <c r="J3119" s="7" t="s">
        <v>325</v>
      </c>
    </row>
    <row r="3120" spans="1:10" x14ac:dyDescent="0.35">
      <c r="A3120" s="7" t="s">
        <v>20</v>
      </c>
      <c r="B3120" s="7" t="s">
        <v>82</v>
      </c>
      <c r="C3120" s="7" t="s">
        <v>84</v>
      </c>
      <c r="D3120" s="9">
        <v>0.24</v>
      </c>
      <c r="E3120" s="9">
        <v>0</v>
      </c>
      <c r="F3120" s="9">
        <v>0</v>
      </c>
      <c r="G3120" s="9">
        <v>35.01</v>
      </c>
      <c r="H3120" s="9">
        <v>0</v>
      </c>
      <c r="I3120" s="9">
        <v>0</v>
      </c>
      <c r="J3120" s="7" t="s">
        <v>325</v>
      </c>
    </row>
    <row r="3121" spans="1:10" x14ac:dyDescent="0.35">
      <c r="A3121" s="7" t="s">
        <v>20</v>
      </c>
      <c r="B3121" s="7" t="s">
        <v>82</v>
      </c>
      <c r="C3121" s="7" t="s">
        <v>22</v>
      </c>
      <c r="D3121" s="9">
        <v>1.82</v>
      </c>
      <c r="E3121" s="9">
        <v>0</v>
      </c>
      <c r="F3121" s="9">
        <v>0</v>
      </c>
      <c r="G3121" s="9">
        <v>793.5</v>
      </c>
      <c r="H3121" s="9">
        <v>0</v>
      </c>
      <c r="I3121" s="9">
        <v>0</v>
      </c>
      <c r="J3121" s="7" t="s">
        <v>325</v>
      </c>
    </row>
    <row r="3122" spans="1:10" x14ac:dyDescent="0.35">
      <c r="A3122" s="7" t="s">
        <v>49</v>
      </c>
      <c r="B3122" s="7" t="s">
        <v>121</v>
      </c>
      <c r="C3122" s="7" t="s">
        <v>181</v>
      </c>
      <c r="D3122" s="9">
        <v>0.05</v>
      </c>
      <c r="E3122" s="9">
        <v>0</v>
      </c>
      <c r="F3122" s="9">
        <v>0</v>
      </c>
      <c r="G3122" s="9">
        <v>13.76</v>
      </c>
      <c r="H3122" s="9">
        <v>0</v>
      </c>
      <c r="I3122" s="9">
        <v>0</v>
      </c>
      <c r="J3122" s="7" t="s">
        <v>325</v>
      </c>
    </row>
    <row r="3123" spans="1:10" ht="26.25" customHeight="1" x14ac:dyDescent="0.35">
      <c r="A3123" s="7" t="s">
        <v>49</v>
      </c>
      <c r="B3123" s="7" t="s">
        <v>237</v>
      </c>
      <c r="C3123" s="7" t="s">
        <v>81</v>
      </c>
      <c r="D3123" s="9">
        <v>0</v>
      </c>
      <c r="E3123" s="9">
        <v>0</v>
      </c>
      <c r="F3123" s="9">
        <v>0</v>
      </c>
      <c r="G3123" s="9">
        <v>0.04</v>
      </c>
      <c r="H3123" s="9">
        <v>0.06</v>
      </c>
      <c r="I3123" s="9">
        <v>0</v>
      </c>
      <c r="J3123" s="7" t="s">
        <v>325</v>
      </c>
    </row>
    <row r="3124" spans="1:10" x14ac:dyDescent="0.35">
      <c r="A3124" s="7" t="s">
        <v>49</v>
      </c>
      <c r="B3124" s="7" t="s">
        <v>237</v>
      </c>
      <c r="C3124" s="7" t="s">
        <v>83</v>
      </c>
      <c r="D3124" s="9">
        <v>0</v>
      </c>
      <c r="E3124" s="9">
        <v>0</v>
      </c>
      <c r="F3124" s="9">
        <v>0</v>
      </c>
      <c r="G3124" s="9">
        <v>0.02</v>
      </c>
      <c r="H3124" s="9">
        <v>0</v>
      </c>
      <c r="I3124" s="9">
        <v>0</v>
      </c>
      <c r="J3124" s="7" t="s">
        <v>325</v>
      </c>
    </row>
    <row r="3125" spans="1:10" x14ac:dyDescent="0.35">
      <c r="A3125" s="7" t="s">
        <v>20</v>
      </c>
      <c r="B3125" s="7" t="s">
        <v>82</v>
      </c>
      <c r="C3125" s="7" t="s">
        <v>18</v>
      </c>
      <c r="D3125" s="9">
        <v>0.05</v>
      </c>
      <c r="E3125" s="9">
        <v>0</v>
      </c>
      <c r="F3125" s="9">
        <v>0</v>
      </c>
      <c r="G3125" s="9">
        <v>24.5</v>
      </c>
      <c r="H3125" s="9">
        <v>0</v>
      </c>
      <c r="I3125" s="9">
        <v>0</v>
      </c>
      <c r="J3125" s="7" t="s">
        <v>325</v>
      </c>
    </row>
    <row r="3126" spans="1:10" x14ac:dyDescent="0.35">
      <c r="A3126" s="7" t="s">
        <v>49</v>
      </c>
      <c r="B3126" s="7" t="s">
        <v>237</v>
      </c>
      <c r="C3126" s="7" t="s">
        <v>55</v>
      </c>
      <c r="D3126" s="9">
        <v>0</v>
      </c>
      <c r="E3126" s="9">
        <v>0</v>
      </c>
      <c r="F3126" s="9">
        <v>0</v>
      </c>
      <c r="G3126" s="9">
        <v>0.28999999999999998</v>
      </c>
      <c r="H3126" s="9">
        <v>1.03</v>
      </c>
      <c r="I3126" s="9">
        <v>0.01</v>
      </c>
      <c r="J3126" s="7" t="s">
        <v>325</v>
      </c>
    </row>
    <row r="3127" spans="1:10" x14ac:dyDescent="0.35">
      <c r="A3127" s="7" t="s">
        <v>49</v>
      </c>
      <c r="B3127" s="7" t="s">
        <v>237</v>
      </c>
      <c r="C3127" s="7" t="s">
        <v>53</v>
      </c>
      <c r="D3127" s="9">
        <v>0</v>
      </c>
      <c r="E3127" s="9">
        <v>0</v>
      </c>
      <c r="F3127" s="9">
        <v>0</v>
      </c>
      <c r="G3127" s="9">
        <v>0.27</v>
      </c>
      <c r="H3127" s="9">
        <v>0.82</v>
      </c>
      <c r="I3127" s="9">
        <v>0</v>
      </c>
      <c r="J3127" s="7" t="s">
        <v>325</v>
      </c>
    </row>
    <row r="3128" spans="1:10" x14ac:dyDescent="0.35">
      <c r="A3128" s="7" t="s">
        <v>49</v>
      </c>
      <c r="B3128" s="7" t="s">
        <v>237</v>
      </c>
      <c r="C3128" s="7" t="s">
        <v>39</v>
      </c>
      <c r="D3128" s="9">
        <v>0</v>
      </c>
      <c r="E3128" s="9">
        <v>0</v>
      </c>
      <c r="F3128" s="9">
        <v>0</v>
      </c>
      <c r="G3128" s="9">
        <v>0.27</v>
      </c>
      <c r="H3128" s="9">
        <v>0.72</v>
      </c>
      <c r="I3128" s="9">
        <v>0.03</v>
      </c>
      <c r="J3128" s="7" t="s">
        <v>325</v>
      </c>
    </row>
    <row r="3129" spans="1:10" x14ac:dyDescent="0.35">
      <c r="A3129" s="7" t="s">
        <v>49</v>
      </c>
      <c r="B3129" s="7" t="s">
        <v>237</v>
      </c>
      <c r="C3129" s="7" t="s">
        <v>126</v>
      </c>
      <c r="D3129" s="9">
        <v>0</v>
      </c>
      <c r="E3129" s="9">
        <v>0.01</v>
      </c>
      <c r="F3129" s="9">
        <v>0</v>
      </c>
      <c r="G3129" s="9">
        <v>0</v>
      </c>
      <c r="H3129" s="9">
        <v>3</v>
      </c>
      <c r="I3129" s="9">
        <v>0</v>
      </c>
      <c r="J3129" s="7" t="s">
        <v>325</v>
      </c>
    </row>
    <row r="3130" spans="1:10" x14ac:dyDescent="0.35">
      <c r="A3130" s="7" t="s">
        <v>20</v>
      </c>
      <c r="B3130" s="7" t="s">
        <v>82</v>
      </c>
      <c r="C3130" s="7" t="s">
        <v>60</v>
      </c>
      <c r="D3130" s="9">
        <v>0.02</v>
      </c>
      <c r="E3130" s="9">
        <v>0</v>
      </c>
      <c r="F3130" s="9">
        <v>0</v>
      </c>
      <c r="G3130" s="9">
        <v>4.7300000000000004</v>
      </c>
      <c r="H3130" s="9">
        <v>0</v>
      </c>
      <c r="I3130" s="9">
        <v>0</v>
      </c>
      <c r="J3130" s="7" t="s">
        <v>325</v>
      </c>
    </row>
    <row r="3131" spans="1:10" x14ac:dyDescent="0.35">
      <c r="A3131" s="7" t="s">
        <v>20</v>
      </c>
      <c r="B3131" s="7" t="s">
        <v>173</v>
      </c>
      <c r="C3131" s="7" t="s">
        <v>181</v>
      </c>
      <c r="D3131" s="9">
        <v>0</v>
      </c>
      <c r="E3131" s="9">
        <v>0</v>
      </c>
      <c r="F3131" s="9">
        <v>0</v>
      </c>
      <c r="G3131" s="9">
        <v>0</v>
      </c>
      <c r="H3131" s="9">
        <v>0.04</v>
      </c>
      <c r="I3131" s="9">
        <v>0</v>
      </c>
      <c r="J3131" s="7" t="s">
        <v>325</v>
      </c>
    </row>
    <row r="3132" spans="1:10" x14ac:dyDescent="0.35">
      <c r="A3132" s="7" t="s">
        <v>49</v>
      </c>
      <c r="B3132" s="7" t="s">
        <v>237</v>
      </c>
      <c r="C3132" s="7" t="s">
        <v>33</v>
      </c>
      <c r="D3132" s="9">
        <v>0</v>
      </c>
      <c r="E3132" s="9">
        <v>0.02</v>
      </c>
      <c r="F3132" s="9">
        <v>0</v>
      </c>
      <c r="G3132" s="9">
        <v>4.9400000000000004</v>
      </c>
      <c r="H3132" s="9">
        <v>31.27</v>
      </c>
      <c r="I3132" s="9">
        <v>0</v>
      </c>
      <c r="J3132" s="7" t="s">
        <v>325</v>
      </c>
    </row>
    <row r="3133" spans="1:10" x14ac:dyDescent="0.35">
      <c r="A3133" s="7" t="s">
        <v>20</v>
      </c>
      <c r="B3133" s="7" t="s">
        <v>173</v>
      </c>
      <c r="C3133" s="7" t="s">
        <v>102</v>
      </c>
      <c r="D3133" s="9">
        <v>0.01</v>
      </c>
      <c r="E3133" s="9">
        <v>0</v>
      </c>
      <c r="F3133" s="9">
        <v>0</v>
      </c>
      <c r="G3133" s="9">
        <v>10.4</v>
      </c>
      <c r="H3133" s="9">
        <v>0.03</v>
      </c>
      <c r="I3133" s="9">
        <v>0</v>
      </c>
      <c r="J3133" s="7" t="s">
        <v>325</v>
      </c>
    </row>
    <row r="3134" spans="1:10" x14ac:dyDescent="0.35">
      <c r="A3134" s="7" t="s">
        <v>49</v>
      </c>
      <c r="B3134" s="7" t="s">
        <v>304</v>
      </c>
      <c r="C3134" s="7" t="s">
        <v>42</v>
      </c>
      <c r="D3134" s="9">
        <v>0</v>
      </c>
      <c r="E3134" s="9">
        <v>0</v>
      </c>
      <c r="F3134" s="9">
        <v>0</v>
      </c>
      <c r="G3134" s="9">
        <v>0</v>
      </c>
      <c r="H3134" s="9">
        <v>0</v>
      </c>
      <c r="I3134" s="9">
        <v>0</v>
      </c>
      <c r="J3134" s="7" t="s">
        <v>325</v>
      </c>
    </row>
    <row r="3135" spans="1:10" x14ac:dyDescent="0.35">
      <c r="A3135" s="7" t="s">
        <v>231</v>
      </c>
      <c r="B3135" s="7" t="s">
        <v>232</v>
      </c>
      <c r="C3135" s="7" t="s">
        <v>60</v>
      </c>
      <c r="D3135" s="9">
        <v>0.09</v>
      </c>
      <c r="E3135" s="9">
        <v>0.02</v>
      </c>
      <c r="F3135" s="9">
        <v>0</v>
      </c>
      <c r="G3135" s="9">
        <v>25</v>
      </c>
      <c r="H3135" s="9">
        <v>12.64</v>
      </c>
      <c r="I3135" s="9">
        <v>0</v>
      </c>
      <c r="J3135" s="7" t="s">
        <v>325</v>
      </c>
    </row>
    <row r="3136" spans="1:10" x14ac:dyDescent="0.35">
      <c r="A3136" s="7" t="s">
        <v>231</v>
      </c>
      <c r="B3136" s="7" t="s">
        <v>232</v>
      </c>
      <c r="C3136" s="7" t="s">
        <v>150</v>
      </c>
      <c r="D3136" s="9">
        <v>0</v>
      </c>
      <c r="E3136" s="9">
        <v>0</v>
      </c>
      <c r="F3136" s="9">
        <v>0</v>
      </c>
      <c r="G3136" s="9">
        <v>0.03</v>
      </c>
      <c r="H3136" s="9">
        <v>0.01</v>
      </c>
      <c r="I3136" s="9">
        <v>0</v>
      </c>
      <c r="J3136" s="7" t="s">
        <v>325</v>
      </c>
    </row>
    <row r="3137" spans="1:10" x14ac:dyDescent="0.35">
      <c r="A3137" s="7" t="s">
        <v>231</v>
      </c>
      <c r="B3137" s="7" t="s">
        <v>232</v>
      </c>
      <c r="C3137" s="7" t="s">
        <v>110</v>
      </c>
      <c r="D3137" s="9">
        <v>0.52</v>
      </c>
      <c r="E3137" s="9">
        <v>0.59</v>
      </c>
      <c r="F3137" s="9">
        <v>0</v>
      </c>
      <c r="G3137" s="8">
        <v>1007.25</v>
      </c>
      <c r="H3137" s="8">
        <v>1184.2</v>
      </c>
      <c r="I3137" s="9">
        <v>0</v>
      </c>
      <c r="J3137" s="7" t="s">
        <v>325</v>
      </c>
    </row>
    <row r="3138" spans="1:10" x14ac:dyDescent="0.35">
      <c r="A3138" s="7" t="s">
        <v>231</v>
      </c>
      <c r="B3138" s="7" t="s">
        <v>232</v>
      </c>
      <c r="C3138" s="7" t="s">
        <v>122</v>
      </c>
      <c r="D3138" s="9">
        <v>0</v>
      </c>
      <c r="E3138" s="9">
        <v>0</v>
      </c>
      <c r="F3138" s="9">
        <v>0</v>
      </c>
      <c r="G3138" s="9">
        <v>0</v>
      </c>
      <c r="H3138" s="9">
        <v>0</v>
      </c>
      <c r="I3138" s="9">
        <v>0</v>
      </c>
      <c r="J3138" s="7" t="s">
        <v>325</v>
      </c>
    </row>
    <row r="3139" spans="1:10" x14ac:dyDescent="0.35">
      <c r="A3139" s="7" t="s">
        <v>231</v>
      </c>
      <c r="B3139" s="7" t="s">
        <v>232</v>
      </c>
      <c r="C3139" s="7" t="s">
        <v>69</v>
      </c>
      <c r="D3139" s="9">
        <v>0</v>
      </c>
      <c r="E3139" s="9">
        <v>0</v>
      </c>
      <c r="F3139" s="9">
        <v>0</v>
      </c>
      <c r="G3139" s="9">
        <v>0.1</v>
      </c>
      <c r="H3139" s="9">
        <v>0.01</v>
      </c>
      <c r="I3139" s="9">
        <v>0</v>
      </c>
      <c r="J3139" s="7" t="s">
        <v>325</v>
      </c>
    </row>
    <row r="3140" spans="1:10" x14ac:dyDescent="0.35">
      <c r="A3140" s="7" t="s">
        <v>231</v>
      </c>
      <c r="B3140" s="7" t="s">
        <v>232</v>
      </c>
      <c r="C3140" s="7" t="s">
        <v>46</v>
      </c>
      <c r="D3140" s="9">
        <v>0</v>
      </c>
      <c r="E3140" s="9">
        <v>0</v>
      </c>
      <c r="F3140" s="9">
        <v>0</v>
      </c>
      <c r="G3140" s="9">
        <v>0.01</v>
      </c>
      <c r="H3140" s="9">
        <v>7.0000000000000007E-2</v>
      </c>
      <c r="I3140" s="9">
        <v>0.01</v>
      </c>
      <c r="J3140" s="7" t="s">
        <v>325</v>
      </c>
    </row>
    <row r="3141" spans="1:10" x14ac:dyDescent="0.35">
      <c r="A3141" s="7" t="s">
        <v>20</v>
      </c>
      <c r="B3141" s="7" t="s">
        <v>173</v>
      </c>
      <c r="C3141" s="7" t="s">
        <v>118</v>
      </c>
      <c r="D3141" s="9">
        <v>0</v>
      </c>
      <c r="E3141" s="9">
        <v>0</v>
      </c>
      <c r="F3141" s="9">
        <v>0</v>
      </c>
      <c r="G3141" s="9">
        <v>0.2</v>
      </c>
      <c r="H3141" s="9">
        <v>0</v>
      </c>
      <c r="I3141" s="9">
        <v>0</v>
      </c>
      <c r="J3141" s="7" t="s">
        <v>325</v>
      </c>
    </row>
    <row r="3142" spans="1:10" x14ac:dyDescent="0.35">
      <c r="A3142" s="7" t="s">
        <v>231</v>
      </c>
      <c r="B3142" s="7" t="s">
        <v>232</v>
      </c>
      <c r="C3142" s="7" t="s">
        <v>144</v>
      </c>
      <c r="D3142" s="9">
        <v>0</v>
      </c>
      <c r="E3142" s="9">
        <v>0</v>
      </c>
      <c r="F3142" s="9">
        <v>0</v>
      </c>
      <c r="G3142" s="9">
        <v>0.02</v>
      </c>
      <c r="H3142" s="9">
        <v>0</v>
      </c>
      <c r="I3142" s="9">
        <v>0</v>
      </c>
      <c r="J3142" s="7" t="s">
        <v>325</v>
      </c>
    </row>
    <row r="3143" spans="1:10" x14ac:dyDescent="0.35">
      <c r="A3143" s="7" t="s">
        <v>20</v>
      </c>
      <c r="B3143" s="7" t="s">
        <v>173</v>
      </c>
      <c r="C3143" s="7" t="s">
        <v>51</v>
      </c>
      <c r="D3143" s="9">
        <v>0</v>
      </c>
      <c r="E3143" s="9">
        <v>0</v>
      </c>
      <c r="F3143" s="9">
        <v>0</v>
      </c>
      <c r="G3143" s="9">
        <v>0.3</v>
      </c>
      <c r="H3143" s="9">
        <v>0.03</v>
      </c>
      <c r="I3143" s="9">
        <v>0</v>
      </c>
      <c r="J3143" s="7" t="s">
        <v>325</v>
      </c>
    </row>
    <row r="3144" spans="1:10" x14ac:dyDescent="0.35">
      <c r="A3144" s="7" t="s">
        <v>231</v>
      </c>
      <c r="B3144" s="7" t="s">
        <v>232</v>
      </c>
      <c r="C3144" s="7" t="s">
        <v>27</v>
      </c>
      <c r="D3144" s="9">
        <v>0.09</v>
      </c>
      <c r="E3144" s="9">
        <v>0.02</v>
      </c>
      <c r="F3144" s="9">
        <v>0</v>
      </c>
      <c r="G3144" s="9">
        <v>245.85</v>
      </c>
      <c r="H3144" s="9">
        <v>39.14</v>
      </c>
      <c r="I3144" s="9">
        <v>0</v>
      </c>
      <c r="J3144" s="7" t="s">
        <v>325</v>
      </c>
    </row>
    <row r="3145" spans="1:10" x14ac:dyDescent="0.35">
      <c r="A3145" s="7" t="s">
        <v>20</v>
      </c>
      <c r="B3145" s="7" t="s">
        <v>173</v>
      </c>
      <c r="C3145" s="7" t="s">
        <v>55</v>
      </c>
      <c r="D3145" s="9">
        <v>0</v>
      </c>
      <c r="E3145" s="9">
        <v>0.01</v>
      </c>
      <c r="F3145" s="9">
        <v>0</v>
      </c>
      <c r="G3145" s="9">
        <v>0</v>
      </c>
      <c r="H3145" s="9">
        <v>29.92</v>
      </c>
      <c r="I3145" s="9">
        <v>0</v>
      </c>
      <c r="J3145" s="7" t="s">
        <v>325</v>
      </c>
    </row>
    <row r="3146" spans="1:10" x14ac:dyDescent="0.35">
      <c r="A3146" s="7" t="s">
        <v>231</v>
      </c>
      <c r="B3146" s="7" t="s">
        <v>232</v>
      </c>
      <c r="C3146" s="7" t="s">
        <v>128</v>
      </c>
      <c r="D3146" s="9">
        <v>0</v>
      </c>
      <c r="E3146" s="9">
        <v>0</v>
      </c>
      <c r="F3146" s="9">
        <v>0</v>
      </c>
      <c r="G3146" s="9">
        <v>0.17</v>
      </c>
      <c r="H3146" s="9">
        <v>0</v>
      </c>
      <c r="I3146" s="9">
        <v>0</v>
      </c>
      <c r="J3146" s="7" t="s">
        <v>325</v>
      </c>
    </row>
    <row r="3147" spans="1:10" x14ac:dyDescent="0.35">
      <c r="A3147" s="7" t="s">
        <v>20</v>
      </c>
      <c r="B3147" s="7" t="s">
        <v>173</v>
      </c>
      <c r="C3147" s="7" t="s">
        <v>83</v>
      </c>
      <c r="D3147" s="9">
        <v>0</v>
      </c>
      <c r="E3147" s="9">
        <v>0.06</v>
      </c>
      <c r="F3147" s="9">
        <v>0</v>
      </c>
      <c r="G3147" s="9">
        <v>0</v>
      </c>
      <c r="H3147" s="9">
        <v>23.81</v>
      </c>
      <c r="I3147" s="9">
        <v>0</v>
      </c>
      <c r="J3147" s="7" t="s">
        <v>325</v>
      </c>
    </row>
    <row r="3148" spans="1:10" x14ac:dyDescent="0.35">
      <c r="A3148" s="7" t="s">
        <v>231</v>
      </c>
      <c r="B3148" s="7" t="s">
        <v>232</v>
      </c>
      <c r="C3148" s="7" t="s">
        <v>221</v>
      </c>
      <c r="D3148" s="9">
        <v>0</v>
      </c>
      <c r="E3148" s="9">
        <v>0</v>
      </c>
      <c r="F3148" s="9">
        <v>0</v>
      </c>
      <c r="G3148" s="9">
        <v>0.69</v>
      </c>
      <c r="H3148" s="9">
        <v>0</v>
      </c>
      <c r="I3148" s="9">
        <v>0</v>
      </c>
      <c r="J3148" s="7" t="s">
        <v>325</v>
      </c>
    </row>
    <row r="3149" spans="1:10" x14ac:dyDescent="0.35">
      <c r="A3149" s="7" t="s">
        <v>20</v>
      </c>
      <c r="B3149" s="7" t="s">
        <v>173</v>
      </c>
      <c r="C3149" s="7" t="s">
        <v>122</v>
      </c>
      <c r="D3149" s="9">
        <v>0.53</v>
      </c>
      <c r="E3149" s="9">
        <v>0.02</v>
      </c>
      <c r="F3149" s="9">
        <v>0</v>
      </c>
      <c r="G3149" s="9">
        <v>129.72999999999999</v>
      </c>
      <c r="H3149" s="9">
        <v>36.799999999999997</v>
      </c>
      <c r="I3149" s="9">
        <v>0</v>
      </c>
      <c r="J3149" s="7" t="s">
        <v>325</v>
      </c>
    </row>
    <row r="3150" spans="1:10" x14ac:dyDescent="0.35">
      <c r="A3150" s="7" t="s">
        <v>231</v>
      </c>
      <c r="B3150" s="7" t="s">
        <v>232</v>
      </c>
      <c r="C3150" s="7" t="s">
        <v>181</v>
      </c>
      <c r="D3150" s="9">
        <v>0</v>
      </c>
      <c r="E3150" s="9">
        <v>0</v>
      </c>
      <c r="F3150" s="9">
        <v>0</v>
      </c>
      <c r="G3150" s="9">
        <v>0.42</v>
      </c>
      <c r="H3150" s="9">
        <v>0.1</v>
      </c>
      <c r="I3150" s="9">
        <v>0</v>
      </c>
      <c r="J3150" s="7" t="s">
        <v>325</v>
      </c>
    </row>
    <row r="3151" spans="1:10" x14ac:dyDescent="0.35">
      <c r="A3151" s="7" t="s">
        <v>231</v>
      </c>
      <c r="B3151" s="7" t="s">
        <v>232</v>
      </c>
      <c r="C3151" s="7" t="s">
        <v>113</v>
      </c>
      <c r="D3151" s="9">
        <v>0</v>
      </c>
      <c r="E3151" s="9">
        <v>0</v>
      </c>
      <c r="F3151" s="9">
        <v>0</v>
      </c>
      <c r="G3151" s="9">
        <v>0</v>
      </c>
      <c r="H3151" s="9">
        <v>0.63</v>
      </c>
      <c r="I3151" s="9">
        <v>0</v>
      </c>
      <c r="J3151" s="7" t="s">
        <v>325</v>
      </c>
    </row>
    <row r="3152" spans="1:10" x14ac:dyDescent="0.35">
      <c r="A3152" s="7" t="s">
        <v>231</v>
      </c>
      <c r="B3152" s="7" t="s">
        <v>236</v>
      </c>
      <c r="C3152" s="7" t="s">
        <v>18</v>
      </c>
      <c r="D3152" s="9">
        <v>0</v>
      </c>
      <c r="E3152" s="9">
        <v>0.02</v>
      </c>
      <c r="F3152" s="9">
        <v>0</v>
      </c>
      <c r="G3152" s="9">
        <v>0</v>
      </c>
      <c r="H3152" s="9">
        <v>26.9</v>
      </c>
      <c r="I3152" s="9">
        <v>0</v>
      </c>
      <c r="J3152" s="7" t="s">
        <v>325</v>
      </c>
    </row>
    <row r="3153" spans="1:10" x14ac:dyDescent="0.35">
      <c r="A3153" s="7" t="s">
        <v>231</v>
      </c>
      <c r="B3153" s="7" t="s">
        <v>236</v>
      </c>
      <c r="C3153" s="7" t="s">
        <v>84</v>
      </c>
      <c r="D3153" s="9">
        <v>0</v>
      </c>
      <c r="E3153" s="9">
        <v>0</v>
      </c>
      <c r="F3153" s="9">
        <v>0</v>
      </c>
      <c r="G3153" s="9">
        <v>0</v>
      </c>
      <c r="H3153" s="9">
        <v>0.01</v>
      </c>
      <c r="I3153" s="9">
        <v>0</v>
      </c>
      <c r="J3153" s="7" t="s">
        <v>325</v>
      </c>
    </row>
    <row r="3154" spans="1:10" x14ac:dyDescent="0.35">
      <c r="A3154" s="7" t="s">
        <v>20</v>
      </c>
      <c r="B3154" s="7" t="s">
        <v>173</v>
      </c>
      <c r="C3154" s="7" t="s">
        <v>150</v>
      </c>
      <c r="D3154" s="9">
        <v>0</v>
      </c>
      <c r="E3154" s="9">
        <v>0</v>
      </c>
      <c r="F3154" s="9">
        <v>0</v>
      </c>
      <c r="G3154" s="9">
        <v>7.0000000000000007E-2</v>
      </c>
      <c r="H3154" s="9">
        <v>0.01</v>
      </c>
      <c r="I3154" s="9">
        <v>0</v>
      </c>
      <c r="J3154" s="7" t="s">
        <v>325</v>
      </c>
    </row>
    <row r="3155" spans="1:10" x14ac:dyDescent="0.35">
      <c r="A3155" s="7" t="s">
        <v>231</v>
      </c>
      <c r="B3155" s="7" t="s">
        <v>236</v>
      </c>
      <c r="C3155" s="7" t="s">
        <v>51</v>
      </c>
      <c r="D3155" s="9">
        <v>0</v>
      </c>
      <c r="E3155" s="9">
        <v>0</v>
      </c>
      <c r="F3155" s="9">
        <v>0</v>
      </c>
      <c r="G3155" s="9">
        <v>0.01</v>
      </c>
      <c r="H3155" s="9">
        <v>0</v>
      </c>
      <c r="I3155" s="9">
        <v>0</v>
      </c>
      <c r="J3155" s="7" t="s">
        <v>325</v>
      </c>
    </row>
    <row r="3156" spans="1:10" x14ac:dyDescent="0.35">
      <c r="A3156" s="7" t="s">
        <v>231</v>
      </c>
      <c r="B3156" s="7" t="s">
        <v>236</v>
      </c>
      <c r="C3156" s="7" t="s">
        <v>27</v>
      </c>
      <c r="D3156" s="9">
        <v>0</v>
      </c>
      <c r="E3156" s="9">
        <v>0.08</v>
      </c>
      <c r="F3156" s="9">
        <v>0</v>
      </c>
      <c r="G3156" s="9">
        <v>0</v>
      </c>
      <c r="H3156" s="9">
        <v>209.26</v>
      </c>
      <c r="I3156" s="9">
        <v>0</v>
      </c>
      <c r="J3156" s="7" t="s">
        <v>325</v>
      </c>
    </row>
    <row r="3157" spans="1:10" x14ac:dyDescent="0.35">
      <c r="A3157" s="7" t="s">
        <v>20</v>
      </c>
      <c r="B3157" s="7" t="s">
        <v>173</v>
      </c>
      <c r="C3157" s="7" t="s">
        <v>22</v>
      </c>
      <c r="D3157" s="9">
        <v>0</v>
      </c>
      <c r="E3157" s="9">
        <v>0.22</v>
      </c>
      <c r="F3157" s="9">
        <v>0</v>
      </c>
      <c r="G3157" s="9">
        <v>0</v>
      </c>
      <c r="H3157" s="9">
        <v>57</v>
      </c>
      <c r="I3157" s="9">
        <v>0</v>
      </c>
      <c r="J3157" s="7" t="s">
        <v>325</v>
      </c>
    </row>
    <row r="3158" spans="1:10" x14ac:dyDescent="0.35">
      <c r="A3158" s="7" t="s">
        <v>20</v>
      </c>
      <c r="B3158" s="7" t="s">
        <v>173</v>
      </c>
      <c r="C3158" s="7" t="s">
        <v>18</v>
      </c>
      <c r="D3158" s="9">
        <v>0.01</v>
      </c>
      <c r="E3158" s="9">
        <v>0</v>
      </c>
      <c r="F3158" s="9">
        <v>0</v>
      </c>
      <c r="G3158" s="9">
        <v>7.36</v>
      </c>
      <c r="H3158" s="9">
        <v>0.1</v>
      </c>
      <c r="I3158" s="9">
        <v>0</v>
      </c>
      <c r="J3158" s="7" t="s">
        <v>325</v>
      </c>
    </row>
    <row r="3159" spans="1:10" x14ac:dyDescent="0.35">
      <c r="A3159" s="7" t="s">
        <v>40</v>
      </c>
      <c r="B3159" s="7" t="s">
        <v>211</v>
      </c>
      <c r="C3159" s="7" t="s">
        <v>150</v>
      </c>
      <c r="D3159" s="9">
        <v>0</v>
      </c>
      <c r="E3159" s="9">
        <v>0</v>
      </c>
      <c r="F3159" s="9">
        <v>0</v>
      </c>
      <c r="G3159" s="9">
        <v>0</v>
      </c>
      <c r="H3159" s="9">
        <v>0.03</v>
      </c>
      <c r="I3159" s="9">
        <v>0</v>
      </c>
      <c r="J3159" s="7" t="s">
        <v>325</v>
      </c>
    </row>
    <row r="3160" spans="1:10" x14ac:dyDescent="0.35">
      <c r="A3160" s="7" t="s">
        <v>40</v>
      </c>
      <c r="B3160" s="7" t="s">
        <v>211</v>
      </c>
      <c r="C3160" s="7" t="s">
        <v>48</v>
      </c>
      <c r="D3160" s="9">
        <v>0.01</v>
      </c>
      <c r="E3160" s="9">
        <v>0.01</v>
      </c>
      <c r="F3160" s="9">
        <v>0</v>
      </c>
      <c r="G3160" s="9">
        <v>2.19</v>
      </c>
      <c r="H3160" s="9">
        <v>2.0699999999999998</v>
      </c>
      <c r="I3160" s="9">
        <v>0</v>
      </c>
      <c r="J3160" s="7" t="s">
        <v>325</v>
      </c>
    </row>
    <row r="3161" spans="1:10" x14ac:dyDescent="0.35">
      <c r="A3161" s="7" t="s">
        <v>40</v>
      </c>
      <c r="B3161" s="7" t="s">
        <v>211</v>
      </c>
      <c r="C3161" s="7" t="s">
        <v>59</v>
      </c>
      <c r="D3161" s="9">
        <v>0</v>
      </c>
      <c r="E3161" s="9">
        <v>0</v>
      </c>
      <c r="F3161" s="9">
        <v>0</v>
      </c>
      <c r="G3161" s="9">
        <v>0</v>
      </c>
      <c r="H3161" s="9">
        <v>0</v>
      </c>
      <c r="I3161" s="9">
        <v>0</v>
      </c>
      <c r="J3161" s="7" t="s">
        <v>325</v>
      </c>
    </row>
    <row r="3162" spans="1:10" x14ac:dyDescent="0.35">
      <c r="A3162" s="7" t="s">
        <v>20</v>
      </c>
      <c r="B3162" s="7" t="s">
        <v>305</v>
      </c>
      <c r="C3162" s="7" t="s">
        <v>33</v>
      </c>
      <c r="D3162" s="9">
        <v>0.03</v>
      </c>
      <c r="E3162" s="9">
        <v>0</v>
      </c>
      <c r="F3162" s="9">
        <v>0</v>
      </c>
      <c r="G3162" s="9">
        <v>24.37</v>
      </c>
      <c r="H3162" s="9">
        <v>0</v>
      </c>
      <c r="I3162" s="9">
        <v>0</v>
      </c>
      <c r="J3162" s="7" t="s">
        <v>325</v>
      </c>
    </row>
    <row r="3163" spans="1:10" x14ac:dyDescent="0.35">
      <c r="A3163" s="7" t="s">
        <v>20</v>
      </c>
      <c r="B3163" s="7" t="s">
        <v>305</v>
      </c>
      <c r="C3163" s="7" t="s">
        <v>42</v>
      </c>
      <c r="D3163" s="9">
        <v>0.02</v>
      </c>
      <c r="E3163" s="9">
        <v>0</v>
      </c>
      <c r="F3163" s="9">
        <v>0</v>
      </c>
      <c r="G3163" s="9">
        <v>7.95</v>
      </c>
      <c r="H3163" s="9">
        <v>0</v>
      </c>
      <c r="I3163" s="9">
        <v>0</v>
      </c>
      <c r="J3163" s="7" t="s">
        <v>325</v>
      </c>
    </row>
    <row r="3164" spans="1:10" x14ac:dyDescent="0.35">
      <c r="A3164" s="7" t="s">
        <v>40</v>
      </c>
      <c r="B3164" s="7" t="s">
        <v>211</v>
      </c>
      <c r="C3164" s="7" t="s">
        <v>55</v>
      </c>
      <c r="D3164" s="9">
        <v>0</v>
      </c>
      <c r="E3164" s="9">
        <v>0</v>
      </c>
      <c r="F3164" s="9">
        <v>0</v>
      </c>
      <c r="G3164" s="9">
        <v>0.38</v>
      </c>
      <c r="H3164" s="9">
        <v>0.01</v>
      </c>
      <c r="I3164" s="9">
        <v>0</v>
      </c>
      <c r="J3164" s="7" t="s">
        <v>325</v>
      </c>
    </row>
    <row r="3165" spans="1:10" x14ac:dyDescent="0.35">
      <c r="A3165" s="7" t="s">
        <v>40</v>
      </c>
      <c r="B3165" s="7" t="s">
        <v>211</v>
      </c>
      <c r="C3165" s="7" t="s">
        <v>53</v>
      </c>
      <c r="D3165" s="9">
        <v>0</v>
      </c>
      <c r="E3165" s="9">
        <v>0</v>
      </c>
      <c r="F3165" s="9">
        <v>0</v>
      </c>
      <c r="G3165" s="9">
        <v>0</v>
      </c>
      <c r="H3165" s="9">
        <v>0.4</v>
      </c>
      <c r="I3165" s="9">
        <v>0</v>
      </c>
      <c r="J3165" s="7" t="s">
        <v>325</v>
      </c>
    </row>
    <row r="3166" spans="1:10" x14ac:dyDescent="0.35">
      <c r="A3166" s="7" t="s">
        <v>40</v>
      </c>
      <c r="B3166" s="7" t="s">
        <v>211</v>
      </c>
      <c r="C3166" s="7" t="s">
        <v>65</v>
      </c>
      <c r="D3166" s="9">
        <v>0</v>
      </c>
      <c r="E3166" s="9">
        <v>0</v>
      </c>
      <c r="F3166" s="9">
        <v>0</v>
      </c>
      <c r="G3166" s="9">
        <v>0</v>
      </c>
      <c r="H3166" s="9">
        <v>0</v>
      </c>
      <c r="I3166" s="9">
        <v>0</v>
      </c>
      <c r="J3166" s="7" t="s">
        <v>325</v>
      </c>
    </row>
    <row r="3167" spans="1:10" x14ac:dyDescent="0.35">
      <c r="A3167" s="7" t="s">
        <v>20</v>
      </c>
      <c r="B3167" s="7" t="s">
        <v>305</v>
      </c>
      <c r="C3167" s="7" t="s">
        <v>54</v>
      </c>
      <c r="D3167" s="9">
        <v>3.04</v>
      </c>
      <c r="E3167" s="9">
        <v>0</v>
      </c>
      <c r="F3167" s="9">
        <v>0</v>
      </c>
      <c r="G3167" s="8">
        <v>2175.52</v>
      </c>
      <c r="H3167" s="9">
        <v>0</v>
      </c>
      <c r="I3167" s="9">
        <v>0</v>
      </c>
      <c r="J3167" s="7" t="s">
        <v>325</v>
      </c>
    </row>
    <row r="3168" spans="1:10" x14ac:dyDescent="0.35">
      <c r="A3168" s="7" t="s">
        <v>40</v>
      </c>
      <c r="B3168" s="7" t="s">
        <v>211</v>
      </c>
      <c r="C3168" s="7" t="s">
        <v>118</v>
      </c>
      <c r="D3168" s="9">
        <v>0</v>
      </c>
      <c r="E3168" s="9">
        <v>0</v>
      </c>
      <c r="F3168" s="9">
        <v>0</v>
      </c>
      <c r="G3168" s="9">
        <v>0</v>
      </c>
      <c r="H3168" s="9">
        <v>7.0000000000000007E-2</v>
      </c>
      <c r="I3168" s="9">
        <v>0</v>
      </c>
      <c r="J3168" s="7" t="s">
        <v>325</v>
      </c>
    </row>
    <row r="3169" spans="1:10" x14ac:dyDescent="0.35">
      <c r="A3169" s="7" t="s">
        <v>20</v>
      </c>
      <c r="B3169" s="7" t="s">
        <v>305</v>
      </c>
      <c r="C3169" s="7" t="s">
        <v>170</v>
      </c>
      <c r="D3169" s="9">
        <v>0.06</v>
      </c>
      <c r="E3169" s="9">
        <v>0</v>
      </c>
      <c r="F3169" s="9">
        <v>0</v>
      </c>
      <c r="G3169" s="9">
        <v>7.38</v>
      </c>
      <c r="H3169" s="9">
        <v>0</v>
      </c>
      <c r="I3169" s="9">
        <v>0</v>
      </c>
      <c r="J3169" s="7" t="s">
        <v>325</v>
      </c>
    </row>
    <row r="3170" spans="1:10" x14ac:dyDescent="0.35">
      <c r="A3170" s="7" t="s">
        <v>20</v>
      </c>
      <c r="B3170" s="7" t="s">
        <v>305</v>
      </c>
      <c r="C3170" s="7" t="s">
        <v>102</v>
      </c>
      <c r="D3170" s="9">
        <v>0.14000000000000001</v>
      </c>
      <c r="E3170" s="9">
        <v>0</v>
      </c>
      <c r="F3170" s="9">
        <v>0</v>
      </c>
      <c r="G3170" s="9">
        <v>172.2</v>
      </c>
      <c r="H3170" s="9">
        <v>0</v>
      </c>
      <c r="I3170" s="9">
        <v>0</v>
      </c>
      <c r="J3170" s="7" t="s">
        <v>325</v>
      </c>
    </row>
    <row r="3171" spans="1:10" x14ac:dyDescent="0.35">
      <c r="A3171" s="7" t="s">
        <v>40</v>
      </c>
      <c r="B3171" s="7" t="s">
        <v>211</v>
      </c>
      <c r="C3171" s="7" t="s">
        <v>42</v>
      </c>
      <c r="D3171" s="9">
        <v>0.02</v>
      </c>
      <c r="E3171" s="9">
        <v>0</v>
      </c>
      <c r="F3171" s="9">
        <v>0</v>
      </c>
      <c r="G3171" s="9">
        <v>41.17</v>
      </c>
      <c r="H3171" s="9">
        <v>0.41</v>
      </c>
      <c r="I3171" s="9">
        <v>0</v>
      </c>
      <c r="J3171" s="7" t="s">
        <v>325</v>
      </c>
    </row>
    <row r="3172" spans="1:10" x14ac:dyDescent="0.35">
      <c r="A3172" s="7" t="s">
        <v>40</v>
      </c>
      <c r="B3172" s="7" t="s">
        <v>211</v>
      </c>
      <c r="C3172" s="7" t="s">
        <v>33</v>
      </c>
      <c r="D3172" s="9">
        <v>0</v>
      </c>
      <c r="E3172" s="9">
        <v>0</v>
      </c>
      <c r="F3172" s="9">
        <v>0</v>
      </c>
      <c r="G3172" s="9">
        <v>0</v>
      </c>
      <c r="H3172" s="9">
        <v>0</v>
      </c>
      <c r="I3172" s="9">
        <v>0</v>
      </c>
      <c r="J3172" s="7" t="s">
        <v>325</v>
      </c>
    </row>
    <row r="3173" spans="1:10" x14ac:dyDescent="0.35">
      <c r="A3173" s="7" t="s">
        <v>40</v>
      </c>
      <c r="B3173" s="7" t="s">
        <v>194</v>
      </c>
      <c r="C3173" s="7" t="s">
        <v>150</v>
      </c>
      <c r="D3173" s="9">
        <v>0</v>
      </c>
      <c r="E3173" s="9">
        <v>0</v>
      </c>
      <c r="F3173" s="9">
        <v>0</v>
      </c>
      <c r="G3173" s="9">
        <v>0</v>
      </c>
      <c r="H3173" s="9">
        <v>2.04</v>
      </c>
      <c r="I3173" s="9">
        <v>0</v>
      </c>
      <c r="J3173" s="7" t="s">
        <v>325</v>
      </c>
    </row>
    <row r="3174" spans="1:10" x14ac:dyDescent="0.35">
      <c r="A3174" s="7" t="s">
        <v>20</v>
      </c>
      <c r="B3174" s="7" t="s">
        <v>305</v>
      </c>
      <c r="C3174" s="7" t="s">
        <v>45</v>
      </c>
      <c r="D3174" s="9">
        <v>0.59</v>
      </c>
      <c r="E3174" s="9">
        <v>0</v>
      </c>
      <c r="F3174" s="9">
        <v>0</v>
      </c>
      <c r="G3174" s="8">
        <v>1086.33</v>
      </c>
      <c r="H3174" s="9">
        <v>0</v>
      </c>
      <c r="I3174" s="9">
        <v>0</v>
      </c>
      <c r="J3174" s="7" t="s">
        <v>325</v>
      </c>
    </row>
    <row r="3175" spans="1:10" x14ac:dyDescent="0.35">
      <c r="A3175" s="7" t="s">
        <v>20</v>
      </c>
      <c r="B3175" s="7" t="s">
        <v>305</v>
      </c>
      <c r="C3175" s="7" t="s">
        <v>39</v>
      </c>
      <c r="D3175" s="9">
        <v>0.02</v>
      </c>
      <c r="E3175" s="9">
        <v>0</v>
      </c>
      <c r="F3175" s="9">
        <v>0</v>
      </c>
      <c r="G3175" s="9">
        <v>7.87</v>
      </c>
      <c r="H3175" s="9">
        <v>0</v>
      </c>
      <c r="I3175" s="9">
        <v>0</v>
      </c>
      <c r="J3175" s="7" t="s">
        <v>325</v>
      </c>
    </row>
    <row r="3176" spans="1:10" x14ac:dyDescent="0.35">
      <c r="A3176" s="7" t="s">
        <v>20</v>
      </c>
      <c r="B3176" s="7" t="s">
        <v>305</v>
      </c>
      <c r="C3176" s="7" t="s">
        <v>144</v>
      </c>
      <c r="D3176" s="9">
        <v>0</v>
      </c>
      <c r="E3176" s="9">
        <v>0</v>
      </c>
      <c r="F3176" s="9">
        <v>0</v>
      </c>
      <c r="G3176" s="9">
        <v>0.3</v>
      </c>
      <c r="H3176" s="9">
        <v>0</v>
      </c>
      <c r="I3176" s="9">
        <v>0</v>
      </c>
      <c r="J3176" s="7" t="s">
        <v>325</v>
      </c>
    </row>
    <row r="3177" spans="1:10" x14ac:dyDescent="0.35">
      <c r="A3177" s="7" t="s">
        <v>20</v>
      </c>
      <c r="B3177" s="7" t="s">
        <v>305</v>
      </c>
      <c r="C3177" s="7" t="s">
        <v>151</v>
      </c>
      <c r="D3177" s="9">
        <v>0.02</v>
      </c>
      <c r="E3177" s="9">
        <v>0</v>
      </c>
      <c r="F3177" s="9">
        <v>0</v>
      </c>
      <c r="G3177" s="9">
        <v>10.91</v>
      </c>
      <c r="H3177" s="9">
        <v>0</v>
      </c>
      <c r="I3177" s="9">
        <v>0</v>
      </c>
      <c r="J3177" s="7" t="s">
        <v>325</v>
      </c>
    </row>
    <row r="3178" spans="1:10" x14ac:dyDescent="0.35">
      <c r="A3178" s="7" t="s">
        <v>40</v>
      </c>
      <c r="B3178" s="7" t="s">
        <v>194</v>
      </c>
      <c r="C3178" s="7" t="s">
        <v>69</v>
      </c>
      <c r="D3178" s="9">
        <v>0</v>
      </c>
      <c r="E3178" s="9">
        <v>0</v>
      </c>
      <c r="F3178" s="9">
        <v>0</v>
      </c>
      <c r="G3178" s="9">
        <v>0.02</v>
      </c>
      <c r="H3178" s="9">
        <v>0.01</v>
      </c>
      <c r="I3178" s="9">
        <v>0</v>
      </c>
      <c r="J3178" s="7" t="s">
        <v>325</v>
      </c>
    </row>
    <row r="3179" spans="1:10" x14ac:dyDescent="0.35">
      <c r="A3179" s="7" t="s">
        <v>40</v>
      </c>
      <c r="B3179" s="7" t="s">
        <v>194</v>
      </c>
      <c r="C3179" s="7" t="s">
        <v>51</v>
      </c>
      <c r="D3179" s="9">
        <v>0</v>
      </c>
      <c r="E3179" s="9">
        <v>0</v>
      </c>
      <c r="F3179" s="9">
        <v>0</v>
      </c>
      <c r="G3179" s="9">
        <v>0.54</v>
      </c>
      <c r="H3179" s="9">
        <v>0.04</v>
      </c>
      <c r="I3179" s="9">
        <v>0</v>
      </c>
      <c r="J3179" s="7" t="s">
        <v>325</v>
      </c>
    </row>
    <row r="3180" spans="1:10" x14ac:dyDescent="0.35">
      <c r="A3180" s="7" t="s">
        <v>20</v>
      </c>
      <c r="B3180" s="7" t="s">
        <v>305</v>
      </c>
      <c r="C3180" s="7" t="s">
        <v>53</v>
      </c>
      <c r="D3180" s="9">
        <v>0.04</v>
      </c>
      <c r="E3180" s="9">
        <v>0</v>
      </c>
      <c r="F3180" s="9">
        <v>0</v>
      </c>
      <c r="G3180" s="9">
        <v>31.36</v>
      </c>
      <c r="H3180" s="9">
        <v>0</v>
      </c>
      <c r="I3180" s="9">
        <v>0</v>
      </c>
      <c r="J3180" s="7" t="s">
        <v>325</v>
      </c>
    </row>
    <row r="3181" spans="1:10" x14ac:dyDescent="0.35">
      <c r="A3181" s="7" t="s">
        <v>20</v>
      </c>
      <c r="B3181" s="7" t="s">
        <v>305</v>
      </c>
      <c r="C3181" s="7" t="s">
        <v>69</v>
      </c>
      <c r="D3181" s="9">
        <v>0</v>
      </c>
      <c r="E3181" s="9">
        <v>0</v>
      </c>
      <c r="F3181" s="9">
        <v>0</v>
      </c>
      <c r="G3181" s="9">
        <v>1.1000000000000001</v>
      </c>
      <c r="H3181" s="9">
        <v>0</v>
      </c>
      <c r="I3181" s="9">
        <v>0</v>
      </c>
      <c r="J3181" s="7" t="s">
        <v>325</v>
      </c>
    </row>
    <row r="3182" spans="1:10" x14ac:dyDescent="0.35">
      <c r="A3182" s="7" t="s">
        <v>40</v>
      </c>
      <c r="B3182" s="7" t="s">
        <v>194</v>
      </c>
      <c r="C3182" s="7" t="s">
        <v>118</v>
      </c>
      <c r="D3182" s="9">
        <v>0</v>
      </c>
      <c r="E3182" s="9">
        <v>0</v>
      </c>
      <c r="F3182" s="9">
        <v>0</v>
      </c>
      <c r="G3182" s="9">
        <v>0</v>
      </c>
      <c r="H3182" s="9">
        <v>0.04</v>
      </c>
      <c r="I3182" s="9">
        <v>0</v>
      </c>
      <c r="J3182" s="7" t="s">
        <v>325</v>
      </c>
    </row>
    <row r="3183" spans="1:10" x14ac:dyDescent="0.35">
      <c r="A3183" s="7" t="s">
        <v>40</v>
      </c>
      <c r="B3183" s="7" t="s">
        <v>194</v>
      </c>
      <c r="C3183" s="7" t="s">
        <v>27</v>
      </c>
      <c r="D3183" s="9">
        <v>0</v>
      </c>
      <c r="E3183" s="9">
        <v>0</v>
      </c>
      <c r="F3183" s="9">
        <v>0</v>
      </c>
      <c r="G3183" s="9">
        <v>0.04</v>
      </c>
      <c r="H3183" s="9">
        <v>0.16</v>
      </c>
      <c r="I3183" s="9">
        <v>0</v>
      </c>
      <c r="J3183" s="7" t="s">
        <v>325</v>
      </c>
    </row>
    <row r="3184" spans="1:10" x14ac:dyDescent="0.35">
      <c r="A3184" s="7" t="s">
        <v>40</v>
      </c>
      <c r="B3184" s="7" t="s">
        <v>194</v>
      </c>
      <c r="C3184" s="7" t="s">
        <v>126</v>
      </c>
      <c r="D3184" s="9">
        <v>0</v>
      </c>
      <c r="E3184" s="9">
        <v>0</v>
      </c>
      <c r="F3184" s="9">
        <v>0</v>
      </c>
      <c r="G3184" s="9">
        <v>0.25</v>
      </c>
      <c r="H3184" s="9">
        <v>0.82</v>
      </c>
      <c r="I3184" s="9">
        <v>0</v>
      </c>
      <c r="J3184" s="7" t="s">
        <v>325</v>
      </c>
    </row>
    <row r="3185" spans="1:10" x14ac:dyDescent="0.35">
      <c r="A3185" s="7" t="s">
        <v>20</v>
      </c>
      <c r="B3185" s="7" t="s">
        <v>305</v>
      </c>
      <c r="C3185" s="7" t="s">
        <v>55</v>
      </c>
      <c r="D3185" s="9">
        <v>1.5</v>
      </c>
      <c r="E3185" s="9">
        <v>0</v>
      </c>
      <c r="F3185" s="9">
        <v>0</v>
      </c>
      <c r="G3185" s="8">
        <v>9289.25</v>
      </c>
      <c r="H3185" s="9">
        <v>0</v>
      </c>
      <c r="I3185" s="9">
        <v>0</v>
      </c>
      <c r="J3185" s="7" t="s">
        <v>325</v>
      </c>
    </row>
    <row r="3186" spans="1:10" x14ac:dyDescent="0.35">
      <c r="A3186" s="7" t="s">
        <v>20</v>
      </c>
      <c r="B3186" s="7" t="s">
        <v>305</v>
      </c>
      <c r="C3186" s="7" t="s">
        <v>76</v>
      </c>
      <c r="D3186" s="9">
        <v>0</v>
      </c>
      <c r="E3186" s="9">
        <v>0</v>
      </c>
      <c r="F3186" s="9">
        <v>0</v>
      </c>
      <c r="G3186" s="9">
        <v>2.02</v>
      </c>
      <c r="H3186" s="9">
        <v>0</v>
      </c>
      <c r="I3186" s="9">
        <v>0</v>
      </c>
      <c r="J3186" s="7" t="s">
        <v>325</v>
      </c>
    </row>
    <row r="3187" spans="1:10" x14ac:dyDescent="0.35">
      <c r="A3187" s="7" t="s">
        <v>20</v>
      </c>
      <c r="B3187" s="7" t="s">
        <v>305</v>
      </c>
      <c r="C3187" s="7" t="s">
        <v>83</v>
      </c>
      <c r="D3187" s="9">
        <v>5.36</v>
      </c>
      <c r="E3187" s="9">
        <v>0</v>
      </c>
      <c r="F3187" s="9">
        <v>0</v>
      </c>
      <c r="G3187" s="8">
        <v>3469.85</v>
      </c>
      <c r="H3187" s="9">
        <v>0</v>
      </c>
      <c r="I3187" s="9">
        <v>0</v>
      </c>
      <c r="J3187" s="7" t="s">
        <v>325</v>
      </c>
    </row>
    <row r="3188" spans="1:10" x14ac:dyDescent="0.35">
      <c r="A3188" s="7" t="s">
        <v>40</v>
      </c>
      <c r="B3188" s="7" t="s">
        <v>194</v>
      </c>
      <c r="C3188" s="7" t="s">
        <v>221</v>
      </c>
      <c r="D3188" s="9">
        <v>0</v>
      </c>
      <c r="E3188" s="9">
        <v>0</v>
      </c>
      <c r="F3188" s="9">
        <v>0</v>
      </c>
      <c r="G3188" s="9">
        <v>0</v>
      </c>
      <c r="H3188" s="9">
        <v>0.23</v>
      </c>
      <c r="I3188" s="9">
        <v>0</v>
      </c>
      <c r="J3188" s="7" t="s">
        <v>325</v>
      </c>
    </row>
    <row r="3189" spans="1:10" x14ac:dyDescent="0.35">
      <c r="A3189" s="7" t="s">
        <v>20</v>
      </c>
      <c r="B3189" s="7" t="s">
        <v>305</v>
      </c>
      <c r="C3189" s="7" t="s">
        <v>72</v>
      </c>
      <c r="D3189" s="9">
        <v>0.61</v>
      </c>
      <c r="E3189" s="9">
        <v>0</v>
      </c>
      <c r="F3189" s="9">
        <v>0</v>
      </c>
      <c r="G3189" s="9">
        <v>134.47999999999999</v>
      </c>
      <c r="H3189" s="9">
        <v>0</v>
      </c>
      <c r="I3189" s="9">
        <v>0</v>
      </c>
      <c r="J3189" s="7" t="s">
        <v>325</v>
      </c>
    </row>
    <row r="3190" spans="1:10" x14ac:dyDescent="0.35">
      <c r="A3190" s="7" t="s">
        <v>40</v>
      </c>
      <c r="B3190" s="7" t="s">
        <v>306</v>
      </c>
      <c r="C3190" s="7" t="s">
        <v>48</v>
      </c>
      <c r="D3190" s="9">
        <v>0</v>
      </c>
      <c r="E3190" s="9">
        <v>0</v>
      </c>
      <c r="F3190" s="9">
        <v>0</v>
      </c>
      <c r="G3190" s="9">
        <v>0</v>
      </c>
      <c r="H3190" s="9">
        <v>0.01</v>
      </c>
      <c r="I3190" s="9">
        <v>0</v>
      </c>
      <c r="J3190" s="7" t="s">
        <v>325</v>
      </c>
    </row>
    <row r="3191" spans="1:10" x14ac:dyDescent="0.35">
      <c r="A3191" s="7" t="s">
        <v>40</v>
      </c>
      <c r="B3191" s="7" t="s">
        <v>306</v>
      </c>
      <c r="C3191" s="7" t="s">
        <v>55</v>
      </c>
      <c r="D3191" s="9">
        <v>0.21</v>
      </c>
      <c r="E3191" s="9">
        <v>0</v>
      </c>
      <c r="F3191" s="9">
        <v>0</v>
      </c>
      <c r="G3191" s="9">
        <v>261</v>
      </c>
      <c r="H3191" s="9">
        <v>0</v>
      </c>
      <c r="I3191" s="9">
        <v>0</v>
      </c>
      <c r="J3191" s="7" t="s">
        <v>325</v>
      </c>
    </row>
    <row r="3192" spans="1:10" x14ac:dyDescent="0.35">
      <c r="A3192" s="7" t="s">
        <v>40</v>
      </c>
      <c r="B3192" s="7" t="s">
        <v>306</v>
      </c>
      <c r="C3192" s="7" t="s">
        <v>53</v>
      </c>
      <c r="D3192" s="9">
        <v>0.25</v>
      </c>
      <c r="E3192" s="9">
        <v>0</v>
      </c>
      <c r="F3192" s="9">
        <v>0</v>
      </c>
      <c r="G3192" s="9">
        <v>96.03</v>
      </c>
      <c r="H3192" s="9">
        <v>0</v>
      </c>
      <c r="I3192" s="9">
        <v>0</v>
      </c>
      <c r="J3192" s="7" t="s">
        <v>325</v>
      </c>
    </row>
    <row r="3193" spans="1:10" x14ac:dyDescent="0.35">
      <c r="A3193" s="7" t="s">
        <v>40</v>
      </c>
      <c r="B3193" s="7" t="s">
        <v>306</v>
      </c>
      <c r="C3193" s="7" t="s">
        <v>39</v>
      </c>
      <c r="D3193" s="9">
        <v>0</v>
      </c>
      <c r="E3193" s="9">
        <v>0</v>
      </c>
      <c r="F3193" s="9">
        <v>0</v>
      </c>
      <c r="G3193" s="9">
        <v>3</v>
      </c>
      <c r="H3193" s="9">
        <v>0.02</v>
      </c>
      <c r="I3193" s="9">
        <v>0</v>
      </c>
      <c r="J3193" s="7" t="s">
        <v>325</v>
      </c>
    </row>
    <row r="3194" spans="1:10" x14ac:dyDescent="0.35">
      <c r="A3194" s="7" t="s">
        <v>40</v>
      </c>
      <c r="B3194" s="7" t="s">
        <v>306</v>
      </c>
      <c r="C3194" s="7" t="s">
        <v>118</v>
      </c>
      <c r="D3194" s="9">
        <v>0</v>
      </c>
      <c r="E3194" s="9">
        <v>0</v>
      </c>
      <c r="F3194" s="9">
        <v>0</v>
      </c>
      <c r="G3194" s="9">
        <v>0</v>
      </c>
      <c r="H3194" s="9">
        <v>0.1</v>
      </c>
      <c r="I3194" s="9">
        <v>0</v>
      </c>
      <c r="J3194" s="7" t="s">
        <v>325</v>
      </c>
    </row>
    <row r="3195" spans="1:10" x14ac:dyDescent="0.35">
      <c r="A3195" s="7" t="s">
        <v>40</v>
      </c>
      <c r="B3195" s="7" t="s">
        <v>306</v>
      </c>
      <c r="C3195" s="7" t="s">
        <v>27</v>
      </c>
      <c r="D3195" s="9">
        <v>0</v>
      </c>
      <c r="E3195" s="9">
        <v>0</v>
      </c>
      <c r="F3195" s="9">
        <v>0</v>
      </c>
      <c r="G3195" s="9">
        <v>0</v>
      </c>
      <c r="H3195" s="9">
        <v>0.05</v>
      </c>
      <c r="I3195" s="9">
        <v>0</v>
      </c>
      <c r="J3195" s="7" t="s">
        <v>325</v>
      </c>
    </row>
    <row r="3196" spans="1:10" x14ac:dyDescent="0.35">
      <c r="A3196" s="7" t="s">
        <v>40</v>
      </c>
      <c r="B3196" s="7" t="s">
        <v>306</v>
      </c>
      <c r="C3196" s="7" t="s">
        <v>126</v>
      </c>
      <c r="D3196" s="9">
        <v>0</v>
      </c>
      <c r="E3196" s="9">
        <v>0</v>
      </c>
      <c r="F3196" s="9">
        <v>0</v>
      </c>
      <c r="G3196" s="9">
        <v>0</v>
      </c>
      <c r="H3196" s="9">
        <v>0.03</v>
      </c>
      <c r="I3196" s="9">
        <v>0</v>
      </c>
      <c r="J3196" s="7" t="s">
        <v>325</v>
      </c>
    </row>
    <row r="3197" spans="1:10" x14ac:dyDescent="0.35">
      <c r="A3197" s="7" t="s">
        <v>40</v>
      </c>
      <c r="B3197" s="7" t="s">
        <v>306</v>
      </c>
      <c r="C3197" s="7" t="s">
        <v>102</v>
      </c>
      <c r="D3197" s="9">
        <v>0.03</v>
      </c>
      <c r="E3197" s="9">
        <v>0</v>
      </c>
      <c r="F3197" s="9">
        <v>0</v>
      </c>
      <c r="G3197" s="9">
        <v>58</v>
      </c>
      <c r="H3197" s="9">
        <v>0</v>
      </c>
      <c r="I3197" s="9">
        <v>0</v>
      </c>
      <c r="J3197" s="7" t="s">
        <v>325</v>
      </c>
    </row>
    <row r="3198" spans="1:10" x14ac:dyDescent="0.35">
      <c r="A3198" s="7" t="s">
        <v>40</v>
      </c>
      <c r="B3198" s="7" t="s">
        <v>306</v>
      </c>
      <c r="C3198" s="7" t="s">
        <v>170</v>
      </c>
      <c r="D3198" s="9">
        <v>2.4700000000000002</v>
      </c>
      <c r="E3198" s="9">
        <v>0</v>
      </c>
      <c r="F3198" s="9">
        <v>0</v>
      </c>
      <c r="G3198" s="9">
        <v>751.78</v>
      </c>
      <c r="H3198" s="9">
        <v>7.0000000000000007E-2</v>
      </c>
      <c r="I3198" s="9">
        <v>0</v>
      </c>
      <c r="J3198" s="7" t="s">
        <v>325</v>
      </c>
    </row>
    <row r="3199" spans="1:10" x14ac:dyDescent="0.35">
      <c r="A3199" s="7" t="s">
        <v>40</v>
      </c>
      <c r="B3199" s="7" t="s">
        <v>306</v>
      </c>
      <c r="C3199" s="7" t="s">
        <v>42</v>
      </c>
      <c r="D3199" s="9">
        <v>0.04</v>
      </c>
      <c r="E3199" s="9">
        <v>0</v>
      </c>
      <c r="F3199" s="9">
        <v>0</v>
      </c>
      <c r="G3199" s="9">
        <v>25.54</v>
      </c>
      <c r="H3199" s="9">
        <v>0</v>
      </c>
      <c r="I3199" s="9">
        <v>0</v>
      </c>
      <c r="J3199" s="7" t="s">
        <v>325</v>
      </c>
    </row>
    <row r="3200" spans="1:10" x14ac:dyDescent="0.35">
      <c r="A3200" s="7" t="s">
        <v>40</v>
      </c>
      <c r="B3200" s="7" t="s">
        <v>164</v>
      </c>
      <c r="C3200" s="7" t="s">
        <v>174</v>
      </c>
      <c r="D3200" s="9">
        <v>0.01</v>
      </c>
      <c r="E3200" s="9">
        <v>0.01</v>
      </c>
      <c r="F3200" s="9">
        <v>0</v>
      </c>
      <c r="G3200" s="9">
        <v>0.52</v>
      </c>
      <c r="H3200" s="9">
        <v>1.07</v>
      </c>
      <c r="I3200" s="9">
        <v>0.03</v>
      </c>
      <c r="J3200" s="7" t="s">
        <v>325</v>
      </c>
    </row>
    <row r="3201" spans="1:10" x14ac:dyDescent="0.35">
      <c r="A3201" s="7" t="s">
        <v>40</v>
      </c>
      <c r="B3201" s="7" t="s">
        <v>164</v>
      </c>
      <c r="C3201" s="7" t="s">
        <v>60</v>
      </c>
      <c r="D3201" s="9">
        <v>0</v>
      </c>
      <c r="E3201" s="9">
        <v>0</v>
      </c>
      <c r="F3201" s="9">
        <v>0</v>
      </c>
      <c r="G3201" s="9">
        <v>0.27</v>
      </c>
      <c r="H3201" s="9">
        <v>0.02</v>
      </c>
      <c r="I3201" s="9">
        <v>0</v>
      </c>
      <c r="J3201" s="7" t="s">
        <v>325</v>
      </c>
    </row>
    <row r="3202" spans="1:10" x14ac:dyDescent="0.35">
      <c r="A3202" s="7" t="s">
        <v>40</v>
      </c>
      <c r="B3202" s="7" t="s">
        <v>164</v>
      </c>
      <c r="C3202" s="7" t="s">
        <v>179</v>
      </c>
      <c r="D3202" s="9">
        <v>0</v>
      </c>
      <c r="E3202" s="9">
        <v>0</v>
      </c>
      <c r="F3202" s="9">
        <v>0</v>
      </c>
      <c r="G3202" s="9">
        <v>0.01</v>
      </c>
      <c r="H3202" s="9">
        <v>0</v>
      </c>
      <c r="I3202" s="9">
        <v>0</v>
      </c>
      <c r="J3202" s="7" t="s">
        <v>325</v>
      </c>
    </row>
    <row r="3203" spans="1:10" x14ac:dyDescent="0.35">
      <c r="A3203" s="7" t="s">
        <v>40</v>
      </c>
      <c r="B3203" s="7" t="s">
        <v>164</v>
      </c>
      <c r="C3203" s="7" t="s">
        <v>142</v>
      </c>
      <c r="D3203" s="9">
        <v>0</v>
      </c>
      <c r="E3203" s="9">
        <v>0</v>
      </c>
      <c r="F3203" s="9">
        <v>0</v>
      </c>
      <c r="G3203" s="9">
        <v>0.06</v>
      </c>
      <c r="H3203" s="9">
        <v>0.04</v>
      </c>
      <c r="I3203" s="9">
        <v>0</v>
      </c>
      <c r="J3203" s="7" t="s">
        <v>325</v>
      </c>
    </row>
    <row r="3204" spans="1:10" x14ac:dyDescent="0.35">
      <c r="A3204" s="7" t="s">
        <v>20</v>
      </c>
      <c r="B3204" s="7" t="s">
        <v>305</v>
      </c>
      <c r="C3204" s="7" t="s">
        <v>48</v>
      </c>
      <c r="D3204" s="9">
        <v>0.05</v>
      </c>
      <c r="E3204" s="9">
        <v>0</v>
      </c>
      <c r="F3204" s="9">
        <v>0</v>
      </c>
      <c r="G3204" s="9">
        <v>17.61</v>
      </c>
      <c r="H3204" s="9">
        <v>0</v>
      </c>
      <c r="I3204" s="9">
        <v>0</v>
      </c>
      <c r="J3204" s="7" t="s">
        <v>325</v>
      </c>
    </row>
    <row r="3205" spans="1:10" x14ac:dyDescent="0.35">
      <c r="A3205" s="7" t="s">
        <v>20</v>
      </c>
      <c r="B3205" s="7" t="s">
        <v>305</v>
      </c>
      <c r="C3205" s="7" t="s">
        <v>179</v>
      </c>
      <c r="D3205" s="9">
        <v>0</v>
      </c>
      <c r="E3205" s="9">
        <v>0</v>
      </c>
      <c r="F3205" s="9">
        <v>0</v>
      </c>
      <c r="G3205" s="9">
        <v>0.47</v>
      </c>
      <c r="H3205" s="9">
        <v>0</v>
      </c>
      <c r="I3205" s="9">
        <v>0</v>
      </c>
      <c r="J3205" s="7" t="s">
        <v>325</v>
      </c>
    </row>
    <row r="3206" spans="1:10" x14ac:dyDescent="0.35">
      <c r="A3206" s="7" t="s">
        <v>40</v>
      </c>
      <c r="B3206" s="7" t="s">
        <v>164</v>
      </c>
      <c r="C3206" s="7" t="s">
        <v>110</v>
      </c>
      <c r="D3206" s="9">
        <v>0</v>
      </c>
      <c r="E3206" s="9">
        <v>0.04</v>
      </c>
      <c r="F3206" s="9">
        <v>0</v>
      </c>
      <c r="G3206" s="9">
        <v>0.09</v>
      </c>
      <c r="H3206" s="9">
        <v>167.4</v>
      </c>
      <c r="I3206" s="9">
        <v>0</v>
      </c>
      <c r="J3206" s="7" t="s">
        <v>325</v>
      </c>
    </row>
    <row r="3207" spans="1:10" x14ac:dyDescent="0.35">
      <c r="A3207" s="7" t="s">
        <v>20</v>
      </c>
      <c r="B3207" s="7" t="s">
        <v>111</v>
      </c>
      <c r="C3207" s="7" t="s">
        <v>45</v>
      </c>
      <c r="D3207" s="9">
        <v>0.02</v>
      </c>
      <c r="E3207" s="9">
        <v>0</v>
      </c>
      <c r="F3207" s="9">
        <v>0</v>
      </c>
      <c r="G3207" s="9">
        <v>3.7</v>
      </c>
      <c r="H3207" s="9">
        <v>0</v>
      </c>
      <c r="I3207" s="9">
        <v>0</v>
      </c>
      <c r="J3207" s="7" t="s">
        <v>325</v>
      </c>
    </row>
    <row r="3208" spans="1:10" x14ac:dyDescent="0.35">
      <c r="A3208" s="7" t="s">
        <v>20</v>
      </c>
      <c r="B3208" s="7" t="s">
        <v>111</v>
      </c>
      <c r="C3208" s="7" t="s">
        <v>144</v>
      </c>
      <c r="D3208" s="9">
        <v>0.01</v>
      </c>
      <c r="E3208" s="9">
        <v>0</v>
      </c>
      <c r="F3208" s="9">
        <v>0</v>
      </c>
      <c r="G3208" s="9">
        <v>11.97</v>
      </c>
      <c r="H3208" s="9">
        <v>0</v>
      </c>
      <c r="I3208" s="9">
        <v>0</v>
      </c>
      <c r="J3208" s="7" t="s">
        <v>325</v>
      </c>
    </row>
    <row r="3209" spans="1:10" x14ac:dyDescent="0.35">
      <c r="A3209" s="7" t="s">
        <v>20</v>
      </c>
      <c r="B3209" s="7" t="s">
        <v>111</v>
      </c>
      <c r="C3209" s="7" t="s">
        <v>69</v>
      </c>
      <c r="D3209" s="9">
        <v>0.02</v>
      </c>
      <c r="E3209" s="9">
        <v>0</v>
      </c>
      <c r="F3209" s="9">
        <v>0</v>
      </c>
      <c r="G3209" s="9">
        <v>13</v>
      </c>
      <c r="H3209" s="9">
        <v>0</v>
      </c>
      <c r="I3209" s="9">
        <v>0</v>
      </c>
      <c r="J3209" s="7" t="s">
        <v>325</v>
      </c>
    </row>
    <row r="3210" spans="1:10" x14ac:dyDescent="0.35">
      <c r="A3210" s="7" t="s">
        <v>40</v>
      </c>
      <c r="B3210" s="7" t="s">
        <v>164</v>
      </c>
      <c r="C3210" s="7" t="s">
        <v>51</v>
      </c>
      <c r="D3210" s="9">
        <v>0</v>
      </c>
      <c r="E3210" s="9">
        <v>0</v>
      </c>
      <c r="F3210" s="9">
        <v>0</v>
      </c>
      <c r="G3210" s="9">
        <v>0.48</v>
      </c>
      <c r="H3210" s="9">
        <v>0.88</v>
      </c>
      <c r="I3210" s="9">
        <v>0</v>
      </c>
      <c r="J3210" s="7" t="s">
        <v>325</v>
      </c>
    </row>
    <row r="3211" spans="1:10" x14ac:dyDescent="0.35">
      <c r="A3211" s="7" t="s">
        <v>40</v>
      </c>
      <c r="B3211" s="7" t="s">
        <v>164</v>
      </c>
      <c r="C3211" s="7" t="s">
        <v>46</v>
      </c>
      <c r="D3211" s="9">
        <v>0</v>
      </c>
      <c r="E3211" s="9">
        <v>0</v>
      </c>
      <c r="F3211" s="9">
        <v>0</v>
      </c>
      <c r="G3211" s="9">
        <v>0</v>
      </c>
      <c r="H3211" s="9">
        <v>0.05</v>
      </c>
      <c r="I3211" s="9">
        <v>0</v>
      </c>
      <c r="J3211" s="7" t="s">
        <v>325</v>
      </c>
    </row>
    <row r="3212" spans="1:10" x14ac:dyDescent="0.35">
      <c r="A3212" s="7" t="s">
        <v>40</v>
      </c>
      <c r="B3212" s="7" t="s">
        <v>164</v>
      </c>
      <c r="C3212" s="7" t="s">
        <v>62</v>
      </c>
      <c r="D3212" s="9">
        <v>0</v>
      </c>
      <c r="E3212" s="9">
        <v>0</v>
      </c>
      <c r="F3212" s="9">
        <v>0</v>
      </c>
      <c r="G3212" s="9">
        <v>0</v>
      </c>
      <c r="H3212" s="9">
        <v>0.1</v>
      </c>
      <c r="I3212" s="9">
        <v>0</v>
      </c>
      <c r="J3212" s="7" t="s">
        <v>325</v>
      </c>
    </row>
    <row r="3213" spans="1:10" x14ac:dyDescent="0.35">
      <c r="A3213" s="7" t="s">
        <v>40</v>
      </c>
      <c r="B3213" s="7" t="s">
        <v>164</v>
      </c>
      <c r="C3213" s="7" t="s">
        <v>151</v>
      </c>
      <c r="D3213" s="9">
        <v>0</v>
      </c>
      <c r="E3213" s="9">
        <v>0</v>
      </c>
      <c r="F3213" s="9">
        <v>0</v>
      </c>
      <c r="G3213" s="9">
        <v>0</v>
      </c>
      <c r="H3213" s="9">
        <v>0.06</v>
      </c>
      <c r="I3213" s="9">
        <v>0</v>
      </c>
      <c r="J3213" s="7" t="s">
        <v>325</v>
      </c>
    </row>
    <row r="3214" spans="1:10" x14ac:dyDescent="0.35">
      <c r="A3214" s="7" t="s">
        <v>20</v>
      </c>
      <c r="B3214" s="7" t="s">
        <v>111</v>
      </c>
      <c r="C3214" s="7" t="s">
        <v>150</v>
      </c>
      <c r="D3214" s="9">
        <v>0</v>
      </c>
      <c r="E3214" s="9">
        <v>0</v>
      </c>
      <c r="F3214" s="9">
        <v>0</v>
      </c>
      <c r="G3214" s="9">
        <v>0.02</v>
      </c>
      <c r="H3214" s="9">
        <v>0</v>
      </c>
      <c r="I3214" s="9">
        <v>0</v>
      </c>
      <c r="J3214" s="7" t="s">
        <v>325</v>
      </c>
    </row>
    <row r="3215" spans="1:10" x14ac:dyDescent="0.35">
      <c r="A3215" s="7" t="s">
        <v>40</v>
      </c>
      <c r="B3215" s="7" t="s">
        <v>164</v>
      </c>
      <c r="C3215" s="7" t="s">
        <v>144</v>
      </c>
      <c r="D3215" s="9">
        <v>0.01</v>
      </c>
      <c r="E3215" s="9">
        <v>0</v>
      </c>
      <c r="F3215" s="9">
        <v>0</v>
      </c>
      <c r="G3215" s="9">
        <v>2.25</v>
      </c>
      <c r="H3215" s="9">
        <v>1.35</v>
      </c>
      <c r="I3215" s="9">
        <v>0</v>
      </c>
      <c r="J3215" s="7" t="s">
        <v>325</v>
      </c>
    </row>
    <row r="3216" spans="1:10" x14ac:dyDescent="0.35">
      <c r="A3216" s="7" t="s">
        <v>20</v>
      </c>
      <c r="B3216" s="7" t="s">
        <v>111</v>
      </c>
      <c r="C3216" s="7" t="s">
        <v>60</v>
      </c>
      <c r="D3216" s="9">
        <v>0.11</v>
      </c>
      <c r="E3216" s="9">
        <v>0.11</v>
      </c>
      <c r="F3216" s="9">
        <v>0</v>
      </c>
      <c r="G3216" s="9">
        <v>60.72</v>
      </c>
      <c r="H3216" s="9">
        <v>116.22</v>
      </c>
      <c r="I3216" s="9">
        <v>0</v>
      </c>
      <c r="J3216" s="7" t="s">
        <v>325</v>
      </c>
    </row>
    <row r="3217" spans="1:10" x14ac:dyDescent="0.35">
      <c r="A3217" s="7" t="s">
        <v>20</v>
      </c>
      <c r="B3217" s="7" t="s">
        <v>235</v>
      </c>
      <c r="C3217" s="7" t="s">
        <v>33</v>
      </c>
      <c r="D3217" s="9">
        <v>0.36</v>
      </c>
      <c r="E3217" s="9">
        <v>0</v>
      </c>
      <c r="F3217" s="9">
        <v>0</v>
      </c>
      <c r="G3217" s="9">
        <v>213.52</v>
      </c>
      <c r="H3217" s="9">
        <v>1.02</v>
      </c>
      <c r="I3217" s="9">
        <v>0</v>
      </c>
      <c r="J3217" s="7" t="s">
        <v>325</v>
      </c>
    </row>
    <row r="3218" spans="1:10" x14ac:dyDescent="0.35">
      <c r="A3218" s="7" t="s">
        <v>20</v>
      </c>
      <c r="B3218" s="7" t="s">
        <v>235</v>
      </c>
      <c r="C3218" s="7" t="s">
        <v>54</v>
      </c>
      <c r="D3218" s="9">
        <v>0.01</v>
      </c>
      <c r="E3218" s="9">
        <v>0</v>
      </c>
      <c r="F3218" s="9">
        <v>0</v>
      </c>
      <c r="G3218" s="9">
        <v>2.4500000000000002</v>
      </c>
      <c r="H3218" s="9">
        <v>0.02</v>
      </c>
      <c r="I3218" s="9">
        <v>0</v>
      </c>
      <c r="J3218" s="7" t="s">
        <v>325</v>
      </c>
    </row>
    <row r="3219" spans="1:10" x14ac:dyDescent="0.35">
      <c r="A3219" s="7" t="s">
        <v>20</v>
      </c>
      <c r="B3219" s="7" t="s">
        <v>235</v>
      </c>
      <c r="C3219" s="7" t="s">
        <v>116</v>
      </c>
      <c r="D3219" s="9">
        <v>7.0000000000000007E-2</v>
      </c>
      <c r="E3219" s="9">
        <v>0.1</v>
      </c>
      <c r="F3219" s="9">
        <v>0</v>
      </c>
      <c r="G3219" s="9">
        <v>201</v>
      </c>
      <c r="H3219" s="9">
        <v>250</v>
      </c>
      <c r="I3219" s="9">
        <v>0</v>
      </c>
      <c r="J3219" s="7" t="s">
        <v>325</v>
      </c>
    </row>
    <row r="3220" spans="1:10" x14ac:dyDescent="0.35">
      <c r="A3220" s="7" t="s">
        <v>20</v>
      </c>
      <c r="B3220" s="7" t="s">
        <v>235</v>
      </c>
      <c r="C3220" s="7" t="s">
        <v>45</v>
      </c>
      <c r="D3220" s="9">
        <v>0.28999999999999998</v>
      </c>
      <c r="E3220" s="9">
        <v>0</v>
      </c>
      <c r="F3220" s="9">
        <v>0</v>
      </c>
      <c r="G3220" s="9">
        <v>14.51</v>
      </c>
      <c r="H3220" s="9">
        <v>0.02</v>
      </c>
      <c r="I3220" s="9">
        <v>0</v>
      </c>
      <c r="J3220" s="7" t="s">
        <v>325</v>
      </c>
    </row>
    <row r="3221" spans="1:10" x14ac:dyDescent="0.35">
      <c r="A3221" s="7" t="s">
        <v>20</v>
      </c>
      <c r="B3221" s="7" t="s">
        <v>235</v>
      </c>
      <c r="C3221" s="7" t="s">
        <v>65</v>
      </c>
      <c r="D3221" s="9">
        <v>0</v>
      </c>
      <c r="E3221" s="9">
        <v>0</v>
      </c>
      <c r="F3221" s="9">
        <v>0</v>
      </c>
      <c r="G3221" s="9">
        <v>0</v>
      </c>
      <c r="H3221" s="9">
        <v>1.82</v>
      </c>
      <c r="I3221" s="9">
        <v>0</v>
      </c>
      <c r="J3221" s="7" t="s">
        <v>325</v>
      </c>
    </row>
    <row r="3222" spans="1:10" x14ac:dyDescent="0.35">
      <c r="A3222" s="7" t="s">
        <v>20</v>
      </c>
      <c r="B3222" s="7" t="s">
        <v>235</v>
      </c>
      <c r="C3222" s="7" t="s">
        <v>151</v>
      </c>
      <c r="D3222" s="9">
        <v>0</v>
      </c>
      <c r="E3222" s="9">
        <v>0</v>
      </c>
      <c r="F3222" s="9">
        <v>0</v>
      </c>
      <c r="G3222" s="9">
        <v>0</v>
      </c>
      <c r="H3222" s="9">
        <v>1.81</v>
      </c>
      <c r="I3222" s="9">
        <v>0</v>
      </c>
      <c r="J3222" s="7" t="s">
        <v>325</v>
      </c>
    </row>
    <row r="3223" spans="1:10" x14ac:dyDescent="0.35">
      <c r="A3223" s="7" t="s">
        <v>40</v>
      </c>
      <c r="B3223" s="7" t="s">
        <v>164</v>
      </c>
      <c r="C3223" s="7" t="s">
        <v>33</v>
      </c>
      <c r="D3223" s="9">
        <v>0</v>
      </c>
      <c r="E3223" s="9">
        <v>0</v>
      </c>
      <c r="F3223" s="9">
        <v>0</v>
      </c>
      <c r="G3223" s="9">
        <v>4.47</v>
      </c>
      <c r="H3223" s="9">
        <v>0.65</v>
      </c>
      <c r="I3223" s="9">
        <v>0.04</v>
      </c>
      <c r="J3223" s="7" t="s">
        <v>325</v>
      </c>
    </row>
    <row r="3224" spans="1:10" x14ac:dyDescent="0.35">
      <c r="A3224" s="7" t="s">
        <v>40</v>
      </c>
      <c r="B3224" s="7" t="s">
        <v>164</v>
      </c>
      <c r="C3224" s="7" t="s">
        <v>181</v>
      </c>
      <c r="D3224" s="9">
        <v>0</v>
      </c>
      <c r="E3224" s="9">
        <v>0</v>
      </c>
      <c r="F3224" s="9">
        <v>0</v>
      </c>
      <c r="G3224" s="9">
        <v>0</v>
      </c>
      <c r="H3224" s="9">
        <v>0.01</v>
      </c>
      <c r="I3224" s="9">
        <v>0</v>
      </c>
      <c r="J3224" s="7" t="s">
        <v>325</v>
      </c>
    </row>
    <row r="3225" spans="1:10" x14ac:dyDescent="0.35">
      <c r="A3225" s="7" t="s">
        <v>20</v>
      </c>
      <c r="B3225" s="7" t="s">
        <v>119</v>
      </c>
      <c r="C3225" s="7" t="s">
        <v>33</v>
      </c>
      <c r="D3225" s="9">
        <v>7.0000000000000007E-2</v>
      </c>
      <c r="E3225" s="9">
        <v>0</v>
      </c>
      <c r="F3225" s="9">
        <v>0</v>
      </c>
      <c r="G3225" s="9">
        <v>130.05000000000001</v>
      </c>
      <c r="H3225" s="9">
        <v>0</v>
      </c>
      <c r="I3225" s="9">
        <v>0</v>
      </c>
      <c r="J3225" s="7" t="s">
        <v>325</v>
      </c>
    </row>
    <row r="3226" spans="1:10" x14ac:dyDescent="0.35">
      <c r="A3226" s="7" t="s">
        <v>40</v>
      </c>
      <c r="B3226" s="7" t="s">
        <v>209</v>
      </c>
      <c r="C3226" s="7" t="s">
        <v>27</v>
      </c>
      <c r="D3226" s="9">
        <v>0.11</v>
      </c>
      <c r="E3226" s="9">
        <v>0</v>
      </c>
      <c r="F3226" s="9">
        <v>0</v>
      </c>
      <c r="G3226" s="9">
        <v>58</v>
      </c>
      <c r="H3226" s="9">
        <v>0</v>
      </c>
      <c r="I3226" s="9">
        <v>0</v>
      </c>
      <c r="J3226" s="7" t="s">
        <v>325</v>
      </c>
    </row>
    <row r="3227" spans="1:10" x14ac:dyDescent="0.35">
      <c r="A3227" s="7" t="s">
        <v>20</v>
      </c>
      <c r="B3227" s="7" t="s">
        <v>119</v>
      </c>
      <c r="C3227" s="7" t="s">
        <v>54</v>
      </c>
      <c r="D3227" s="9">
        <v>0</v>
      </c>
      <c r="E3227" s="9">
        <v>0.01</v>
      </c>
      <c r="F3227" s="9">
        <v>0</v>
      </c>
      <c r="G3227" s="9">
        <v>0</v>
      </c>
      <c r="H3227" s="9">
        <v>0.1</v>
      </c>
      <c r="I3227" s="9">
        <v>0</v>
      </c>
      <c r="J3227" s="7" t="s">
        <v>325</v>
      </c>
    </row>
    <row r="3228" spans="1:10" x14ac:dyDescent="0.35">
      <c r="A3228" s="7" t="s">
        <v>20</v>
      </c>
      <c r="B3228" s="7" t="s">
        <v>119</v>
      </c>
      <c r="C3228" s="7" t="s">
        <v>170</v>
      </c>
      <c r="D3228" s="9">
        <v>0.05</v>
      </c>
      <c r="E3228" s="9">
        <v>0</v>
      </c>
      <c r="F3228" s="9">
        <v>0</v>
      </c>
      <c r="G3228" s="9">
        <v>27</v>
      </c>
      <c r="H3228" s="9">
        <v>0</v>
      </c>
      <c r="I3228" s="9">
        <v>0</v>
      </c>
      <c r="J3228" s="7" t="s">
        <v>325</v>
      </c>
    </row>
    <row r="3229" spans="1:10" x14ac:dyDescent="0.35">
      <c r="A3229" s="7" t="s">
        <v>40</v>
      </c>
      <c r="B3229" s="7" t="s">
        <v>41</v>
      </c>
      <c r="C3229" s="7" t="s">
        <v>125</v>
      </c>
      <c r="D3229" s="9">
        <v>0.02</v>
      </c>
      <c r="E3229" s="9">
        <v>0</v>
      </c>
      <c r="F3229" s="9">
        <v>0</v>
      </c>
      <c r="G3229" s="9">
        <v>28.48</v>
      </c>
      <c r="H3229" s="9">
        <v>0</v>
      </c>
      <c r="I3229" s="9">
        <v>0</v>
      </c>
      <c r="J3229" s="7" t="s">
        <v>325</v>
      </c>
    </row>
    <row r="3230" spans="1:10" x14ac:dyDescent="0.35">
      <c r="A3230" s="7" t="s">
        <v>20</v>
      </c>
      <c r="B3230" s="7" t="s">
        <v>119</v>
      </c>
      <c r="C3230" s="7" t="s">
        <v>39</v>
      </c>
      <c r="D3230" s="9">
        <v>0.27</v>
      </c>
      <c r="E3230" s="9">
        <v>0.02</v>
      </c>
      <c r="F3230" s="9">
        <v>0</v>
      </c>
      <c r="G3230" s="9">
        <v>74.34</v>
      </c>
      <c r="H3230" s="9">
        <v>2.4</v>
      </c>
      <c r="I3230" s="9">
        <v>0</v>
      </c>
      <c r="J3230" s="7" t="s">
        <v>325</v>
      </c>
    </row>
    <row r="3231" spans="1:10" x14ac:dyDescent="0.35">
      <c r="A3231" s="7" t="s">
        <v>40</v>
      </c>
      <c r="B3231" s="7" t="s">
        <v>41</v>
      </c>
      <c r="C3231" s="7" t="s">
        <v>22</v>
      </c>
      <c r="D3231" s="9">
        <v>83.88</v>
      </c>
      <c r="E3231" s="9">
        <v>0</v>
      </c>
      <c r="F3231" s="9">
        <v>0</v>
      </c>
      <c r="G3231" s="8">
        <v>39445.93</v>
      </c>
      <c r="H3231" s="9">
        <v>0</v>
      </c>
      <c r="I3231" s="9">
        <v>0</v>
      </c>
      <c r="J3231" s="7" t="s">
        <v>325</v>
      </c>
    </row>
    <row r="3232" spans="1:10" x14ac:dyDescent="0.35">
      <c r="A3232" s="7" t="s">
        <v>20</v>
      </c>
      <c r="B3232" s="7" t="s">
        <v>119</v>
      </c>
      <c r="C3232" s="7" t="s">
        <v>53</v>
      </c>
      <c r="D3232" s="9">
        <v>0.02</v>
      </c>
      <c r="E3232" s="9">
        <v>0</v>
      </c>
      <c r="F3232" s="9">
        <v>0</v>
      </c>
      <c r="G3232" s="9">
        <v>5</v>
      </c>
      <c r="H3232" s="9">
        <v>0</v>
      </c>
      <c r="I3232" s="9">
        <v>0</v>
      </c>
      <c r="J3232" s="7" t="s">
        <v>325</v>
      </c>
    </row>
    <row r="3233" spans="1:10" x14ac:dyDescent="0.35">
      <c r="A3233" s="7" t="s">
        <v>20</v>
      </c>
      <c r="B3233" s="7" t="s">
        <v>119</v>
      </c>
      <c r="C3233" s="7" t="s">
        <v>114</v>
      </c>
      <c r="D3233" s="9">
        <v>0</v>
      </c>
      <c r="E3233" s="9">
        <v>0</v>
      </c>
      <c r="F3233" s="9">
        <v>0</v>
      </c>
      <c r="G3233" s="9">
        <v>0.04</v>
      </c>
      <c r="H3233" s="9">
        <v>0</v>
      </c>
      <c r="I3233" s="9">
        <v>0</v>
      </c>
      <c r="J3233" s="7" t="s">
        <v>325</v>
      </c>
    </row>
    <row r="3234" spans="1:10" x14ac:dyDescent="0.35">
      <c r="A3234" s="7" t="s">
        <v>20</v>
      </c>
      <c r="B3234" s="7" t="s">
        <v>307</v>
      </c>
      <c r="C3234" s="7" t="s">
        <v>48</v>
      </c>
      <c r="D3234" s="9">
        <v>0</v>
      </c>
      <c r="E3234" s="9">
        <v>0.02</v>
      </c>
      <c r="F3234" s="9">
        <v>0</v>
      </c>
      <c r="G3234" s="9">
        <v>0</v>
      </c>
      <c r="H3234" s="9">
        <v>1.35</v>
      </c>
      <c r="I3234" s="9">
        <v>0</v>
      </c>
      <c r="J3234" s="7" t="s">
        <v>325</v>
      </c>
    </row>
    <row r="3235" spans="1:10" x14ac:dyDescent="0.35">
      <c r="A3235" s="7" t="s">
        <v>57</v>
      </c>
      <c r="B3235" s="7" t="s">
        <v>225</v>
      </c>
      <c r="C3235" s="7" t="s">
        <v>102</v>
      </c>
      <c r="D3235" s="9">
        <v>0</v>
      </c>
      <c r="E3235" s="9">
        <v>0.06</v>
      </c>
      <c r="F3235" s="9">
        <v>0</v>
      </c>
      <c r="G3235" s="9">
        <v>0</v>
      </c>
      <c r="H3235" s="9">
        <v>28.75</v>
      </c>
      <c r="I3235" s="9">
        <v>0</v>
      </c>
      <c r="J3235" s="7" t="s">
        <v>325</v>
      </c>
    </row>
    <row r="3236" spans="1:10" x14ac:dyDescent="0.35">
      <c r="A3236" s="7" t="s">
        <v>57</v>
      </c>
      <c r="B3236" s="7" t="s">
        <v>225</v>
      </c>
      <c r="C3236" s="7" t="s">
        <v>39</v>
      </c>
      <c r="D3236" s="9">
        <v>0.74</v>
      </c>
      <c r="E3236" s="9">
        <v>0</v>
      </c>
      <c r="F3236" s="9">
        <v>0</v>
      </c>
      <c r="G3236" s="9">
        <v>32.520000000000003</v>
      </c>
      <c r="H3236" s="9">
        <v>0</v>
      </c>
      <c r="I3236" s="9">
        <v>0</v>
      </c>
      <c r="J3236" s="7" t="s">
        <v>325</v>
      </c>
    </row>
    <row r="3237" spans="1:10" x14ac:dyDescent="0.35">
      <c r="A3237" s="7" t="s">
        <v>57</v>
      </c>
      <c r="B3237" s="7" t="s">
        <v>225</v>
      </c>
      <c r="C3237" s="7" t="s">
        <v>114</v>
      </c>
      <c r="D3237" s="9">
        <v>0</v>
      </c>
      <c r="E3237" s="9">
        <v>0</v>
      </c>
      <c r="F3237" s="9">
        <v>0</v>
      </c>
      <c r="G3237" s="9">
        <v>0</v>
      </c>
      <c r="H3237" s="9">
        <v>0</v>
      </c>
      <c r="I3237" s="9">
        <v>0</v>
      </c>
      <c r="J3237" s="7" t="s">
        <v>325</v>
      </c>
    </row>
    <row r="3238" spans="1:10" x14ac:dyDescent="0.35">
      <c r="A3238" s="7" t="s">
        <v>40</v>
      </c>
      <c r="B3238" s="7" t="s">
        <v>41</v>
      </c>
      <c r="C3238" s="7" t="s">
        <v>110</v>
      </c>
      <c r="D3238" s="9">
        <v>0.5</v>
      </c>
      <c r="E3238" s="9">
        <v>0.08</v>
      </c>
      <c r="F3238" s="9">
        <v>0</v>
      </c>
      <c r="G3238" s="8">
        <v>6804</v>
      </c>
      <c r="H3238" s="8">
        <v>1416.96</v>
      </c>
      <c r="I3238" s="9">
        <v>0</v>
      </c>
      <c r="J3238" s="7" t="s">
        <v>325</v>
      </c>
    </row>
    <row r="3239" spans="1:10" x14ac:dyDescent="0.35">
      <c r="A3239" s="7" t="s">
        <v>57</v>
      </c>
      <c r="B3239" s="7" t="s">
        <v>197</v>
      </c>
      <c r="C3239" s="7" t="s">
        <v>45</v>
      </c>
      <c r="D3239" s="9">
        <v>0</v>
      </c>
      <c r="E3239" s="9">
        <v>0</v>
      </c>
      <c r="F3239" s="9">
        <v>0</v>
      </c>
      <c r="G3239" s="9">
        <v>0</v>
      </c>
      <c r="H3239" s="9">
        <v>5.05</v>
      </c>
      <c r="I3239" s="9">
        <v>0</v>
      </c>
      <c r="J3239" s="7" t="s">
        <v>325</v>
      </c>
    </row>
    <row r="3240" spans="1:10" x14ac:dyDescent="0.35">
      <c r="A3240" s="7" t="s">
        <v>57</v>
      </c>
      <c r="B3240" s="7" t="s">
        <v>197</v>
      </c>
      <c r="C3240" s="7" t="s">
        <v>48</v>
      </c>
      <c r="D3240" s="9">
        <v>0.01</v>
      </c>
      <c r="E3240" s="9">
        <v>0</v>
      </c>
      <c r="F3240" s="9">
        <v>0</v>
      </c>
      <c r="G3240" s="9">
        <v>1.51</v>
      </c>
      <c r="H3240" s="9">
        <v>0</v>
      </c>
      <c r="I3240" s="9">
        <v>0</v>
      </c>
      <c r="J3240" s="7" t="s">
        <v>325</v>
      </c>
    </row>
    <row r="3241" spans="1:10" x14ac:dyDescent="0.35">
      <c r="A3241" s="7" t="s">
        <v>57</v>
      </c>
      <c r="B3241" s="7" t="s">
        <v>61</v>
      </c>
      <c r="C3241" s="7" t="s">
        <v>54</v>
      </c>
      <c r="D3241" s="9">
        <v>0</v>
      </c>
      <c r="E3241" s="9">
        <v>0</v>
      </c>
      <c r="F3241" s="9">
        <v>0</v>
      </c>
      <c r="G3241" s="9">
        <v>0</v>
      </c>
      <c r="H3241" s="9">
        <v>0.72</v>
      </c>
      <c r="I3241" s="9">
        <v>0</v>
      </c>
      <c r="J3241" s="7" t="s">
        <v>325</v>
      </c>
    </row>
    <row r="3242" spans="1:10" x14ac:dyDescent="0.35">
      <c r="A3242" s="7" t="s">
        <v>57</v>
      </c>
      <c r="B3242" s="7" t="s">
        <v>61</v>
      </c>
      <c r="C3242" s="7" t="s">
        <v>39</v>
      </c>
      <c r="D3242" s="9">
        <v>0</v>
      </c>
      <c r="E3242" s="9">
        <v>0.01</v>
      </c>
      <c r="F3242" s="9">
        <v>0</v>
      </c>
      <c r="G3242" s="9">
        <v>0</v>
      </c>
      <c r="H3242" s="9">
        <v>5.97</v>
      </c>
      <c r="I3242" s="9">
        <v>0</v>
      </c>
      <c r="J3242" s="7" t="s">
        <v>325</v>
      </c>
    </row>
    <row r="3243" spans="1:10" x14ac:dyDescent="0.35">
      <c r="A3243" s="7" t="s">
        <v>57</v>
      </c>
      <c r="B3243" s="7" t="s">
        <v>61</v>
      </c>
      <c r="C3243" s="7" t="s">
        <v>53</v>
      </c>
      <c r="D3243" s="9">
        <v>0</v>
      </c>
      <c r="E3243" s="9">
        <v>0</v>
      </c>
      <c r="F3243" s="9">
        <v>0</v>
      </c>
      <c r="G3243" s="9">
        <v>0</v>
      </c>
      <c r="H3243" s="9">
        <v>7.0000000000000007E-2</v>
      </c>
      <c r="I3243" s="9">
        <v>0</v>
      </c>
      <c r="J3243" s="7" t="s">
        <v>325</v>
      </c>
    </row>
    <row r="3244" spans="1:10" x14ac:dyDescent="0.35">
      <c r="A3244" s="7" t="s">
        <v>57</v>
      </c>
      <c r="B3244" s="7" t="s">
        <v>61</v>
      </c>
      <c r="C3244" s="7" t="s">
        <v>59</v>
      </c>
      <c r="D3244" s="9">
        <v>0</v>
      </c>
      <c r="E3244" s="9">
        <v>0</v>
      </c>
      <c r="F3244" s="9">
        <v>0</v>
      </c>
      <c r="G3244" s="9">
        <v>0</v>
      </c>
      <c r="H3244" s="9">
        <v>0.02</v>
      </c>
      <c r="I3244" s="9">
        <v>0</v>
      </c>
      <c r="J3244" s="7" t="s">
        <v>325</v>
      </c>
    </row>
    <row r="3245" spans="1:10" x14ac:dyDescent="0.35">
      <c r="A3245" s="7" t="s">
        <v>57</v>
      </c>
      <c r="B3245" s="7" t="s">
        <v>61</v>
      </c>
      <c r="C3245" s="7" t="s">
        <v>48</v>
      </c>
      <c r="D3245" s="9">
        <v>0</v>
      </c>
      <c r="E3245" s="9">
        <v>0</v>
      </c>
      <c r="F3245" s="9">
        <v>0</v>
      </c>
      <c r="G3245" s="9">
        <v>0</v>
      </c>
      <c r="H3245" s="9">
        <v>1.1299999999999999</v>
      </c>
      <c r="I3245" s="9">
        <v>0</v>
      </c>
      <c r="J3245" s="7" t="s">
        <v>325</v>
      </c>
    </row>
    <row r="3246" spans="1:10" x14ac:dyDescent="0.35">
      <c r="A3246" s="7" t="s">
        <v>57</v>
      </c>
      <c r="B3246" s="7" t="s">
        <v>161</v>
      </c>
      <c r="C3246" s="7" t="s">
        <v>170</v>
      </c>
      <c r="D3246" s="9">
        <v>0</v>
      </c>
      <c r="E3246" s="9">
        <v>0</v>
      </c>
      <c r="F3246" s="9">
        <v>0</v>
      </c>
      <c r="G3246" s="9">
        <v>0</v>
      </c>
      <c r="H3246" s="9">
        <v>0.01</v>
      </c>
      <c r="I3246" s="9">
        <v>0</v>
      </c>
      <c r="J3246" s="7" t="s">
        <v>325</v>
      </c>
    </row>
    <row r="3247" spans="1:10" x14ac:dyDescent="0.35">
      <c r="A3247" s="7" t="s">
        <v>57</v>
      </c>
      <c r="B3247" s="7" t="s">
        <v>161</v>
      </c>
      <c r="C3247" s="7" t="s">
        <v>102</v>
      </c>
      <c r="D3247" s="9">
        <v>0</v>
      </c>
      <c r="E3247" s="9">
        <v>0</v>
      </c>
      <c r="F3247" s="9">
        <v>0</v>
      </c>
      <c r="G3247" s="9">
        <v>0.82</v>
      </c>
      <c r="H3247" s="9">
        <v>0</v>
      </c>
      <c r="I3247" s="9">
        <v>0</v>
      </c>
      <c r="J3247" s="7" t="s">
        <v>325</v>
      </c>
    </row>
    <row r="3248" spans="1:10" x14ac:dyDescent="0.35">
      <c r="A3248" s="7" t="s">
        <v>57</v>
      </c>
      <c r="B3248" s="7" t="s">
        <v>161</v>
      </c>
      <c r="C3248" s="7" t="s">
        <v>118</v>
      </c>
      <c r="D3248" s="9">
        <v>0</v>
      </c>
      <c r="E3248" s="9">
        <v>0</v>
      </c>
      <c r="F3248" s="9">
        <v>0</v>
      </c>
      <c r="G3248" s="9">
        <v>0.22</v>
      </c>
      <c r="H3248" s="9">
        <v>0.16</v>
      </c>
      <c r="I3248" s="9">
        <v>0</v>
      </c>
      <c r="J3248" s="7" t="s">
        <v>325</v>
      </c>
    </row>
    <row r="3249" spans="1:10" x14ac:dyDescent="0.35">
      <c r="A3249" s="7" t="s">
        <v>57</v>
      </c>
      <c r="B3249" s="7" t="s">
        <v>161</v>
      </c>
      <c r="C3249" s="7" t="s">
        <v>62</v>
      </c>
      <c r="D3249" s="9">
        <v>0</v>
      </c>
      <c r="E3249" s="9">
        <v>0.01</v>
      </c>
      <c r="F3249" s="9">
        <v>0</v>
      </c>
      <c r="G3249" s="9">
        <v>0.16</v>
      </c>
      <c r="H3249" s="9">
        <v>22</v>
      </c>
      <c r="I3249" s="9">
        <v>0</v>
      </c>
      <c r="J3249" s="7" t="s">
        <v>325</v>
      </c>
    </row>
    <row r="3250" spans="1:10" x14ac:dyDescent="0.35">
      <c r="A3250" s="7" t="s">
        <v>57</v>
      </c>
      <c r="B3250" s="7" t="s">
        <v>161</v>
      </c>
      <c r="C3250" s="7" t="s">
        <v>51</v>
      </c>
      <c r="D3250" s="9">
        <v>0</v>
      </c>
      <c r="E3250" s="9">
        <v>0</v>
      </c>
      <c r="F3250" s="9">
        <v>0</v>
      </c>
      <c r="G3250" s="9">
        <v>0.11</v>
      </c>
      <c r="H3250" s="9">
        <v>0</v>
      </c>
      <c r="I3250" s="9">
        <v>0</v>
      </c>
      <c r="J3250" s="7" t="s">
        <v>325</v>
      </c>
    </row>
    <row r="3251" spans="1:10" x14ac:dyDescent="0.35">
      <c r="A3251" s="7" t="s">
        <v>40</v>
      </c>
      <c r="B3251" s="7" t="s">
        <v>41</v>
      </c>
      <c r="C3251" s="7" t="s">
        <v>116</v>
      </c>
      <c r="D3251" s="9">
        <v>0.05</v>
      </c>
      <c r="E3251" s="9">
        <v>0</v>
      </c>
      <c r="F3251" s="9">
        <v>0</v>
      </c>
      <c r="G3251" s="9">
        <v>76</v>
      </c>
      <c r="H3251" s="9">
        <v>0</v>
      </c>
      <c r="I3251" s="9">
        <v>0</v>
      </c>
      <c r="J3251" s="7" t="s">
        <v>325</v>
      </c>
    </row>
    <row r="3252" spans="1:10" x14ac:dyDescent="0.35">
      <c r="A3252" s="7" t="s">
        <v>57</v>
      </c>
      <c r="B3252" s="7" t="s">
        <v>161</v>
      </c>
      <c r="C3252" s="7" t="s">
        <v>69</v>
      </c>
      <c r="D3252" s="9">
        <v>0</v>
      </c>
      <c r="E3252" s="9">
        <v>0</v>
      </c>
      <c r="F3252" s="9">
        <v>0</v>
      </c>
      <c r="G3252" s="9">
        <v>0</v>
      </c>
      <c r="H3252" s="9">
        <v>0</v>
      </c>
      <c r="I3252" s="9">
        <v>0</v>
      </c>
      <c r="J3252" s="7" t="s">
        <v>325</v>
      </c>
    </row>
    <row r="3253" spans="1:10" x14ac:dyDescent="0.35">
      <c r="A3253" s="7" t="s">
        <v>40</v>
      </c>
      <c r="B3253" s="7" t="s">
        <v>41</v>
      </c>
      <c r="C3253" s="7" t="s">
        <v>221</v>
      </c>
      <c r="D3253" s="9">
        <v>0.02</v>
      </c>
      <c r="E3253" s="9">
        <v>0.02</v>
      </c>
      <c r="F3253" s="9">
        <v>0</v>
      </c>
      <c r="G3253" s="9">
        <v>4.87</v>
      </c>
      <c r="H3253" s="9">
        <v>8.08</v>
      </c>
      <c r="I3253" s="9">
        <v>0</v>
      </c>
      <c r="J3253" s="7" t="s">
        <v>325</v>
      </c>
    </row>
    <row r="3254" spans="1:10" x14ac:dyDescent="0.35">
      <c r="A3254" s="7" t="s">
        <v>57</v>
      </c>
      <c r="B3254" s="7" t="s">
        <v>161</v>
      </c>
      <c r="C3254" s="7" t="s">
        <v>179</v>
      </c>
      <c r="D3254" s="9">
        <v>0</v>
      </c>
      <c r="E3254" s="9">
        <v>0</v>
      </c>
      <c r="F3254" s="9">
        <v>0</v>
      </c>
      <c r="G3254" s="9">
        <v>0.12</v>
      </c>
      <c r="H3254" s="9">
        <v>0</v>
      </c>
      <c r="I3254" s="9">
        <v>0</v>
      </c>
      <c r="J3254" s="7" t="s">
        <v>325</v>
      </c>
    </row>
    <row r="3255" spans="1:10" x14ac:dyDescent="0.35">
      <c r="A3255" s="7" t="s">
        <v>40</v>
      </c>
      <c r="B3255" s="7" t="s">
        <v>41</v>
      </c>
      <c r="C3255" s="7" t="s">
        <v>93</v>
      </c>
      <c r="D3255" s="9">
        <v>0.69</v>
      </c>
      <c r="E3255" s="9">
        <v>0</v>
      </c>
      <c r="F3255" s="9">
        <v>0</v>
      </c>
      <c r="G3255" s="9">
        <v>339.4</v>
      </c>
      <c r="H3255" s="9">
        <v>0</v>
      </c>
      <c r="I3255" s="9">
        <v>0</v>
      </c>
      <c r="J3255" s="7" t="s">
        <v>325</v>
      </c>
    </row>
    <row r="3256" spans="1:10" x14ac:dyDescent="0.35">
      <c r="A3256" s="7" t="s">
        <v>57</v>
      </c>
      <c r="B3256" s="7" t="s">
        <v>161</v>
      </c>
      <c r="C3256" s="7" t="s">
        <v>174</v>
      </c>
      <c r="D3256" s="9">
        <v>0</v>
      </c>
      <c r="E3256" s="9">
        <v>0</v>
      </c>
      <c r="F3256" s="9">
        <v>0</v>
      </c>
      <c r="G3256" s="9">
        <v>0</v>
      </c>
      <c r="H3256" s="9">
        <v>0.03</v>
      </c>
      <c r="I3256" s="9">
        <v>0</v>
      </c>
      <c r="J3256" s="7" t="s">
        <v>325</v>
      </c>
    </row>
    <row r="3257" spans="1:10" x14ac:dyDescent="0.35">
      <c r="A3257" s="7" t="s">
        <v>57</v>
      </c>
      <c r="B3257" s="7" t="s">
        <v>58</v>
      </c>
      <c r="C3257" s="7" t="s">
        <v>42</v>
      </c>
      <c r="D3257" s="9">
        <v>0</v>
      </c>
      <c r="E3257" s="9">
        <v>0</v>
      </c>
      <c r="F3257" s="9">
        <v>0</v>
      </c>
      <c r="G3257" s="9">
        <v>0</v>
      </c>
      <c r="H3257" s="9">
        <v>0.06</v>
      </c>
      <c r="I3257" s="9">
        <v>0</v>
      </c>
      <c r="J3257" s="7" t="s">
        <v>325</v>
      </c>
    </row>
    <row r="3258" spans="1:10" x14ac:dyDescent="0.35">
      <c r="A3258" s="7" t="s">
        <v>40</v>
      </c>
      <c r="B3258" s="7" t="s">
        <v>107</v>
      </c>
      <c r="C3258" s="7" t="s">
        <v>22</v>
      </c>
      <c r="D3258" s="9">
        <v>4.12</v>
      </c>
      <c r="E3258" s="9">
        <v>0</v>
      </c>
      <c r="F3258" s="9">
        <v>0</v>
      </c>
      <c r="G3258" s="8">
        <v>1819.37</v>
      </c>
      <c r="H3258" s="9">
        <v>0</v>
      </c>
      <c r="I3258" s="9">
        <v>0</v>
      </c>
      <c r="J3258" s="7" t="s">
        <v>325</v>
      </c>
    </row>
    <row r="3259" spans="1:10" x14ac:dyDescent="0.35">
      <c r="A3259" s="7" t="s">
        <v>57</v>
      </c>
      <c r="B3259" s="7" t="s">
        <v>58</v>
      </c>
      <c r="C3259" s="7" t="s">
        <v>54</v>
      </c>
      <c r="D3259" s="9">
        <v>0</v>
      </c>
      <c r="E3259" s="9">
        <v>0.01</v>
      </c>
      <c r="F3259" s="9">
        <v>0</v>
      </c>
      <c r="G3259" s="9">
        <v>0</v>
      </c>
      <c r="H3259" s="9">
        <v>3.76</v>
      </c>
      <c r="I3259" s="9">
        <v>0</v>
      </c>
      <c r="J3259" s="7" t="s">
        <v>325</v>
      </c>
    </row>
    <row r="3260" spans="1:10" x14ac:dyDescent="0.35">
      <c r="A3260" s="7" t="s">
        <v>57</v>
      </c>
      <c r="B3260" s="7" t="s">
        <v>58</v>
      </c>
      <c r="C3260" s="7" t="s">
        <v>102</v>
      </c>
      <c r="D3260" s="9">
        <v>0</v>
      </c>
      <c r="E3260" s="9">
        <v>0</v>
      </c>
      <c r="F3260" s="9">
        <v>0</v>
      </c>
      <c r="G3260" s="9">
        <v>0</v>
      </c>
      <c r="H3260" s="9">
        <v>0.06</v>
      </c>
      <c r="I3260" s="9">
        <v>0</v>
      </c>
      <c r="J3260" s="7" t="s">
        <v>325</v>
      </c>
    </row>
    <row r="3261" spans="1:10" x14ac:dyDescent="0.35">
      <c r="A3261" s="7" t="s">
        <v>57</v>
      </c>
      <c r="B3261" s="7" t="s">
        <v>58</v>
      </c>
      <c r="C3261" s="7" t="s">
        <v>45</v>
      </c>
      <c r="D3261" s="9">
        <v>0</v>
      </c>
      <c r="E3261" s="9">
        <v>0</v>
      </c>
      <c r="F3261" s="9">
        <v>0</v>
      </c>
      <c r="G3261" s="9">
        <v>0</v>
      </c>
      <c r="H3261" s="9">
        <v>0.05</v>
      </c>
      <c r="I3261" s="9">
        <v>0</v>
      </c>
      <c r="J3261" s="7" t="s">
        <v>325</v>
      </c>
    </row>
    <row r="3262" spans="1:10" x14ac:dyDescent="0.35">
      <c r="A3262" s="7" t="s">
        <v>57</v>
      </c>
      <c r="B3262" s="7" t="s">
        <v>58</v>
      </c>
      <c r="C3262" s="7" t="s">
        <v>126</v>
      </c>
      <c r="D3262" s="9">
        <v>0.28000000000000003</v>
      </c>
      <c r="E3262" s="9">
        <v>0.83</v>
      </c>
      <c r="F3262" s="9">
        <v>0</v>
      </c>
      <c r="G3262" s="9">
        <v>140</v>
      </c>
      <c r="H3262" s="9">
        <v>314.3</v>
      </c>
      <c r="I3262" s="9">
        <v>0</v>
      </c>
      <c r="J3262" s="7" t="s">
        <v>325</v>
      </c>
    </row>
    <row r="3263" spans="1:10" x14ac:dyDescent="0.35">
      <c r="A3263" s="7" t="s">
        <v>57</v>
      </c>
      <c r="B3263" s="7" t="s">
        <v>58</v>
      </c>
      <c r="C3263" s="7" t="s">
        <v>144</v>
      </c>
      <c r="D3263" s="9">
        <v>0.01</v>
      </c>
      <c r="E3263" s="9">
        <v>0.02</v>
      </c>
      <c r="F3263" s="9">
        <v>0</v>
      </c>
      <c r="G3263" s="9">
        <v>23</v>
      </c>
      <c r="H3263" s="9">
        <v>20</v>
      </c>
      <c r="I3263" s="9">
        <v>0</v>
      </c>
      <c r="J3263" s="7" t="s">
        <v>325</v>
      </c>
    </row>
    <row r="3264" spans="1:10" x14ac:dyDescent="0.35">
      <c r="A3264" s="7" t="s">
        <v>57</v>
      </c>
      <c r="B3264" s="7" t="s">
        <v>58</v>
      </c>
      <c r="C3264" s="7" t="s">
        <v>65</v>
      </c>
      <c r="D3264" s="9">
        <v>0</v>
      </c>
      <c r="E3264" s="9">
        <v>0</v>
      </c>
      <c r="F3264" s="9">
        <v>0</v>
      </c>
      <c r="G3264" s="9">
        <v>0</v>
      </c>
      <c r="H3264" s="9">
        <v>0.05</v>
      </c>
      <c r="I3264" s="9">
        <v>0</v>
      </c>
      <c r="J3264" s="7" t="s">
        <v>325</v>
      </c>
    </row>
    <row r="3265" spans="1:10" x14ac:dyDescent="0.35">
      <c r="A3265" s="7" t="s">
        <v>40</v>
      </c>
      <c r="B3265" s="7" t="s">
        <v>107</v>
      </c>
      <c r="C3265" s="7" t="s">
        <v>110</v>
      </c>
      <c r="D3265" s="9">
        <v>0.04</v>
      </c>
      <c r="E3265" s="9">
        <v>0</v>
      </c>
      <c r="F3265" s="9">
        <v>0</v>
      </c>
      <c r="G3265" s="9">
        <v>472.32</v>
      </c>
      <c r="H3265" s="9">
        <v>0</v>
      </c>
      <c r="I3265" s="9">
        <v>0</v>
      </c>
      <c r="J3265" s="7" t="s">
        <v>325</v>
      </c>
    </row>
    <row r="3266" spans="1:10" x14ac:dyDescent="0.35">
      <c r="A3266" s="7" t="s">
        <v>57</v>
      </c>
      <c r="B3266" s="7" t="s">
        <v>58</v>
      </c>
      <c r="C3266" s="7" t="s">
        <v>53</v>
      </c>
      <c r="D3266" s="9">
        <v>0</v>
      </c>
      <c r="E3266" s="9">
        <v>0</v>
      </c>
      <c r="F3266" s="9">
        <v>0</v>
      </c>
      <c r="G3266" s="9">
        <v>0</v>
      </c>
      <c r="H3266" s="9">
        <v>0.15</v>
      </c>
      <c r="I3266" s="9">
        <v>0</v>
      </c>
      <c r="J3266" s="7" t="s">
        <v>325</v>
      </c>
    </row>
    <row r="3267" spans="1:10" x14ac:dyDescent="0.35">
      <c r="A3267" s="7" t="s">
        <v>40</v>
      </c>
      <c r="B3267" s="7" t="s">
        <v>107</v>
      </c>
      <c r="C3267" s="7" t="s">
        <v>76</v>
      </c>
      <c r="D3267" s="9">
        <v>0.08</v>
      </c>
      <c r="E3267" s="9">
        <v>0</v>
      </c>
      <c r="F3267" s="9">
        <v>0</v>
      </c>
      <c r="G3267" s="9">
        <v>51.6</v>
      </c>
      <c r="H3267" s="9">
        <v>0</v>
      </c>
      <c r="I3267" s="9">
        <v>0</v>
      </c>
      <c r="J3267" s="7" t="s">
        <v>325</v>
      </c>
    </row>
    <row r="3268" spans="1:10" x14ac:dyDescent="0.35">
      <c r="A3268" s="7" t="s">
        <v>40</v>
      </c>
      <c r="B3268" s="7" t="s">
        <v>107</v>
      </c>
      <c r="C3268" s="7" t="s">
        <v>55</v>
      </c>
      <c r="D3268" s="9">
        <v>0.73</v>
      </c>
      <c r="E3268" s="9">
        <v>0</v>
      </c>
      <c r="F3268" s="9">
        <v>0</v>
      </c>
      <c r="G3268" s="8">
        <v>1133.52</v>
      </c>
      <c r="H3268" s="9">
        <v>0</v>
      </c>
      <c r="I3268" s="9">
        <v>0</v>
      </c>
      <c r="J3268" s="7" t="s">
        <v>325</v>
      </c>
    </row>
    <row r="3269" spans="1:10" x14ac:dyDescent="0.35">
      <c r="A3269" s="7" t="s">
        <v>40</v>
      </c>
      <c r="B3269" s="7" t="s">
        <v>107</v>
      </c>
      <c r="C3269" s="7" t="s">
        <v>46</v>
      </c>
      <c r="D3269" s="9">
        <v>0.03</v>
      </c>
      <c r="E3269" s="9">
        <v>0</v>
      </c>
      <c r="F3269" s="9">
        <v>0</v>
      </c>
      <c r="G3269" s="9">
        <v>30.11</v>
      </c>
      <c r="H3269" s="9">
        <v>0</v>
      </c>
      <c r="I3269" s="9">
        <v>0</v>
      </c>
      <c r="J3269" s="7" t="s">
        <v>325</v>
      </c>
    </row>
    <row r="3270" spans="1:10" x14ac:dyDescent="0.35">
      <c r="A3270" s="7" t="s">
        <v>57</v>
      </c>
      <c r="B3270" s="7" t="s">
        <v>58</v>
      </c>
      <c r="C3270" s="7" t="s">
        <v>46</v>
      </c>
      <c r="D3270" s="9">
        <v>0</v>
      </c>
      <c r="E3270" s="9">
        <v>0.02</v>
      </c>
      <c r="F3270" s="9">
        <v>0</v>
      </c>
      <c r="G3270" s="9">
        <v>0</v>
      </c>
      <c r="H3270" s="9">
        <v>27.02</v>
      </c>
      <c r="I3270" s="9">
        <v>0</v>
      </c>
      <c r="J3270" s="7" t="s">
        <v>325</v>
      </c>
    </row>
    <row r="3271" spans="1:10" x14ac:dyDescent="0.35">
      <c r="A3271" s="7" t="s">
        <v>40</v>
      </c>
      <c r="B3271" s="7" t="s">
        <v>107</v>
      </c>
      <c r="C3271" s="7" t="s">
        <v>62</v>
      </c>
      <c r="D3271" s="9">
        <v>0.7</v>
      </c>
      <c r="E3271" s="9">
        <v>0</v>
      </c>
      <c r="F3271" s="9">
        <v>0</v>
      </c>
      <c r="G3271" s="8">
        <v>2794.22</v>
      </c>
      <c r="H3271" s="9">
        <v>0</v>
      </c>
      <c r="I3271" s="9">
        <v>0</v>
      </c>
      <c r="J3271" s="7" t="s">
        <v>325</v>
      </c>
    </row>
    <row r="3272" spans="1:10" x14ac:dyDescent="0.35">
      <c r="A3272" s="7" t="s">
        <v>57</v>
      </c>
      <c r="B3272" s="7" t="s">
        <v>58</v>
      </c>
      <c r="C3272" s="7" t="s">
        <v>59</v>
      </c>
      <c r="D3272" s="9">
        <v>0</v>
      </c>
      <c r="E3272" s="9">
        <v>0</v>
      </c>
      <c r="F3272" s="9">
        <v>0</v>
      </c>
      <c r="G3272" s="9">
        <v>0</v>
      </c>
      <c r="H3272" s="9">
        <v>0.64</v>
      </c>
      <c r="I3272" s="9">
        <v>0</v>
      </c>
      <c r="J3272" s="7" t="s">
        <v>325</v>
      </c>
    </row>
    <row r="3273" spans="1:10" x14ac:dyDescent="0.35">
      <c r="A3273" s="7" t="s">
        <v>57</v>
      </c>
      <c r="B3273" s="7" t="s">
        <v>58</v>
      </c>
      <c r="C3273" s="7" t="s">
        <v>48</v>
      </c>
      <c r="D3273" s="9">
        <v>0.04</v>
      </c>
      <c r="E3273" s="9">
        <v>0.14000000000000001</v>
      </c>
      <c r="F3273" s="9">
        <v>0</v>
      </c>
      <c r="G3273" s="9">
        <v>14.34</v>
      </c>
      <c r="H3273" s="9">
        <v>75.88</v>
      </c>
      <c r="I3273" s="9">
        <v>0</v>
      </c>
      <c r="J3273" s="7" t="s">
        <v>325</v>
      </c>
    </row>
    <row r="3274" spans="1:10" x14ac:dyDescent="0.35">
      <c r="A3274" s="7" t="s">
        <v>57</v>
      </c>
      <c r="B3274" s="7" t="s">
        <v>58</v>
      </c>
      <c r="C3274" s="7" t="s">
        <v>60</v>
      </c>
      <c r="D3274" s="9">
        <v>0.9</v>
      </c>
      <c r="E3274" s="9">
        <v>0.75</v>
      </c>
      <c r="F3274" s="9">
        <v>0</v>
      </c>
      <c r="G3274" s="8">
        <v>1719.44</v>
      </c>
      <c r="H3274" s="9">
        <v>176.73</v>
      </c>
      <c r="I3274" s="9">
        <v>0</v>
      </c>
      <c r="J3274" s="7" t="s">
        <v>325</v>
      </c>
    </row>
    <row r="3275" spans="1:10" x14ac:dyDescent="0.35">
      <c r="A3275" s="7" t="s">
        <v>40</v>
      </c>
      <c r="B3275" s="7" t="s">
        <v>107</v>
      </c>
      <c r="C3275" s="7" t="s">
        <v>118</v>
      </c>
      <c r="D3275" s="9">
        <v>0.02</v>
      </c>
      <c r="E3275" s="9">
        <v>0.04</v>
      </c>
      <c r="F3275" s="9">
        <v>0</v>
      </c>
      <c r="G3275" s="9">
        <v>8.3000000000000007</v>
      </c>
      <c r="H3275" s="9">
        <v>18.54</v>
      </c>
      <c r="I3275" s="9">
        <v>0</v>
      </c>
      <c r="J3275" s="7" t="s">
        <v>325</v>
      </c>
    </row>
    <row r="3276" spans="1:10" x14ac:dyDescent="0.35">
      <c r="A3276" s="7" t="s">
        <v>57</v>
      </c>
      <c r="B3276" s="7" t="s">
        <v>162</v>
      </c>
      <c r="C3276" s="7" t="s">
        <v>62</v>
      </c>
      <c r="D3276" s="9">
        <v>0.02</v>
      </c>
      <c r="E3276" s="9">
        <v>0</v>
      </c>
      <c r="F3276" s="9">
        <v>0</v>
      </c>
      <c r="G3276" s="9">
        <v>41.77</v>
      </c>
      <c r="H3276" s="9">
        <v>0</v>
      </c>
      <c r="I3276" s="9">
        <v>0</v>
      </c>
      <c r="J3276" s="7" t="s">
        <v>325</v>
      </c>
    </row>
    <row r="3277" spans="1:10" x14ac:dyDescent="0.35">
      <c r="A3277" s="7" t="s">
        <v>77</v>
      </c>
      <c r="B3277" s="7" t="s">
        <v>308</v>
      </c>
      <c r="C3277" s="7" t="s">
        <v>39</v>
      </c>
      <c r="D3277" s="9">
        <v>0</v>
      </c>
      <c r="E3277" s="9">
        <v>0</v>
      </c>
      <c r="F3277" s="9">
        <v>0</v>
      </c>
      <c r="G3277" s="9">
        <v>0</v>
      </c>
      <c r="H3277" s="9">
        <v>0.44</v>
      </c>
      <c r="I3277" s="9">
        <v>0</v>
      </c>
      <c r="J3277" s="7" t="s">
        <v>325</v>
      </c>
    </row>
    <row r="3278" spans="1:10" x14ac:dyDescent="0.35">
      <c r="A3278" s="7" t="s">
        <v>77</v>
      </c>
      <c r="B3278" s="7" t="s">
        <v>168</v>
      </c>
      <c r="C3278" s="7" t="s">
        <v>128</v>
      </c>
      <c r="D3278" s="9">
        <v>0</v>
      </c>
      <c r="E3278" s="9">
        <v>0</v>
      </c>
      <c r="F3278" s="9">
        <v>0</v>
      </c>
      <c r="G3278" s="9">
        <v>0.18</v>
      </c>
      <c r="H3278" s="9">
        <v>0</v>
      </c>
      <c r="I3278" s="9">
        <v>0</v>
      </c>
      <c r="J3278" s="7" t="s">
        <v>325</v>
      </c>
    </row>
    <row r="3279" spans="1:10" x14ac:dyDescent="0.35">
      <c r="A3279" s="7" t="s">
        <v>77</v>
      </c>
      <c r="B3279" s="7" t="s">
        <v>168</v>
      </c>
      <c r="C3279" s="7" t="s">
        <v>170</v>
      </c>
      <c r="D3279" s="9">
        <v>0</v>
      </c>
      <c r="E3279" s="9">
        <v>0</v>
      </c>
      <c r="F3279" s="9">
        <v>0</v>
      </c>
      <c r="G3279" s="9">
        <v>0.13</v>
      </c>
      <c r="H3279" s="9">
        <v>0.95</v>
      </c>
      <c r="I3279" s="9">
        <v>0.01</v>
      </c>
      <c r="J3279" s="7" t="s">
        <v>325</v>
      </c>
    </row>
    <row r="3280" spans="1:10" x14ac:dyDescent="0.35">
      <c r="A3280" s="7" t="s">
        <v>40</v>
      </c>
      <c r="B3280" s="7" t="s">
        <v>107</v>
      </c>
      <c r="C3280" s="7" t="s">
        <v>181</v>
      </c>
      <c r="D3280" s="9">
        <v>0.01</v>
      </c>
      <c r="E3280" s="9">
        <v>0</v>
      </c>
      <c r="F3280" s="9">
        <v>0</v>
      </c>
      <c r="G3280" s="9">
        <v>0.76</v>
      </c>
      <c r="H3280" s="9">
        <v>0</v>
      </c>
      <c r="I3280" s="9">
        <v>0</v>
      </c>
      <c r="J3280" s="7" t="s">
        <v>325</v>
      </c>
    </row>
    <row r="3281" spans="1:10" x14ac:dyDescent="0.35">
      <c r="A3281" s="7" t="s">
        <v>40</v>
      </c>
      <c r="B3281" s="7" t="s">
        <v>309</v>
      </c>
      <c r="C3281" s="7" t="s">
        <v>39</v>
      </c>
      <c r="D3281" s="9">
        <v>0</v>
      </c>
      <c r="E3281" s="9">
        <v>0</v>
      </c>
      <c r="F3281" s="9">
        <v>0</v>
      </c>
      <c r="G3281" s="9">
        <v>0.01</v>
      </c>
      <c r="H3281" s="9">
        <v>0</v>
      </c>
      <c r="I3281" s="9">
        <v>0</v>
      </c>
      <c r="J3281" s="7" t="s">
        <v>325</v>
      </c>
    </row>
    <row r="3282" spans="1:10" ht="26.25" customHeight="1" x14ac:dyDescent="0.35">
      <c r="A3282" s="7" t="s">
        <v>40</v>
      </c>
      <c r="B3282" s="7" t="s">
        <v>310</v>
      </c>
      <c r="C3282" s="7" t="s">
        <v>48</v>
      </c>
      <c r="D3282" s="9">
        <v>0</v>
      </c>
      <c r="E3282" s="9">
        <v>0.15</v>
      </c>
      <c r="F3282" s="9">
        <v>0</v>
      </c>
      <c r="G3282" s="9">
        <v>0</v>
      </c>
      <c r="H3282" s="9">
        <v>34.340000000000003</v>
      </c>
      <c r="I3282" s="9">
        <v>0</v>
      </c>
      <c r="J3282" s="7" t="s">
        <v>325</v>
      </c>
    </row>
    <row r="3283" spans="1:10" x14ac:dyDescent="0.35">
      <c r="A3283" s="7" t="s">
        <v>40</v>
      </c>
      <c r="B3283" s="7" t="s">
        <v>205</v>
      </c>
      <c r="C3283" s="7" t="s">
        <v>76</v>
      </c>
      <c r="D3283" s="9">
        <v>0.01</v>
      </c>
      <c r="E3283" s="9">
        <v>0</v>
      </c>
      <c r="F3283" s="9">
        <v>0</v>
      </c>
      <c r="G3283" s="9">
        <v>16.77</v>
      </c>
      <c r="H3283" s="9">
        <v>11.24</v>
      </c>
      <c r="I3283" s="9">
        <v>0</v>
      </c>
      <c r="J3283" s="7" t="s">
        <v>325</v>
      </c>
    </row>
    <row r="3284" spans="1:10" x14ac:dyDescent="0.35">
      <c r="A3284" s="7" t="s">
        <v>40</v>
      </c>
      <c r="B3284" s="7" t="s">
        <v>205</v>
      </c>
      <c r="C3284" s="7" t="s">
        <v>39</v>
      </c>
      <c r="D3284" s="9">
        <v>0</v>
      </c>
      <c r="E3284" s="9">
        <v>0.01</v>
      </c>
      <c r="F3284" s="9">
        <v>0</v>
      </c>
      <c r="G3284" s="9">
        <v>0</v>
      </c>
      <c r="H3284" s="9">
        <v>17</v>
      </c>
      <c r="I3284" s="9">
        <v>0</v>
      </c>
      <c r="J3284" s="7" t="s">
        <v>325</v>
      </c>
    </row>
    <row r="3285" spans="1:10" x14ac:dyDescent="0.35">
      <c r="A3285" s="7" t="s">
        <v>40</v>
      </c>
      <c r="B3285" s="7" t="s">
        <v>311</v>
      </c>
      <c r="C3285" s="7" t="s">
        <v>48</v>
      </c>
      <c r="D3285" s="9">
        <v>0.03</v>
      </c>
      <c r="E3285" s="9">
        <v>0</v>
      </c>
      <c r="F3285" s="9">
        <v>0</v>
      </c>
      <c r="G3285" s="9">
        <v>14.96</v>
      </c>
      <c r="H3285" s="9">
        <v>2.25</v>
      </c>
      <c r="I3285" s="9">
        <v>0</v>
      </c>
      <c r="J3285" s="7" t="s">
        <v>325</v>
      </c>
    </row>
    <row r="3286" spans="1:10" x14ac:dyDescent="0.35">
      <c r="A3286" s="7" t="s">
        <v>40</v>
      </c>
      <c r="B3286" s="7" t="s">
        <v>311</v>
      </c>
      <c r="C3286" s="7" t="s">
        <v>122</v>
      </c>
      <c r="D3286" s="9">
        <v>0.03</v>
      </c>
      <c r="E3286" s="9">
        <v>0</v>
      </c>
      <c r="F3286" s="9">
        <v>0</v>
      </c>
      <c r="G3286" s="9">
        <v>2.33</v>
      </c>
      <c r="H3286" s="9">
        <v>0</v>
      </c>
      <c r="I3286" s="9">
        <v>0</v>
      </c>
      <c r="J3286" s="7" t="s">
        <v>325</v>
      </c>
    </row>
    <row r="3287" spans="1:10" x14ac:dyDescent="0.35">
      <c r="A3287" s="7" t="s">
        <v>40</v>
      </c>
      <c r="B3287" s="7" t="s">
        <v>311</v>
      </c>
      <c r="C3287" s="7" t="s">
        <v>53</v>
      </c>
      <c r="D3287" s="9">
        <v>0</v>
      </c>
      <c r="E3287" s="9">
        <v>0.01</v>
      </c>
      <c r="F3287" s="9">
        <v>0</v>
      </c>
      <c r="G3287" s="9">
        <v>0</v>
      </c>
      <c r="H3287" s="9">
        <v>5.28</v>
      </c>
      <c r="I3287" s="9">
        <v>0</v>
      </c>
      <c r="J3287" s="7" t="s">
        <v>325</v>
      </c>
    </row>
    <row r="3288" spans="1:10" x14ac:dyDescent="0.35">
      <c r="A3288" s="7" t="s">
        <v>40</v>
      </c>
      <c r="B3288" s="7" t="s">
        <v>311</v>
      </c>
      <c r="C3288" s="7" t="s">
        <v>65</v>
      </c>
      <c r="D3288" s="9">
        <v>0.01</v>
      </c>
      <c r="E3288" s="9">
        <v>0</v>
      </c>
      <c r="F3288" s="9">
        <v>0</v>
      </c>
      <c r="G3288" s="9">
        <v>10.97</v>
      </c>
      <c r="H3288" s="9">
        <v>2.06</v>
      </c>
      <c r="I3288" s="9">
        <v>0</v>
      </c>
      <c r="J3288" s="7" t="s">
        <v>325</v>
      </c>
    </row>
    <row r="3289" spans="1:10" x14ac:dyDescent="0.35">
      <c r="A3289" s="7" t="s">
        <v>40</v>
      </c>
      <c r="B3289" s="7" t="s">
        <v>311</v>
      </c>
      <c r="C3289" s="7" t="s">
        <v>39</v>
      </c>
      <c r="D3289" s="9">
        <v>0</v>
      </c>
      <c r="E3289" s="9">
        <v>0</v>
      </c>
      <c r="F3289" s="9">
        <v>0</v>
      </c>
      <c r="G3289" s="9">
        <v>0</v>
      </c>
      <c r="H3289" s="9">
        <v>0.38</v>
      </c>
      <c r="I3289" s="9">
        <v>0</v>
      </c>
      <c r="J3289" s="7" t="s">
        <v>325</v>
      </c>
    </row>
    <row r="3290" spans="1:10" x14ac:dyDescent="0.35">
      <c r="A3290" s="7" t="s">
        <v>40</v>
      </c>
      <c r="B3290" s="7" t="s">
        <v>311</v>
      </c>
      <c r="C3290" s="7" t="s">
        <v>27</v>
      </c>
      <c r="D3290" s="9">
        <v>0.22</v>
      </c>
      <c r="E3290" s="9">
        <v>0.09</v>
      </c>
      <c r="F3290" s="9">
        <v>0</v>
      </c>
      <c r="G3290" s="9">
        <v>255.47</v>
      </c>
      <c r="H3290" s="9">
        <v>123</v>
      </c>
      <c r="I3290" s="9">
        <v>0</v>
      </c>
      <c r="J3290" s="7" t="s">
        <v>325</v>
      </c>
    </row>
    <row r="3291" spans="1:10" x14ac:dyDescent="0.35">
      <c r="A3291" s="7" t="s">
        <v>40</v>
      </c>
      <c r="B3291" s="7" t="s">
        <v>311</v>
      </c>
      <c r="C3291" s="7" t="s">
        <v>170</v>
      </c>
      <c r="D3291" s="9">
        <v>0</v>
      </c>
      <c r="E3291" s="9">
        <v>0</v>
      </c>
      <c r="F3291" s="9">
        <v>0</v>
      </c>
      <c r="G3291" s="9">
        <v>0</v>
      </c>
      <c r="H3291" s="9">
        <v>0.2</v>
      </c>
      <c r="I3291" s="9">
        <v>0</v>
      </c>
      <c r="J3291" s="7" t="s">
        <v>325</v>
      </c>
    </row>
    <row r="3292" spans="1:10" x14ac:dyDescent="0.35">
      <c r="A3292" s="7" t="s">
        <v>40</v>
      </c>
      <c r="B3292" s="7" t="s">
        <v>311</v>
      </c>
      <c r="C3292" s="7" t="s">
        <v>33</v>
      </c>
      <c r="D3292" s="9">
        <v>0.03</v>
      </c>
      <c r="E3292" s="9">
        <v>0</v>
      </c>
      <c r="F3292" s="9">
        <v>0</v>
      </c>
      <c r="G3292" s="9">
        <v>20</v>
      </c>
      <c r="H3292" s="9">
        <v>0.93</v>
      </c>
      <c r="I3292" s="9">
        <v>0</v>
      </c>
      <c r="J3292" s="7" t="s">
        <v>325</v>
      </c>
    </row>
    <row r="3293" spans="1:10" x14ac:dyDescent="0.35">
      <c r="A3293" s="7" t="s">
        <v>40</v>
      </c>
      <c r="B3293" s="7" t="s">
        <v>229</v>
      </c>
      <c r="C3293" s="7" t="s">
        <v>60</v>
      </c>
      <c r="D3293" s="9">
        <v>0.24</v>
      </c>
      <c r="E3293" s="9">
        <v>0</v>
      </c>
      <c r="F3293" s="9">
        <v>0</v>
      </c>
      <c r="G3293" s="9">
        <v>6.2</v>
      </c>
      <c r="H3293" s="9">
        <v>0</v>
      </c>
      <c r="I3293" s="9">
        <v>0</v>
      </c>
      <c r="J3293" s="7" t="s">
        <v>325</v>
      </c>
    </row>
    <row r="3294" spans="1:10" x14ac:dyDescent="0.35">
      <c r="A3294" s="7" t="s">
        <v>77</v>
      </c>
      <c r="B3294" s="7" t="s">
        <v>168</v>
      </c>
      <c r="C3294" s="7" t="s">
        <v>46</v>
      </c>
      <c r="D3294" s="9">
        <v>0</v>
      </c>
      <c r="E3294" s="9">
        <v>0</v>
      </c>
      <c r="F3294" s="9">
        <v>0</v>
      </c>
      <c r="G3294" s="9">
        <v>0.03</v>
      </c>
      <c r="H3294" s="9">
        <v>0.03</v>
      </c>
      <c r="I3294" s="9">
        <v>0</v>
      </c>
      <c r="J3294" s="7" t="s">
        <v>325</v>
      </c>
    </row>
    <row r="3295" spans="1:10" x14ac:dyDescent="0.35">
      <c r="A3295" s="7" t="s">
        <v>40</v>
      </c>
      <c r="B3295" s="7" t="s">
        <v>229</v>
      </c>
      <c r="C3295" s="7" t="s">
        <v>122</v>
      </c>
      <c r="D3295" s="9">
        <v>0.03</v>
      </c>
      <c r="E3295" s="9">
        <v>0</v>
      </c>
      <c r="F3295" s="9">
        <v>0</v>
      </c>
      <c r="G3295" s="9">
        <v>31.46</v>
      </c>
      <c r="H3295" s="9">
        <v>0</v>
      </c>
      <c r="I3295" s="9">
        <v>0</v>
      </c>
      <c r="J3295" s="7" t="s">
        <v>325</v>
      </c>
    </row>
    <row r="3296" spans="1:10" x14ac:dyDescent="0.35">
      <c r="A3296" s="7" t="s">
        <v>40</v>
      </c>
      <c r="B3296" s="7" t="s">
        <v>229</v>
      </c>
      <c r="C3296" s="7" t="s">
        <v>76</v>
      </c>
      <c r="D3296" s="9">
        <v>0</v>
      </c>
      <c r="E3296" s="9">
        <v>0</v>
      </c>
      <c r="F3296" s="9">
        <v>0</v>
      </c>
      <c r="G3296" s="9">
        <v>0.99</v>
      </c>
      <c r="H3296" s="9">
        <v>0</v>
      </c>
      <c r="I3296" s="9">
        <v>0</v>
      </c>
      <c r="J3296" s="7" t="s">
        <v>325</v>
      </c>
    </row>
    <row r="3297" spans="1:10" x14ac:dyDescent="0.35">
      <c r="A3297" s="7" t="s">
        <v>77</v>
      </c>
      <c r="B3297" s="7" t="s">
        <v>168</v>
      </c>
      <c r="C3297" s="7" t="s">
        <v>69</v>
      </c>
      <c r="D3297" s="9">
        <v>0</v>
      </c>
      <c r="E3297" s="9">
        <v>0</v>
      </c>
      <c r="F3297" s="9">
        <v>0</v>
      </c>
      <c r="G3297" s="9">
        <v>7.0000000000000007E-2</v>
      </c>
      <c r="H3297" s="9">
        <v>0</v>
      </c>
      <c r="I3297" s="9">
        <v>0</v>
      </c>
      <c r="J3297" s="7" t="s">
        <v>325</v>
      </c>
    </row>
    <row r="3298" spans="1:10" x14ac:dyDescent="0.35">
      <c r="A3298" s="7" t="s">
        <v>40</v>
      </c>
      <c r="B3298" s="7" t="s">
        <v>229</v>
      </c>
      <c r="C3298" s="7" t="s">
        <v>45</v>
      </c>
      <c r="D3298" s="9">
        <v>0.06</v>
      </c>
      <c r="E3298" s="9">
        <v>0.05</v>
      </c>
      <c r="F3298" s="9">
        <v>0</v>
      </c>
      <c r="G3298" s="9">
        <v>55.78</v>
      </c>
      <c r="H3298" s="9">
        <v>37.53</v>
      </c>
      <c r="I3298" s="9">
        <v>0</v>
      </c>
      <c r="J3298" s="7" t="s">
        <v>325</v>
      </c>
    </row>
    <row r="3299" spans="1:10" ht="14.25" customHeight="1" x14ac:dyDescent="0.35">
      <c r="A3299" s="20" t="s">
        <v>326</v>
      </c>
      <c r="B3299" s="20"/>
      <c r="C3299" s="20"/>
      <c r="D3299" s="20"/>
      <c r="E3299" s="20"/>
      <c r="F3299" s="20"/>
      <c r="G3299" s="20"/>
      <c r="H3299" s="20"/>
      <c r="I3299" s="20"/>
      <c r="J3299" s="20"/>
    </row>
  </sheetData>
  <mergeCells count="9">
    <mergeCell ref="A7:J7"/>
    <mergeCell ref="D8:F8"/>
    <mergeCell ref="G8:I8"/>
    <mergeCell ref="A3299:J3299"/>
    <mergeCell ref="A1:J2"/>
    <mergeCell ref="A3:J3"/>
    <mergeCell ref="A4:J4"/>
    <mergeCell ref="A5:J5"/>
    <mergeCell ref="A6:J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89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54296875" defaultRowHeight="14.5" x14ac:dyDescent="0.35"/>
  <cols>
    <col min="1" max="1" width="18" customWidth="1"/>
    <col min="2" max="2" width="12" customWidth="1"/>
    <col min="3" max="3" width="34" customWidth="1"/>
    <col min="4" max="4" width="20" customWidth="1"/>
    <col min="5" max="5" width="38" customWidth="1"/>
    <col min="6" max="6" width="26" customWidth="1"/>
    <col min="7" max="8" width="16" customWidth="1"/>
    <col min="9" max="9" width="22" customWidth="1"/>
    <col min="10" max="11" width="16" customWidth="1"/>
    <col min="12" max="14" width="22" customWidth="1"/>
    <col min="15" max="15" width="18" customWidth="1"/>
    <col min="16" max="16" width="12" customWidth="1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3" t="s">
        <v>16</v>
      </c>
      <c r="B2" s="3" t="str">
        <f>INDEX(State_Region!$B$2:$B$26,MATCH(TRIM(A2),State_Region!$A$2:$A$26,0))</f>
        <v>West</v>
      </c>
      <c r="C2" s="3" t="s">
        <v>17</v>
      </c>
      <c r="D2" s="3" t="str">
        <f>INDEX(Port_Type!$B$2:$B$227,MATCH(TRIM(C2),Port_Type!$A$2:$A$227,0))</f>
        <v>Sea Port</v>
      </c>
      <c r="E2" s="3" t="s">
        <v>18</v>
      </c>
      <c r="F2" s="3" t="str">
        <f>INDEX(Product_Category!$B$2:$B$45,MATCH(TRIM(E2),Product_Category!$A$2:$A$45,0))</f>
        <v>Cereals &amp; Grains</v>
      </c>
      <c r="G2" s="4">
        <v>2169.9899999999998</v>
      </c>
      <c r="H2" s="4">
        <v>2298.4499999999998</v>
      </c>
      <c r="I2" s="4">
        <v>830.81</v>
      </c>
      <c r="J2" s="4">
        <v>1998793.13</v>
      </c>
      <c r="K2" s="4">
        <v>2690097.56</v>
      </c>
      <c r="L2" s="4">
        <v>902322.53</v>
      </c>
      <c r="M2" s="4">
        <f t="shared" ref="M2:M65" si="0">H2-G2</f>
        <v>128.46000000000004</v>
      </c>
      <c r="N2" s="4">
        <f t="shared" ref="N2:N65" si="1">K2-J2</f>
        <v>691304.43000000017</v>
      </c>
      <c r="O2" s="4">
        <f t="shared" ref="O2:O65" si="2">I2-H2</f>
        <v>-1467.6399999999999</v>
      </c>
      <c r="P2" s="3" t="s">
        <v>19</v>
      </c>
    </row>
    <row r="3" spans="1:16" x14ac:dyDescent="0.35">
      <c r="A3" s="3" t="s">
        <v>20</v>
      </c>
      <c r="B3" s="3" t="str">
        <f>INDEX(State_Region!$B$2:$B$26,MATCH(TRIM(A3),State_Region!$A$2:$A$26,0))</f>
        <v>West</v>
      </c>
      <c r="C3" s="3" t="s">
        <v>21</v>
      </c>
      <c r="D3" s="3" t="str">
        <f>INDEX(Port_Type!$B$2:$B$227,MATCH(TRIM(C3),Port_Type!$A$2:$A$227,0))</f>
        <v>Sea Port</v>
      </c>
      <c r="E3" s="3" t="s">
        <v>22</v>
      </c>
      <c r="F3" s="3" t="str">
        <f>INDEX(Product_Category!$B$2:$B$45,MATCH(TRIM(E3),Product_Category!$A$2:$A$45,0))</f>
        <v>Meat &amp; Animal Products</v>
      </c>
      <c r="G3" s="4">
        <v>917.88</v>
      </c>
      <c r="H3" s="4">
        <v>1496.37</v>
      </c>
      <c r="I3" s="4">
        <v>562.28</v>
      </c>
      <c r="J3" s="4">
        <v>318733.64</v>
      </c>
      <c r="K3" s="4">
        <v>425067.48</v>
      </c>
      <c r="L3" s="4">
        <v>130651.44</v>
      </c>
      <c r="M3" s="4">
        <f t="shared" si="0"/>
        <v>578.4899999999999</v>
      </c>
      <c r="N3" s="4">
        <f t="shared" si="1"/>
        <v>106333.83999999997</v>
      </c>
      <c r="O3" s="4">
        <f t="shared" si="2"/>
        <v>-934.08999999999992</v>
      </c>
      <c r="P3" s="3" t="s">
        <v>19</v>
      </c>
    </row>
    <row r="4" spans="1:16" x14ac:dyDescent="0.35">
      <c r="A4" s="3" t="s">
        <v>23</v>
      </c>
      <c r="B4" s="3" t="str">
        <f>INDEX(State_Region!$B$2:$B$26,MATCH(TRIM(A4),State_Region!$A$2:$A$26,0))</f>
        <v>North</v>
      </c>
      <c r="C4" s="3" t="s">
        <v>24</v>
      </c>
      <c r="D4" s="3" t="str">
        <f>INDEX(Port_Type!$B$2:$B$227,MATCH(TRIM(C4),Port_Type!$A$2:$A$227,0))</f>
        <v>Inland ICD / CFS</v>
      </c>
      <c r="E4" s="3" t="s">
        <v>22</v>
      </c>
      <c r="F4" s="3" t="str">
        <f>INDEX(Product_Category!$B$2:$B$45,MATCH(TRIM(E4),Product_Category!$A$2:$A$45,0))</f>
        <v>Meat &amp; Animal Products</v>
      </c>
      <c r="G4" s="4">
        <v>936.57</v>
      </c>
      <c r="H4" s="4">
        <v>1048.6600000000001</v>
      </c>
      <c r="I4" s="4">
        <v>544.64</v>
      </c>
      <c r="J4" s="4">
        <v>324888.7</v>
      </c>
      <c r="K4" s="4">
        <v>290388.46999999997</v>
      </c>
      <c r="L4" s="4">
        <v>124459.18</v>
      </c>
      <c r="M4" s="4">
        <f t="shared" si="0"/>
        <v>112.09000000000003</v>
      </c>
      <c r="N4" s="4">
        <f t="shared" si="1"/>
        <v>-34500.23000000004</v>
      </c>
      <c r="O4" s="4">
        <f t="shared" si="2"/>
        <v>-504.0200000000001</v>
      </c>
      <c r="P4" s="3" t="s">
        <v>19</v>
      </c>
    </row>
    <row r="5" spans="1:16" x14ac:dyDescent="0.35">
      <c r="A5" s="3" t="s">
        <v>25</v>
      </c>
      <c r="B5" s="3" t="str">
        <f>INDEX(State_Region!$B$2:$B$26,MATCH(TRIM(A5),State_Region!$A$2:$A$26,0))</f>
        <v>South</v>
      </c>
      <c r="C5" s="3" t="s">
        <v>26</v>
      </c>
      <c r="D5" s="3" t="str">
        <f>INDEX(Port_Type!$B$2:$B$227,MATCH(TRIM(C5),Port_Type!$A$2:$A$227,0))</f>
        <v>Sea Port</v>
      </c>
      <c r="E5" s="3" t="s">
        <v>27</v>
      </c>
      <c r="F5" s="3" t="str">
        <f>INDEX(Product_Category!$B$2:$B$45,MATCH(TRIM(E5),Product_Category!$A$2:$A$45,0))</f>
        <v>Cereals &amp; Grains</v>
      </c>
      <c r="G5" s="4">
        <v>1019.88</v>
      </c>
      <c r="H5" s="4">
        <v>1359.84</v>
      </c>
      <c r="I5" s="4">
        <v>419.33</v>
      </c>
      <c r="J5" s="4">
        <v>2589020.6800000002</v>
      </c>
      <c r="K5" s="4">
        <v>3778728.48</v>
      </c>
      <c r="L5" s="4">
        <v>1296925.48</v>
      </c>
      <c r="M5" s="4">
        <f t="shared" si="0"/>
        <v>339.95999999999992</v>
      </c>
      <c r="N5" s="4">
        <f t="shared" si="1"/>
        <v>1189707.7999999998</v>
      </c>
      <c r="O5" s="4">
        <f t="shared" si="2"/>
        <v>-940.51</v>
      </c>
      <c r="P5" s="3" t="s">
        <v>19</v>
      </c>
    </row>
    <row r="6" spans="1:16" x14ac:dyDescent="0.35">
      <c r="A6" s="3" t="s">
        <v>16</v>
      </c>
      <c r="B6" s="3" t="str">
        <f>INDEX(State_Region!$B$2:$B$26,MATCH(TRIM(A6),State_Region!$A$2:$A$26,0))</f>
        <v>West</v>
      </c>
      <c r="C6" s="3" t="s">
        <v>28</v>
      </c>
      <c r="D6" s="3" t="str">
        <f>INDEX(Port_Type!$B$2:$B$227,MATCH(TRIM(C6),Port_Type!$A$2:$A$227,0))</f>
        <v>Sea Port</v>
      </c>
      <c r="E6" s="3" t="s">
        <v>18</v>
      </c>
      <c r="F6" s="3" t="str">
        <f>INDEX(Product_Category!$B$2:$B$45,MATCH(TRIM(E6),Product_Category!$A$2:$A$45,0))</f>
        <v>Cereals &amp; Grains</v>
      </c>
      <c r="G6" s="4">
        <v>1242.07</v>
      </c>
      <c r="H6" s="4">
        <v>1187.45</v>
      </c>
      <c r="I6" s="4">
        <v>389.9</v>
      </c>
      <c r="J6" s="4">
        <v>1177950.22</v>
      </c>
      <c r="K6" s="4">
        <v>1481392.61</v>
      </c>
      <c r="L6" s="4">
        <v>427258.73</v>
      </c>
      <c r="M6" s="4">
        <f t="shared" si="0"/>
        <v>-54.619999999999891</v>
      </c>
      <c r="N6" s="4">
        <f t="shared" si="1"/>
        <v>303442.39000000013</v>
      </c>
      <c r="O6" s="4">
        <f t="shared" si="2"/>
        <v>-797.55000000000007</v>
      </c>
      <c r="P6" s="3" t="s">
        <v>19</v>
      </c>
    </row>
    <row r="7" spans="1:16" x14ac:dyDescent="0.35">
      <c r="A7" s="3" t="s">
        <v>25</v>
      </c>
      <c r="B7" s="3" t="str">
        <f>INDEX(State_Region!$B$2:$B$26,MATCH(TRIM(A7),State_Region!$A$2:$A$26,0))</f>
        <v>South</v>
      </c>
      <c r="C7" s="3" t="s">
        <v>29</v>
      </c>
      <c r="D7" s="3" t="str">
        <f>INDEX(Port_Type!$B$2:$B$227,MATCH(TRIM(C7),Port_Type!$A$2:$A$227,0))</f>
        <v>Sea Port</v>
      </c>
      <c r="E7" s="3" t="s">
        <v>27</v>
      </c>
      <c r="F7" s="3" t="str">
        <f>INDEX(Product_Category!$B$2:$B$45,MATCH(TRIM(E7),Product_Category!$A$2:$A$45,0))</f>
        <v>Cereals &amp; Grains</v>
      </c>
      <c r="G7" s="4">
        <v>667.67</v>
      </c>
      <c r="H7" s="4">
        <v>612.51</v>
      </c>
      <c r="I7" s="4">
        <v>250.94</v>
      </c>
      <c r="J7" s="4">
        <v>1654430.74</v>
      </c>
      <c r="K7" s="4">
        <v>1690603.53</v>
      </c>
      <c r="L7" s="4">
        <v>774317.55</v>
      </c>
      <c r="M7" s="4">
        <f t="shared" si="0"/>
        <v>-55.159999999999968</v>
      </c>
      <c r="N7" s="4">
        <f t="shared" si="1"/>
        <v>36172.790000000037</v>
      </c>
      <c r="O7" s="4">
        <f t="shared" si="2"/>
        <v>-361.57</v>
      </c>
      <c r="P7" s="3" t="s">
        <v>19</v>
      </c>
    </row>
    <row r="8" spans="1:16" x14ac:dyDescent="0.35">
      <c r="A8" s="3" t="s">
        <v>16</v>
      </c>
      <c r="B8" s="3" t="str">
        <f>INDEX(State_Region!$B$2:$B$26,MATCH(TRIM(A8),State_Region!$A$2:$A$26,0))</f>
        <v>West</v>
      </c>
      <c r="C8" s="3" t="s">
        <v>17</v>
      </c>
      <c r="D8" s="3" t="str">
        <f>INDEX(Port_Type!$B$2:$B$227,MATCH(TRIM(C8),Port_Type!$A$2:$A$227,0))</f>
        <v>Sea Port</v>
      </c>
      <c r="E8" s="3" t="s">
        <v>27</v>
      </c>
      <c r="F8" s="3" t="str">
        <f>INDEX(Product_Category!$B$2:$B$45,MATCH(TRIM(E8),Product_Category!$A$2:$A$45,0))</f>
        <v>Cereals &amp; Grains</v>
      </c>
      <c r="G8" s="4">
        <v>730.01</v>
      </c>
      <c r="H8" s="4">
        <v>693.36</v>
      </c>
      <c r="I8" s="4">
        <v>248.56</v>
      </c>
      <c r="J8" s="4">
        <v>1736946.48</v>
      </c>
      <c r="K8" s="4">
        <v>1507924.44</v>
      </c>
      <c r="L8" s="4">
        <v>563528.32999999996</v>
      </c>
      <c r="M8" s="4">
        <f t="shared" si="0"/>
        <v>-36.649999999999977</v>
      </c>
      <c r="N8" s="4">
        <f t="shared" si="1"/>
        <v>-229022.04000000004</v>
      </c>
      <c r="O8" s="4">
        <f t="shared" si="2"/>
        <v>-444.8</v>
      </c>
      <c r="P8" s="3" t="s">
        <v>19</v>
      </c>
    </row>
    <row r="9" spans="1:16" x14ac:dyDescent="0.35">
      <c r="A9" s="3" t="s">
        <v>23</v>
      </c>
      <c r="B9" s="3" t="str">
        <f>INDEX(State_Region!$B$2:$B$26,MATCH(TRIM(A9),State_Region!$A$2:$A$26,0))</f>
        <v>North</v>
      </c>
      <c r="C9" s="3" t="s">
        <v>30</v>
      </c>
      <c r="D9" s="3" t="str">
        <f>INDEX(Port_Type!$B$2:$B$227,MATCH(TRIM(C9),Port_Type!$A$2:$A$227,0))</f>
        <v>Inland ICD / CFS</v>
      </c>
      <c r="E9" s="3" t="s">
        <v>22</v>
      </c>
      <c r="F9" s="3" t="str">
        <f>INDEX(Product_Category!$B$2:$B$45,MATCH(TRIM(E9),Product_Category!$A$2:$A$45,0))</f>
        <v>Meat &amp; Animal Products</v>
      </c>
      <c r="G9" s="4">
        <v>358.89</v>
      </c>
      <c r="H9" s="4">
        <v>532.99</v>
      </c>
      <c r="I9" s="4">
        <v>222.25</v>
      </c>
      <c r="J9" s="4">
        <v>123625.07</v>
      </c>
      <c r="K9" s="4">
        <v>147257.68</v>
      </c>
      <c r="L9" s="4">
        <v>50127.91</v>
      </c>
      <c r="M9" s="4">
        <f t="shared" si="0"/>
        <v>174.10000000000002</v>
      </c>
      <c r="N9" s="4">
        <f t="shared" si="1"/>
        <v>23632.609999999986</v>
      </c>
      <c r="O9" s="4">
        <f t="shared" si="2"/>
        <v>-310.74</v>
      </c>
      <c r="P9" s="3" t="s">
        <v>19</v>
      </c>
    </row>
    <row r="10" spans="1:16" x14ac:dyDescent="0.35">
      <c r="A10" s="3" t="s">
        <v>16</v>
      </c>
      <c r="B10" s="3" t="str">
        <f>INDEX(State_Region!$B$2:$B$26,MATCH(TRIM(A10),State_Region!$A$2:$A$26,0))</f>
        <v>West</v>
      </c>
      <c r="C10" s="3" t="s">
        <v>28</v>
      </c>
      <c r="D10" s="3" t="str">
        <f>INDEX(Port_Type!$B$2:$B$227,MATCH(TRIM(C10),Port_Type!$A$2:$A$227,0))</f>
        <v>Sea Port</v>
      </c>
      <c r="E10" s="3" t="s">
        <v>27</v>
      </c>
      <c r="F10" s="3" t="str">
        <f>INDEX(Product_Category!$B$2:$B$45,MATCH(TRIM(E10),Product_Category!$A$2:$A$45,0))</f>
        <v>Cereals &amp; Grains</v>
      </c>
      <c r="G10" s="4">
        <v>257.12</v>
      </c>
      <c r="H10" s="4">
        <v>582.61</v>
      </c>
      <c r="I10" s="4">
        <v>206.94</v>
      </c>
      <c r="J10" s="4">
        <v>667453.21</v>
      </c>
      <c r="K10" s="4">
        <v>1527054.14</v>
      </c>
      <c r="L10" s="4">
        <v>578738.97</v>
      </c>
      <c r="M10" s="4">
        <f t="shared" si="0"/>
        <v>325.49</v>
      </c>
      <c r="N10" s="4">
        <f t="shared" si="1"/>
        <v>859600.92999999993</v>
      </c>
      <c r="O10" s="4">
        <f t="shared" si="2"/>
        <v>-375.67</v>
      </c>
      <c r="P10" s="3" t="s">
        <v>19</v>
      </c>
    </row>
    <row r="11" spans="1:16" x14ac:dyDescent="0.35">
      <c r="A11" s="3" t="s">
        <v>31</v>
      </c>
      <c r="B11" s="3" t="str">
        <f>INDEX(State_Region!$B$2:$B$26,MATCH(TRIM(A11),State_Region!$A$2:$A$26,0))</f>
        <v>East</v>
      </c>
      <c r="C11" s="3" t="s">
        <v>32</v>
      </c>
      <c r="D11" s="3" t="str">
        <f>INDEX(Port_Type!$B$2:$B$227,MATCH(TRIM(C11),Port_Type!$A$2:$A$227,0))</f>
        <v>Sea Port</v>
      </c>
      <c r="E11" s="3" t="s">
        <v>27</v>
      </c>
      <c r="F11" s="3" t="str">
        <f>INDEX(Product_Category!$B$2:$B$45,MATCH(TRIM(E11),Product_Category!$A$2:$A$45,0))</f>
        <v>Cereals &amp; Grains</v>
      </c>
      <c r="G11" s="4">
        <v>396.23</v>
      </c>
      <c r="H11" s="4">
        <v>456.93</v>
      </c>
      <c r="I11" s="4">
        <v>184.12</v>
      </c>
      <c r="J11" s="4">
        <v>943947.01</v>
      </c>
      <c r="K11" s="4">
        <v>1244058.79</v>
      </c>
      <c r="L11" s="4">
        <v>560583.15</v>
      </c>
      <c r="M11" s="4">
        <f t="shared" si="0"/>
        <v>60.699999999999989</v>
      </c>
      <c r="N11" s="4">
        <f t="shared" si="1"/>
        <v>300111.78000000003</v>
      </c>
      <c r="O11" s="4">
        <f t="shared" si="2"/>
        <v>-272.81</v>
      </c>
      <c r="P11" s="3" t="s">
        <v>19</v>
      </c>
    </row>
    <row r="12" spans="1:16" x14ac:dyDescent="0.35">
      <c r="A12" s="3" t="s">
        <v>16</v>
      </c>
      <c r="B12" s="3" t="str">
        <f>INDEX(State_Region!$B$2:$B$26,MATCH(TRIM(A12),State_Region!$A$2:$A$26,0))</f>
        <v>West</v>
      </c>
      <c r="C12" s="3" t="s">
        <v>17</v>
      </c>
      <c r="D12" s="3" t="str">
        <f>INDEX(Port_Type!$B$2:$B$227,MATCH(TRIM(C12),Port_Type!$A$2:$A$227,0))</f>
        <v>Sea Port</v>
      </c>
      <c r="E12" s="3" t="s">
        <v>33</v>
      </c>
      <c r="F12" s="3" t="str">
        <f>INDEX(Product_Category!$B$2:$B$45,MATCH(TRIM(E12),Product_Category!$A$2:$A$45,0))</f>
        <v>Pulses</v>
      </c>
      <c r="G12" s="4">
        <v>176.05</v>
      </c>
      <c r="H12" s="4">
        <v>385.68</v>
      </c>
      <c r="I12" s="4">
        <v>183.38</v>
      </c>
      <c r="J12" s="4">
        <v>135676.5</v>
      </c>
      <c r="K12" s="4">
        <v>394735.21</v>
      </c>
      <c r="L12" s="4">
        <v>185043.86</v>
      </c>
      <c r="M12" s="4">
        <f t="shared" si="0"/>
        <v>209.63</v>
      </c>
      <c r="N12" s="4">
        <f t="shared" si="1"/>
        <v>259058.71000000002</v>
      </c>
      <c r="O12" s="4">
        <f t="shared" si="2"/>
        <v>-202.3</v>
      </c>
      <c r="P12" s="3" t="s">
        <v>19</v>
      </c>
    </row>
    <row r="13" spans="1:16" x14ac:dyDescent="0.35">
      <c r="A13" s="3" t="s">
        <v>20</v>
      </c>
      <c r="B13" s="3" t="str">
        <f>INDEX(State_Region!$B$2:$B$26,MATCH(TRIM(A13),State_Region!$A$2:$A$26,0))</f>
        <v>West</v>
      </c>
      <c r="C13" s="3" t="s">
        <v>21</v>
      </c>
      <c r="D13" s="3" t="str">
        <f>INDEX(Port_Type!$B$2:$B$227,MATCH(TRIM(C13),Port_Type!$A$2:$A$227,0))</f>
        <v>Sea Port</v>
      </c>
      <c r="E13" s="3" t="s">
        <v>27</v>
      </c>
      <c r="F13" s="3" t="str">
        <f>INDEX(Product_Category!$B$2:$B$45,MATCH(TRIM(E13),Product_Category!$A$2:$A$45,0))</f>
        <v>Cereals &amp; Grains</v>
      </c>
      <c r="G13" s="4">
        <v>257.82</v>
      </c>
      <c r="H13" s="4">
        <v>464.19</v>
      </c>
      <c r="I13" s="4">
        <v>178.79</v>
      </c>
      <c r="J13" s="4">
        <v>634642.31000000006</v>
      </c>
      <c r="K13" s="4">
        <v>1152704.8500000001</v>
      </c>
      <c r="L13" s="4">
        <v>457683.02</v>
      </c>
      <c r="M13" s="4">
        <f t="shared" si="0"/>
        <v>206.37</v>
      </c>
      <c r="N13" s="4">
        <f t="shared" si="1"/>
        <v>518062.54000000004</v>
      </c>
      <c r="O13" s="4">
        <f t="shared" si="2"/>
        <v>-285.39999999999998</v>
      </c>
      <c r="P13" s="3" t="s">
        <v>19</v>
      </c>
    </row>
    <row r="14" spans="1:16" x14ac:dyDescent="0.35">
      <c r="A14" s="3" t="s">
        <v>23</v>
      </c>
      <c r="B14" s="3" t="str">
        <f>INDEX(State_Region!$B$2:$B$26,MATCH(TRIM(A14),State_Region!$A$2:$A$26,0))</f>
        <v>North</v>
      </c>
      <c r="C14" s="3" t="s">
        <v>34</v>
      </c>
      <c r="D14" s="3" t="str">
        <f>INDEX(Port_Type!$B$2:$B$227,MATCH(TRIM(C14),Port_Type!$A$2:$A$227,0))</f>
        <v>Inland ICD / CFS</v>
      </c>
      <c r="E14" s="3" t="s">
        <v>22</v>
      </c>
      <c r="F14" s="3" t="str">
        <f>INDEX(Product_Category!$B$2:$B$45,MATCH(TRIM(E14),Product_Category!$A$2:$A$45,0))</f>
        <v>Meat &amp; Animal Products</v>
      </c>
      <c r="G14" s="4">
        <v>244.28</v>
      </c>
      <c r="H14" s="4">
        <v>383.85</v>
      </c>
      <c r="I14" s="4">
        <v>172.59</v>
      </c>
      <c r="J14" s="4">
        <v>83226.09</v>
      </c>
      <c r="K14" s="4">
        <v>105788.1</v>
      </c>
      <c r="L14" s="4">
        <v>39229.54</v>
      </c>
      <c r="M14" s="4">
        <f t="shared" si="0"/>
        <v>139.57000000000002</v>
      </c>
      <c r="N14" s="4">
        <f t="shared" si="1"/>
        <v>22562.010000000009</v>
      </c>
      <c r="O14" s="4">
        <f t="shared" si="2"/>
        <v>-211.26000000000002</v>
      </c>
      <c r="P14" s="3" t="s">
        <v>19</v>
      </c>
    </row>
    <row r="15" spans="1:16" x14ac:dyDescent="0.35">
      <c r="A15" s="3" t="s">
        <v>35</v>
      </c>
      <c r="B15" s="3" t="str">
        <f>INDEX(State_Region!$B$2:$B$26,MATCH(TRIM(A15),State_Region!$A$2:$A$26,0))</f>
        <v>North</v>
      </c>
      <c r="C15" s="3" t="s">
        <v>36</v>
      </c>
      <c r="D15" s="3" t="str">
        <f>INDEX(Port_Type!$B$2:$B$227,MATCH(TRIM(C15),Port_Type!$A$2:$A$227,0))</f>
        <v>Inland ICD / CFS</v>
      </c>
      <c r="E15" s="3" t="s">
        <v>18</v>
      </c>
      <c r="F15" s="3" t="str">
        <f>INDEX(Product_Category!$B$2:$B$45,MATCH(TRIM(E15),Product_Category!$A$2:$A$45,0))</f>
        <v>Cereals &amp; Grains</v>
      </c>
      <c r="G15" s="4">
        <v>708.84</v>
      </c>
      <c r="H15" s="4">
        <v>614.47</v>
      </c>
      <c r="I15" s="4">
        <v>171.06</v>
      </c>
      <c r="J15" s="4">
        <v>630071.72</v>
      </c>
      <c r="K15" s="4">
        <v>694163.8</v>
      </c>
      <c r="L15" s="4">
        <v>178285.48</v>
      </c>
      <c r="M15" s="4">
        <f t="shared" si="0"/>
        <v>-94.37</v>
      </c>
      <c r="N15" s="4">
        <f t="shared" si="1"/>
        <v>64092.080000000075</v>
      </c>
      <c r="O15" s="4">
        <f t="shared" si="2"/>
        <v>-443.41</v>
      </c>
      <c r="P15" s="3" t="s">
        <v>19</v>
      </c>
    </row>
    <row r="16" spans="1:16" x14ac:dyDescent="0.35">
      <c r="A16" s="3" t="s">
        <v>35</v>
      </c>
      <c r="B16" s="3" t="str">
        <f>INDEX(State_Region!$B$2:$B$26,MATCH(TRIM(A16),State_Region!$A$2:$A$26,0))</f>
        <v>North</v>
      </c>
      <c r="C16" s="3" t="s">
        <v>37</v>
      </c>
      <c r="D16" s="3" t="str">
        <f>INDEX(Port_Type!$B$2:$B$227,MATCH(TRIM(C16),Port_Type!$A$2:$A$227,0))</f>
        <v>Inland ICD / CFS</v>
      </c>
      <c r="E16" s="3" t="s">
        <v>22</v>
      </c>
      <c r="F16" s="3" t="str">
        <f>INDEX(Product_Category!$B$2:$B$45,MATCH(TRIM(E16),Product_Category!$A$2:$A$45,0))</f>
        <v>Meat &amp; Animal Products</v>
      </c>
      <c r="G16" s="4">
        <v>85.85</v>
      </c>
      <c r="H16" s="4">
        <v>258.39</v>
      </c>
      <c r="I16" s="4">
        <v>146.59</v>
      </c>
      <c r="J16" s="4">
        <v>28495.81</v>
      </c>
      <c r="K16" s="4">
        <v>68950.259999999995</v>
      </c>
      <c r="L16" s="4">
        <v>32921.11</v>
      </c>
      <c r="M16" s="4">
        <f t="shared" si="0"/>
        <v>172.54</v>
      </c>
      <c r="N16" s="4">
        <f t="shared" si="1"/>
        <v>40454.449999999997</v>
      </c>
      <c r="O16" s="4">
        <f t="shared" si="2"/>
        <v>-111.79999999999998</v>
      </c>
      <c r="P16" s="3" t="s">
        <v>19</v>
      </c>
    </row>
    <row r="17" spans="1:16" x14ac:dyDescent="0.35">
      <c r="A17" s="3" t="s">
        <v>35</v>
      </c>
      <c r="B17" s="3" t="str">
        <f>INDEX(State_Region!$B$2:$B$26,MATCH(TRIM(A17),State_Region!$A$2:$A$26,0))</f>
        <v>North</v>
      </c>
      <c r="C17" s="3" t="s">
        <v>38</v>
      </c>
      <c r="D17" s="3" t="str">
        <f>INDEX(Port_Type!$B$2:$B$227,MATCH(TRIM(C17),Port_Type!$A$2:$A$227,0))</f>
        <v>Inland ICD / CFS</v>
      </c>
      <c r="E17" s="3" t="s">
        <v>18</v>
      </c>
      <c r="F17" s="3" t="str">
        <f>INDEX(Product_Category!$B$2:$B$45,MATCH(TRIM(E17),Product_Category!$A$2:$A$45,0))</f>
        <v>Cereals &amp; Grains</v>
      </c>
      <c r="G17" s="4">
        <v>627.62</v>
      </c>
      <c r="H17" s="4">
        <v>497.59</v>
      </c>
      <c r="I17" s="4">
        <v>136.69</v>
      </c>
      <c r="J17" s="4">
        <v>530579.68000000005</v>
      </c>
      <c r="K17" s="4">
        <v>513636.09</v>
      </c>
      <c r="L17" s="4">
        <v>131757.81</v>
      </c>
      <c r="M17" s="4">
        <f t="shared" si="0"/>
        <v>-130.03000000000003</v>
      </c>
      <c r="N17" s="4">
        <f t="shared" si="1"/>
        <v>-16943.590000000026</v>
      </c>
      <c r="O17" s="4">
        <f t="shared" si="2"/>
        <v>-360.9</v>
      </c>
      <c r="P17" s="3" t="s">
        <v>19</v>
      </c>
    </row>
    <row r="18" spans="1:16" x14ac:dyDescent="0.35">
      <c r="A18" s="3" t="s">
        <v>20</v>
      </c>
      <c r="B18" s="3" t="str">
        <f>INDEX(State_Region!$B$2:$B$26,MATCH(TRIM(A18),State_Region!$A$2:$A$26,0))</f>
        <v>West</v>
      </c>
      <c r="C18" s="3" t="s">
        <v>21</v>
      </c>
      <c r="D18" s="3" t="str">
        <f>INDEX(Port_Type!$B$2:$B$227,MATCH(TRIM(C18),Port_Type!$A$2:$A$227,0))</f>
        <v>Sea Port</v>
      </c>
      <c r="E18" s="3" t="s">
        <v>39</v>
      </c>
      <c r="F18" s="3" t="str">
        <f>INDEX(Product_Category!$B$2:$B$45,MATCH(TRIM(E18),Product_Category!$A$2:$A$45,0))</f>
        <v>Processed Foods</v>
      </c>
      <c r="G18" s="4">
        <v>356.49</v>
      </c>
      <c r="H18" s="4">
        <v>364.19</v>
      </c>
      <c r="I18" s="4">
        <v>133.69999999999999</v>
      </c>
      <c r="J18" s="4">
        <v>334989.06</v>
      </c>
      <c r="K18" s="4">
        <v>240052.8</v>
      </c>
      <c r="L18" s="4">
        <v>106650.69</v>
      </c>
      <c r="M18" s="4">
        <f t="shared" si="0"/>
        <v>7.6999999999999886</v>
      </c>
      <c r="N18" s="4">
        <f t="shared" si="1"/>
        <v>-94936.260000000009</v>
      </c>
      <c r="O18" s="4">
        <f t="shared" si="2"/>
        <v>-230.49</v>
      </c>
      <c r="P18" s="3" t="s">
        <v>19</v>
      </c>
    </row>
    <row r="19" spans="1:16" x14ac:dyDescent="0.35">
      <c r="A19" s="3" t="s">
        <v>40</v>
      </c>
      <c r="B19" s="3" t="str">
        <f>INDEX(State_Region!$B$2:$B$26,MATCH(TRIM(A19),State_Region!$A$2:$A$26,0))</f>
        <v>South</v>
      </c>
      <c r="C19" s="3" t="s">
        <v>41</v>
      </c>
      <c r="D19" s="3" t="str">
        <f>INDEX(Port_Type!$B$2:$B$227,MATCH(TRIM(C19),Port_Type!$A$2:$A$227,0))</f>
        <v>Sea Port</v>
      </c>
      <c r="E19" s="3" t="s">
        <v>27</v>
      </c>
      <c r="F19" s="3" t="str">
        <f>INDEX(Product_Category!$B$2:$B$45,MATCH(TRIM(E19),Product_Category!$A$2:$A$45,0))</f>
        <v>Cereals &amp; Grains</v>
      </c>
      <c r="G19" s="4">
        <v>99.31</v>
      </c>
      <c r="H19" s="4">
        <v>267.44</v>
      </c>
      <c r="I19" s="4">
        <v>122.84</v>
      </c>
      <c r="J19" s="4">
        <v>221886.7</v>
      </c>
      <c r="K19" s="4">
        <v>684374.24</v>
      </c>
      <c r="L19" s="4">
        <v>334764.42</v>
      </c>
      <c r="M19" s="4">
        <f t="shared" si="0"/>
        <v>168.13</v>
      </c>
      <c r="N19" s="4">
        <f t="shared" si="1"/>
        <v>462487.54</v>
      </c>
      <c r="O19" s="4">
        <f t="shared" si="2"/>
        <v>-144.6</v>
      </c>
      <c r="P19" s="3" t="s">
        <v>19</v>
      </c>
    </row>
    <row r="20" spans="1:16" x14ac:dyDescent="0.35">
      <c r="A20" s="3" t="s">
        <v>16</v>
      </c>
      <c r="B20" s="3" t="str">
        <f>INDEX(State_Region!$B$2:$B$26,MATCH(TRIM(A20),State_Region!$A$2:$A$26,0))</f>
        <v>West</v>
      </c>
      <c r="C20" s="3" t="s">
        <v>17</v>
      </c>
      <c r="D20" s="3" t="str">
        <f>INDEX(Port_Type!$B$2:$B$227,MATCH(TRIM(C20),Port_Type!$A$2:$A$227,0))</f>
        <v>Sea Port</v>
      </c>
      <c r="E20" s="3" t="s">
        <v>42</v>
      </c>
      <c r="F20" s="3" t="str">
        <f>INDEX(Product_Category!$B$2:$B$45,MATCH(TRIM(E20),Product_Category!$A$2:$A$45,0))</f>
        <v>Processed Foods</v>
      </c>
      <c r="G20" s="4">
        <v>235.35</v>
      </c>
      <c r="H20" s="4">
        <v>318.45999999999998</v>
      </c>
      <c r="I20" s="4">
        <v>121.98</v>
      </c>
      <c r="J20" s="4">
        <v>151133.37</v>
      </c>
      <c r="K20" s="4">
        <v>227849.27</v>
      </c>
      <c r="L20" s="4">
        <v>95516.95</v>
      </c>
      <c r="M20" s="4">
        <f t="shared" si="0"/>
        <v>83.109999999999985</v>
      </c>
      <c r="N20" s="4">
        <f t="shared" si="1"/>
        <v>76715.899999999994</v>
      </c>
      <c r="O20" s="4">
        <f t="shared" si="2"/>
        <v>-196.47999999999996</v>
      </c>
      <c r="P20" s="3" t="s">
        <v>19</v>
      </c>
    </row>
    <row r="21" spans="1:16" x14ac:dyDescent="0.35">
      <c r="A21" s="3" t="s">
        <v>23</v>
      </c>
      <c r="B21" s="3" t="str">
        <f>INDEX(State_Region!$B$2:$B$26,MATCH(TRIM(A21),State_Region!$A$2:$A$26,0))</f>
        <v>North</v>
      </c>
      <c r="C21" s="3" t="s">
        <v>43</v>
      </c>
      <c r="D21" s="3" t="str">
        <f>INDEX(Port_Type!$B$2:$B$227,MATCH(TRIM(C21),Port_Type!$A$2:$A$227,0))</f>
        <v>Land Border / Rail</v>
      </c>
      <c r="E21" s="3" t="s">
        <v>22</v>
      </c>
      <c r="F21" s="3" t="str">
        <f>INDEX(Product_Category!$B$2:$B$45,MATCH(TRIM(E21),Product_Category!$A$2:$A$45,0))</f>
        <v>Meat &amp; Animal Products</v>
      </c>
      <c r="G21" s="4">
        <v>308.51</v>
      </c>
      <c r="H21" s="4">
        <v>388.63</v>
      </c>
      <c r="I21" s="4">
        <v>120.7</v>
      </c>
      <c r="J21" s="4">
        <v>106433.8</v>
      </c>
      <c r="K21" s="4">
        <v>105030.57</v>
      </c>
      <c r="L21" s="4">
        <v>27295.95</v>
      </c>
      <c r="M21" s="4">
        <f t="shared" si="0"/>
        <v>80.12</v>
      </c>
      <c r="N21" s="4">
        <f t="shared" si="1"/>
        <v>-1403.2299999999959</v>
      </c>
      <c r="O21" s="4">
        <f t="shared" si="2"/>
        <v>-267.93</v>
      </c>
      <c r="P21" s="3" t="s">
        <v>19</v>
      </c>
    </row>
    <row r="22" spans="1:16" x14ac:dyDescent="0.35">
      <c r="A22" s="3" t="s">
        <v>20</v>
      </c>
      <c r="B22" s="3" t="str">
        <f>INDEX(State_Region!$B$2:$B$26,MATCH(TRIM(A22),State_Region!$A$2:$A$26,0))</f>
        <v>West</v>
      </c>
      <c r="C22" s="3" t="s">
        <v>21</v>
      </c>
      <c r="D22" s="3" t="str">
        <f>INDEX(Port_Type!$B$2:$B$227,MATCH(TRIM(C22),Port_Type!$A$2:$A$227,0))</f>
        <v>Sea Port</v>
      </c>
      <c r="E22" s="3" t="s">
        <v>33</v>
      </c>
      <c r="F22" s="3" t="str">
        <f>INDEX(Product_Category!$B$2:$B$45,MATCH(TRIM(E22),Product_Category!$A$2:$A$45,0))</f>
        <v>Pulses</v>
      </c>
      <c r="G22" s="4">
        <v>211.77</v>
      </c>
      <c r="H22" s="4">
        <v>244.26</v>
      </c>
      <c r="I22" s="4">
        <v>120.12</v>
      </c>
      <c r="J22" s="4">
        <v>181900.11</v>
      </c>
      <c r="K22" s="4">
        <v>236761.71</v>
      </c>
      <c r="L22" s="4">
        <v>125030.53</v>
      </c>
      <c r="M22" s="4">
        <f t="shared" si="0"/>
        <v>32.489999999999981</v>
      </c>
      <c r="N22" s="4">
        <f t="shared" si="1"/>
        <v>54861.600000000006</v>
      </c>
      <c r="O22" s="4">
        <f t="shared" si="2"/>
        <v>-124.13999999999999</v>
      </c>
      <c r="P22" s="3" t="s">
        <v>19</v>
      </c>
    </row>
    <row r="23" spans="1:16" x14ac:dyDescent="0.35">
      <c r="A23" s="3" t="s">
        <v>23</v>
      </c>
      <c r="B23" s="3" t="str">
        <f>INDEX(State_Region!$B$2:$B$26,MATCH(TRIM(A23),State_Region!$A$2:$A$26,0))</f>
        <v>North</v>
      </c>
      <c r="C23" s="3" t="s">
        <v>44</v>
      </c>
      <c r="D23" s="3" t="str">
        <f>INDEX(Port_Type!$B$2:$B$227,MATCH(TRIM(C23),Port_Type!$A$2:$A$227,0))</f>
        <v>Inland ICD / CFS</v>
      </c>
      <c r="E23" s="3" t="s">
        <v>22</v>
      </c>
      <c r="F23" s="3" t="str">
        <f>INDEX(Product_Category!$B$2:$B$45,MATCH(TRIM(E23),Product_Category!$A$2:$A$45,0))</f>
        <v>Meat &amp; Animal Products</v>
      </c>
      <c r="G23" s="4">
        <v>276.20999999999998</v>
      </c>
      <c r="H23" s="4">
        <v>406.53</v>
      </c>
      <c r="I23" s="4">
        <v>109.06</v>
      </c>
      <c r="J23" s="4">
        <v>95964.37</v>
      </c>
      <c r="K23" s="4">
        <v>114981.73</v>
      </c>
      <c r="L23" s="4">
        <v>25896.87</v>
      </c>
      <c r="M23" s="4">
        <f t="shared" si="0"/>
        <v>130.32</v>
      </c>
      <c r="N23" s="4">
        <f t="shared" si="1"/>
        <v>19017.36</v>
      </c>
      <c r="O23" s="4">
        <f t="shared" si="2"/>
        <v>-297.46999999999997</v>
      </c>
      <c r="P23" s="3" t="s">
        <v>19</v>
      </c>
    </row>
    <row r="24" spans="1:16" x14ac:dyDescent="0.35">
      <c r="A24" s="3" t="s">
        <v>20</v>
      </c>
      <c r="B24" s="3" t="str">
        <f>INDEX(State_Region!$B$2:$B$26,MATCH(TRIM(A24),State_Region!$A$2:$A$26,0))</f>
        <v>West</v>
      </c>
      <c r="C24" s="3" t="s">
        <v>21</v>
      </c>
      <c r="D24" s="3" t="str">
        <f>INDEX(Port_Type!$B$2:$B$227,MATCH(TRIM(C24),Port_Type!$A$2:$A$227,0))</f>
        <v>Sea Port</v>
      </c>
      <c r="E24" s="3" t="s">
        <v>45</v>
      </c>
      <c r="F24" s="3" t="str">
        <f>INDEX(Product_Category!$B$2:$B$45,MATCH(TRIM(E24),Product_Category!$A$2:$A$45,0))</f>
        <v>Fresh Fruits &amp; Vegetables</v>
      </c>
      <c r="G24" s="4">
        <v>259.45999999999998</v>
      </c>
      <c r="H24" s="4">
        <v>458.56</v>
      </c>
      <c r="I24" s="4">
        <v>100.12</v>
      </c>
      <c r="J24" s="4">
        <v>464222.76</v>
      </c>
      <c r="K24" s="4">
        <v>953314.21</v>
      </c>
      <c r="L24" s="4">
        <v>162439.96</v>
      </c>
      <c r="M24" s="4">
        <f t="shared" si="0"/>
        <v>199.10000000000002</v>
      </c>
      <c r="N24" s="4">
        <f t="shared" si="1"/>
        <v>489091.44999999995</v>
      </c>
      <c r="O24" s="4">
        <f t="shared" si="2"/>
        <v>-358.44</v>
      </c>
      <c r="P24" s="3" t="s">
        <v>19</v>
      </c>
    </row>
    <row r="25" spans="1:16" x14ac:dyDescent="0.35">
      <c r="A25" s="3" t="s">
        <v>16</v>
      </c>
      <c r="B25" s="3" t="str">
        <f>INDEX(State_Region!$B$2:$B$26,MATCH(TRIM(A25),State_Region!$A$2:$A$26,0))</f>
        <v>West</v>
      </c>
      <c r="C25" s="3" t="s">
        <v>17</v>
      </c>
      <c r="D25" s="3" t="str">
        <f>INDEX(Port_Type!$B$2:$B$227,MATCH(TRIM(C25),Port_Type!$A$2:$A$227,0))</f>
        <v>Sea Port</v>
      </c>
      <c r="E25" s="3" t="s">
        <v>46</v>
      </c>
      <c r="F25" s="3" t="str">
        <f>INDEX(Product_Category!$B$2:$B$45,MATCH(TRIM(E25),Product_Category!$A$2:$A$45,0))</f>
        <v>Others</v>
      </c>
      <c r="G25" s="4">
        <v>260.02</v>
      </c>
      <c r="H25" s="4">
        <v>255.16</v>
      </c>
      <c r="I25" s="4">
        <v>99.75</v>
      </c>
      <c r="J25" s="4">
        <v>194115.81</v>
      </c>
      <c r="K25" s="4">
        <v>197740.14</v>
      </c>
      <c r="L25" s="4">
        <v>76474.009999999995</v>
      </c>
      <c r="M25" s="4">
        <f t="shared" si="0"/>
        <v>-4.8599999999999852</v>
      </c>
      <c r="N25" s="4">
        <f t="shared" si="1"/>
        <v>3624.3300000000163</v>
      </c>
      <c r="O25" s="4">
        <f t="shared" si="2"/>
        <v>-155.41</v>
      </c>
      <c r="P25" s="3" t="s">
        <v>19</v>
      </c>
    </row>
    <row r="26" spans="1:16" x14ac:dyDescent="0.35">
      <c r="A26" s="3" t="s">
        <v>16</v>
      </c>
      <c r="B26" s="3" t="str">
        <f>INDEX(State_Region!$B$2:$B$26,MATCH(TRIM(A26),State_Region!$A$2:$A$26,0))</f>
        <v>West</v>
      </c>
      <c r="C26" s="3" t="s">
        <v>17</v>
      </c>
      <c r="D26" s="3" t="str">
        <f>INDEX(Port_Type!$B$2:$B$227,MATCH(TRIM(C26),Port_Type!$A$2:$A$227,0))</f>
        <v>Sea Port</v>
      </c>
      <c r="E26" s="3" t="s">
        <v>39</v>
      </c>
      <c r="F26" s="3" t="str">
        <f>INDEX(Product_Category!$B$2:$B$45,MATCH(TRIM(E26),Product_Category!$A$2:$A$45,0))</f>
        <v>Processed Foods</v>
      </c>
      <c r="G26" s="4">
        <v>157.86000000000001</v>
      </c>
      <c r="H26" s="4">
        <v>225.98</v>
      </c>
      <c r="I26" s="4">
        <v>94.35</v>
      </c>
      <c r="J26" s="4">
        <v>105758.42</v>
      </c>
      <c r="K26" s="4">
        <v>141239.45000000001</v>
      </c>
      <c r="L26" s="4">
        <v>54208.39</v>
      </c>
      <c r="M26" s="4">
        <f t="shared" si="0"/>
        <v>68.119999999999976</v>
      </c>
      <c r="N26" s="4">
        <f t="shared" si="1"/>
        <v>35481.030000000013</v>
      </c>
      <c r="O26" s="4">
        <f t="shared" si="2"/>
        <v>-131.63</v>
      </c>
      <c r="P26" s="3" t="s">
        <v>19</v>
      </c>
    </row>
    <row r="27" spans="1:16" x14ac:dyDescent="0.35">
      <c r="A27" s="3" t="s">
        <v>35</v>
      </c>
      <c r="B27" s="3" t="str">
        <f>INDEX(State_Region!$B$2:$B$26,MATCH(TRIM(A27),State_Region!$A$2:$A$26,0))</f>
        <v>North</v>
      </c>
      <c r="C27" s="3" t="s">
        <v>47</v>
      </c>
      <c r="D27" s="3" t="str">
        <f>INDEX(Port_Type!$B$2:$B$227,MATCH(TRIM(C27),Port_Type!$A$2:$A$227,0))</f>
        <v>Inland ICD / CFS</v>
      </c>
      <c r="E27" s="3" t="s">
        <v>22</v>
      </c>
      <c r="F27" s="3" t="str">
        <f>INDEX(Product_Category!$B$2:$B$45,MATCH(TRIM(E27),Product_Category!$A$2:$A$45,0))</f>
        <v>Meat &amp; Animal Products</v>
      </c>
      <c r="G27" s="4">
        <v>211.98</v>
      </c>
      <c r="H27" s="4">
        <v>215.9</v>
      </c>
      <c r="I27" s="4">
        <v>93.51</v>
      </c>
      <c r="J27" s="4">
        <v>71020.86</v>
      </c>
      <c r="K27" s="4">
        <v>58455.6</v>
      </c>
      <c r="L27" s="4">
        <v>20805.43</v>
      </c>
      <c r="M27" s="4">
        <f t="shared" si="0"/>
        <v>3.9200000000000159</v>
      </c>
      <c r="N27" s="4">
        <f t="shared" si="1"/>
        <v>-12565.260000000002</v>
      </c>
      <c r="O27" s="4">
        <f t="shared" si="2"/>
        <v>-122.39</v>
      </c>
      <c r="P27" s="3" t="s">
        <v>19</v>
      </c>
    </row>
    <row r="28" spans="1:16" x14ac:dyDescent="0.35">
      <c r="A28" s="3" t="s">
        <v>20</v>
      </c>
      <c r="B28" s="3" t="str">
        <f>INDEX(State_Region!$B$2:$B$26,MATCH(TRIM(A28),State_Region!$A$2:$A$26,0))</f>
        <v>West</v>
      </c>
      <c r="C28" s="3" t="s">
        <v>21</v>
      </c>
      <c r="D28" s="3" t="str">
        <f>INDEX(Port_Type!$B$2:$B$227,MATCH(TRIM(C28),Port_Type!$A$2:$A$227,0))</f>
        <v>Sea Port</v>
      </c>
      <c r="E28" s="3" t="s">
        <v>48</v>
      </c>
      <c r="F28" s="3" t="str">
        <f>INDEX(Product_Category!$B$2:$B$45,MATCH(TRIM(E28),Product_Category!$A$2:$A$45,0))</f>
        <v>Processed Foods</v>
      </c>
      <c r="G28" s="4">
        <v>193.43</v>
      </c>
      <c r="H28" s="4">
        <v>249.48</v>
      </c>
      <c r="I28" s="4">
        <v>82.34</v>
      </c>
      <c r="J28" s="4">
        <v>163652.71</v>
      </c>
      <c r="K28" s="4">
        <v>203325.42</v>
      </c>
      <c r="L28" s="4">
        <v>62796.88</v>
      </c>
      <c r="M28" s="4">
        <f t="shared" si="0"/>
        <v>56.049999999999983</v>
      </c>
      <c r="N28" s="4">
        <f t="shared" si="1"/>
        <v>39672.710000000021</v>
      </c>
      <c r="O28" s="4">
        <f t="shared" si="2"/>
        <v>-167.14</v>
      </c>
      <c r="P28" s="3" t="s">
        <v>19</v>
      </c>
    </row>
    <row r="29" spans="1:16" x14ac:dyDescent="0.35">
      <c r="A29" s="3" t="s">
        <v>49</v>
      </c>
      <c r="B29" s="3" t="str">
        <f>INDEX(State_Region!$B$2:$B$26,MATCH(TRIM(A29),State_Region!$A$2:$A$26,0))</f>
        <v>North</v>
      </c>
      <c r="C29" s="3" t="s">
        <v>50</v>
      </c>
      <c r="D29" s="3" t="str">
        <f>INDEX(Port_Type!$B$2:$B$227,MATCH(TRIM(C29),Port_Type!$A$2:$A$227,0))</f>
        <v>Inland ICD / CFS</v>
      </c>
      <c r="E29" s="3" t="s">
        <v>18</v>
      </c>
      <c r="F29" s="3" t="str">
        <f>INDEX(Product_Category!$B$2:$B$45,MATCH(TRIM(E29),Product_Category!$A$2:$A$45,0))</f>
        <v>Cereals &amp; Grains</v>
      </c>
      <c r="G29" s="4">
        <v>0</v>
      </c>
      <c r="H29" s="4">
        <v>104.08</v>
      </c>
      <c r="I29" s="4">
        <v>72.39</v>
      </c>
      <c r="J29" s="4">
        <v>0</v>
      </c>
      <c r="K29" s="4">
        <v>123657.69</v>
      </c>
      <c r="L29" s="4">
        <v>78169.91</v>
      </c>
      <c r="M29" s="4">
        <f t="shared" si="0"/>
        <v>104.08</v>
      </c>
      <c r="N29" s="4">
        <f t="shared" si="1"/>
        <v>123657.69</v>
      </c>
      <c r="O29" s="4">
        <f t="shared" si="2"/>
        <v>-31.689999999999998</v>
      </c>
      <c r="P29" s="3" t="s">
        <v>19</v>
      </c>
    </row>
    <row r="30" spans="1:16" x14ac:dyDescent="0.35">
      <c r="A30" s="3" t="s">
        <v>16</v>
      </c>
      <c r="B30" s="3" t="str">
        <f>INDEX(State_Region!$B$2:$B$26,MATCH(TRIM(A30),State_Region!$A$2:$A$26,0))</f>
        <v>West</v>
      </c>
      <c r="C30" s="3" t="s">
        <v>17</v>
      </c>
      <c r="D30" s="3" t="str">
        <f>INDEX(Port_Type!$B$2:$B$227,MATCH(TRIM(C30),Port_Type!$A$2:$A$227,0))</f>
        <v>Sea Port</v>
      </c>
      <c r="E30" s="3" t="s">
        <v>51</v>
      </c>
      <c r="F30" s="3" t="str">
        <f>INDEX(Product_Category!$B$2:$B$45,MATCH(TRIM(E30),Product_Category!$A$2:$A$45,0))</f>
        <v>Nuts &amp; Oilseeds</v>
      </c>
      <c r="G30" s="4">
        <v>356.1</v>
      </c>
      <c r="H30" s="4">
        <v>367.06</v>
      </c>
      <c r="I30" s="4">
        <v>70.849999999999994</v>
      </c>
      <c r="J30" s="4">
        <v>275148.46999999997</v>
      </c>
      <c r="K30" s="4">
        <v>347533.03</v>
      </c>
      <c r="L30" s="4">
        <v>55698.79</v>
      </c>
      <c r="M30" s="4">
        <f t="shared" si="0"/>
        <v>10.95999999999998</v>
      </c>
      <c r="N30" s="4">
        <f t="shared" si="1"/>
        <v>72384.560000000056</v>
      </c>
      <c r="O30" s="4">
        <f t="shared" si="2"/>
        <v>-296.21000000000004</v>
      </c>
      <c r="P30" s="3" t="s">
        <v>19</v>
      </c>
    </row>
    <row r="31" spans="1:16" x14ac:dyDescent="0.35">
      <c r="A31" s="3" t="s">
        <v>16</v>
      </c>
      <c r="B31" s="3" t="str">
        <f>INDEX(State_Region!$B$2:$B$26,MATCH(TRIM(A31),State_Region!$A$2:$A$26,0))</f>
        <v>West</v>
      </c>
      <c r="C31" s="3" t="s">
        <v>52</v>
      </c>
      <c r="D31" s="3" t="str">
        <f>INDEX(Port_Type!$B$2:$B$227,MATCH(TRIM(C31),Port_Type!$A$2:$A$227,0))</f>
        <v>Sea Port</v>
      </c>
      <c r="E31" s="3" t="s">
        <v>42</v>
      </c>
      <c r="F31" s="3" t="str">
        <f>INDEX(Product_Category!$B$2:$B$45,MATCH(TRIM(E31),Product_Category!$A$2:$A$45,0))</f>
        <v>Processed Foods</v>
      </c>
      <c r="G31" s="4">
        <v>94.35</v>
      </c>
      <c r="H31" s="4">
        <v>194.65</v>
      </c>
      <c r="I31" s="4">
        <v>70.33</v>
      </c>
      <c r="J31" s="4">
        <v>68644.62</v>
      </c>
      <c r="K31" s="4">
        <v>148194.69</v>
      </c>
      <c r="L31" s="4">
        <v>54969.71</v>
      </c>
      <c r="M31" s="4">
        <f t="shared" si="0"/>
        <v>100.30000000000001</v>
      </c>
      <c r="N31" s="4">
        <f t="shared" si="1"/>
        <v>79550.070000000007</v>
      </c>
      <c r="O31" s="4">
        <f t="shared" si="2"/>
        <v>-124.32000000000001</v>
      </c>
      <c r="P31" s="3" t="s">
        <v>19</v>
      </c>
    </row>
    <row r="32" spans="1:16" x14ac:dyDescent="0.35">
      <c r="A32" s="3" t="s">
        <v>20</v>
      </c>
      <c r="B32" s="3" t="str">
        <f>INDEX(State_Region!$B$2:$B$26,MATCH(TRIM(A32),State_Region!$A$2:$A$26,0))</f>
        <v>West</v>
      </c>
      <c r="C32" s="3" t="s">
        <v>21</v>
      </c>
      <c r="D32" s="3" t="str">
        <f>INDEX(Port_Type!$B$2:$B$227,MATCH(TRIM(C32),Port_Type!$A$2:$A$227,0))</f>
        <v>Sea Port</v>
      </c>
      <c r="E32" s="3" t="s">
        <v>53</v>
      </c>
      <c r="F32" s="3" t="str">
        <f>INDEX(Product_Category!$B$2:$B$45,MATCH(TRIM(E32),Product_Category!$A$2:$A$45,0))</f>
        <v>Processed Foods</v>
      </c>
      <c r="G32" s="4">
        <v>172.87</v>
      </c>
      <c r="H32" s="4">
        <v>220.04</v>
      </c>
      <c r="I32" s="4">
        <v>67.849999999999994</v>
      </c>
      <c r="J32" s="4">
        <v>183627.44</v>
      </c>
      <c r="K32" s="4">
        <v>236449.79</v>
      </c>
      <c r="L32" s="4">
        <v>72541.86</v>
      </c>
      <c r="M32" s="4">
        <f t="shared" si="0"/>
        <v>47.169999999999987</v>
      </c>
      <c r="N32" s="4">
        <f t="shared" si="1"/>
        <v>52822.350000000006</v>
      </c>
      <c r="O32" s="4">
        <f t="shared" si="2"/>
        <v>-152.19</v>
      </c>
      <c r="P32" s="3" t="s">
        <v>19</v>
      </c>
    </row>
    <row r="33" spans="1:16" x14ac:dyDescent="0.35">
      <c r="A33" s="3" t="s">
        <v>20</v>
      </c>
      <c r="B33" s="3" t="str">
        <f>INDEX(State_Region!$B$2:$B$26,MATCH(TRIM(A33),State_Region!$A$2:$A$26,0))</f>
        <v>West</v>
      </c>
      <c r="C33" s="3" t="s">
        <v>21</v>
      </c>
      <c r="D33" s="3" t="str">
        <f>INDEX(Port_Type!$B$2:$B$227,MATCH(TRIM(C33),Port_Type!$A$2:$A$227,0))</f>
        <v>Sea Port</v>
      </c>
      <c r="E33" s="3" t="s">
        <v>54</v>
      </c>
      <c r="F33" s="3" t="str">
        <f>INDEX(Product_Category!$B$2:$B$45,MATCH(TRIM(E33),Product_Category!$A$2:$A$45,0))</f>
        <v>Processed Foods</v>
      </c>
      <c r="G33" s="4">
        <v>161.80000000000001</v>
      </c>
      <c r="H33" s="4">
        <v>193.66</v>
      </c>
      <c r="I33" s="4">
        <v>64.260000000000005</v>
      </c>
      <c r="J33" s="4">
        <v>107505.26</v>
      </c>
      <c r="K33" s="4">
        <v>131008.99</v>
      </c>
      <c r="L33" s="4">
        <v>46353.83</v>
      </c>
      <c r="M33" s="4">
        <f t="shared" si="0"/>
        <v>31.859999999999985</v>
      </c>
      <c r="N33" s="4">
        <f t="shared" si="1"/>
        <v>23503.73000000001</v>
      </c>
      <c r="O33" s="4">
        <f t="shared" si="2"/>
        <v>-129.39999999999998</v>
      </c>
      <c r="P33" s="3" t="s">
        <v>19</v>
      </c>
    </row>
    <row r="34" spans="1:16" x14ac:dyDescent="0.35">
      <c r="A34" s="3" t="s">
        <v>20</v>
      </c>
      <c r="B34" s="3" t="str">
        <f>INDEX(State_Region!$B$2:$B$26,MATCH(TRIM(A34),State_Region!$A$2:$A$26,0))</f>
        <v>West</v>
      </c>
      <c r="C34" s="3" t="s">
        <v>21</v>
      </c>
      <c r="D34" s="3" t="str">
        <f>INDEX(Port_Type!$B$2:$B$227,MATCH(TRIM(C34),Port_Type!$A$2:$A$227,0))</f>
        <v>Sea Port</v>
      </c>
      <c r="E34" s="3" t="s">
        <v>55</v>
      </c>
      <c r="F34" s="3" t="str">
        <f>INDEX(Product_Category!$B$2:$B$45,MATCH(TRIM(E34),Product_Category!$A$2:$A$45,0))</f>
        <v>Fresh Fruits &amp; Vegetables</v>
      </c>
      <c r="G34" s="4">
        <v>128</v>
      </c>
      <c r="H34" s="4">
        <v>206.03</v>
      </c>
      <c r="I34" s="4">
        <v>62.42</v>
      </c>
      <c r="J34" s="4">
        <v>484487.92</v>
      </c>
      <c r="K34" s="4">
        <v>777171.6</v>
      </c>
      <c r="L34" s="4">
        <v>251328.82</v>
      </c>
      <c r="M34" s="4">
        <f t="shared" si="0"/>
        <v>78.03</v>
      </c>
      <c r="N34" s="4">
        <f t="shared" si="1"/>
        <v>292683.68</v>
      </c>
      <c r="O34" s="4">
        <f t="shared" si="2"/>
        <v>-143.61000000000001</v>
      </c>
      <c r="P34" s="3" t="s">
        <v>19</v>
      </c>
    </row>
    <row r="35" spans="1:16" x14ac:dyDescent="0.35">
      <c r="A35" s="3" t="s">
        <v>20</v>
      </c>
      <c r="B35" s="3" t="str">
        <f>INDEX(State_Region!$B$2:$B$26,MATCH(TRIM(A35),State_Region!$A$2:$A$26,0))</f>
        <v>West</v>
      </c>
      <c r="C35" s="3" t="s">
        <v>56</v>
      </c>
      <c r="D35" s="3" t="str">
        <f>INDEX(Port_Type!$B$2:$B$227,MATCH(TRIM(C35),Port_Type!$A$2:$A$227,0))</f>
        <v>Inland ICD / CFS</v>
      </c>
      <c r="E35" s="3" t="s">
        <v>27</v>
      </c>
      <c r="F35" s="3" t="str">
        <f>INDEX(Product_Category!$B$2:$B$45,MATCH(TRIM(E35),Product_Category!$A$2:$A$45,0))</f>
        <v>Cereals &amp; Grains</v>
      </c>
      <c r="G35" s="4">
        <v>344.62</v>
      </c>
      <c r="H35" s="4">
        <v>186.17</v>
      </c>
      <c r="I35" s="4">
        <v>58.96</v>
      </c>
      <c r="J35" s="4">
        <v>842250.63</v>
      </c>
      <c r="K35" s="4">
        <v>479062.28</v>
      </c>
      <c r="L35" s="4">
        <v>162205.24</v>
      </c>
      <c r="M35" s="4">
        <f t="shared" si="0"/>
        <v>-158.45000000000002</v>
      </c>
      <c r="N35" s="4">
        <f t="shared" si="1"/>
        <v>-363188.35</v>
      </c>
      <c r="O35" s="4">
        <f t="shared" si="2"/>
        <v>-127.20999999999998</v>
      </c>
      <c r="P35" s="3" t="s">
        <v>19</v>
      </c>
    </row>
    <row r="36" spans="1:16" x14ac:dyDescent="0.35">
      <c r="A36" s="3" t="s">
        <v>57</v>
      </c>
      <c r="B36" s="3" t="str">
        <f>INDEX(State_Region!$B$2:$B$26,MATCH(TRIM(A36),State_Region!$A$2:$A$26,0))</f>
        <v>Central</v>
      </c>
      <c r="C36" s="3" t="s">
        <v>58</v>
      </c>
      <c r="D36" s="3" t="str">
        <f>INDEX(Port_Type!$B$2:$B$227,MATCH(TRIM(C36),Port_Type!$A$2:$A$227,0))</f>
        <v>Inland ICD / CFS</v>
      </c>
      <c r="E36" s="3" t="s">
        <v>18</v>
      </c>
      <c r="F36" s="3" t="str">
        <f>INDEX(Product_Category!$B$2:$B$45,MATCH(TRIM(E36),Product_Category!$A$2:$A$45,0))</f>
        <v>Cereals &amp; Grains</v>
      </c>
      <c r="G36" s="4">
        <v>185.06</v>
      </c>
      <c r="H36" s="4">
        <v>181.67</v>
      </c>
      <c r="I36" s="4">
        <v>58.75</v>
      </c>
      <c r="J36" s="4">
        <v>148835.84</v>
      </c>
      <c r="K36" s="4">
        <v>202915.19</v>
      </c>
      <c r="L36" s="4">
        <v>62200.88</v>
      </c>
      <c r="M36" s="4">
        <f t="shared" si="0"/>
        <v>-3.3900000000000148</v>
      </c>
      <c r="N36" s="4">
        <f t="shared" si="1"/>
        <v>54079.350000000006</v>
      </c>
      <c r="O36" s="4">
        <f t="shared" si="2"/>
        <v>-122.91999999999999</v>
      </c>
      <c r="P36" s="3" t="s">
        <v>19</v>
      </c>
    </row>
    <row r="37" spans="1:16" x14ac:dyDescent="0.35">
      <c r="A37" s="3" t="s">
        <v>16</v>
      </c>
      <c r="B37" s="3" t="str">
        <f>INDEX(State_Region!$B$2:$B$26,MATCH(TRIM(A37),State_Region!$A$2:$A$26,0))</f>
        <v>West</v>
      </c>
      <c r="C37" s="3" t="s">
        <v>52</v>
      </c>
      <c r="D37" s="3" t="str">
        <f>INDEX(Port_Type!$B$2:$B$227,MATCH(TRIM(C37),Port_Type!$A$2:$A$227,0))</f>
        <v>Sea Port</v>
      </c>
      <c r="E37" s="3" t="s">
        <v>51</v>
      </c>
      <c r="F37" s="3" t="str">
        <f>INDEX(Product_Category!$B$2:$B$45,MATCH(TRIM(E37),Product_Category!$A$2:$A$45,0))</f>
        <v>Nuts &amp; Oilseeds</v>
      </c>
      <c r="G37" s="4">
        <v>181.14</v>
      </c>
      <c r="H37" s="4">
        <v>162.75</v>
      </c>
      <c r="I37" s="4">
        <v>57.73</v>
      </c>
      <c r="J37" s="4">
        <v>146310.54</v>
      </c>
      <c r="K37" s="4">
        <v>153857.81</v>
      </c>
      <c r="L37" s="4">
        <v>48002.27</v>
      </c>
      <c r="M37" s="4">
        <f t="shared" si="0"/>
        <v>-18.389999999999986</v>
      </c>
      <c r="N37" s="4">
        <f t="shared" si="1"/>
        <v>7547.2699999999895</v>
      </c>
      <c r="O37" s="4">
        <f t="shared" si="2"/>
        <v>-105.02000000000001</v>
      </c>
      <c r="P37" s="3" t="s">
        <v>19</v>
      </c>
    </row>
    <row r="38" spans="1:16" x14ac:dyDescent="0.35">
      <c r="A38" s="3" t="s">
        <v>20</v>
      </c>
      <c r="B38" s="3" t="str">
        <f>INDEX(State_Region!$B$2:$B$26,MATCH(TRIM(A38),State_Region!$A$2:$A$26,0))</f>
        <v>West</v>
      </c>
      <c r="C38" s="3" t="s">
        <v>21</v>
      </c>
      <c r="D38" s="3" t="str">
        <f>INDEX(Port_Type!$B$2:$B$227,MATCH(TRIM(C38),Port_Type!$A$2:$A$227,0))</f>
        <v>Sea Port</v>
      </c>
      <c r="E38" s="3" t="s">
        <v>59</v>
      </c>
      <c r="F38" s="3" t="str">
        <f>INDEX(Product_Category!$B$2:$B$45,MATCH(TRIM(E38),Product_Category!$A$2:$A$45,0))</f>
        <v>Processed Foods</v>
      </c>
      <c r="G38" s="4">
        <v>135.63999999999999</v>
      </c>
      <c r="H38" s="4">
        <v>225.84</v>
      </c>
      <c r="I38" s="4">
        <v>57.43</v>
      </c>
      <c r="J38" s="4">
        <v>20917.240000000002</v>
      </c>
      <c r="K38" s="4">
        <v>25555.98</v>
      </c>
      <c r="L38" s="4">
        <v>9715.69</v>
      </c>
      <c r="M38" s="4">
        <f t="shared" si="0"/>
        <v>90.200000000000017</v>
      </c>
      <c r="N38" s="4">
        <f t="shared" si="1"/>
        <v>4638.739999999998</v>
      </c>
      <c r="O38" s="4">
        <f t="shared" si="2"/>
        <v>-168.41</v>
      </c>
      <c r="P38" s="3" t="s">
        <v>19</v>
      </c>
    </row>
    <row r="39" spans="1:16" x14ac:dyDescent="0.35">
      <c r="A39" s="3" t="s">
        <v>20</v>
      </c>
      <c r="B39" s="3" t="str">
        <f>INDEX(State_Region!$B$2:$B$26,MATCH(TRIM(A39),State_Region!$A$2:$A$26,0))</f>
        <v>West</v>
      </c>
      <c r="C39" s="3" t="s">
        <v>21</v>
      </c>
      <c r="D39" s="3" t="str">
        <f>INDEX(Port_Type!$B$2:$B$227,MATCH(TRIM(C39),Port_Type!$A$2:$A$227,0))</f>
        <v>Sea Port</v>
      </c>
      <c r="E39" s="3" t="s">
        <v>42</v>
      </c>
      <c r="F39" s="3" t="str">
        <f>INDEX(Product_Category!$B$2:$B$45,MATCH(TRIM(E39),Product_Category!$A$2:$A$45,0))</f>
        <v>Processed Foods</v>
      </c>
      <c r="G39" s="4">
        <v>137.07</v>
      </c>
      <c r="H39" s="4">
        <v>139.9</v>
      </c>
      <c r="I39" s="4">
        <v>52.62</v>
      </c>
      <c r="J39" s="4">
        <v>88770.45</v>
      </c>
      <c r="K39" s="4">
        <v>95493.94</v>
      </c>
      <c r="L39" s="4">
        <v>36998.61</v>
      </c>
      <c r="M39" s="4">
        <f t="shared" si="0"/>
        <v>2.8300000000000125</v>
      </c>
      <c r="N39" s="4">
        <f t="shared" si="1"/>
        <v>6723.4900000000052</v>
      </c>
      <c r="O39" s="4">
        <f t="shared" si="2"/>
        <v>-87.28</v>
      </c>
      <c r="P39" s="3" t="s">
        <v>19</v>
      </c>
    </row>
    <row r="40" spans="1:16" x14ac:dyDescent="0.35">
      <c r="A40" s="3" t="s">
        <v>20</v>
      </c>
      <c r="B40" s="3" t="str">
        <f>INDEX(State_Region!$B$2:$B$26,MATCH(TRIM(A40),State_Region!$A$2:$A$26,0))</f>
        <v>West</v>
      </c>
      <c r="C40" s="3" t="s">
        <v>21</v>
      </c>
      <c r="D40" s="3" t="str">
        <f>INDEX(Port_Type!$B$2:$B$227,MATCH(TRIM(C40),Port_Type!$A$2:$A$227,0))</f>
        <v>Sea Port</v>
      </c>
      <c r="E40" s="3" t="s">
        <v>60</v>
      </c>
      <c r="F40" s="3" t="str">
        <f>INDEX(Product_Category!$B$2:$B$45,MATCH(TRIM(E40),Product_Category!$A$2:$A$45,0))</f>
        <v>Processed Foods</v>
      </c>
      <c r="G40" s="4">
        <v>139.21</v>
      </c>
      <c r="H40" s="4">
        <v>128.49</v>
      </c>
      <c r="I40" s="4">
        <v>52.2</v>
      </c>
      <c r="J40" s="4">
        <v>120003.88</v>
      </c>
      <c r="K40" s="4">
        <v>98577.19</v>
      </c>
      <c r="L40" s="4">
        <v>47510.29</v>
      </c>
      <c r="M40" s="4">
        <f t="shared" si="0"/>
        <v>-10.719999999999999</v>
      </c>
      <c r="N40" s="4">
        <f t="shared" si="1"/>
        <v>-21426.690000000002</v>
      </c>
      <c r="O40" s="4">
        <f t="shared" si="2"/>
        <v>-76.290000000000006</v>
      </c>
      <c r="P40" s="3" t="s">
        <v>19</v>
      </c>
    </row>
    <row r="41" spans="1:16" x14ac:dyDescent="0.35">
      <c r="A41" s="3" t="s">
        <v>57</v>
      </c>
      <c r="B41" s="3" t="str">
        <f>INDEX(State_Region!$B$2:$B$26,MATCH(TRIM(A41),State_Region!$A$2:$A$26,0))</f>
        <v>Central</v>
      </c>
      <c r="C41" s="3" t="s">
        <v>61</v>
      </c>
      <c r="D41" s="3" t="str">
        <f>INDEX(Port_Type!$B$2:$B$227,MATCH(TRIM(C41),Port_Type!$A$2:$A$227,0))</f>
        <v>Inland ICD / CFS</v>
      </c>
      <c r="E41" s="3" t="s">
        <v>18</v>
      </c>
      <c r="F41" s="3" t="str">
        <f>INDEX(Product_Category!$B$2:$B$45,MATCH(TRIM(E41),Product_Category!$A$2:$A$45,0))</f>
        <v>Cereals &amp; Grains</v>
      </c>
      <c r="G41" s="4">
        <v>0</v>
      </c>
      <c r="H41" s="4">
        <v>62.24</v>
      </c>
      <c r="I41" s="4">
        <v>48.87</v>
      </c>
      <c r="J41" s="4">
        <v>0</v>
      </c>
      <c r="K41" s="4">
        <v>74316.740000000005</v>
      </c>
      <c r="L41" s="4">
        <v>52592.74</v>
      </c>
      <c r="M41" s="4">
        <f t="shared" si="0"/>
        <v>62.24</v>
      </c>
      <c r="N41" s="4">
        <f t="shared" si="1"/>
        <v>74316.740000000005</v>
      </c>
      <c r="O41" s="4">
        <f t="shared" si="2"/>
        <v>-13.370000000000005</v>
      </c>
      <c r="P41" s="3" t="s">
        <v>19</v>
      </c>
    </row>
    <row r="42" spans="1:16" x14ac:dyDescent="0.35">
      <c r="A42" s="3" t="s">
        <v>25</v>
      </c>
      <c r="B42" s="3" t="str">
        <f>INDEX(State_Region!$B$2:$B$26,MATCH(TRIM(A42),State_Region!$A$2:$A$26,0))</f>
        <v>South</v>
      </c>
      <c r="C42" s="3" t="s">
        <v>29</v>
      </c>
      <c r="D42" s="3" t="str">
        <f>INDEX(Port_Type!$B$2:$B$227,MATCH(TRIM(C42),Port_Type!$A$2:$A$227,0))</f>
        <v>Sea Port</v>
      </c>
      <c r="E42" s="3" t="s">
        <v>62</v>
      </c>
      <c r="F42" s="3" t="str">
        <f>INDEX(Product_Category!$B$2:$B$45,MATCH(TRIM(E42),Product_Category!$A$2:$A$45,0))</f>
        <v>Cereals &amp; Grains</v>
      </c>
      <c r="G42" s="4">
        <v>94.97</v>
      </c>
      <c r="H42" s="4">
        <v>0.19</v>
      </c>
      <c r="I42" s="4">
        <v>46.12</v>
      </c>
      <c r="J42" s="4">
        <v>340393.1</v>
      </c>
      <c r="K42" s="4">
        <v>741.13</v>
      </c>
      <c r="L42" s="4">
        <v>196717.6</v>
      </c>
      <c r="M42" s="4">
        <f t="shared" si="0"/>
        <v>-94.78</v>
      </c>
      <c r="N42" s="4">
        <f t="shared" si="1"/>
        <v>-339651.97</v>
      </c>
      <c r="O42" s="4">
        <f t="shared" si="2"/>
        <v>45.93</v>
      </c>
      <c r="P42" s="3" t="s">
        <v>19</v>
      </c>
    </row>
    <row r="43" spans="1:16" x14ac:dyDescent="0.35">
      <c r="A43" s="3" t="s">
        <v>16</v>
      </c>
      <c r="B43" s="3" t="str">
        <f>INDEX(State_Region!$B$2:$B$26,MATCH(TRIM(A43),State_Region!$A$2:$A$26,0))</f>
        <v>West</v>
      </c>
      <c r="C43" s="3" t="s">
        <v>28</v>
      </c>
      <c r="D43" s="3" t="str">
        <f>INDEX(Port_Type!$B$2:$B$227,MATCH(TRIM(C43),Port_Type!$A$2:$A$227,0))</f>
        <v>Sea Port</v>
      </c>
      <c r="E43" s="3" t="s">
        <v>33</v>
      </c>
      <c r="F43" s="3" t="str">
        <f>INDEX(Product_Category!$B$2:$B$45,MATCH(TRIM(E43),Product_Category!$A$2:$A$45,0))</f>
        <v>Pulses</v>
      </c>
      <c r="G43" s="4">
        <v>6.2</v>
      </c>
      <c r="H43" s="4">
        <v>79.59</v>
      </c>
      <c r="I43" s="4">
        <v>39.19</v>
      </c>
      <c r="J43" s="4">
        <v>7843.55</v>
      </c>
      <c r="K43" s="4">
        <v>82296.2</v>
      </c>
      <c r="L43" s="4">
        <v>55200.480000000003</v>
      </c>
      <c r="M43" s="4">
        <f t="shared" si="0"/>
        <v>73.39</v>
      </c>
      <c r="N43" s="4">
        <f t="shared" si="1"/>
        <v>74452.649999999994</v>
      </c>
      <c r="O43" s="4">
        <f t="shared" si="2"/>
        <v>-40.400000000000006</v>
      </c>
      <c r="P43" s="3" t="s">
        <v>19</v>
      </c>
    </row>
    <row r="44" spans="1:16" x14ac:dyDescent="0.35">
      <c r="A44" s="3" t="s">
        <v>25</v>
      </c>
      <c r="B44" s="3" t="str">
        <f>INDEX(State_Region!$B$2:$B$26,MATCH(TRIM(A44),State_Region!$A$2:$A$26,0))</f>
        <v>South</v>
      </c>
      <c r="C44" s="3" t="s">
        <v>63</v>
      </c>
      <c r="D44" s="3" t="str">
        <f>INDEX(Port_Type!$B$2:$B$227,MATCH(TRIM(C44),Port_Type!$A$2:$A$227,0))</f>
        <v>Sea Port</v>
      </c>
      <c r="E44" s="3" t="s">
        <v>62</v>
      </c>
      <c r="F44" s="3" t="str">
        <f>INDEX(Product_Category!$B$2:$B$45,MATCH(TRIM(E44),Product_Category!$A$2:$A$45,0))</f>
        <v>Cereals &amp; Grains</v>
      </c>
      <c r="G44" s="4">
        <v>36.11</v>
      </c>
      <c r="H44" s="4">
        <v>0</v>
      </c>
      <c r="I44" s="4">
        <v>38.36</v>
      </c>
      <c r="J44" s="4">
        <v>129550</v>
      </c>
      <c r="K44" s="4">
        <v>0</v>
      </c>
      <c r="L44" s="4">
        <v>171159</v>
      </c>
      <c r="M44" s="4">
        <f t="shared" si="0"/>
        <v>-36.11</v>
      </c>
      <c r="N44" s="4">
        <f t="shared" si="1"/>
        <v>-129550</v>
      </c>
      <c r="O44" s="4">
        <f t="shared" si="2"/>
        <v>38.36</v>
      </c>
      <c r="P44" s="3" t="s">
        <v>19</v>
      </c>
    </row>
    <row r="45" spans="1:16" x14ac:dyDescent="0.35">
      <c r="A45" s="3" t="s">
        <v>40</v>
      </c>
      <c r="B45" s="3" t="str">
        <f>INDEX(State_Region!$B$2:$B$26,MATCH(TRIM(A45),State_Region!$A$2:$A$26,0))</f>
        <v>South</v>
      </c>
      <c r="C45" s="3" t="s">
        <v>64</v>
      </c>
      <c r="D45" s="3" t="str">
        <f>INDEX(Port_Type!$B$2:$B$227,MATCH(TRIM(C45),Port_Type!$A$2:$A$227,0))</f>
        <v>Inland ICD / CFS</v>
      </c>
      <c r="E45" s="3" t="s">
        <v>27</v>
      </c>
      <c r="F45" s="3" t="str">
        <f>INDEX(Product_Category!$B$2:$B$45,MATCH(TRIM(E45),Product_Category!$A$2:$A$45,0))</f>
        <v>Cereals &amp; Grains</v>
      </c>
      <c r="G45" s="4">
        <v>48.68</v>
      </c>
      <c r="H45" s="4">
        <v>103.24</v>
      </c>
      <c r="I45" s="4">
        <v>38.28</v>
      </c>
      <c r="J45" s="4">
        <v>117681.98</v>
      </c>
      <c r="K45" s="4">
        <v>279115.05</v>
      </c>
      <c r="L45" s="4">
        <v>106442.46</v>
      </c>
      <c r="M45" s="4">
        <f t="shared" si="0"/>
        <v>54.559999999999995</v>
      </c>
      <c r="N45" s="4">
        <f t="shared" si="1"/>
        <v>161433.07</v>
      </c>
      <c r="O45" s="4">
        <f t="shared" si="2"/>
        <v>-64.959999999999994</v>
      </c>
      <c r="P45" s="3" t="s">
        <v>19</v>
      </c>
    </row>
    <row r="46" spans="1:16" x14ac:dyDescent="0.35">
      <c r="A46" s="3" t="s">
        <v>20</v>
      </c>
      <c r="B46" s="3" t="str">
        <f>INDEX(State_Region!$B$2:$B$26,MATCH(TRIM(A46),State_Region!$A$2:$A$26,0))</f>
        <v>West</v>
      </c>
      <c r="C46" s="3" t="s">
        <v>21</v>
      </c>
      <c r="D46" s="3" t="str">
        <f>INDEX(Port_Type!$B$2:$B$227,MATCH(TRIM(C46),Port_Type!$A$2:$A$227,0))</f>
        <v>Sea Port</v>
      </c>
      <c r="E46" s="3" t="s">
        <v>65</v>
      </c>
      <c r="F46" s="3" t="str">
        <f>INDEX(Product_Category!$B$2:$B$45,MATCH(TRIM(E46),Product_Category!$A$2:$A$45,0))</f>
        <v>Cereals &amp; Grains</v>
      </c>
      <c r="G46" s="4">
        <v>81.069999999999993</v>
      </c>
      <c r="H46" s="4">
        <v>96.04</v>
      </c>
      <c r="I46" s="4">
        <v>36.6</v>
      </c>
      <c r="J46" s="4">
        <v>140471.57999999999</v>
      </c>
      <c r="K46" s="4">
        <v>176502.6</v>
      </c>
      <c r="L46" s="4">
        <v>69698.98</v>
      </c>
      <c r="M46" s="4">
        <f t="shared" si="0"/>
        <v>14.970000000000013</v>
      </c>
      <c r="N46" s="4">
        <f t="shared" si="1"/>
        <v>36031.020000000019</v>
      </c>
      <c r="O46" s="4">
        <f t="shared" si="2"/>
        <v>-59.440000000000005</v>
      </c>
      <c r="P46" s="3" t="s">
        <v>19</v>
      </c>
    </row>
    <row r="47" spans="1:16" x14ac:dyDescent="0.35">
      <c r="A47" s="3" t="s">
        <v>35</v>
      </c>
      <c r="B47" s="3" t="str">
        <f>INDEX(State_Region!$B$2:$B$26,MATCH(TRIM(A47),State_Region!$A$2:$A$26,0))</f>
        <v>North</v>
      </c>
      <c r="C47" s="3" t="s">
        <v>38</v>
      </c>
      <c r="D47" s="3" t="str">
        <f>INDEX(Port_Type!$B$2:$B$227,MATCH(TRIM(C47),Port_Type!$A$2:$A$227,0))</f>
        <v>Inland ICD / CFS</v>
      </c>
      <c r="E47" s="3" t="s">
        <v>22</v>
      </c>
      <c r="F47" s="3" t="str">
        <f>INDEX(Product_Category!$B$2:$B$45,MATCH(TRIM(E47),Product_Category!$A$2:$A$45,0))</f>
        <v>Meat &amp; Animal Products</v>
      </c>
      <c r="G47" s="4">
        <v>60.39</v>
      </c>
      <c r="H47" s="4">
        <v>59.66</v>
      </c>
      <c r="I47" s="4">
        <v>36.51</v>
      </c>
      <c r="J47" s="4">
        <v>21375.25</v>
      </c>
      <c r="K47" s="4">
        <v>16436.63</v>
      </c>
      <c r="L47" s="4">
        <v>8162.57</v>
      </c>
      <c r="M47" s="4">
        <f t="shared" si="0"/>
        <v>-0.73000000000000398</v>
      </c>
      <c r="N47" s="4">
        <f t="shared" si="1"/>
        <v>-4938.619999999999</v>
      </c>
      <c r="O47" s="4">
        <f t="shared" si="2"/>
        <v>-23.15</v>
      </c>
      <c r="P47" s="3" t="s">
        <v>19</v>
      </c>
    </row>
    <row r="48" spans="1:16" x14ac:dyDescent="0.35">
      <c r="A48" s="3" t="s">
        <v>66</v>
      </c>
      <c r="B48" s="3" t="str">
        <f>INDEX(State_Region!$B$2:$B$26,MATCH(TRIM(A48),State_Region!$A$2:$A$26,0))</f>
        <v>North</v>
      </c>
      <c r="C48" s="3" t="s">
        <v>67</v>
      </c>
      <c r="D48" s="3" t="str">
        <f>INDEX(Port_Type!$B$2:$B$227,MATCH(TRIM(C48),Port_Type!$A$2:$A$227,0))</f>
        <v>Inland ICD / CFS</v>
      </c>
      <c r="E48" s="3" t="s">
        <v>27</v>
      </c>
      <c r="F48" s="3" t="str">
        <f>INDEX(Product_Category!$B$2:$B$45,MATCH(TRIM(E48),Product_Category!$A$2:$A$45,0))</f>
        <v>Cereals &amp; Grains</v>
      </c>
      <c r="G48" s="4">
        <v>25.57</v>
      </c>
      <c r="H48" s="4">
        <v>81.2</v>
      </c>
      <c r="I48" s="4">
        <v>34.03</v>
      </c>
      <c r="J48" s="4">
        <v>60904.29</v>
      </c>
      <c r="K48" s="4">
        <v>215245.74</v>
      </c>
      <c r="L48" s="4">
        <v>95786.64</v>
      </c>
      <c r="M48" s="4">
        <f t="shared" si="0"/>
        <v>55.63</v>
      </c>
      <c r="N48" s="4">
        <f t="shared" si="1"/>
        <v>154341.44999999998</v>
      </c>
      <c r="O48" s="4">
        <f t="shared" si="2"/>
        <v>-47.17</v>
      </c>
      <c r="P48" s="3" t="s">
        <v>19</v>
      </c>
    </row>
    <row r="49" spans="1:16" x14ac:dyDescent="0.35">
      <c r="A49" s="3" t="s">
        <v>20</v>
      </c>
      <c r="B49" s="3" t="str">
        <f>INDEX(State_Region!$B$2:$B$26,MATCH(TRIM(A49),State_Region!$A$2:$A$26,0))</f>
        <v>West</v>
      </c>
      <c r="C49" s="3" t="s">
        <v>68</v>
      </c>
      <c r="D49" s="3" t="str">
        <f>INDEX(Port_Type!$B$2:$B$227,MATCH(TRIM(C49),Port_Type!$A$2:$A$227,0))</f>
        <v>Air Cargo</v>
      </c>
      <c r="E49" s="3" t="s">
        <v>69</v>
      </c>
      <c r="F49" s="3" t="str">
        <f>INDEX(Product_Category!$B$2:$B$45,MATCH(TRIM(E49),Product_Category!$A$2:$A$45,0))</f>
        <v>Others</v>
      </c>
      <c r="G49" s="4">
        <v>33.4</v>
      </c>
      <c r="H49" s="4">
        <v>47.7</v>
      </c>
      <c r="I49" s="4">
        <v>32.590000000000003</v>
      </c>
      <c r="J49" s="4">
        <v>193.19</v>
      </c>
      <c r="K49" s="4">
        <v>227.92</v>
      </c>
      <c r="L49" s="4">
        <v>147.57</v>
      </c>
      <c r="M49" s="4">
        <f t="shared" si="0"/>
        <v>14.300000000000004</v>
      </c>
      <c r="N49" s="4">
        <f t="shared" si="1"/>
        <v>34.72999999999999</v>
      </c>
      <c r="O49" s="4">
        <f t="shared" si="2"/>
        <v>-15.11</v>
      </c>
      <c r="P49" s="3" t="s">
        <v>19</v>
      </c>
    </row>
    <row r="50" spans="1:16" x14ac:dyDescent="0.35">
      <c r="A50" s="3" t="s">
        <v>49</v>
      </c>
      <c r="B50" s="3" t="str">
        <f>INDEX(State_Region!$B$2:$B$26,MATCH(TRIM(A50),State_Region!$A$2:$A$26,0))</f>
        <v>North</v>
      </c>
      <c r="C50" s="3" t="s">
        <v>70</v>
      </c>
      <c r="D50" s="3" t="str">
        <f>INDEX(Port_Type!$B$2:$B$227,MATCH(TRIM(C50),Port_Type!$A$2:$A$227,0))</f>
        <v>Inland ICD / CFS</v>
      </c>
      <c r="E50" s="3" t="s">
        <v>46</v>
      </c>
      <c r="F50" s="3" t="str">
        <f>INDEX(Product_Category!$B$2:$B$45,MATCH(TRIM(E50),Product_Category!$A$2:$A$45,0))</f>
        <v>Others</v>
      </c>
      <c r="G50" s="4">
        <v>112.61</v>
      </c>
      <c r="H50" s="4">
        <v>122.21</v>
      </c>
      <c r="I50" s="4">
        <v>32.33</v>
      </c>
      <c r="J50" s="4">
        <v>98803.47</v>
      </c>
      <c r="K50" s="4">
        <v>116674.03</v>
      </c>
      <c r="L50" s="4">
        <v>31598.55</v>
      </c>
      <c r="M50" s="4">
        <f t="shared" si="0"/>
        <v>9.5999999999999943</v>
      </c>
      <c r="N50" s="4">
        <f t="shared" si="1"/>
        <v>17870.559999999998</v>
      </c>
      <c r="O50" s="4">
        <f t="shared" si="2"/>
        <v>-89.88</v>
      </c>
      <c r="P50" s="3" t="s">
        <v>19</v>
      </c>
    </row>
    <row r="51" spans="1:16" x14ac:dyDescent="0.35">
      <c r="A51" s="3" t="s">
        <v>66</v>
      </c>
      <c r="B51" s="3" t="str">
        <f>INDEX(State_Region!$B$2:$B$26,MATCH(TRIM(A51),State_Region!$A$2:$A$26,0))</f>
        <v>North</v>
      </c>
      <c r="C51" s="3" t="s">
        <v>71</v>
      </c>
      <c r="D51" s="3" t="str">
        <f>INDEX(Port_Type!$B$2:$B$227,MATCH(TRIM(C51),Port_Type!$A$2:$A$227,0))</f>
        <v>Inland ICD / CFS</v>
      </c>
      <c r="E51" s="3" t="s">
        <v>18</v>
      </c>
      <c r="F51" s="3" t="str">
        <f>INDEX(Product_Category!$B$2:$B$45,MATCH(TRIM(E51),Product_Category!$A$2:$A$45,0))</f>
        <v>Cereals &amp; Grains</v>
      </c>
      <c r="G51" s="4">
        <v>131.79</v>
      </c>
      <c r="H51" s="4">
        <v>70.31</v>
      </c>
      <c r="I51" s="4">
        <v>32.1</v>
      </c>
      <c r="J51" s="4">
        <v>109572.55</v>
      </c>
      <c r="K51" s="4">
        <v>69809.63</v>
      </c>
      <c r="L51" s="4">
        <v>30574.16</v>
      </c>
      <c r="M51" s="4">
        <f t="shared" si="0"/>
        <v>-61.47999999999999</v>
      </c>
      <c r="N51" s="4">
        <f t="shared" si="1"/>
        <v>-39762.92</v>
      </c>
      <c r="O51" s="4">
        <f t="shared" si="2"/>
        <v>-38.21</v>
      </c>
      <c r="P51" s="3" t="s">
        <v>19</v>
      </c>
    </row>
    <row r="52" spans="1:16" x14ac:dyDescent="0.35">
      <c r="A52" s="3" t="s">
        <v>20</v>
      </c>
      <c r="B52" s="3" t="str">
        <f>INDEX(State_Region!$B$2:$B$26,MATCH(TRIM(A52),State_Region!$A$2:$A$26,0))</f>
        <v>West</v>
      </c>
      <c r="C52" s="3" t="s">
        <v>21</v>
      </c>
      <c r="D52" s="3" t="str">
        <f>INDEX(Port_Type!$B$2:$B$227,MATCH(TRIM(C52),Port_Type!$A$2:$A$227,0))</f>
        <v>Sea Port</v>
      </c>
      <c r="E52" s="3" t="s">
        <v>72</v>
      </c>
      <c r="F52" s="3" t="str">
        <f>INDEX(Product_Category!$B$2:$B$45,MATCH(TRIM(E52),Product_Category!$A$2:$A$45,0))</f>
        <v>Dairy, Poultry &amp; Honey</v>
      </c>
      <c r="G52" s="4">
        <v>58.22</v>
      </c>
      <c r="H52" s="4">
        <v>92.31</v>
      </c>
      <c r="I52" s="4">
        <v>32.01</v>
      </c>
      <c r="J52" s="4">
        <v>12314.94</v>
      </c>
      <c r="K52" s="4">
        <v>19466.04</v>
      </c>
      <c r="L52" s="4">
        <v>8243.17</v>
      </c>
      <c r="M52" s="4">
        <f t="shared" si="0"/>
        <v>34.090000000000003</v>
      </c>
      <c r="N52" s="4">
        <f t="shared" si="1"/>
        <v>7151.1</v>
      </c>
      <c r="O52" s="4">
        <f t="shared" si="2"/>
        <v>-60.300000000000004</v>
      </c>
      <c r="P52" s="3" t="s">
        <v>19</v>
      </c>
    </row>
    <row r="53" spans="1:16" x14ac:dyDescent="0.35">
      <c r="A53" s="3" t="s">
        <v>16</v>
      </c>
      <c r="B53" s="3" t="str">
        <f>INDEX(State_Region!$B$2:$B$26,MATCH(TRIM(A53),State_Region!$A$2:$A$26,0))</f>
        <v>West</v>
      </c>
      <c r="C53" s="3" t="s">
        <v>17</v>
      </c>
      <c r="D53" s="3" t="str">
        <f>INDEX(Port_Type!$B$2:$B$227,MATCH(TRIM(C53),Port_Type!$A$2:$A$227,0))</f>
        <v>Sea Port</v>
      </c>
      <c r="E53" s="3" t="s">
        <v>54</v>
      </c>
      <c r="F53" s="3" t="str">
        <f>INDEX(Product_Category!$B$2:$B$45,MATCH(TRIM(E53),Product_Category!$A$2:$A$45,0))</f>
        <v>Processed Foods</v>
      </c>
      <c r="G53" s="4">
        <v>95.74</v>
      </c>
      <c r="H53" s="4">
        <v>114.71</v>
      </c>
      <c r="I53" s="4">
        <v>31.39</v>
      </c>
      <c r="J53" s="4">
        <v>55215.65</v>
      </c>
      <c r="K53" s="4">
        <v>68895.360000000001</v>
      </c>
      <c r="L53" s="4">
        <v>17119.54</v>
      </c>
      <c r="M53" s="4">
        <f t="shared" si="0"/>
        <v>18.97</v>
      </c>
      <c r="N53" s="4">
        <f t="shared" si="1"/>
        <v>13679.71</v>
      </c>
      <c r="O53" s="4">
        <f t="shared" si="2"/>
        <v>-83.32</v>
      </c>
      <c r="P53" s="3" t="s">
        <v>19</v>
      </c>
    </row>
    <row r="54" spans="1:16" x14ac:dyDescent="0.35">
      <c r="A54" s="3" t="s">
        <v>66</v>
      </c>
      <c r="B54" s="3" t="str">
        <f>INDEX(State_Region!$B$2:$B$26,MATCH(TRIM(A54),State_Region!$A$2:$A$26,0))</f>
        <v>North</v>
      </c>
      <c r="C54" s="3" t="s">
        <v>73</v>
      </c>
      <c r="D54" s="3" t="str">
        <f>INDEX(Port_Type!$B$2:$B$227,MATCH(TRIM(C54),Port_Type!$A$2:$A$227,0))</f>
        <v>Inland ICD / CFS</v>
      </c>
      <c r="E54" s="3" t="s">
        <v>18</v>
      </c>
      <c r="F54" s="3" t="str">
        <f>INDEX(Product_Category!$B$2:$B$45,MATCH(TRIM(E54),Product_Category!$A$2:$A$45,0))</f>
        <v>Cereals &amp; Grains</v>
      </c>
      <c r="G54" s="4">
        <v>164.94</v>
      </c>
      <c r="H54" s="4">
        <v>112.3</v>
      </c>
      <c r="I54" s="4">
        <v>30.84</v>
      </c>
      <c r="J54" s="4">
        <v>119715.32</v>
      </c>
      <c r="K54" s="4">
        <v>89709.24</v>
      </c>
      <c r="L54" s="4">
        <v>23763.62</v>
      </c>
      <c r="M54" s="4">
        <f t="shared" si="0"/>
        <v>-52.64</v>
      </c>
      <c r="N54" s="4">
        <f t="shared" si="1"/>
        <v>-30006.080000000002</v>
      </c>
      <c r="O54" s="4">
        <f t="shared" si="2"/>
        <v>-81.459999999999994</v>
      </c>
      <c r="P54" s="3" t="s">
        <v>19</v>
      </c>
    </row>
    <row r="55" spans="1:16" x14ac:dyDescent="0.35">
      <c r="A55" s="3" t="s">
        <v>20</v>
      </c>
      <c r="B55" s="3" t="str">
        <f>INDEX(State_Region!$B$2:$B$26,MATCH(TRIM(A55),State_Region!$A$2:$A$26,0))</f>
        <v>West</v>
      </c>
      <c r="C55" s="3" t="s">
        <v>21</v>
      </c>
      <c r="D55" s="3" t="str">
        <f>INDEX(Port_Type!$B$2:$B$227,MATCH(TRIM(C55),Port_Type!$A$2:$A$227,0))</f>
        <v>Sea Port</v>
      </c>
      <c r="E55" s="3" t="s">
        <v>62</v>
      </c>
      <c r="F55" s="3" t="str">
        <f>INDEX(Product_Category!$B$2:$B$45,MATCH(TRIM(E55),Product_Category!$A$2:$A$45,0))</f>
        <v>Cereals &amp; Grains</v>
      </c>
      <c r="G55" s="4">
        <v>38.06</v>
      </c>
      <c r="H55" s="4">
        <v>108.55</v>
      </c>
      <c r="I55" s="4">
        <v>28.51</v>
      </c>
      <c r="J55" s="4">
        <v>125676.12</v>
      </c>
      <c r="K55" s="4">
        <v>438198.44</v>
      </c>
      <c r="L55" s="4">
        <v>118377.22</v>
      </c>
      <c r="M55" s="4">
        <f t="shared" si="0"/>
        <v>70.489999999999995</v>
      </c>
      <c r="N55" s="4">
        <f t="shared" si="1"/>
        <v>312522.32</v>
      </c>
      <c r="O55" s="4">
        <f t="shared" si="2"/>
        <v>-80.039999999999992</v>
      </c>
      <c r="P55" s="3" t="s">
        <v>19</v>
      </c>
    </row>
    <row r="56" spans="1:16" x14ac:dyDescent="0.35">
      <c r="A56" s="3" t="s">
        <v>16</v>
      </c>
      <c r="B56" s="3" t="str">
        <f>INDEX(State_Region!$B$2:$B$26,MATCH(TRIM(A56),State_Region!$A$2:$A$26,0))</f>
        <v>West</v>
      </c>
      <c r="C56" s="3" t="s">
        <v>17</v>
      </c>
      <c r="D56" s="3" t="str">
        <f>INDEX(Port_Type!$B$2:$B$227,MATCH(TRIM(C56),Port_Type!$A$2:$A$227,0))</f>
        <v>Sea Port</v>
      </c>
      <c r="E56" s="3" t="s">
        <v>48</v>
      </c>
      <c r="F56" s="3" t="str">
        <f>INDEX(Product_Category!$B$2:$B$45,MATCH(TRIM(E56),Product_Category!$A$2:$A$45,0))</f>
        <v>Processed Foods</v>
      </c>
      <c r="G56" s="4">
        <v>63.06</v>
      </c>
      <c r="H56" s="4">
        <v>82.31</v>
      </c>
      <c r="I56" s="4">
        <v>24.87</v>
      </c>
      <c r="J56" s="4">
        <v>47054.03</v>
      </c>
      <c r="K56" s="4">
        <v>57167.33</v>
      </c>
      <c r="L56" s="4">
        <v>17580.79</v>
      </c>
      <c r="M56" s="4">
        <f t="shared" si="0"/>
        <v>19.25</v>
      </c>
      <c r="N56" s="4">
        <f t="shared" si="1"/>
        <v>10113.300000000003</v>
      </c>
      <c r="O56" s="4">
        <f t="shared" si="2"/>
        <v>-57.44</v>
      </c>
      <c r="P56" s="3" t="s">
        <v>19</v>
      </c>
    </row>
    <row r="57" spans="1:16" x14ac:dyDescent="0.35">
      <c r="A57" s="3" t="s">
        <v>74</v>
      </c>
      <c r="B57" s="3" t="str">
        <f>INDEX(State_Region!$B$2:$B$26,MATCH(TRIM(A57),State_Region!$A$2:$A$26,0))</f>
        <v>South</v>
      </c>
      <c r="C57" s="3" t="s">
        <v>75</v>
      </c>
      <c r="D57" s="3" t="str">
        <f>INDEX(Port_Type!$B$2:$B$227,MATCH(TRIM(C57),Port_Type!$A$2:$A$227,0))</f>
        <v>Inland ICD / CFS</v>
      </c>
      <c r="E57" s="3" t="s">
        <v>48</v>
      </c>
      <c r="F57" s="3" t="str">
        <f>INDEX(Product_Category!$B$2:$B$45,MATCH(TRIM(E57),Product_Category!$A$2:$A$45,0))</f>
        <v>Processed Foods</v>
      </c>
      <c r="G57" s="4">
        <v>59.4</v>
      </c>
      <c r="H57" s="4">
        <v>74.52</v>
      </c>
      <c r="I57" s="4">
        <v>24.85</v>
      </c>
      <c r="J57" s="4">
        <v>48911.83</v>
      </c>
      <c r="K57" s="4">
        <v>60000.04</v>
      </c>
      <c r="L57" s="4">
        <v>18331.830000000002</v>
      </c>
      <c r="M57" s="4">
        <f t="shared" si="0"/>
        <v>15.119999999999997</v>
      </c>
      <c r="N57" s="4">
        <f t="shared" si="1"/>
        <v>11088.21</v>
      </c>
      <c r="O57" s="4">
        <f t="shared" si="2"/>
        <v>-49.669999999999995</v>
      </c>
      <c r="P57" s="3" t="s">
        <v>19</v>
      </c>
    </row>
    <row r="58" spans="1:16" x14ac:dyDescent="0.35">
      <c r="A58" s="3" t="s">
        <v>20</v>
      </c>
      <c r="B58" s="3" t="str">
        <f>INDEX(State_Region!$B$2:$B$26,MATCH(TRIM(A58),State_Region!$A$2:$A$26,0))</f>
        <v>West</v>
      </c>
      <c r="C58" s="3" t="s">
        <v>68</v>
      </c>
      <c r="D58" s="3" t="str">
        <f>INDEX(Port_Type!$B$2:$B$227,MATCH(TRIM(C58),Port_Type!$A$2:$A$227,0))</f>
        <v>Air Cargo</v>
      </c>
      <c r="E58" s="3" t="s">
        <v>76</v>
      </c>
      <c r="F58" s="3" t="str">
        <f>INDEX(Product_Category!$B$2:$B$45,MATCH(TRIM(E58),Product_Category!$A$2:$A$45,0))</f>
        <v>Fresh Fruits &amp; Vegetables</v>
      </c>
      <c r="G58" s="4">
        <v>24.35</v>
      </c>
      <c r="H58" s="4">
        <v>22.47</v>
      </c>
      <c r="I58" s="4">
        <v>24.47</v>
      </c>
      <c r="J58" s="4">
        <v>7797.24</v>
      </c>
      <c r="K58" s="4">
        <v>8183.43</v>
      </c>
      <c r="L58" s="4">
        <v>8513.02</v>
      </c>
      <c r="M58" s="4">
        <f t="shared" si="0"/>
        <v>-1.8800000000000026</v>
      </c>
      <c r="N58" s="4">
        <f t="shared" si="1"/>
        <v>386.19000000000051</v>
      </c>
      <c r="O58" s="4">
        <f t="shared" si="2"/>
        <v>2</v>
      </c>
      <c r="P58" s="3" t="s">
        <v>19</v>
      </c>
    </row>
    <row r="59" spans="1:16" x14ac:dyDescent="0.35">
      <c r="A59" s="3" t="s">
        <v>77</v>
      </c>
      <c r="B59" s="3" t="str">
        <f>INDEX(State_Region!$B$2:$B$26,MATCH(TRIM(A59),State_Region!$A$2:$A$26,0))</f>
        <v>South</v>
      </c>
      <c r="C59" s="3" t="s">
        <v>78</v>
      </c>
      <c r="D59" s="3" t="str">
        <f>INDEX(Port_Type!$B$2:$B$227,MATCH(TRIM(C59),Port_Type!$A$2:$A$227,0))</f>
        <v>Sea Port</v>
      </c>
      <c r="E59" s="3" t="s">
        <v>39</v>
      </c>
      <c r="F59" s="3" t="str">
        <f>INDEX(Product_Category!$B$2:$B$45,MATCH(TRIM(E59),Product_Category!$A$2:$A$45,0))</f>
        <v>Processed Foods</v>
      </c>
      <c r="G59" s="4">
        <v>48.36</v>
      </c>
      <c r="H59" s="4">
        <v>69.7</v>
      </c>
      <c r="I59" s="4">
        <v>23.84</v>
      </c>
      <c r="J59" s="4">
        <v>20171.080000000002</v>
      </c>
      <c r="K59" s="4">
        <v>25597.41</v>
      </c>
      <c r="L59" s="4">
        <v>8918.23</v>
      </c>
      <c r="M59" s="4">
        <f t="shared" si="0"/>
        <v>21.340000000000003</v>
      </c>
      <c r="N59" s="4">
        <f t="shared" si="1"/>
        <v>5426.3299999999981</v>
      </c>
      <c r="O59" s="4">
        <f t="shared" si="2"/>
        <v>-45.86</v>
      </c>
      <c r="P59" s="3" t="s">
        <v>19</v>
      </c>
    </row>
    <row r="60" spans="1:16" x14ac:dyDescent="0.35">
      <c r="A60" s="3" t="s">
        <v>79</v>
      </c>
      <c r="B60" s="3" t="str">
        <f>INDEX(State_Region!$B$2:$B$26,MATCH(TRIM(A60),State_Region!$A$2:$A$26,0))</f>
        <v>South</v>
      </c>
      <c r="C60" s="3" t="s">
        <v>80</v>
      </c>
      <c r="D60" s="3" t="str">
        <f>INDEX(Port_Type!$B$2:$B$227,MATCH(TRIM(C60),Port_Type!$A$2:$A$227,0))</f>
        <v>Inland ICD / CFS</v>
      </c>
      <c r="E60" s="3" t="s">
        <v>81</v>
      </c>
      <c r="F60" s="3" t="str">
        <f>INDEX(Product_Category!$B$2:$B$45,MATCH(TRIM(E60),Product_Category!$A$2:$A$45,0))</f>
        <v>Processed Foods</v>
      </c>
      <c r="G60" s="4">
        <v>68.72</v>
      </c>
      <c r="H60" s="4">
        <v>89.25</v>
      </c>
      <c r="I60" s="4">
        <v>23.66</v>
      </c>
      <c r="J60" s="4">
        <v>65777.62</v>
      </c>
      <c r="K60" s="4">
        <v>82852.31</v>
      </c>
      <c r="L60" s="4">
        <v>22459.59</v>
      </c>
      <c r="M60" s="4">
        <f t="shared" si="0"/>
        <v>20.53</v>
      </c>
      <c r="N60" s="4">
        <f t="shared" si="1"/>
        <v>17074.690000000002</v>
      </c>
      <c r="O60" s="4">
        <f t="shared" si="2"/>
        <v>-65.59</v>
      </c>
      <c r="P60" s="3" t="s">
        <v>19</v>
      </c>
    </row>
    <row r="61" spans="1:16" x14ac:dyDescent="0.35">
      <c r="A61" s="3" t="s">
        <v>20</v>
      </c>
      <c r="B61" s="3" t="str">
        <f>INDEX(State_Region!$B$2:$B$26,MATCH(TRIM(A61),State_Region!$A$2:$A$26,0))</f>
        <v>West</v>
      </c>
      <c r="C61" s="3" t="s">
        <v>82</v>
      </c>
      <c r="D61" s="3" t="str">
        <f>INDEX(Port_Type!$B$2:$B$227,MATCH(TRIM(C61),Port_Type!$A$2:$A$227,0))</f>
        <v>Inland ICD / CFS</v>
      </c>
      <c r="E61" s="3" t="s">
        <v>83</v>
      </c>
      <c r="F61" s="3" t="str">
        <f>INDEX(Product_Category!$B$2:$B$45,MATCH(TRIM(E61),Product_Category!$A$2:$A$45,0))</f>
        <v>Fresh Fruits &amp; Vegetables</v>
      </c>
      <c r="G61" s="4">
        <v>265.63</v>
      </c>
      <c r="H61" s="4">
        <v>219.52</v>
      </c>
      <c r="I61" s="4">
        <v>23.25</v>
      </c>
      <c r="J61" s="4">
        <v>166982.26999999999</v>
      </c>
      <c r="K61" s="4">
        <v>101433.24</v>
      </c>
      <c r="L61" s="4">
        <v>10279.08</v>
      </c>
      <c r="M61" s="4">
        <f t="shared" si="0"/>
        <v>-46.109999999999985</v>
      </c>
      <c r="N61" s="4">
        <f t="shared" si="1"/>
        <v>-65549.029999999984</v>
      </c>
      <c r="O61" s="4">
        <f t="shared" si="2"/>
        <v>-196.27</v>
      </c>
      <c r="P61" s="3" t="s">
        <v>19</v>
      </c>
    </row>
    <row r="62" spans="1:16" x14ac:dyDescent="0.35">
      <c r="A62" s="3" t="s">
        <v>77</v>
      </c>
      <c r="B62" s="3" t="str">
        <f>INDEX(State_Region!$B$2:$B$26,MATCH(TRIM(A62),State_Region!$A$2:$A$26,0))</f>
        <v>South</v>
      </c>
      <c r="C62" s="3" t="s">
        <v>78</v>
      </c>
      <c r="D62" s="3" t="str">
        <f>INDEX(Port_Type!$B$2:$B$227,MATCH(TRIM(C62),Port_Type!$A$2:$A$227,0))</f>
        <v>Sea Port</v>
      </c>
      <c r="E62" s="3" t="s">
        <v>84</v>
      </c>
      <c r="F62" s="3" t="str">
        <f>INDEX(Product_Category!$B$2:$B$45,MATCH(TRIM(E62),Product_Category!$A$2:$A$45,0))</f>
        <v>Nuts &amp; Oilseeds</v>
      </c>
      <c r="G62" s="4">
        <v>136.74</v>
      </c>
      <c r="H62" s="4">
        <v>91.26</v>
      </c>
      <c r="I62" s="4">
        <v>23.08</v>
      </c>
      <c r="J62" s="4">
        <v>20165.63</v>
      </c>
      <c r="K62" s="4">
        <v>11135.49</v>
      </c>
      <c r="L62" s="4">
        <v>3019.32</v>
      </c>
      <c r="M62" s="4">
        <f t="shared" si="0"/>
        <v>-45.480000000000004</v>
      </c>
      <c r="N62" s="4">
        <f t="shared" si="1"/>
        <v>-9030.1400000000012</v>
      </c>
      <c r="O62" s="4">
        <f t="shared" si="2"/>
        <v>-68.180000000000007</v>
      </c>
      <c r="P62" s="3" t="s">
        <v>19</v>
      </c>
    </row>
    <row r="63" spans="1:16" x14ac:dyDescent="0.35">
      <c r="A63" s="3" t="s">
        <v>40</v>
      </c>
      <c r="B63" s="3" t="str">
        <f>INDEX(State_Region!$B$2:$B$26,MATCH(TRIM(A63),State_Region!$A$2:$A$26,0))</f>
        <v>South</v>
      </c>
      <c r="C63" s="3" t="s">
        <v>85</v>
      </c>
      <c r="D63" s="3" t="str">
        <f>INDEX(Port_Type!$B$2:$B$227,MATCH(TRIM(C63),Port_Type!$A$2:$A$227,0))</f>
        <v>Sea Port</v>
      </c>
      <c r="E63" s="3" t="s">
        <v>27</v>
      </c>
      <c r="F63" s="3" t="str">
        <f>INDEX(Product_Category!$B$2:$B$45,MATCH(TRIM(E63),Product_Category!$A$2:$A$45,0))</f>
        <v>Cereals &amp; Grains</v>
      </c>
      <c r="G63" s="4">
        <v>67.22</v>
      </c>
      <c r="H63" s="4">
        <v>33.229999999999997</v>
      </c>
      <c r="I63" s="4">
        <v>22.82</v>
      </c>
      <c r="J63" s="4">
        <v>118740</v>
      </c>
      <c r="K63" s="4">
        <v>56082.59</v>
      </c>
      <c r="L63" s="4">
        <v>43675.81</v>
      </c>
      <c r="M63" s="4">
        <f t="shared" si="0"/>
        <v>-33.99</v>
      </c>
      <c r="N63" s="4">
        <f t="shared" si="1"/>
        <v>-62657.41</v>
      </c>
      <c r="O63" s="4">
        <f t="shared" si="2"/>
        <v>-10.409999999999997</v>
      </c>
      <c r="P63" s="3" t="s">
        <v>19</v>
      </c>
    </row>
    <row r="64" spans="1:16" x14ac:dyDescent="0.35">
      <c r="A64" s="3" t="s">
        <v>40</v>
      </c>
      <c r="B64" s="3" t="str">
        <f>INDEX(State_Region!$B$2:$B$26,MATCH(TRIM(A64),State_Region!$A$2:$A$26,0))</f>
        <v>South</v>
      </c>
      <c r="C64" s="3" t="s">
        <v>41</v>
      </c>
      <c r="D64" s="3" t="str">
        <f>INDEX(Port_Type!$B$2:$B$227,MATCH(TRIM(C64),Port_Type!$A$2:$A$227,0))</f>
        <v>Sea Port</v>
      </c>
      <c r="E64" s="3" t="s">
        <v>51</v>
      </c>
      <c r="F64" s="3" t="str">
        <f>INDEX(Product_Category!$B$2:$B$45,MATCH(TRIM(E64),Product_Category!$A$2:$A$45,0))</f>
        <v>Nuts &amp; Oilseeds</v>
      </c>
      <c r="G64" s="4">
        <v>127.96</v>
      </c>
      <c r="H64" s="4">
        <v>27.19</v>
      </c>
      <c r="I64" s="4">
        <v>22.47</v>
      </c>
      <c r="J64" s="4">
        <v>97288.89</v>
      </c>
      <c r="K64" s="4">
        <v>23474.63</v>
      </c>
      <c r="L64" s="4">
        <v>16828.54</v>
      </c>
      <c r="M64" s="4">
        <f t="shared" si="0"/>
        <v>-100.77</v>
      </c>
      <c r="N64" s="4">
        <f t="shared" si="1"/>
        <v>-73814.259999999995</v>
      </c>
      <c r="O64" s="4">
        <f t="shared" si="2"/>
        <v>-4.7200000000000024</v>
      </c>
      <c r="P64" s="3" t="s">
        <v>19</v>
      </c>
    </row>
    <row r="65" spans="1:16" x14ac:dyDescent="0.35">
      <c r="A65" s="3" t="s">
        <v>86</v>
      </c>
      <c r="B65" s="3" t="str">
        <f>INDEX(State_Region!$B$2:$B$26,MATCH(TRIM(A65),State_Region!$A$2:$A$26,0))</f>
        <v>North</v>
      </c>
      <c r="C65" s="3" t="s">
        <v>87</v>
      </c>
      <c r="D65" s="3" t="str">
        <f>INDEX(Port_Type!$B$2:$B$227,MATCH(TRIM(C65),Port_Type!$A$2:$A$227,0))</f>
        <v>Air Cargo</v>
      </c>
      <c r="E65" s="3" t="s">
        <v>22</v>
      </c>
      <c r="F65" s="3" t="str">
        <f>INDEX(Product_Category!$B$2:$B$45,MATCH(TRIM(E65),Product_Category!$A$2:$A$45,0))</f>
        <v>Meat &amp; Animal Products</v>
      </c>
      <c r="G65" s="4">
        <v>26.74</v>
      </c>
      <c r="H65" s="4">
        <v>34.85</v>
      </c>
      <c r="I65" s="4">
        <v>22.46</v>
      </c>
      <c r="J65" s="4">
        <v>6307.04</v>
      </c>
      <c r="K65" s="4">
        <v>6996.55</v>
      </c>
      <c r="L65" s="4">
        <v>4540.62</v>
      </c>
      <c r="M65" s="4">
        <f t="shared" si="0"/>
        <v>8.110000000000003</v>
      </c>
      <c r="N65" s="4">
        <f t="shared" si="1"/>
        <v>689.51000000000022</v>
      </c>
      <c r="O65" s="4">
        <f t="shared" si="2"/>
        <v>-12.39</v>
      </c>
      <c r="P65" s="3" t="s">
        <v>19</v>
      </c>
    </row>
    <row r="66" spans="1:16" x14ac:dyDescent="0.35">
      <c r="A66" s="3" t="s">
        <v>35</v>
      </c>
      <c r="B66" s="3" t="str">
        <f>INDEX(State_Region!$B$2:$B$26,MATCH(TRIM(A66),State_Region!$A$2:$A$26,0))</f>
        <v>North</v>
      </c>
      <c r="C66" s="3" t="s">
        <v>88</v>
      </c>
      <c r="D66" s="3" t="str">
        <f>INDEX(Port_Type!$B$2:$B$227,MATCH(TRIM(C66),Port_Type!$A$2:$A$227,0))</f>
        <v>Inland ICD / CFS</v>
      </c>
      <c r="E66" s="3" t="s">
        <v>18</v>
      </c>
      <c r="F66" s="3" t="str">
        <f>INDEX(Product_Category!$B$2:$B$45,MATCH(TRIM(E66),Product_Category!$A$2:$A$45,0))</f>
        <v>Cereals &amp; Grains</v>
      </c>
      <c r="G66" s="4">
        <v>104.4</v>
      </c>
      <c r="H66" s="4">
        <v>111.4</v>
      </c>
      <c r="I66" s="4">
        <v>21.57</v>
      </c>
      <c r="J66" s="4">
        <v>91634.39</v>
      </c>
      <c r="K66" s="4">
        <v>124526.46</v>
      </c>
      <c r="L66" s="4">
        <v>22445.83</v>
      </c>
      <c r="M66" s="4">
        <f t="shared" ref="M66:M129" si="3">H66-G66</f>
        <v>7</v>
      </c>
      <c r="N66" s="4">
        <f t="shared" ref="N66:N129" si="4">K66-J66</f>
        <v>32892.070000000007</v>
      </c>
      <c r="O66" s="4">
        <f t="shared" ref="O66:O129" si="5">I66-H66</f>
        <v>-89.830000000000013</v>
      </c>
      <c r="P66" s="3" t="s">
        <v>19</v>
      </c>
    </row>
    <row r="67" spans="1:16" x14ac:dyDescent="0.35">
      <c r="A67" s="3" t="s">
        <v>74</v>
      </c>
      <c r="B67" s="3" t="str">
        <f>INDEX(State_Region!$B$2:$B$26,MATCH(TRIM(A67),State_Region!$A$2:$A$26,0))</f>
        <v>South</v>
      </c>
      <c r="C67" s="3" t="s">
        <v>75</v>
      </c>
      <c r="D67" s="3" t="str">
        <f>INDEX(Port_Type!$B$2:$B$227,MATCH(TRIM(C67),Port_Type!$A$2:$A$227,0))</f>
        <v>Inland ICD / CFS</v>
      </c>
      <c r="E67" s="3" t="s">
        <v>27</v>
      </c>
      <c r="F67" s="3" t="str">
        <f>INDEX(Product_Category!$B$2:$B$45,MATCH(TRIM(E67),Product_Category!$A$2:$A$45,0))</f>
        <v>Cereals &amp; Grains</v>
      </c>
      <c r="G67" s="4">
        <v>42.56</v>
      </c>
      <c r="H67" s="4">
        <v>42.02</v>
      </c>
      <c r="I67" s="4">
        <v>21.22</v>
      </c>
      <c r="J67" s="4">
        <v>23463.279999999999</v>
      </c>
      <c r="K67" s="4">
        <v>19434.68</v>
      </c>
      <c r="L67" s="4">
        <v>10794.44</v>
      </c>
      <c r="M67" s="4">
        <f t="shared" si="3"/>
        <v>-0.53999999999999915</v>
      </c>
      <c r="N67" s="4">
        <f t="shared" si="4"/>
        <v>-4028.5999999999985</v>
      </c>
      <c r="O67" s="4">
        <f t="shared" si="5"/>
        <v>-20.800000000000004</v>
      </c>
      <c r="P67" s="3" t="s">
        <v>19</v>
      </c>
    </row>
    <row r="68" spans="1:16" x14ac:dyDescent="0.35">
      <c r="A68" s="3" t="s">
        <v>77</v>
      </c>
      <c r="B68" s="3" t="str">
        <f>INDEX(State_Region!$B$2:$B$26,MATCH(TRIM(A68),State_Region!$A$2:$A$26,0))</f>
        <v>South</v>
      </c>
      <c r="C68" s="3" t="s">
        <v>78</v>
      </c>
      <c r="D68" s="3" t="str">
        <f>INDEX(Port_Type!$B$2:$B$227,MATCH(TRIM(C68),Port_Type!$A$2:$A$227,0))</f>
        <v>Sea Port</v>
      </c>
      <c r="E68" s="3" t="s">
        <v>27</v>
      </c>
      <c r="F68" s="3" t="str">
        <f>INDEX(Product_Category!$B$2:$B$45,MATCH(TRIM(E68),Product_Category!$A$2:$A$45,0))</f>
        <v>Cereals &amp; Grains</v>
      </c>
      <c r="G68" s="4">
        <v>55.15</v>
      </c>
      <c r="H68" s="4">
        <v>59.27</v>
      </c>
      <c r="I68" s="4">
        <v>20.9</v>
      </c>
      <c r="J68" s="4">
        <v>82181.759999999995</v>
      </c>
      <c r="K68" s="4">
        <v>90947.7</v>
      </c>
      <c r="L68" s="4">
        <v>31435.19</v>
      </c>
      <c r="M68" s="4">
        <f t="shared" si="3"/>
        <v>4.1200000000000045</v>
      </c>
      <c r="N68" s="4">
        <f t="shared" si="4"/>
        <v>8765.9400000000023</v>
      </c>
      <c r="O68" s="4">
        <f t="shared" si="5"/>
        <v>-38.370000000000005</v>
      </c>
      <c r="P68" s="3" t="s">
        <v>19</v>
      </c>
    </row>
    <row r="69" spans="1:16" x14ac:dyDescent="0.35">
      <c r="A69" s="3" t="s">
        <v>16</v>
      </c>
      <c r="B69" s="3" t="str">
        <f>INDEX(State_Region!$B$2:$B$26,MATCH(TRIM(A69),State_Region!$A$2:$A$26,0))</f>
        <v>West</v>
      </c>
      <c r="C69" s="3" t="s">
        <v>17</v>
      </c>
      <c r="D69" s="3" t="str">
        <f>INDEX(Port_Type!$B$2:$B$227,MATCH(TRIM(C69),Port_Type!$A$2:$A$227,0))</f>
        <v>Sea Port</v>
      </c>
      <c r="E69" s="3" t="s">
        <v>53</v>
      </c>
      <c r="F69" s="3" t="str">
        <f>INDEX(Product_Category!$B$2:$B$45,MATCH(TRIM(E69),Product_Category!$A$2:$A$45,0))</f>
        <v>Processed Foods</v>
      </c>
      <c r="G69" s="4">
        <v>72.010000000000005</v>
      </c>
      <c r="H69" s="4">
        <v>61.49</v>
      </c>
      <c r="I69" s="4">
        <v>20.86</v>
      </c>
      <c r="J69" s="4">
        <v>102850.82</v>
      </c>
      <c r="K69" s="4">
        <v>83862.92</v>
      </c>
      <c r="L69" s="4">
        <v>30724.78</v>
      </c>
      <c r="M69" s="4">
        <f t="shared" si="3"/>
        <v>-10.520000000000003</v>
      </c>
      <c r="N69" s="4">
        <f t="shared" si="4"/>
        <v>-18987.900000000009</v>
      </c>
      <c r="O69" s="4">
        <f t="shared" si="5"/>
        <v>-40.630000000000003</v>
      </c>
      <c r="P69" s="3" t="s">
        <v>19</v>
      </c>
    </row>
    <row r="70" spans="1:16" x14ac:dyDescent="0.35">
      <c r="A70" s="3" t="s">
        <v>25</v>
      </c>
      <c r="B70" s="3" t="str">
        <f>INDEX(State_Region!$B$2:$B$26,MATCH(TRIM(A70),State_Region!$A$2:$A$26,0))</f>
        <v>South</v>
      </c>
      <c r="C70" s="3" t="s">
        <v>29</v>
      </c>
      <c r="D70" s="3" t="str">
        <f>INDEX(Port_Type!$B$2:$B$227,MATCH(TRIM(C70),Port_Type!$A$2:$A$227,0))</f>
        <v>Sea Port</v>
      </c>
      <c r="E70" s="3" t="s">
        <v>22</v>
      </c>
      <c r="F70" s="3" t="str">
        <f>INDEX(Product_Category!$B$2:$B$45,MATCH(TRIM(E70),Product_Category!$A$2:$A$45,0))</f>
        <v>Meat &amp; Animal Products</v>
      </c>
      <c r="G70" s="4">
        <v>54.93</v>
      </c>
      <c r="H70" s="4">
        <v>103.34</v>
      </c>
      <c r="I70" s="4">
        <v>20.6</v>
      </c>
      <c r="J70" s="4">
        <v>19977.3</v>
      </c>
      <c r="K70" s="4">
        <v>34118.339999999997</v>
      </c>
      <c r="L70" s="4">
        <v>4942.84</v>
      </c>
      <c r="M70" s="4">
        <f t="shared" si="3"/>
        <v>48.410000000000004</v>
      </c>
      <c r="N70" s="4">
        <f t="shared" si="4"/>
        <v>14141.039999999997</v>
      </c>
      <c r="O70" s="4">
        <f t="shared" si="5"/>
        <v>-82.740000000000009</v>
      </c>
      <c r="P70" s="3" t="s">
        <v>19</v>
      </c>
    </row>
    <row r="71" spans="1:16" x14ac:dyDescent="0.35">
      <c r="A71" s="3" t="s">
        <v>16</v>
      </c>
      <c r="B71" s="3" t="str">
        <f>INDEX(State_Region!$B$2:$B$26,MATCH(TRIM(A71),State_Region!$A$2:$A$26,0))</f>
        <v>West</v>
      </c>
      <c r="C71" s="3" t="s">
        <v>89</v>
      </c>
      <c r="D71" s="3" t="str">
        <f>INDEX(Port_Type!$B$2:$B$227,MATCH(TRIM(C71),Port_Type!$A$2:$A$227,0))</f>
        <v>Inland ICD / CFS</v>
      </c>
      <c r="E71" s="3" t="s">
        <v>42</v>
      </c>
      <c r="F71" s="3" t="str">
        <f>INDEX(Product_Category!$B$2:$B$45,MATCH(TRIM(E71),Product_Category!$A$2:$A$45,0))</f>
        <v>Processed Foods</v>
      </c>
      <c r="G71" s="4">
        <v>12.61</v>
      </c>
      <c r="H71" s="4">
        <v>23.39</v>
      </c>
      <c r="I71" s="4">
        <v>20.54</v>
      </c>
      <c r="J71" s="4">
        <v>6334.83</v>
      </c>
      <c r="K71" s="4">
        <v>20392.830000000002</v>
      </c>
      <c r="L71" s="4">
        <v>22704.14</v>
      </c>
      <c r="M71" s="4">
        <f t="shared" si="3"/>
        <v>10.780000000000001</v>
      </c>
      <c r="N71" s="4">
        <f t="shared" si="4"/>
        <v>14058.000000000002</v>
      </c>
      <c r="O71" s="4">
        <f t="shared" si="5"/>
        <v>-2.8500000000000014</v>
      </c>
      <c r="P71" s="3" t="s">
        <v>19</v>
      </c>
    </row>
    <row r="72" spans="1:16" x14ac:dyDescent="0.35">
      <c r="A72" s="3" t="s">
        <v>16</v>
      </c>
      <c r="B72" s="3" t="str">
        <f>INDEX(State_Region!$B$2:$B$26,MATCH(TRIM(A72),State_Region!$A$2:$A$26,0))</f>
        <v>West</v>
      </c>
      <c r="C72" s="3" t="s">
        <v>90</v>
      </c>
      <c r="D72" s="3" t="str">
        <f>INDEX(Port_Type!$B$2:$B$227,MATCH(TRIM(C72),Port_Type!$A$2:$A$227,0))</f>
        <v>Inland ICD / CFS</v>
      </c>
      <c r="E72" s="3" t="s">
        <v>39</v>
      </c>
      <c r="F72" s="3" t="str">
        <f>INDEX(Product_Category!$B$2:$B$45,MATCH(TRIM(E72),Product_Category!$A$2:$A$45,0))</f>
        <v>Processed Foods</v>
      </c>
      <c r="G72" s="4">
        <v>30.03</v>
      </c>
      <c r="H72" s="4">
        <v>58.52</v>
      </c>
      <c r="I72" s="4">
        <v>20.48</v>
      </c>
      <c r="J72" s="4">
        <v>11291.33</v>
      </c>
      <c r="K72" s="4">
        <v>16691.95</v>
      </c>
      <c r="L72" s="4">
        <v>5996.31</v>
      </c>
      <c r="M72" s="4">
        <f t="shared" si="3"/>
        <v>28.490000000000002</v>
      </c>
      <c r="N72" s="4">
        <f t="shared" si="4"/>
        <v>5400.6200000000008</v>
      </c>
      <c r="O72" s="4">
        <f t="shared" si="5"/>
        <v>-38.040000000000006</v>
      </c>
      <c r="P72" s="3" t="s">
        <v>19</v>
      </c>
    </row>
    <row r="73" spans="1:16" x14ac:dyDescent="0.35">
      <c r="A73" s="3" t="s">
        <v>23</v>
      </c>
      <c r="B73" s="3" t="str">
        <f>INDEX(State_Region!$B$2:$B$26,MATCH(TRIM(A73),State_Region!$A$2:$A$26,0))</f>
        <v>North</v>
      </c>
      <c r="C73" s="3" t="s">
        <v>30</v>
      </c>
      <c r="D73" s="3" t="str">
        <f>INDEX(Port_Type!$B$2:$B$227,MATCH(TRIM(C73),Port_Type!$A$2:$A$227,0))</f>
        <v>Inland ICD / CFS</v>
      </c>
      <c r="E73" s="3" t="s">
        <v>39</v>
      </c>
      <c r="F73" s="3" t="str">
        <f>INDEX(Product_Category!$B$2:$B$45,MATCH(TRIM(E73),Product_Category!$A$2:$A$45,0))</f>
        <v>Processed Foods</v>
      </c>
      <c r="G73" s="4">
        <v>51.68</v>
      </c>
      <c r="H73" s="4">
        <v>51.05</v>
      </c>
      <c r="I73" s="4">
        <v>19.82</v>
      </c>
      <c r="J73" s="4">
        <v>15716.46</v>
      </c>
      <c r="K73" s="4">
        <v>15602.5</v>
      </c>
      <c r="L73" s="4">
        <v>5958.26</v>
      </c>
      <c r="M73" s="4">
        <f t="shared" si="3"/>
        <v>-0.63000000000000256</v>
      </c>
      <c r="N73" s="4">
        <f t="shared" si="4"/>
        <v>-113.95999999999913</v>
      </c>
      <c r="O73" s="4">
        <f t="shared" si="5"/>
        <v>-31.229999999999997</v>
      </c>
      <c r="P73" s="3" t="s">
        <v>19</v>
      </c>
    </row>
    <row r="74" spans="1:16" x14ac:dyDescent="0.35">
      <c r="A74" s="3" t="s">
        <v>40</v>
      </c>
      <c r="B74" s="3" t="str">
        <f>INDEX(State_Region!$B$2:$B$26,MATCH(TRIM(A74),State_Region!$A$2:$A$26,0))</f>
        <v>South</v>
      </c>
      <c r="C74" s="3" t="s">
        <v>85</v>
      </c>
      <c r="D74" s="3" t="str">
        <f>INDEX(Port_Type!$B$2:$B$227,MATCH(TRIM(C74),Port_Type!$A$2:$A$227,0))</f>
        <v>Sea Port</v>
      </c>
      <c r="E74" s="3" t="s">
        <v>55</v>
      </c>
      <c r="F74" s="3" t="str">
        <f>INDEX(Product_Category!$B$2:$B$45,MATCH(TRIM(E74),Product_Category!$A$2:$A$45,0))</f>
        <v>Fresh Fruits &amp; Vegetables</v>
      </c>
      <c r="G74" s="4">
        <v>29.46</v>
      </c>
      <c r="H74" s="4">
        <v>47.44</v>
      </c>
      <c r="I74" s="4">
        <v>19.670000000000002</v>
      </c>
      <c r="J74" s="4">
        <v>96642.5</v>
      </c>
      <c r="K74" s="4">
        <v>184523.49</v>
      </c>
      <c r="L74" s="4">
        <v>77134.17</v>
      </c>
      <c r="M74" s="4">
        <f t="shared" si="3"/>
        <v>17.979999999999997</v>
      </c>
      <c r="N74" s="4">
        <f t="shared" si="4"/>
        <v>87880.989999999991</v>
      </c>
      <c r="O74" s="4">
        <f t="shared" si="5"/>
        <v>-27.769999999999996</v>
      </c>
      <c r="P74" s="3" t="s">
        <v>19</v>
      </c>
    </row>
    <row r="75" spans="1:16" x14ac:dyDescent="0.35">
      <c r="A75" s="3" t="s">
        <v>79</v>
      </c>
      <c r="B75" s="3" t="str">
        <f>INDEX(State_Region!$B$2:$B$26,MATCH(TRIM(A75),State_Region!$A$2:$A$26,0))</f>
        <v>South</v>
      </c>
      <c r="C75" s="3" t="s">
        <v>91</v>
      </c>
      <c r="D75" s="3" t="str">
        <f>INDEX(Port_Type!$B$2:$B$227,MATCH(TRIM(C75),Port_Type!$A$2:$A$227,0))</f>
        <v>Sea Port</v>
      </c>
      <c r="E75" s="3" t="s">
        <v>84</v>
      </c>
      <c r="F75" s="3" t="str">
        <f>INDEX(Product_Category!$B$2:$B$45,MATCH(TRIM(E75),Product_Category!$A$2:$A$45,0))</f>
        <v>Nuts &amp; Oilseeds</v>
      </c>
      <c r="G75" s="4">
        <v>53.64</v>
      </c>
      <c r="H75" s="4">
        <v>48.86</v>
      </c>
      <c r="I75" s="4">
        <v>19.440000000000001</v>
      </c>
      <c r="J75" s="4">
        <v>7978.47</v>
      </c>
      <c r="K75" s="4">
        <v>5839.6</v>
      </c>
      <c r="L75" s="4">
        <v>2425.89</v>
      </c>
      <c r="M75" s="4">
        <f t="shared" si="3"/>
        <v>-4.7800000000000011</v>
      </c>
      <c r="N75" s="4">
        <f t="shared" si="4"/>
        <v>-2138.87</v>
      </c>
      <c r="O75" s="4">
        <f t="shared" si="5"/>
        <v>-29.419999999999998</v>
      </c>
      <c r="P75" s="3" t="s">
        <v>19</v>
      </c>
    </row>
    <row r="76" spans="1:16" x14ac:dyDescent="0.35">
      <c r="A76" s="3" t="s">
        <v>79</v>
      </c>
      <c r="B76" s="3" t="str">
        <f>INDEX(State_Region!$B$2:$B$26,MATCH(TRIM(A76),State_Region!$A$2:$A$26,0))</f>
        <v>South</v>
      </c>
      <c r="C76" s="3" t="s">
        <v>92</v>
      </c>
      <c r="D76" s="3" t="str">
        <f>INDEX(Port_Type!$B$2:$B$227,MATCH(TRIM(C76),Port_Type!$A$2:$A$227,0))</f>
        <v>Air Cargo</v>
      </c>
      <c r="E76" s="3" t="s">
        <v>69</v>
      </c>
      <c r="F76" s="3" t="str">
        <f>INDEX(Product_Category!$B$2:$B$45,MATCH(TRIM(E76),Product_Category!$A$2:$A$45,0))</f>
        <v>Others</v>
      </c>
      <c r="G76" s="4">
        <v>27.04</v>
      </c>
      <c r="H76" s="4">
        <v>35.69</v>
      </c>
      <c r="I76" s="4">
        <v>19.27</v>
      </c>
      <c r="J76" s="4">
        <v>243.29</v>
      </c>
      <c r="K76" s="4">
        <v>300</v>
      </c>
      <c r="L76" s="4">
        <v>130.99</v>
      </c>
      <c r="M76" s="4">
        <f t="shared" si="3"/>
        <v>8.6499999999999986</v>
      </c>
      <c r="N76" s="4">
        <f t="shared" si="4"/>
        <v>56.710000000000008</v>
      </c>
      <c r="O76" s="4">
        <f t="shared" si="5"/>
        <v>-16.419999999999998</v>
      </c>
      <c r="P76" s="3" t="s">
        <v>19</v>
      </c>
    </row>
    <row r="77" spans="1:16" x14ac:dyDescent="0.35">
      <c r="A77" s="3" t="s">
        <v>40</v>
      </c>
      <c r="B77" s="3" t="str">
        <f>INDEX(State_Region!$B$2:$B$26,MATCH(TRIM(A77),State_Region!$A$2:$A$26,0))</f>
        <v>South</v>
      </c>
      <c r="C77" s="3" t="s">
        <v>41</v>
      </c>
      <c r="D77" s="3" t="str">
        <f>INDEX(Port_Type!$B$2:$B$227,MATCH(TRIM(C77),Port_Type!$A$2:$A$227,0))</f>
        <v>Sea Port</v>
      </c>
      <c r="E77" s="3" t="s">
        <v>54</v>
      </c>
      <c r="F77" s="3" t="str">
        <f>INDEX(Product_Category!$B$2:$B$45,MATCH(TRIM(E77),Product_Category!$A$2:$A$45,0))</f>
        <v>Processed Foods</v>
      </c>
      <c r="G77" s="4">
        <v>107.34</v>
      </c>
      <c r="H77" s="4">
        <v>74.03</v>
      </c>
      <c r="I77" s="4">
        <v>19.02</v>
      </c>
      <c r="J77" s="4">
        <v>97699.23</v>
      </c>
      <c r="K77" s="4">
        <v>85149.13</v>
      </c>
      <c r="L77" s="4">
        <v>28817.06</v>
      </c>
      <c r="M77" s="4">
        <f t="shared" si="3"/>
        <v>-33.31</v>
      </c>
      <c r="N77" s="4">
        <f t="shared" si="4"/>
        <v>-12550.099999999991</v>
      </c>
      <c r="O77" s="4">
        <f t="shared" si="5"/>
        <v>-55.010000000000005</v>
      </c>
      <c r="P77" s="3" t="s">
        <v>19</v>
      </c>
    </row>
    <row r="78" spans="1:16" x14ac:dyDescent="0.35">
      <c r="A78" s="3" t="s">
        <v>66</v>
      </c>
      <c r="B78" s="3" t="str">
        <f>INDEX(State_Region!$B$2:$B$26,MATCH(TRIM(A78),State_Region!$A$2:$A$26,0))</f>
        <v>North</v>
      </c>
      <c r="C78" s="3" t="s">
        <v>73</v>
      </c>
      <c r="D78" s="3" t="str">
        <f>INDEX(Port_Type!$B$2:$B$227,MATCH(TRIM(C78),Port_Type!$A$2:$A$227,0))</f>
        <v>Inland ICD / CFS</v>
      </c>
      <c r="E78" s="3" t="s">
        <v>60</v>
      </c>
      <c r="F78" s="3" t="str">
        <f>INDEX(Product_Category!$B$2:$B$45,MATCH(TRIM(E78),Product_Category!$A$2:$A$45,0))</f>
        <v>Processed Foods</v>
      </c>
      <c r="G78" s="4">
        <v>32.96</v>
      </c>
      <c r="H78" s="4">
        <v>22.6</v>
      </c>
      <c r="I78" s="4">
        <v>18.829999999999998</v>
      </c>
      <c r="J78" s="4">
        <v>32931.01</v>
      </c>
      <c r="K78" s="4">
        <v>14317.4</v>
      </c>
      <c r="L78" s="4">
        <v>21020.44</v>
      </c>
      <c r="M78" s="4">
        <f t="shared" si="3"/>
        <v>-10.36</v>
      </c>
      <c r="N78" s="4">
        <f t="shared" si="4"/>
        <v>-18613.61</v>
      </c>
      <c r="O78" s="4">
        <f t="shared" si="5"/>
        <v>-3.7700000000000031</v>
      </c>
      <c r="P78" s="3" t="s">
        <v>19</v>
      </c>
    </row>
    <row r="79" spans="1:16" x14ac:dyDescent="0.35">
      <c r="A79" s="3" t="s">
        <v>20</v>
      </c>
      <c r="B79" s="3" t="str">
        <f>INDEX(State_Region!$B$2:$B$26,MATCH(TRIM(A79),State_Region!$A$2:$A$26,0))</f>
        <v>West</v>
      </c>
      <c r="C79" s="3" t="s">
        <v>56</v>
      </c>
      <c r="D79" s="3" t="str">
        <f>INDEX(Port_Type!$B$2:$B$227,MATCH(TRIM(C79),Port_Type!$A$2:$A$227,0))</f>
        <v>Inland ICD / CFS</v>
      </c>
      <c r="E79" s="3" t="s">
        <v>39</v>
      </c>
      <c r="F79" s="3" t="str">
        <f>INDEX(Product_Category!$B$2:$B$45,MATCH(TRIM(E79),Product_Category!$A$2:$A$45,0))</f>
        <v>Processed Foods</v>
      </c>
      <c r="G79" s="4">
        <v>31.75</v>
      </c>
      <c r="H79" s="4">
        <v>47.98</v>
      </c>
      <c r="I79" s="4">
        <v>18.72</v>
      </c>
      <c r="J79" s="4">
        <v>16781.169999999998</v>
      </c>
      <c r="K79" s="4">
        <v>33477.65</v>
      </c>
      <c r="L79" s="4">
        <v>12336.66</v>
      </c>
      <c r="M79" s="4">
        <f t="shared" si="3"/>
        <v>16.229999999999997</v>
      </c>
      <c r="N79" s="4">
        <f t="shared" si="4"/>
        <v>16696.480000000003</v>
      </c>
      <c r="O79" s="4">
        <f t="shared" si="5"/>
        <v>-29.259999999999998</v>
      </c>
      <c r="P79" s="3" t="s">
        <v>19</v>
      </c>
    </row>
    <row r="80" spans="1:16" x14ac:dyDescent="0.35">
      <c r="A80" s="3" t="s">
        <v>86</v>
      </c>
      <c r="B80" s="3" t="str">
        <f>INDEX(State_Region!$B$2:$B$26,MATCH(TRIM(A80),State_Region!$A$2:$A$26,0))</f>
        <v>North</v>
      </c>
      <c r="C80" s="3" t="s">
        <v>87</v>
      </c>
      <c r="D80" s="3" t="str">
        <f>INDEX(Port_Type!$B$2:$B$227,MATCH(TRIM(C80),Port_Type!$A$2:$A$227,0))</f>
        <v>Air Cargo</v>
      </c>
      <c r="E80" s="3" t="s">
        <v>93</v>
      </c>
      <c r="F80" s="3" t="str">
        <f>INDEX(Product_Category!$B$2:$B$45,MATCH(TRIM(E80),Product_Category!$A$2:$A$45,0))</f>
        <v>Meat &amp; Animal Products</v>
      </c>
      <c r="G80" s="4">
        <v>49.83</v>
      </c>
      <c r="H80" s="4">
        <v>59.34</v>
      </c>
      <c r="I80" s="4">
        <v>18.62</v>
      </c>
      <c r="J80" s="4">
        <v>6791.59</v>
      </c>
      <c r="K80" s="4">
        <v>7678.34</v>
      </c>
      <c r="L80" s="4">
        <v>2637.8</v>
      </c>
      <c r="M80" s="4">
        <f t="shared" si="3"/>
        <v>9.5100000000000051</v>
      </c>
      <c r="N80" s="4">
        <f t="shared" si="4"/>
        <v>886.75</v>
      </c>
      <c r="O80" s="4">
        <f t="shared" si="5"/>
        <v>-40.72</v>
      </c>
      <c r="P80" s="3" t="s">
        <v>19</v>
      </c>
    </row>
    <row r="81" spans="1:16" x14ac:dyDescent="0.35">
      <c r="A81" s="3" t="s">
        <v>94</v>
      </c>
      <c r="B81" s="3" t="str">
        <f>INDEX(State_Region!$B$2:$B$26,MATCH(TRIM(A81),State_Region!$A$2:$A$26,0))</f>
        <v>East</v>
      </c>
      <c r="C81" s="3" t="s">
        <v>95</v>
      </c>
      <c r="D81" s="3" t="str">
        <f>INDEX(Port_Type!$B$2:$B$227,MATCH(TRIM(C81),Port_Type!$A$2:$A$227,0))</f>
        <v>Land Border / Rail</v>
      </c>
      <c r="E81" s="3" t="s">
        <v>27</v>
      </c>
      <c r="F81" s="3" t="str">
        <f>INDEX(Product_Category!$B$2:$B$45,MATCH(TRIM(E81),Product_Category!$A$2:$A$45,0))</f>
        <v>Cereals &amp; Grains</v>
      </c>
      <c r="G81" s="4">
        <v>55.9</v>
      </c>
      <c r="H81" s="4">
        <v>89.41</v>
      </c>
      <c r="I81" s="4">
        <v>18.57</v>
      </c>
      <c r="J81" s="4">
        <v>223255.48</v>
      </c>
      <c r="K81" s="4">
        <v>307746.7</v>
      </c>
      <c r="L81" s="4">
        <v>51984.03</v>
      </c>
      <c r="M81" s="4">
        <f t="shared" si="3"/>
        <v>33.51</v>
      </c>
      <c r="N81" s="4">
        <f t="shared" si="4"/>
        <v>84491.22</v>
      </c>
      <c r="O81" s="4">
        <f t="shared" si="5"/>
        <v>-70.84</v>
      </c>
      <c r="P81" s="3" t="s">
        <v>19</v>
      </c>
    </row>
    <row r="82" spans="1:16" x14ac:dyDescent="0.35">
      <c r="A82" s="3" t="s">
        <v>40</v>
      </c>
      <c r="B82" s="3" t="str">
        <f>INDEX(State_Region!$B$2:$B$26,MATCH(TRIM(A82),State_Region!$A$2:$A$26,0))</f>
        <v>South</v>
      </c>
      <c r="C82" s="3" t="s">
        <v>85</v>
      </c>
      <c r="D82" s="3" t="str">
        <f>INDEX(Port_Type!$B$2:$B$227,MATCH(TRIM(C82),Port_Type!$A$2:$A$227,0))</f>
        <v>Sea Port</v>
      </c>
      <c r="E82" s="3" t="s">
        <v>84</v>
      </c>
      <c r="F82" s="3" t="str">
        <f>INDEX(Product_Category!$B$2:$B$45,MATCH(TRIM(E82),Product_Category!$A$2:$A$45,0))</f>
        <v>Nuts &amp; Oilseeds</v>
      </c>
      <c r="G82" s="4">
        <v>65.239999999999995</v>
      </c>
      <c r="H82" s="4">
        <v>58.95</v>
      </c>
      <c r="I82" s="4">
        <v>18.52</v>
      </c>
      <c r="J82" s="4">
        <v>9456.11</v>
      </c>
      <c r="K82" s="4">
        <v>7097.79</v>
      </c>
      <c r="L82" s="4">
        <v>2225.69</v>
      </c>
      <c r="M82" s="4">
        <f t="shared" si="3"/>
        <v>-6.289999999999992</v>
      </c>
      <c r="N82" s="4">
        <f t="shared" si="4"/>
        <v>-2358.3200000000006</v>
      </c>
      <c r="O82" s="4">
        <f t="shared" si="5"/>
        <v>-40.430000000000007</v>
      </c>
      <c r="P82" s="3" t="s">
        <v>19</v>
      </c>
    </row>
    <row r="83" spans="1:16" x14ac:dyDescent="0.35">
      <c r="A83" s="3" t="s">
        <v>23</v>
      </c>
      <c r="B83" s="3" t="str">
        <f>INDEX(State_Region!$B$2:$B$26,MATCH(TRIM(A83),State_Region!$A$2:$A$26,0))</f>
        <v>North</v>
      </c>
      <c r="C83" s="3" t="s">
        <v>44</v>
      </c>
      <c r="D83" s="3" t="str">
        <f>INDEX(Port_Type!$B$2:$B$227,MATCH(TRIM(C83),Port_Type!$A$2:$A$227,0))</f>
        <v>Inland ICD / CFS</v>
      </c>
      <c r="E83" s="3" t="s">
        <v>18</v>
      </c>
      <c r="F83" s="3" t="str">
        <f>INDEX(Product_Category!$B$2:$B$45,MATCH(TRIM(E83),Product_Category!$A$2:$A$45,0))</f>
        <v>Cereals &amp; Grains</v>
      </c>
      <c r="G83" s="4">
        <v>52.56</v>
      </c>
      <c r="H83" s="4">
        <v>56.11</v>
      </c>
      <c r="I83" s="4">
        <v>18.47</v>
      </c>
      <c r="J83" s="4">
        <v>37972.58</v>
      </c>
      <c r="K83" s="4">
        <v>50589.93</v>
      </c>
      <c r="L83" s="4">
        <v>16372.42</v>
      </c>
      <c r="M83" s="4">
        <f t="shared" si="3"/>
        <v>3.5499999999999972</v>
      </c>
      <c r="N83" s="4">
        <f t="shared" si="4"/>
        <v>12617.349999999999</v>
      </c>
      <c r="O83" s="4">
        <f t="shared" si="5"/>
        <v>-37.64</v>
      </c>
      <c r="P83" s="3" t="s">
        <v>19</v>
      </c>
    </row>
    <row r="84" spans="1:16" x14ac:dyDescent="0.35">
      <c r="A84" s="3" t="s">
        <v>35</v>
      </c>
      <c r="B84" s="3" t="str">
        <f>INDEX(State_Region!$B$2:$B$26,MATCH(TRIM(A84),State_Region!$A$2:$A$26,0))</f>
        <v>North</v>
      </c>
      <c r="C84" s="3" t="s">
        <v>96</v>
      </c>
      <c r="D84" s="3" t="str">
        <f>INDEX(Port_Type!$B$2:$B$227,MATCH(TRIM(C84),Port_Type!$A$2:$A$227,0))</f>
        <v>Inland ICD / CFS</v>
      </c>
      <c r="E84" s="3" t="s">
        <v>18</v>
      </c>
      <c r="F84" s="3" t="str">
        <f>INDEX(Product_Category!$B$2:$B$45,MATCH(TRIM(E84),Product_Category!$A$2:$A$45,0))</f>
        <v>Cereals &amp; Grains</v>
      </c>
      <c r="G84" s="4">
        <v>132.41999999999999</v>
      </c>
      <c r="H84" s="4">
        <v>58.11</v>
      </c>
      <c r="I84" s="4">
        <v>18.36</v>
      </c>
      <c r="J84" s="4">
        <v>119537.36</v>
      </c>
      <c r="K84" s="4">
        <v>66168.240000000005</v>
      </c>
      <c r="L84" s="4">
        <v>18926.98</v>
      </c>
      <c r="M84" s="4">
        <f t="shared" si="3"/>
        <v>-74.309999999999988</v>
      </c>
      <c r="N84" s="4">
        <f t="shared" si="4"/>
        <v>-53369.119999999995</v>
      </c>
      <c r="O84" s="4">
        <f t="shared" si="5"/>
        <v>-39.75</v>
      </c>
      <c r="P84" s="3" t="s">
        <v>19</v>
      </c>
    </row>
    <row r="85" spans="1:16" x14ac:dyDescent="0.35">
      <c r="A85" s="3" t="s">
        <v>57</v>
      </c>
      <c r="B85" s="3" t="str">
        <f>INDEX(State_Region!$B$2:$B$26,MATCH(TRIM(A85),State_Region!$A$2:$A$26,0))</f>
        <v>Central</v>
      </c>
      <c r="C85" s="3" t="s">
        <v>97</v>
      </c>
      <c r="D85" s="3" t="str">
        <f>INDEX(Port_Type!$B$2:$B$227,MATCH(TRIM(C85),Port_Type!$A$2:$A$227,0))</f>
        <v>Inland ICD / CFS</v>
      </c>
      <c r="E85" s="3" t="s">
        <v>72</v>
      </c>
      <c r="F85" s="3" t="str">
        <f>INDEX(Product_Category!$B$2:$B$45,MATCH(TRIM(E85),Product_Category!$A$2:$A$45,0))</f>
        <v>Dairy, Poultry &amp; Honey</v>
      </c>
      <c r="G85" s="4">
        <v>4.87</v>
      </c>
      <c r="H85" s="4">
        <v>48.64</v>
      </c>
      <c r="I85" s="4">
        <v>18.02</v>
      </c>
      <c r="J85" s="4">
        <v>907.2</v>
      </c>
      <c r="K85" s="4">
        <v>7567.79</v>
      </c>
      <c r="L85" s="4">
        <v>2713.92</v>
      </c>
      <c r="M85" s="4">
        <f t="shared" si="3"/>
        <v>43.77</v>
      </c>
      <c r="N85" s="4">
        <f t="shared" si="4"/>
        <v>6660.59</v>
      </c>
      <c r="O85" s="4">
        <f t="shared" si="5"/>
        <v>-30.62</v>
      </c>
      <c r="P85" s="3" t="s">
        <v>19</v>
      </c>
    </row>
    <row r="86" spans="1:16" x14ac:dyDescent="0.35">
      <c r="A86" s="3" t="s">
        <v>74</v>
      </c>
      <c r="B86" s="3" t="str">
        <f>INDEX(State_Region!$B$2:$B$26,MATCH(TRIM(A86),State_Region!$A$2:$A$26,0))</f>
        <v>South</v>
      </c>
      <c r="C86" s="3" t="s">
        <v>98</v>
      </c>
      <c r="D86" s="3" t="str">
        <f>INDEX(Port_Type!$B$2:$B$227,MATCH(TRIM(C86),Port_Type!$A$2:$A$227,0))</f>
        <v>Inland ICD / CFS</v>
      </c>
      <c r="E86" s="3" t="s">
        <v>48</v>
      </c>
      <c r="F86" s="3" t="str">
        <f>INDEX(Product_Category!$B$2:$B$45,MATCH(TRIM(E86),Product_Category!$A$2:$A$45,0))</f>
        <v>Processed Foods</v>
      </c>
      <c r="G86" s="4">
        <v>47.63</v>
      </c>
      <c r="H86" s="4">
        <v>52.65</v>
      </c>
      <c r="I86" s="4">
        <v>17.53</v>
      </c>
      <c r="J86" s="4">
        <v>43303.59</v>
      </c>
      <c r="K86" s="4">
        <v>48698.57</v>
      </c>
      <c r="L86" s="4">
        <v>16533.05</v>
      </c>
      <c r="M86" s="4">
        <f t="shared" si="3"/>
        <v>5.019999999999996</v>
      </c>
      <c r="N86" s="4">
        <f t="shared" si="4"/>
        <v>5394.9800000000032</v>
      </c>
      <c r="O86" s="4">
        <f t="shared" si="5"/>
        <v>-35.119999999999997</v>
      </c>
      <c r="P86" s="3" t="s">
        <v>19</v>
      </c>
    </row>
    <row r="87" spans="1:16" x14ac:dyDescent="0.35">
      <c r="A87" s="3" t="s">
        <v>31</v>
      </c>
      <c r="B87" s="3" t="str">
        <f>INDEX(State_Region!$B$2:$B$26,MATCH(TRIM(A87),State_Region!$A$2:$A$26,0))</f>
        <v>East</v>
      </c>
      <c r="C87" s="3" t="s">
        <v>99</v>
      </c>
      <c r="D87" s="3" t="str">
        <f>INDEX(Port_Type!$B$2:$B$227,MATCH(TRIM(C87),Port_Type!$A$2:$A$227,0))</f>
        <v>Land Border / Rail</v>
      </c>
      <c r="E87" s="3" t="s">
        <v>62</v>
      </c>
      <c r="F87" s="3" t="str">
        <f>INDEX(Product_Category!$B$2:$B$45,MATCH(TRIM(E87),Product_Category!$A$2:$A$45,0))</f>
        <v>Cereals &amp; Grains</v>
      </c>
      <c r="G87" s="4">
        <v>14.21</v>
      </c>
      <c r="H87" s="4">
        <v>27.48</v>
      </c>
      <c r="I87" s="4">
        <v>17.39</v>
      </c>
      <c r="J87" s="4">
        <v>58769.54</v>
      </c>
      <c r="K87" s="4">
        <v>125265.02</v>
      </c>
      <c r="L87" s="4">
        <v>83104.06</v>
      </c>
      <c r="M87" s="4">
        <f t="shared" si="3"/>
        <v>13.27</v>
      </c>
      <c r="N87" s="4">
        <f t="shared" si="4"/>
        <v>66495.48000000001</v>
      </c>
      <c r="O87" s="4">
        <f t="shared" si="5"/>
        <v>-10.09</v>
      </c>
      <c r="P87" s="3" t="s">
        <v>19</v>
      </c>
    </row>
    <row r="88" spans="1:16" x14ac:dyDescent="0.35">
      <c r="A88" s="3" t="s">
        <v>66</v>
      </c>
      <c r="B88" s="3" t="str">
        <f>INDEX(State_Region!$B$2:$B$26,MATCH(TRIM(A88),State_Region!$A$2:$A$26,0))</f>
        <v>North</v>
      </c>
      <c r="C88" s="3" t="s">
        <v>100</v>
      </c>
      <c r="D88" s="3" t="str">
        <f>INDEX(Port_Type!$B$2:$B$227,MATCH(TRIM(C88),Port_Type!$A$2:$A$227,0))</f>
        <v>Inland ICD / CFS</v>
      </c>
      <c r="E88" s="3" t="s">
        <v>18</v>
      </c>
      <c r="F88" s="3" t="str">
        <f>INDEX(Product_Category!$B$2:$B$45,MATCH(TRIM(E88),Product_Category!$A$2:$A$45,0))</f>
        <v>Cereals &amp; Grains</v>
      </c>
      <c r="G88" s="4">
        <v>0</v>
      </c>
      <c r="H88" s="4">
        <v>79.41</v>
      </c>
      <c r="I88" s="4">
        <v>17.309999999999999</v>
      </c>
      <c r="J88" s="4">
        <v>0</v>
      </c>
      <c r="K88" s="4">
        <v>66860.03</v>
      </c>
      <c r="L88" s="4">
        <v>15804.25</v>
      </c>
      <c r="M88" s="4">
        <f t="shared" si="3"/>
        <v>79.41</v>
      </c>
      <c r="N88" s="4">
        <f t="shared" si="4"/>
        <v>66860.03</v>
      </c>
      <c r="O88" s="4">
        <f t="shared" si="5"/>
        <v>-62.099999999999994</v>
      </c>
      <c r="P88" s="3" t="s">
        <v>19</v>
      </c>
    </row>
    <row r="89" spans="1:16" x14ac:dyDescent="0.35">
      <c r="A89" s="3" t="s">
        <v>31</v>
      </c>
      <c r="B89" s="3" t="str">
        <f>INDEX(State_Region!$B$2:$B$26,MATCH(TRIM(A89),State_Region!$A$2:$A$26,0))</f>
        <v>East</v>
      </c>
      <c r="C89" s="3" t="s">
        <v>101</v>
      </c>
      <c r="D89" s="3" t="str">
        <f>INDEX(Port_Type!$B$2:$B$227,MATCH(TRIM(C89),Port_Type!$A$2:$A$227,0))</f>
        <v>Land Border / Rail</v>
      </c>
      <c r="E89" s="3" t="s">
        <v>33</v>
      </c>
      <c r="F89" s="3" t="str">
        <f>INDEX(Product_Category!$B$2:$B$45,MATCH(TRIM(E89),Product_Category!$A$2:$A$45,0))</f>
        <v>Pulses</v>
      </c>
      <c r="G89" s="4">
        <v>47.86</v>
      </c>
      <c r="H89" s="4">
        <v>52.79</v>
      </c>
      <c r="I89" s="4">
        <v>17.12</v>
      </c>
      <c r="J89" s="4">
        <v>55300.78</v>
      </c>
      <c r="K89" s="4">
        <v>61928.63</v>
      </c>
      <c r="L89" s="4">
        <v>18768.87</v>
      </c>
      <c r="M89" s="4">
        <f t="shared" si="3"/>
        <v>4.93</v>
      </c>
      <c r="N89" s="4">
        <f t="shared" si="4"/>
        <v>6627.8499999999985</v>
      </c>
      <c r="O89" s="4">
        <f t="shared" si="5"/>
        <v>-35.67</v>
      </c>
      <c r="P89" s="3" t="s">
        <v>19</v>
      </c>
    </row>
    <row r="90" spans="1:16" x14ac:dyDescent="0.35">
      <c r="A90" s="3" t="s">
        <v>16</v>
      </c>
      <c r="B90" s="3" t="str">
        <f>INDEX(State_Region!$B$2:$B$26,MATCH(TRIM(A90),State_Region!$A$2:$A$26,0))</f>
        <v>West</v>
      </c>
      <c r="C90" s="3" t="s">
        <v>17</v>
      </c>
      <c r="D90" s="3" t="str">
        <f>INDEX(Port_Type!$B$2:$B$227,MATCH(TRIM(C90),Port_Type!$A$2:$A$227,0))</f>
        <v>Sea Port</v>
      </c>
      <c r="E90" s="3" t="s">
        <v>102</v>
      </c>
      <c r="F90" s="3" t="str">
        <f>INDEX(Product_Category!$B$2:$B$45,MATCH(TRIM(E90),Product_Category!$A$2:$A$45,0))</f>
        <v>Fresh Fruits &amp; Vegetables</v>
      </c>
      <c r="G90" s="4">
        <v>25.15</v>
      </c>
      <c r="H90" s="4">
        <v>28.39</v>
      </c>
      <c r="I90" s="4">
        <v>16.84</v>
      </c>
      <c r="J90" s="4">
        <v>83488.429999999993</v>
      </c>
      <c r="K90" s="4">
        <v>102051.59</v>
      </c>
      <c r="L90" s="4">
        <v>68659.31</v>
      </c>
      <c r="M90" s="4">
        <f t="shared" si="3"/>
        <v>3.240000000000002</v>
      </c>
      <c r="N90" s="4">
        <f t="shared" si="4"/>
        <v>18563.160000000003</v>
      </c>
      <c r="O90" s="4">
        <f t="shared" si="5"/>
        <v>-11.55</v>
      </c>
      <c r="P90" s="3" t="s">
        <v>19</v>
      </c>
    </row>
    <row r="91" spans="1:16" x14ac:dyDescent="0.35">
      <c r="A91" s="3" t="s">
        <v>16</v>
      </c>
      <c r="B91" s="3" t="str">
        <f>INDEX(State_Region!$B$2:$B$26,MATCH(TRIM(A91),State_Region!$A$2:$A$26,0))</f>
        <v>West</v>
      </c>
      <c r="C91" s="3" t="s">
        <v>17</v>
      </c>
      <c r="D91" s="3" t="str">
        <f>INDEX(Port_Type!$B$2:$B$227,MATCH(TRIM(C91),Port_Type!$A$2:$A$227,0))</f>
        <v>Sea Port</v>
      </c>
      <c r="E91" s="3" t="s">
        <v>72</v>
      </c>
      <c r="F91" s="3" t="str">
        <f>INDEX(Product_Category!$B$2:$B$45,MATCH(TRIM(E91),Product_Category!$A$2:$A$45,0))</f>
        <v>Dairy, Poultry &amp; Honey</v>
      </c>
      <c r="G91" s="4">
        <v>34.32</v>
      </c>
      <c r="H91" s="4">
        <v>41.77</v>
      </c>
      <c r="I91" s="4">
        <v>16.04</v>
      </c>
      <c r="J91" s="4">
        <v>6069.77</v>
      </c>
      <c r="K91" s="4">
        <v>8315.65</v>
      </c>
      <c r="L91" s="4">
        <v>3638.66</v>
      </c>
      <c r="M91" s="4">
        <f t="shared" si="3"/>
        <v>7.4500000000000028</v>
      </c>
      <c r="N91" s="4">
        <f t="shared" si="4"/>
        <v>2245.8799999999992</v>
      </c>
      <c r="O91" s="4">
        <f t="shared" si="5"/>
        <v>-25.730000000000004</v>
      </c>
      <c r="P91" s="3" t="s">
        <v>19</v>
      </c>
    </row>
    <row r="92" spans="1:16" x14ac:dyDescent="0.35">
      <c r="A92" s="3" t="s">
        <v>31</v>
      </c>
      <c r="B92" s="3" t="str">
        <f>INDEX(State_Region!$B$2:$B$26,MATCH(TRIM(A92),State_Region!$A$2:$A$26,0))</f>
        <v>East</v>
      </c>
      <c r="C92" s="3" t="s">
        <v>32</v>
      </c>
      <c r="D92" s="3" t="str">
        <f>INDEX(Port_Type!$B$2:$B$227,MATCH(TRIM(C92),Port_Type!$A$2:$A$227,0))</f>
        <v>Sea Port</v>
      </c>
      <c r="E92" s="3" t="s">
        <v>39</v>
      </c>
      <c r="F92" s="3" t="str">
        <f>INDEX(Product_Category!$B$2:$B$45,MATCH(TRIM(E92),Product_Category!$A$2:$A$45,0))</f>
        <v>Processed Foods</v>
      </c>
      <c r="G92" s="4">
        <v>42.28</v>
      </c>
      <c r="H92" s="4">
        <v>31.38</v>
      </c>
      <c r="I92" s="4">
        <v>15.71</v>
      </c>
      <c r="J92" s="4">
        <v>98705.7</v>
      </c>
      <c r="K92" s="4">
        <v>84260.45</v>
      </c>
      <c r="L92" s="4">
        <v>47796.639999999999</v>
      </c>
      <c r="M92" s="4">
        <f t="shared" si="3"/>
        <v>-10.900000000000002</v>
      </c>
      <c r="N92" s="4">
        <f t="shared" si="4"/>
        <v>-14445.25</v>
      </c>
      <c r="O92" s="4">
        <f t="shared" si="5"/>
        <v>-15.669999999999998</v>
      </c>
      <c r="P92" s="3" t="s">
        <v>19</v>
      </c>
    </row>
    <row r="93" spans="1:16" x14ac:dyDescent="0.35">
      <c r="A93" s="3" t="s">
        <v>103</v>
      </c>
      <c r="B93" s="3" t="str">
        <f>INDEX(State_Region!$B$2:$B$26,MATCH(TRIM(A93),State_Region!$A$2:$A$26,0))</f>
        <v>Central</v>
      </c>
      <c r="C93" s="3" t="s">
        <v>104</v>
      </c>
      <c r="D93" s="3" t="str">
        <f>INDEX(Port_Type!$B$2:$B$227,MATCH(TRIM(C93),Port_Type!$A$2:$A$227,0))</f>
        <v>Inland ICD / CFS</v>
      </c>
      <c r="E93" s="3" t="s">
        <v>27</v>
      </c>
      <c r="F93" s="3" t="str">
        <f>INDEX(Product_Category!$B$2:$B$45,MATCH(TRIM(E93),Product_Category!$A$2:$A$45,0))</f>
        <v>Cereals &amp; Grains</v>
      </c>
      <c r="G93" s="4">
        <v>34.369999999999997</v>
      </c>
      <c r="H93" s="4">
        <v>8.35</v>
      </c>
      <c r="I93" s="4">
        <v>14.71</v>
      </c>
      <c r="J93" s="4">
        <v>83429.64</v>
      </c>
      <c r="K93" s="4">
        <v>23851.8</v>
      </c>
      <c r="L93" s="4">
        <v>44332.26</v>
      </c>
      <c r="M93" s="4">
        <f t="shared" si="3"/>
        <v>-26.019999999999996</v>
      </c>
      <c r="N93" s="4">
        <f t="shared" si="4"/>
        <v>-59577.84</v>
      </c>
      <c r="O93" s="4">
        <f t="shared" si="5"/>
        <v>6.3600000000000012</v>
      </c>
      <c r="P93" s="3" t="s">
        <v>19</v>
      </c>
    </row>
    <row r="94" spans="1:16" x14ac:dyDescent="0.35">
      <c r="A94" s="3" t="s">
        <v>16</v>
      </c>
      <c r="B94" s="3" t="str">
        <f>INDEX(State_Region!$B$2:$B$26,MATCH(TRIM(A94),State_Region!$A$2:$A$26,0))</f>
        <v>West</v>
      </c>
      <c r="C94" s="3" t="s">
        <v>105</v>
      </c>
      <c r="D94" s="3" t="str">
        <f>INDEX(Port_Type!$B$2:$B$227,MATCH(TRIM(C94),Port_Type!$A$2:$A$227,0))</f>
        <v>SEZ / EPZ</v>
      </c>
      <c r="E94" s="3" t="s">
        <v>33</v>
      </c>
      <c r="F94" s="3" t="str">
        <f>INDEX(Product_Category!$B$2:$B$45,MATCH(TRIM(E94),Product_Category!$A$2:$A$45,0))</f>
        <v>Pulses</v>
      </c>
      <c r="G94" s="4">
        <v>7.85</v>
      </c>
      <c r="H94" s="4">
        <v>12.02</v>
      </c>
      <c r="I94" s="4">
        <v>14.56</v>
      </c>
      <c r="J94" s="4">
        <v>13063.3</v>
      </c>
      <c r="K94" s="4">
        <v>19544.810000000001</v>
      </c>
      <c r="L94" s="4">
        <v>32362.63</v>
      </c>
      <c r="M94" s="4">
        <f t="shared" si="3"/>
        <v>4.17</v>
      </c>
      <c r="N94" s="4">
        <f t="shared" si="4"/>
        <v>6481.510000000002</v>
      </c>
      <c r="O94" s="4">
        <f t="shared" si="5"/>
        <v>2.5400000000000009</v>
      </c>
      <c r="P94" s="3" t="s">
        <v>19</v>
      </c>
    </row>
    <row r="95" spans="1:16" x14ac:dyDescent="0.35">
      <c r="A95" s="3" t="s">
        <v>86</v>
      </c>
      <c r="B95" s="3" t="str">
        <f>INDEX(State_Region!$B$2:$B$26,MATCH(TRIM(A95),State_Region!$A$2:$A$26,0))</f>
        <v>North</v>
      </c>
      <c r="C95" s="3" t="s">
        <v>106</v>
      </c>
      <c r="D95" s="3" t="str">
        <f>INDEX(Port_Type!$B$2:$B$227,MATCH(TRIM(C95),Port_Type!$A$2:$A$227,0))</f>
        <v>Inland ICD / CFS</v>
      </c>
      <c r="E95" s="3" t="s">
        <v>39</v>
      </c>
      <c r="F95" s="3" t="str">
        <f>INDEX(Product_Category!$B$2:$B$45,MATCH(TRIM(E95),Product_Category!$A$2:$A$45,0))</f>
        <v>Processed Foods</v>
      </c>
      <c r="G95" s="4">
        <v>19.48</v>
      </c>
      <c r="H95" s="4">
        <v>36.630000000000003</v>
      </c>
      <c r="I95" s="4">
        <v>14.37</v>
      </c>
      <c r="J95" s="4">
        <v>4118.07</v>
      </c>
      <c r="K95" s="4">
        <v>6649.3</v>
      </c>
      <c r="L95" s="4">
        <v>2257.6</v>
      </c>
      <c r="M95" s="4">
        <f t="shared" si="3"/>
        <v>17.150000000000002</v>
      </c>
      <c r="N95" s="4">
        <f t="shared" si="4"/>
        <v>2531.2300000000005</v>
      </c>
      <c r="O95" s="4">
        <f t="shared" si="5"/>
        <v>-22.260000000000005</v>
      </c>
      <c r="P95" s="3" t="s">
        <v>19</v>
      </c>
    </row>
    <row r="96" spans="1:16" x14ac:dyDescent="0.35">
      <c r="A96" s="3" t="s">
        <v>40</v>
      </c>
      <c r="B96" s="3" t="str">
        <f>INDEX(State_Region!$B$2:$B$26,MATCH(TRIM(A96),State_Region!$A$2:$A$26,0))</f>
        <v>South</v>
      </c>
      <c r="C96" s="3" t="s">
        <v>41</v>
      </c>
      <c r="D96" s="3" t="str">
        <f>INDEX(Port_Type!$B$2:$B$227,MATCH(TRIM(C96),Port_Type!$A$2:$A$227,0))</f>
        <v>Sea Port</v>
      </c>
      <c r="E96" s="3" t="s">
        <v>39</v>
      </c>
      <c r="F96" s="3" t="str">
        <f>INDEX(Product_Category!$B$2:$B$45,MATCH(TRIM(E96),Product_Category!$A$2:$A$45,0))</f>
        <v>Processed Foods</v>
      </c>
      <c r="G96" s="4">
        <v>36.61</v>
      </c>
      <c r="H96" s="4">
        <v>39.19</v>
      </c>
      <c r="I96" s="4">
        <v>14.3</v>
      </c>
      <c r="J96" s="4">
        <v>26706.95</v>
      </c>
      <c r="K96" s="4">
        <v>22162.23</v>
      </c>
      <c r="L96" s="4">
        <v>11643.1</v>
      </c>
      <c r="M96" s="4">
        <f t="shared" si="3"/>
        <v>2.5799999999999983</v>
      </c>
      <c r="N96" s="4">
        <f t="shared" si="4"/>
        <v>-4544.7200000000012</v>
      </c>
      <c r="O96" s="4">
        <f t="shared" si="5"/>
        <v>-24.889999999999997</v>
      </c>
      <c r="P96" s="3" t="s">
        <v>19</v>
      </c>
    </row>
    <row r="97" spans="1:16" x14ac:dyDescent="0.35">
      <c r="A97" s="3" t="s">
        <v>79</v>
      </c>
      <c r="B97" s="3" t="str">
        <f>INDEX(State_Region!$B$2:$B$26,MATCH(TRIM(A97),State_Region!$A$2:$A$26,0))</f>
        <v>South</v>
      </c>
      <c r="C97" s="3" t="s">
        <v>80</v>
      </c>
      <c r="D97" s="3" t="str">
        <f>INDEX(Port_Type!$B$2:$B$227,MATCH(TRIM(C97),Port_Type!$A$2:$A$227,0))</f>
        <v>Inland ICD / CFS</v>
      </c>
      <c r="E97" s="3" t="s">
        <v>39</v>
      </c>
      <c r="F97" s="3" t="str">
        <f>INDEX(Product_Category!$B$2:$B$45,MATCH(TRIM(E97),Product_Category!$A$2:$A$45,0))</f>
        <v>Processed Foods</v>
      </c>
      <c r="G97" s="4">
        <v>30.28</v>
      </c>
      <c r="H97" s="4">
        <v>37.68</v>
      </c>
      <c r="I97" s="4">
        <v>14.21</v>
      </c>
      <c r="J97" s="4">
        <v>8102.04</v>
      </c>
      <c r="K97" s="4">
        <v>10102.65</v>
      </c>
      <c r="L97" s="4">
        <v>3519.18</v>
      </c>
      <c r="M97" s="4">
        <f t="shared" si="3"/>
        <v>7.3999999999999986</v>
      </c>
      <c r="N97" s="4">
        <f t="shared" si="4"/>
        <v>2000.6099999999997</v>
      </c>
      <c r="O97" s="4">
        <f t="shared" si="5"/>
        <v>-23.47</v>
      </c>
      <c r="P97" s="3" t="s">
        <v>19</v>
      </c>
    </row>
    <row r="98" spans="1:16" x14ac:dyDescent="0.35">
      <c r="A98" s="3" t="s">
        <v>40</v>
      </c>
      <c r="B98" s="3" t="str">
        <f>INDEX(State_Region!$B$2:$B$26,MATCH(TRIM(A98),State_Region!$A$2:$A$26,0))</f>
        <v>South</v>
      </c>
      <c r="C98" s="3" t="s">
        <v>41</v>
      </c>
      <c r="D98" s="3" t="str">
        <f>INDEX(Port_Type!$B$2:$B$227,MATCH(TRIM(C98),Port_Type!$A$2:$A$227,0))</f>
        <v>Sea Port</v>
      </c>
      <c r="E98" s="3" t="s">
        <v>33</v>
      </c>
      <c r="F98" s="3" t="str">
        <f>INDEX(Product_Category!$B$2:$B$45,MATCH(TRIM(E98),Product_Category!$A$2:$A$45,0))</f>
        <v>Pulses</v>
      </c>
      <c r="G98" s="4">
        <v>17.36</v>
      </c>
      <c r="H98" s="4">
        <v>24.53</v>
      </c>
      <c r="I98" s="4">
        <v>14.19</v>
      </c>
      <c r="J98" s="4">
        <v>15285.55</v>
      </c>
      <c r="K98" s="4">
        <v>25081.53</v>
      </c>
      <c r="L98" s="4">
        <v>14897.39</v>
      </c>
      <c r="M98" s="4">
        <f t="shared" si="3"/>
        <v>7.1700000000000017</v>
      </c>
      <c r="N98" s="4">
        <f t="shared" si="4"/>
        <v>9795.98</v>
      </c>
      <c r="O98" s="4">
        <f t="shared" si="5"/>
        <v>-10.340000000000002</v>
      </c>
      <c r="P98" s="3" t="s">
        <v>19</v>
      </c>
    </row>
    <row r="99" spans="1:16" x14ac:dyDescent="0.35">
      <c r="A99" s="3" t="s">
        <v>40</v>
      </c>
      <c r="B99" s="3" t="str">
        <f>INDEX(State_Region!$B$2:$B$26,MATCH(TRIM(A99),State_Region!$A$2:$A$26,0))</f>
        <v>South</v>
      </c>
      <c r="C99" s="3" t="s">
        <v>107</v>
      </c>
      <c r="D99" s="3" t="str">
        <f>INDEX(Port_Type!$B$2:$B$227,MATCH(TRIM(C99),Port_Type!$A$2:$A$227,0))</f>
        <v>Sea Port</v>
      </c>
      <c r="E99" s="3" t="s">
        <v>81</v>
      </c>
      <c r="F99" s="3" t="str">
        <f>INDEX(Product_Category!$B$2:$B$45,MATCH(TRIM(E99),Product_Category!$A$2:$A$45,0))</f>
        <v>Processed Foods</v>
      </c>
      <c r="G99" s="4">
        <v>35.28</v>
      </c>
      <c r="H99" s="4">
        <v>43.57</v>
      </c>
      <c r="I99" s="4">
        <v>14.05</v>
      </c>
      <c r="J99" s="4">
        <v>32217.86</v>
      </c>
      <c r="K99" s="4">
        <v>40314.050000000003</v>
      </c>
      <c r="L99" s="4">
        <v>13360.63</v>
      </c>
      <c r="M99" s="4">
        <f t="shared" si="3"/>
        <v>8.2899999999999991</v>
      </c>
      <c r="N99" s="4">
        <f t="shared" si="4"/>
        <v>8096.1900000000023</v>
      </c>
      <c r="O99" s="4">
        <f t="shared" si="5"/>
        <v>-29.52</v>
      </c>
      <c r="P99" s="3" t="s">
        <v>19</v>
      </c>
    </row>
    <row r="100" spans="1:16" x14ac:dyDescent="0.35">
      <c r="A100" s="3" t="s">
        <v>66</v>
      </c>
      <c r="B100" s="3" t="str">
        <f>INDEX(State_Region!$B$2:$B$26,MATCH(TRIM(A100),State_Region!$A$2:$A$26,0))</f>
        <v>North</v>
      </c>
      <c r="C100" s="3" t="s">
        <v>108</v>
      </c>
      <c r="D100" s="3" t="str">
        <f>INDEX(Port_Type!$B$2:$B$227,MATCH(TRIM(C100),Port_Type!$A$2:$A$227,0))</f>
        <v>Inland ICD / CFS</v>
      </c>
      <c r="E100" s="3" t="s">
        <v>18</v>
      </c>
      <c r="F100" s="3" t="str">
        <f>INDEX(Product_Category!$B$2:$B$45,MATCH(TRIM(E100),Product_Category!$A$2:$A$45,0))</f>
        <v>Cereals &amp; Grains</v>
      </c>
      <c r="G100" s="4">
        <v>80.95</v>
      </c>
      <c r="H100" s="4">
        <v>33.79</v>
      </c>
      <c r="I100" s="4">
        <v>13.91</v>
      </c>
      <c r="J100" s="4">
        <v>65568.789999999994</v>
      </c>
      <c r="K100" s="4">
        <v>33312.06</v>
      </c>
      <c r="L100" s="4">
        <v>13563.8</v>
      </c>
      <c r="M100" s="4">
        <f t="shared" si="3"/>
        <v>-47.160000000000004</v>
      </c>
      <c r="N100" s="4">
        <f t="shared" si="4"/>
        <v>-32256.729999999996</v>
      </c>
      <c r="O100" s="4">
        <f t="shared" si="5"/>
        <v>-19.88</v>
      </c>
      <c r="P100" s="3" t="s">
        <v>19</v>
      </c>
    </row>
    <row r="101" spans="1:16" x14ac:dyDescent="0.35">
      <c r="A101" s="3" t="s">
        <v>77</v>
      </c>
      <c r="B101" s="3" t="str">
        <f>INDEX(State_Region!$B$2:$B$26,MATCH(TRIM(A101),State_Region!$A$2:$A$26,0))</f>
        <v>South</v>
      </c>
      <c r="C101" s="3" t="s">
        <v>78</v>
      </c>
      <c r="D101" s="3" t="str">
        <f>INDEX(Port_Type!$B$2:$B$227,MATCH(TRIM(C101),Port_Type!$A$2:$A$227,0))</f>
        <v>Sea Port</v>
      </c>
      <c r="E101" s="3" t="s">
        <v>48</v>
      </c>
      <c r="F101" s="3" t="str">
        <f>INDEX(Product_Category!$B$2:$B$45,MATCH(TRIM(E101),Product_Category!$A$2:$A$45,0))</f>
        <v>Processed Foods</v>
      </c>
      <c r="G101" s="4">
        <v>36.94</v>
      </c>
      <c r="H101" s="4">
        <v>47.35</v>
      </c>
      <c r="I101" s="4">
        <v>13.75</v>
      </c>
      <c r="J101" s="4">
        <v>20787.46</v>
      </c>
      <c r="K101" s="4">
        <v>24777.64</v>
      </c>
      <c r="L101" s="4">
        <v>7440.92</v>
      </c>
      <c r="M101" s="4">
        <f t="shared" si="3"/>
        <v>10.410000000000004</v>
      </c>
      <c r="N101" s="4">
        <f t="shared" si="4"/>
        <v>3990.1800000000003</v>
      </c>
      <c r="O101" s="4">
        <f t="shared" si="5"/>
        <v>-33.6</v>
      </c>
      <c r="P101" s="3" t="s">
        <v>19</v>
      </c>
    </row>
    <row r="102" spans="1:16" x14ac:dyDescent="0.35">
      <c r="A102" s="3" t="s">
        <v>23</v>
      </c>
      <c r="B102" s="3" t="str">
        <f>INDEX(State_Region!$B$2:$B$26,MATCH(TRIM(A102),State_Region!$A$2:$A$26,0))</f>
        <v>North</v>
      </c>
      <c r="C102" s="3" t="s">
        <v>44</v>
      </c>
      <c r="D102" s="3" t="str">
        <f>INDEX(Port_Type!$B$2:$B$227,MATCH(TRIM(C102),Port_Type!$A$2:$A$227,0))</f>
        <v>Inland ICD / CFS</v>
      </c>
      <c r="E102" s="3" t="s">
        <v>72</v>
      </c>
      <c r="F102" s="3" t="str">
        <f>INDEX(Product_Category!$B$2:$B$45,MATCH(TRIM(E102),Product_Category!$A$2:$A$45,0))</f>
        <v>Dairy, Poultry &amp; Honey</v>
      </c>
      <c r="G102" s="4">
        <v>13.43</v>
      </c>
      <c r="H102" s="4">
        <v>25.17</v>
      </c>
      <c r="I102" s="4">
        <v>13.75</v>
      </c>
      <c r="J102" s="4">
        <v>2653.99</v>
      </c>
      <c r="K102" s="4">
        <v>4631.8900000000003</v>
      </c>
      <c r="L102" s="4">
        <v>2221.2600000000002</v>
      </c>
      <c r="M102" s="4">
        <f t="shared" si="3"/>
        <v>11.740000000000002</v>
      </c>
      <c r="N102" s="4">
        <f t="shared" si="4"/>
        <v>1977.9000000000005</v>
      </c>
      <c r="O102" s="4">
        <f t="shared" si="5"/>
        <v>-11.420000000000002</v>
      </c>
      <c r="P102" s="3" t="s">
        <v>19</v>
      </c>
    </row>
    <row r="103" spans="1:16" x14ac:dyDescent="0.35">
      <c r="A103" s="3" t="s">
        <v>16</v>
      </c>
      <c r="B103" s="3" t="str">
        <f>INDEX(State_Region!$B$2:$B$26,MATCH(TRIM(A103),State_Region!$A$2:$A$26,0))</f>
        <v>West</v>
      </c>
      <c r="C103" s="3" t="s">
        <v>89</v>
      </c>
      <c r="D103" s="3" t="str">
        <f>INDEX(Port_Type!$B$2:$B$227,MATCH(TRIM(C103),Port_Type!$A$2:$A$227,0))</f>
        <v>Inland ICD / CFS</v>
      </c>
      <c r="E103" s="3" t="s">
        <v>46</v>
      </c>
      <c r="F103" s="3" t="str">
        <f>INDEX(Product_Category!$B$2:$B$45,MATCH(TRIM(E103),Product_Category!$A$2:$A$45,0))</f>
        <v>Others</v>
      </c>
      <c r="G103" s="4">
        <v>56.39</v>
      </c>
      <c r="H103" s="4">
        <v>40.43</v>
      </c>
      <c r="I103" s="4">
        <v>13.58</v>
      </c>
      <c r="J103" s="4">
        <v>65487.97</v>
      </c>
      <c r="K103" s="4">
        <v>47709.54</v>
      </c>
      <c r="L103" s="4">
        <v>16317.43</v>
      </c>
      <c r="M103" s="4">
        <f t="shared" si="3"/>
        <v>-15.96</v>
      </c>
      <c r="N103" s="4">
        <f t="shared" si="4"/>
        <v>-17778.43</v>
      </c>
      <c r="O103" s="4">
        <f t="shared" si="5"/>
        <v>-26.85</v>
      </c>
      <c r="P103" s="3" t="s">
        <v>19</v>
      </c>
    </row>
    <row r="104" spans="1:16" x14ac:dyDescent="0.35">
      <c r="A104" s="3" t="s">
        <v>40</v>
      </c>
      <c r="B104" s="3" t="str">
        <f>INDEX(State_Region!$B$2:$B$26,MATCH(TRIM(A104),State_Region!$A$2:$A$26,0))</f>
        <v>South</v>
      </c>
      <c r="C104" s="3" t="s">
        <v>41</v>
      </c>
      <c r="D104" s="3" t="str">
        <f>INDEX(Port_Type!$B$2:$B$227,MATCH(TRIM(C104),Port_Type!$A$2:$A$227,0))</f>
        <v>Sea Port</v>
      </c>
      <c r="E104" s="3" t="s">
        <v>81</v>
      </c>
      <c r="F104" s="3" t="str">
        <f>INDEX(Product_Category!$B$2:$B$45,MATCH(TRIM(E104),Product_Category!$A$2:$A$45,0))</f>
        <v>Processed Foods</v>
      </c>
      <c r="G104" s="4">
        <v>37.96</v>
      </c>
      <c r="H104" s="4">
        <v>51.34</v>
      </c>
      <c r="I104" s="4">
        <v>13.44</v>
      </c>
      <c r="J104" s="4">
        <v>35252.980000000003</v>
      </c>
      <c r="K104" s="4">
        <v>52530.66</v>
      </c>
      <c r="L104" s="4">
        <v>13805.67</v>
      </c>
      <c r="M104" s="4">
        <f t="shared" si="3"/>
        <v>13.380000000000003</v>
      </c>
      <c r="N104" s="4">
        <f t="shared" si="4"/>
        <v>17277.68</v>
      </c>
      <c r="O104" s="4">
        <f t="shared" si="5"/>
        <v>-37.900000000000006</v>
      </c>
      <c r="P104" s="3" t="s">
        <v>19</v>
      </c>
    </row>
    <row r="105" spans="1:16" x14ac:dyDescent="0.35">
      <c r="A105" s="3" t="s">
        <v>20</v>
      </c>
      <c r="B105" s="3" t="str">
        <f>INDEX(State_Region!$B$2:$B$26,MATCH(TRIM(A105),State_Region!$A$2:$A$26,0))</f>
        <v>West</v>
      </c>
      <c r="C105" s="3" t="s">
        <v>21</v>
      </c>
      <c r="D105" s="3" t="str">
        <f>INDEX(Port_Type!$B$2:$B$227,MATCH(TRIM(C105),Port_Type!$A$2:$A$227,0))</f>
        <v>Sea Port</v>
      </c>
      <c r="E105" s="3" t="s">
        <v>18</v>
      </c>
      <c r="F105" s="3" t="str">
        <f>INDEX(Product_Category!$B$2:$B$45,MATCH(TRIM(E105),Product_Category!$A$2:$A$45,0))</f>
        <v>Cereals &amp; Grains</v>
      </c>
      <c r="G105" s="4">
        <v>6.35</v>
      </c>
      <c r="H105" s="4">
        <v>9.26</v>
      </c>
      <c r="I105" s="4">
        <v>12.97</v>
      </c>
      <c r="J105" s="4">
        <v>5009.41</v>
      </c>
      <c r="K105" s="4">
        <v>8449.77</v>
      </c>
      <c r="L105" s="4">
        <v>10972.62</v>
      </c>
      <c r="M105" s="4">
        <f t="shared" si="3"/>
        <v>2.91</v>
      </c>
      <c r="N105" s="4">
        <f t="shared" si="4"/>
        <v>3440.3600000000006</v>
      </c>
      <c r="O105" s="4">
        <f t="shared" si="5"/>
        <v>3.7100000000000009</v>
      </c>
      <c r="P105" s="3" t="s">
        <v>19</v>
      </c>
    </row>
    <row r="106" spans="1:16" x14ac:dyDescent="0.35">
      <c r="A106" s="3" t="s">
        <v>40</v>
      </c>
      <c r="B106" s="3" t="str">
        <f>INDEX(State_Region!$B$2:$B$26,MATCH(TRIM(A106),State_Region!$A$2:$A$26,0))</f>
        <v>South</v>
      </c>
      <c r="C106" s="3" t="s">
        <v>107</v>
      </c>
      <c r="D106" s="3" t="str">
        <f>INDEX(Port_Type!$B$2:$B$227,MATCH(TRIM(C106),Port_Type!$A$2:$A$227,0))</f>
        <v>Sea Port</v>
      </c>
      <c r="E106" s="3" t="s">
        <v>54</v>
      </c>
      <c r="F106" s="3" t="str">
        <f>INDEX(Product_Category!$B$2:$B$45,MATCH(TRIM(E106),Product_Category!$A$2:$A$45,0))</f>
        <v>Processed Foods</v>
      </c>
      <c r="G106" s="4">
        <v>67</v>
      </c>
      <c r="H106" s="4">
        <v>53.1</v>
      </c>
      <c r="I106" s="4">
        <v>12.83</v>
      </c>
      <c r="J106" s="4">
        <v>67115.92</v>
      </c>
      <c r="K106" s="4">
        <v>69910.63</v>
      </c>
      <c r="L106" s="4">
        <v>19487.009999999998</v>
      </c>
      <c r="M106" s="4">
        <f t="shared" si="3"/>
        <v>-13.899999999999999</v>
      </c>
      <c r="N106" s="4">
        <f t="shared" si="4"/>
        <v>2794.7100000000064</v>
      </c>
      <c r="O106" s="4">
        <f t="shared" si="5"/>
        <v>-40.270000000000003</v>
      </c>
      <c r="P106" s="3" t="s">
        <v>19</v>
      </c>
    </row>
    <row r="107" spans="1:16" x14ac:dyDescent="0.35">
      <c r="A107" s="3" t="s">
        <v>16</v>
      </c>
      <c r="B107" s="3" t="str">
        <f>INDEX(State_Region!$B$2:$B$26,MATCH(TRIM(A107),State_Region!$A$2:$A$26,0))</f>
        <v>West</v>
      </c>
      <c r="C107" s="3" t="s">
        <v>52</v>
      </c>
      <c r="D107" s="3" t="str">
        <f>INDEX(Port_Type!$B$2:$B$227,MATCH(TRIM(C107),Port_Type!$A$2:$A$227,0))</f>
        <v>Sea Port</v>
      </c>
      <c r="E107" s="3" t="s">
        <v>33</v>
      </c>
      <c r="F107" s="3" t="str">
        <f>INDEX(Product_Category!$B$2:$B$45,MATCH(TRIM(E107),Product_Category!$A$2:$A$45,0))</f>
        <v>Pulses</v>
      </c>
      <c r="G107" s="4">
        <v>0.36</v>
      </c>
      <c r="H107" s="4">
        <v>11.07</v>
      </c>
      <c r="I107" s="4">
        <v>12.7</v>
      </c>
      <c r="J107" s="4">
        <v>254.35</v>
      </c>
      <c r="K107" s="4">
        <v>10816.04</v>
      </c>
      <c r="L107" s="4">
        <v>12511.15</v>
      </c>
      <c r="M107" s="4">
        <f t="shared" si="3"/>
        <v>10.71</v>
      </c>
      <c r="N107" s="4">
        <f t="shared" si="4"/>
        <v>10561.69</v>
      </c>
      <c r="O107" s="4">
        <f t="shared" si="5"/>
        <v>1.629999999999999</v>
      </c>
      <c r="P107" s="3" t="s">
        <v>19</v>
      </c>
    </row>
    <row r="108" spans="1:16" x14ac:dyDescent="0.35">
      <c r="A108" s="3" t="s">
        <v>16</v>
      </c>
      <c r="B108" s="3" t="str">
        <f>INDEX(State_Region!$B$2:$B$26,MATCH(TRIM(A108),State_Region!$A$2:$A$26,0))</f>
        <v>West</v>
      </c>
      <c r="C108" s="3" t="s">
        <v>105</v>
      </c>
      <c r="D108" s="3" t="str">
        <f>INDEX(Port_Type!$B$2:$B$227,MATCH(TRIM(C108),Port_Type!$A$2:$A$227,0))</f>
        <v>SEZ / EPZ</v>
      </c>
      <c r="E108" s="3" t="s">
        <v>48</v>
      </c>
      <c r="F108" s="3" t="str">
        <f>INDEX(Product_Category!$B$2:$B$45,MATCH(TRIM(E108),Product_Category!$A$2:$A$45,0))</f>
        <v>Processed Foods</v>
      </c>
      <c r="G108" s="4">
        <v>39.69</v>
      </c>
      <c r="H108" s="4">
        <v>32.82</v>
      </c>
      <c r="I108" s="4">
        <v>12.57</v>
      </c>
      <c r="J108" s="4">
        <v>9564.17</v>
      </c>
      <c r="K108" s="4">
        <v>12827.51</v>
      </c>
      <c r="L108" s="4">
        <v>4641.2700000000004</v>
      </c>
      <c r="M108" s="4">
        <f t="shared" si="3"/>
        <v>-6.8699999999999974</v>
      </c>
      <c r="N108" s="4">
        <f t="shared" si="4"/>
        <v>3263.34</v>
      </c>
      <c r="O108" s="4">
        <f t="shared" si="5"/>
        <v>-20.25</v>
      </c>
      <c r="P108" s="3" t="s">
        <v>19</v>
      </c>
    </row>
    <row r="109" spans="1:16" x14ac:dyDescent="0.35">
      <c r="A109" s="3" t="s">
        <v>16</v>
      </c>
      <c r="B109" s="3" t="str">
        <f>INDEX(State_Region!$B$2:$B$26,MATCH(TRIM(A109),State_Region!$A$2:$A$26,0))</f>
        <v>West</v>
      </c>
      <c r="C109" s="3" t="s">
        <v>109</v>
      </c>
      <c r="D109" s="3" t="str">
        <f>INDEX(Port_Type!$B$2:$B$227,MATCH(TRIM(C109),Port_Type!$A$2:$A$227,0))</f>
        <v>SEZ / EPZ</v>
      </c>
      <c r="E109" s="3" t="s">
        <v>27</v>
      </c>
      <c r="F109" s="3" t="str">
        <f>INDEX(Product_Category!$B$2:$B$45,MATCH(TRIM(E109),Product_Category!$A$2:$A$45,0))</f>
        <v>Cereals &amp; Grains</v>
      </c>
      <c r="G109" s="4">
        <v>37.68</v>
      </c>
      <c r="H109" s="4">
        <v>80.180000000000007</v>
      </c>
      <c r="I109" s="4">
        <v>12.54</v>
      </c>
      <c r="J109" s="4">
        <v>91635.15</v>
      </c>
      <c r="K109" s="4">
        <v>217731.95</v>
      </c>
      <c r="L109" s="4">
        <v>35884.51</v>
      </c>
      <c r="M109" s="4">
        <f t="shared" si="3"/>
        <v>42.500000000000007</v>
      </c>
      <c r="N109" s="4">
        <f t="shared" si="4"/>
        <v>126096.80000000002</v>
      </c>
      <c r="O109" s="4">
        <f t="shared" si="5"/>
        <v>-67.640000000000015</v>
      </c>
      <c r="P109" s="3" t="s">
        <v>19</v>
      </c>
    </row>
    <row r="110" spans="1:16" x14ac:dyDescent="0.35">
      <c r="A110" s="3" t="s">
        <v>20</v>
      </c>
      <c r="B110" s="3" t="str">
        <f>INDEX(State_Region!$B$2:$B$26,MATCH(TRIM(A110),State_Region!$A$2:$A$26,0))</f>
        <v>West</v>
      </c>
      <c r="C110" s="3" t="s">
        <v>68</v>
      </c>
      <c r="D110" s="3" t="str">
        <f>INDEX(Port_Type!$B$2:$B$227,MATCH(TRIM(C110),Port_Type!$A$2:$A$227,0))</f>
        <v>Air Cargo</v>
      </c>
      <c r="E110" s="3" t="s">
        <v>39</v>
      </c>
      <c r="F110" s="3" t="str">
        <f>INDEX(Product_Category!$B$2:$B$45,MATCH(TRIM(E110),Product_Category!$A$2:$A$45,0))</f>
        <v>Processed Foods</v>
      </c>
      <c r="G110" s="4">
        <v>18.79</v>
      </c>
      <c r="H110" s="4">
        <v>28.19</v>
      </c>
      <c r="I110" s="4">
        <v>12.53</v>
      </c>
      <c r="J110" s="4">
        <v>703.56</v>
      </c>
      <c r="K110" s="4">
        <v>1011.44</v>
      </c>
      <c r="L110" s="4">
        <v>369.32</v>
      </c>
      <c r="M110" s="4">
        <f t="shared" si="3"/>
        <v>9.4000000000000021</v>
      </c>
      <c r="N110" s="4">
        <f t="shared" si="4"/>
        <v>307.88000000000011</v>
      </c>
      <c r="O110" s="4">
        <f t="shared" si="5"/>
        <v>-15.660000000000002</v>
      </c>
      <c r="P110" s="3" t="s">
        <v>19</v>
      </c>
    </row>
    <row r="111" spans="1:16" x14ac:dyDescent="0.35">
      <c r="A111" s="3" t="s">
        <v>79</v>
      </c>
      <c r="B111" s="3" t="str">
        <f>INDEX(State_Region!$B$2:$B$26,MATCH(TRIM(A111),State_Region!$A$2:$A$26,0))</f>
        <v>South</v>
      </c>
      <c r="C111" s="3" t="s">
        <v>91</v>
      </c>
      <c r="D111" s="3" t="str">
        <f>INDEX(Port_Type!$B$2:$B$227,MATCH(TRIM(C111),Port_Type!$A$2:$A$227,0))</f>
        <v>Sea Port</v>
      </c>
      <c r="E111" s="3" t="s">
        <v>81</v>
      </c>
      <c r="F111" s="3" t="str">
        <f>INDEX(Product_Category!$B$2:$B$45,MATCH(TRIM(E111),Product_Category!$A$2:$A$45,0))</f>
        <v>Processed Foods</v>
      </c>
      <c r="G111" s="4">
        <v>53.03</v>
      </c>
      <c r="H111" s="4">
        <v>52.96</v>
      </c>
      <c r="I111" s="4">
        <v>12.51</v>
      </c>
      <c r="J111" s="4">
        <v>54469.62</v>
      </c>
      <c r="K111" s="4">
        <v>57929.96</v>
      </c>
      <c r="L111" s="4">
        <v>14162</v>
      </c>
      <c r="M111" s="4">
        <f t="shared" si="3"/>
        <v>-7.0000000000000284E-2</v>
      </c>
      <c r="N111" s="4">
        <f t="shared" si="4"/>
        <v>3460.3399999999965</v>
      </c>
      <c r="O111" s="4">
        <f t="shared" si="5"/>
        <v>-40.450000000000003</v>
      </c>
      <c r="P111" s="3" t="s">
        <v>19</v>
      </c>
    </row>
    <row r="112" spans="1:16" x14ac:dyDescent="0.35">
      <c r="A112" s="3" t="s">
        <v>40</v>
      </c>
      <c r="B112" s="3" t="str">
        <f>INDEX(State_Region!$B$2:$B$26,MATCH(TRIM(A112),State_Region!$A$2:$A$26,0))</f>
        <v>South</v>
      </c>
      <c r="C112" s="3" t="s">
        <v>85</v>
      </c>
      <c r="D112" s="3" t="str">
        <f>INDEX(Port_Type!$B$2:$B$227,MATCH(TRIM(C112),Port_Type!$A$2:$A$227,0))</f>
        <v>Sea Port</v>
      </c>
      <c r="E112" s="3" t="s">
        <v>110</v>
      </c>
      <c r="F112" s="3" t="str">
        <f>INDEX(Product_Category!$B$2:$B$45,MATCH(TRIM(E112),Product_Category!$A$2:$A$45,0))</f>
        <v>Dairy, Poultry &amp; Honey</v>
      </c>
      <c r="G112" s="4">
        <v>60.94</v>
      </c>
      <c r="H112" s="4">
        <v>55.81</v>
      </c>
      <c r="I112" s="4">
        <v>12.38</v>
      </c>
      <c r="J112" s="4">
        <v>803379.95</v>
      </c>
      <c r="K112" s="4">
        <v>730592.58</v>
      </c>
      <c r="L112" s="4">
        <v>165734.98000000001</v>
      </c>
      <c r="M112" s="4">
        <f t="shared" si="3"/>
        <v>-5.1299999999999955</v>
      </c>
      <c r="N112" s="4">
        <f t="shared" si="4"/>
        <v>-72787.37</v>
      </c>
      <c r="O112" s="4">
        <f t="shared" si="5"/>
        <v>-43.43</v>
      </c>
      <c r="P112" s="3" t="s">
        <v>19</v>
      </c>
    </row>
    <row r="113" spans="1:16" x14ac:dyDescent="0.35">
      <c r="A113" s="3" t="s">
        <v>20</v>
      </c>
      <c r="B113" s="3" t="str">
        <f>INDEX(State_Region!$B$2:$B$26,MATCH(TRIM(A113),State_Region!$A$2:$A$26,0))</f>
        <v>West</v>
      </c>
      <c r="C113" s="3" t="s">
        <v>68</v>
      </c>
      <c r="D113" s="3" t="str">
        <f>INDEX(Port_Type!$B$2:$B$227,MATCH(TRIM(C113),Port_Type!$A$2:$A$227,0))</f>
        <v>Air Cargo</v>
      </c>
      <c r="E113" s="3" t="s">
        <v>93</v>
      </c>
      <c r="F113" s="3" t="str">
        <f>INDEX(Product_Category!$B$2:$B$45,MATCH(TRIM(E113),Product_Category!$A$2:$A$45,0))</f>
        <v>Meat &amp; Animal Products</v>
      </c>
      <c r="G113" s="4">
        <v>21.63</v>
      </c>
      <c r="H113" s="4">
        <v>35.700000000000003</v>
      </c>
      <c r="I113" s="4">
        <v>12.34</v>
      </c>
      <c r="J113" s="4">
        <v>2765.43</v>
      </c>
      <c r="K113" s="4">
        <v>4327.1400000000003</v>
      </c>
      <c r="L113" s="4">
        <v>1532.78</v>
      </c>
      <c r="M113" s="4">
        <f t="shared" si="3"/>
        <v>14.070000000000004</v>
      </c>
      <c r="N113" s="4">
        <f t="shared" si="4"/>
        <v>1561.7100000000005</v>
      </c>
      <c r="O113" s="4">
        <f t="shared" si="5"/>
        <v>-23.360000000000003</v>
      </c>
      <c r="P113" s="3" t="s">
        <v>19</v>
      </c>
    </row>
    <row r="114" spans="1:16" x14ac:dyDescent="0.35">
      <c r="A114" s="3" t="s">
        <v>40</v>
      </c>
      <c r="B114" s="3" t="str">
        <f>INDEX(State_Region!$B$2:$B$26,MATCH(TRIM(A114),State_Region!$A$2:$A$26,0))</f>
        <v>South</v>
      </c>
      <c r="C114" s="3" t="s">
        <v>64</v>
      </c>
      <c r="D114" s="3" t="str">
        <f>INDEX(Port_Type!$B$2:$B$227,MATCH(TRIM(C114),Port_Type!$A$2:$A$227,0))</f>
        <v>Inland ICD / CFS</v>
      </c>
      <c r="E114" s="3" t="s">
        <v>51</v>
      </c>
      <c r="F114" s="3" t="str">
        <f>INDEX(Product_Category!$B$2:$B$45,MATCH(TRIM(E114),Product_Category!$A$2:$A$45,0))</f>
        <v>Nuts &amp; Oilseeds</v>
      </c>
      <c r="G114" s="4">
        <v>68.77</v>
      </c>
      <c r="H114" s="4">
        <v>24.2</v>
      </c>
      <c r="I114" s="4">
        <v>12.16</v>
      </c>
      <c r="J114" s="4">
        <v>52665.75</v>
      </c>
      <c r="K114" s="4">
        <v>20869.439999999999</v>
      </c>
      <c r="L114" s="4">
        <v>8776.6</v>
      </c>
      <c r="M114" s="4">
        <f t="shared" si="3"/>
        <v>-44.569999999999993</v>
      </c>
      <c r="N114" s="4">
        <f t="shared" si="4"/>
        <v>-31796.31</v>
      </c>
      <c r="O114" s="4">
        <f t="shared" si="5"/>
        <v>-12.04</v>
      </c>
      <c r="P114" s="3" t="s">
        <v>19</v>
      </c>
    </row>
    <row r="115" spans="1:16" x14ac:dyDescent="0.35">
      <c r="A115" s="3" t="s">
        <v>20</v>
      </c>
      <c r="B115" s="3" t="str">
        <f>INDEX(State_Region!$B$2:$B$26,MATCH(TRIM(A115),State_Region!$A$2:$A$26,0))</f>
        <v>West</v>
      </c>
      <c r="C115" s="3" t="s">
        <v>111</v>
      </c>
      <c r="D115" s="3" t="str">
        <f>INDEX(Port_Type!$B$2:$B$227,MATCH(TRIM(C115),Port_Type!$A$2:$A$227,0))</f>
        <v>Inland ICD / CFS</v>
      </c>
      <c r="E115" s="3" t="s">
        <v>27</v>
      </c>
      <c r="F115" s="3" t="str">
        <f>INDEX(Product_Category!$B$2:$B$45,MATCH(TRIM(E115),Product_Category!$A$2:$A$45,0))</f>
        <v>Cereals &amp; Grains</v>
      </c>
      <c r="G115" s="4">
        <v>137.74</v>
      </c>
      <c r="H115" s="4">
        <v>25.49</v>
      </c>
      <c r="I115" s="4">
        <v>12.09</v>
      </c>
      <c r="J115" s="4">
        <v>345569.53</v>
      </c>
      <c r="K115" s="4">
        <v>66867.39</v>
      </c>
      <c r="L115" s="4">
        <v>33368.99</v>
      </c>
      <c r="M115" s="4">
        <f t="shared" si="3"/>
        <v>-112.25000000000001</v>
      </c>
      <c r="N115" s="4">
        <f t="shared" si="4"/>
        <v>-278702.14</v>
      </c>
      <c r="O115" s="4">
        <f t="shared" si="5"/>
        <v>-13.399999999999999</v>
      </c>
      <c r="P115" s="3" t="s">
        <v>19</v>
      </c>
    </row>
    <row r="116" spans="1:16" x14ac:dyDescent="0.35">
      <c r="A116" s="3" t="s">
        <v>35</v>
      </c>
      <c r="B116" s="3" t="str">
        <f>INDEX(State_Region!$B$2:$B$26,MATCH(TRIM(A116),State_Region!$A$2:$A$26,0))</f>
        <v>North</v>
      </c>
      <c r="C116" s="3" t="s">
        <v>38</v>
      </c>
      <c r="D116" s="3" t="str">
        <f>INDEX(Port_Type!$B$2:$B$227,MATCH(TRIM(C116),Port_Type!$A$2:$A$227,0))</f>
        <v>Inland ICD / CFS</v>
      </c>
      <c r="E116" s="3" t="s">
        <v>27</v>
      </c>
      <c r="F116" s="3" t="str">
        <f>INDEX(Product_Category!$B$2:$B$45,MATCH(TRIM(E116),Product_Category!$A$2:$A$45,0))</f>
        <v>Cereals &amp; Grains</v>
      </c>
      <c r="G116" s="4">
        <v>48.63</v>
      </c>
      <c r="H116" s="4">
        <v>48.01</v>
      </c>
      <c r="I116" s="4">
        <v>11.99</v>
      </c>
      <c r="J116" s="4">
        <v>71818.600000000006</v>
      </c>
      <c r="K116" s="4">
        <v>70584.12</v>
      </c>
      <c r="L116" s="4">
        <v>17976.349999999999</v>
      </c>
      <c r="M116" s="4">
        <f t="shared" si="3"/>
        <v>-0.62000000000000455</v>
      </c>
      <c r="N116" s="4">
        <f t="shared" si="4"/>
        <v>-1234.4800000000105</v>
      </c>
      <c r="O116" s="4">
        <f t="shared" si="5"/>
        <v>-36.019999999999996</v>
      </c>
      <c r="P116" s="3" t="s">
        <v>19</v>
      </c>
    </row>
    <row r="117" spans="1:16" x14ac:dyDescent="0.35">
      <c r="A117" s="3" t="s">
        <v>20</v>
      </c>
      <c r="B117" s="3" t="str">
        <f>INDEX(State_Region!$B$2:$B$26,MATCH(TRIM(A117),State_Region!$A$2:$A$26,0))</f>
        <v>West</v>
      </c>
      <c r="C117" s="3" t="s">
        <v>21</v>
      </c>
      <c r="D117" s="3" t="str">
        <f>INDEX(Port_Type!$B$2:$B$227,MATCH(TRIM(C117),Port_Type!$A$2:$A$227,0))</f>
        <v>Sea Port</v>
      </c>
      <c r="E117" s="3" t="s">
        <v>83</v>
      </c>
      <c r="F117" s="3" t="str">
        <f>INDEX(Product_Category!$B$2:$B$45,MATCH(TRIM(E117),Product_Category!$A$2:$A$45,0))</f>
        <v>Fresh Fruits &amp; Vegetables</v>
      </c>
      <c r="G117" s="4">
        <v>76.41</v>
      </c>
      <c r="H117" s="4">
        <v>79.89</v>
      </c>
      <c r="I117" s="4">
        <v>11.97</v>
      </c>
      <c r="J117" s="4">
        <v>50877.85</v>
      </c>
      <c r="K117" s="4">
        <v>39788.870000000003</v>
      </c>
      <c r="L117" s="4">
        <v>6110.73</v>
      </c>
      <c r="M117" s="4">
        <f t="shared" si="3"/>
        <v>3.480000000000004</v>
      </c>
      <c r="N117" s="4">
        <f t="shared" si="4"/>
        <v>-11088.979999999996</v>
      </c>
      <c r="O117" s="4">
        <f t="shared" si="5"/>
        <v>-67.92</v>
      </c>
      <c r="P117" s="3" t="s">
        <v>19</v>
      </c>
    </row>
    <row r="118" spans="1:16" x14ac:dyDescent="0.35">
      <c r="A118" s="3" t="s">
        <v>94</v>
      </c>
      <c r="B118" s="3" t="str">
        <f>INDEX(State_Region!$B$2:$B$26,MATCH(TRIM(A118),State_Region!$A$2:$A$26,0))</f>
        <v>East</v>
      </c>
      <c r="C118" s="3" t="s">
        <v>112</v>
      </c>
      <c r="D118" s="3" t="str">
        <f>INDEX(Port_Type!$B$2:$B$227,MATCH(TRIM(C118),Port_Type!$A$2:$A$227,0))</f>
        <v>Land Border / Rail</v>
      </c>
      <c r="E118" s="3" t="s">
        <v>113</v>
      </c>
      <c r="F118" s="3" t="str">
        <f>INDEX(Product_Category!$B$2:$B$45,MATCH(TRIM(E118),Product_Category!$A$2:$A$45,0))</f>
        <v>Cereals &amp; Grains</v>
      </c>
      <c r="G118" s="4">
        <v>13.75</v>
      </c>
      <c r="H118" s="4">
        <v>1.44</v>
      </c>
      <c r="I118" s="4">
        <v>11.96</v>
      </c>
      <c r="J118" s="4">
        <v>47274.559999999998</v>
      </c>
      <c r="K118" s="4">
        <v>4483.41</v>
      </c>
      <c r="L118" s="4">
        <v>45192.58</v>
      </c>
      <c r="M118" s="4">
        <f t="shared" si="3"/>
        <v>-12.31</v>
      </c>
      <c r="N118" s="4">
        <f t="shared" si="4"/>
        <v>-42791.149999999994</v>
      </c>
      <c r="O118" s="4">
        <f t="shared" si="5"/>
        <v>10.520000000000001</v>
      </c>
      <c r="P118" s="3" t="s">
        <v>19</v>
      </c>
    </row>
    <row r="119" spans="1:16" x14ac:dyDescent="0.35">
      <c r="A119" s="3" t="s">
        <v>77</v>
      </c>
      <c r="B119" s="3" t="str">
        <f>INDEX(State_Region!$B$2:$B$26,MATCH(TRIM(A119),State_Region!$A$2:$A$26,0))</f>
        <v>South</v>
      </c>
      <c r="C119" s="3" t="s">
        <v>78</v>
      </c>
      <c r="D119" s="3" t="str">
        <f>INDEX(Port_Type!$B$2:$B$227,MATCH(TRIM(C119),Port_Type!$A$2:$A$227,0))</f>
        <v>Sea Port</v>
      </c>
      <c r="E119" s="3" t="s">
        <v>54</v>
      </c>
      <c r="F119" s="3" t="str">
        <f>INDEX(Product_Category!$B$2:$B$45,MATCH(TRIM(E119),Product_Category!$A$2:$A$45,0))</f>
        <v>Processed Foods</v>
      </c>
      <c r="G119" s="4">
        <v>18.190000000000001</v>
      </c>
      <c r="H119" s="4">
        <v>37.299999999999997</v>
      </c>
      <c r="I119" s="4">
        <v>11.87</v>
      </c>
      <c r="J119" s="4">
        <v>8566.2999999999993</v>
      </c>
      <c r="K119" s="4">
        <v>14820.36</v>
      </c>
      <c r="L119" s="4">
        <v>4443.5200000000004</v>
      </c>
      <c r="M119" s="4">
        <f t="shared" si="3"/>
        <v>19.109999999999996</v>
      </c>
      <c r="N119" s="4">
        <f t="shared" si="4"/>
        <v>6254.0600000000013</v>
      </c>
      <c r="O119" s="4">
        <f t="shared" si="5"/>
        <v>-25.43</v>
      </c>
      <c r="P119" s="3" t="s">
        <v>19</v>
      </c>
    </row>
    <row r="120" spans="1:16" x14ac:dyDescent="0.35">
      <c r="A120" s="3" t="s">
        <v>77</v>
      </c>
      <c r="B120" s="3" t="str">
        <f>INDEX(State_Region!$B$2:$B$26,MATCH(TRIM(A120),State_Region!$A$2:$A$26,0))</f>
        <v>South</v>
      </c>
      <c r="C120" s="3" t="s">
        <v>78</v>
      </c>
      <c r="D120" s="3" t="str">
        <f>INDEX(Port_Type!$B$2:$B$227,MATCH(TRIM(C120),Port_Type!$A$2:$A$227,0))</f>
        <v>Sea Port</v>
      </c>
      <c r="E120" s="3" t="s">
        <v>110</v>
      </c>
      <c r="F120" s="3" t="str">
        <f>INDEX(Product_Category!$B$2:$B$45,MATCH(TRIM(E120),Product_Category!$A$2:$A$45,0))</f>
        <v>Dairy, Poultry &amp; Honey</v>
      </c>
      <c r="G120" s="4">
        <v>28.51</v>
      </c>
      <c r="H120" s="4">
        <v>124.38</v>
      </c>
      <c r="I120" s="4">
        <v>11.86</v>
      </c>
      <c r="J120" s="4">
        <v>365871.02</v>
      </c>
      <c r="K120" s="4">
        <v>1588068.39</v>
      </c>
      <c r="L120" s="4">
        <v>166062.6</v>
      </c>
      <c r="M120" s="4">
        <f t="shared" si="3"/>
        <v>95.86999999999999</v>
      </c>
      <c r="N120" s="4">
        <f t="shared" si="4"/>
        <v>1222197.3699999999</v>
      </c>
      <c r="O120" s="4">
        <f t="shared" si="5"/>
        <v>-112.52</v>
      </c>
      <c r="P120" s="3" t="s">
        <v>19</v>
      </c>
    </row>
    <row r="121" spans="1:16" x14ac:dyDescent="0.35">
      <c r="A121" s="3" t="s">
        <v>20</v>
      </c>
      <c r="B121" s="3" t="str">
        <f>INDEX(State_Region!$B$2:$B$26,MATCH(TRIM(A121),State_Region!$A$2:$A$26,0))</f>
        <v>West</v>
      </c>
      <c r="C121" s="3" t="s">
        <v>21</v>
      </c>
      <c r="D121" s="3" t="str">
        <f>INDEX(Port_Type!$B$2:$B$227,MATCH(TRIM(C121),Port_Type!$A$2:$A$227,0))</f>
        <v>Sea Port</v>
      </c>
      <c r="E121" s="3" t="s">
        <v>114</v>
      </c>
      <c r="F121" s="3" t="str">
        <f>INDEX(Product_Category!$B$2:$B$45,MATCH(TRIM(E121),Product_Category!$A$2:$A$45,0))</f>
        <v>Dairy, Poultry &amp; Honey</v>
      </c>
      <c r="G121" s="4">
        <v>3.13</v>
      </c>
      <c r="H121" s="4">
        <v>13.56</v>
      </c>
      <c r="I121" s="4">
        <v>11.68</v>
      </c>
      <c r="J121" s="4">
        <v>352.2</v>
      </c>
      <c r="K121" s="4">
        <v>2044.88</v>
      </c>
      <c r="L121" s="4">
        <v>1865.11</v>
      </c>
      <c r="M121" s="4">
        <f t="shared" si="3"/>
        <v>10.43</v>
      </c>
      <c r="N121" s="4">
        <f t="shared" si="4"/>
        <v>1692.68</v>
      </c>
      <c r="O121" s="4">
        <f t="shared" si="5"/>
        <v>-1.8800000000000008</v>
      </c>
      <c r="P121" s="3" t="s">
        <v>19</v>
      </c>
    </row>
    <row r="122" spans="1:16" x14ac:dyDescent="0.35">
      <c r="A122" s="3" t="s">
        <v>20</v>
      </c>
      <c r="B122" s="3" t="str">
        <f>INDEX(State_Region!$B$2:$B$26,MATCH(TRIM(A122),State_Region!$A$2:$A$26,0))</f>
        <v>West</v>
      </c>
      <c r="C122" s="3" t="s">
        <v>21</v>
      </c>
      <c r="D122" s="3" t="str">
        <f>INDEX(Port_Type!$B$2:$B$227,MATCH(TRIM(C122),Port_Type!$A$2:$A$227,0))</f>
        <v>Sea Port</v>
      </c>
      <c r="E122" s="3" t="s">
        <v>102</v>
      </c>
      <c r="F122" s="3" t="str">
        <f>INDEX(Product_Category!$B$2:$B$45,MATCH(TRIM(E122),Product_Category!$A$2:$A$45,0))</f>
        <v>Fresh Fruits &amp; Vegetables</v>
      </c>
      <c r="G122" s="4">
        <v>58.8</v>
      </c>
      <c r="H122" s="4">
        <v>57.09</v>
      </c>
      <c r="I122" s="4">
        <v>11.67</v>
      </c>
      <c r="J122" s="4">
        <v>85714.33</v>
      </c>
      <c r="K122" s="4">
        <v>82387.929999999993</v>
      </c>
      <c r="L122" s="4">
        <v>18144.22</v>
      </c>
      <c r="M122" s="4">
        <f t="shared" si="3"/>
        <v>-1.7099999999999937</v>
      </c>
      <c r="N122" s="4">
        <f t="shared" si="4"/>
        <v>-3326.4000000000087</v>
      </c>
      <c r="O122" s="4">
        <f t="shared" si="5"/>
        <v>-45.42</v>
      </c>
      <c r="P122" s="3" t="s">
        <v>19</v>
      </c>
    </row>
    <row r="123" spans="1:16" x14ac:dyDescent="0.35">
      <c r="A123" s="3" t="s">
        <v>16</v>
      </c>
      <c r="B123" s="3" t="str">
        <f>INDEX(State_Region!$B$2:$B$26,MATCH(TRIM(A123),State_Region!$A$2:$A$26,0))</f>
        <v>West</v>
      </c>
      <c r="C123" s="3" t="s">
        <v>17</v>
      </c>
      <c r="D123" s="3" t="str">
        <f>INDEX(Port_Type!$B$2:$B$227,MATCH(TRIM(C123),Port_Type!$A$2:$A$227,0))</f>
        <v>Sea Port</v>
      </c>
      <c r="E123" s="3" t="s">
        <v>65</v>
      </c>
      <c r="F123" s="3" t="str">
        <f>INDEX(Product_Category!$B$2:$B$45,MATCH(TRIM(E123),Product_Category!$A$2:$A$45,0))</f>
        <v>Cereals &amp; Grains</v>
      </c>
      <c r="G123" s="4">
        <v>24.14</v>
      </c>
      <c r="H123" s="4">
        <v>21.86</v>
      </c>
      <c r="I123" s="4">
        <v>11.56</v>
      </c>
      <c r="J123" s="4">
        <v>36895.589999999997</v>
      </c>
      <c r="K123" s="4">
        <v>36588.53</v>
      </c>
      <c r="L123" s="4">
        <v>21430.19</v>
      </c>
      <c r="M123" s="4">
        <f t="shared" si="3"/>
        <v>-2.2800000000000011</v>
      </c>
      <c r="N123" s="4">
        <f t="shared" si="4"/>
        <v>-307.05999999999767</v>
      </c>
      <c r="O123" s="4">
        <f t="shared" si="5"/>
        <v>-10.299999999999999</v>
      </c>
      <c r="P123" s="3" t="s">
        <v>19</v>
      </c>
    </row>
    <row r="124" spans="1:16" x14ac:dyDescent="0.35">
      <c r="A124" s="3" t="s">
        <v>66</v>
      </c>
      <c r="B124" s="3" t="str">
        <f>INDEX(State_Region!$B$2:$B$26,MATCH(TRIM(A124),State_Region!$A$2:$A$26,0))</f>
        <v>North</v>
      </c>
      <c r="C124" s="3" t="s">
        <v>71</v>
      </c>
      <c r="D124" s="3" t="str">
        <f>INDEX(Port_Type!$B$2:$B$227,MATCH(TRIM(C124),Port_Type!$A$2:$A$227,0))</f>
        <v>Inland ICD / CFS</v>
      </c>
      <c r="E124" s="3" t="s">
        <v>60</v>
      </c>
      <c r="F124" s="3" t="str">
        <f>INDEX(Product_Category!$B$2:$B$45,MATCH(TRIM(E124),Product_Category!$A$2:$A$45,0))</f>
        <v>Processed Foods</v>
      </c>
      <c r="G124" s="4">
        <v>15.46</v>
      </c>
      <c r="H124" s="4">
        <v>16.97</v>
      </c>
      <c r="I124" s="4">
        <v>11.46</v>
      </c>
      <c r="J124" s="4">
        <v>15169.76</v>
      </c>
      <c r="K124" s="4">
        <v>12421.19</v>
      </c>
      <c r="L124" s="4">
        <v>10488.79</v>
      </c>
      <c r="M124" s="4">
        <f t="shared" si="3"/>
        <v>1.509999999999998</v>
      </c>
      <c r="N124" s="4">
        <f t="shared" si="4"/>
        <v>-2748.5699999999997</v>
      </c>
      <c r="O124" s="4">
        <f t="shared" si="5"/>
        <v>-5.509999999999998</v>
      </c>
      <c r="P124" s="3" t="s">
        <v>19</v>
      </c>
    </row>
    <row r="125" spans="1:16" x14ac:dyDescent="0.35">
      <c r="A125" s="3" t="s">
        <v>16</v>
      </c>
      <c r="B125" s="3" t="str">
        <f>INDEX(State_Region!$B$2:$B$26,MATCH(TRIM(A125),State_Region!$A$2:$A$26,0))</f>
        <v>West</v>
      </c>
      <c r="C125" s="3" t="s">
        <v>115</v>
      </c>
      <c r="D125" s="3" t="str">
        <f>INDEX(Port_Type!$B$2:$B$227,MATCH(TRIM(C125),Port_Type!$A$2:$A$227,0))</f>
        <v>Inland ICD / CFS</v>
      </c>
      <c r="E125" s="3" t="s">
        <v>42</v>
      </c>
      <c r="F125" s="3" t="str">
        <f>INDEX(Product_Category!$B$2:$B$45,MATCH(TRIM(E125),Product_Category!$A$2:$A$45,0))</f>
        <v>Processed Foods</v>
      </c>
      <c r="G125" s="4">
        <v>93.21</v>
      </c>
      <c r="H125" s="4">
        <v>60.66</v>
      </c>
      <c r="I125" s="4">
        <v>11.1</v>
      </c>
      <c r="J125" s="4">
        <v>68304.240000000005</v>
      </c>
      <c r="K125" s="4">
        <v>58602.01</v>
      </c>
      <c r="L125" s="4">
        <v>11891.11</v>
      </c>
      <c r="M125" s="4">
        <f t="shared" si="3"/>
        <v>-32.549999999999997</v>
      </c>
      <c r="N125" s="4">
        <f t="shared" si="4"/>
        <v>-9702.2300000000032</v>
      </c>
      <c r="O125" s="4">
        <f t="shared" si="5"/>
        <v>-49.559999999999995</v>
      </c>
      <c r="P125" s="3" t="s">
        <v>19</v>
      </c>
    </row>
    <row r="126" spans="1:16" x14ac:dyDescent="0.35">
      <c r="A126" s="3" t="s">
        <v>31</v>
      </c>
      <c r="B126" s="3" t="str">
        <f>INDEX(State_Region!$B$2:$B$26,MATCH(TRIM(A126),State_Region!$A$2:$A$26,0))</f>
        <v>East</v>
      </c>
      <c r="C126" s="3" t="s">
        <v>32</v>
      </c>
      <c r="D126" s="3" t="str">
        <f>INDEX(Port_Type!$B$2:$B$227,MATCH(TRIM(C126),Port_Type!$A$2:$A$227,0))</f>
        <v>Sea Port</v>
      </c>
      <c r="E126" s="3" t="s">
        <v>22</v>
      </c>
      <c r="F126" s="3" t="str">
        <f>INDEX(Product_Category!$B$2:$B$45,MATCH(TRIM(E126),Product_Category!$A$2:$A$45,0))</f>
        <v>Meat &amp; Animal Products</v>
      </c>
      <c r="G126" s="4">
        <v>1.06</v>
      </c>
      <c r="H126" s="4">
        <v>37.340000000000003</v>
      </c>
      <c r="I126" s="4">
        <v>11.02</v>
      </c>
      <c r="J126" s="4">
        <v>365.37</v>
      </c>
      <c r="K126" s="4">
        <v>11107.42</v>
      </c>
      <c r="L126" s="4">
        <v>2463.48</v>
      </c>
      <c r="M126" s="4">
        <f t="shared" si="3"/>
        <v>36.28</v>
      </c>
      <c r="N126" s="4">
        <f t="shared" si="4"/>
        <v>10742.05</v>
      </c>
      <c r="O126" s="4">
        <f t="shared" si="5"/>
        <v>-26.320000000000004</v>
      </c>
      <c r="P126" s="3" t="s">
        <v>19</v>
      </c>
    </row>
    <row r="127" spans="1:16" x14ac:dyDescent="0.35">
      <c r="A127" s="3" t="s">
        <v>31</v>
      </c>
      <c r="B127" s="3" t="str">
        <f>INDEX(State_Region!$B$2:$B$26,MATCH(TRIM(A127),State_Region!$A$2:$A$26,0))</f>
        <v>East</v>
      </c>
      <c r="C127" s="3" t="s">
        <v>32</v>
      </c>
      <c r="D127" s="3" t="str">
        <f>INDEX(Port_Type!$B$2:$B$227,MATCH(TRIM(C127),Port_Type!$A$2:$A$227,0))</f>
        <v>Sea Port</v>
      </c>
      <c r="E127" s="3" t="s">
        <v>116</v>
      </c>
      <c r="F127" s="3" t="str">
        <f>INDEX(Product_Category!$B$2:$B$45,MATCH(TRIM(E127),Product_Category!$A$2:$A$45,0))</f>
        <v>Others</v>
      </c>
      <c r="G127" s="4">
        <v>22.96</v>
      </c>
      <c r="H127" s="4">
        <v>16.16</v>
      </c>
      <c r="I127" s="4">
        <v>10.91</v>
      </c>
      <c r="J127" s="4">
        <v>116803.64</v>
      </c>
      <c r="K127" s="4">
        <v>110381.09</v>
      </c>
      <c r="L127" s="4">
        <v>67008.160000000003</v>
      </c>
      <c r="M127" s="4">
        <f t="shared" si="3"/>
        <v>-6.8000000000000007</v>
      </c>
      <c r="N127" s="4">
        <f t="shared" si="4"/>
        <v>-6422.5500000000029</v>
      </c>
      <c r="O127" s="4">
        <f t="shared" si="5"/>
        <v>-5.25</v>
      </c>
      <c r="P127" s="3" t="s">
        <v>19</v>
      </c>
    </row>
    <row r="128" spans="1:16" x14ac:dyDescent="0.35">
      <c r="A128" s="3" t="s">
        <v>40</v>
      </c>
      <c r="B128" s="3" t="str">
        <f>INDEX(State_Region!$B$2:$B$26,MATCH(TRIM(A128),State_Region!$A$2:$A$26,0))</f>
        <v>South</v>
      </c>
      <c r="C128" s="3" t="s">
        <v>85</v>
      </c>
      <c r="D128" s="3" t="str">
        <f>INDEX(Port_Type!$B$2:$B$227,MATCH(TRIM(C128),Port_Type!$A$2:$A$227,0))</f>
        <v>Sea Port</v>
      </c>
      <c r="E128" s="3" t="s">
        <v>62</v>
      </c>
      <c r="F128" s="3" t="str">
        <f>INDEX(Product_Category!$B$2:$B$45,MATCH(TRIM(E128),Product_Category!$A$2:$A$45,0))</f>
        <v>Cereals &amp; Grains</v>
      </c>
      <c r="G128" s="4">
        <v>26.8</v>
      </c>
      <c r="H128" s="4">
        <v>1.56</v>
      </c>
      <c r="I128" s="4">
        <v>10.87</v>
      </c>
      <c r="J128" s="4">
        <v>89842.96</v>
      </c>
      <c r="K128" s="4">
        <v>6791.52</v>
      </c>
      <c r="L128" s="4">
        <v>47382</v>
      </c>
      <c r="M128" s="4">
        <f t="shared" si="3"/>
        <v>-25.240000000000002</v>
      </c>
      <c r="N128" s="4">
        <f t="shared" si="4"/>
        <v>-83051.44</v>
      </c>
      <c r="O128" s="4">
        <f t="shared" si="5"/>
        <v>9.3099999999999987</v>
      </c>
      <c r="P128" s="3" t="s">
        <v>19</v>
      </c>
    </row>
    <row r="129" spans="1:16" x14ac:dyDescent="0.35">
      <c r="A129" s="3" t="s">
        <v>40</v>
      </c>
      <c r="B129" s="3" t="str">
        <f>INDEX(State_Region!$B$2:$B$26,MATCH(TRIM(A129),State_Region!$A$2:$A$26,0))</f>
        <v>South</v>
      </c>
      <c r="C129" s="3" t="s">
        <v>117</v>
      </c>
      <c r="D129" s="3" t="str">
        <f>INDEX(Port_Type!$B$2:$B$227,MATCH(TRIM(C129),Port_Type!$A$2:$A$227,0))</f>
        <v>Sea Port</v>
      </c>
      <c r="E129" s="3" t="s">
        <v>51</v>
      </c>
      <c r="F129" s="3" t="str">
        <f>INDEX(Product_Category!$B$2:$B$45,MATCH(TRIM(E129),Product_Category!$A$2:$A$45,0))</f>
        <v>Nuts &amp; Oilseeds</v>
      </c>
      <c r="G129" s="4">
        <v>40.72</v>
      </c>
      <c r="H129" s="4">
        <v>11.17</v>
      </c>
      <c r="I129" s="4">
        <v>10.63</v>
      </c>
      <c r="J129" s="4">
        <v>30748.44</v>
      </c>
      <c r="K129" s="4">
        <v>9843.43</v>
      </c>
      <c r="L129" s="4">
        <v>8171.67</v>
      </c>
      <c r="M129" s="4">
        <f t="shared" si="3"/>
        <v>-29.549999999999997</v>
      </c>
      <c r="N129" s="4">
        <f t="shared" si="4"/>
        <v>-20905.009999999998</v>
      </c>
      <c r="O129" s="4">
        <f t="shared" si="5"/>
        <v>-0.53999999999999915</v>
      </c>
      <c r="P129" s="3" t="s">
        <v>19</v>
      </c>
    </row>
    <row r="130" spans="1:16" x14ac:dyDescent="0.35">
      <c r="A130" s="3" t="s">
        <v>35</v>
      </c>
      <c r="B130" s="3" t="str">
        <f>INDEX(State_Region!$B$2:$B$26,MATCH(TRIM(A130),State_Region!$A$2:$A$26,0))</f>
        <v>North</v>
      </c>
      <c r="C130" s="3" t="s">
        <v>37</v>
      </c>
      <c r="D130" s="3" t="str">
        <f>INDEX(Port_Type!$B$2:$B$227,MATCH(TRIM(C130),Port_Type!$A$2:$A$227,0))</f>
        <v>Inland ICD / CFS</v>
      </c>
      <c r="E130" s="3" t="s">
        <v>118</v>
      </c>
      <c r="F130" s="3" t="str">
        <f>INDEX(Product_Category!$B$2:$B$45,MATCH(TRIM(E130),Product_Category!$A$2:$A$45,0))</f>
        <v>Dairy, Poultry &amp; Honey</v>
      </c>
      <c r="G130" s="4">
        <v>18.45</v>
      </c>
      <c r="H130" s="4">
        <v>24.56</v>
      </c>
      <c r="I130" s="4">
        <v>10.46</v>
      </c>
      <c r="J130" s="4">
        <v>11760.5</v>
      </c>
      <c r="K130" s="4">
        <v>13039.56</v>
      </c>
      <c r="L130" s="4">
        <v>6667.84</v>
      </c>
      <c r="M130" s="4">
        <f t="shared" ref="M130:M193" si="6">H130-G130</f>
        <v>6.1099999999999994</v>
      </c>
      <c r="N130" s="4">
        <f t="shared" ref="N130:N193" si="7">K130-J130</f>
        <v>1279.0599999999995</v>
      </c>
      <c r="O130" s="4">
        <f t="shared" ref="O130:O193" si="8">I130-H130</f>
        <v>-14.099999999999998</v>
      </c>
      <c r="P130" s="3" t="s">
        <v>19</v>
      </c>
    </row>
    <row r="131" spans="1:16" x14ac:dyDescent="0.35">
      <c r="A131" s="3" t="s">
        <v>66</v>
      </c>
      <c r="B131" s="3" t="str">
        <f>INDEX(State_Region!$B$2:$B$26,MATCH(TRIM(A131),State_Region!$A$2:$A$26,0))</f>
        <v>North</v>
      </c>
      <c r="C131" s="3" t="s">
        <v>73</v>
      </c>
      <c r="D131" s="3" t="str">
        <f>INDEX(Port_Type!$B$2:$B$227,MATCH(TRIM(C131),Port_Type!$A$2:$A$227,0))</f>
        <v>Inland ICD / CFS</v>
      </c>
      <c r="E131" s="3" t="s">
        <v>118</v>
      </c>
      <c r="F131" s="3" t="str">
        <f>INDEX(Product_Category!$B$2:$B$45,MATCH(TRIM(E131),Product_Category!$A$2:$A$45,0))</f>
        <v>Dairy, Poultry &amp; Honey</v>
      </c>
      <c r="G131" s="4">
        <v>34.89</v>
      </c>
      <c r="H131" s="4">
        <v>24.5</v>
      </c>
      <c r="I131" s="4">
        <v>10.44</v>
      </c>
      <c r="J131" s="4">
        <v>21221.03</v>
      </c>
      <c r="K131" s="4">
        <v>12719.23</v>
      </c>
      <c r="L131" s="4">
        <v>5917.69</v>
      </c>
      <c r="M131" s="4">
        <f t="shared" si="6"/>
        <v>-10.39</v>
      </c>
      <c r="N131" s="4">
        <f t="shared" si="7"/>
        <v>-8501.7999999999993</v>
      </c>
      <c r="O131" s="4">
        <f t="shared" si="8"/>
        <v>-14.06</v>
      </c>
      <c r="P131" s="3" t="s">
        <v>19</v>
      </c>
    </row>
    <row r="132" spans="1:16" x14ac:dyDescent="0.35">
      <c r="A132" s="3" t="s">
        <v>66</v>
      </c>
      <c r="B132" s="3" t="str">
        <f>INDEX(State_Region!$B$2:$B$26,MATCH(TRIM(A132),State_Region!$A$2:$A$26,0))</f>
        <v>North</v>
      </c>
      <c r="C132" s="3" t="s">
        <v>73</v>
      </c>
      <c r="D132" s="3" t="str">
        <f>INDEX(Port_Type!$B$2:$B$227,MATCH(TRIM(C132),Port_Type!$A$2:$A$227,0))</f>
        <v>Inland ICD / CFS</v>
      </c>
      <c r="E132" s="3" t="s">
        <v>48</v>
      </c>
      <c r="F132" s="3" t="str">
        <f>INDEX(Product_Category!$B$2:$B$45,MATCH(TRIM(E132),Product_Category!$A$2:$A$45,0))</f>
        <v>Processed Foods</v>
      </c>
      <c r="G132" s="4">
        <v>23.24</v>
      </c>
      <c r="H132" s="4">
        <v>45.92</v>
      </c>
      <c r="I132" s="4">
        <v>10.39</v>
      </c>
      <c r="J132" s="4">
        <v>15819.99</v>
      </c>
      <c r="K132" s="4">
        <v>23408.84</v>
      </c>
      <c r="L132" s="4">
        <v>5042.2</v>
      </c>
      <c r="M132" s="4">
        <f t="shared" si="6"/>
        <v>22.680000000000003</v>
      </c>
      <c r="N132" s="4">
        <f t="shared" si="7"/>
        <v>7588.85</v>
      </c>
      <c r="O132" s="4">
        <f t="shared" si="8"/>
        <v>-35.53</v>
      </c>
      <c r="P132" s="3" t="s">
        <v>19</v>
      </c>
    </row>
    <row r="133" spans="1:16" x14ac:dyDescent="0.35">
      <c r="A133" s="3" t="s">
        <v>20</v>
      </c>
      <c r="B133" s="3" t="str">
        <f>INDEX(State_Region!$B$2:$B$26,MATCH(TRIM(A133),State_Region!$A$2:$A$26,0))</f>
        <v>West</v>
      </c>
      <c r="C133" s="3" t="s">
        <v>21</v>
      </c>
      <c r="D133" s="3" t="str">
        <f>INDEX(Port_Type!$B$2:$B$227,MATCH(TRIM(C133),Port_Type!$A$2:$A$227,0))</f>
        <v>Sea Port</v>
      </c>
      <c r="E133" s="3" t="s">
        <v>110</v>
      </c>
      <c r="F133" s="3" t="str">
        <f>INDEX(Product_Category!$B$2:$B$45,MATCH(TRIM(E133),Product_Category!$A$2:$A$45,0))</f>
        <v>Dairy, Poultry &amp; Honey</v>
      </c>
      <c r="G133" s="4">
        <v>0.27</v>
      </c>
      <c r="H133" s="4">
        <v>1.73</v>
      </c>
      <c r="I133" s="4">
        <v>10.37</v>
      </c>
      <c r="J133" s="4">
        <v>2564.5100000000002</v>
      </c>
      <c r="K133" s="4">
        <v>14147.74</v>
      </c>
      <c r="L133" s="4">
        <v>125583.98</v>
      </c>
      <c r="M133" s="4">
        <f t="shared" si="6"/>
        <v>1.46</v>
      </c>
      <c r="N133" s="4">
        <f t="shared" si="7"/>
        <v>11583.23</v>
      </c>
      <c r="O133" s="4">
        <f t="shared" si="8"/>
        <v>8.6399999999999988</v>
      </c>
      <c r="P133" s="3" t="s">
        <v>19</v>
      </c>
    </row>
    <row r="134" spans="1:16" x14ac:dyDescent="0.35">
      <c r="A134" s="3" t="s">
        <v>66</v>
      </c>
      <c r="B134" s="3" t="str">
        <f>INDEX(State_Region!$B$2:$B$26,MATCH(TRIM(A134),State_Region!$A$2:$A$26,0))</f>
        <v>North</v>
      </c>
      <c r="C134" s="3" t="s">
        <v>108</v>
      </c>
      <c r="D134" s="3" t="str">
        <f>INDEX(Port_Type!$B$2:$B$227,MATCH(TRIM(C134),Port_Type!$A$2:$A$227,0))</f>
        <v>Inland ICD / CFS</v>
      </c>
      <c r="E134" s="3" t="s">
        <v>48</v>
      </c>
      <c r="F134" s="3" t="str">
        <f>INDEX(Product_Category!$B$2:$B$45,MATCH(TRIM(E134),Product_Category!$A$2:$A$45,0))</f>
        <v>Processed Foods</v>
      </c>
      <c r="G134" s="4">
        <v>29.27</v>
      </c>
      <c r="H134" s="4">
        <v>34.74</v>
      </c>
      <c r="I134" s="4">
        <v>10.33</v>
      </c>
      <c r="J134" s="4">
        <v>12592.58</v>
      </c>
      <c r="K134" s="4">
        <v>18998.11</v>
      </c>
      <c r="L134" s="4">
        <v>5608.29</v>
      </c>
      <c r="M134" s="4">
        <f t="shared" si="6"/>
        <v>5.4700000000000024</v>
      </c>
      <c r="N134" s="4">
        <f t="shared" si="7"/>
        <v>6405.5300000000007</v>
      </c>
      <c r="O134" s="4">
        <f t="shared" si="8"/>
        <v>-24.410000000000004</v>
      </c>
      <c r="P134" s="3" t="s">
        <v>19</v>
      </c>
    </row>
    <row r="135" spans="1:16" x14ac:dyDescent="0.35">
      <c r="A135" s="3" t="s">
        <v>35</v>
      </c>
      <c r="B135" s="3" t="str">
        <f>INDEX(State_Region!$B$2:$B$26,MATCH(TRIM(A135),State_Region!$A$2:$A$26,0))</f>
        <v>North</v>
      </c>
      <c r="C135" s="3" t="s">
        <v>38</v>
      </c>
      <c r="D135" s="3" t="str">
        <f>INDEX(Port_Type!$B$2:$B$227,MATCH(TRIM(C135),Port_Type!$A$2:$A$227,0))</f>
        <v>Inland ICD / CFS</v>
      </c>
      <c r="E135" s="3" t="s">
        <v>118</v>
      </c>
      <c r="F135" s="3" t="str">
        <f>INDEX(Product_Category!$B$2:$B$45,MATCH(TRIM(E135),Product_Category!$A$2:$A$45,0))</f>
        <v>Dairy, Poultry &amp; Honey</v>
      </c>
      <c r="G135" s="4">
        <v>45.47</v>
      </c>
      <c r="H135" s="4">
        <v>40.950000000000003</v>
      </c>
      <c r="I135" s="4">
        <v>10.19</v>
      </c>
      <c r="J135" s="4">
        <v>25939.73</v>
      </c>
      <c r="K135" s="4">
        <v>22021.200000000001</v>
      </c>
      <c r="L135" s="4">
        <v>6923.55</v>
      </c>
      <c r="M135" s="4">
        <f t="shared" si="6"/>
        <v>-4.519999999999996</v>
      </c>
      <c r="N135" s="4">
        <f t="shared" si="7"/>
        <v>-3918.5299999999988</v>
      </c>
      <c r="O135" s="4">
        <f t="shared" si="8"/>
        <v>-30.760000000000005</v>
      </c>
      <c r="P135" s="3" t="s">
        <v>19</v>
      </c>
    </row>
    <row r="136" spans="1:16" x14ac:dyDescent="0.35">
      <c r="A136" s="3" t="s">
        <v>20</v>
      </c>
      <c r="B136" s="3" t="str">
        <f>INDEX(State_Region!$B$2:$B$26,MATCH(TRIM(A136),State_Region!$A$2:$A$26,0))</f>
        <v>West</v>
      </c>
      <c r="C136" s="3" t="s">
        <v>119</v>
      </c>
      <c r="D136" s="3" t="str">
        <f>INDEX(Port_Type!$B$2:$B$227,MATCH(TRIM(C136),Port_Type!$A$2:$A$227,0))</f>
        <v>SEZ / EPZ</v>
      </c>
      <c r="E136" s="3" t="s">
        <v>60</v>
      </c>
      <c r="F136" s="3" t="str">
        <f>INDEX(Product_Category!$B$2:$B$45,MATCH(TRIM(E136),Product_Category!$A$2:$A$45,0))</f>
        <v>Processed Foods</v>
      </c>
      <c r="G136" s="4">
        <v>10.07</v>
      </c>
      <c r="H136" s="4">
        <v>17.37</v>
      </c>
      <c r="I136" s="4">
        <v>10.08</v>
      </c>
      <c r="J136" s="4">
        <v>980.03</v>
      </c>
      <c r="K136" s="4">
        <v>1246.1300000000001</v>
      </c>
      <c r="L136" s="4">
        <v>679.96</v>
      </c>
      <c r="M136" s="4">
        <f t="shared" si="6"/>
        <v>7.3000000000000007</v>
      </c>
      <c r="N136" s="4">
        <f t="shared" si="7"/>
        <v>266.10000000000014</v>
      </c>
      <c r="O136" s="4">
        <f t="shared" si="8"/>
        <v>-7.2900000000000009</v>
      </c>
      <c r="P136" s="3" t="s">
        <v>19</v>
      </c>
    </row>
    <row r="137" spans="1:16" x14ac:dyDescent="0.35">
      <c r="A137" s="3" t="s">
        <v>20</v>
      </c>
      <c r="B137" s="3" t="str">
        <f>INDEX(State_Region!$B$2:$B$26,MATCH(TRIM(A137),State_Region!$A$2:$A$26,0))</f>
        <v>West</v>
      </c>
      <c r="C137" s="3" t="s">
        <v>68</v>
      </c>
      <c r="D137" s="3" t="str">
        <f>INDEX(Port_Type!$B$2:$B$227,MATCH(TRIM(C137),Port_Type!$A$2:$A$227,0))</f>
        <v>Air Cargo</v>
      </c>
      <c r="E137" s="3" t="s">
        <v>102</v>
      </c>
      <c r="F137" s="3" t="str">
        <f>INDEX(Product_Category!$B$2:$B$45,MATCH(TRIM(E137),Product_Category!$A$2:$A$45,0))</f>
        <v>Fresh Fruits &amp; Vegetables</v>
      </c>
      <c r="G137" s="4">
        <v>34.4</v>
      </c>
      <c r="H137" s="4">
        <v>38.53</v>
      </c>
      <c r="I137" s="4">
        <v>10.07</v>
      </c>
      <c r="J137" s="4">
        <v>23226.48</v>
      </c>
      <c r="K137" s="4">
        <v>22836.21</v>
      </c>
      <c r="L137" s="4">
        <v>6651.16</v>
      </c>
      <c r="M137" s="4">
        <f t="shared" si="6"/>
        <v>4.1300000000000026</v>
      </c>
      <c r="N137" s="4">
        <f t="shared" si="7"/>
        <v>-390.27000000000044</v>
      </c>
      <c r="O137" s="4">
        <f t="shared" si="8"/>
        <v>-28.46</v>
      </c>
      <c r="P137" s="3" t="s">
        <v>19</v>
      </c>
    </row>
    <row r="138" spans="1:16" x14ac:dyDescent="0.35">
      <c r="A138" s="3" t="s">
        <v>23</v>
      </c>
      <c r="B138" s="3" t="str">
        <f>INDEX(State_Region!$B$2:$B$26,MATCH(TRIM(A138),State_Region!$A$2:$A$26,0))</f>
        <v>North</v>
      </c>
      <c r="C138" s="3" t="s">
        <v>120</v>
      </c>
      <c r="D138" s="3" t="str">
        <f>INDEX(Port_Type!$B$2:$B$227,MATCH(TRIM(C138),Port_Type!$A$2:$A$227,0))</f>
        <v>Inland ICD / CFS</v>
      </c>
      <c r="E138" s="3" t="s">
        <v>39</v>
      </c>
      <c r="F138" s="3" t="str">
        <f>INDEX(Product_Category!$B$2:$B$45,MATCH(TRIM(E138),Product_Category!$A$2:$A$45,0))</f>
        <v>Processed Foods</v>
      </c>
      <c r="G138" s="4">
        <v>28.7</v>
      </c>
      <c r="H138" s="4">
        <v>20.46</v>
      </c>
      <c r="I138" s="4">
        <v>9.93</v>
      </c>
      <c r="J138" s="4">
        <v>68146.64</v>
      </c>
      <c r="K138" s="4">
        <v>49398.85</v>
      </c>
      <c r="L138" s="4">
        <v>21646.73</v>
      </c>
      <c r="M138" s="4">
        <f t="shared" si="6"/>
        <v>-8.2399999999999984</v>
      </c>
      <c r="N138" s="4">
        <f t="shared" si="7"/>
        <v>-18747.79</v>
      </c>
      <c r="O138" s="4">
        <f t="shared" si="8"/>
        <v>-10.530000000000001</v>
      </c>
      <c r="P138" s="3" t="s">
        <v>19</v>
      </c>
    </row>
    <row r="139" spans="1:16" x14ac:dyDescent="0.35">
      <c r="A139" s="3" t="s">
        <v>16</v>
      </c>
      <c r="B139" s="3" t="str">
        <f>INDEX(State_Region!$B$2:$B$26,MATCH(TRIM(A139),State_Region!$A$2:$A$26,0))</f>
        <v>West</v>
      </c>
      <c r="C139" s="3" t="s">
        <v>89</v>
      </c>
      <c r="D139" s="3" t="str">
        <f>INDEX(Port_Type!$B$2:$B$227,MATCH(TRIM(C139),Port_Type!$A$2:$A$227,0))</f>
        <v>Inland ICD / CFS</v>
      </c>
      <c r="E139" s="3" t="s">
        <v>72</v>
      </c>
      <c r="F139" s="3" t="str">
        <f>INDEX(Product_Category!$B$2:$B$45,MATCH(TRIM(E139),Product_Category!$A$2:$A$45,0))</f>
        <v>Dairy, Poultry &amp; Honey</v>
      </c>
      <c r="G139" s="4">
        <v>22.07</v>
      </c>
      <c r="H139" s="4">
        <v>26.75</v>
      </c>
      <c r="I139" s="4">
        <v>9.7899999999999991</v>
      </c>
      <c r="J139" s="4">
        <v>4890.55</v>
      </c>
      <c r="K139" s="4">
        <v>7502.13</v>
      </c>
      <c r="L139" s="4">
        <v>3045.02</v>
      </c>
      <c r="M139" s="4">
        <f t="shared" si="6"/>
        <v>4.68</v>
      </c>
      <c r="N139" s="4">
        <f t="shared" si="7"/>
        <v>2611.58</v>
      </c>
      <c r="O139" s="4">
        <f t="shared" si="8"/>
        <v>-16.96</v>
      </c>
      <c r="P139" s="3" t="s">
        <v>19</v>
      </c>
    </row>
    <row r="140" spans="1:16" x14ac:dyDescent="0.35">
      <c r="A140" s="3" t="s">
        <v>86</v>
      </c>
      <c r="B140" s="3" t="str">
        <f>INDEX(State_Region!$B$2:$B$26,MATCH(TRIM(A140),State_Region!$A$2:$A$26,0))</f>
        <v>North</v>
      </c>
      <c r="C140" s="3" t="s">
        <v>87</v>
      </c>
      <c r="D140" s="3" t="str">
        <f>INDEX(Port_Type!$B$2:$B$227,MATCH(TRIM(C140),Port_Type!$A$2:$A$227,0))</f>
        <v>Air Cargo</v>
      </c>
      <c r="E140" s="3" t="s">
        <v>39</v>
      </c>
      <c r="F140" s="3" t="str">
        <f>INDEX(Product_Category!$B$2:$B$45,MATCH(TRIM(E140),Product_Category!$A$2:$A$45,0))</f>
        <v>Processed Foods</v>
      </c>
      <c r="G140" s="4">
        <v>20.84</v>
      </c>
      <c r="H140" s="4">
        <v>30.29</v>
      </c>
      <c r="I140" s="4">
        <v>9.73</v>
      </c>
      <c r="J140" s="4">
        <v>901.27</v>
      </c>
      <c r="K140" s="4">
        <v>1384.59</v>
      </c>
      <c r="L140" s="4">
        <v>555.76</v>
      </c>
      <c r="M140" s="4">
        <f t="shared" si="6"/>
        <v>9.4499999999999993</v>
      </c>
      <c r="N140" s="4">
        <f t="shared" si="7"/>
        <v>483.31999999999994</v>
      </c>
      <c r="O140" s="4">
        <f t="shared" si="8"/>
        <v>-20.56</v>
      </c>
      <c r="P140" s="3" t="s">
        <v>19</v>
      </c>
    </row>
    <row r="141" spans="1:16" x14ac:dyDescent="0.35">
      <c r="A141" s="3" t="s">
        <v>16</v>
      </c>
      <c r="B141" s="3" t="str">
        <f>INDEX(State_Region!$B$2:$B$26,MATCH(TRIM(A141),State_Region!$A$2:$A$26,0))</f>
        <v>West</v>
      </c>
      <c r="C141" s="3" t="s">
        <v>28</v>
      </c>
      <c r="D141" s="3" t="str">
        <f>INDEX(Port_Type!$B$2:$B$227,MATCH(TRIM(C141),Port_Type!$A$2:$A$227,0))</f>
        <v>Sea Port</v>
      </c>
      <c r="E141" s="3" t="s">
        <v>113</v>
      </c>
      <c r="F141" s="3" t="str">
        <f>INDEX(Product_Category!$B$2:$B$45,MATCH(TRIM(E141),Product_Category!$A$2:$A$45,0))</f>
        <v>Cereals &amp; Grains</v>
      </c>
      <c r="G141" s="4">
        <v>0</v>
      </c>
      <c r="H141" s="4">
        <v>0</v>
      </c>
      <c r="I141" s="4">
        <v>9.68</v>
      </c>
      <c r="J141" s="4">
        <v>0.27</v>
      </c>
      <c r="K141" s="4">
        <v>0</v>
      </c>
      <c r="L141" s="4">
        <v>35630</v>
      </c>
      <c r="M141" s="4">
        <f t="shared" si="6"/>
        <v>0</v>
      </c>
      <c r="N141" s="4">
        <f t="shared" si="7"/>
        <v>-0.27</v>
      </c>
      <c r="O141" s="4">
        <f t="shared" si="8"/>
        <v>9.68</v>
      </c>
      <c r="P141" s="3" t="s">
        <v>19</v>
      </c>
    </row>
    <row r="142" spans="1:16" x14ac:dyDescent="0.35">
      <c r="A142" s="3" t="s">
        <v>49</v>
      </c>
      <c r="B142" s="3" t="str">
        <f>INDEX(State_Region!$B$2:$B$26,MATCH(TRIM(A142),State_Region!$A$2:$A$26,0))</f>
        <v>North</v>
      </c>
      <c r="C142" s="3" t="s">
        <v>121</v>
      </c>
      <c r="D142" s="3" t="str">
        <f>INDEX(Port_Type!$B$2:$B$227,MATCH(TRIM(C142),Port_Type!$A$2:$A$227,0))</f>
        <v>Inland ICD / CFS</v>
      </c>
      <c r="E142" s="3" t="s">
        <v>46</v>
      </c>
      <c r="F142" s="3" t="str">
        <f>INDEX(Product_Category!$B$2:$B$45,MATCH(TRIM(E142),Product_Category!$A$2:$A$45,0))</f>
        <v>Others</v>
      </c>
      <c r="G142" s="4">
        <v>15.89</v>
      </c>
      <c r="H142" s="4">
        <v>9.3000000000000007</v>
      </c>
      <c r="I142" s="4">
        <v>9.66</v>
      </c>
      <c r="J142" s="4">
        <v>11766.04</v>
      </c>
      <c r="K142" s="4">
        <v>7279.52</v>
      </c>
      <c r="L142" s="4">
        <v>8588.58</v>
      </c>
      <c r="M142" s="4">
        <f t="shared" si="6"/>
        <v>-6.59</v>
      </c>
      <c r="N142" s="4">
        <f t="shared" si="7"/>
        <v>-4486.5200000000004</v>
      </c>
      <c r="O142" s="4">
        <f t="shared" si="8"/>
        <v>0.35999999999999943</v>
      </c>
      <c r="P142" s="3" t="s">
        <v>19</v>
      </c>
    </row>
    <row r="143" spans="1:16" x14ac:dyDescent="0.35">
      <c r="A143" s="3" t="s">
        <v>79</v>
      </c>
      <c r="B143" s="3" t="str">
        <f>INDEX(State_Region!$B$2:$B$26,MATCH(TRIM(A143),State_Region!$A$2:$A$26,0))</f>
        <v>South</v>
      </c>
      <c r="C143" s="3" t="s">
        <v>80</v>
      </c>
      <c r="D143" s="3" t="str">
        <f>INDEX(Port_Type!$B$2:$B$227,MATCH(TRIM(C143),Port_Type!$A$2:$A$227,0))</f>
        <v>Inland ICD / CFS</v>
      </c>
      <c r="E143" s="3" t="s">
        <v>42</v>
      </c>
      <c r="F143" s="3" t="str">
        <f>INDEX(Product_Category!$B$2:$B$45,MATCH(TRIM(E143),Product_Category!$A$2:$A$45,0))</f>
        <v>Processed Foods</v>
      </c>
      <c r="G143" s="4">
        <v>25.96</v>
      </c>
      <c r="H143" s="4">
        <v>24.33</v>
      </c>
      <c r="I143" s="4">
        <v>9.65</v>
      </c>
      <c r="J143" s="4">
        <v>15582.02</v>
      </c>
      <c r="K143" s="4">
        <v>16885.41</v>
      </c>
      <c r="L143" s="4">
        <v>6823.43</v>
      </c>
      <c r="M143" s="4">
        <f t="shared" si="6"/>
        <v>-1.6300000000000026</v>
      </c>
      <c r="N143" s="4">
        <f t="shared" si="7"/>
        <v>1303.3899999999994</v>
      </c>
      <c r="O143" s="4">
        <f t="shared" si="8"/>
        <v>-14.679999999999998</v>
      </c>
      <c r="P143" s="3" t="s">
        <v>19</v>
      </c>
    </row>
    <row r="144" spans="1:16" x14ac:dyDescent="0.35">
      <c r="A144" s="3" t="s">
        <v>94</v>
      </c>
      <c r="B144" s="3" t="str">
        <f>INDEX(State_Region!$B$2:$B$26,MATCH(TRIM(A144),State_Region!$A$2:$A$26,0))</f>
        <v>East</v>
      </c>
      <c r="C144" s="3" t="s">
        <v>95</v>
      </c>
      <c r="D144" s="3" t="str">
        <f>INDEX(Port_Type!$B$2:$B$227,MATCH(TRIM(C144),Port_Type!$A$2:$A$227,0))</f>
        <v>Land Border / Rail</v>
      </c>
      <c r="E144" s="3" t="s">
        <v>62</v>
      </c>
      <c r="F144" s="3" t="str">
        <f>INDEX(Product_Category!$B$2:$B$45,MATCH(TRIM(E144),Product_Category!$A$2:$A$45,0))</f>
        <v>Cereals &amp; Grains</v>
      </c>
      <c r="G144" s="4">
        <v>46.91</v>
      </c>
      <c r="H144" s="4">
        <v>46.97</v>
      </c>
      <c r="I144" s="4">
        <v>9.5399999999999991</v>
      </c>
      <c r="J144" s="4">
        <v>159804.39000000001</v>
      </c>
      <c r="K144" s="4">
        <v>158544.15</v>
      </c>
      <c r="L144" s="4">
        <v>40284.620000000003</v>
      </c>
      <c r="M144" s="4">
        <f t="shared" si="6"/>
        <v>6.0000000000002274E-2</v>
      </c>
      <c r="N144" s="4">
        <f t="shared" si="7"/>
        <v>-1260.2400000000198</v>
      </c>
      <c r="O144" s="4">
        <f t="shared" si="8"/>
        <v>-37.43</v>
      </c>
      <c r="P144" s="3" t="s">
        <v>19</v>
      </c>
    </row>
    <row r="145" spans="1:16" x14ac:dyDescent="0.35">
      <c r="A145" s="3" t="s">
        <v>20</v>
      </c>
      <c r="B145" s="3" t="str">
        <f>INDEX(State_Region!$B$2:$B$26,MATCH(TRIM(A145),State_Region!$A$2:$A$26,0))</f>
        <v>West</v>
      </c>
      <c r="C145" s="3" t="s">
        <v>21</v>
      </c>
      <c r="D145" s="3" t="str">
        <f>INDEX(Port_Type!$B$2:$B$227,MATCH(TRIM(C145),Port_Type!$A$2:$A$227,0))</f>
        <v>Sea Port</v>
      </c>
      <c r="E145" s="3" t="s">
        <v>76</v>
      </c>
      <c r="F145" s="3" t="str">
        <f>INDEX(Product_Category!$B$2:$B$45,MATCH(TRIM(E145),Product_Category!$A$2:$A$45,0))</f>
        <v>Fresh Fruits &amp; Vegetables</v>
      </c>
      <c r="G145" s="4">
        <v>25.55</v>
      </c>
      <c r="H145" s="4">
        <v>18.489999999999998</v>
      </c>
      <c r="I145" s="4">
        <v>9.44</v>
      </c>
      <c r="J145" s="4">
        <v>16996.64</v>
      </c>
      <c r="K145" s="4">
        <v>12516.43</v>
      </c>
      <c r="L145" s="4">
        <v>6534.01</v>
      </c>
      <c r="M145" s="4">
        <f t="shared" si="6"/>
        <v>-7.0600000000000023</v>
      </c>
      <c r="N145" s="4">
        <f t="shared" si="7"/>
        <v>-4480.2099999999991</v>
      </c>
      <c r="O145" s="4">
        <f t="shared" si="8"/>
        <v>-9.0499999999999989</v>
      </c>
      <c r="P145" s="3" t="s">
        <v>19</v>
      </c>
    </row>
    <row r="146" spans="1:16" x14ac:dyDescent="0.35">
      <c r="A146" s="3" t="s">
        <v>20</v>
      </c>
      <c r="B146" s="3" t="str">
        <f>INDEX(State_Region!$B$2:$B$26,MATCH(TRIM(A146),State_Region!$A$2:$A$26,0))</f>
        <v>West</v>
      </c>
      <c r="C146" s="3" t="s">
        <v>82</v>
      </c>
      <c r="D146" s="3" t="str">
        <f>INDEX(Port_Type!$B$2:$B$227,MATCH(TRIM(C146),Port_Type!$A$2:$A$227,0))</f>
        <v>Inland ICD / CFS</v>
      </c>
      <c r="E146" s="3" t="s">
        <v>55</v>
      </c>
      <c r="F146" s="3" t="str">
        <f>INDEX(Product_Category!$B$2:$B$45,MATCH(TRIM(E146),Product_Category!$A$2:$A$45,0))</f>
        <v>Fresh Fruits &amp; Vegetables</v>
      </c>
      <c r="G146" s="4">
        <v>73.290000000000006</v>
      </c>
      <c r="H146" s="4">
        <v>51.87</v>
      </c>
      <c r="I146" s="4">
        <v>9.34</v>
      </c>
      <c r="J146" s="4">
        <v>256963.32</v>
      </c>
      <c r="K146" s="4">
        <v>220099.12</v>
      </c>
      <c r="L146" s="4">
        <v>39038.83</v>
      </c>
      <c r="M146" s="4">
        <f t="shared" si="6"/>
        <v>-21.420000000000009</v>
      </c>
      <c r="N146" s="4">
        <f t="shared" si="7"/>
        <v>-36864.200000000012</v>
      </c>
      <c r="O146" s="4">
        <f t="shared" si="8"/>
        <v>-42.53</v>
      </c>
      <c r="P146" s="3" t="s">
        <v>19</v>
      </c>
    </row>
    <row r="147" spans="1:16" x14ac:dyDescent="0.35">
      <c r="A147" s="3" t="s">
        <v>40</v>
      </c>
      <c r="B147" s="3" t="str">
        <f>INDEX(State_Region!$B$2:$B$26,MATCH(TRIM(A147),State_Region!$A$2:$A$26,0))</f>
        <v>South</v>
      </c>
      <c r="C147" s="3" t="s">
        <v>117</v>
      </c>
      <c r="D147" s="3" t="str">
        <f>INDEX(Port_Type!$B$2:$B$227,MATCH(TRIM(C147),Port_Type!$A$2:$A$227,0))</f>
        <v>Sea Port</v>
      </c>
      <c r="E147" s="3" t="s">
        <v>27</v>
      </c>
      <c r="F147" s="3" t="str">
        <f>INDEX(Product_Category!$B$2:$B$45,MATCH(TRIM(E147),Product_Category!$A$2:$A$45,0))</f>
        <v>Cereals &amp; Grains</v>
      </c>
      <c r="G147" s="4">
        <v>3.84</v>
      </c>
      <c r="H147" s="4">
        <v>9.77</v>
      </c>
      <c r="I147" s="4">
        <v>8.8699999999999992</v>
      </c>
      <c r="J147" s="4">
        <v>5659.83</v>
      </c>
      <c r="K147" s="4">
        <v>20358.53</v>
      </c>
      <c r="L147" s="4">
        <v>18654.53</v>
      </c>
      <c r="M147" s="4">
        <f t="shared" si="6"/>
        <v>5.93</v>
      </c>
      <c r="N147" s="4">
        <f t="shared" si="7"/>
        <v>14698.699999999999</v>
      </c>
      <c r="O147" s="4">
        <f t="shared" si="8"/>
        <v>-0.90000000000000036</v>
      </c>
      <c r="P147" s="3" t="s">
        <v>19</v>
      </c>
    </row>
    <row r="148" spans="1:16" x14ac:dyDescent="0.35">
      <c r="A148" s="3" t="s">
        <v>35</v>
      </c>
      <c r="B148" s="3" t="str">
        <f>INDEX(State_Region!$B$2:$B$26,MATCH(TRIM(A148),State_Region!$A$2:$A$26,0))</f>
        <v>North</v>
      </c>
      <c r="C148" s="3" t="s">
        <v>88</v>
      </c>
      <c r="D148" s="3" t="str">
        <f>INDEX(Port_Type!$B$2:$B$227,MATCH(TRIM(C148),Port_Type!$A$2:$A$227,0))</f>
        <v>Inland ICD / CFS</v>
      </c>
      <c r="E148" s="3" t="s">
        <v>22</v>
      </c>
      <c r="F148" s="3" t="str">
        <f>INDEX(Product_Category!$B$2:$B$45,MATCH(TRIM(E148),Product_Category!$A$2:$A$45,0))</f>
        <v>Meat &amp; Animal Products</v>
      </c>
      <c r="G148" s="4">
        <v>36.1</v>
      </c>
      <c r="H148" s="4">
        <v>0</v>
      </c>
      <c r="I148" s="4">
        <v>8.7899999999999991</v>
      </c>
      <c r="J148" s="4">
        <v>12192.77</v>
      </c>
      <c r="K148" s="4">
        <v>0</v>
      </c>
      <c r="L148" s="4">
        <v>1931.3</v>
      </c>
      <c r="M148" s="4">
        <f t="shared" si="6"/>
        <v>-36.1</v>
      </c>
      <c r="N148" s="4">
        <f t="shared" si="7"/>
        <v>-12192.77</v>
      </c>
      <c r="O148" s="4">
        <f t="shared" si="8"/>
        <v>8.7899999999999991</v>
      </c>
      <c r="P148" s="3" t="s">
        <v>19</v>
      </c>
    </row>
    <row r="149" spans="1:16" x14ac:dyDescent="0.35">
      <c r="A149" s="3" t="s">
        <v>23</v>
      </c>
      <c r="B149" s="3" t="str">
        <f>INDEX(State_Region!$B$2:$B$26,MATCH(TRIM(A149),State_Region!$A$2:$A$26,0))</f>
        <v>North</v>
      </c>
      <c r="C149" s="3" t="s">
        <v>24</v>
      </c>
      <c r="D149" s="3" t="str">
        <f>INDEX(Port_Type!$B$2:$B$227,MATCH(TRIM(C149),Port_Type!$A$2:$A$227,0))</f>
        <v>Inland ICD / CFS</v>
      </c>
      <c r="E149" s="3" t="s">
        <v>39</v>
      </c>
      <c r="F149" s="3" t="str">
        <f>INDEX(Product_Category!$B$2:$B$45,MATCH(TRIM(E149),Product_Category!$A$2:$A$45,0))</f>
        <v>Processed Foods</v>
      </c>
      <c r="G149" s="4">
        <v>21.1</v>
      </c>
      <c r="H149" s="4">
        <v>25.14</v>
      </c>
      <c r="I149" s="4">
        <v>8.73</v>
      </c>
      <c r="J149" s="4">
        <v>8281.0499999999993</v>
      </c>
      <c r="K149" s="4">
        <v>8941.86</v>
      </c>
      <c r="L149" s="4">
        <v>3531.05</v>
      </c>
      <c r="M149" s="4">
        <f t="shared" si="6"/>
        <v>4.0399999999999991</v>
      </c>
      <c r="N149" s="4">
        <f t="shared" si="7"/>
        <v>660.81000000000131</v>
      </c>
      <c r="O149" s="4">
        <f t="shared" si="8"/>
        <v>-16.41</v>
      </c>
      <c r="P149" s="3" t="s">
        <v>19</v>
      </c>
    </row>
    <row r="150" spans="1:16" x14ac:dyDescent="0.35">
      <c r="A150" s="3" t="s">
        <v>35</v>
      </c>
      <c r="B150" s="3" t="str">
        <f>INDEX(State_Region!$B$2:$B$26,MATCH(TRIM(A150),State_Region!$A$2:$A$26,0))</f>
        <v>North</v>
      </c>
      <c r="C150" s="3" t="s">
        <v>36</v>
      </c>
      <c r="D150" s="3" t="str">
        <f>INDEX(Port_Type!$B$2:$B$227,MATCH(TRIM(C150),Port_Type!$A$2:$A$227,0))</f>
        <v>Inland ICD / CFS</v>
      </c>
      <c r="E150" s="3" t="s">
        <v>118</v>
      </c>
      <c r="F150" s="3" t="str">
        <f>INDEX(Product_Category!$B$2:$B$45,MATCH(TRIM(E150),Product_Category!$A$2:$A$45,0))</f>
        <v>Dairy, Poultry &amp; Honey</v>
      </c>
      <c r="G150" s="4">
        <v>15.86</v>
      </c>
      <c r="H150" s="4">
        <v>28.54</v>
      </c>
      <c r="I150" s="4">
        <v>8.67</v>
      </c>
      <c r="J150" s="4">
        <v>10189.84</v>
      </c>
      <c r="K150" s="4">
        <v>15334.91</v>
      </c>
      <c r="L150" s="4">
        <v>5437.68</v>
      </c>
      <c r="M150" s="4">
        <f t="shared" si="6"/>
        <v>12.68</v>
      </c>
      <c r="N150" s="4">
        <f t="shared" si="7"/>
        <v>5145.07</v>
      </c>
      <c r="O150" s="4">
        <f t="shared" si="8"/>
        <v>-19.869999999999997</v>
      </c>
      <c r="P150" s="3" t="s">
        <v>19</v>
      </c>
    </row>
    <row r="151" spans="1:16" x14ac:dyDescent="0.35">
      <c r="A151" s="3" t="s">
        <v>35</v>
      </c>
      <c r="B151" s="3" t="str">
        <f>INDEX(State_Region!$B$2:$B$26,MATCH(TRIM(A151),State_Region!$A$2:$A$26,0))</f>
        <v>North</v>
      </c>
      <c r="C151" s="3" t="s">
        <v>36</v>
      </c>
      <c r="D151" s="3" t="str">
        <f>INDEX(Port_Type!$B$2:$B$227,MATCH(TRIM(C151),Port_Type!$A$2:$A$227,0))</f>
        <v>Inland ICD / CFS</v>
      </c>
      <c r="E151" s="3" t="s">
        <v>48</v>
      </c>
      <c r="F151" s="3" t="str">
        <f>INDEX(Product_Category!$B$2:$B$45,MATCH(TRIM(E151),Product_Category!$A$2:$A$45,0))</f>
        <v>Processed Foods</v>
      </c>
      <c r="G151" s="4">
        <v>1.88</v>
      </c>
      <c r="H151" s="4">
        <v>4.46</v>
      </c>
      <c r="I151" s="4">
        <v>8.66</v>
      </c>
      <c r="J151" s="4">
        <v>920.82</v>
      </c>
      <c r="K151" s="4">
        <v>1702.81</v>
      </c>
      <c r="L151" s="4">
        <v>2680.61</v>
      </c>
      <c r="M151" s="4">
        <f t="shared" si="6"/>
        <v>2.58</v>
      </c>
      <c r="N151" s="4">
        <f t="shared" si="7"/>
        <v>781.9899999999999</v>
      </c>
      <c r="O151" s="4">
        <f t="shared" si="8"/>
        <v>4.2</v>
      </c>
      <c r="P151" s="3" t="s">
        <v>19</v>
      </c>
    </row>
    <row r="152" spans="1:16" x14ac:dyDescent="0.35">
      <c r="A152" s="3" t="s">
        <v>16</v>
      </c>
      <c r="B152" s="3" t="str">
        <f>INDEX(State_Region!$B$2:$B$26,MATCH(TRIM(A152),State_Region!$A$2:$A$26,0))</f>
        <v>West</v>
      </c>
      <c r="C152" s="3" t="s">
        <v>89</v>
      </c>
      <c r="D152" s="3" t="str">
        <f>INDEX(Port_Type!$B$2:$B$227,MATCH(TRIM(C152),Port_Type!$A$2:$A$227,0))</f>
        <v>Inland ICD / CFS</v>
      </c>
      <c r="E152" s="3" t="s">
        <v>39</v>
      </c>
      <c r="F152" s="3" t="str">
        <f>INDEX(Product_Category!$B$2:$B$45,MATCH(TRIM(E152),Product_Category!$A$2:$A$45,0))</f>
        <v>Processed Foods</v>
      </c>
      <c r="G152" s="4">
        <v>38.82</v>
      </c>
      <c r="H152" s="4">
        <v>27.21</v>
      </c>
      <c r="I152" s="4">
        <v>8.56</v>
      </c>
      <c r="J152" s="4">
        <v>16422.13</v>
      </c>
      <c r="K152" s="4">
        <v>12942.91</v>
      </c>
      <c r="L152" s="4">
        <v>4961.21</v>
      </c>
      <c r="M152" s="4">
        <f t="shared" si="6"/>
        <v>-11.61</v>
      </c>
      <c r="N152" s="4">
        <f t="shared" si="7"/>
        <v>-3479.2200000000012</v>
      </c>
      <c r="O152" s="4">
        <f t="shared" si="8"/>
        <v>-18.649999999999999</v>
      </c>
      <c r="P152" s="3" t="s">
        <v>19</v>
      </c>
    </row>
    <row r="153" spans="1:16" x14ac:dyDescent="0.35">
      <c r="A153" s="3" t="s">
        <v>35</v>
      </c>
      <c r="B153" s="3" t="str">
        <f>INDEX(State_Region!$B$2:$B$26,MATCH(TRIM(A153),State_Region!$A$2:$A$26,0))</f>
        <v>North</v>
      </c>
      <c r="C153" s="3" t="s">
        <v>38</v>
      </c>
      <c r="D153" s="3" t="str">
        <f>INDEX(Port_Type!$B$2:$B$227,MATCH(TRIM(C153),Port_Type!$A$2:$A$227,0))</f>
        <v>Inland ICD / CFS</v>
      </c>
      <c r="E153" s="3" t="s">
        <v>39</v>
      </c>
      <c r="F153" s="3" t="str">
        <f>INDEX(Product_Category!$B$2:$B$45,MATCH(TRIM(E153),Product_Category!$A$2:$A$45,0))</f>
        <v>Processed Foods</v>
      </c>
      <c r="G153" s="4">
        <v>16.77</v>
      </c>
      <c r="H153" s="4">
        <v>25.69</v>
      </c>
      <c r="I153" s="4">
        <v>8.39</v>
      </c>
      <c r="J153" s="4">
        <v>6319.57</v>
      </c>
      <c r="K153" s="4">
        <v>11925.51</v>
      </c>
      <c r="L153" s="4">
        <v>4513.1000000000004</v>
      </c>
      <c r="M153" s="4">
        <f t="shared" si="6"/>
        <v>8.9200000000000017</v>
      </c>
      <c r="N153" s="4">
        <f t="shared" si="7"/>
        <v>5605.9400000000005</v>
      </c>
      <c r="O153" s="4">
        <f t="shared" si="8"/>
        <v>-17.3</v>
      </c>
      <c r="P153" s="3" t="s">
        <v>19</v>
      </c>
    </row>
    <row r="154" spans="1:16" x14ac:dyDescent="0.35">
      <c r="A154" s="3" t="s">
        <v>74</v>
      </c>
      <c r="B154" s="3" t="str">
        <f>INDEX(State_Region!$B$2:$B$26,MATCH(TRIM(A154),State_Region!$A$2:$A$26,0))</f>
        <v>South</v>
      </c>
      <c r="C154" s="3" t="s">
        <v>98</v>
      </c>
      <c r="D154" s="3" t="str">
        <f>INDEX(Port_Type!$B$2:$B$227,MATCH(TRIM(C154),Port_Type!$A$2:$A$227,0))</f>
        <v>Inland ICD / CFS</v>
      </c>
      <c r="E154" s="3" t="s">
        <v>27</v>
      </c>
      <c r="F154" s="3" t="str">
        <f>INDEX(Product_Category!$B$2:$B$45,MATCH(TRIM(E154),Product_Category!$A$2:$A$45,0))</f>
        <v>Cereals &amp; Grains</v>
      </c>
      <c r="G154" s="4">
        <v>0.3</v>
      </c>
      <c r="H154" s="4">
        <v>4.38</v>
      </c>
      <c r="I154" s="4">
        <v>8.2799999999999994</v>
      </c>
      <c r="J154" s="4">
        <v>299.73</v>
      </c>
      <c r="K154" s="4">
        <v>2057.31</v>
      </c>
      <c r="L154" s="4">
        <v>3697.41</v>
      </c>
      <c r="M154" s="4">
        <f t="shared" si="6"/>
        <v>4.08</v>
      </c>
      <c r="N154" s="4">
        <f t="shared" si="7"/>
        <v>1757.58</v>
      </c>
      <c r="O154" s="4">
        <f t="shared" si="8"/>
        <v>3.8999999999999995</v>
      </c>
      <c r="P154" s="3" t="s">
        <v>19</v>
      </c>
    </row>
    <row r="155" spans="1:16" x14ac:dyDescent="0.35">
      <c r="A155" s="3" t="s">
        <v>16</v>
      </c>
      <c r="B155" s="3" t="str">
        <f>INDEX(State_Region!$B$2:$B$26,MATCH(TRIM(A155),State_Region!$A$2:$A$26,0))</f>
        <v>West</v>
      </c>
      <c r="C155" s="3" t="s">
        <v>109</v>
      </c>
      <c r="D155" s="3" t="str">
        <f>INDEX(Port_Type!$B$2:$B$227,MATCH(TRIM(C155),Port_Type!$A$2:$A$227,0))</f>
        <v>SEZ / EPZ</v>
      </c>
      <c r="E155" s="3" t="s">
        <v>42</v>
      </c>
      <c r="F155" s="3" t="str">
        <f>INDEX(Product_Category!$B$2:$B$45,MATCH(TRIM(E155),Product_Category!$A$2:$A$45,0))</f>
        <v>Processed Foods</v>
      </c>
      <c r="G155" s="4">
        <v>23.98</v>
      </c>
      <c r="H155" s="4">
        <v>23.45</v>
      </c>
      <c r="I155" s="4">
        <v>8.26</v>
      </c>
      <c r="J155" s="4">
        <v>14866.81</v>
      </c>
      <c r="K155" s="4">
        <v>14230.5</v>
      </c>
      <c r="L155" s="4">
        <v>4684.8599999999997</v>
      </c>
      <c r="M155" s="4">
        <f t="shared" si="6"/>
        <v>-0.53000000000000114</v>
      </c>
      <c r="N155" s="4">
        <f t="shared" si="7"/>
        <v>-636.30999999999949</v>
      </c>
      <c r="O155" s="4">
        <f t="shared" si="8"/>
        <v>-15.19</v>
      </c>
      <c r="P155" s="3" t="s">
        <v>19</v>
      </c>
    </row>
    <row r="156" spans="1:16" x14ac:dyDescent="0.35">
      <c r="A156" s="3" t="s">
        <v>20</v>
      </c>
      <c r="B156" s="3" t="str">
        <f>INDEX(State_Region!$B$2:$B$26,MATCH(TRIM(A156),State_Region!$A$2:$A$26,0))</f>
        <v>West</v>
      </c>
      <c r="C156" s="3" t="s">
        <v>68</v>
      </c>
      <c r="D156" s="3" t="str">
        <f>INDEX(Port_Type!$B$2:$B$227,MATCH(TRIM(C156),Port_Type!$A$2:$A$227,0))</f>
        <v>Air Cargo</v>
      </c>
      <c r="E156" s="3" t="s">
        <v>122</v>
      </c>
      <c r="F156" s="3" t="str">
        <f>INDEX(Product_Category!$B$2:$B$45,MATCH(TRIM(E156),Product_Category!$A$2:$A$45,0))</f>
        <v>Others</v>
      </c>
      <c r="G156" s="4">
        <v>23.92</v>
      </c>
      <c r="H156" s="4">
        <v>27.67</v>
      </c>
      <c r="I156" s="4">
        <v>8.19</v>
      </c>
      <c r="J156" s="4">
        <v>954.41</v>
      </c>
      <c r="K156" s="4">
        <v>1051.9000000000001</v>
      </c>
      <c r="L156" s="4">
        <v>229.17</v>
      </c>
      <c r="M156" s="4">
        <f t="shared" si="6"/>
        <v>3.75</v>
      </c>
      <c r="N156" s="4">
        <f t="shared" si="7"/>
        <v>97.490000000000123</v>
      </c>
      <c r="O156" s="4">
        <f t="shared" si="8"/>
        <v>-19.480000000000004</v>
      </c>
      <c r="P156" s="3" t="s">
        <v>19</v>
      </c>
    </row>
    <row r="157" spans="1:16" x14ac:dyDescent="0.35">
      <c r="A157" s="3" t="s">
        <v>66</v>
      </c>
      <c r="B157" s="3" t="str">
        <f>INDEX(State_Region!$B$2:$B$26,MATCH(TRIM(A157),State_Region!$A$2:$A$26,0))</f>
        <v>North</v>
      </c>
      <c r="C157" s="3" t="s">
        <v>100</v>
      </c>
      <c r="D157" s="3" t="str">
        <f>INDEX(Port_Type!$B$2:$B$227,MATCH(TRIM(C157),Port_Type!$A$2:$A$227,0))</f>
        <v>Inland ICD / CFS</v>
      </c>
      <c r="E157" s="3" t="s">
        <v>48</v>
      </c>
      <c r="F157" s="3" t="str">
        <f>INDEX(Product_Category!$B$2:$B$45,MATCH(TRIM(E157),Product_Category!$A$2:$A$45,0))</f>
        <v>Processed Foods</v>
      </c>
      <c r="G157" s="4">
        <v>0</v>
      </c>
      <c r="H157" s="4">
        <v>12.62</v>
      </c>
      <c r="I157" s="4">
        <v>8.14</v>
      </c>
      <c r="J157" s="4">
        <v>0</v>
      </c>
      <c r="K157" s="4">
        <v>8906.42</v>
      </c>
      <c r="L157" s="4">
        <v>5389.16</v>
      </c>
      <c r="M157" s="4">
        <f t="shared" si="6"/>
        <v>12.62</v>
      </c>
      <c r="N157" s="4">
        <f t="shared" si="7"/>
        <v>8906.42</v>
      </c>
      <c r="O157" s="4">
        <f t="shared" si="8"/>
        <v>-4.4799999999999986</v>
      </c>
      <c r="P157" s="3" t="s">
        <v>19</v>
      </c>
    </row>
    <row r="158" spans="1:16" x14ac:dyDescent="0.35">
      <c r="A158" s="3" t="s">
        <v>94</v>
      </c>
      <c r="B158" s="3" t="str">
        <f>INDEX(State_Region!$B$2:$B$26,MATCH(TRIM(A158),State_Region!$A$2:$A$26,0))</f>
        <v>East</v>
      </c>
      <c r="C158" s="3" t="s">
        <v>95</v>
      </c>
      <c r="D158" s="3" t="str">
        <f>INDEX(Port_Type!$B$2:$B$227,MATCH(TRIM(C158),Port_Type!$A$2:$A$227,0))</f>
        <v>Land Border / Rail</v>
      </c>
      <c r="E158" s="3" t="s">
        <v>39</v>
      </c>
      <c r="F158" s="3" t="str">
        <f>INDEX(Product_Category!$B$2:$B$45,MATCH(TRIM(E158),Product_Category!$A$2:$A$45,0))</f>
        <v>Processed Foods</v>
      </c>
      <c r="G158" s="4">
        <v>21.43</v>
      </c>
      <c r="H158" s="4">
        <v>25.86</v>
      </c>
      <c r="I158" s="4">
        <v>8.1</v>
      </c>
      <c r="J158" s="4">
        <v>9063.6200000000008</v>
      </c>
      <c r="K158" s="4">
        <v>12939.94</v>
      </c>
      <c r="L158" s="4">
        <v>4633.3500000000004</v>
      </c>
      <c r="M158" s="4">
        <f t="shared" si="6"/>
        <v>4.43</v>
      </c>
      <c r="N158" s="4">
        <f t="shared" si="7"/>
        <v>3876.3199999999997</v>
      </c>
      <c r="O158" s="4">
        <f t="shared" si="8"/>
        <v>-17.759999999999998</v>
      </c>
      <c r="P158" s="3" t="s">
        <v>19</v>
      </c>
    </row>
    <row r="159" spans="1:16" x14ac:dyDescent="0.35">
      <c r="A159" s="3" t="s">
        <v>23</v>
      </c>
      <c r="B159" s="3" t="str">
        <f>INDEX(State_Region!$B$2:$B$26,MATCH(TRIM(A159),State_Region!$A$2:$A$26,0))</f>
        <v>North</v>
      </c>
      <c r="C159" s="3" t="s">
        <v>123</v>
      </c>
      <c r="D159" s="3" t="str">
        <f>INDEX(Port_Type!$B$2:$B$227,MATCH(TRIM(C159),Port_Type!$A$2:$A$227,0))</f>
        <v>Land Border / Rail</v>
      </c>
      <c r="E159" s="3" t="s">
        <v>113</v>
      </c>
      <c r="F159" s="3" t="str">
        <f>INDEX(Product_Category!$B$2:$B$45,MATCH(TRIM(E159),Product_Category!$A$2:$A$45,0))</f>
        <v>Cereals &amp; Grains</v>
      </c>
      <c r="G159" s="4">
        <v>21.87</v>
      </c>
      <c r="H159" s="4">
        <v>2.48</v>
      </c>
      <c r="I159" s="4">
        <v>8.06</v>
      </c>
      <c r="J159" s="4">
        <v>71141.45</v>
      </c>
      <c r="K159" s="4">
        <v>8315.5</v>
      </c>
      <c r="L159" s="4">
        <v>29810.51</v>
      </c>
      <c r="M159" s="4">
        <f t="shared" si="6"/>
        <v>-19.39</v>
      </c>
      <c r="N159" s="4">
        <f t="shared" si="7"/>
        <v>-62825.95</v>
      </c>
      <c r="O159" s="4">
        <f t="shared" si="8"/>
        <v>5.58</v>
      </c>
      <c r="P159" s="3" t="s">
        <v>19</v>
      </c>
    </row>
    <row r="160" spans="1:16" x14ac:dyDescent="0.35">
      <c r="A160" s="3" t="s">
        <v>23</v>
      </c>
      <c r="B160" s="3" t="str">
        <f>INDEX(State_Region!$B$2:$B$26,MATCH(TRIM(A160),State_Region!$A$2:$A$26,0))</f>
        <v>North</v>
      </c>
      <c r="C160" s="3" t="s">
        <v>124</v>
      </c>
      <c r="D160" s="3" t="str">
        <f>INDEX(Port_Type!$B$2:$B$227,MATCH(TRIM(C160),Port_Type!$A$2:$A$227,0))</f>
        <v>Inland ICD / CFS</v>
      </c>
      <c r="E160" s="3" t="s">
        <v>27</v>
      </c>
      <c r="F160" s="3" t="str">
        <f>INDEX(Product_Category!$B$2:$B$45,MATCH(TRIM(E160),Product_Category!$A$2:$A$45,0))</f>
        <v>Cereals &amp; Grains</v>
      </c>
      <c r="G160" s="4">
        <v>0</v>
      </c>
      <c r="H160" s="4">
        <v>22.72</v>
      </c>
      <c r="I160" s="4">
        <v>7.92</v>
      </c>
      <c r="J160" s="4">
        <v>0</v>
      </c>
      <c r="K160" s="4">
        <v>53689.41</v>
      </c>
      <c r="L160" s="4">
        <v>17791.47</v>
      </c>
      <c r="M160" s="4">
        <f t="shared" si="6"/>
        <v>22.72</v>
      </c>
      <c r="N160" s="4">
        <f t="shared" si="7"/>
        <v>53689.41</v>
      </c>
      <c r="O160" s="4">
        <f t="shared" si="8"/>
        <v>-14.799999999999999</v>
      </c>
      <c r="P160" s="3" t="s">
        <v>19</v>
      </c>
    </row>
    <row r="161" spans="1:16" x14ac:dyDescent="0.35">
      <c r="A161" s="3" t="s">
        <v>23</v>
      </c>
      <c r="B161" s="3" t="str">
        <f>INDEX(State_Region!$B$2:$B$26,MATCH(TRIM(A161),State_Region!$A$2:$A$26,0))</f>
        <v>North</v>
      </c>
      <c r="C161" s="3" t="s">
        <v>123</v>
      </c>
      <c r="D161" s="3" t="str">
        <f>INDEX(Port_Type!$B$2:$B$227,MATCH(TRIM(C161),Port_Type!$A$2:$A$227,0))</f>
        <v>Land Border / Rail</v>
      </c>
      <c r="E161" s="3" t="s">
        <v>48</v>
      </c>
      <c r="F161" s="3" t="str">
        <f>INDEX(Product_Category!$B$2:$B$45,MATCH(TRIM(E161),Product_Category!$A$2:$A$45,0))</f>
        <v>Processed Foods</v>
      </c>
      <c r="G161" s="4">
        <v>27.84</v>
      </c>
      <c r="H161" s="4">
        <v>23.31</v>
      </c>
      <c r="I161" s="4">
        <v>7.79</v>
      </c>
      <c r="J161" s="4">
        <v>5651.96</v>
      </c>
      <c r="K161" s="4">
        <v>7054.08</v>
      </c>
      <c r="L161" s="4">
        <v>2017.04</v>
      </c>
      <c r="M161" s="4">
        <f t="shared" si="6"/>
        <v>-4.5300000000000011</v>
      </c>
      <c r="N161" s="4">
        <f t="shared" si="7"/>
        <v>1402.12</v>
      </c>
      <c r="O161" s="4">
        <f t="shared" si="8"/>
        <v>-15.52</v>
      </c>
      <c r="P161" s="3" t="s">
        <v>19</v>
      </c>
    </row>
    <row r="162" spans="1:16" x14ac:dyDescent="0.35">
      <c r="A162" s="3" t="s">
        <v>35</v>
      </c>
      <c r="B162" s="3" t="str">
        <f>INDEX(State_Region!$B$2:$B$26,MATCH(TRIM(A162),State_Region!$A$2:$A$26,0))</f>
        <v>North</v>
      </c>
      <c r="C162" s="3" t="s">
        <v>36</v>
      </c>
      <c r="D162" s="3" t="str">
        <f>INDEX(Port_Type!$B$2:$B$227,MATCH(TRIM(C162),Port_Type!$A$2:$A$227,0))</f>
        <v>Inland ICD / CFS</v>
      </c>
      <c r="E162" s="3" t="s">
        <v>27</v>
      </c>
      <c r="F162" s="3" t="str">
        <f>INDEX(Product_Category!$B$2:$B$45,MATCH(TRIM(E162),Product_Category!$A$2:$A$45,0))</f>
        <v>Cereals &amp; Grains</v>
      </c>
      <c r="G162" s="4">
        <v>11.57</v>
      </c>
      <c r="H162" s="4">
        <v>28.5</v>
      </c>
      <c r="I162" s="4">
        <v>7.77</v>
      </c>
      <c r="J162" s="4">
        <v>19316.79</v>
      </c>
      <c r="K162" s="4">
        <v>48872.04</v>
      </c>
      <c r="L162" s="4">
        <v>11970.99</v>
      </c>
      <c r="M162" s="4">
        <f t="shared" si="6"/>
        <v>16.93</v>
      </c>
      <c r="N162" s="4">
        <f t="shared" si="7"/>
        <v>29555.25</v>
      </c>
      <c r="O162" s="4">
        <f t="shared" si="8"/>
        <v>-20.73</v>
      </c>
      <c r="P162" s="3" t="s">
        <v>19</v>
      </c>
    </row>
    <row r="163" spans="1:16" x14ac:dyDescent="0.35">
      <c r="A163" s="3" t="s">
        <v>40</v>
      </c>
      <c r="B163" s="3" t="str">
        <f>INDEX(State_Region!$B$2:$B$26,MATCH(TRIM(A163),State_Region!$A$2:$A$26,0))</f>
        <v>South</v>
      </c>
      <c r="C163" s="3" t="s">
        <v>41</v>
      </c>
      <c r="D163" s="3" t="str">
        <f>INDEX(Port_Type!$B$2:$B$227,MATCH(TRIM(C163),Port_Type!$A$2:$A$227,0))</f>
        <v>Sea Port</v>
      </c>
      <c r="E163" s="3" t="s">
        <v>48</v>
      </c>
      <c r="F163" s="3" t="str">
        <f>INDEX(Product_Category!$B$2:$B$45,MATCH(TRIM(E163),Product_Category!$A$2:$A$45,0))</f>
        <v>Processed Foods</v>
      </c>
      <c r="G163" s="4">
        <v>21.68</v>
      </c>
      <c r="H163" s="4">
        <v>24.27</v>
      </c>
      <c r="I163" s="4">
        <v>7.5</v>
      </c>
      <c r="J163" s="4">
        <v>8876.2199999999993</v>
      </c>
      <c r="K163" s="4">
        <v>10579.73</v>
      </c>
      <c r="L163" s="4">
        <v>3565.6</v>
      </c>
      <c r="M163" s="4">
        <f t="shared" si="6"/>
        <v>2.59</v>
      </c>
      <c r="N163" s="4">
        <f t="shared" si="7"/>
        <v>1703.5100000000002</v>
      </c>
      <c r="O163" s="4">
        <f t="shared" si="8"/>
        <v>-16.77</v>
      </c>
      <c r="P163" s="3" t="s">
        <v>19</v>
      </c>
    </row>
    <row r="164" spans="1:16" x14ac:dyDescent="0.35">
      <c r="A164" s="3" t="s">
        <v>20</v>
      </c>
      <c r="B164" s="3" t="str">
        <f>INDEX(State_Region!$B$2:$B$26,MATCH(TRIM(A164),State_Region!$A$2:$A$26,0))</f>
        <v>West</v>
      </c>
      <c r="C164" s="3" t="s">
        <v>21</v>
      </c>
      <c r="D164" s="3" t="str">
        <f>INDEX(Port_Type!$B$2:$B$227,MATCH(TRIM(C164),Port_Type!$A$2:$A$227,0))</f>
        <v>Sea Port</v>
      </c>
      <c r="E164" s="3" t="s">
        <v>125</v>
      </c>
      <c r="F164" s="3" t="str">
        <f>INDEX(Product_Category!$B$2:$B$45,MATCH(TRIM(E164),Product_Category!$A$2:$A$45,0))</f>
        <v>Meat &amp; Animal Products</v>
      </c>
      <c r="G164" s="4">
        <v>14.26</v>
      </c>
      <c r="H164" s="4">
        <v>24.42</v>
      </c>
      <c r="I164" s="4">
        <v>7.47</v>
      </c>
      <c r="J164" s="4">
        <v>4866.9399999999996</v>
      </c>
      <c r="K164" s="4">
        <v>6946.93</v>
      </c>
      <c r="L164" s="4">
        <v>2175.6</v>
      </c>
      <c r="M164" s="4">
        <f t="shared" si="6"/>
        <v>10.160000000000002</v>
      </c>
      <c r="N164" s="4">
        <f t="shared" si="7"/>
        <v>2079.9900000000007</v>
      </c>
      <c r="O164" s="4">
        <f t="shared" si="8"/>
        <v>-16.950000000000003</v>
      </c>
      <c r="P164" s="3" t="s">
        <v>19</v>
      </c>
    </row>
    <row r="165" spans="1:16" x14ac:dyDescent="0.35">
      <c r="A165" s="3" t="s">
        <v>16</v>
      </c>
      <c r="B165" s="3" t="str">
        <f>INDEX(State_Region!$B$2:$B$26,MATCH(TRIM(A165),State_Region!$A$2:$A$26,0))</f>
        <v>West</v>
      </c>
      <c r="C165" s="3" t="s">
        <v>17</v>
      </c>
      <c r="D165" s="3" t="str">
        <f>INDEX(Port_Type!$B$2:$B$227,MATCH(TRIM(C165),Port_Type!$A$2:$A$227,0))</f>
        <v>Sea Port</v>
      </c>
      <c r="E165" s="3" t="s">
        <v>126</v>
      </c>
      <c r="F165" s="3" t="str">
        <f>INDEX(Product_Category!$B$2:$B$45,MATCH(TRIM(E165),Product_Category!$A$2:$A$45,0))</f>
        <v>Cereals &amp; Grains</v>
      </c>
      <c r="G165" s="4">
        <v>7.74</v>
      </c>
      <c r="H165" s="4">
        <v>15.37</v>
      </c>
      <c r="I165" s="4">
        <v>7.46</v>
      </c>
      <c r="J165" s="4">
        <v>8879.59</v>
      </c>
      <c r="K165" s="4">
        <v>13563.17</v>
      </c>
      <c r="L165" s="4">
        <v>10368.15</v>
      </c>
      <c r="M165" s="4">
        <f t="shared" si="6"/>
        <v>7.629999999999999</v>
      </c>
      <c r="N165" s="4">
        <f t="shared" si="7"/>
        <v>4683.58</v>
      </c>
      <c r="O165" s="4">
        <f t="shared" si="8"/>
        <v>-7.9099999999999993</v>
      </c>
      <c r="P165" s="3" t="s">
        <v>19</v>
      </c>
    </row>
    <row r="166" spans="1:16" x14ac:dyDescent="0.35">
      <c r="A166" s="3" t="s">
        <v>40</v>
      </c>
      <c r="B166" s="3" t="str">
        <f>INDEX(State_Region!$B$2:$B$26,MATCH(TRIM(A166),State_Region!$A$2:$A$26,0))</f>
        <v>South</v>
      </c>
      <c r="C166" s="3" t="s">
        <v>41</v>
      </c>
      <c r="D166" s="3" t="str">
        <f>INDEX(Port_Type!$B$2:$B$227,MATCH(TRIM(C166),Port_Type!$A$2:$A$227,0))</f>
        <v>Sea Port</v>
      </c>
      <c r="E166" s="3" t="s">
        <v>72</v>
      </c>
      <c r="F166" s="3" t="str">
        <f>INDEX(Product_Category!$B$2:$B$45,MATCH(TRIM(E166),Product_Category!$A$2:$A$45,0))</f>
        <v>Dairy, Poultry &amp; Honey</v>
      </c>
      <c r="G166" s="4">
        <v>16.77</v>
      </c>
      <c r="H166" s="4">
        <v>21.26</v>
      </c>
      <c r="I166" s="4">
        <v>7.36</v>
      </c>
      <c r="J166" s="4">
        <v>4516.08</v>
      </c>
      <c r="K166" s="4">
        <v>6912.32</v>
      </c>
      <c r="L166" s="4">
        <v>2936.02</v>
      </c>
      <c r="M166" s="4">
        <f t="shared" si="6"/>
        <v>4.490000000000002</v>
      </c>
      <c r="N166" s="4">
        <f t="shared" si="7"/>
        <v>2396.2399999999998</v>
      </c>
      <c r="O166" s="4">
        <f t="shared" si="8"/>
        <v>-13.900000000000002</v>
      </c>
      <c r="P166" s="3" t="s">
        <v>19</v>
      </c>
    </row>
    <row r="167" spans="1:16" x14ac:dyDescent="0.35">
      <c r="A167" s="3" t="s">
        <v>66</v>
      </c>
      <c r="B167" s="3" t="str">
        <f>INDEX(State_Region!$B$2:$B$26,MATCH(TRIM(A167),State_Region!$A$2:$A$26,0))</f>
        <v>North</v>
      </c>
      <c r="C167" s="3" t="s">
        <v>127</v>
      </c>
      <c r="D167" s="3" t="str">
        <f>INDEX(Port_Type!$B$2:$B$227,MATCH(TRIM(C167),Port_Type!$A$2:$A$227,0))</f>
        <v>Inland ICD / CFS</v>
      </c>
      <c r="E167" s="3" t="s">
        <v>18</v>
      </c>
      <c r="F167" s="3" t="str">
        <f>INDEX(Product_Category!$B$2:$B$45,MATCH(TRIM(E167),Product_Category!$A$2:$A$45,0))</f>
        <v>Cereals &amp; Grains</v>
      </c>
      <c r="G167" s="4">
        <v>62.18</v>
      </c>
      <c r="H167" s="4">
        <v>24.8</v>
      </c>
      <c r="I167" s="4">
        <v>7.29</v>
      </c>
      <c r="J167" s="4">
        <v>46724.94</v>
      </c>
      <c r="K167" s="4">
        <v>24692.44</v>
      </c>
      <c r="L167" s="4">
        <v>6398.02</v>
      </c>
      <c r="M167" s="4">
        <f t="shared" si="6"/>
        <v>-37.379999999999995</v>
      </c>
      <c r="N167" s="4">
        <f t="shared" si="7"/>
        <v>-22032.500000000004</v>
      </c>
      <c r="O167" s="4">
        <f t="shared" si="8"/>
        <v>-17.510000000000002</v>
      </c>
      <c r="P167" s="3" t="s">
        <v>19</v>
      </c>
    </row>
    <row r="168" spans="1:16" x14ac:dyDescent="0.35">
      <c r="A168" s="3" t="s">
        <v>74</v>
      </c>
      <c r="B168" s="3" t="str">
        <f>INDEX(State_Region!$B$2:$B$26,MATCH(TRIM(A168),State_Region!$A$2:$A$26,0))</f>
        <v>South</v>
      </c>
      <c r="C168" s="3" t="s">
        <v>75</v>
      </c>
      <c r="D168" s="3" t="str">
        <f>INDEX(Port_Type!$B$2:$B$227,MATCH(TRIM(C168),Port_Type!$A$2:$A$227,0))</f>
        <v>Inland ICD / CFS</v>
      </c>
      <c r="E168" s="3" t="s">
        <v>39</v>
      </c>
      <c r="F168" s="3" t="str">
        <f>INDEX(Product_Category!$B$2:$B$45,MATCH(TRIM(E168),Product_Category!$A$2:$A$45,0))</f>
        <v>Processed Foods</v>
      </c>
      <c r="G168" s="4">
        <v>8.2899999999999991</v>
      </c>
      <c r="H168" s="4">
        <v>16.010000000000002</v>
      </c>
      <c r="I168" s="4">
        <v>7.28</v>
      </c>
      <c r="J168" s="4">
        <v>1933.64</v>
      </c>
      <c r="K168" s="4">
        <v>3515.46</v>
      </c>
      <c r="L168" s="4">
        <v>1329.51</v>
      </c>
      <c r="M168" s="4">
        <f t="shared" si="6"/>
        <v>7.7200000000000024</v>
      </c>
      <c r="N168" s="4">
        <f t="shared" si="7"/>
        <v>1581.82</v>
      </c>
      <c r="O168" s="4">
        <f t="shared" si="8"/>
        <v>-8.73</v>
      </c>
      <c r="P168" s="3" t="s">
        <v>19</v>
      </c>
    </row>
    <row r="169" spans="1:16" x14ac:dyDescent="0.35">
      <c r="A169" s="3" t="s">
        <v>79</v>
      </c>
      <c r="B169" s="3" t="str">
        <f>INDEX(State_Region!$B$2:$B$26,MATCH(TRIM(A169),State_Region!$A$2:$A$26,0))</f>
        <v>South</v>
      </c>
      <c r="C169" s="3" t="s">
        <v>80</v>
      </c>
      <c r="D169" s="3" t="str">
        <f>INDEX(Port_Type!$B$2:$B$227,MATCH(TRIM(C169),Port_Type!$A$2:$A$227,0))</f>
        <v>Inland ICD / CFS</v>
      </c>
      <c r="E169" s="3" t="s">
        <v>128</v>
      </c>
      <c r="F169" s="3" t="str">
        <f>INDEX(Product_Category!$B$2:$B$45,MATCH(TRIM(E169),Product_Category!$A$2:$A$45,0))</f>
        <v>Dairy, Poultry &amp; Honey</v>
      </c>
      <c r="G169" s="4">
        <v>14.56</v>
      </c>
      <c r="H169" s="4">
        <v>24.89</v>
      </c>
      <c r="I169" s="4">
        <v>7.22</v>
      </c>
      <c r="J169" s="4">
        <v>2403.7199999999998</v>
      </c>
      <c r="K169" s="4">
        <v>3447.41</v>
      </c>
      <c r="L169" s="4">
        <v>1016.46</v>
      </c>
      <c r="M169" s="4">
        <f t="shared" si="6"/>
        <v>10.33</v>
      </c>
      <c r="N169" s="4">
        <f t="shared" si="7"/>
        <v>1043.69</v>
      </c>
      <c r="O169" s="4">
        <f t="shared" si="8"/>
        <v>-17.670000000000002</v>
      </c>
      <c r="P169" s="3" t="s">
        <v>19</v>
      </c>
    </row>
    <row r="170" spans="1:16" x14ac:dyDescent="0.35">
      <c r="A170" s="3" t="s">
        <v>129</v>
      </c>
      <c r="B170" s="3" t="str">
        <f>INDEX(State_Region!$B$2:$B$26,MATCH(TRIM(A170),State_Region!$A$2:$A$26,0))</f>
        <v>East</v>
      </c>
      <c r="C170" s="3" t="s">
        <v>130</v>
      </c>
      <c r="D170" s="3" t="str">
        <f>INDEX(Port_Type!$B$2:$B$227,MATCH(TRIM(C170),Port_Type!$A$2:$A$227,0))</f>
        <v>Sea Port</v>
      </c>
      <c r="E170" s="3" t="s">
        <v>27</v>
      </c>
      <c r="F170" s="3" t="str">
        <f>INDEX(Product_Category!$B$2:$B$45,MATCH(TRIM(E170),Product_Category!$A$2:$A$45,0))</f>
        <v>Cereals &amp; Grains</v>
      </c>
      <c r="G170" s="4">
        <v>0</v>
      </c>
      <c r="H170" s="4">
        <v>34.51</v>
      </c>
      <c r="I170" s="4">
        <v>7.16</v>
      </c>
      <c r="J170" s="4">
        <v>0</v>
      </c>
      <c r="K170" s="4">
        <v>93900</v>
      </c>
      <c r="L170" s="4">
        <v>21500</v>
      </c>
      <c r="M170" s="4">
        <f t="shared" si="6"/>
        <v>34.51</v>
      </c>
      <c r="N170" s="4">
        <f t="shared" si="7"/>
        <v>93900</v>
      </c>
      <c r="O170" s="4">
        <f t="shared" si="8"/>
        <v>-27.349999999999998</v>
      </c>
      <c r="P170" s="3" t="s">
        <v>19</v>
      </c>
    </row>
    <row r="171" spans="1:16" x14ac:dyDescent="0.35">
      <c r="A171" s="3" t="s">
        <v>31</v>
      </c>
      <c r="B171" s="3" t="str">
        <f>INDEX(State_Region!$B$2:$B$26,MATCH(TRIM(A171),State_Region!$A$2:$A$26,0))</f>
        <v>East</v>
      </c>
      <c r="C171" s="3" t="s">
        <v>131</v>
      </c>
      <c r="D171" s="3" t="str">
        <f>INDEX(Port_Type!$B$2:$B$227,MATCH(TRIM(C171),Port_Type!$A$2:$A$227,0))</f>
        <v>Land Border / Rail</v>
      </c>
      <c r="E171" s="3" t="s">
        <v>72</v>
      </c>
      <c r="F171" s="3" t="str">
        <f>INDEX(Product_Category!$B$2:$B$45,MATCH(TRIM(E171),Product_Category!$A$2:$A$45,0))</f>
        <v>Dairy, Poultry &amp; Honey</v>
      </c>
      <c r="G171" s="4">
        <v>18.940000000000001</v>
      </c>
      <c r="H171" s="4">
        <v>20.02</v>
      </c>
      <c r="I171" s="4">
        <v>7.14</v>
      </c>
      <c r="J171" s="4">
        <v>10771.58</v>
      </c>
      <c r="K171" s="4">
        <v>13016.68</v>
      </c>
      <c r="L171" s="4">
        <v>5303.33</v>
      </c>
      <c r="M171" s="4">
        <f t="shared" si="6"/>
        <v>1.0799999999999983</v>
      </c>
      <c r="N171" s="4">
        <f t="shared" si="7"/>
        <v>2245.1000000000004</v>
      </c>
      <c r="O171" s="4">
        <f t="shared" si="8"/>
        <v>-12.879999999999999</v>
      </c>
      <c r="P171" s="3" t="s">
        <v>19</v>
      </c>
    </row>
    <row r="172" spans="1:16" x14ac:dyDescent="0.35">
      <c r="A172" s="3" t="s">
        <v>40</v>
      </c>
      <c r="B172" s="3" t="str">
        <f>INDEX(State_Region!$B$2:$B$26,MATCH(TRIM(A172),State_Region!$A$2:$A$26,0))</f>
        <v>South</v>
      </c>
      <c r="C172" s="3" t="s">
        <v>85</v>
      </c>
      <c r="D172" s="3" t="str">
        <f>INDEX(Port_Type!$B$2:$B$227,MATCH(TRIM(C172),Port_Type!$A$2:$A$227,0))</f>
        <v>Sea Port</v>
      </c>
      <c r="E172" s="3" t="s">
        <v>81</v>
      </c>
      <c r="F172" s="3" t="str">
        <f>INDEX(Product_Category!$B$2:$B$45,MATCH(TRIM(E172),Product_Category!$A$2:$A$45,0))</f>
        <v>Processed Foods</v>
      </c>
      <c r="G172" s="4">
        <v>32.57</v>
      </c>
      <c r="H172" s="4">
        <v>28.19</v>
      </c>
      <c r="I172" s="4">
        <v>7.11</v>
      </c>
      <c r="J172" s="4">
        <v>29295.38</v>
      </c>
      <c r="K172" s="4">
        <v>33283.93</v>
      </c>
      <c r="L172" s="4">
        <v>8947.3799999999992</v>
      </c>
      <c r="M172" s="4">
        <f t="shared" si="6"/>
        <v>-4.379999999999999</v>
      </c>
      <c r="N172" s="4">
        <f t="shared" si="7"/>
        <v>3988.5499999999993</v>
      </c>
      <c r="O172" s="4">
        <f t="shared" si="8"/>
        <v>-21.080000000000002</v>
      </c>
      <c r="P172" s="3" t="s">
        <v>19</v>
      </c>
    </row>
    <row r="173" spans="1:16" x14ac:dyDescent="0.35">
      <c r="A173" s="3" t="s">
        <v>77</v>
      </c>
      <c r="B173" s="3" t="str">
        <f>INDEX(State_Region!$B$2:$B$26,MATCH(TRIM(A173),State_Region!$A$2:$A$26,0))</f>
        <v>South</v>
      </c>
      <c r="C173" s="3" t="s">
        <v>132</v>
      </c>
      <c r="D173" s="3" t="str">
        <f>INDEX(Port_Type!$B$2:$B$227,MATCH(TRIM(C173),Port_Type!$A$2:$A$227,0))</f>
        <v>Air Cargo</v>
      </c>
      <c r="E173" s="3" t="s">
        <v>102</v>
      </c>
      <c r="F173" s="3" t="str">
        <f>INDEX(Product_Category!$B$2:$B$45,MATCH(TRIM(E173),Product_Category!$A$2:$A$45,0))</f>
        <v>Fresh Fruits &amp; Vegetables</v>
      </c>
      <c r="G173" s="4">
        <v>13.06</v>
      </c>
      <c r="H173" s="4">
        <v>16.22</v>
      </c>
      <c r="I173" s="4">
        <v>7.1</v>
      </c>
      <c r="J173" s="4">
        <v>12910.09</v>
      </c>
      <c r="K173" s="4">
        <v>16152.28</v>
      </c>
      <c r="L173" s="4">
        <v>6076.72</v>
      </c>
      <c r="M173" s="4">
        <f t="shared" si="6"/>
        <v>3.1599999999999984</v>
      </c>
      <c r="N173" s="4">
        <f t="shared" si="7"/>
        <v>3242.1900000000005</v>
      </c>
      <c r="O173" s="4">
        <f t="shared" si="8"/>
        <v>-9.1199999999999992</v>
      </c>
      <c r="P173" s="3" t="s">
        <v>19</v>
      </c>
    </row>
    <row r="174" spans="1:16" x14ac:dyDescent="0.35">
      <c r="A174" s="3" t="s">
        <v>35</v>
      </c>
      <c r="B174" s="3" t="str">
        <f>INDEX(State_Region!$B$2:$B$26,MATCH(TRIM(A174),State_Region!$A$2:$A$26,0))</f>
        <v>North</v>
      </c>
      <c r="C174" s="3" t="s">
        <v>47</v>
      </c>
      <c r="D174" s="3" t="str">
        <f>INDEX(Port_Type!$B$2:$B$227,MATCH(TRIM(C174),Port_Type!$A$2:$A$227,0))</f>
        <v>Inland ICD / CFS</v>
      </c>
      <c r="E174" s="3" t="s">
        <v>125</v>
      </c>
      <c r="F174" s="3" t="str">
        <f>INDEX(Product_Category!$B$2:$B$45,MATCH(TRIM(E174),Product_Category!$A$2:$A$45,0))</f>
        <v>Meat &amp; Animal Products</v>
      </c>
      <c r="G174" s="4">
        <v>11.64</v>
      </c>
      <c r="H174" s="4">
        <v>12.99</v>
      </c>
      <c r="I174" s="4">
        <v>7.08</v>
      </c>
      <c r="J174" s="4">
        <v>4027.84</v>
      </c>
      <c r="K174" s="4">
        <v>3409.1</v>
      </c>
      <c r="L174" s="4">
        <v>1688.9</v>
      </c>
      <c r="M174" s="4">
        <f t="shared" si="6"/>
        <v>1.3499999999999996</v>
      </c>
      <c r="N174" s="4">
        <f t="shared" si="7"/>
        <v>-618.74000000000024</v>
      </c>
      <c r="O174" s="4">
        <f t="shared" si="8"/>
        <v>-5.91</v>
      </c>
      <c r="P174" s="3" t="s">
        <v>19</v>
      </c>
    </row>
    <row r="175" spans="1:16" x14ac:dyDescent="0.35">
      <c r="A175" s="3" t="s">
        <v>31</v>
      </c>
      <c r="B175" s="3" t="str">
        <f>INDEX(State_Region!$B$2:$B$26,MATCH(TRIM(A175),State_Region!$A$2:$A$26,0))</f>
        <v>East</v>
      </c>
      <c r="C175" s="3" t="s">
        <v>133</v>
      </c>
      <c r="D175" s="3" t="str">
        <f>INDEX(Port_Type!$B$2:$B$227,MATCH(TRIM(C175),Port_Type!$A$2:$A$227,0))</f>
        <v>Inland ICD / CFS</v>
      </c>
      <c r="E175" s="3" t="s">
        <v>62</v>
      </c>
      <c r="F175" s="3" t="str">
        <f>INDEX(Product_Category!$B$2:$B$45,MATCH(TRIM(E175),Product_Category!$A$2:$A$45,0))</f>
        <v>Cereals &amp; Grains</v>
      </c>
      <c r="G175" s="4">
        <v>5.47</v>
      </c>
      <c r="H175" s="4">
        <v>8.31</v>
      </c>
      <c r="I175" s="4">
        <v>7.05</v>
      </c>
      <c r="J175" s="4">
        <v>22112.400000000001</v>
      </c>
      <c r="K175" s="4">
        <v>37021.32</v>
      </c>
      <c r="L175" s="4">
        <v>33798.11</v>
      </c>
      <c r="M175" s="4">
        <f t="shared" si="6"/>
        <v>2.8400000000000007</v>
      </c>
      <c r="N175" s="4">
        <f t="shared" si="7"/>
        <v>14908.919999999998</v>
      </c>
      <c r="O175" s="4">
        <f t="shared" si="8"/>
        <v>-1.2600000000000007</v>
      </c>
      <c r="P175" s="3" t="s">
        <v>19</v>
      </c>
    </row>
    <row r="176" spans="1:16" x14ac:dyDescent="0.35">
      <c r="A176" s="3" t="s">
        <v>20</v>
      </c>
      <c r="B176" s="3" t="str">
        <f>INDEX(State_Region!$B$2:$B$26,MATCH(TRIM(A176),State_Region!$A$2:$A$26,0))</f>
        <v>West</v>
      </c>
      <c r="C176" s="3" t="s">
        <v>21</v>
      </c>
      <c r="D176" s="3" t="str">
        <f>INDEX(Port_Type!$B$2:$B$227,MATCH(TRIM(C176),Port_Type!$A$2:$A$227,0))</f>
        <v>Sea Port</v>
      </c>
      <c r="E176" s="3" t="s">
        <v>46</v>
      </c>
      <c r="F176" s="3" t="str">
        <f>INDEX(Product_Category!$B$2:$B$45,MATCH(TRIM(E176),Product_Category!$A$2:$A$45,0))</f>
        <v>Others</v>
      </c>
      <c r="G176" s="4">
        <v>14.33</v>
      </c>
      <c r="H176" s="4">
        <v>22.54</v>
      </c>
      <c r="I176" s="4">
        <v>7.05</v>
      </c>
      <c r="J176" s="4">
        <v>3406.17</v>
      </c>
      <c r="K176" s="4">
        <v>5424.94</v>
      </c>
      <c r="L176" s="4">
        <v>1794.69</v>
      </c>
      <c r="M176" s="4">
        <f t="shared" si="6"/>
        <v>8.2099999999999991</v>
      </c>
      <c r="N176" s="4">
        <f t="shared" si="7"/>
        <v>2018.7699999999995</v>
      </c>
      <c r="O176" s="4">
        <f t="shared" si="8"/>
        <v>-15.489999999999998</v>
      </c>
      <c r="P176" s="3" t="s">
        <v>19</v>
      </c>
    </row>
    <row r="177" spans="1:16" x14ac:dyDescent="0.35">
      <c r="A177" s="3" t="s">
        <v>16</v>
      </c>
      <c r="B177" s="3" t="str">
        <f>INDEX(State_Region!$B$2:$B$26,MATCH(TRIM(A177),State_Region!$A$2:$A$26,0))</f>
        <v>West</v>
      </c>
      <c r="C177" s="3" t="s">
        <v>52</v>
      </c>
      <c r="D177" s="3" t="str">
        <f>INDEX(Port_Type!$B$2:$B$227,MATCH(TRIM(C177),Port_Type!$A$2:$A$227,0))</f>
        <v>Sea Port</v>
      </c>
      <c r="E177" s="3" t="s">
        <v>46</v>
      </c>
      <c r="F177" s="3" t="str">
        <f>INDEX(Product_Category!$B$2:$B$45,MATCH(TRIM(E177),Product_Category!$A$2:$A$45,0))</f>
        <v>Others</v>
      </c>
      <c r="G177" s="4">
        <v>0.02</v>
      </c>
      <c r="H177" s="4">
        <v>14.4</v>
      </c>
      <c r="I177" s="4">
        <v>6.94</v>
      </c>
      <c r="J177" s="4">
        <v>8.75</v>
      </c>
      <c r="K177" s="4">
        <v>21850</v>
      </c>
      <c r="L177" s="4">
        <v>10550</v>
      </c>
      <c r="M177" s="4">
        <f t="shared" si="6"/>
        <v>14.38</v>
      </c>
      <c r="N177" s="4">
        <f t="shared" si="7"/>
        <v>21841.25</v>
      </c>
      <c r="O177" s="4">
        <f t="shared" si="8"/>
        <v>-7.46</v>
      </c>
      <c r="P177" s="3" t="s">
        <v>19</v>
      </c>
    </row>
    <row r="178" spans="1:16" x14ac:dyDescent="0.35">
      <c r="A178" s="3" t="s">
        <v>20</v>
      </c>
      <c r="B178" s="3" t="str">
        <f>INDEX(State_Region!$B$2:$B$26,MATCH(TRIM(A178),State_Region!$A$2:$A$26,0))</f>
        <v>West</v>
      </c>
      <c r="C178" s="3" t="s">
        <v>134</v>
      </c>
      <c r="D178" s="3" t="str">
        <f>INDEX(Port_Type!$B$2:$B$227,MATCH(TRIM(C178),Port_Type!$A$2:$A$227,0))</f>
        <v>Inland ICD / CFS</v>
      </c>
      <c r="E178" s="3" t="s">
        <v>55</v>
      </c>
      <c r="F178" s="3" t="str">
        <f>INDEX(Product_Category!$B$2:$B$45,MATCH(TRIM(E178),Product_Category!$A$2:$A$45,0))</f>
        <v>Fresh Fruits &amp; Vegetables</v>
      </c>
      <c r="G178" s="4">
        <v>0</v>
      </c>
      <c r="H178" s="4">
        <v>13.36</v>
      </c>
      <c r="I178" s="4">
        <v>6.94</v>
      </c>
      <c r="J178" s="4">
        <v>0</v>
      </c>
      <c r="K178" s="4">
        <v>59278.68</v>
      </c>
      <c r="L178" s="4">
        <v>25505.18</v>
      </c>
      <c r="M178" s="4">
        <f t="shared" si="6"/>
        <v>13.36</v>
      </c>
      <c r="N178" s="4">
        <f t="shared" si="7"/>
        <v>59278.68</v>
      </c>
      <c r="O178" s="4">
        <f t="shared" si="8"/>
        <v>-6.419999999999999</v>
      </c>
      <c r="P178" s="3" t="s">
        <v>19</v>
      </c>
    </row>
    <row r="179" spans="1:16" x14ac:dyDescent="0.35">
      <c r="A179" s="3" t="s">
        <v>16</v>
      </c>
      <c r="B179" s="3" t="str">
        <f>INDEX(State_Region!$B$2:$B$26,MATCH(TRIM(A179),State_Region!$A$2:$A$26,0))</f>
        <v>West</v>
      </c>
      <c r="C179" s="3" t="s">
        <v>135</v>
      </c>
      <c r="D179" s="3" t="str">
        <f>INDEX(Port_Type!$B$2:$B$227,MATCH(TRIM(C179),Port_Type!$A$2:$A$227,0))</f>
        <v>Air Cargo</v>
      </c>
      <c r="E179" s="3" t="s">
        <v>39</v>
      </c>
      <c r="F179" s="3" t="str">
        <f>INDEX(Product_Category!$B$2:$B$45,MATCH(TRIM(E179),Product_Category!$A$2:$A$45,0))</f>
        <v>Processed Foods</v>
      </c>
      <c r="G179" s="4">
        <v>12.18</v>
      </c>
      <c r="H179" s="4">
        <v>16.739999999999998</v>
      </c>
      <c r="I179" s="4">
        <v>6.93</v>
      </c>
      <c r="J179" s="4">
        <v>601.35</v>
      </c>
      <c r="K179" s="4">
        <v>890.95</v>
      </c>
      <c r="L179" s="4">
        <v>365.94</v>
      </c>
      <c r="M179" s="4">
        <f t="shared" si="6"/>
        <v>4.5599999999999987</v>
      </c>
      <c r="N179" s="4">
        <f t="shared" si="7"/>
        <v>289.60000000000002</v>
      </c>
      <c r="O179" s="4">
        <f t="shared" si="8"/>
        <v>-9.8099999999999987</v>
      </c>
      <c r="P179" s="3" t="s">
        <v>19</v>
      </c>
    </row>
    <row r="180" spans="1:16" x14ac:dyDescent="0.35">
      <c r="A180" s="3" t="s">
        <v>23</v>
      </c>
      <c r="B180" s="3" t="str">
        <f>INDEX(State_Region!$B$2:$B$26,MATCH(TRIM(A180),State_Region!$A$2:$A$26,0))</f>
        <v>North</v>
      </c>
      <c r="C180" s="3" t="s">
        <v>44</v>
      </c>
      <c r="D180" s="3" t="str">
        <f>INDEX(Port_Type!$B$2:$B$227,MATCH(TRIM(C180),Port_Type!$A$2:$A$227,0))</f>
        <v>Inland ICD / CFS</v>
      </c>
      <c r="E180" s="3" t="s">
        <v>39</v>
      </c>
      <c r="F180" s="3" t="str">
        <f>INDEX(Product_Category!$B$2:$B$45,MATCH(TRIM(E180),Product_Category!$A$2:$A$45,0))</f>
        <v>Processed Foods</v>
      </c>
      <c r="G180" s="4">
        <v>20.94</v>
      </c>
      <c r="H180" s="4">
        <v>14.72</v>
      </c>
      <c r="I180" s="4">
        <v>6.92</v>
      </c>
      <c r="J180" s="4">
        <v>9142.82</v>
      </c>
      <c r="K180" s="4">
        <v>7531.18</v>
      </c>
      <c r="L180" s="4">
        <v>3104.55</v>
      </c>
      <c r="M180" s="4">
        <f t="shared" si="6"/>
        <v>-6.2200000000000006</v>
      </c>
      <c r="N180" s="4">
        <f t="shared" si="7"/>
        <v>-1611.6399999999994</v>
      </c>
      <c r="O180" s="4">
        <f t="shared" si="8"/>
        <v>-7.8000000000000007</v>
      </c>
      <c r="P180" s="3" t="s">
        <v>19</v>
      </c>
    </row>
    <row r="181" spans="1:16" x14ac:dyDescent="0.35">
      <c r="A181" s="3" t="s">
        <v>35</v>
      </c>
      <c r="B181" s="3" t="str">
        <f>INDEX(State_Region!$B$2:$B$26,MATCH(TRIM(A181),State_Region!$A$2:$A$26,0))</f>
        <v>North</v>
      </c>
      <c r="C181" s="3" t="s">
        <v>36</v>
      </c>
      <c r="D181" s="3" t="str">
        <f>INDEX(Port_Type!$B$2:$B$227,MATCH(TRIM(C181),Port_Type!$A$2:$A$227,0))</f>
        <v>Inland ICD / CFS</v>
      </c>
      <c r="E181" s="3" t="s">
        <v>72</v>
      </c>
      <c r="F181" s="3" t="str">
        <f>INDEX(Product_Category!$B$2:$B$45,MATCH(TRIM(E181),Product_Category!$A$2:$A$45,0))</f>
        <v>Dairy, Poultry &amp; Honey</v>
      </c>
      <c r="G181" s="4">
        <v>0.28000000000000003</v>
      </c>
      <c r="H181" s="4">
        <v>18.670000000000002</v>
      </c>
      <c r="I181" s="4">
        <v>6.88</v>
      </c>
      <c r="J181" s="4">
        <v>93.59</v>
      </c>
      <c r="K181" s="4">
        <v>3712.08</v>
      </c>
      <c r="L181" s="4">
        <v>1383.35</v>
      </c>
      <c r="M181" s="4">
        <f t="shared" si="6"/>
        <v>18.39</v>
      </c>
      <c r="N181" s="4">
        <f t="shared" si="7"/>
        <v>3618.49</v>
      </c>
      <c r="O181" s="4">
        <f t="shared" si="8"/>
        <v>-11.790000000000003</v>
      </c>
      <c r="P181" s="3" t="s">
        <v>19</v>
      </c>
    </row>
    <row r="182" spans="1:16" x14ac:dyDescent="0.35">
      <c r="A182" s="3" t="s">
        <v>23</v>
      </c>
      <c r="B182" s="3" t="str">
        <f>INDEX(State_Region!$B$2:$B$26,MATCH(TRIM(A182),State_Region!$A$2:$A$26,0))</f>
        <v>North</v>
      </c>
      <c r="C182" s="3" t="s">
        <v>136</v>
      </c>
      <c r="D182" s="3" t="str">
        <f>INDEX(Port_Type!$B$2:$B$227,MATCH(TRIM(C182),Port_Type!$A$2:$A$227,0))</f>
        <v>Inland ICD / CFS</v>
      </c>
      <c r="E182" s="3" t="s">
        <v>53</v>
      </c>
      <c r="F182" s="3" t="str">
        <f>INDEX(Product_Category!$B$2:$B$45,MATCH(TRIM(E182),Product_Category!$A$2:$A$45,0))</f>
        <v>Processed Foods</v>
      </c>
      <c r="G182" s="4">
        <v>10.77</v>
      </c>
      <c r="H182" s="4">
        <v>5.22</v>
      </c>
      <c r="I182" s="4">
        <v>6.86</v>
      </c>
      <c r="J182" s="4">
        <v>15561.32</v>
      </c>
      <c r="K182" s="4">
        <v>7389.02</v>
      </c>
      <c r="L182" s="4">
        <v>10384.18</v>
      </c>
      <c r="M182" s="4">
        <f t="shared" si="6"/>
        <v>-5.55</v>
      </c>
      <c r="N182" s="4">
        <f t="shared" si="7"/>
        <v>-8172.2999999999993</v>
      </c>
      <c r="O182" s="4">
        <f t="shared" si="8"/>
        <v>1.6400000000000006</v>
      </c>
      <c r="P182" s="3" t="s">
        <v>19</v>
      </c>
    </row>
    <row r="183" spans="1:16" x14ac:dyDescent="0.35">
      <c r="A183" s="3" t="s">
        <v>74</v>
      </c>
      <c r="B183" s="3" t="str">
        <f>INDEX(State_Region!$B$2:$B$26,MATCH(TRIM(A183),State_Region!$A$2:$A$26,0))</f>
        <v>South</v>
      </c>
      <c r="C183" s="3" t="s">
        <v>137</v>
      </c>
      <c r="D183" s="3" t="str">
        <f>INDEX(Port_Type!$B$2:$B$227,MATCH(TRIM(C183),Port_Type!$A$2:$A$227,0))</f>
        <v>Air Cargo</v>
      </c>
      <c r="E183" s="3" t="s">
        <v>69</v>
      </c>
      <c r="F183" s="3" t="str">
        <f>INDEX(Product_Category!$B$2:$B$45,MATCH(TRIM(E183),Product_Category!$A$2:$A$45,0))</f>
        <v>Others</v>
      </c>
      <c r="G183" s="4">
        <v>12.81</v>
      </c>
      <c r="H183" s="4">
        <v>16.12</v>
      </c>
      <c r="I183" s="4">
        <v>6.82</v>
      </c>
      <c r="J183" s="4">
        <v>75.47</v>
      </c>
      <c r="K183" s="4">
        <v>109.16</v>
      </c>
      <c r="L183" s="4">
        <v>31.3</v>
      </c>
      <c r="M183" s="4">
        <f t="shared" si="6"/>
        <v>3.3100000000000005</v>
      </c>
      <c r="N183" s="4">
        <f t="shared" si="7"/>
        <v>33.69</v>
      </c>
      <c r="O183" s="4">
        <f t="shared" si="8"/>
        <v>-9.3000000000000007</v>
      </c>
      <c r="P183" s="3" t="s">
        <v>19</v>
      </c>
    </row>
    <row r="184" spans="1:16" x14ac:dyDescent="0.35">
      <c r="A184" s="3" t="s">
        <v>23</v>
      </c>
      <c r="B184" s="3" t="str">
        <f>INDEX(State_Region!$B$2:$B$26,MATCH(TRIM(A184),State_Region!$A$2:$A$26,0))</f>
        <v>North</v>
      </c>
      <c r="C184" s="3" t="s">
        <v>34</v>
      </c>
      <c r="D184" s="3" t="str">
        <f>INDEX(Port_Type!$B$2:$B$227,MATCH(TRIM(C184),Port_Type!$A$2:$A$227,0))</f>
        <v>Inland ICD / CFS</v>
      </c>
      <c r="E184" s="3" t="s">
        <v>60</v>
      </c>
      <c r="F184" s="3" t="str">
        <f>INDEX(Product_Category!$B$2:$B$45,MATCH(TRIM(E184),Product_Category!$A$2:$A$45,0))</f>
        <v>Processed Foods</v>
      </c>
      <c r="G184" s="4">
        <v>0</v>
      </c>
      <c r="H184" s="4">
        <v>4.5</v>
      </c>
      <c r="I184" s="4">
        <v>6.79</v>
      </c>
      <c r="J184" s="4">
        <v>0</v>
      </c>
      <c r="K184" s="4">
        <v>4970</v>
      </c>
      <c r="L184" s="4">
        <v>9378.91</v>
      </c>
      <c r="M184" s="4">
        <f t="shared" si="6"/>
        <v>4.5</v>
      </c>
      <c r="N184" s="4">
        <f t="shared" si="7"/>
        <v>4970</v>
      </c>
      <c r="O184" s="4">
        <f t="shared" si="8"/>
        <v>2.29</v>
      </c>
      <c r="P184" s="3" t="s">
        <v>19</v>
      </c>
    </row>
    <row r="185" spans="1:16" x14ac:dyDescent="0.35">
      <c r="A185" s="3" t="s">
        <v>94</v>
      </c>
      <c r="B185" s="3" t="str">
        <f>INDEX(State_Region!$B$2:$B$26,MATCH(TRIM(A185),State_Region!$A$2:$A$26,0))</f>
        <v>East</v>
      </c>
      <c r="C185" s="3" t="s">
        <v>95</v>
      </c>
      <c r="D185" s="3" t="str">
        <f>INDEX(Port_Type!$B$2:$B$227,MATCH(TRIM(C185),Port_Type!$A$2:$A$227,0))</f>
        <v>Land Border / Rail</v>
      </c>
      <c r="E185" s="3" t="s">
        <v>48</v>
      </c>
      <c r="F185" s="3" t="str">
        <f>INDEX(Product_Category!$B$2:$B$45,MATCH(TRIM(E185),Product_Category!$A$2:$A$45,0))</f>
        <v>Processed Foods</v>
      </c>
      <c r="G185" s="4">
        <v>22.69</v>
      </c>
      <c r="H185" s="4">
        <v>21.56</v>
      </c>
      <c r="I185" s="4">
        <v>6.76</v>
      </c>
      <c r="J185" s="4">
        <v>2385.81</v>
      </c>
      <c r="K185" s="4">
        <v>3761.98</v>
      </c>
      <c r="L185" s="4">
        <v>716.51</v>
      </c>
      <c r="M185" s="4">
        <f t="shared" si="6"/>
        <v>-1.1300000000000026</v>
      </c>
      <c r="N185" s="4">
        <f t="shared" si="7"/>
        <v>1376.17</v>
      </c>
      <c r="O185" s="4">
        <f t="shared" si="8"/>
        <v>-14.799999999999999</v>
      </c>
      <c r="P185" s="3" t="s">
        <v>19</v>
      </c>
    </row>
    <row r="186" spans="1:16" x14ac:dyDescent="0.35">
      <c r="A186" s="3" t="s">
        <v>40</v>
      </c>
      <c r="B186" s="3" t="str">
        <f>INDEX(State_Region!$B$2:$B$26,MATCH(TRIM(A186),State_Region!$A$2:$A$26,0))</f>
        <v>South</v>
      </c>
      <c r="C186" s="3" t="s">
        <v>85</v>
      </c>
      <c r="D186" s="3" t="str">
        <f>INDEX(Port_Type!$B$2:$B$227,MATCH(TRIM(C186),Port_Type!$A$2:$A$227,0))</f>
        <v>Sea Port</v>
      </c>
      <c r="E186" s="3" t="s">
        <v>54</v>
      </c>
      <c r="F186" s="3" t="str">
        <f>INDEX(Product_Category!$B$2:$B$45,MATCH(TRIM(E186),Product_Category!$A$2:$A$45,0))</f>
        <v>Processed Foods</v>
      </c>
      <c r="G186" s="4">
        <v>13.15</v>
      </c>
      <c r="H186" s="4">
        <v>26.18</v>
      </c>
      <c r="I186" s="4">
        <v>6.64</v>
      </c>
      <c r="J186" s="4">
        <v>11929.76</v>
      </c>
      <c r="K186" s="4">
        <v>22202.59</v>
      </c>
      <c r="L186" s="4">
        <v>6443.85</v>
      </c>
      <c r="M186" s="4">
        <f t="shared" si="6"/>
        <v>13.03</v>
      </c>
      <c r="N186" s="4">
        <f t="shared" si="7"/>
        <v>10272.83</v>
      </c>
      <c r="O186" s="4">
        <f t="shared" si="8"/>
        <v>-19.54</v>
      </c>
      <c r="P186" s="3" t="s">
        <v>19</v>
      </c>
    </row>
    <row r="187" spans="1:16" x14ac:dyDescent="0.35">
      <c r="A187" s="3" t="s">
        <v>23</v>
      </c>
      <c r="B187" s="3" t="str">
        <f>INDEX(State_Region!$B$2:$B$26,MATCH(TRIM(A187),State_Region!$A$2:$A$26,0))</f>
        <v>North</v>
      </c>
      <c r="C187" s="3" t="s">
        <v>138</v>
      </c>
      <c r="D187" s="3" t="str">
        <f>INDEX(Port_Type!$B$2:$B$227,MATCH(TRIM(C187),Port_Type!$A$2:$A$227,0))</f>
        <v>Inland ICD / CFS</v>
      </c>
      <c r="E187" s="3" t="s">
        <v>22</v>
      </c>
      <c r="F187" s="3" t="str">
        <f>INDEX(Product_Category!$B$2:$B$45,MATCH(TRIM(E187),Product_Category!$A$2:$A$45,0))</f>
        <v>Meat &amp; Animal Products</v>
      </c>
      <c r="G187" s="4">
        <v>0</v>
      </c>
      <c r="H187" s="4">
        <v>47.35</v>
      </c>
      <c r="I187" s="4">
        <v>6.6</v>
      </c>
      <c r="J187" s="4">
        <v>0</v>
      </c>
      <c r="K187" s="4">
        <v>13126.62</v>
      </c>
      <c r="L187" s="4">
        <v>1605.77</v>
      </c>
      <c r="M187" s="4">
        <f t="shared" si="6"/>
        <v>47.35</v>
      </c>
      <c r="N187" s="4">
        <f t="shared" si="7"/>
        <v>13126.62</v>
      </c>
      <c r="O187" s="4">
        <f t="shared" si="8"/>
        <v>-40.75</v>
      </c>
      <c r="P187" s="3" t="s">
        <v>19</v>
      </c>
    </row>
    <row r="188" spans="1:16" x14ac:dyDescent="0.35">
      <c r="A188" s="3" t="s">
        <v>77</v>
      </c>
      <c r="B188" s="3" t="str">
        <f>INDEX(State_Region!$B$2:$B$26,MATCH(TRIM(A188),State_Region!$A$2:$A$26,0))</f>
        <v>South</v>
      </c>
      <c r="C188" s="3" t="s">
        <v>78</v>
      </c>
      <c r="D188" s="3" t="str">
        <f>INDEX(Port_Type!$B$2:$B$227,MATCH(TRIM(C188),Port_Type!$A$2:$A$227,0))</f>
        <v>Sea Port</v>
      </c>
      <c r="E188" s="3" t="s">
        <v>65</v>
      </c>
      <c r="F188" s="3" t="str">
        <f>INDEX(Product_Category!$B$2:$B$45,MATCH(TRIM(E188),Product_Category!$A$2:$A$45,0))</f>
        <v>Cereals &amp; Grains</v>
      </c>
      <c r="G188" s="4">
        <v>18.899999999999999</v>
      </c>
      <c r="H188" s="4">
        <v>21.44</v>
      </c>
      <c r="I188" s="4">
        <v>6.5</v>
      </c>
      <c r="J188" s="4">
        <v>21146.74</v>
      </c>
      <c r="K188" s="4">
        <v>23302.33</v>
      </c>
      <c r="L188" s="4">
        <v>6879.91</v>
      </c>
      <c r="M188" s="4">
        <f t="shared" si="6"/>
        <v>2.5400000000000027</v>
      </c>
      <c r="N188" s="4">
        <f t="shared" si="7"/>
        <v>2155.59</v>
      </c>
      <c r="O188" s="4">
        <f t="shared" si="8"/>
        <v>-14.940000000000001</v>
      </c>
      <c r="P188" s="3" t="s">
        <v>19</v>
      </c>
    </row>
    <row r="189" spans="1:16" x14ac:dyDescent="0.35">
      <c r="A189" s="3" t="s">
        <v>66</v>
      </c>
      <c r="B189" s="3" t="str">
        <f>INDEX(State_Region!$B$2:$B$26,MATCH(TRIM(A189),State_Region!$A$2:$A$26,0))</f>
        <v>North</v>
      </c>
      <c r="C189" s="3" t="s">
        <v>127</v>
      </c>
      <c r="D189" s="3" t="str">
        <f>INDEX(Port_Type!$B$2:$B$227,MATCH(TRIM(C189),Port_Type!$A$2:$A$227,0))</f>
        <v>Inland ICD / CFS</v>
      </c>
      <c r="E189" s="3" t="s">
        <v>48</v>
      </c>
      <c r="F189" s="3" t="str">
        <f>INDEX(Product_Category!$B$2:$B$45,MATCH(TRIM(E189),Product_Category!$A$2:$A$45,0))</f>
        <v>Processed Foods</v>
      </c>
      <c r="G189" s="4">
        <v>34.75</v>
      </c>
      <c r="H189" s="4">
        <v>19.39</v>
      </c>
      <c r="I189" s="4">
        <v>6.48</v>
      </c>
      <c r="J189" s="4">
        <v>25545.26</v>
      </c>
      <c r="K189" s="4">
        <v>17002.599999999999</v>
      </c>
      <c r="L189" s="4">
        <v>5449.63</v>
      </c>
      <c r="M189" s="4">
        <f t="shared" si="6"/>
        <v>-15.36</v>
      </c>
      <c r="N189" s="4">
        <f t="shared" si="7"/>
        <v>-8542.66</v>
      </c>
      <c r="O189" s="4">
        <f t="shared" si="8"/>
        <v>-12.91</v>
      </c>
      <c r="P189" s="3" t="s">
        <v>19</v>
      </c>
    </row>
    <row r="190" spans="1:16" x14ac:dyDescent="0.35">
      <c r="A190" s="3" t="s">
        <v>31</v>
      </c>
      <c r="B190" s="3" t="str">
        <f>INDEX(State_Region!$B$2:$B$26,MATCH(TRIM(A190),State_Region!$A$2:$A$26,0))</f>
        <v>East</v>
      </c>
      <c r="C190" s="3" t="s">
        <v>101</v>
      </c>
      <c r="D190" s="3" t="str">
        <f>INDEX(Port_Type!$B$2:$B$227,MATCH(TRIM(C190),Port_Type!$A$2:$A$227,0))</f>
        <v>Land Border / Rail</v>
      </c>
      <c r="E190" s="3" t="s">
        <v>51</v>
      </c>
      <c r="F190" s="3" t="str">
        <f>INDEX(Product_Category!$B$2:$B$45,MATCH(TRIM(E190),Product_Category!$A$2:$A$45,0))</f>
        <v>Nuts &amp; Oilseeds</v>
      </c>
      <c r="G190" s="4">
        <v>7.72</v>
      </c>
      <c r="H190" s="4">
        <v>17.29</v>
      </c>
      <c r="I190" s="4">
        <v>6.43</v>
      </c>
      <c r="J190" s="4">
        <v>10262.24</v>
      </c>
      <c r="K190" s="4">
        <v>23004.33</v>
      </c>
      <c r="L190" s="4">
        <v>8267.84</v>
      </c>
      <c r="M190" s="4">
        <f t="shared" si="6"/>
        <v>9.57</v>
      </c>
      <c r="N190" s="4">
        <f t="shared" si="7"/>
        <v>12742.090000000002</v>
      </c>
      <c r="O190" s="4">
        <f t="shared" si="8"/>
        <v>-10.86</v>
      </c>
      <c r="P190" s="3" t="s">
        <v>19</v>
      </c>
    </row>
    <row r="191" spans="1:16" x14ac:dyDescent="0.35">
      <c r="A191" s="3" t="s">
        <v>40</v>
      </c>
      <c r="B191" s="3" t="str">
        <f>INDEX(State_Region!$B$2:$B$26,MATCH(TRIM(A191),State_Region!$A$2:$A$26,0))</f>
        <v>South</v>
      </c>
      <c r="C191" s="3" t="s">
        <v>85</v>
      </c>
      <c r="D191" s="3" t="str">
        <f>INDEX(Port_Type!$B$2:$B$227,MATCH(TRIM(C191),Port_Type!$A$2:$A$227,0))</f>
        <v>Sea Port</v>
      </c>
      <c r="E191" s="3" t="s">
        <v>128</v>
      </c>
      <c r="F191" s="3" t="str">
        <f>INDEX(Product_Category!$B$2:$B$45,MATCH(TRIM(E191),Product_Category!$A$2:$A$45,0))</f>
        <v>Dairy, Poultry &amp; Honey</v>
      </c>
      <c r="G191" s="4">
        <v>27.73</v>
      </c>
      <c r="H191" s="4">
        <v>28.03</v>
      </c>
      <c r="I191" s="4">
        <v>6.29</v>
      </c>
      <c r="J191" s="4">
        <v>5619.22</v>
      </c>
      <c r="K191" s="4">
        <v>5553.27</v>
      </c>
      <c r="L191" s="4">
        <v>1289.3800000000001</v>
      </c>
      <c r="M191" s="4">
        <f t="shared" si="6"/>
        <v>0.30000000000000071</v>
      </c>
      <c r="N191" s="4">
        <f t="shared" si="7"/>
        <v>-65.949999999999818</v>
      </c>
      <c r="O191" s="4">
        <f t="shared" si="8"/>
        <v>-21.740000000000002</v>
      </c>
      <c r="P191" s="3" t="s">
        <v>19</v>
      </c>
    </row>
    <row r="192" spans="1:16" x14ac:dyDescent="0.35">
      <c r="A192" s="3" t="s">
        <v>77</v>
      </c>
      <c r="B192" s="3" t="str">
        <f>INDEX(State_Region!$B$2:$B$26,MATCH(TRIM(A192),State_Region!$A$2:$A$26,0))</f>
        <v>South</v>
      </c>
      <c r="C192" s="3" t="s">
        <v>78</v>
      </c>
      <c r="D192" s="3" t="str">
        <f>INDEX(Port_Type!$B$2:$B$227,MATCH(TRIM(C192),Port_Type!$A$2:$A$227,0))</f>
        <v>Sea Port</v>
      </c>
      <c r="E192" s="3" t="s">
        <v>72</v>
      </c>
      <c r="F192" s="3" t="str">
        <f>INDEX(Product_Category!$B$2:$B$45,MATCH(TRIM(E192),Product_Category!$A$2:$A$45,0))</f>
        <v>Dairy, Poultry &amp; Honey</v>
      </c>
      <c r="G192" s="4">
        <v>19.73</v>
      </c>
      <c r="H192" s="4">
        <v>22.4</v>
      </c>
      <c r="I192" s="4">
        <v>6.25</v>
      </c>
      <c r="J192" s="4">
        <v>2515.5700000000002</v>
      </c>
      <c r="K192" s="4">
        <v>2963.67</v>
      </c>
      <c r="L192" s="4">
        <v>759.91</v>
      </c>
      <c r="M192" s="4">
        <f t="shared" si="6"/>
        <v>2.6699999999999982</v>
      </c>
      <c r="N192" s="4">
        <f t="shared" si="7"/>
        <v>448.09999999999991</v>
      </c>
      <c r="O192" s="4">
        <f t="shared" si="8"/>
        <v>-16.149999999999999</v>
      </c>
      <c r="P192" s="3" t="s">
        <v>19</v>
      </c>
    </row>
    <row r="193" spans="1:16" x14ac:dyDescent="0.35">
      <c r="A193" s="3" t="s">
        <v>16</v>
      </c>
      <c r="B193" s="3" t="str">
        <f>INDEX(State_Region!$B$2:$B$26,MATCH(TRIM(A193),State_Region!$A$2:$A$26,0))</f>
        <v>West</v>
      </c>
      <c r="C193" s="3" t="s">
        <v>109</v>
      </c>
      <c r="D193" s="3" t="str">
        <f>INDEX(Port_Type!$B$2:$B$227,MATCH(TRIM(C193),Port_Type!$A$2:$A$227,0))</f>
        <v>SEZ / EPZ</v>
      </c>
      <c r="E193" s="3" t="s">
        <v>39</v>
      </c>
      <c r="F193" s="3" t="str">
        <f>INDEX(Product_Category!$B$2:$B$45,MATCH(TRIM(E193),Product_Category!$A$2:$A$45,0))</f>
        <v>Processed Foods</v>
      </c>
      <c r="G193" s="4">
        <v>25.24</v>
      </c>
      <c r="H193" s="4">
        <v>19.61</v>
      </c>
      <c r="I193" s="4">
        <v>6.24</v>
      </c>
      <c r="J193" s="4">
        <v>36751.21</v>
      </c>
      <c r="K193" s="4">
        <v>16753.169999999998</v>
      </c>
      <c r="L193" s="4">
        <v>6781.06</v>
      </c>
      <c r="M193" s="4">
        <f t="shared" si="6"/>
        <v>-5.629999999999999</v>
      </c>
      <c r="N193" s="4">
        <f t="shared" si="7"/>
        <v>-19998.04</v>
      </c>
      <c r="O193" s="4">
        <f t="shared" si="8"/>
        <v>-13.37</v>
      </c>
      <c r="P193" s="3" t="s">
        <v>19</v>
      </c>
    </row>
    <row r="194" spans="1:16" x14ac:dyDescent="0.35">
      <c r="A194" s="3" t="s">
        <v>16</v>
      </c>
      <c r="B194" s="3" t="str">
        <f>INDEX(State_Region!$B$2:$B$26,MATCH(TRIM(A194),State_Region!$A$2:$A$26,0))</f>
        <v>West</v>
      </c>
      <c r="C194" s="3" t="s">
        <v>89</v>
      </c>
      <c r="D194" s="3" t="str">
        <f>INDEX(Port_Type!$B$2:$B$227,MATCH(TRIM(C194),Port_Type!$A$2:$A$227,0))</f>
        <v>Inland ICD / CFS</v>
      </c>
      <c r="E194" s="3" t="s">
        <v>48</v>
      </c>
      <c r="F194" s="3" t="str">
        <f>INDEX(Product_Category!$B$2:$B$45,MATCH(TRIM(E194),Product_Category!$A$2:$A$45,0))</f>
        <v>Processed Foods</v>
      </c>
      <c r="G194" s="4">
        <v>11.29</v>
      </c>
      <c r="H194" s="4">
        <v>18.71</v>
      </c>
      <c r="I194" s="4">
        <v>6.24</v>
      </c>
      <c r="J194" s="4">
        <v>5425.48</v>
      </c>
      <c r="K194" s="4">
        <v>8593.44</v>
      </c>
      <c r="L194" s="4">
        <v>3141.7</v>
      </c>
      <c r="M194" s="4">
        <f t="shared" ref="M194:M257" si="9">H194-G194</f>
        <v>7.4200000000000017</v>
      </c>
      <c r="N194" s="4">
        <f t="shared" ref="N194:N257" si="10">K194-J194</f>
        <v>3167.9600000000009</v>
      </c>
      <c r="O194" s="4">
        <f t="shared" ref="O194:O257" si="11">I194-H194</f>
        <v>-12.47</v>
      </c>
      <c r="P194" s="3" t="s">
        <v>19</v>
      </c>
    </row>
    <row r="195" spans="1:16" x14ac:dyDescent="0.35">
      <c r="A195" s="3" t="s">
        <v>23</v>
      </c>
      <c r="B195" s="3" t="str">
        <f>INDEX(State_Region!$B$2:$B$26,MATCH(TRIM(A195),State_Region!$A$2:$A$26,0))</f>
        <v>North</v>
      </c>
      <c r="C195" s="3" t="s">
        <v>136</v>
      </c>
      <c r="D195" s="3" t="str">
        <f>INDEX(Port_Type!$B$2:$B$227,MATCH(TRIM(C195),Port_Type!$A$2:$A$227,0))</f>
        <v>Inland ICD / CFS</v>
      </c>
      <c r="E195" s="3" t="s">
        <v>60</v>
      </c>
      <c r="F195" s="3" t="str">
        <f>INDEX(Product_Category!$B$2:$B$45,MATCH(TRIM(E195),Product_Category!$A$2:$A$45,0))</f>
        <v>Processed Foods</v>
      </c>
      <c r="G195" s="4">
        <v>16.11</v>
      </c>
      <c r="H195" s="4">
        <v>16</v>
      </c>
      <c r="I195" s="4">
        <v>6.2</v>
      </c>
      <c r="J195" s="4">
        <v>7980.31</v>
      </c>
      <c r="K195" s="4">
        <v>6776.38</v>
      </c>
      <c r="L195" s="4">
        <v>3273.49</v>
      </c>
      <c r="M195" s="4">
        <f t="shared" si="9"/>
        <v>-0.10999999999999943</v>
      </c>
      <c r="N195" s="4">
        <f t="shared" si="10"/>
        <v>-1203.9300000000003</v>
      </c>
      <c r="O195" s="4">
        <f t="shared" si="11"/>
        <v>-9.8000000000000007</v>
      </c>
      <c r="P195" s="3" t="s">
        <v>19</v>
      </c>
    </row>
    <row r="196" spans="1:16" x14ac:dyDescent="0.35">
      <c r="A196" s="3" t="s">
        <v>40</v>
      </c>
      <c r="B196" s="3" t="str">
        <f>INDEX(State_Region!$B$2:$B$26,MATCH(TRIM(A196),State_Region!$A$2:$A$26,0))</f>
        <v>South</v>
      </c>
      <c r="C196" s="3" t="s">
        <v>85</v>
      </c>
      <c r="D196" s="3" t="str">
        <f>INDEX(Port_Type!$B$2:$B$227,MATCH(TRIM(C196),Port_Type!$A$2:$A$227,0))</f>
        <v>Sea Port</v>
      </c>
      <c r="E196" s="3" t="s">
        <v>102</v>
      </c>
      <c r="F196" s="3" t="str">
        <f>INDEX(Product_Category!$B$2:$B$45,MATCH(TRIM(E196),Product_Category!$A$2:$A$45,0))</f>
        <v>Fresh Fruits &amp; Vegetables</v>
      </c>
      <c r="G196" s="4">
        <v>22.41</v>
      </c>
      <c r="H196" s="4">
        <v>20.87</v>
      </c>
      <c r="I196" s="4">
        <v>6.13</v>
      </c>
      <c r="J196" s="4">
        <v>48566.39</v>
      </c>
      <c r="K196" s="4">
        <v>42642.93</v>
      </c>
      <c r="L196" s="4">
        <v>12896.1</v>
      </c>
      <c r="M196" s="4">
        <f t="shared" si="9"/>
        <v>-1.5399999999999991</v>
      </c>
      <c r="N196" s="4">
        <f t="shared" si="10"/>
        <v>-5923.4599999999991</v>
      </c>
      <c r="O196" s="4">
        <f t="shared" si="11"/>
        <v>-14.740000000000002</v>
      </c>
      <c r="P196" s="3" t="s">
        <v>19</v>
      </c>
    </row>
    <row r="197" spans="1:16" x14ac:dyDescent="0.35">
      <c r="A197" s="3" t="s">
        <v>31</v>
      </c>
      <c r="B197" s="3" t="str">
        <f>INDEX(State_Region!$B$2:$B$26,MATCH(TRIM(A197),State_Region!$A$2:$A$26,0))</f>
        <v>East</v>
      </c>
      <c r="C197" s="3" t="s">
        <v>139</v>
      </c>
      <c r="D197" s="3" t="str">
        <f>INDEX(Port_Type!$B$2:$B$227,MATCH(TRIM(C197),Port_Type!$A$2:$A$227,0))</f>
        <v>Land Border / Rail</v>
      </c>
      <c r="E197" s="3" t="s">
        <v>27</v>
      </c>
      <c r="F197" s="3" t="str">
        <f>INDEX(Product_Category!$B$2:$B$45,MATCH(TRIM(E197),Product_Category!$A$2:$A$45,0))</f>
        <v>Cereals &amp; Grains</v>
      </c>
      <c r="G197" s="4">
        <v>5.74</v>
      </c>
      <c r="H197" s="4">
        <v>17.7</v>
      </c>
      <c r="I197" s="4">
        <v>6.13</v>
      </c>
      <c r="J197" s="4">
        <v>13736.73</v>
      </c>
      <c r="K197" s="4">
        <v>37111.019999999997</v>
      </c>
      <c r="L197" s="4">
        <v>10264.620000000001</v>
      </c>
      <c r="M197" s="4">
        <f t="shared" si="9"/>
        <v>11.959999999999999</v>
      </c>
      <c r="N197" s="4">
        <f t="shared" si="10"/>
        <v>23374.289999999997</v>
      </c>
      <c r="O197" s="4">
        <f t="shared" si="11"/>
        <v>-11.57</v>
      </c>
      <c r="P197" s="3" t="s">
        <v>19</v>
      </c>
    </row>
    <row r="198" spans="1:16" x14ac:dyDescent="0.35">
      <c r="A198" s="3" t="s">
        <v>79</v>
      </c>
      <c r="B198" s="3" t="str">
        <f>INDEX(State_Region!$B$2:$B$26,MATCH(TRIM(A198),State_Region!$A$2:$A$26,0))</f>
        <v>South</v>
      </c>
      <c r="C198" s="3" t="s">
        <v>80</v>
      </c>
      <c r="D198" s="3" t="str">
        <f>INDEX(Port_Type!$B$2:$B$227,MATCH(TRIM(C198),Port_Type!$A$2:$A$227,0))</f>
        <v>Inland ICD / CFS</v>
      </c>
      <c r="E198" s="3" t="s">
        <v>48</v>
      </c>
      <c r="F198" s="3" t="str">
        <f>INDEX(Product_Category!$B$2:$B$45,MATCH(TRIM(E198),Product_Category!$A$2:$A$45,0))</f>
        <v>Processed Foods</v>
      </c>
      <c r="G198" s="4">
        <v>15.37</v>
      </c>
      <c r="H198" s="4">
        <v>14.86</v>
      </c>
      <c r="I198" s="4">
        <v>6.07</v>
      </c>
      <c r="J198" s="4">
        <v>7015.28</v>
      </c>
      <c r="K198" s="4">
        <v>7006.46</v>
      </c>
      <c r="L198" s="4">
        <v>3445.92</v>
      </c>
      <c r="M198" s="4">
        <f t="shared" si="9"/>
        <v>-0.50999999999999979</v>
      </c>
      <c r="N198" s="4">
        <f t="shared" si="10"/>
        <v>-8.819999999999709</v>
      </c>
      <c r="O198" s="4">
        <f t="shared" si="11"/>
        <v>-8.7899999999999991</v>
      </c>
      <c r="P198" s="3" t="s">
        <v>19</v>
      </c>
    </row>
    <row r="199" spans="1:16" x14ac:dyDescent="0.35">
      <c r="A199" s="3" t="s">
        <v>77</v>
      </c>
      <c r="B199" s="3" t="str">
        <f>INDEX(State_Region!$B$2:$B$26,MATCH(TRIM(A199),State_Region!$A$2:$A$26,0))</f>
        <v>South</v>
      </c>
      <c r="C199" s="3" t="s">
        <v>78</v>
      </c>
      <c r="D199" s="3" t="str">
        <f>INDEX(Port_Type!$B$2:$B$227,MATCH(TRIM(C199),Port_Type!$A$2:$A$227,0))</f>
        <v>Sea Port</v>
      </c>
      <c r="E199" s="3" t="s">
        <v>42</v>
      </c>
      <c r="F199" s="3" t="str">
        <f>INDEX(Product_Category!$B$2:$B$45,MATCH(TRIM(E199),Product_Category!$A$2:$A$45,0))</f>
        <v>Processed Foods</v>
      </c>
      <c r="G199" s="4">
        <v>29.19</v>
      </c>
      <c r="H199" s="4">
        <v>20.04</v>
      </c>
      <c r="I199" s="4">
        <v>6.05</v>
      </c>
      <c r="J199" s="4">
        <v>12906.02</v>
      </c>
      <c r="K199" s="4">
        <v>8616.61</v>
      </c>
      <c r="L199" s="4">
        <v>2534.69</v>
      </c>
      <c r="M199" s="4">
        <f t="shared" si="9"/>
        <v>-9.1500000000000021</v>
      </c>
      <c r="N199" s="4">
        <f t="shared" si="10"/>
        <v>-4289.41</v>
      </c>
      <c r="O199" s="4">
        <f t="shared" si="11"/>
        <v>-13.989999999999998</v>
      </c>
      <c r="P199" s="3" t="s">
        <v>19</v>
      </c>
    </row>
    <row r="200" spans="1:16" x14ac:dyDescent="0.35">
      <c r="A200" s="3" t="s">
        <v>16</v>
      </c>
      <c r="B200" s="3" t="str">
        <f>INDEX(State_Region!$B$2:$B$26,MATCH(TRIM(A200),State_Region!$A$2:$A$26,0))</f>
        <v>West</v>
      </c>
      <c r="C200" s="3" t="s">
        <v>140</v>
      </c>
      <c r="D200" s="3" t="str">
        <f>INDEX(Port_Type!$B$2:$B$227,MATCH(TRIM(C200),Port_Type!$A$2:$A$227,0))</f>
        <v>SEZ / EPZ</v>
      </c>
      <c r="E200" s="3" t="s">
        <v>39</v>
      </c>
      <c r="F200" s="3" t="str">
        <f>INDEX(Product_Category!$B$2:$B$45,MATCH(TRIM(E200),Product_Category!$A$2:$A$45,0))</f>
        <v>Processed Foods</v>
      </c>
      <c r="G200" s="4">
        <v>5.64</v>
      </c>
      <c r="H200" s="4">
        <v>11.42</v>
      </c>
      <c r="I200" s="4">
        <v>5.99</v>
      </c>
      <c r="J200" s="4">
        <v>762.21</v>
      </c>
      <c r="K200" s="4">
        <v>2533.88</v>
      </c>
      <c r="L200" s="4">
        <v>704.33</v>
      </c>
      <c r="M200" s="4">
        <f t="shared" si="9"/>
        <v>5.78</v>
      </c>
      <c r="N200" s="4">
        <f t="shared" si="10"/>
        <v>1771.67</v>
      </c>
      <c r="O200" s="4">
        <f t="shared" si="11"/>
        <v>-5.43</v>
      </c>
      <c r="P200" s="3" t="s">
        <v>19</v>
      </c>
    </row>
    <row r="201" spans="1:16" x14ac:dyDescent="0.35">
      <c r="A201" s="3" t="s">
        <v>35</v>
      </c>
      <c r="B201" s="3" t="str">
        <f>INDEX(State_Region!$B$2:$B$26,MATCH(TRIM(A201),State_Region!$A$2:$A$26,0))</f>
        <v>North</v>
      </c>
      <c r="C201" s="3" t="s">
        <v>88</v>
      </c>
      <c r="D201" s="3" t="str">
        <f>INDEX(Port_Type!$B$2:$B$227,MATCH(TRIM(C201),Port_Type!$A$2:$A$227,0))</f>
        <v>Inland ICD / CFS</v>
      </c>
      <c r="E201" s="3" t="s">
        <v>46</v>
      </c>
      <c r="F201" s="3" t="str">
        <f>INDEX(Product_Category!$B$2:$B$45,MATCH(TRIM(E201),Product_Category!$A$2:$A$45,0))</f>
        <v>Others</v>
      </c>
      <c r="G201" s="4">
        <v>22.84</v>
      </c>
      <c r="H201" s="4">
        <v>8.16</v>
      </c>
      <c r="I201" s="4">
        <v>5.95</v>
      </c>
      <c r="J201" s="4">
        <v>10954.73</v>
      </c>
      <c r="K201" s="4">
        <v>4036.26</v>
      </c>
      <c r="L201" s="4">
        <v>3283.66</v>
      </c>
      <c r="M201" s="4">
        <f t="shared" si="9"/>
        <v>-14.68</v>
      </c>
      <c r="N201" s="4">
        <f t="shared" si="10"/>
        <v>-6918.4699999999993</v>
      </c>
      <c r="O201" s="4">
        <f t="shared" si="11"/>
        <v>-2.21</v>
      </c>
      <c r="P201" s="3" t="s">
        <v>19</v>
      </c>
    </row>
    <row r="202" spans="1:16" x14ac:dyDescent="0.35">
      <c r="A202" s="3" t="s">
        <v>25</v>
      </c>
      <c r="B202" s="3" t="str">
        <f>INDEX(State_Region!$B$2:$B$26,MATCH(TRIM(A202),State_Region!$A$2:$A$26,0))</f>
        <v>South</v>
      </c>
      <c r="C202" s="3" t="s">
        <v>29</v>
      </c>
      <c r="D202" s="3" t="str">
        <f>INDEX(Port_Type!$B$2:$B$227,MATCH(TRIM(C202),Port_Type!$A$2:$A$227,0))</f>
        <v>Sea Port</v>
      </c>
      <c r="E202" s="3" t="s">
        <v>84</v>
      </c>
      <c r="F202" s="3" t="str">
        <f>INDEX(Product_Category!$B$2:$B$45,MATCH(TRIM(E202),Product_Category!$A$2:$A$45,0))</f>
        <v>Nuts &amp; Oilseeds</v>
      </c>
      <c r="G202" s="4">
        <v>31.28</v>
      </c>
      <c r="H202" s="4">
        <v>21.84</v>
      </c>
      <c r="I202" s="4">
        <v>5.9</v>
      </c>
      <c r="J202" s="4">
        <v>4354.08</v>
      </c>
      <c r="K202" s="4">
        <v>2535.9699999999998</v>
      </c>
      <c r="L202" s="4">
        <v>709.08</v>
      </c>
      <c r="M202" s="4">
        <f t="shared" si="9"/>
        <v>-9.4400000000000013</v>
      </c>
      <c r="N202" s="4">
        <f t="shared" si="10"/>
        <v>-1818.1100000000001</v>
      </c>
      <c r="O202" s="4">
        <f t="shared" si="11"/>
        <v>-15.94</v>
      </c>
      <c r="P202" s="3" t="s">
        <v>19</v>
      </c>
    </row>
    <row r="203" spans="1:16" x14ac:dyDescent="0.35">
      <c r="A203" s="3" t="s">
        <v>66</v>
      </c>
      <c r="B203" s="3" t="str">
        <f>INDEX(State_Region!$B$2:$B$26,MATCH(TRIM(A203),State_Region!$A$2:$A$26,0))</f>
        <v>North</v>
      </c>
      <c r="C203" s="3" t="s">
        <v>100</v>
      </c>
      <c r="D203" s="3" t="str">
        <f>INDEX(Port_Type!$B$2:$B$227,MATCH(TRIM(C203),Port_Type!$A$2:$A$227,0))</f>
        <v>Inland ICD / CFS</v>
      </c>
      <c r="E203" s="3" t="s">
        <v>118</v>
      </c>
      <c r="F203" s="3" t="str">
        <f>INDEX(Product_Category!$B$2:$B$45,MATCH(TRIM(E203),Product_Category!$A$2:$A$45,0))</f>
        <v>Dairy, Poultry &amp; Honey</v>
      </c>
      <c r="G203" s="4">
        <v>0</v>
      </c>
      <c r="H203" s="4">
        <v>3.95</v>
      </c>
      <c r="I203" s="4">
        <v>5.86</v>
      </c>
      <c r="J203" s="4">
        <v>0</v>
      </c>
      <c r="K203" s="4">
        <v>2434.6</v>
      </c>
      <c r="L203" s="4">
        <v>3583.18</v>
      </c>
      <c r="M203" s="4">
        <f t="shared" si="9"/>
        <v>3.95</v>
      </c>
      <c r="N203" s="4">
        <f t="shared" si="10"/>
        <v>2434.6</v>
      </c>
      <c r="O203" s="4">
        <f t="shared" si="11"/>
        <v>1.9100000000000001</v>
      </c>
      <c r="P203" s="3" t="s">
        <v>19</v>
      </c>
    </row>
    <row r="204" spans="1:16" x14ac:dyDescent="0.35">
      <c r="A204" s="3" t="s">
        <v>40</v>
      </c>
      <c r="B204" s="3" t="str">
        <f>INDEX(State_Region!$B$2:$B$26,MATCH(TRIM(A204),State_Region!$A$2:$A$26,0))</f>
        <v>South</v>
      </c>
      <c r="C204" s="3" t="s">
        <v>117</v>
      </c>
      <c r="D204" s="3" t="str">
        <f>INDEX(Port_Type!$B$2:$B$227,MATCH(TRIM(C204),Port_Type!$A$2:$A$227,0))</f>
        <v>Sea Port</v>
      </c>
      <c r="E204" s="3" t="s">
        <v>54</v>
      </c>
      <c r="F204" s="3" t="str">
        <f>INDEX(Product_Category!$B$2:$B$45,MATCH(TRIM(E204),Product_Category!$A$2:$A$45,0))</f>
        <v>Processed Foods</v>
      </c>
      <c r="G204" s="4">
        <v>22.9</v>
      </c>
      <c r="H204" s="4">
        <v>28.84</v>
      </c>
      <c r="I204" s="4">
        <v>5.85</v>
      </c>
      <c r="J204" s="4">
        <v>22381.66</v>
      </c>
      <c r="K204" s="4">
        <v>36039.199999999997</v>
      </c>
      <c r="L204" s="4">
        <v>8338.81</v>
      </c>
      <c r="M204" s="4">
        <f t="shared" si="9"/>
        <v>5.9400000000000013</v>
      </c>
      <c r="N204" s="4">
        <f t="shared" si="10"/>
        <v>13657.539999999997</v>
      </c>
      <c r="O204" s="4">
        <f t="shared" si="11"/>
        <v>-22.990000000000002</v>
      </c>
      <c r="P204" s="3" t="s">
        <v>19</v>
      </c>
    </row>
    <row r="205" spans="1:16" x14ac:dyDescent="0.35">
      <c r="A205" s="3" t="s">
        <v>31</v>
      </c>
      <c r="B205" s="3" t="str">
        <f>INDEX(State_Region!$B$2:$B$26,MATCH(TRIM(A205),State_Region!$A$2:$A$26,0))</f>
        <v>East</v>
      </c>
      <c r="C205" s="3" t="s">
        <v>141</v>
      </c>
      <c r="D205" s="3" t="str">
        <f>INDEX(Port_Type!$B$2:$B$227,MATCH(TRIM(C205),Port_Type!$A$2:$A$227,0))</f>
        <v>Land Border / Rail</v>
      </c>
      <c r="E205" s="3" t="s">
        <v>83</v>
      </c>
      <c r="F205" s="3" t="str">
        <f>INDEX(Product_Category!$B$2:$B$45,MATCH(TRIM(E205),Product_Category!$A$2:$A$45,0))</f>
        <v>Fresh Fruits &amp; Vegetables</v>
      </c>
      <c r="G205" s="4">
        <v>21.07</v>
      </c>
      <c r="H205" s="4">
        <v>17.04</v>
      </c>
      <c r="I205" s="4">
        <v>5.83</v>
      </c>
      <c r="J205" s="4">
        <v>68252.86</v>
      </c>
      <c r="K205" s="4">
        <v>40381.629999999997</v>
      </c>
      <c r="L205" s="4">
        <v>13464.81</v>
      </c>
      <c r="M205" s="4">
        <f t="shared" si="9"/>
        <v>-4.0300000000000011</v>
      </c>
      <c r="N205" s="4">
        <f t="shared" si="10"/>
        <v>-27871.230000000003</v>
      </c>
      <c r="O205" s="4">
        <f t="shared" si="11"/>
        <v>-11.209999999999999</v>
      </c>
      <c r="P205" s="3" t="s">
        <v>19</v>
      </c>
    </row>
    <row r="206" spans="1:16" x14ac:dyDescent="0.35">
      <c r="A206" s="3" t="s">
        <v>23</v>
      </c>
      <c r="B206" s="3" t="str">
        <f>INDEX(State_Region!$B$2:$B$26,MATCH(TRIM(A206),State_Region!$A$2:$A$26,0))</f>
        <v>North</v>
      </c>
      <c r="C206" s="3" t="s">
        <v>30</v>
      </c>
      <c r="D206" s="3" t="str">
        <f>INDEX(Port_Type!$B$2:$B$227,MATCH(TRIM(C206),Port_Type!$A$2:$A$227,0))</f>
        <v>Inland ICD / CFS</v>
      </c>
      <c r="E206" s="3" t="s">
        <v>48</v>
      </c>
      <c r="F206" s="3" t="str">
        <f>INDEX(Product_Category!$B$2:$B$45,MATCH(TRIM(E206),Product_Category!$A$2:$A$45,0))</f>
        <v>Processed Foods</v>
      </c>
      <c r="G206" s="4">
        <v>15.7</v>
      </c>
      <c r="H206" s="4">
        <v>14.6</v>
      </c>
      <c r="I206" s="4">
        <v>5.83</v>
      </c>
      <c r="J206" s="4">
        <v>6818.8</v>
      </c>
      <c r="K206" s="4">
        <v>6138.58</v>
      </c>
      <c r="L206" s="4">
        <v>2417.1799999999998</v>
      </c>
      <c r="M206" s="4">
        <f t="shared" si="9"/>
        <v>-1.0999999999999996</v>
      </c>
      <c r="N206" s="4">
        <f t="shared" si="10"/>
        <v>-680.22000000000025</v>
      </c>
      <c r="O206" s="4">
        <f t="shared" si="11"/>
        <v>-8.77</v>
      </c>
      <c r="P206" s="3" t="s">
        <v>19</v>
      </c>
    </row>
    <row r="207" spans="1:16" x14ac:dyDescent="0.35">
      <c r="A207" s="3" t="s">
        <v>20</v>
      </c>
      <c r="B207" s="3" t="str">
        <f>INDEX(State_Region!$B$2:$B$26,MATCH(TRIM(A207),State_Region!$A$2:$A$26,0))</f>
        <v>West</v>
      </c>
      <c r="C207" s="3" t="s">
        <v>82</v>
      </c>
      <c r="D207" s="3" t="str">
        <f>INDEX(Port_Type!$B$2:$B$227,MATCH(TRIM(C207),Port_Type!$A$2:$A$227,0))</f>
        <v>Inland ICD / CFS</v>
      </c>
      <c r="E207" s="3" t="s">
        <v>48</v>
      </c>
      <c r="F207" s="3" t="str">
        <f>INDEX(Product_Category!$B$2:$B$45,MATCH(TRIM(E207),Product_Category!$A$2:$A$45,0))</f>
        <v>Processed Foods</v>
      </c>
      <c r="G207" s="4">
        <v>18.149999999999999</v>
      </c>
      <c r="H207" s="4">
        <v>19.45</v>
      </c>
      <c r="I207" s="4">
        <v>5.8</v>
      </c>
      <c r="J207" s="4">
        <v>10133.25</v>
      </c>
      <c r="K207" s="4">
        <v>11302.47</v>
      </c>
      <c r="L207" s="4">
        <v>3518.98</v>
      </c>
      <c r="M207" s="4">
        <f t="shared" si="9"/>
        <v>1.3000000000000007</v>
      </c>
      <c r="N207" s="4">
        <f t="shared" si="10"/>
        <v>1169.2199999999993</v>
      </c>
      <c r="O207" s="4">
        <f t="shared" si="11"/>
        <v>-13.649999999999999</v>
      </c>
      <c r="P207" s="3" t="s">
        <v>19</v>
      </c>
    </row>
    <row r="208" spans="1:16" x14ac:dyDescent="0.35">
      <c r="A208" s="3" t="s">
        <v>31</v>
      </c>
      <c r="B208" s="3" t="str">
        <f>INDEX(State_Region!$B$2:$B$26,MATCH(TRIM(A208),State_Region!$A$2:$A$26,0))</f>
        <v>East</v>
      </c>
      <c r="C208" s="3" t="s">
        <v>32</v>
      </c>
      <c r="D208" s="3" t="str">
        <f>INDEX(Port_Type!$B$2:$B$227,MATCH(TRIM(C208),Port_Type!$A$2:$A$227,0))</f>
        <v>Sea Port</v>
      </c>
      <c r="E208" s="3" t="s">
        <v>122</v>
      </c>
      <c r="F208" s="3" t="str">
        <f>INDEX(Product_Category!$B$2:$B$45,MATCH(TRIM(E208),Product_Category!$A$2:$A$45,0))</f>
        <v>Others</v>
      </c>
      <c r="G208" s="4">
        <v>12.81</v>
      </c>
      <c r="H208" s="4">
        <v>11.97</v>
      </c>
      <c r="I208" s="4">
        <v>5.73</v>
      </c>
      <c r="J208" s="4">
        <v>2335.86</v>
      </c>
      <c r="K208" s="4">
        <v>2046.53</v>
      </c>
      <c r="L208" s="4">
        <v>1030.8699999999999</v>
      </c>
      <c r="M208" s="4">
        <f t="shared" si="9"/>
        <v>-0.83999999999999986</v>
      </c>
      <c r="N208" s="4">
        <f t="shared" si="10"/>
        <v>-289.33000000000015</v>
      </c>
      <c r="O208" s="4">
        <f t="shared" si="11"/>
        <v>-6.24</v>
      </c>
      <c r="P208" s="3" t="s">
        <v>19</v>
      </c>
    </row>
    <row r="209" spans="1:16" x14ac:dyDescent="0.35">
      <c r="A209" s="3" t="s">
        <v>20</v>
      </c>
      <c r="B209" s="3" t="str">
        <f>INDEX(State_Region!$B$2:$B$26,MATCH(TRIM(A209),State_Region!$A$2:$A$26,0))</f>
        <v>West</v>
      </c>
      <c r="C209" s="3" t="s">
        <v>21</v>
      </c>
      <c r="D209" s="3" t="str">
        <f>INDEX(Port_Type!$B$2:$B$227,MATCH(TRIM(C209),Port_Type!$A$2:$A$227,0))</f>
        <v>Sea Port</v>
      </c>
      <c r="E209" s="3" t="s">
        <v>69</v>
      </c>
      <c r="F209" s="3" t="str">
        <f>INDEX(Product_Category!$B$2:$B$45,MATCH(TRIM(E209),Product_Category!$A$2:$A$45,0))</f>
        <v>Others</v>
      </c>
      <c r="G209" s="4">
        <v>11.11</v>
      </c>
      <c r="H209" s="4">
        <v>14.86</v>
      </c>
      <c r="I209" s="4">
        <v>5.69</v>
      </c>
      <c r="J209" s="4">
        <v>2912.65</v>
      </c>
      <c r="K209" s="4">
        <v>4151.01</v>
      </c>
      <c r="L209" s="4">
        <v>517.51</v>
      </c>
      <c r="M209" s="4">
        <f t="shared" si="9"/>
        <v>3.75</v>
      </c>
      <c r="N209" s="4">
        <f t="shared" si="10"/>
        <v>1238.3600000000001</v>
      </c>
      <c r="O209" s="4">
        <f t="shared" si="11"/>
        <v>-9.1699999999999982</v>
      </c>
      <c r="P209" s="3" t="s">
        <v>19</v>
      </c>
    </row>
    <row r="210" spans="1:16" x14ac:dyDescent="0.35">
      <c r="A210" s="3" t="s">
        <v>16</v>
      </c>
      <c r="B210" s="3" t="str">
        <f>INDEX(State_Region!$B$2:$B$26,MATCH(TRIM(A210),State_Region!$A$2:$A$26,0))</f>
        <v>West</v>
      </c>
      <c r="C210" s="3" t="s">
        <v>17</v>
      </c>
      <c r="D210" s="3" t="str">
        <f>INDEX(Port_Type!$B$2:$B$227,MATCH(TRIM(C210),Port_Type!$A$2:$A$227,0))</f>
        <v>Sea Port</v>
      </c>
      <c r="E210" s="3" t="s">
        <v>59</v>
      </c>
      <c r="F210" s="3" t="str">
        <f>INDEX(Product_Category!$B$2:$B$45,MATCH(TRIM(E210),Product_Category!$A$2:$A$45,0))</f>
        <v>Processed Foods</v>
      </c>
      <c r="G210" s="4">
        <v>7.14</v>
      </c>
      <c r="H210" s="4">
        <v>12.02</v>
      </c>
      <c r="I210" s="4">
        <v>5.67</v>
      </c>
      <c r="J210" s="4">
        <v>1082.6099999999999</v>
      </c>
      <c r="K210" s="4">
        <v>1525.43</v>
      </c>
      <c r="L210" s="4">
        <v>651.76</v>
      </c>
      <c r="M210" s="4">
        <f t="shared" si="9"/>
        <v>4.88</v>
      </c>
      <c r="N210" s="4">
        <f t="shared" si="10"/>
        <v>442.82000000000016</v>
      </c>
      <c r="O210" s="4">
        <f t="shared" si="11"/>
        <v>-6.35</v>
      </c>
      <c r="P210" s="3" t="s">
        <v>19</v>
      </c>
    </row>
    <row r="211" spans="1:16" x14ac:dyDescent="0.35">
      <c r="A211" s="3" t="s">
        <v>40</v>
      </c>
      <c r="B211" s="3" t="str">
        <f>INDEX(State_Region!$B$2:$B$26,MATCH(TRIM(A211),State_Region!$A$2:$A$26,0))</f>
        <v>South</v>
      </c>
      <c r="C211" s="3" t="s">
        <v>41</v>
      </c>
      <c r="D211" s="3" t="str">
        <f>INDEX(Port_Type!$B$2:$B$227,MATCH(TRIM(C211),Port_Type!$A$2:$A$227,0))</f>
        <v>Sea Port</v>
      </c>
      <c r="E211" s="3" t="s">
        <v>142</v>
      </c>
      <c r="F211" s="3" t="str">
        <f>INDEX(Product_Category!$B$2:$B$45,MATCH(TRIM(E211),Product_Category!$A$2:$A$45,0))</f>
        <v>Nuts &amp; Oilseeds</v>
      </c>
      <c r="G211" s="4">
        <v>3.73</v>
      </c>
      <c r="H211" s="4">
        <v>7.35</v>
      </c>
      <c r="I211" s="4">
        <v>5.67</v>
      </c>
      <c r="J211" s="4">
        <v>6159.26</v>
      </c>
      <c r="K211" s="4">
        <v>10943.5</v>
      </c>
      <c r="L211" s="4">
        <v>6644.31</v>
      </c>
      <c r="M211" s="4">
        <f t="shared" si="9"/>
        <v>3.6199999999999997</v>
      </c>
      <c r="N211" s="4">
        <f t="shared" si="10"/>
        <v>4784.24</v>
      </c>
      <c r="O211" s="4">
        <f t="shared" si="11"/>
        <v>-1.6799999999999997</v>
      </c>
      <c r="P211" s="3" t="s">
        <v>19</v>
      </c>
    </row>
    <row r="212" spans="1:16" x14ac:dyDescent="0.35">
      <c r="A212" s="3" t="s">
        <v>40</v>
      </c>
      <c r="B212" s="3" t="str">
        <f>INDEX(State_Region!$B$2:$B$26,MATCH(TRIM(A212),State_Region!$A$2:$A$26,0))</f>
        <v>South</v>
      </c>
      <c r="C212" s="3" t="s">
        <v>41</v>
      </c>
      <c r="D212" s="3" t="str">
        <f>INDEX(Port_Type!$B$2:$B$227,MATCH(TRIM(C212),Port_Type!$A$2:$A$227,0))</f>
        <v>Sea Port</v>
      </c>
      <c r="E212" s="3" t="s">
        <v>53</v>
      </c>
      <c r="F212" s="3" t="str">
        <f>INDEX(Product_Category!$B$2:$B$45,MATCH(TRIM(E212),Product_Category!$A$2:$A$45,0))</f>
        <v>Processed Foods</v>
      </c>
      <c r="G212" s="4">
        <v>14.14</v>
      </c>
      <c r="H212" s="4">
        <v>12.98</v>
      </c>
      <c r="I212" s="4">
        <v>5.62</v>
      </c>
      <c r="J212" s="4">
        <v>17225.009999999998</v>
      </c>
      <c r="K212" s="4">
        <v>12631.26</v>
      </c>
      <c r="L212" s="4">
        <v>7039.39</v>
      </c>
      <c r="M212" s="4">
        <f t="shared" si="9"/>
        <v>-1.1600000000000001</v>
      </c>
      <c r="N212" s="4">
        <f t="shared" si="10"/>
        <v>-4593.7499999999982</v>
      </c>
      <c r="O212" s="4">
        <f t="shared" si="11"/>
        <v>-7.36</v>
      </c>
      <c r="P212" s="3" t="s">
        <v>19</v>
      </c>
    </row>
    <row r="213" spans="1:16" x14ac:dyDescent="0.35">
      <c r="A213" s="3" t="s">
        <v>16</v>
      </c>
      <c r="B213" s="3" t="str">
        <f>INDEX(State_Region!$B$2:$B$26,MATCH(TRIM(A213),State_Region!$A$2:$A$26,0))</f>
        <v>West</v>
      </c>
      <c r="C213" s="3" t="s">
        <v>143</v>
      </c>
      <c r="D213" s="3" t="str">
        <f>INDEX(Port_Type!$B$2:$B$227,MATCH(TRIM(C213),Port_Type!$A$2:$A$227,0))</f>
        <v>Sea Port</v>
      </c>
      <c r="E213" s="3" t="s">
        <v>27</v>
      </c>
      <c r="F213" s="3" t="str">
        <f>INDEX(Product_Category!$B$2:$B$45,MATCH(TRIM(E213),Product_Category!$A$2:$A$45,0))</f>
        <v>Cereals &amp; Grains</v>
      </c>
      <c r="G213" s="4">
        <v>34.92</v>
      </c>
      <c r="H213" s="4">
        <v>30.76</v>
      </c>
      <c r="I213" s="4">
        <v>5.59</v>
      </c>
      <c r="J213" s="4">
        <v>87398.81</v>
      </c>
      <c r="K213" s="4">
        <v>80140.5</v>
      </c>
      <c r="L213" s="4">
        <v>15573.51</v>
      </c>
      <c r="M213" s="4">
        <f t="shared" si="9"/>
        <v>-4.16</v>
      </c>
      <c r="N213" s="4">
        <f t="shared" si="10"/>
        <v>-7258.3099999999977</v>
      </c>
      <c r="O213" s="4">
        <f t="shared" si="11"/>
        <v>-25.17</v>
      </c>
      <c r="P213" s="3" t="s">
        <v>19</v>
      </c>
    </row>
    <row r="214" spans="1:16" x14ac:dyDescent="0.35">
      <c r="A214" s="3" t="s">
        <v>16</v>
      </c>
      <c r="B214" s="3" t="str">
        <f>INDEX(State_Region!$B$2:$B$26,MATCH(TRIM(A214),State_Region!$A$2:$A$26,0))</f>
        <v>West</v>
      </c>
      <c r="C214" s="3" t="s">
        <v>17</v>
      </c>
      <c r="D214" s="3" t="str">
        <f>INDEX(Port_Type!$B$2:$B$227,MATCH(TRIM(C214),Port_Type!$A$2:$A$227,0))</f>
        <v>Sea Port</v>
      </c>
      <c r="E214" s="3" t="s">
        <v>144</v>
      </c>
      <c r="F214" s="3" t="str">
        <f>INDEX(Product_Category!$B$2:$B$45,MATCH(TRIM(E214),Product_Category!$A$2:$A$45,0))</f>
        <v>Cereals &amp; Grains</v>
      </c>
      <c r="G214" s="4">
        <v>26.01</v>
      </c>
      <c r="H214" s="4">
        <v>24.97</v>
      </c>
      <c r="I214" s="4">
        <v>5.59</v>
      </c>
      <c r="J214" s="4">
        <v>65253.25</v>
      </c>
      <c r="K214" s="4">
        <v>58237.26</v>
      </c>
      <c r="L214" s="4">
        <v>14008.03</v>
      </c>
      <c r="M214" s="4">
        <f t="shared" si="9"/>
        <v>-1.0400000000000027</v>
      </c>
      <c r="N214" s="4">
        <f t="shared" si="10"/>
        <v>-7015.989999999998</v>
      </c>
      <c r="O214" s="4">
        <f t="shared" si="11"/>
        <v>-19.38</v>
      </c>
      <c r="P214" s="3" t="s">
        <v>19</v>
      </c>
    </row>
    <row r="215" spans="1:16" x14ac:dyDescent="0.35">
      <c r="A215" s="3" t="s">
        <v>94</v>
      </c>
      <c r="B215" s="3" t="str">
        <f>INDEX(State_Region!$B$2:$B$26,MATCH(TRIM(A215),State_Region!$A$2:$A$26,0))</f>
        <v>East</v>
      </c>
      <c r="C215" s="3" t="s">
        <v>112</v>
      </c>
      <c r="D215" s="3" t="str">
        <f>INDEX(Port_Type!$B$2:$B$227,MATCH(TRIM(C215),Port_Type!$A$2:$A$227,0))</f>
        <v>Land Border / Rail</v>
      </c>
      <c r="E215" s="3" t="s">
        <v>62</v>
      </c>
      <c r="F215" s="3" t="str">
        <f>INDEX(Product_Category!$B$2:$B$45,MATCH(TRIM(E215),Product_Category!$A$2:$A$45,0))</f>
        <v>Cereals &amp; Grains</v>
      </c>
      <c r="G215" s="4">
        <v>28.59</v>
      </c>
      <c r="H215" s="4">
        <v>19.43</v>
      </c>
      <c r="I215" s="4">
        <v>5.5</v>
      </c>
      <c r="J215" s="4">
        <v>111718.25</v>
      </c>
      <c r="K215" s="4">
        <v>73263.05</v>
      </c>
      <c r="L215" s="4">
        <v>25136.49</v>
      </c>
      <c r="M215" s="4">
        <f t="shared" si="9"/>
        <v>-9.16</v>
      </c>
      <c r="N215" s="4">
        <f t="shared" si="10"/>
        <v>-38455.199999999997</v>
      </c>
      <c r="O215" s="4">
        <f t="shared" si="11"/>
        <v>-13.93</v>
      </c>
      <c r="P215" s="3" t="s">
        <v>19</v>
      </c>
    </row>
    <row r="216" spans="1:16" x14ac:dyDescent="0.35">
      <c r="A216" s="3" t="s">
        <v>74</v>
      </c>
      <c r="B216" s="3" t="str">
        <f>INDEX(State_Region!$B$2:$B$26,MATCH(TRIM(A216),State_Region!$A$2:$A$26,0))</f>
        <v>South</v>
      </c>
      <c r="C216" s="3" t="s">
        <v>75</v>
      </c>
      <c r="D216" s="3" t="str">
        <f>INDEX(Port_Type!$B$2:$B$227,MATCH(TRIM(C216),Port_Type!$A$2:$A$227,0))</f>
        <v>Inland ICD / CFS</v>
      </c>
      <c r="E216" s="3" t="s">
        <v>128</v>
      </c>
      <c r="F216" s="3" t="str">
        <f>INDEX(Product_Category!$B$2:$B$45,MATCH(TRIM(E216),Product_Category!$A$2:$A$45,0))</f>
        <v>Dairy, Poultry &amp; Honey</v>
      </c>
      <c r="G216" s="4">
        <v>13.06</v>
      </c>
      <c r="H216" s="4">
        <v>19.100000000000001</v>
      </c>
      <c r="I216" s="4">
        <v>5.47</v>
      </c>
      <c r="J216" s="4">
        <v>3030.77</v>
      </c>
      <c r="K216" s="4">
        <v>3729.89</v>
      </c>
      <c r="L216" s="4">
        <v>956.81</v>
      </c>
      <c r="M216" s="4">
        <f t="shared" si="9"/>
        <v>6.0400000000000009</v>
      </c>
      <c r="N216" s="4">
        <f t="shared" si="10"/>
        <v>699.11999999999989</v>
      </c>
      <c r="O216" s="4">
        <f t="shared" si="11"/>
        <v>-13.630000000000003</v>
      </c>
      <c r="P216" s="3" t="s">
        <v>19</v>
      </c>
    </row>
    <row r="217" spans="1:16" x14ac:dyDescent="0.35">
      <c r="A217" s="3" t="s">
        <v>20</v>
      </c>
      <c r="B217" s="3" t="str">
        <f>INDEX(State_Region!$B$2:$B$26,MATCH(TRIM(A217),State_Region!$A$2:$A$26,0))</f>
        <v>West</v>
      </c>
      <c r="C217" s="3" t="s">
        <v>145</v>
      </c>
      <c r="D217" s="3" t="str">
        <f>INDEX(Port_Type!$B$2:$B$227,MATCH(TRIM(C217),Port_Type!$A$2:$A$227,0))</f>
        <v>Inland ICD / CFS</v>
      </c>
      <c r="E217" s="3" t="s">
        <v>83</v>
      </c>
      <c r="F217" s="3" t="str">
        <f>INDEX(Product_Category!$B$2:$B$45,MATCH(TRIM(E217),Product_Category!$A$2:$A$45,0))</f>
        <v>Fresh Fruits &amp; Vegetables</v>
      </c>
      <c r="G217" s="4">
        <v>0</v>
      </c>
      <c r="H217" s="4">
        <v>30.78</v>
      </c>
      <c r="I217" s="4">
        <v>5.4</v>
      </c>
      <c r="J217" s="4">
        <v>0</v>
      </c>
      <c r="K217" s="4">
        <v>14693.83</v>
      </c>
      <c r="L217" s="4">
        <v>2350.1999999999998</v>
      </c>
      <c r="M217" s="4">
        <f t="shared" si="9"/>
        <v>30.78</v>
      </c>
      <c r="N217" s="4">
        <f t="shared" si="10"/>
        <v>14693.83</v>
      </c>
      <c r="O217" s="4">
        <f t="shared" si="11"/>
        <v>-25.380000000000003</v>
      </c>
      <c r="P217" s="3" t="s">
        <v>19</v>
      </c>
    </row>
    <row r="218" spans="1:16" x14ac:dyDescent="0.35">
      <c r="A218" s="3" t="s">
        <v>79</v>
      </c>
      <c r="B218" s="3" t="str">
        <f>INDEX(State_Region!$B$2:$B$26,MATCH(TRIM(A218),State_Region!$A$2:$A$26,0))</f>
        <v>South</v>
      </c>
      <c r="C218" s="3" t="s">
        <v>92</v>
      </c>
      <c r="D218" s="3" t="str">
        <f>INDEX(Port_Type!$B$2:$B$227,MATCH(TRIM(C218),Port_Type!$A$2:$A$227,0))</f>
        <v>Air Cargo</v>
      </c>
      <c r="E218" s="3" t="s">
        <v>102</v>
      </c>
      <c r="F218" s="3" t="str">
        <f>INDEX(Product_Category!$B$2:$B$45,MATCH(TRIM(E218),Product_Category!$A$2:$A$45,0))</f>
        <v>Fresh Fruits &amp; Vegetables</v>
      </c>
      <c r="G218" s="4">
        <v>11.77</v>
      </c>
      <c r="H218" s="4">
        <v>15.03</v>
      </c>
      <c r="I218" s="4">
        <v>5.4</v>
      </c>
      <c r="J218" s="4">
        <v>9355.32</v>
      </c>
      <c r="K218" s="4">
        <v>10864.1</v>
      </c>
      <c r="L218" s="4">
        <v>3455.01</v>
      </c>
      <c r="M218" s="4">
        <f t="shared" si="9"/>
        <v>3.26</v>
      </c>
      <c r="N218" s="4">
        <f t="shared" si="10"/>
        <v>1508.7800000000007</v>
      </c>
      <c r="O218" s="4">
        <f t="shared" si="11"/>
        <v>-9.629999999999999</v>
      </c>
      <c r="P218" s="3" t="s">
        <v>19</v>
      </c>
    </row>
    <row r="219" spans="1:16" x14ac:dyDescent="0.35">
      <c r="A219" s="3" t="s">
        <v>20</v>
      </c>
      <c r="B219" s="3" t="str">
        <f>INDEX(State_Region!$B$2:$B$26,MATCH(TRIM(A219),State_Region!$A$2:$A$26,0))</f>
        <v>West</v>
      </c>
      <c r="C219" s="3" t="s">
        <v>68</v>
      </c>
      <c r="D219" s="3" t="str">
        <f>INDEX(Port_Type!$B$2:$B$227,MATCH(TRIM(C219),Port_Type!$A$2:$A$227,0))</f>
        <v>Air Cargo</v>
      </c>
      <c r="E219" s="3" t="s">
        <v>45</v>
      </c>
      <c r="F219" s="3" t="str">
        <f>INDEX(Product_Category!$B$2:$B$45,MATCH(TRIM(E219),Product_Category!$A$2:$A$45,0))</f>
        <v>Fresh Fruits &amp; Vegetables</v>
      </c>
      <c r="G219" s="4">
        <v>16.05</v>
      </c>
      <c r="H219" s="4">
        <v>19.93</v>
      </c>
      <c r="I219" s="4">
        <v>5.37</v>
      </c>
      <c r="J219" s="4">
        <v>7585.02</v>
      </c>
      <c r="K219" s="4">
        <v>8571.48</v>
      </c>
      <c r="L219" s="4">
        <v>2157.42</v>
      </c>
      <c r="M219" s="4">
        <f t="shared" si="9"/>
        <v>3.879999999999999</v>
      </c>
      <c r="N219" s="4">
        <f t="shared" si="10"/>
        <v>986.45999999999913</v>
      </c>
      <c r="O219" s="4">
        <f t="shared" si="11"/>
        <v>-14.559999999999999</v>
      </c>
      <c r="P219" s="3" t="s">
        <v>19</v>
      </c>
    </row>
    <row r="220" spans="1:16" x14ac:dyDescent="0.35">
      <c r="A220" s="3" t="s">
        <v>25</v>
      </c>
      <c r="B220" s="3" t="str">
        <f>INDEX(State_Region!$B$2:$B$26,MATCH(TRIM(A220),State_Region!$A$2:$A$26,0))</f>
        <v>South</v>
      </c>
      <c r="C220" s="3" t="s">
        <v>29</v>
      </c>
      <c r="D220" s="3" t="str">
        <f>INDEX(Port_Type!$B$2:$B$227,MATCH(TRIM(C220),Port_Type!$A$2:$A$227,0))</f>
        <v>Sea Port</v>
      </c>
      <c r="E220" s="3" t="s">
        <v>39</v>
      </c>
      <c r="F220" s="3" t="str">
        <f>INDEX(Product_Category!$B$2:$B$45,MATCH(TRIM(E220),Product_Category!$A$2:$A$45,0))</f>
        <v>Processed Foods</v>
      </c>
      <c r="G220" s="4">
        <v>32.130000000000003</v>
      </c>
      <c r="H220" s="4">
        <v>8.64</v>
      </c>
      <c r="I220" s="4">
        <v>5.36</v>
      </c>
      <c r="J220" s="4">
        <v>74222.899999999994</v>
      </c>
      <c r="K220" s="4">
        <v>19433.560000000001</v>
      </c>
      <c r="L220" s="4">
        <v>13998.36</v>
      </c>
      <c r="M220" s="4">
        <f t="shared" si="9"/>
        <v>-23.490000000000002</v>
      </c>
      <c r="N220" s="4">
        <f t="shared" si="10"/>
        <v>-54789.34</v>
      </c>
      <c r="O220" s="4">
        <f t="shared" si="11"/>
        <v>-3.2800000000000002</v>
      </c>
      <c r="P220" s="3" t="s">
        <v>19</v>
      </c>
    </row>
    <row r="221" spans="1:16" x14ac:dyDescent="0.35">
      <c r="A221" s="3" t="s">
        <v>40</v>
      </c>
      <c r="B221" s="3" t="str">
        <f>INDEX(State_Region!$B$2:$B$26,MATCH(TRIM(A221),State_Region!$A$2:$A$26,0))</f>
        <v>South</v>
      </c>
      <c r="C221" s="3" t="s">
        <v>41</v>
      </c>
      <c r="D221" s="3" t="str">
        <f>INDEX(Port_Type!$B$2:$B$227,MATCH(TRIM(C221),Port_Type!$A$2:$A$227,0))</f>
        <v>Sea Port</v>
      </c>
      <c r="E221" s="3" t="s">
        <v>62</v>
      </c>
      <c r="F221" s="3" t="str">
        <f>INDEX(Product_Category!$B$2:$B$45,MATCH(TRIM(E221),Product_Category!$A$2:$A$45,0))</f>
        <v>Cereals &amp; Grains</v>
      </c>
      <c r="G221" s="4">
        <v>14.39</v>
      </c>
      <c r="H221" s="4">
        <v>6.12</v>
      </c>
      <c r="I221" s="4">
        <v>5.34</v>
      </c>
      <c r="J221" s="4">
        <v>15601.83</v>
      </c>
      <c r="K221" s="4">
        <v>6957.43</v>
      </c>
      <c r="L221" s="4">
        <v>8418.2900000000009</v>
      </c>
      <c r="M221" s="4">
        <f t="shared" si="9"/>
        <v>-8.27</v>
      </c>
      <c r="N221" s="4">
        <f t="shared" si="10"/>
        <v>-8644.4</v>
      </c>
      <c r="O221" s="4">
        <f t="shared" si="11"/>
        <v>-0.78000000000000025</v>
      </c>
      <c r="P221" s="3" t="s">
        <v>19</v>
      </c>
    </row>
    <row r="222" spans="1:16" x14ac:dyDescent="0.35">
      <c r="A222" s="3" t="s">
        <v>31</v>
      </c>
      <c r="B222" s="3" t="str">
        <f>INDEX(State_Region!$B$2:$B$26,MATCH(TRIM(A222),State_Region!$A$2:$A$26,0))</f>
        <v>East</v>
      </c>
      <c r="C222" s="3" t="s">
        <v>146</v>
      </c>
      <c r="D222" s="3" t="str">
        <f>INDEX(Port_Type!$B$2:$B$227,MATCH(TRIM(C222),Port_Type!$A$2:$A$227,0))</f>
        <v>Land Border / Rail</v>
      </c>
      <c r="E222" s="3" t="s">
        <v>33</v>
      </c>
      <c r="F222" s="3" t="str">
        <f>INDEX(Product_Category!$B$2:$B$45,MATCH(TRIM(E222),Product_Category!$A$2:$A$45,0))</f>
        <v>Pulses</v>
      </c>
      <c r="G222" s="4">
        <v>34</v>
      </c>
      <c r="H222" s="4">
        <v>23.5</v>
      </c>
      <c r="I222" s="4">
        <v>5.33</v>
      </c>
      <c r="J222" s="4">
        <v>38114.44</v>
      </c>
      <c r="K222" s="4">
        <v>32821.64</v>
      </c>
      <c r="L222" s="4">
        <v>6526.43</v>
      </c>
      <c r="M222" s="4">
        <f t="shared" si="9"/>
        <v>-10.5</v>
      </c>
      <c r="N222" s="4">
        <f t="shared" si="10"/>
        <v>-5292.8000000000029</v>
      </c>
      <c r="O222" s="4">
        <f t="shared" si="11"/>
        <v>-18.170000000000002</v>
      </c>
      <c r="P222" s="3" t="s">
        <v>19</v>
      </c>
    </row>
    <row r="223" spans="1:16" x14ac:dyDescent="0.35">
      <c r="A223" s="3" t="s">
        <v>16</v>
      </c>
      <c r="B223" s="3" t="str">
        <f>INDEX(State_Region!$B$2:$B$26,MATCH(TRIM(A223),State_Region!$A$2:$A$26,0))</f>
        <v>West</v>
      </c>
      <c r="C223" s="3" t="s">
        <v>143</v>
      </c>
      <c r="D223" s="3" t="str">
        <f>INDEX(Port_Type!$B$2:$B$227,MATCH(TRIM(C223),Port_Type!$A$2:$A$227,0))</f>
        <v>Sea Port</v>
      </c>
      <c r="E223" s="3" t="s">
        <v>18</v>
      </c>
      <c r="F223" s="3" t="str">
        <f>INDEX(Product_Category!$B$2:$B$45,MATCH(TRIM(E223),Product_Category!$A$2:$A$45,0))</f>
        <v>Cereals &amp; Grains</v>
      </c>
      <c r="G223" s="4">
        <v>39.18</v>
      </c>
      <c r="H223" s="4">
        <v>36.76</v>
      </c>
      <c r="I223" s="4">
        <v>5.3</v>
      </c>
      <c r="J223" s="4">
        <v>36327.11</v>
      </c>
      <c r="K223" s="4">
        <v>44202.400000000001</v>
      </c>
      <c r="L223" s="4">
        <v>5617.67</v>
      </c>
      <c r="M223" s="4">
        <f t="shared" si="9"/>
        <v>-2.4200000000000017</v>
      </c>
      <c r="N223" s="4">
        <f t="shared" si="10"/>
        <v>7875.2900000000009</v>
      </c>
      <c r="O223" s="4">
        <f t="shared" si="11"/>
        <v>-31.459999999999997</v>
      </c>
      <c r="P223" s="3" t="s">
        <v>19</v>
      </c>
    </row>
    <row r="224" spans="1:16" x14ac:dyDescent="0.35">
      <c r="A224" s="3" t="s">
        <v>31</v>
      </c>
      <c r="B224" s="3" t="str">
        <f>INDEX(State_Region!$B$2:$B$26,MATCH(TRIM(A224),State_Region!$A$2:$A$26,0))</f>
        <v>East</v>
      </c>
      <c r="C224" s="3" t="s">
        <v>131</v>
      </c>
      <c r="D224" s="3" t="str">
        <f>INDEX(Port_Type!$B$2:$B$227,MATCH(TRIM(C224),Port_Type!$A$2:$A$227,0))</f>
        <v>Land Border / Rail</v>
      </c>
      <c r="E224" s="3" t="s">
        <v>39</v>
      </c>
      <c r="F224" s="3" t="str">
        <f>INDEX(Product_Category!$B$2:$B$45,MATCH(TRIM(E224),Product_Category!$A$2:$A$45,0))</f>
        <v>Processed Foods</v>
      </c>
      <c r="G224" s="4">
        <v>18.440000000000001</v>
      </c>
      <c r="H224" s="4">
        <v>14.78</v>
      </c>
      <c r="I224" s="4">
        <v>5.2</v>
      </c>
      <c r="J224" s="4">
        <v>10595.34</v>
      </c>
      <c r="K224" s="4">
        <v>10304.76</v>
      </c>
      <c r="L224" s="4">
        <v>4896.75</v>
      </c>
      <c r="M224" s="4">
        <f t="shared" si="9"/>
        <v>-3.6600000000000019</v>
      </c>
      <c r="N224" s="4">
        <f t="shared" si="10"/>
        <v>-290.57999999999993</v>
      </c>
      <c r="O224" s="4">
        <f t="shared" si="11"/>
        <v>-9.5799999999999983</v>
      </c>
      <c r="P224" s="3" t="s">
        <v>19</v>
      </c>
    </row>
    <row r="225" spans="1:16" x14ac:dyDescent="0.35">
      <c r="A225" s="3" t="s">
        <v>40</v>
      </c>
      <c r="B225" s="3" t="str">
        <f>INDEX(State_Region!$B$2:$B$26,MATCH(TRIM(A225),State_Region!$A$2:$A$26,0))</f>
        <v>South</v>
      </c>
      <c r="C225" s="3" t="s">
        <v>85</v>
      </c>
      <c r="D225" s="3" t="str">
        <f>INDEX(Port_Type!$B$2:$B$227,MATCH(TRIM(C225),Port_Type!$A$2:$A$227,0))</f>
        <v>Sea Port</v>
      </c>
      <c r="E225" s="3" t="s">
        <v>39</v>
      </c>
      <c r="F225" s="3" t="str">
        <f>INDEX(Product_Category!$B$2:$B$45,MATCH(TRIM(E225),Product_Category!$A$2:$A$45,0))</f>
        <v>Processed Foods</v>
      </c>
      <c r="G225" s="4">
        <v>8.41</v>
      </c>
      <c r="H225" s="4">
        <v>12.71</v>
      </c>
      <c r="I225" s="4">
        <v>5.08</v>
      </c>
      <c r="J225" s="4">
        <v>6527.43</v>
      </c>
      <c r="K225" s="4">
        <v>4995.63</v>
      </c>
      <c r="L225" s="4">
        <v>3761.74</v>
      </c>
      <c r="M225" s="4">
        <f t="shared" si="9"/>
        <v>4.3000000000000007</v>
      </c>
      <c r="N225" s="4">
        <f t="shared" si="10"/>
        <v>-1531.8000000000002</v>
      </c>
      <c r="O225" s="4">
        <f t="shared" si="11"/>
        <v>-7.6300000000000008</v>
      </c>
      <c r="P225" s="3" t="s">
        <v>19</v>
      </c>
    </row>
    <row r="226" spans="1:16" x14ac:dyDescent="0.35">
      <c r="A226" s="3" t="s">
        <v>20</v>
      </c>
      <c r="B226" s="3" t="str">
        <f>INDEX(State_Region!$B$2:$B$26,MATCH(TRIM(A226),State_Region!$A$2:$A$26,0))</f>
        <v>West</v>
      </c>
      <c r="C226" s="3" t="s">
        <v>21</v>
      </c>
      <c r="D226" s="3" t="str">
        <f>INDEX(Port_Type!$B$2:$B$227,MATCH(TRIM(C226),Port_Type!$A$2:$A$227,0))</f>
        <v>Sea Port</v>
      </c>
      <c r="E226" s="3" t="s">
        <v>144</v>
      </c>
      <c r="F226" s="3" t="str">
        <f>INDEX(Product_Category!$B$2:$B$45,MATCH(TRIM(E226),Product_Category!$A$2:$A$45,0))</f>
        <v>Cereals &amp; Grains</v>
      </c>
      <c r="G226" s="4">
        <v>15.2</v>
      </c>
      <c r="H226" s="4">
        <v>18.100000000000001</v>
      </c>
      <c r="I226" s="4">
        <v>5.0199999999999996</v>
      </c>
      <c r="J226" s="4">
        <v>31503.67</v>
      </c>
      <c r="K226" s="4">
        <v>38997.800000000003</v>
      </c>
      <c r="L226" s="4">
        <v>10489.16</v>
      </c>
      <c r="M226" s="4">
        <f t="shared" si="9"/>
        <v>2.9000000000000021</v>
      </c>
      <c r="N226" s="4">
        <f t="shared" si="10"/>
        <v>7494.1300000000047</v>
      </c>
      <c r="O226" s="4">
        <f t="shared" si="11"/>
        <v>-13.080000000000002</v>
      </c>
      <c r="P226" s="3" t="s">
        <v>19</v>
      </c>
    </row>
    <row r="227" spans="1:16" x14ac:dyDescent="0.35">
      <c r="A227" s="3" t="s">
        <v>66</v>
      </c>
      <c r="B227" s="3" t="str">
        <f>INDEX(State_Region!$B$2:$B$26,MATCH(TRIM(A227),State_Region!$A$2:$A$26,0))</f>
        <v>North</v>
      </c>
      <c r="C227" s="3" t="s">
        <v>73</v>
      </c>
      <c r="D227" s="3" t="str">
        <f>INDEX(Port_Type!$B$2:$B$227,MATCH(TRIM(C227),Port_Type!$A$2:$A$227,0))</f>
        <v>Inland ICD / CFS</v>
      </c>
      <c r="E227" s="3" t="s">
        <v>39</v>
      </c>
      <c r="F227" s="3" t="str">
        <f>INDEX(Product_Category!$B$2:$B$45,MATCH(TRIM(E227),Product_Category!$A$2:$A$45,0))</f>
        <v>Processed Foods</v>
      </c>
      <c r="G227" s="4">
        <v>6.86</v>
      </c>
      <c r="H227" s="4">
        <v>13.89</v>
      </c>
      <c r="I227" s="4">
        <v>5.01</v>
      </c>
      <c r="J227" s="4">
        <v>3225.18</v>
      </c>
      <c r="K227" s="4">
        <v>4546.67</v>
      </c>
      <c r="L227" s="4">
        <v>1605.19</v>
      </c>
      <c r="M227" s="4">
        <f t="shared" si="9"/>
        <v>7.03</v>
      </c>
      <c r="N227" s="4">
        <f t="shared" si="10"/>
        <v>1321.4900000000002</v>
      </c>
      <c r="O227" s="4">
        <f t="shared" si="11"/>
        <v>-8.8800000000000008</v>
      </c>
      <c r="P227" s="3" t="s">
        <v>19</v>
      </c>
    </row>
    <row r="228" spans="1:16" x14ac:dyDescent="0.35">
      <c r="A228" s="3" t="s">
        <v>129</v>
      </c>
      <c r="B228" s="3" t="str">
        <f>INDEX(State_Region!$B$2:$B$26,MATCH(TRIM(A228),State_Region!$A$2:$A$26,0))</f>
        <v>East</v>
      </c>
      <c r="C228" s="3" t="s">
        <v>147</v>
      </c>
      <c r="D228" s="3" t="str">
        <f>INDEX(Port_Type!$B$2:$B$227,MATCH(TRIM(C228),Port_Type!$A$2:$A$227,0))</f>
        <v>Land Border / Rail</v>
      </c>
      <c r="E228" s="3" t="s">
        <v>113</v>
      </c>
      <c r="F228" s="3" t="str">
        <f>INDEX(Product_Category!$B$2:$B$45,MATCH(TRIM(E228),Product_Category!$A$2:$A$45,0))</f>
        <v>Cereals &amp; Grains</v>
      </c>
      <c r="G228" s="4">
        <v>7.52</v>
      </c>
      <c r="H228" s="4">
        <v>0</v>
      </c>
      <c r="I228" s="4">
        <v>4.99</v>
      </c>
      <c r="J228" s="4">
        <v>23763.3</v>
      </c>
      <c r="K228" s="4">
        <v>0</v>
      </c>
      <c r="L228" s="4">
        <v>18491.310000000001</v>
      </c>
      <c r="M228" s="4">
        <f t="shared" si="9"/>
        <v>-7.52</v>
      </c>
      <c r="N228" s="4">
        <f t="shared" si="10"/>
        <v>-23763.3</v>
      </c>
      <c r="O228" s="4">
        <f t="shared" si="11"/>
        <v>4.99</v>
      </c>
      <c r="P228" s="3" t="s">
        <v>19</v>
      </c>
    </row>
    <row r="229" spans="1:16" x14ac:dyDescent="0.35">
      <c r="A229" s="3" t="s">
        <v>40</v>
      </c>
      <c r="B229" s="3" t="str">
        <f>INDEX(State_Region!$B$2:$B$26,MATCH(TRIM(A229),State_Region!$A$2:$A$26,0))</f>
        <v>South</v>
      </c>
      <c r="C229" s="3" t="s">
        <v>85</v>
      </c>
      <c r="D229" s="3" t="str">
        <f>INDEX(Port_Type!$B$2:$B$227,MATCH(TRIM(C229),Port_Type!$A$2:$A$227,0))</f>
        <v>Sea Port</v>
      </c>
      <c r="E229" s="3" t="s">
        <v>33</v>
      </c>
      <c r="F229" s="3" t="str">
        <f>INDEX(Product_Category!$B$2:$B$45,MATCH(TRIM(E229),Product_Category!$A$2:$A$45,0))</f>
        <v>Pulses</v>
      </c>
      <c r="G229" s="4">
        <v>7.44</v>
      </c>
      <c r="H229" s="4">
        <v>9.32</v>
      </c>
      <c r="I229" s="4">
        <v>4.96</v>
      </c>
      <c r="J229" s="4">
        <v>7288.15</v>
      </c>
      <c r="K229" s="4">
        <v>9064.56</v>
      </c>
      <c r="L229" s="4">
        <v>5173.22</v>
      </c>
      <c r="M229" s="4">
        <f t="shared" si="9"/>
        <v>1.88</v>
      </c>
      <c r="N229" s="4">
        <f t="shared" si="10"/>
        <v>1776.4099999999999</v>
      </c>
      <c r="O229" s="4">
        <f t="shared" si="11"/>
        <v>-4.3600000000000003</v>
      </c>
      <c r="P229" s="3" t="s">
        <v>19</v>
      </c>
    </row>
    <row r="230" spans="1:16" x14ac:dyDescent="0.35">
      <c r="A230" s="3" t="s">
        <v>40</v>
      </c>
      <c r="B230" s="3" t="str">
        <f>INDEX(State_Region!$B$2:$B$26,MATCH(TRIM(A230),State_Region!$A$2:$A$26,0))</f>
        <v>South</v>
      </c>
      <c r="C230" s="3" t="s">
        <v>117</v>
      </c>
      <c r="D230" s="3" t="str">
        <f>INDEX(Port_Type!$B$2:$B$227,MATCH(TRIM(C230),Port_Type!$A$2:$A$227,0))</f>
        <v>Sea Port</v>
      </c>
      <c r="E230" s="3" t="s">
        <v>81</v>
      </c>
      <c r="F230" s="3" t="str">
        <f>INDEX(Product_Category!$B$2:$B$45,MATCH(TRIM(E230),Product_Category!$A$2:$A$45,0))</f>
        <v>Processed Foods</v>
      </c>
      <c r="G230" s="4">
        <v>13.73</v>
      </c>
      <c r="H230" s="4">
        <v>12.73</v>
      </c>
      <c r="I230" s="4">
        <v>4.96</v>
      </c>
      <c r="J230" s="4">
        <v>12061.04</v>
      </c>
      <c r="K230" s="4">
        <v>15061.03</v>
      </c>
      <c r="L230" s="4">
        <v>5544.73</v>
      </c>
      <c r="M230" s="4">
        <f t="shared" si="9"/>
        <v>-1</v>
      </c>
      <c r="N230" s="4">
        <f t="shared" si="10"/>
        <v>2999.99</v>
      </c>
      <c r="O230" s="4">
        <f t="shared" si="11"/>
        <v>-7.7700000000000005</v>
      </c>
      <c r="P230" s="3" t="s">
        <v>19</v>
      </c>
    </row>
    <row r="231" spans="1:16" x14ac:dyDescent="0.35">
      <c r="A231" s="3" t="s">
        <v>40</v>
      </c>
      <c r="B231" s="3" t="str">
        <f>INDEX(State_Region!$B$2:$B$26,MATCH(TRIM(A231),State_Region!$A$2:$A$26,0))</f>
        <v>South</v>
      </c>
      <c r="C231" s="3" t="s">
        <v>117</v>
      </c>
      <c r="D231" s="3" t="str">
        <f>INDEX(Port_Type!$B$2:$B$227,MATCH(TRIM(C231),Port_Type!$A$2:$A$227,0))</f>
        <v>Sea Port</v>
      </c>
      <c r="E231" s="3" t="s">
        <v>142</v>
      </c>
      <c r="F231" s="3" t="str">
        <f>INDEX(Product_Category!$B$2:$B$45,MATCH(TRIM(E231),Product_Category!$A$2:$A$45,0))</f>
        <v>Nuts &amp; Oilseeds</v>
      </c>
      <c r="G231" s="4">
        <v>0.97</v>
      </c>
      <c r="H231" s="4">
        <v>13.6</v>
      </c>
      <c r="I231" s="4">
        <v>4.96</v>
      </c>
      <c r="J231" s="4">
        <v>1540.6</v>
      </c>
      <c r="K231" s="4">
        <v>20078.18</v>
      </c>
      <c r="L231" s="4">
        <v>5805.08</v>
      </c>
      <c r="M231" s="4">
        <f t="shared" si="9"/>
        <v>12.629999999999999</v>
      </c>
      <c r="N231" s="4">
        <f t="shared" si="10"/>
        <v>18537.580000000002</v>
      </c>
      <c r="O231" s="4">
        <f t="shared" si="11"/>
        <v>-8.64</v>
      </c>
      <c r="P231" s="3" t="s">
        <v>19</v>
      </c>
    </row>
    <row r="232" spans="1:16" x14ac:dyDescent="0.35">
      <c r="A232" s="3" t="s">
        <v>31</v>
      </c>
      <c r="B232" s="3" t="str">
        <f>INDEX(State_Region!$B$2:$B$26,MATCH(TRIM(A232),State_Region!$A$2:$A$26,0))</f>
        <v>East</v>
      </c>
      <c r="C232" s="3" t="s">
        <v>146</v>
      </c>
      <c r="D232" s="3" t="str">
        <f>INDEX(Port_Type!$B$2:$B$227,MATCH(TRIM(C232),Port_Type!$A$2:$A$227,0))</f>
        <v>Land Border / Rail</v>
      </c>
      <c r="E232" s="3" t="s">
        <v>62</v>
      </c>
      <c r="F232" s="3" t="str">
        <f>INDEX(Product_Category!$B$2:$B$45,MATCH(TRIM(E232),Product_Category!$A$2:$A$45,0))</f>
        <v>Cereals &amp; Grains</v>
      </c>
      <c r="G232" s="4">
        <v>4.91</v>
      </c>
      <c r="H232" s="4">
        <v>10.36</v>
      </c>
      <c r="I232" s="4">
        <v>4.9400000000000004</v>
      </c>
      <c r="J232" s="4">
        <v>18610.04</v>
      </c>
      <c r="K232" s="4">
        <v>44876.01</v>
      </c>
      <c r="L232" s="4">
        <v>22316.43</v>
      </c>
      <c r="M232" s="4">
        <f t="shared" si="9"/>
        <v>5.4499999999999993</v>
      </c>
      <c r="N232" s="4">
        <f t="shared" si="10"/>
        <v>26265.97</v>
      </c>
      <c r="O232" s="4">
        <f t="shared" si="11"/>
        <v>-5.419999999999999</v>
      </c>
      <c r="P232" s="3" t="s">
        <v>19</v>
      </c>
    </row>
    <row r="233" spans="1:16" x14ac:dyDescent="0.35">
      <c r="A233" s="3" t="s">
        <v>35</v>
      </c>
      <c r="B233" s="3" t="str">
        <f>INDEX(State_Region!$B$2:$B$26,MATCH(TRIM(A233),State_Region!$A$2:$A$26,0))</f>
        <v>North</v>
      </c>
      <c r="C233" s="3" t="s">
        <v>47</v>
      </c>
      <c r="D233" s="3" t="str">
        <f>INDEX(Port_Type!$B$2:$B$227,MATCH(TRIM(C233),Port_Type!$A$2:$A$227,0))</f>
        <v>Inland ICD / CFS</v>
      </c>
      <c r="E233" s="3" t="s">
        <v>48</v>
      </c>
      <c r="F233" s="3" t="str">
        <f>INDEX(Product_Category!$B$2:$B$45,MATCH(TRIM(E233),Product_Category!$A$2:$A$45,0))</f>
        <v>Processed Foods</v>
      </c>
      <c r="G233" s="4">
        <v>15.93</v>
      </c>
      <c r="H233" s="4">
        <v>15.44</v>
      </c>
      <c r="I233" s="4">
        <v>4.83</v>
      </c>
      <c r="J233" s="4">
        <v>12172.5</v>
      </c>
      <c r="K233" s="4">
        <v>11986.07</v>
      </c>
      <c r="L233" s="4">
        <v>2759.46</v>
      </c>
      <c r="M233" s="4">
        <f t="shared" si="9"/>
        <v>-0.49000000000000021</v>
      </c>
      <c r="N233" s="4">
        <f t="shared" si="10"/>
        <v>-186.43000000000029</v>
      </c>
      <c r="O233" s="4">
        <f t="shared" si="11"/>
        <v>-10.61</v>
      </c>
      <c r="P233" s="3" t="s">
        <v>19</v>
      </c>
    </row>
    <row r="234" spans="1:16" x14ac:dyDescent="0.35">
      <c r="A234" s="3" t="s">
        <v>20</v>
      </c>
      <c r="B234" s="3" t="str">
        <f>INDEX(State_Region!$B$2:$B$26,MATCH(TRIM(A234),State_Region!$A$2:$A$26,0))</f>
        <v>West</v>
      </c>
      <c r="C234" s="3" t="s">
        <v>111</v>
      </c>
      <c r="D234" s="3" t="str">
        <f>INDEX(Port_Type!$B$2:$B$227,MATCH(TRIM(C234),Port_Type!$A$2:$A$227,0))</f>
        <v>Inland ICD / CFS</v>
      </c>
      <c r="E234" s="3" t="s">
        <v>39</v>
      </c>
      <c r="F234" s="3" t="str">
        <f>INDEX(Product_Category!$B$2:$B$45,MATCH(TRIM(E234),Product_Category!$A$2:$A$45,0))</f>
        <v>Processed Foods</v>
      </c>
      <c r="G234" s="4">
        <v>32.36</v>
      </c>
      <c r="H234" s="4">
        <v>1.03</v>
      </c>
      <c r="I234" s="4">
        <v>4.8099999999999996</v>
      </c>
      <c r="J234" s="4">
        <v>27684.04</v>
      </c>
      <c r="K234" s="4">
        <v>857.97</v>
      </c>
      <c r="L234" s="4">
        <v>3738.51</v>
      </c>
      <c r="M234" s="4">
        <f t="shared" si="9"/>
        <v>-31.33</v>
      </c>
      <c r="N234" s="4">
        <f t="shared" si="10"/>
        <v>-26826.07</v>
      </c>
      <c r="O234" s="4">
        <f t="shared" si="11"/>
        <v>3.7799999999999994</v>
      </c>
      <c r="P234" s="3" t="s">
        <v>19</v>
      </c>
    </row>
    <row r="235" spans="1:16" x14ac:dyDescent="0.35">
      <c r="A235" s="3" t="s">
        <v>94</v>
      </c>
      <c r="B235" s="3" t="str">
        <f>INDEX(State_Region!$B$2:$B$26,MATCH(TRIM(A235),State_Region!$A$2:$A$26,0))</f>
        <v>East</v>
      </c>
      <c r="C235" s="3" t="s">
        <v>112</v>
      </c>
      <c r="D235" s="3" t="str">
        <f>INDEX(Port_Type!$B$2:$B$227,MATCH(TRIM(C235),Port_Type!$A$2:$A$227,0))</f>
        <v>Land Border / Rail</v>
      </c>
      <c r="E235" s="3" t="s">
        <v>27</v>
      </c>
      <c r="F235" s="3" t="str">
        <f>INDEX(Product_Category!$B$2:$B$45,MATCH(TRIM(E235),Product_Category!$A$2:$A$45,0))</f>
        <v>Cereals &amp; Grains</v>
      </c>
      <c r="G235" s="4">
        <v>24.26</v>
      </c>
      <c r="H235" s="4">
        <v>20.47</v>
      </c>
      <c r="I235" s="4">
        <v>4.78</v>
      </c>
      <c r="J235" s="4">
        <v>77139.850000000006</v>
      </c>
      <c r="K235" s="4">
        <v>67815.69</v>
      </c>
      <c r="L235" s="4">
        <v>13470.34</v>
      </c>
      <c r="M235" s="4">
        <f t="shared" si="9"/>
        <v>-3.7900000000000027</v>
      </c>
      <c r="N235" s="4">
        <f t="shared" si="10"/>
        <v>-9324.1600000000035</v>
      </c>
      <c r="O235" s="4">
        <f t="shared" si="11"/>
        <v>-15.689999999999998</v>
      </c>
      <c r="P235" s="3" t="s">
        <v>19</v>
      </c>
    </row>
    <row r="236" spans="1:16" x14ac:dyDescent="0.35">
      <c r="A236" s="3" t="s">
        <v>23</v>
      </c>
      <c r="B236" s="3" t="str">
        <f>INDEX(State_Region!$B$2:$B$26,MATCH(TRIM(A236),State_Region!$A$2:$A$26,0))</f>
        <v>North</v>
      </c>
      <c r="C236" s="3" t="s">
        <v>148</v>
      </c>
      <c r="D236" s="3" t="str">
        <f>INDEX(Port_Type!$B$2:$B$227,MATCH(TRIM(C236),Port_Type!$A$2:$A$227,0))</f>
        <v>Inland ICD / CFS</v>
      </c>
      <c r="E236" s="3" t="s">
        <v>118</v>
      </c>
      <c r="F236" s="3" t="str">
        <f>INDEX(Product_Category!$B$2:$B$45,MATCH(TRIM(E236),Product_Category!$A$2:$A$45,0))</f>
        <v>Dairy, Poultry &amp; Honey</v>
      </c>
      <c r="G236" s="4">
        <v>17.09</v>
      </c>
      <c r="H236" s="4">
        <v>18.12</v>
      </c>
      <c r="I236" s="4">
        <v>4.7300000000000004</v>
      </c>
      <c r="J236" s="4">
        <v>11449.16</v>
      </c>
      <c r="K236" s="4">
        <v>10740.7</v>
      </c>
      <c r="L236" s="4">
        <v>2961.89</v>
      </c>
      <c r="M236" s="4">
        <f t="shared" si="9"/>
        <v>1.0300000000000011</v>
      </c>
      <c r="N236" s="4">
        <f t="shared" si="10"/>
        <v>-708.45999999999913</v>
      </c>
      <c r="O236" s="4">
        <f t="shared" si="11"/>
        <v>-13.39</v>
      </c>
      <c r="P236" s="3" t="s">
        <v>19</v>
      </c>
    </row>
    <row r="237" spans="1:16" x14ac:dyDescent="0.35">
      <c r="A237" s="3" t="s">
        <v>40</v>
      </c>
      <c r="B237" s="3" t="str">
        <f>INDEX(State_Region!$B$2:$B$26,MATCH(TRIM(A237),State_Region!$A$2:$A$26,0))</f>
        <v>South</v>
      </c>
      <c r="C237" s="3" t="s">
        <v>41</v>
      </c>
      <c r="D237" s="3" t="str">
        <f>INDEX(Port_Type!$B$2:$B$227,MATCH(TRIM(C237),Port_Type!$A$2:$A$227,0))</f>
        <v>Sea Port</v>
      </c>
      <c r="E237" s="3" t="s">
        <v>42</v>
      </c>
      <c r="F237" s="3" t="str">
        <f>INDEX(Product_Category!$B$2:$B$45,MATCH(TRIM(E237),Product_Category!$A$2:$A$45,0))</f>
        <v>Processed Foods</v>
      </c>
      <c r="G237" s="4">
        <v>18.850000000000001</v>
      </c>
      <c r="H237" s="4">
        <v>16.59</v>
      </c>
      <c r="I237" s="4">
        <v>4.7300000000000004</v>
      </c>
      <c r="J237" s="4">
        <v>11893.54</v>
      </c>
      <c r="K237" s="4">
        <v>8778.16</v>
      </c>
      <c r="L237" s="4">
        <v>2409.42</v>
      </c>
      <c r="M237" s="4">
        <f t="shared" si="9"/>
        <v>-2.2600000000000016</v>
      </c>
      <c r="N237" s="4">
        <f t="shared" si="10"/>
        <v>-3115.380000000001</v>
      </c>
      <c r="O237" s="4">
        <f t="shared" si="11"/>
        <v>-11.86</v>
      </c>
      <c r="P237" s="3" t="s">
        <v>19</v>
      </c>
    </row>
    <row r="238" spans="1:16" x14ac:dyDescent="0.35">
      <c r="A238" s="3" t="s">
        <v>77</v>
      </c>
      <c r="B238" s="3" t="str">
        <f>INDEX(State_Region!$B$2:$B$26,MATCH(TRIM(A238),State_Region!$A$2:$A$26,0))</f>
        <v>South</v>
      </c>
      <c r="C238" s="3" t="s">
        <v>149</v>
      </c>
      <c r="D238" s="3" t="str">
        <f>INDEX(Port_Type!$B$2:$B$227,MATCH(TRIM(C238),Port_Type!$A$2:$A$227,0))</f>
        <v>SEZ / EPZ</v>
      </c>
      <c r="E238" s="3" t="s">
        <v>150</v>
      </c>
      <c r="F238" s="3" t="str">
        <f>INDEX(Product_Category!$B$2:$B$45,MATCH(TRIM(E238),Product_Category!$A$2:$A$45,0))</f>
        <v>Nuts &amp; Oilseeds</v>
      </c>
      <c r="G238" s="4">
        <v>19.600000000000001</v>
      </c>
      <c r="H238" s="4">
        <v>20.21</v>
      </c>
      <c r="I238" s="4">
        <v>4.6900000000000004</v>
      </c>
      <c r="J238" s="4">
        <v>2120.29</v>
      </c>
      <c r="K238" s="4">
        <v>2396.5500000000002</v>
      </c>
      <c r="L238" s="4">
        <v>567.23</v>
      </c>
      <c r="M238" s="4">
        <f t="shared" si="9"/>
        <v>0.60999999999999943</v>
      </c>
      <c r="N238" s="4">
        <f t="shared" si="10"/>
        <v>276.26000000000022</v>
      </c>
      <c r="O238" s="4">
        <f t="shared" si="11"/>
        <v>-15.52</v>
      </c>
      <c r="P238" s="3" t="s">
        <v>19</v>
      </c>
    </row>
    <row r="239" spans="1:16" x14ac:dyDescent="0.35">
      <c r="A239" s="3" t="s">
        <v>79</v>
      </c>
      <c r="B239" s="3" t="str">
        <f>INDEX(State_Region!$B$2:$B$26,MATCH(TRIM(A239),State_Region!$A$2:$A$26,0))</f>
        <v>South</v>
      </c>
      <c r="C239" s="3" t="s">
        <v>91</v>
      </c>
      <c r="D239" s="3" t="str">
        <f>INDEX(Port_Type!$B$2:$B$227,MATCH(TRIM(C239),Port_Type!$A$2:$A$227,0))</f>
        <v>Sea Port</v>
      </c>
      <c r="E239" s="3" t="s">
        <v>48</v>
      </c>
      <c r="F239" s="3" t="str">
        <f>INDEX(Product_Category!$B$2:$B$45,MATCH(TRIM(E239),Product_Category!$A$2:$A$45,0))</f>
        <v>Processed Foods</v>
      </c>
      <c r="G239" s="4">
        <v>13.46</v>
      </c>
      <c r="H239" s="4">
        <v>14.31</v>
      </c>
      <c r="I239" s="4">
        <v>4.62</v>
      </c>
      <c r="J239" s="4">
        <v>6753.61</v>
      </c>
      <c r="K239" s="4">
        <v>6584.63</v>
      </c>
      <c r="L239" s="4">
        <v>2475.5700000000002</v>
      </c>
      <c r="M239" s="4">
        <f t="shared" si="9"/>
        <v>0.84999999999999964</v>
      </c>
      <c r="N239" s="4">
        <f t="shared" si="10"/>
        <v>-168.97999999999956</v>
      </c>
      <c r="O239" s="4">
        <f t="shared" si="11"/>
        <v>-9.6900000000000013</v>
      </c>
      <c r="P239" s="3" t="s">
        <v>19</v>
      </c>
    </row>
    <row r="240" spans="1:16" x14ac:dyDescent="0.35">
      <c r="A240" s="3" t="s">
        <v>16</v>
      </c>
      <c r="B240" s="3" t="str">
        <f>INDEX(State_Region!$B$2:$B$26,MATCH(TRIM(A240),State_Region!$A$2:$A$26,0))</f>
        <v>West</v>
      </c>
      <c r="C240" s="3" t="s">
        <v>109</v>
      </c>
      <c r="D240" s="3" t="str">
        <f>INDEX(Port_Type!$B$2:$B$227,MATCH(TRIM(C240),Port_Type!$A$2:$A$227,0))</f>
        <v>SEZ / EPZ</v>
      </c>
      <c r="E240" s="3" t="s">
        <v>151</v>
      </c>
      <c r="F240" s="3" t="str">
        <f>INDEX(Product_Category!$B$2:$B$45,MATCH(TRIM(E240),Product_Category!$A$2:$A$45,0))</f>
        <v>Processed Foods</v>
      </c>
      <c r="G240" s="4">
        <v>17.05</v>
      </c>
      <c r="H240" s="4">
        <v>16.34</v>
      </c>
      <c r="I240" s="4">
        <v>4.5999999999999996</v>
      </c>
      <c r="J240" s="4">
        <v>10253.620000000001</v>
      </c>
      <c r="K240" s="4">
        <v>9721.5400000000009</v>
      </c>
      <c r="L240" s="4">
        <v>2950.33</v>
      </c>
      <c r="M240" s="4">
        <f t="shared" si="9"/>
        <v>-0.71000000000000085</v>
      </c>
      <c r="N240" s="4">
        <f t="shared" si="10"/>
        <v>-532.07999999999993</v>
      </c>
      <c r="O240" s="4">
        <f t="shared" si="11"/>
        <v>-11.74</v>
      </c>
      <c r="P240" s="3" t="s">
        <v>19</v>
      </c>
    </row>
    <row r="241" spans="1:16" x14ac:dyDescent="0.35">
      <c r="A241" s="3" t="s">
        <v>35</v>
      </c>
      <c r="B241" s="3" t="str">
        <f>INDEX(State_Region!$B$2:$B$26,MATCH(TRIM(A241),State_Region!$A$2:$A$26,0))</f>
        <v>North</v>
      </c>
      <c r="C241" s="3" t="s">
        <v>36</v>
      </c>
      <c r="D241" s="3" t="str">
        <f>INDEX(Port_Type!$B$2:$B$227,MATCH(TRIM(C241),Port_Type!$A$2:$A$227,0))</f>
        <v>Inland ICD / CFS</v>
      </c>
      <c r="E241" s="3" t="s">
        <v>39</v>
      </c>
      <c r="F241" s="3" t="str">
        <f>INDEX(Product_Category!$B$2:$B$45,MATCH(TRIM(E241),Product_Category!$A$2:$A$45,0))</f>
        <v>Processed Foods</v>
      </c>
      <c r="G241" s="4">
        <v>25.7</v>
      </c>
      <c r="H241" s="4">
        <v>12.32</v>
      </c>
      <c r="I241" s="4">
        <v>4.58</v>
      </c>
      <c r="J241" s="4">
        <v>22735.15</v>
      </c>
      <c r="K241" s="4">
        <v>7600.43</v>
      </c>
      <c r="L241" s="4">
        <v>3447.01</v>
      </c>
      <c r="M241" s="4">
        <f t="shared" si="9"/>
        <v>-13.379999999999999</v>
      </c>
      <c r="N241" s="4">
        <f t="shared" si="10"/>
        <v>-15134.720000000001</v>
      </c>
      <c r="O241" s="4">
        <f t="shared" si="11"/>
        <v>-7.74</v>
      </c>
      <c r="P241" s="3" t="s">
        <v>19</v>
      </c>
    </row>
    <row r="242" spans="1:16" x14ac:dyDescent="0.35">
      <c r="A242" s="3" t="s">
        <v>40</v>
      </c>
      <c r="B242" s="3" t="str">
        <f>INDEX(State_Region!$B$2:$B$26,MATCH(TRIM(A242),State_Region!$A$2:$A$26,0))</f>
        <v>South</v>
      </c>
      <c r="C242" s="3" t="s">
        <v>85</v>
      </c>
      <c r="D242" s="3" t="str">
        <f>INDEX(Port_Type!$B$2:$B$227,MATCH(TRIM(C242),Port_Type!$A$2:$A$227,0))</f>
        <v>Sea Port</v>
      </c>
      <c r="E242" s="3" t="s">
        <v>48</v>
      </c>
      <c r="F242" s="3" t="str">
        <f>INDEX(Product_Category!$B$2:$B$45,MATCH(TRIM(E242),Product_Category!$A$2:$A$45,0))</f>
        <v>Processed Foods</v>
      </c>
      <c r="G242" s="4">
        <v>12.46</v>
      </c>
      <c r="H242" s="4">
        <v>12.38</v>
      </c>
      <c r="I242" s="4">
        <v>4.54</v>
      </c>
      <c r="J242" s="4">
        <v>5355.63</v>
      </c>
      <c r="K242" s="4">
        <v>5140.6000000000004</v>
      </c>
      <c r="L242" s="4">
        <v>2455.08</v>
      </c>
      <c r="M242" s="4">
        <f t="shared" si="9"/>
        <v>-8.0000000000000071E-2</v>
      </c>
      <c r="N242" s="4">
        <f t="shared" si="10"/>
        <v>-215.02999999999975</v>
      </c>
      <c r="O242" s="4">
        <f t="shared" si="11"/>
        <v>-7.8400000000000007</v>
      </c>
      <c r="P242" s="3" t="s">
        <v>19</v>
      </c>
    </row>
    <row r="243" spans="1:16" x14ac:dyDescent="0.35">
      <c r="A243" s="3" t="s">
        <v>49</v>
      </c>
      <c r="B243" s="3" t="str">
        <f>INDEX(State_Region!$B$2:$B$26,MATCH(TRIM(A243),State_Region!$A$2:$A$26,0))</f>
        <v>North</v>
      </c>
      <c r="C243" s="3" t="s">
        <v>70</v>
      </c>
      <c r="D243" s="3" t="str">
        <f>INDEX(Port_Type!$B$2:$B$227,MATCH(TRIM(C243),Port_Type!$A$2:$A$227,0))</f>
        <v>Inland ICD / CFS</v>
      </c>
      <c r="E243" s="3" t="s">
        <v>33</v>
      </c>
      <c r="F243" s="3" t="str">
        <f>INDEX(Product_Category!$B$2:$B$45,MATCH(TRIM(E243),Product_Category!$A$2:$A$45,0))</f>
        <v>Pulses</v>
      </c>
      <c r="G243" s="4">
        <v>10.96</v>
      </c>
      <c r="H243" s="4">
        <v>11.94</v>
      </c>
      <c r="I243" s="4">
        <v>4.54</v>
      </c>
      <c r="J243" s="4">
        <v>6411.93</v>
      </c>
      <c r="K243" s="4">
        <v>7900.48</v>
      </c>
      <c r="L243" s="4">
        <v>3241.03</v>
      </c>
      <c r="M243" s="4">
        <f t="shared" si="9"/>
        <v>0.97999999999999865</v>
      </c>
      <c r="N243" s="4">
        <f t="shared" si="10"/>
        <v>1488.5499999999993</v>
      </c>
      <c r="O243" s="4">
        <f t="shared" si="11"/>
        <v>-7.3999999999999995</v>
      </c>
      <c r="P243" s="3" t="s">
        <v>19</v>
      </c>
    </row>
    <row r="244" spans="1:16" x14ac:dyDescent="0.35">
      <c r="A244" s="3" t="s">
        <v>16</v>
      </c>
      <c r="B244" s="3" t="str">
        <f>INDEX(State_Region!$B$2:$B$26,MATCH(TRIM(A244),State_Region!$A$2:$A$26,0))</f>
        <v>West</v>
      </c>
      <c r="C244" s="3" t="s">
        <v>52</v>
      </c>
      <c r="D244" s="3" t="str">
        <f>INDEX(Port_Type!$B$2:$B$227,MATCH(TRIM(C244),Port_Type!$A$2:$A$227,0))</f>
        <v>Sea Port</v>
      </c>
      <c r="E244" s="3" t="s">
        <v>54</v>
      </c>
      <c r="F244" s="3" t="str">
        <f>INDEX(Product_Category!$B$2:$B$45,MATCH(TRIM(E244),Product_Category!$A$2:$A$45,0))</f>
        <v>Processed Foods</v>
      </c>
      <c r="G244" s="4">
        <v>21.97</v>
      </c>
      <c r="H244" s="4">
        <v>15.79</v>
      </c>
      <c r="I244" s="4">
        <v>4.5</v>
      </c>
      <c r="J244" s="4">
        <v>10921.44</v>
      </c>
      <c r="K244" s="4">
        <v>7932.45</v>
      </c>
      <c r="L244" s="4">
        <v>2261.0700000000002</v>
      </c>
      <c r="M244" s="4">
        <f t="shared" si="9"/>
        <v>-6.18</v>
      </c>
      <c r="N244" s="4">
        <f t="shared" si="10"/>
        <v>-2988.9900000000007</v>
      </c>
      <c r="O244" s="4">
        <f t="shared" si="11"/>
        <v>-11.29</v>
      </c>
      <c r="P244" s="3" t="s">
        <v>19</v>
      </c>
    </row>
    <row r="245" spans="1:16" x14ac:dyDescent="0.35">
      <c r="A245" s="3" t="s">
        <v>16</v>
      </c>
      <c r="B245" s="3" t="str">
        <f>INDEX(State_Region!$B$2:$B$26,MATCH(TRIM(A245),State_Region!$A$2:$A$26,0))</f>
        <v>West</v>
      </c>
      <c r="C245" s="3" t="s">
        <v>90</v>
      </c>
      <c r="D245" s="3" t="str">
        <f>INDEX(Port_Type!$B$2:$B$227,MATCH(TRIM(C245),Port_Type!$A$2:$A$227,0))</f>
        <v>Inland ICD / CFS</v>
      </c>
      <c r="E245" s="3" t="s">
        <v>48</v>
      </c>
      <c r="F245" s="3" t="str">
        <f>INDEX(Product_Category!$B$2:$B$45,MATCH(TRIM(E245),Product_Category!$A$2:$A$45,0))</f>
        <v>Processed Foods</v>
      </c>
      <c r="G245" s="4">
        <v>8.52</v>
      </c>
      <c r="H245" s="4">
        <v>11.9</v>
      </c>
      <c r="I245" s="4">
        <v>4.5</v>
      </c>
      <c r="J245" s="4">
        <v>4631.07</v>
      </c>
      <c r="K245" s="4">
        <v>6013.07</v>
      </c>
      <c r="L245" s="4">
        <v>2522.7800000000002</v>
      </c>
      <c r="M245" s="4">
        <f t="shared" si="9"/>
        <v>3.3800000000000008</v>
      </c>
      <c r="N245" s="4">
        <f t="shared" si="10"/>
        <v>1382</v>
      </c>
      <c r="O245" s="4">
        <f t="shared" si="11"/>
        <v>-7.4</v>
      </c>
      <c r="P245" s="3" t="s">
        <v>19</v>
      </c>
    </row>
    <row r="246" spans="1:16" x14ac:dyDescent="0.35">
      <c r="A246" s="3" t="s">
        <v>23</v>
      </c>
      <c r="B246" s="3" t="str">
        <f>INDEX(State_Region!$B$2:$B$26,MATCH(TRIM(A246),State_Region!$A$2:$A$26,0))</f>
        <v>North</v>
      </c>
      <c r="C246" s="3" t="s">
        <v>124</v>
      </c>
      <c r="D246" s="3" t="str">
        <f>INDEX(Port_Type!$B$2:$B$227,MATCH(TRIM(C246),Port_Type!$A$2:$A$227,0))</f>
        <v>Inland ICD / CFS</v>
      </c>
      <c r="E246" s="3" t="s">
        <v>113</v>
      </c>
      <c r="F246" s="3" t="str">
        <f>INDEX(Product_Category!$B$2:$B$45,MATCH(TRIM(E246),Product_Category!$A$2:$A$45,0))</f>
        <v>Cereals &amp; Grains</v>
      </c>
      <c r="G246" s="4">
        <v>0</v>
      </c>
      <c r="H246" s="4">
        <v>1.33</v>
      </c>
      <c r="I246" s="4">
        <v>4.5</v>
      </c>
      <c r="J246" s="4">
        <v>0</v>
      </c>
      <c r="K246" s="4">
        <v>4568.32</v>
      </c>
      <c r="L246" s="4">
        <v>16166.79</v>
      </c>
      <c r="M246" s="4">
        <f t="shared" si="9"/>
        <v>1.33</v>
      </c>
      <c r="N246" s="4">
        <f t="shared" si="10"/>
        <v>4568.32</v>
      </c>
      <c r="O246" s="4">
        <f t="shared" si="11"/>
        <v>3.17</v>
      </c>
      <c r="P246" s="3" t="s">
        <v>19</v>
      </c>
    </row>
    <row r="247" spans="1:16" x14ac:dyDescent="0.35">
      <c r="A247" s="3" t="s">
        <v>40</v>
      </c>
      <c r="B247" s="3" t="str">
        <f>INDEX(State_Region!$B$2:$B$26,MATCH(TRIM(A247),State_Region!$A$2:$A$26,0))</f>
        <v>South</v>
      </c>
      <c r="C247" s="3" t="s">
        <v>107</v>
      </c>
      <c r="D247" s="3" t="str">
        <f>INDEX(Port_Type!$B$2:$B$227,MATCH(TRIM(C247),Port_Type!$A$2:$A$227,0))</f>
        <v>Sea Port</v>
      </c>
      <c r="E247" s="3" t="s">
        <v>42</v>
      </c>
      <c r="F247" s="3" t="str">
        <f>INDEX(Product_Category!$B$2:$B$45,MATCH(TRIM(E247),Product_Category!$A$2:$A$45,0))</f>
        <v>Processed Foods</v>
      </c>
      <c r="G247" s="4">
        <v>9.35</v>
      </c>
      <c r="H247" s="4">
        <v>11.65</v>
      </c>
      <c r="I247" s="4">
        <v>4.4800000000000004</v>
      </c>
      <c r="J247" s="4">
        <v>5651.33</v>
      </c>
      <c r="K247" s="4">
        <v>6571.13</v>
      </c>
      <c r="L247" s="4">
        <v>2671.82</v>
      </c>
      <c r="M247" s="4">
        <f t="shared" si="9"/>
        <v>2.3000000000000007</v>
      </c>
      <c r="N247" s="4">
        <f t="shared" si="10"/>
        <v>919.80000000000018</v>
      </c>
      <c r="O247" s="4">
        <f t="shared" si="11"/>
        <v>-7.17</v>
      </c>
      <c r="P247" s="3" t="s">
        <v>19</v>
      </c>
    </row>
    <row r="248" spans="1:16" x14ac:dyDescent="0.35">
      <c r="A248" s="3" t="s">
        <v>23</v>
      </c>
      <c r="B248" s="3" t="str">
        <f>INDEX(State_Region!$B$2:$B$26,MATCH(TRIM(A248),State_Region!$A$2:$A$26,0))</f>
        <v>North</v>
      </c>
      <c r="C248" s="3" t="s">
        <v>30</v>
      </c>
      <c r="D248" s="3" t="str">
        <f>INDEX(Port_Type!$B$2:$B$227,MATCH(TRIM(C248),Port_Type!$A$2:$A$227,0))</f>
        <v>Inland ICD / CFS</v>
      </c>
      <c r="E248" s="3" t="s">
        <v>72</v>
      </c>
      <c r="F248" s="3" t="str">
        <f>INDEX(Product_Category!$B$2:$B$45,MATCH(TRIM(E248),Product_Category!$A$2:$A$45,0))</f>
        <v>Dairy, Poultry &amp; Honey</v>
      </c>
      <c r="G248" s="4">
        <v>6.75</v>
      </c>
      <c r="H248" s="4">
        <v>8.99</v>
      </c>
      <c r="I248" s="4">
        <v>4.4000000000000004</v>
      </c>
      <c r="J248" s="4">
        <v>1039.81</v>
      </c>
      <c r="K248" s="4">
        <v>1477.09</v>
      </c>
      <c r="L248" s="4">
        <v>769.1</v>
      </c>
      <c r="M248" s="4">
        <f t="shared" si="9"/>
        <v>2.2400000000000002</v>
      </c>
      <c r="N248" s="4">
        <f t="shared" si="10"/>
        <v>437.28</v>
      </c>
      <c r="O248" s="4">
        <f t="shared" si="11"/>
        <v>-4.59</v>
      </c>
      <c r="P248" s="3" t="s">
        <v>19</v>
      </c>
    </row>
    <row r="249" spans="1:16" x14ac:dyDescent="0.35">
      <c r="A249" s="3" t="s">
        <v>74</v>
      </c>
      <c r="B249" s="3" t="str">
        <f>INDEX(State_Region!$B$2:$B$26,MATCH(TRIM(A249),State_Region!$A$2:$A$26,0))</f>
        <v>South</v>
      </c>
      <c r="C249" s="3" t="s">
        <v>137</v>
      </c>
      <c r="D249" s="3" t="str">
        <f>INDEX(Port_Type!$B$2:$B$227,MATCH(TRIM(C249),Port_Type!$A$2:$A$227,0))</f>
        <v>Air Cargo</v>
      </c>
      <c r="E249" s="3" t="s">
        <v>45</v>
      </c>
      <c r="F249" s="3" t="str">
        <f>INDEX(Product_Category!$B$2:$B$45,MATCH(TRIM(E249),Product_Category!$A$2:$A$45,0))</f>
        <v>Fresh Fruits &amp; Vegetables</v>
      </c>
      <c r="G249" s="4">
        <v>2.7</v>
      </c>
      <c r="H249" s="4">
        <v>9.7799999999999994</v>
      </c>
      <c r="I249" s="4">
        <v>4.3899999999999997</v>
      </c>
      <c r="J249" s="4">
        <v>431.45</v>
      </c>
      <c r="K249" s="4">
        <v>1741.25</v>
      </c>
      <c r="L249" s="4">
        <v>708.02</v>
      </c>
      <c r="M249" s="4">
        <f t="shared" si="9"/>
        <v>7.0799999999999992</v>
      </c>
      <c r="N249" s="4">
        <f t="shared" si="10"/>
        <v>1309.8</v>
      </c>
      <c r="O249" s="4">
        <f t="shared" si="11"/>
        <v>-5.39</v>
      </c>
      <c r="P249" s="3" t="s">
        <v>19</v>
      </c>
    </row>
    <row r="250" spans="1:16" x14ac:dyDescent="0.35">
      <c r="A250" s="3" t="s">
        <v>31</v>
      </c>
      <c r="B250" s="3" t="str">
        <f>INDEX(State_Region!$B$2:$B$26,MATCH(TRIM(A250),State_Region!$A$2:$A$26,0))</f>
        <v>East</v>
      </c>
      <c r="C250" s="3" t="s">
        <v>152</v>
      </c>
      <c r="D250" s="3" t="str">
        <f>INDEX(Port_Type!$B$2:$B$227,MATCH(TRIM(C250),Port_Type!$A$2:$A$227,0))</f>
        <v>Land Border / Rail</v>
      </c>
      <c r="E250" s="3" t="s">
        <v>51</v>
      </c>
      <c r="F250" s="3" t="str">
        <f>INDEX(Product_Category!$B$2:$B$45,MATCH(TRIM(E250),Product_Category!$A$2:$A$45,0))</f>
        <v>Nuts &amp; Oilseeds</v>
      </c>
      <c r="G250" s="4">
        <v>0.79</v>
      </c>
      <c r="H250" s="4">
        <v>3.67</v>
      </c>
      <c r="I250" s="4">
        <v>4.34</v>
      </c>
      <c r="J250" s="4">
        <v>978.58</v>
      </c>
      <c r="K250" s="4">
        <v>4778.8100000000004</v>
      </c>
      <c r="L250" s="4">
        <v>5569.26</v>
      </c>
      <c r="M250" s="4">
        <f t="shared" si="9"/>
        <v>2.88</v>
      </c>
      <c r="N250" s="4">
        <f t="shared" si="10"/>
        <v>3800.2300000000005</v>
      </c>
      <c r="O250" s="4">
        <f t="shared" si="11"/>
        <v>0.66999999999999993</v>
      </c>
      <c r="P250" s="3" t="s">
        <v>19</v>
      </c>
    </row>
    <row r="251" spans="1:16" x14ac:dyDescent="0.35">
      <c r="A251" s="3" t="s">
        <v>16</v>
      </c>
      <c r="B251" s="3" t="str">
        <f>INDEX(State_Region!$B$2:$B$26,MATCH(TRIM(A251),State_Region!$A$2:$A$26,0))</f>
        <v>West</v>
      </c>
      <c r="C251" s="3" t="s">
        <v>28</v>
      </c>
      <c r="D251" s="3" t="str">
        <f>INDEX(Port_Type!$B$2:$B$227,MATCH(TRIM(C251),Port_Type!$A$2:$A$227,0))</f>
        <v>Sea Port</v>
      </c>
      <c r="E251" s="3" t="s">
        <v>46</v>
      </c>
      <c r="F251" s="3" t="str">
        <f>INDEX(Product_Category!$B$2:$B$45,MATCH(TRIM(E251),Product_Category!$A$2:$A$45,0))</f>
        <v>Others</v>
      </c>
      <c r="G251" s="4">
        <v>7.81</v>
      </c>
      <c r="H251" s="4">
        <v>32.75</v>
      </c>
      <c r="I251" s="4">
        <v>4.26</v>
      </c>
      <c r="J251" s="4">
        <v>4177.07</v>
      </c>
      <c r="K251" s="4">
        <v>47755.83</v>
      </c>
      <c r="L251" s="4">
        <v>5571</v>
      </c>
      <c r="M251" s="4">
        <f t="shared" si="9"/>
        <v>24.94</v>
      </c>
      <c r="N251" s="4">
        <f t="shared" si="10"/>
        <v>43578.76</v>
      </c>
      <c r="O251" s="4">
        <f t="shared" si="11"/>
        <v>-28.490000000000002</v>
      </c>
      <c r="P251" s="3" t="s">
        <v>19</v>
      </c>
    </row>
    <row r="252" spans="1:16" x14ac:dyDescent="0.35">
      <c r="A252" s="3" t="s">
        <v>23</v>
      </c>
      <c r="B252" s="3" t="str">
        <f>INDEX(State_Region!$B$2:$B$26,MATCH(TRIM(A252),State_Region!$A$2:$A$26,0))</f>
        <v>North</v>
      </c>
      <c r="C252" s="3" t="s">
        <v>123</v>
      </c>
      <c r="D252" s="3" t="str">
        <f>INDEX(Port_Type!$B$2:$B$227,MATCH(TRIM(C252),Port_Type!$A$2:$A$227,0))</f>
        <v>Land Border / Rail</v>
      </c>
      <c r="E252" s="3" t="s">
        <v>45</v>
      </c>
      <c r="F252" s="3" t="str">
        <f>INDEX(Product_Category!$B$2:$B$45,MATCH(TRIM(E252),Product_Category!$A$2:$A$45,0))</f>
        <v>Fresh Fruits &amp; Vegetables</v>
      </c>
      <c r="G252" s="4">
        <v>14.22</v>
      </c>
      <c r="H252" s="4">
        <v>14.83</v>
      </c>
      <c r="I252" s="4">
        <v>4.21</v>
      </c>
      <c r="J252" s="4">
        <v>67872.649999999994</v>
      </c>
      <c r="K252" s="4">
        <v>58029.32</v>
      </c>
      <c r="L252" s="4">
        <v>21680.65</v>
      </c>
      <c r="M252" s="4">
        <f t="shared" si="9"/>
        <v>0.60999999999999943</v>
      </c>
      <c r="N252" s="4">
        <f t="shared" si="10"/>
        <v>-9843.3299999999945</v>
      </c>
      <c r="O252" s="4">
        <f t="shared" si="11"/>
        <v>-10.620000000000001</v>
      </c>
      <c r="P252" s="3" t="s">
        <v>19</v>
      </c>
    </row>
    <row r="253" spans="1:16" x14ac:dyDescent="0.35">
      <c r="A253" s="3" t="s">
        <v>16</v>
      </c>
      <c r="B253" s="3" t="str">
        <f>INDEX(State_Region!$B$2:$B$26,MATCH(TRIM(A253),State_Region!$A$2:$A$26,0))</f>
        <v>West</v>
      </c>
      <c r="C253" s="3" t="s">
        <v>153</v>
      </c>
      <c r="D253" s="3" t="str">
        <f>INDEX(Port_Type!$B$2:$B$227,MATCH(TRIM(C253),Port_Type!$A$2:$A$227,0))</f>
        <v>Inland ICD / CFS</v>
      </c>
      <c r="E253" s="3" t="s">
        <v>46</v>
      </c>
      <c r="F253" s="3" t="str">
        <f>INDEX(Product_Category!$B$2:$B$45,MATCH(TRIM(E253),Product_Category!$A$2:$A$45,0))</f>
        <v>Others</v>
      </c>
      <c r="G253" s="4">
        <v>9.2200000000000006</v>
      </c>
      <c r="H253" s="4">
        <v>17.11</v>
      </c>
      <c r="I253" s="4">
        <v>4.1399999999999997</v>
      </c>
      <c r="J253" s="4">
        <v>4253.2700000000004</v>
      </c>
      <c r="K253" s="4">
        <v>9303.8700000000008</v>
      </c>
      <c r="L253" s="4">
        <v>2301.15</v>
      </c>
      <c r="M253" s="4">
        <f t="shared" si="9"/>
        <v>7.8899999999999988</v>
      </c>
      <c r="N253" s="4">
        <f t="shared" si="10"/>
        <v>5050.6000000000004</v>
      </c>
      <c r="O253" s="4">
        <f t="shared" si="11"/>
        <v>-12.969999999999999</v>
      </c>
      <c r="P253" s="3" t="s">
        <v>19</v>
      </c>
    </row>
    <row r="254" spans="1:16" x14ac:dyDescent="0.35">
      <c r="A254" s="3" t="s">
        <v>86</v>
      </c>
      <c r="B254" s="3" t="str">
        <f>INDEX(State_Region!$B$2:$B$26,MATCH(TRIM(A254),State_Region!$A$2:$A$26,0))</f>
        <v>North</v>
      </c>
      <c r="C254" s="3" t="s">
        <v>106</v>
      </c>
      <c r="D254" s="3" t="str">
        <f>INDEX(Port_Type!$B$2:$B$227,MATCH(TRIM(C254),Port_Type!$A$2:$A$227,0))</f>
        <v>Inland ICD / CFS</v>
      </c>
      <c r="E254" s="3" t="s">
        <v>18</v>
      </c>
      <c r="F254" s="3" t="str">
        <f>INDEX(Product_Category!$B$2:$B$45,MATCH(TRIM(E254),Product_Category!$A$2:$A$45,0))</f>
        <v>Cereals &amp; Grains</v>
      </c>
      <c r="G254" s="4">
        <v>11.02</v>
      </c>
      <c r="H254" s="4">
        <v>12.26</v>
      </c>
      <c r="I254" s="4">
        <v>4.1399999999999997</v>
      </c>
      <c r="J254" s="4">
        <v>9207.7900000000009</v>
      </c>
      <c r="K254" s="4">
        <v>12501.95</v>
      </c>
      <c r="L254" s="4">
        <v>3851.13</v>
      </c>
      <c r="M254" s="4">
        <f t="shared" si="9"/>
        <v>1.2400000000000002</v>
      </c>
      <c r="N254" s="4">
        <f t="shared" si="10"/>
        <v>3294.16</v>
      </c>
      <c r="O254" s="4">
        <f t="shared" si="11"/>
        <v>-8.120000000000001</v>
      </c>
      <c r="P254" s="3" t="s">
        <v>19</v>
      </c>
    </row>
    <row r="255" spans="1:16" x14ac:dyDescent="0.35">
      <c r="A255" s="3" t="s">
        <v>79</v>
      </c>
      <c r="B255" s="3" t="str">
        <f>INDEX(State_Region!$B$2:$B$26,MATCH(TRIM(A255),State_Region!$A$2:$A$26,0))</f>
        <v>South</v>
      </c>
      <c r="C255" s="3" t="s">
        <v>92</v>
      </c>
      <c r="D255" s="3" t="str">
        <f>INDEX(Port_Type!$B$2:$B$227,MATCH(TRIM(C255),Port_Type!$A$2:$A$227,0))</f>
        <v>Air Cargo</v>
      </c>
      <c r="E255" s="3" t="s">
        <v>76</v>
      </c>
      <c r="F255" s="3" t="str">
        <f>INDEX(Product_Category!$B$2:$B$45,MATCH(TRIM(E255),Product_Category!$A$2:$A$45,0))</f>
        <v>Fresh Fruits &amp; Vegetables</v>
      </c>
      <c r="G255" s="4">
        <v>2.0699999999999998</v>
      </c>
      <c r="H255" s="4">
        <v>2.59</v>
      </c>
      <c r="I255" s="4">
        <v>4.13</v>
      </c>
      <c r="J255" s="4">
        <v>597.15</v>
      </c>
      <c r="K255" s="4">
        <v>662.94</v>
      </c>
      <c r="L255" s="4">
        <v>815.68</v>
      </c>
      <c r="M255" s="4">
        <f t="shared" si="9"/>
        <v>0.52</v>
      </c>
      <c r="N255" s="4">
        <f t="shared" si="10"/>
        <v>65.790000000000077</v>
      </c>
      <c r="O255" s="4">
        <f t="shared" si="11"/>
        <v>1.54</v>
      </c>
      <c r="P255" s="3" t="s">
        <v>19</v>
      </c>
    </row>
    <row r="256" spans="1:16" x14ac:dyDescent="0.35">
      <c r="A256" s="3" t="s">
        <v>20</v>
      </c>
      <c r="B256" s="3" t="str">
        <f>INDEX(State_Region!$B$2:$B$26,MATCH(TRIM(A256),State_Region!$A$2:$A$26,0))</f>
        <v>West</v>
      </c>
      <c r="C256" s="3" t="s">
        <v>154</v>
      </c>
      <c r="D256" s="3" t="str">
        <f>INDEX(Port_Type!$B$2:$B$227,MATCH(TRIM(C256),Port_Type!$A$2:$A$227,0))</f>
        <v>Inland ICD / CFS</v>
      </c>
      <c r="E256" s="3" t="s">
        <v>60</v>
      </c>
      <c r="F256" s="3" t="str">
        <f>INDEX(Product_Category!$B$2:$B$45,MATCH(TRIM(E256),Product_Category!$A$2:$A$45,0))</f>
        <v>Processed Foods</v>
      </c>
      <c r="G256" s="4">
        <v>11.64</v>
      </c>
      <c r="H256" s="4">
        <v>11.31</v>
      </c>
      <c r="I256" s="4">
        <v>4.01</v>
      </c>
      <c r="J256" s="4">
        <v>7648.25</v>
      </c>
      <c r="K256" s="4">
        <v>7821.59</v>
      </c>
      <c r="L256" s="4">
        <v>2651.58</v>
      </c>
      <c r="M256" s="4">
        <f t="shared" si="9"/>
        <v>-0.33000000000000007</v>
      </c>
      <c r="N256" s="4">
        <f t="shared" si="10"/>
        <v>173.34000000000015</v>
      </c>
      <c r="O256" s="4">
        <f t="shared" si="11"/>
        <v>-7.3000000000000007</v>
      </c>
      <c r="P256" s="3" t="s">
        <v>19</v>
      </c>
    </row>
    <row r="257" spans="1:16" x14ac:dyDescent="0.35">
      <c r="A257" s="3" t="s">
        <v>31</v>
      </c>
      <c r="B257" s="3" t="str">
        <f>INDEX(State_Region!$B$2:$B$26,MATCH(TRIM(A257),State_Region!$A$2:$A$26,0))</f>
        <v>East</v>
      </c>
      <c r="C257" s="3" t="s">
        <v>32</v>
      </c>
      <c r="D257" s="3" t="str">
        <f>INDEX(Port_Type!$B$2:$B$227,MATCH(TRIM(C257),Port_Type!$A$2:$A$227,0))</f>
        <v>Sea Port</v>
      </c>
      <c r="E257" s="3" t="s">
        <v>42</v>
      </c>
      <c r="F257" s="3" t="str">
        <f>INDEX(Product_Category!$B$2:$B$45,MATCH(TRIM(E257),Product_Category!$A$2:$A$45,0))</f>
        <v>Processed Foods</v>
      </c>
      <c r="G257" s="4">
        <v>7.86</v>
      </c>
      <c r="H257" s="4">
        <v>10.69</v>
      </c>
      <c r="I257" s="4">
        <v>4.01</v>
      </c>
      <c r="J257" s="4">
        <v>6031.14</v>
      </c>
      <c r="K257" s="4">
        <v>7196.26</v>
      </c>
      <c r="L257" s="4">
        <v>2953.69</v>
      </c>
      <c r="M257" s="4">
        <f t="shared" si="9"/>
        <v>2.8299999999999992</v>
      </c>
      <c r="N257" s="4">
        <f t="shared" si="10"/>
        <v>1165.1199999999999</v>
      </c>
      <c r="O257" s="4">
        <f t="shared" si="11"/>
        <v>-6.68</v>
      </c>
      <c r="P257" s="3" t="s">
        <v>19</v>
      </c>
    </row>
    <row r="258" spans="1:16" x14ac:dyDescent="0.35">
      <c r="A258" s="3" t="s">
        <v>40</v>
      </c>
      <c r="B258" s="3" t="str">
        <f>INDEX(State_Region!$B$2:$B$26,MATCH(TRIM(A258),State_Region!$A$2:$A$26,0))</f>
        <v>South</v>
      </c>
      <c r="C258" s="3" t="s">
        <v>107</v>
      </c>
      <c r="D258" s="3" t="str">
        <f>INDEX(Port_Type!$B$2:$B$227,MATCH(TRIM(C258),Port_Type!$A$2:$A$227,0))</f>
        <v>Sea Port</v>
      </c>
      <c r="E258" s="3" t="s">
        <v>39</v>
      </c>
      <c r="F258" s="3" t="str">
        <f>INDEX(Product_Category!$B$2:$B$45,MATCH(TRIM(E258),Product_Category!$A$2:$A$45,0))</f>
        <v>Processed Foods</v>
      </c>
      <c r="G258" s="4">
        <v>8.8800000000000008</v>
      </c>
      <c r="H258" s="4">
        <v>9.83</v>
      </c>
      <c r="I258" s="4">
        <v>4</v>
      </c>
      <c r="J258" s="4">
        <v>5126.13</v>
      </c>
      <c r="K258" s="4">
        <v>2831.58</v>
      </c>
      <c r="L258" s="4">
        <v>1477.1</v>
      </c>
      <c r="M258" s="4">
        <f t="shared" ref="M258:M321" si="12">H258-G258</f>
        <v>0.94999999999999929</v>
      </c>
      <c r="N258" s="4">
        <f t="shared" ref="N258:N321" si="13">K258-J258</f>
        <v>-2294.5500000000002</v>
      </c>
      <c r="O258" s="4">
        <f t="shared" ref="O258:O321" si="14">I258-H258</f>
        <v>-5.83</v>
      </c>
      <c r="P258" s="3" t="s">
        <v>19</v>
      </c>
    </row>
    <row r="259" spans="1:16" x14ac:dyDescent="0.35">
      <c r="A259" s="3" t="s">
        <v>40</v>
      </c>
      <c r="B259" s="3" t="str">
        <f>INDEX(State_Region!$B$2:$B$26,MATCH(TRIM(A259),State_Region!$A$2:$A$26,0))</f>
        <v>South</v>
      </c>
      <c r="C259" s="3" t="s">
        <v>41</v>
      </c>
      <c r="D259" s="3" t="str">
        <f>INDEX(Port_Type!$B$2:$B$227,MATCH(TRIM(C259),Port_Type!$A$2:$A$227,0))</f>
        <v>Sea Port</v>
      </c>
      <c r="E259" s="3" t="s">
        <v>102</v>
      </c>
      <c r="F259" s="3" t="str">
        <f>INDEX(Product_Category!$B$2:$B$45,MATCH(TRIM(E259),Product_Category!$A$2:$A$45,0))</f>
        <v>Fresh Fruits &amp; Vegetables</v>
      </c>
      <c r="G259" s="4">
        <v>4.7699999999999996</v>
      </c>
      <c r="H259" s="4">
        <v>10.06</v>
      </c>
      <c r="I259" s="4">
        <v>3.95</v>
      </c>
      <c r="J259" s="4">
        <v>6225.23</v>
      </c>
      <c r="K259" s="4">
        <v>12046.82</v>
      </c>
      <c r="L259" s="4">
        <v>4843.28</v>
      </c>
      <c r="M259" s="4">
        <f t="shared" si="12"/>
        <v>5.2900000000000009</v>
      </c>
      <c r="N259" s="4">
        <f t="shared" si="13"/>
        <v>5821.59</v>
      </c>
      <c r="O259" s="4">
        <f t="shared" si="14"/>
        <v>-6.11</v>
      </c>
      <c r="P259" s="3" t="s">
        <v>19</v>
      </c>
    </row>
    <row r="260" spans="1:16" x14ac:dyDescent="0.35">
      <c r="A260" s="3" t="s">
        <v>35</v>
      </c>
      <c r="B260" s="3" t="str">
        <f>INDEX(State_Region!$B$2:$B$26,MATCH(TRIM(A260),State_Region!$A$2:$A$26,0))</f>
        <v>North</v>
      </c>
      <c r="C260" s="3" t="s">
        <v>38</v>
      </c>
      <c r="D260" s="3" t="str">
        <f>INDEX(Port_Type!$B$2:$B$227,MATCH(TRIM(C260),Port_Type!$A$2:$A$227,0))</f>
        <v>Inland ICD / CFS</v>
      </c>
      <c r="E260" s="3" t="s">
        <v>48</v>
      </c>
      <c r="F260" s="3" t="str">
        <f>INDEX(Product_Category!$B$2:$B$45,MATCH(TRIM(E260),Product_Category!$A$2:$A$45,0))</f>
        <v>Processed Foods</v>
      </c>
      <c r="G260" s="4">
        <v>8.26</v>
      </c>
      <c r="H260" s="4">
        <v>11.93</v>
      </c>
      <c r="I260" s="4">
        <v>3.94</v>
      </c>
      <c r="J260" s="4">
        <v>4963.3900000000003</v>
      </c>
      <c r="K260" s="4">
        <v>7301.06</v>
      </c>
      <c r="L260" s="4">
        <v>2523.65</v>
      </c>
      <c r="M260" s="4">
        <f t="shared" si="12"/>
        <v>3.67</v>
      </c>
      <c r="N260" s="4">
        <f t="shared" si="13"/>
        <v>2337.67</v>
      </c>
      <c r="O260" s="4">
        <f t="shared" si="14"/>
        <v>-7.99</v>
      </c>
      <c r="P260" s="3" t="s">
        <v>19</v>
      </c>
    </row>
    <row r="261" spans="1:16" x14ac:dyDescent="0.35">
      <c r="A261" s="3" t="s">
        <v>74</v>
      </c>
      <c r="B261" s="3" t="str">
        <f>INDEX(State_Region!$B$2:$B$26,MATCH(TRIM(A261),State_Region!$A$2:$A$26,0))</f>
        <v>South</v>
      </c>
      <c r="C261" s="3" t="s">
        <v>75</v>
      </c>
      <c r="D261" s="3" t="str">
        <f>INDEX(Port_Type!$B$2:$B$227,MATCH(TRIM(C261),Port_Type!$A$2:$A$227,0))</f>
        <v>Inland ICD / CFS</v>
      </c>
      <c r="E261" s="3" t="s">
        <v>62</v>
      </c>
      <c r="F261" s="3" t="str">
        <f>INDEX(Product_Category!$B$2:$B$45,MATCH(TRIM(E261),Product_Category!$A$2:$A$45,0))</f>
        <v>Cereals &amp; Grains</v>
      </c>
      <c r="G261" s="4">
        <v>16.91</v>
      </c>
      <c r="H261" s="4">
        <v>20.059999999999999</v>
      </c>
      <c r="I261" s="4">
        <v>3.87</v>
      </c>
      <c r="J261" s="4">
        <v>8439.01</v>
      </c>
      <c r="K261" s="4">
        <v>7549.1</v>
      </c>
      <c r="L261" s="4">
        <v>1446.32</v>
      </c>
      <c r="M261" s="4">
        <f t="shared" si="12"/>
        <v>3.1499999999999986</v>
      </c>
      <c r="N261" s="4">
        <f t="shared" si="13"/>
        <v>-889.90999999999985</v>
      </c>
      <c r="O261" s="4">
        <f t="shared" si="14"/>
        <v>-16.189999999999998</v>
      </c>
      <c r="P261" s="3" t="s">
        <v>19</v>
      </c>
    </row>
    <row r="262" spans="1:16" x14ac:dyDescent="0.35">
      <c r="A262" s="3" t="s">
        <v>16</v>
      </c>
      <c r="B262" s="3" t="str">
        <f>INDEX(State_Region!$B$2:$B$26,MATCH(TRIM(A262),State_Region!$A$2:$A$26,0))</f>
        <v>West</v>
      </c>
      <c r="C262" s="3" t="s">
        <v>52</v>
      </c>
      <c r="D262" s="3" t="str">
        <f>INDEX(Port_Type!$B$2:$B$227,MATCH(TRIM(C262),Port_Type!$A$2:$A$227,0))</f>
        <v>Sea Port</v>
      </c>
      <c r="E262" s="3" t="s">
        <v>102</v>
      </c>
      <c r="F262" s="3" t="str">
        <f>INDEX(Product_Category!$B$2:$B$45,MATCH(TRIM(E262),Product_Category!$A$2:$A$45,0))</f>
        <v>Fresh Fruits &amp; Vegetables</v>
      </c>
      <c r="G262" s="4">
        <v>22.22</v>
      </c>
      <c r="H262" s="4">
        <v>13.38</v>
      </c>
      <c r="I262" s="4">
        <v>3.86</v>
      </c>
      <c r="J262" s="4">
        <v>70576.14</v>
      </c>
      <c r="K262" s="4">
        <v>47141</v>
      </c>
      <c r="L262" s="4">
        <v>15276.82</v>
      </c>
      <c r="M262" s="4">
        <f t="shared" si="12"/>
        <v>-8.8399999999999981</v>
      </c>
      <c r="N262" s="4">
        <f t="shared" si="13"/>
        <v>-23435.14</v>
      </c>
      <c r="O262" s="4">
        <f t="shared" si="14"/>
        <v>-9.5200000000000014</v>
      </c>
      <c r="P262" s="3" t="s">
        <v>19</v>
      </c>
    </row>
    <row r="263" spans="1:16" x14ac:dyDescent="0.35">
      <c r="A263" s="3" t="s">
        <v>20</v>
      </c>
      <c r="B263" s="3" t="str">
        <f>INDEX(State_Region!$B$2:$B$26,MATCH(TRIM(A263),State_Region!$A$2:$A$26,0))</f>
        <v>West</v>
      </c>
      <c r="C263" s="3" t="s">
        <v>21</v>
      </c>
      <c r="D263" s="3" t="str">
        <f>INDEX(Port_Type!$B$2:$B$227,MATCH(TRIM(C263),Port_Type!$A$2:$A$227,0))</f>
        <v>Sea Port</v>
      </c>
      <c r="E263" s="3" t="s">
        <v>81</v>
      </c>
      <c r="F263" s="3" t="str">
        <f>INDEX(Product_Category!$B$2:$B$45,MATCH(TRIM(E263),Product_Category!$A$2:$A$45,0))</f>
        <v>Processed Foods</v>
      </c>
      <c r="G263" s="4">
        <v>6.1</v>
      </c>
      <c r="H263" s="4">
        <v>13.66</v>
      </c>
      <c r="I263" s="4">
        <v>3.82</v>
      </c>
      <c r="J263" s="4">
        <v>6373.96</v>
      </c>
      <c r="K263" s="4">
        <v>16317.36</v>
      </c>
      <c r="L263" s="4">
        <v>4383.42</v>
      </c>
      <c r="M263" s="4">
        <f t="shared" si="12"/>
        <v>7.5600000000000005</v>
      </c>
      <c r="N263" s="4">
        <f t="shared" si="13"/>
        <v>9943.4000000000015</v>
      </c>
      <c r="O263" s="4">
        <f t="shared" si="14"/>
        <v>-9.84</v>
      </c>
      <c r="P263" s="3" t="s">
        <v>19</v>
      </c>
    </row>
    <row r="264" spans="1:16" x14ac:dyDescent="0.35">
      <c r="A264" s="3" t="s">
        <v>23</v>
      </c>
      <c r="B264" s="3" t="str">
        <f>INDEX(State_Region!$B$2:$B$26,MATCH(TRIM(A264),State_Region!$A$2:$A$26,0))</f>
        <v>North</v>
      </c>
      <c r="C264" s="3" t="s">
        <v>123</v>
      </c>
      <c r="D264" s="3" t="str">
        <f>INDEX(Port_Type!$B$2:$B$227,MATCH(TRIM(C264),Port_Type!$A$2:$A$227,0))</f>
        <v>Land Border / Rail</v>
      </c>
      <c r="E264" s="3" t="s">
        <v>39</v>
      </c>
      <c r="F264" s="3" t="str">
        <f>INDEX(Product_Category!$B$2:$B$45,MATCH(TRIM(E264),Product_Category!$A$2:$A$45,0))</f>
        <v>Processed Foods</v>
      </c>
      <c r="G264" s="4">
        <v>6.15</v>
      </c>
      <c r="H264" s="4">
        <v>9.6199999999999992</v>
      </c>
      <c r="I264" s="4">
        <v>3.79</v>
      </c>
      <c r="J264" s="4">
        <v>3257.43</v>
      </c>
      <c r="K264" s="4">
        <v>8738.73</v>
      </c>
      <c r="L264" s="4">
        <v>3371.9</v>
      </c>
      <c r="M264" s="4">
        <f t="shared" si="12"/>
        <v>3.4699999999999989</v>
      </c>
      <c r="N264" s="4">
        <f t="shared" si="13"/>
        <v>5481.2999999999993</v>
      </c>
      <c r="O264" s="4">
        <f t="shared" si="14"/>
        <v>-5.8299999999999992</v>
      </c>
      <c r="P264" s="3" t="s">
        <v>19</v>
      </c>
    </row>
    <row r="265" spans="1:16" x14ac:dyDescent="0.35">
      <c r="A265" s="3" t="s">
        <v>66</v>
      </c>
      <c r="B265" s="3" t="str">
        <f>INDEX(State_Region!$B$2:$B$26,MATCH(TRIM(A265),State_Region!$A$2:$A$26,0))</f>
        <v>North</v>
      </c>
      <c r="C265" s="3" t="s">
        <v>127</v>
      </c>
      <c r="D265" s="3" t="str">
        <f>INDEX(Port_Type!$B$2:$B$227,MATCH(TRIM(C265),Port_Type!$A$2:$A$227,0))</f>
        <v>Inland ICD / CFS</v>
      </c>
      <c r="E265" s="3" t="s">
        <v>39</v>
      </c>
      <c r="F265" s="3" t="str">
        <f>INDEX(Product_Category!$B$2:$B$45,MATCH(TRIM(E265),Product_Category!$A$2:$A$45,0))</f>
        <v>Processed Foods</v>
      </c>
      <c r="G265" s="4">
        <v>7.21</v>
      </c>
      <c r="H265" s="4">
        <v>6.51</v>
      </c>
      <c r="I265" s="4">
        <v>3.77</v>
      </c>
      <c r="J265" s="4">
        <v>3462.75</v>
      </c>
      <c r="K265" s="4">
        <v>3270.89</v>
      </c>
      <c r="L265" s="4">
        <v>1698.16</v>
      </c>
      <c r="M265" s="4">
        <f t="shared" si="12"/>
        <v>-0.70000000000000018</v>
      </c>
      <c r="N265" s="4">
        <f t="shared" si="13"/>
        <v>-191.86000000000013</v>
      </c>
      <c r="O265" s="4">
        <f t="shared" si="14"/>
        <v>-2.7399999999999998</v>
      </c>
      <c r="P265" s="3" t="s">
        <v>19</v>
      </c>
    </row>
    <row r="266" spans="1:16" x14ac:dyDescent="0.35">
      <c r="A266" s="3" t="s">
        <v>31</v>
      </c>
      <c r="B266" s="3" t="str">
        <f>INDEX(State_Region!$B$2:$B$26,MATCH(TRIM(A266),State_Region!$A$2:$A$26,0))</f>
        <v>East</v>
      </c>
      <c r="C266" s="3" t="s">
        <v>139</v>
      </c>
      <c r="D266" s="3" t="str">
        <f>INDEX(Port_Type!$B$2:$B$227,MATCH(TRIM(C266),Port_Type!$A$2:$A$227,0))</f>
        <v>Land Border / Rail</v>
      </c>
      <c r="E266" s="3" t="s">
        <v>18</v>
      </c>
      <c r="F266" s="3" t="str">
        <f>INDEX(Product_Category!$B$2:$B$45,MATCH(TRIM(E266),Product_Category!$A$2:$A$45,0))</f>
        <v>Cereals &amp; Grains</v>
      </c>
      <c r="G266" s="4">
        <v>27.58</v>
      </c>
      <c r="H266" s="4">
        <v>23.44</v>
      </c>
      <c r="I266" s="4">
        <v>3.76</v>
      </c>
      <c r="J266" s="4">
        <v>29010.81</v>
      </c>
      <c r="K266" s="4">
        <v>30530.55</v>
      </c>
      <c r="L266" s="4">
        <v>4567.5200000000004</v>
      </c>
      <c r="M266" s="4">
        <f t="shared" si="12"/>
        <v>-4.139999999999997</v>
      </c>
      <c r="N266" s="4">
        <f t="shared" si="13"/>
        <v>1519.739999999998</v>
      </c>
      <c r="O266" s="4">
        <f t="shared" si="14"/>
        <v>-19.68</v>
      </c>
      <c r="P266" s="3" t="s">
        <v>19</v>
      </c>
    </row>
    <row r="267" spans="1:16" x14ac:dyDescent="0.35">
      <c r="A267" s="3" t="s">
        <v>40</v>
      </c>
      <c r="B267" s="3" t="str">
        <f>INDEX(State_Region!$B$2:$B$26,MATCH(TRIM(A267),State_Region!$A$2:$A$26,0))</f>
        <v>South</v>
      </c>
      <c r="C267" s="3" t="s">
        <v>41</v>
      </c>
      <c r="D267" s="3" t="str">
        <f>INDEX(Port_Type!$B$2:$B$227,MATCH(TRIM(C267),Port_Type!$A$2:$A$227,0))</f>
        <v>Sea Port</v>
      </c>
      <c r="E267" s="3" t="s">
        <v>55</v>
      </c>
      <c r="F267" s="3" t="str">
        <f>INDEX(Product_Category!$B$2:$B$45,MATCH(TRIM(E267),Product_Category!$A$2:$A$45,0))</f>
        <v>Fresh Fruits &amp; Vegetables</v>
      </c>
      <c r="G267" s="4">
        <v>25.47</v>
      </c>
      <c r="H267" s="4">
        <v>16.68</v>
      </c>
      <c r="I267" s="4">
        <v>3.71</v>
      </c>
      <c r="J267" s="4">
        <v>42220.07</v>
      </c>
      <c r="K267" s="4">
        <v>40866.76</v>
      </c>
      <c r="L267" s="4">
        <v>14422.06</v>
      </c>
      <c r="M267" s="4">
        <f t="shared" si="12"/>
        <v>-8.7899999999999991</v>
      </c>
      <c r="N267" s="4">
        <f t="shared" si="13"/>
        <v>-1353.3099999999977</v>
      </c>
      <c r="O267" s="4">
        <f t="shared" si="14"/>
        <v>-12.969999999999999</v>
      </c>
      <c r="P267" s="3" t="s">
        <v>19</v>
      </c>
    </row>
    <row r="268" spans="1:16" x14ac:dyDescent="0.35">
      <c r="A268" s="3" t="s">
        <v>94</v>
      </c>
      <c r="B268" s="3" t="str">
        <f>INDEX(State_Region!$B$2:$B$26,MATCH(TRIM(A268),State_Region!$A$2:$A$26,0))</f>
        <v>East</v>
      </c>
      <c r="C268" s="3" t="s">
        <v>95</v>
      </c>
      <c r="D268" s="3" t="str">
        <f>INDEX(Port_Type!$B$2:$B$227,MATCH(TRIM(C268),Port_Type!$A$2:$A$227,0))</f>
        <v>Land Border / Rail</v>
      </c>
      <c r="E268" s="3" t="s">
        <v>33</v>
      </c>
      <c r="F268" s="3" t="str">
        <f>INDEX(Product_Category!$B$2:$B$45,MATCH(TRIM(E268),Product_Category!$A$2:$A$45,0))</f>
        <v>Pulses</v>
      </c>
      <c r="G268" s="4">
        <v>7.57</v>
      </c>
      <c r="H268" s="4">
        <v>10.8</v>
      </c>
      <c r="I268" s="4">
        <v>3.69</v>
      </c>
      <c r="J268" s="4">
        <v>8590.25</v>
      </c>
      <c r="K268" s="4">
        <v>13558.39</v>
      </c>
      <c r="L268" s="4">
        <v>4698.13</v>
      </c>
      <c r="M268" s="4">
        <f t="shared" si="12"/>
        <v>3.2300000000000004</v>
      </c>
      <c r="N268" s="4">
        <f t="shared" si="13"/>
        <v>4968.1399999999994</v>
      </c>
      <c r="O268" s="4">
        <f t="shared" si="14"/>
        <v>-7.1100000000000012</v>
      </c>
      <c r="P268" s="3" t="s">
        <v>19</v>
      </c>
    </row>
    <row r="269" spans="1:16" x14ac:dyDescent="0.35">
      <c r="A269" s="3" t="s">
        <v>57</v>
      </c>
      <c r="B269" s="3" t="str">
        <f>INDEX(State_Region!$B$2:$B$26,MATCH(TRIM(A269),State_Region!$A$2:$A$26,0))</f>
        <v>Central</v>
      </c>
      <c r="C269" s="3" t="s">
        <v>97</v>
      </c>
      <c r="D269" s="3" t="str">
        <f>INDEX(Port_Type!$B$2:$B$227,MATCH(TRIM(C269),Port_Type!$A$2:$A$227,0))</f>
        <v>Inland ICD / CFS</v>
      </c>
      <c r="E269" s="3" t="s">
        <v>114</v>
      </c>
      <c r="F269" s="3" t="str">
        <f>INDEX(Product_Category!$B$2:$B$45,MATCH(TRIM(E269),Product_Category!$A$2:$A$45,0))</f>
        <v>Dairy, Poultry &amp; Honey</v>
      </c>
      <c r="G269" s="4">
        <v>6.76</v>
      </c>
      <c r="H269" s="4">
        <v>4.12</v>
      </c>
      <c r="I269" s="4">
        <v>3.66</v>
      </c>
      <c r="J269" s="4">
        <v>779</v>
      </c>
      <c r="K269" s="4">
        <v>613</v>
      </c>
      <c r="L269" s="4">
        <v>563</v>
      </c>
      <c r="M269" s="4">
        <f t="shared" si="12"/>
        <v>-2.6399999999999997</v>
      </c>
      <c r="N269" s="4">
        <f t="shared" si="13"/>
        <v>-166</v>
      </c>
      <c r="O269" s="4">
        <f t="shared" si="14"/>
        <v>-0.45999999999999996</v>
      </c>
      <c r="P269" s="3" t="s">
        <v>19</v>
      </c>
    </row>
    <row r="270" spans="1:16" x14ac:dyDescent="0.35">
      <c r="A270" s="3" t="s">
        <v>74</v>
      </c>
      <c r="B270" s="3" t="str">
        <f>INDEX(State_Region!$B$2:$B$26,MATCH(TRIM(A270),State_Region!$A$2:$A$26,0))</f>
        <v>South</v>
      </c>
      <c r="C270" s="3" t="s">
        <v>137</v>
      </c>
      <c r="D270" s="3" t="str">
        <f>INDEX(Port_Type!$B$2:$B$227,MATCH(TRIM(C270),Port_Type!$A$2:$A$227,0))</f>
        <v>Air Cargo</v>
      </c>
      <c r="E270" s="3" t="s">
        <v>39</v>
      </c>
      <c r="F270" s="3" t="str">
        <f>INDEX(Product_Category!$B$2:$B$45,MATCH(TRIM(E270),Product_Category!$A$2:$A$45,0))</f>
        <v>Processed Foods</v>
      </c>
      <c r="G270" s="4">
        <v>6.95</v>
      </c>
      <c r="H270" s="4">
        <v>8.9600000000000009</v>
      </c>
      <c r="I270" s="4">
        <v>3.65</v>
      </c>
      <c r="J270" s="4">
        <v>195.97</v>
      </c>
      <c r="K270" s="4">
        <v>348.77</v>
      </c>
      <c r="L270" s="4">
        <v>124.17</v>
      </c>
      <c r="M270" s="4">
        <f t="shared" si="12"/>
        <v>2.0100000000000007</v>
      </c>
      <c r="N270" s="4">
        <f t="shared" si="13"/>
        <v>152.79999999999998</v>
      </c>
      <c r="O270" s="4">
        <f t="shared" si="14"/>
        <v>-5.3100000000000005</v>
      </c>
      <c r="P270" s="3" t="s">
        <v>19</v>
      </c>
    </row>
    <row r="271" spans="1:16" x14ac:dyDescent="0.35">
      <c r="A271" s="3" t="s">
        <v>20</v>
      </c>
      <c r="B271" s="3" t="str">
        <f>INDEX(State_Region!$B$2:$B$26,MATCH(TRIM(A271),State_Region!$A$2:$A$26,0))</f>
        <v>West</v>
      </c>
      <c r="C271" s="3" t="s">
        <v>82</v>
      </c>
      <c r="D271" s="3" t="str">
        <f>INDEX(Port_Type!$B$2:$B$227,MATCH(TRIM(C271),Port_Type!$A$2:$A$227,0))</f>
        <v>Inland ICD / CFS</v>
      </c>
      <c r="E271" s="3" t="s">
        <v>54</v>
      </c>
      <c r="F271" s="3" t="str">
        <f>INDEX(Product_Category!$B$2:$B$45,MATCH(TRIM(E271),Product_Category!$A$2:$A$45,0))</f>
        <v>Processed Foods</v>
      </c>
      <c r="G271" s="4">
        <v>24.12</v>
      </c>
      <c r="H271" s="4">
        <v>14.17</v>
      </c>
      <c r="I271" s="4">
        <v>3.64</v>
      </c>
      <c r="J271" s="4">
        <v>18404.21</v>
      </c>
      <c r="K271" s="4">
        <v>8583.4</v>
      </c>
      <c r="L271" s="4">
        <v>1951.23</v>
      </c>
      <c r="M271" s="4">
        <f t="shared" si="12"/>
        <v>-9.9500000000000011</v>
      </c>
      <c r="N271" s="4">
        <f t="shared" si="13"/>
        <v>-9820.81</v>
      </c>
      <c r="O271" s="4">
        <f t="shared" si="14"/>
        <v>-10.53</v>
      </c>
      <c r="P271" s="3" t="s">
        <v>19</v>
      </c>
    </row>
    <row r="272" spans="1:16" x14ac:dyDescent="0.35">
      <c r="A272" s="3" t="s">
        <v>16</v>
      </c>
      <c r="B272" s="3" t="str">
        <f>INDEX(State_Region!$B$2:$B$26,MATCH(TRIM(A272),State_Region!$A$2:$A$26,0))</f>
        <v>West</v>
      </c>
      <c r="C272" s="3" t="s">
        <v>17</v>
      </c>
      <c r="D272" s="3" t="str">
        <f>INDEX(Port_Type!$B$2:$B$227,MATCH(TRIM(C272),Port_Type!$A$2:$A$227,0))</f>
        <v>Sea Port</v>
      </c>
      <c r="E272" s="3" t="s">
        <v>45</v>
      </c>
      <c r="F272" s="3" t="str">
        <f>INDEX(Product_Category!$B$2:$B$45,MATCH(TRIM(E272),Product_Category!$A$2:$A$45,0))</f>
        <v>Fresh Fruits &amp; Vegetables</v>
      </c>
      <c r="G272" s="4">
        <v>11.65</v>
      </c>
      <c r="H272" s="4">
        <v>15.29</v>
      </c>
      <c r="I272" s="4">
        <v>3.64</v>
      </c>
      <c r="J272" s="4">
        <v>10061.83</v>
      </c>
      <c r="K272" s="4">
        <v>10908.82</v>
      </c>
      <c r="L272" s="4">
        <v>1903.41</v>
      </c>
      <c r="M272" s="4">
        <f t="shared" si="12"/>
        <v>3.6399999999999988</v>
      </c>
      <c r="N272" s="4">
        <f t="shared" si="13"/>
        <v>846.98999999999978</v>
      </c>
      <c r="O272" s="4">
        <f t="shared" si="14"/>
        <v>-11.649999999999999</v>
      </c>
      <c r="P272" s="3" t="s">
        <v>19</v>
      </c>
    </row>
    <row r="273" spans="1:16" x14ac:dyDescent="0.35">
      <c r="A273" s="3" t="s">
        <v>20</v>
      </c>
      <c r="B273" s="3" t="str">
        <f>INDEX(State_Region!$B$2:$B$26,MATCH(TRIM(A273),State_Region!$A$2:$A$26,0))</f>
        <v>West</v>
      </c>
      <c r="C273" s="3" t="s">
        <v>21</v>
      </c>
      <c r="D273" s="3" t="str">
        <f>INDEX(Port_Type!$B$2:$B$227,MATCH(TRIM(C273),Port_Type!$A$2:$A$227,0))</f>
        <v>Sea Port</v>
      </c>
      <c r="E273" s="3" t="s">
        <v>151</v>
      </c>
      <c r="F273" s="3" t="str">
        <f>INDEX(Product_Category!$B$2:$B$45,MATCH(TRIM(E273),Product_Category!$A$2:$A$45,0))</f>
        <v>Processed Foods</v>
      </c>
      <c r="G273" s="4">
        <v>21.48</v>
      </c>
      <c r="H273" s="4">
        <v>14.91</v>
      </c>
      <c r="I273" s="4">
        <v>3.63</v>
      </c>
      <c r="J273" s="4">
        <v>18377.759999999998</v>
      </c>
      <c r="K273" s="4">
        <v>10651.99</v>
      </c>
      <c r="L273" s="4">
        <v>2960.67</v>
      </c>
      <c r="M273" s="4">
        <f t="shared" si="12"/>
        <v>-6.57</v>
      </c>
      <c r="N273" s="4">
        <f t="shared" si="13"/>
        <v>-7725.7699999999986</v>
      </c>
      <c r="O273" s="4">
        <f t="shared" si="14"/>
        <v>-11.280000000000001</v>
      </c>
      <c r="P273" s="3" t="s">
        <v>19</v>
      </c>
    </row>
    <row r="274" spans="1:16" x14ac:dyDescent="0.35">
      <c r="A274" s="3" t="s">
        <v>35</v>
      </c>
      <c r="B274" s="3" t="str">
        <f>INDEX(State_Region!$B$2:$B$26,MATCH(TRIM(A274),State_Region!$A$2:$A$26,0))</f>
        <v>North</v>
      </c>
      <c r="C274" s="3" t="s">
        <v>38</v>
      </c>
      <c r="D274" s="3" t="str">
        <f>INDEX(Port_Type!$B$2:$B$227,MATCH(TRIM(C274),Port_Type!$A$2:$A$227,0))</f>
        <v>Inland ICD / CFS</v>
      </c>
      <c r="E274" s="3" t="s">
        <v>60</v>
      </c>
      <c r="F274" s="3" t="str">
        <f>INDEX(Product_Category!$B$2:$B$45,MATCH(TRIM(E274),Product_Category!$A$2:$A$45,0))</f>
        <v>Processed Foods</v>
      </c>
      <c r="G274" s="4">
        <v>9.7200000000000006</v>
      </c>
      <c r="H274" s="4">
        <v>5.95</v>
      </c>
      <c r="I274" s="4">
        <v>3.61</v>
      </c>
      <c r="J274" s="4">
        <v>9812.92</v>
      </c>
      <c r="K274" s="4">
        <v>3923.43</v>
      </c>
      <c r="L274" s="4">
        <v>3607.95</v>
      </c>
      <c r="M274" s="4">
        <f t="shared" si="12"/>
        <v>-3.7700000000000005</v>
      </c>
      <c r="N274" s="4">
        <f t="shared" si="13"/>
        <v>-5889.49</v>
      </c>
      <c r="O274" s="4">
        <f t="shared" si="14"/>
        <v>-2.3400000000000003</v>
      </c>
      <c r="P274" s="3" t="s">
        <v>19</v>
      </c>
    </row>
    <row r="275" spans="1:16" x14ac:dyDescent="0.35">
      <c r="A275" s="3" t="s">
        <v>94</v>
      </c>
      <c r="B275" s="3" t="str">
        <f>INDEX(State_Region!$B$2:$B$26,MATCH(TRIM(A275),State_Region!$A$2:$A$26,0))</f>
        <v>East</v>
      </c>
      <c r="C275" s="3" t="s">
        <v>95</v>
      </c>
      <c r="D275" s="3" t="str">
        <f>INDEX(Port_Type!$B$2:$B$227,MATCH(TRIM(C275),Port_Type!$A$2:$A$227,0))</f>
        <v>Land Border / Rail</v>
      </c>
      <c r="E275" s="3" t="s">
        <v>18</v>
      </c>
      <c r="F275" s="3" t="str">
        <f>INDEX(Product_Category!$B$2:$B$45,MATCH(TRIM(E275),Product_Category!$A$2:$A$45,0))</f>
        <v>Cereals &amp; Grains</v>
      </c>
      <c r="G275" s="4">
        <v>11.68</v>
      </c>
      <c r="H275" s="4">
        <v>12.83</v>
      </c>
      <c r="I275" s="4">
        <v>3.61</v>
      </c>
      <c r="J275" s="4">
        <v>11947.73</v>
      </c>
      <c r="K275" s="4">
        <v>16351.52</v>
      </c>
      <c r="L275" s="4">
        <v>3870.66</v>
      </c>
      <c r="M275" s="4">
        <f t="shared" si="12"/>
        <v>1.1500000000000004</v>
      </c>
      <c r="N275" s="4">
        <f t="shared" si="13"/>
        <v>4403.7900000000009</v>
      </c>
      <c r="O275" s="4">
        <f t="shared" si="14"/>
        <v>-9.2200000000000006</v>
      </c>
      <c r="P275" s="3" t="s">
        <v>19</v>
      </c>
    </row>
    <row r="276" spans="1:16" x14ac:dyDescent="0.35">
      <c r="A276" s="3" t="s">
        <v>74</v>
      </c>
      <c r="B276" s="3" t="str">
        <f>INDEX(State_Region!$B$2:$B$26,MATCH(TRIM(A276),State_Region!$A$2:$A$26,0))</f>
        <v>South</v>
      </c>
      <c r="C276" s="3" t="s">
        <v>75</v>
      </c>
      <c r="D276" s="3" t="str">
        <f>INDEX(Port_Type!$B$2:$B$227,MATCH(TRIM(C276),Port_Type!$A$2:$A$227,0))</f>
        <v>Inland ICD / CFS</v>
      </c>
      <c r="E276" s="3" t="s">
        <v>53</v>
      </c>
      <c r="F276" s="3" t="str">
        <f>INDEX(Product_Category!$B$2:$B$45,MATCH(TRIM(E276),Product_Category!$A$2:$A$45,0))</f>
        <v>Processed Foods</v>
      </c>
      <c r="G276" s="4">
        <v>10.39</v>
      </c>
      <c r="H276" s="4">
        <v>11.81</v>
      </c>
      <c r="I276" s="4">
        <v>3.61</v>
      </c>
      <c r="J276" s="4">
        <v>7483.42</v>
      </c>
      <c r="K276" s="4">
        <v>9055.91</v>
      </c>
      <c r="L276" s="4">
        <v>2684.91</v>
      </c>
      <c r="M276" s="4">
        <f t="shared" si="12"/>
        <v>1.42</v>
      </c>
      <c r="N276" s="4">
        <f t="shared" si="13"/>
        <v>1572.4899999999998</v>
      </c>
      <c r="O276" s="4">
        <f t="shared" si="14"/>
        <v>-8.2000000000000011</v>
      </c>
      <c r="P276" s="3" t="s">
        <v>19</v>
      </c>
    </row>
    <row r="277" spans="1:16" x14ac:dyDescent="0.35">
      <c r="A277" s="3" t="s">
        <v>16</v>
      </c>
      <c r="B277" s="3" t="str">
        <f>INDEX(State_Region!$B$2:$B$26,MATCH(TRIM(A277),State_Region!$A$2:$A$26,0))</f>
        <v>West</v>
      </c>
      <c r="C277" s="3" t="s">
        <v>155</v>
      </c>
      <c r="D277" s="3" t="str">
        <f>INDEX(Port_Type!$B$2:$B$227,MATCH(TRIM(C277),Port_Type!$A$2:$A$227,0))</f>
        <v>Inland ICD / CFS</v>
      </c>
      <c r="E277" s="3" t="s">
        <v>60</v>
      </c>
      <c r="F277" s="3" t="str">
        <f>INDEX(Product_Category!$B$2:$B$45,MATCH(TRIM(E277),Product_Category!$A$2:$A$45,0))</f>
        <v>Processed Foods</v>
      </c>
      <c r="G277" s="4">
        <v>19.579999999999998</v>
      </c>
      <c r="H277" s="4">
        <v>24.64</v>
      </c>
      <c r="I277" s="4">
        <v>3.59</v>
      </c>
      <c r="J277" s="4">
        <v>22570.93</v>
      </c>
      <c r="K277" s="4">
        <v>29026.959999999999</v>
      </c>
      <c r="L277" s="4">
        <v>3789.72</v>
      </c>
      <c r="M277" s="4">
        <f t="shared" si="12"/>
        <v>5.0600000000000023</v>
      </c>
      <c r="N277" s="4">
        <f t="shared" si="13"/>
        <v>6456.0299999999988</v>
      </c>
      <c r="O277" s="4">
        <f t="shared" si="14"/>
        <v>-21.05</v>
      </c>
      <c r="P277" s="3" t="s">
        <v>19</v>
      </c>
    </row>
    <row r="278" spans="1:16" x14ac:dyDescent="0.35">
      <c r="A278" s="3" t="s">
        <v>35</v>
      </c>
      <c r="B278" s="3" t="str">
        <f>INDEX(State_Region!$B$2:$B$26,MATCH(TRIM(A278),State_Region!$A$2:$A$26,0))</f>
        <v>North</v>
      </c>
      <c r="C278" s="3" t="s">
        <v>88</v>
      </c>
      <c r="D278" s="3" t="str">
        <f>INDEX(Port_Type!$B$2:$B$227,MATCH(TRIM(C278),Port_Type!$A$2:$A$227,0))</f>
        <v>Inland ICD / CFS</v>
      </c>
      <c r="E278" s="3" t="s">
        <v>39</v>
      </c>
      <c r="F278" s="3" t="str">
        <f>INDEX(Product_Category!$B$2:$B$45,MATCH(TRIM(E278),Product_Category!$A$2:$A$45,0))</f>
        <v>Processed Foods</v>
      </c>
      <c r="G278" s="4">
        <v>0.69</v>
      </c>
      <c r="H278" s="4">
        <v>3.91</v>
      </c>
      <c r="I278" s="4">
        <v>3.59</v>
      </c>
      <c r="J278" s="4">
        <v>361.55</v>
      </c>
      <c r="K278" s="4">
        <v>1585.47</v>
      </c>
      <c r="L278" s="4">
        <v>1589.81</v>
      </c>
      <c r="M278" s="4">
        <f t="shared" si="12"/>
        <v>3.22</v>
      </c>
      <c r="N278" s="4">
        <f t="shared" si="13"/>
        <v>1223.92</v>
      </c>
      <c r="O278" s="4">
        <f t="shared" si="14"/>
        <v>-0.32000000000000028</v>
      </c>
      <c r="P278" s="3" t="s">
        <v>19</v>
      </c>
    </row>
    <row r="279" spans="1:16" x14ac:dyDescent="0.35">
      <c r="A279" s="3" t="s">
        <v>35</v>
      </c>
      <c r="B279" s="3" t="str">
        <f>INDEX(State_Region!$B$2:$B$26,MATCH(TRIM(A279),State_Region!$A$2:$A$26,0))</f>
        <v>North</v>
      </c>
      <c r="C279" s="3" t="s">
        <v>88</v>
      </c>
      <c r="D279" s="3" t="str">
        <f>INDEX(Port_Type!$B$2:$B$227,MATCH(TRIM(C279),Port_Type!$A$2:$A$227,0))</f>
        <v>Inland ICD / CFS</v>
      </c>
      <c r="E279" s="3" t="s">
        <v>54</v>
      </c>
      <c r="F279" s="3" t="str">
        <f>INDEX(Product_Category!$B$2:$B$45,MATCH(TRIM(E279),Product_Category!$A$2:$A$45,0))</f>
        <v>Processed Foods</v>
      </c>
      <c r="G279" s="4">
        <v>5.14</v>
      </c>
      <c r="H279" s="4">
        <v>11.39</v>
      </c>
      <c r="I279" s="4">
        <v>3.53</v>
      </c>
      <c r="J279" s="4">
        <v>2047.11</v>
      </c>
      <c r="K279" s="4">
        <v>4669.4799999999996</v>
      </c>
      <c r="L279" s="4">
        <v>1615.25</v>
      </c>
      <c r="M279" s="4">
        <f t="shared" si="12"/>
        <v>6.2500000000000009</v>
      </c>
      <c r="N279" s="4">
        <f t="shared" si="13"/>
        <v>2622.37</v>
      </c>
      <c r="O279" s="4">
        <f t="shared" si="14"/>
        <v>-7.8600000000000012</v>
      </c>
      <c r="P279" s="3" t="s">
        <v>19</v>
      </c>
    </row>
    <row r="280" spans="1:16" x14ac:dyDescent="0.35">
      <c r="A280" s="3" t="s">
        <v>31</v>
      </c>
      <c r="B280" s="3" t="str">
        <f>INDEX(State_Region!$B$2:$B$26,MATCH(TRIM(A280),State_Region!$A$2:$A$26,0))</f>
        <v>East</v>
      </c>
      <c r="C280" s="3" t="s">
        <v>139</v>
      </c>
      <c r="D280" s="3" t="str">
        <f>INDEX(Port_Type!$B$2:$B$227,MATCH(TRIM(C280),Port_Type!$A$2:$A$227,0))</f>
        <v>Land Border / Rail</v>
      </c>
      <c r="E280" s="3" t="s">
        <v>33</v>
      </c>
      <c r="F280" s="3" t="str">
        <f>INDEX(Product_Category!$B$2:$B$45,MATCH(TRIM(E280),Product_Category!$A$2:$A$45,0))</f>
        <v>Pulses</v>
      </c>
      <c r="G280" s="4">
        <v>9.94</v>
      </c>
      <c r="H280" s="4">
        <v>11.39</v>
      </c>
      <c r="I280" s="4">
        <v>3.52</v>
      </c>
      <c r="J280" s="4">
        <v>11892.58</v>
      </c>
      <c r="K280" s="4">
        <v>15183.62</v>
      </c>
      <c r="L280" s="4">
        <v>4924.07</v>
      </c>
      <c r="M280" s="4">
        <f t="shared" si="12"/>
        <v>1.4500000000000011</v>
      </c>
      <c r="N280" s="4">
        <f t="shared" si="13"/>
        <v>3291.0400000000009</v>
      </c>
      <c r="O280" s="4">
        <f t="shared" si="14"/>
        <v>-7.870000000000001</v>
      </c>
      <c r="P280" s="3" t="s">
        <v>19</v>
      </c>
    </row>
    <row r="281" spans="1:16" x14ac:dyDescent="0.35">
      <c r="A281" s="3" t="s">
        <v>20</v>
      </c>
      <c r="B281" s="3" t="str">
        <f>INDEX(State_Region!$B$2:$B$26,MATCH(TRIM(A281),State_Region!$A$2:$A$26,0))</f>
        <v>West</v>
      </c>
      <c r="C281" s="3" t="s">
        <v>156</v>
      </c>
      <c r="D281" s="3" t="str">
        <f>INDEX(Port_Type!$B$2:$B$227,MATCH(TRIM(C281),Port_Type!$A$2:$A$227,0))</f>
        <v>Sea Port</v>
      </c>
      <c r="E281" s="3" t="s">
        <v>53</v>
      </c>
      <c r="F281" s="3" t="str">
        <f>INDEX(Product_Category!$B$2:$B$45,MATCH(TRIM(E281),Product_Category!$A$2:$A$45,0))</f>
        <v>Processed Foods</v>
      </c>
      <c r="G281" s="4">
        <v>15.56</v>
      </c>
      <c r="H281" s="4">
        <v>15.83</v>
      </c>
      <c r="I281" s="4">
        <v>3.48</v>
      </c>
      <c r="J281" s="4">
        <v>14779.68</v>
      </c>
      <c r="K281" s="4">
        <v>16199.16</v>
      </c>
      <c r="L281" s="4">
        <v>3649.2</v>
      </c>
      <c r="M281" s="4">
        <f t="shared" si="12"/>
        <v>0.26999999999999957</v>
      </c>
      <c r="N281" s="4">
        <f t="shared" si="13"/>
        <v>1419.4799999999996</v>
      </c>
      <c r="O281" s="4">
        <f t="shared" si="14"/>
        <v>-12.35</v>
      </c>
      <c r="P281" s="3" t="s">
        <v>19</v>
      </c>
    </row>
    <row r="282" spans="1:16" x14ac:dyDescent="0.35">
      <c r="A282" s="3" t="s">
        <v>31</v>
      </c>
      <c r="B282" s="3" t="str">
        <f>INDEX(State_Region!$B$2:$B$26,MATCH(TRIM(A282),State_Region!$A$2:$A$26,0))</f>
        <v>East</v>
      </c>
      <c r="C282" s="3" t="s">
        <v>131</v>
      </c>
      <c r="D282" s="3" t="str">
        <f>INDEX(Port_Type!$B$2:$B$227,MATCH(TRIM(C282),Port_Type!$A$2:$A$227,0))</f>
        <v>Land Border / Rail</v>
      </c>
      <c r="E282" s="3" t="s">
        <v>48</v>
      </c>
      <c r="F282" s="3" t="str">
        <f>INDEX(Product_Category!$B$2:$B$45,MATCH(TRIM(E282),Product_Category!$A$2:$A$45,0))</f>
        <v>Processed Foods</v>
      </c>
      <c r="G282" s="4">
        <v>9.5299999999999994</v>
      </c>
      <c r="H282" s="4">
        <v>8.82</v>
      </c>
      <c r="I282" s="4">
        <v>3.47</v>
      </c>
      <c r="J282" s="4">
        <v>4720.67</v>
      </c>
      <c r="K282" s="4">
        <v>3041.89</v>
      </c>
      <c r="L282" s="4">
        <v>2004.67</v>
      </c>
      <c r="M282" s="4">
        <f t="shared" si="12"/>
        <v>-0.70999999999999908</v>
      </c>
      <c r="N282" s="4">
        <f t="shared" si="13"/>
        <v>-1678.7800000000002</v>
      </c>
      <c r="O282" s="4">
        <f t="shared" si="14"/>
        <v>-5.35</v>
      </c>
      <c r="P282" s="3" t="s">
        <v>19</v>
      </c>
    </row>
    <row r="283" spans="1:16" x14ac:dyDescent="0.35">
      <c r="A283" s="3" t="s">
        <v>40</v>
      </c>
      <c r="B283" s="3" t="str">
        <f>INDEX(State_Region!$B$2:$B$26,MATCH(TRIM(A283),State_Region!$A$2:$A$26,0))</f>
        <v>South</v>
      </c>
      <c r="C283" s="3" t="s">
        <v>41</v>
      </c>
      <c r="D283" s="3" t="str">
        <f>INDEX(Port_Type!$B$2:$B$227,MATCH(TRIM(C283),Port_Type!$A$2:$A$227,0))</f>
        <v>Sea Port</v>
      </c>
      <c r="E283" s="3" t="s">
        <v>84</v>
      </c>
      <c r="F283" s="3" t="str">
        <f>INDEX(Product_Category!$B$2:$B$45,MATCH(TRIM(E283),Product_Category!$A$2:$A$45,0))</f>
        <v>Nuts &amp; Oilseeds</v>
      </c>
      <c r="G283" s="4">
        <v>11.05</v>
      </c>
      <c r="H283" s="4">
        <v>10.6</v>
      </c>
      <c r="I283" s="4">
        <v>3.44</v>
      </c>
      <c r="J283" s="4">
        <v>1589.56</v>
      </c>
      <c r="K283" s="4">
        <v>1184.81</v>
      </c>
      <c r="L283" s="4">
        <v>394.82</v>
      </c>
      <c r="M283" s="4">
        <f t="shared" si="12"/>
        <v>-0.45000000000000107</v>
      </c>
      <c r="N283" s="4">
        <f t="shared" si="13"/>
        <v>-404.75</v>
      </c>
      <c r="O283" s="4">
        <f t="shared" si="14"/>
        <v>-7.16</v>
      </c>
      <c r="P283" s="3" t="s">
        <v>19</v>
      </c>
    </row>
    <row r="284" spans="1:16" x14ac:dyDescent="0.35">
      <c r="A284" s="3" t="s">
        <v>23</v>
      </c>
      <c r="B284" s="3" t="str">
        <f>INDEX(State_Region!$B$2:$B$26,MATCH(TRIM(A284),State_Region!$A$2:$A$26,0))</f>
        <v>North</v>
      </c>
      <c r="C284" s="3" t="s">
        <v>123</v>
      </c>
      <c r="D284" s="3" t="str">
        <f>INDEX(Port_Type!$B$2:$B$227,MATCH(TRIM(C284),Port_Type!$A$2:$A$227,0))</f>
        <v>Land Border / Rail</v>
      </c>
      <c r="E284" s="3" t="s">
        <v>55</v>
      </c>
      <c r="F284" s="3" t="str">
        <f>INDEX(Product_Category!$B$2:$B$45,MATCH(TRIM(E284),Product_Category!$A$2:$A$45,0))</f>
        <v>Fresh Fruits &amp; Vegetables</v>
      </c>
      <c r="G284" s="4">
        <v>11.38</v>
      </c>
      <c r="H284" s="4">
        <v>10.67</v>
      </c>
      <c r="I284" s="4">
        <v>3.44</v>
      </c>
      <c r="J284" s="4">
        <v>55151.63</v>
      </c>
      <c r="K284" s="4">
        <v>81866.19</v>
      </c>
      <c r="L284" s="4">
        <v>31741.65</v>
      </c>
      <c r="M284" s="4">
        <f t="shared" si="12"/>
        <v>-0.71000000000000085</v>
      </c>
      <c r="N284" s="4">
        <f t="shared" si="13"/>
        <v>26714.560000000005</v>
      </c>
      <c r="O284" s="4">
        <f t="shared" si="14"/>
        <v>-7.23</v>
      </c>
      <c r="P284" s="3" t="s">
        <v>19</v>
      </c>
    </row>
    <row r="285" spans="1:16" x14ac:dyDescent="0.35">
      <c r="A285" s="3" t="s">
        <v>86</v>
      </c>
      <c r="B285" s="3" t="str">
        <f>INDEX(State_Region!$B$2:$B$26,MATCH(TRIM(A285),State_Region!$A$2:$A$26,0))</f>
        <v>North</v>
      </c>
      <c r="C285" s="3" t="s">
        <v>106</v>
      </c>
      <c r="D285" s="3" t="str">
        <f>INDEX(Port_Type!$B$2:$B$227,MATCH(TRIM(C285),Port_Type!$A$2:$A$227,0))</f>
        <v>Inland ICD / CFS</v>
      </c>
      <c r="E285" s="3" t="s">
        <v>48</v>
      </c>
      <c r="F285" s="3" t="str">
        <f>INDEX(Product_Category!$B$2:$B$45,MATCH(TRIM(E285),Product_Category!$A$2:$A$45,0))</f>
        <v>Processed Foods</v>
      </c>
      <c r="G285" s="4">
        <v>30.32</v>
      </c>
      <c r="H285" s="4">
        <v>30.99</v>
      </c>
      <c r="I285" s="4">
        <v>3.4</v>
      </c>
      <c r="J285" s="4">
        <v>7862.27</v>
      </c>
      <c r="K285" s="4">
        <v>8280.1</v>
      </c>
      <c r="L285" s="4">
        <v>1048.04</v>
      </c>
      <c r="M285" s="4">
        <f t="shared" si="12"/>
        <v>0.66999999999999815</v>
      </c>
      <c r="N285" s="4">
        <f t="shared" si="13"/>
        <v>417.82999999999993</v>
      </c>
      <c r="O285" s="4">
        <f t="shared" si="14"/>
        <v>-27.59</v>
      </c>
      <c r="P285" s="3" t="s">
        <v>19</v>
      </c>
    </row>
    <row r="286" spans="1:16" x14ac:dyDescent="0.35">
      <c r="A286" s="3" t="s">
        <v>94</v>
      </c>
      <c r="B286" s="3" t="str">
        <f>INDEX(State_Region!$B$2:$B$26,MATCH(TRIM(A286),State_Region!$A$2:$A$26,0))</f>
        <v>East</v>
      </c>
      <c r="C286" s="3" t="s">
        <v>95</v>
      </c>
      <c r="D286" s="3" t="str">
        <f>INDEX(Port_Type!$B$2:$B$227,MATCH(TRIM(C286),Port_Type!$A$2:$A$227,0))</f>
        <v>Land Border / Rail</v>
      </c>
      <c r="E286" s="3" t="s">
        <v>113</v>
      </c>
      <c r="F286" s="3" t="str">
        <f>INDEX(Product_Category!$B$2:$B$45,MATCH(TRIM(E286),Product_Category!$A$2:$A$45,0))</f>
        <v>Cereals &amp; Grains</v>
      </c>
      <c r="G286" s="4">
        <v>6.73</v>
      </c>
      <c r="H286" s="4">
        <v>0</v>
      </c>
      <c r="I286" s="4">
        <v>3.39</v>
      </c>
      <c r="J286" s="4">
        <v>23957.52</v>
      </c>
      <c r="K286" s="4">
        <v>0</v>
      </c>
      <c r="L286" s="4">
        <v>12392.59</v>
      </c>
      <c r="M286" s="4">
        <f t="shared" si="12"/>
        <v>-6.73</v>
      </c>
      <c r="N286" s="4">
        <f t="shared" si="13"/>
        <v>-23957.52</v>
      </c>
      <c r="O286" s="4">
        <f t="shared" si="14"/>
        <v>3.39</v>
      </c>
      <c r="P286" s="3" t="s">
        <v>19</v>
      </c>
    </row>
    <row r="287" spans="1:16" x14ac:dyDescent="0.35">
      <c r="A287" s="3" t="s">
        <v>79</v>
      </c>
      <c r="B287" s="3" t="str">
        <f>INDEX(State_Region!$B$2:$B$26,MATCH(TRIM(A287),State_Region!$A$2:$A$26,0))</f>
        <v>South</v>
      </c>
      <c r="C287" s="3" t="s">
        <v>92</v>
      </c>
      <c r="D287" s="3" t="str">
        <f>INDEX(Port_Type!$B$2:$B$227,MATCH(TRIM(C287),Port_Type!$A$2:$A$227,0))</f>
        <v>Air Cargo</v>
      </c>
      <c r="E287" s="3" t="s">
        <v>122</v>
      </c>
      <c r="F287" s="3" t="str">
        <f>INDEX(Product_Category!$B$2:$B$45,MATCH(TRIM(E287),Product_Category!$A$2:$A$45,0))</f>
        <v>Others</v>
      </c>
      <c r="G287" s="4">
        <v>9.7899999999999991</v>
      </c>
      <c r="H287" s="4">
        <v>15.95</v>
      </c>
      <c r="I287" s="4">
        <v>3.38</v>
      </c>
      <c r="J287" s="4">
        <v>2050.29</v>
      </c>
      <c r="K287" s="4">
        <v>3581.81</v>
      </c>
      <c r="L287" s="4">
        <v>839.18</v>
      </c>
      <c r="M287" s="4">
        <f t="shared" si="12"/>
        <v>6.16</v>
      </c>
      <c r="N287" s="4">
        <f t="shared" si="13"/>
        <v>1531.52</v>
      </c>
      <c r="O287" s="4">
        <f t="shared" si="14"/>
        <v>-12.57</v>
      </c>
      <c r="P287" s="3" t="s">
        <v>19</v>
      </c>
    </row>
    <row r="288" spans="1:16" x14ac:dyDescent="0.35">
      <c r="A288" s="3" t="s">
        <v>31</v>
      </c>
      <c r="B288" s="3" t="str">
        <f>INDEX(State_Region!$B$2:$B$26,MATCH(TRIM(A288),State_Region!$A$2:$A$26,0))</f>
        <v>East</v>
      </c>
      <c r="C288" s="3" t="s">
        <v>152</v>
      </c>
      <c r="D288" s="3" t="str">
        <f>INDEX(Port_Type!$B$2:$B$227,MATCH(TRIM(C288),Port_Type!$A$2:$A$227,0))</f>
        <v>Land Border / Rail</v>
      </c>
      <c r="E288" s="3" t="s">
        <v>45</v>
      </c>
      <c r="F288" s="3" t="str">
        <f>INDEX(Product_Category!$B$2:$B$45,MATCH(TRIM(E288),Product_Category!$A$2:$A$45,0))</f>
        <v>Fresh Fruits &amp; Vegetables</v>
      </c>
      <c r="G288" s="4">
        <v>2</v>
      </c>
      <c r="H288" s="4">
        <v>3.52</v>
      </c>
      <c r="I288" s="4">
        <v>3.37</v>
      </c>
      <c r="J288" s="4">
        <v>5847.43</v>
      </c>
      <c r="K288" s="4">
        <v>9110.2000000000007</v>
      </c>
      <c r="L288" s="4">
        <v>9498.66</v>
      </c>
      <c r="M288" s="4">
        <f t="shared" si="12"/>
        <v>1.52</v>
      </c>
      <c r="N288" s="4">
        <f t="shared" si="13"/>
        <v>3262.7700000000004</v>
      </c>
      <c r="O288" s="4">
        <f t="shared" si="14"/>
        <v>-0.14999999999999991</v>
      </c>
      <c r="P288" s="3" t="s">
        <v>19</v>
      </c>
    </row>
    <row r="289" spans="1:16" x14ac:dyDescent="0.35">
      <c r="A289" s="3" t="s">
        <v>20</v>
      </c>
      <c r="B289" s="3" t="str">
        <f>INDEX(State_Region!$B$2:$B$26,MATCH(TRIM(A289),State_Region!$A$2:$A$26,0))</f>
        <v>West</v>
      </c>
      <c r="C289" s="3" t="s">
        <v>82</v>
      </c>
      <c r="D289" s="3" t="str">
        <f>INDEX(Port_Type!$B$2:$B$227,MATCH(TRIM(C289),Port_Type!$A$2:$A$227,0))</f>
        <v>Inland ICD / CFS</v>
      </c>
      <c r="E289" s="3" t="s">
        <v>45</v>
      </c>
      <c r="F289" s="3" t="str">
        <f>INDEX(Product_Category!$B$2:$B$45,MATCH(TRIM(E289),Product_Category!$A$2:$A$45,0))</f>
        <v>Fresh Fruits &amp; Vegetables</v>
      </c>
      <c r="G289" s="4">
        <v>26.84</v>
      </c>
      <c r="H289" s="4">
        <v>24.17</v>
      </c>
      <c r="I289" s="4">
        <v>3.34</v>
      </c>
      <c r="J289" s="4">
        <v>55273.15</v>
      </c>
      <c r="K289" s="4">
        <v>48681.96</v>
      </c>
      <c r="L289" s="4">
        <v>7174.37</v>
      </c>
      <c r="M289" s="4">
        <f t="shared" si="12"/>
        <v>-2.6699999999999982</v>
      </c>
      <c r="N289" s="4">
        <f t="shared" si="13"/>
        <v>-6591.1900000000023</v>
      </c>
      <c r="O289" s="4">
        <f t="shared" si="14"/>
        <v>-20.830000000000002</v>
      </c>
      <c r="P289" s="3" t="s">
        <v>19</v>
      </c>
    </row>
    <row r="290" spans="1:16" x14ac:dyDescent="0.35">
      <c r="A290" s="3" t="s">
        <v>31</v>
      </c>
      <c r="B290" s="3" t="str">
        <f>INDEX(State_Region!$B$2:$B$26,MATCH(TRIM(A290),State_Region!$A$2:$A$26,0))</f>
        <v>East</v>
      </c>
      <c r="C290" s="3" t="s">
        <v>131</v>
      </c>
      <c r="D290" s="3" t="str">
        <f>INDEX(Port_Type!$B$2:$B$227,MATCH(TRIM(C290),Port_Type!$A$2:$A$227,0))</f>
        <v>Land Border / Rail</v>
      </c>
      <c r="E290" s="3" t="s">
        <v>27</v>
      </c>
      <c r="F290" s="3" t="str">
        <f>INDEX(Product_Category!$B$2:$B$45,MATCH(TRIM(E290),Product_Category!$A$2:$A$45,0))</f>
        <v>Cereals &amp; Grains</v>
      </c>
      <c r="G290" s="4">
        <v>5.2</v>
      </c>
      <c r="H290" s="4">
        <v>9.7200000000000006</v>
      </c>
      <c r="I290" s="4">
        <v>3.32</v>
      </c>
      <c r="J290" s="4">
        <v>12320.37</v>
      </c>
      <c r="K290" s="4">
        <v>24184.14</v>
      </c>
      <c r="L290" s="4">
        <v>9207.99</v>
      </c>
      <c r="M290" s="4">
        <f t="shared" si="12"/>
        <v>4.5200000000000005</v>
      </c>
      <c r="N290" s="4">
        <f t="shared" si="13"/>
        <v>11863.769999999999</v>
      </c>
      <c r="O290" s="4">
        <f t="shared" si="14"/>
        <v>-6.4</v>
      </c>
      <c r="P290" s="3" t="s">
        <v>19</v>
      </c>
    </row>
    <row r="291" spans="1:16" x14ac:dyDescent="0.35">
      <c r="A291" s="3" t="s">
        <v>40</v>
      </c>
      <c r="B291" s="3" t="str">
        <f>INDEX(State_Region!$B$2:$B$26,MATCH(TRIM(A291),State_Region!$A$2:$A$26,0))</f>
        <v>South</v>
      </c>
      <c r="C291" s="3" t="s">
        <v>117</v>
      </c>
      <c r="D291" s="3" t="str">
        <f>INDEX(Port_Type!$B$2:$B$227,MATCH(TRIM(C291),Port_Type!$A$2:$A$227,0))</f>
        <v>Sea Port</v>
      </c>
      <c r="E291" s="3" t="s">
        <v>39</v>
      </c>
      <c r="F291" s="3" t="str">
        <f>INDEX(Product_Category!$B$2:$B$45,MATCH(TRIM(E291),Product_Category!$A$2:$A$45,0))</f>
        <v>Processed Foods</v>
      </c>
      <c r="G291" s="4">
        <v>4.3499999999999996</v>
      </c>
      <c r="H291" s="4">
        <v>6.89</v>
      </c>
      <c r="I291" s="4">
        <v>3.31</v>
      </c>
      <c r="J291" s="4">
        <v>2497.12</v>
      </c>
      <c r="K291" s="4">
        <v>3765.64</v>
      </c>
      <c r="L291" s="4">
        <v>2135.6</v>
      </c>
      <c r="M291" s="4">
        <f t="shared" si="12"/>
        <v>2.54</v>
      </c>
      <c r="N291" s="4">
        <f t="shared" si="13"/>
        <v>1268.52</v>
      </c>
      <c r="O291" s="4">
        <f t="shared" si="14"/>
        <v>-3.5799999999999996</v>
      </c>
      <c r="P291" s="3" t="s">
        <v>19</v>
      </c>
    </row>
    <row r="292" spans="1:16" x14ac:dyDescent="0.35">
      <c r="A292" s="3" t="s">
        <v>23</v>
      </c>
      <c r="B292" s="3" t="str">
        <f>INDEX(State_Region!$B$2:$B$26,MATCH(TRIM(A292),State_Region!$A$2:$A$26,0))</f>
        <v>North</v>
      </c>
      <c r="C292" s="3" t="s">
        <v>30</v>
      </c>
      <c r="D292" s="3" t="str">
        <f>INDEX(Port_Type!$B$2:$B$227,MATCH(TRIM(C292),Port_Type!$A$2:$A$227,0))</f>
        <v>Inland ICD / CFS</v>
      </c>
      <c r="E292" s="3" t="s">
        <v>33</v>
      </c>
      <c r="F292" s="3" t="str">
        <f>INDEX(Product_Category!$B$2:$B$45,MATCH(TRIM(E292),Product_Category!$A$2:$A$45,0))</f>
        <v>Pulses</v>
      </c>
      <c r="G292" s="4">
        <v>8.8699999999999992</v>
      </c>
      <c r="H292" s="4">
        <v>8.92</v>
      </c>
      <c r="I292" s="4">
        <v>3.29</v>
      </c>
      <c r="J292" s="4">
        <v>4039.42</v>
      </c>
      <c r="K292" s="4">
        <v>4679.2</v>
      </c>
      <c r="L292" s="4">
        <v>1703.27</v>
      </c>
      <c r="M292" s="4">
        <f t="shared" si="12"/>
        <v>5.0000000000000711E-2</v>
      </c>
      <c r="N292" s="4">
        <f t="shared" si="13"/>
        <v>639.77999999999975</v>
      </c>
      <c r="O292" s="4">
        <f t="shared" si="14"/>
        <v>-5.63</v>
      </c>
      <c r="P292" s="3" t="s">
        <v>19</v>
      </c>
    </row>
    <row r="293" spans="1:16" x14ac:dyDescent="0.35">
      <c r="A293" s="3" t="s">
        <v>74</v>
      </c>
      <c r="B293" s="3" t="str">
        <f>INDEX(State_Region!$B$2:$B$26,MATCH(TRIM(A293),State_Region!$A$2:$A$26,0))</f>
        <v>South</v>
      </c>
      <c r="C293" s="3" t="s">
        <v>98</v>
      </c>
      <c r="D293" s="3" t="str">
        <f>INDEX(Port_Type!$B$2:$B$227,MATCH(TRIM(C293),Port_Type!$A$2:$A$227,0))</f>
        <v>Inland ICD / CFS</v>
      </c>
      <c r="E293" s="3" t="s">
        <v>60</v>
      </c>
      <c r="F293" s="3" t="str">
        <f>INDEX(Product_Category!$B$2:$B$45,MATCH(TRIM(E293),Product_Category!$A$2:$A$45,0))</f>
        <v>Processed Foods</v>
      </c>
      <c r="G293" s="4">
        <v>0</v>
      </c>
      <c r="H293" s="4">
        <v>13.42</v>
      </c>
      <c r="I293" s="4">
        <v>3.26</v>
      </c>
      <c r="J293" s="4">
        <v>0</v>
      </c>
      <c r="K293" s="4">
        <v>8712.7000000000007</v>
      </c>
      <c r="L293" s="4">
        <v>2222.38</v>
      </c>
      <c r="M293" s="4">
        <f t="shared" si="12"/>
        <v>13.42</v>
      </c>
      <c r="N293" s="4">
        <f t="shared" si="13"/>
        <v>8712.7000000000007</v>
      </c>
      <c r="O293" s="4">
        <f t="shared" si="14"/>
        <v>-10.16</v>
      </c>
      <c r="P293" s="3" t="s">
        <v>19</v>
      </c>
    </row>
    <row r="294" spans="1:16" x14ac:dyDescent="0.35">
      <c r="A294" s="3" t="s">
        <v>16</v>
      </c>
      <c r="B294" s="3" t="str">
        <f>INDEX(State_Region!$B$2:$B$26,MATCH(TRIM(A294),State_Region!$A$2:$A$26,0))</f>
        <v>West</v>
      </c>
      <c r="C294" s="3" t="s">
        <v>109</v>
      </c>
      <c r="D294" s="3" t="str">
        <f>INDEX(Port_Type!$B$2:$B$227,MATCH(TRIM(C294),Port_Type!$A$2:$A$227,0))</f>
        <v>SEZ / EPZ</v>
      </c>
      <c r="E294" s="3" t="s">
        <v>48</v>
      </c>
      <c r="F294" s="3" t="str">
        <f>INDEX(Product_Category!$B$2:$B$45,MATCH(TRIM(E294),Product_Category!$A$2:$A$45,0))</f>
        <v>Processed Foods</v>
      </c>
      <c r="G294" s="4">
        <v>8.35</v>
      </c>
      <c r="H294" s="4">
        <v>15.58</v>
      </c>
      <c r="I294" s="4">
        <v>3.24</v>
      </c>
      <c r="J294" s="4">
        <v>6348.01</v>
      </c>
      <c r="K294" s="4">
        <v>12510.88</v>
      </c>
      <c r="L294" s="4">
        <v>2512.64</v>
      </c>
      <c r="M294" s="4">
        <f t="shared" si="12"/>
        <v>7.23</v>
      </c>
      <c r="N294" s="4">
        <f t="shared" si="13"/>
        <v>6162.869999999999</v>
      </c>
      <c r="O294" s="4">
        <f t="shared" si="14"/>
        <v>-12.34</v>
      </c>
      <c r="P294" s="3" t="s">
        <v>19</v>
      </c>
    </row>
    <row r="295" spans="1:16" x14ac:dyDescent="0.35">
      <c r="A295" s="3" t="s">
        <v>66</v>
      </c>
      <c r="B295" s="3" t="str">
        <f>INDEX(State_Region!$B$2:$B$26,MATCH(TRIM(A295),State_Region!$A$2:$A$26,0))</f>
        <v>North</v>
      </c>
      <c r="C295" s="3" t="s">
        <v>67</v>
      </c>
      <c r="D295" s="3" t="str">
        <f>INDEX(Port_Type!$B$2:$B$227,MATCH(TRIM(C295),Port_Type!$A$2:$A$227,0))</f>
        <v>Inland ICD / CFS</v>
      </c>
      <c r="E295" s="3" t="s">
        <v>39</v>
      </c>
      <c r="F295" s="3" t="str">
        <f>INDEX(Product_Category!$B$2:$B$45,MATCH(TRIM(E295),Product_Category!$A$2:$A$45,0))</f>
        <v>Processed Foods</v>
      </c>
      <c r="G295" s="4">
        <v>0.08</v>
      </c>
      <c r="H295" s="4">
        <v>18.350000000000001</v>
      </c>
      <c r="I295" s="4">
        <v>3.23</v>
      </c>
      <c r="J295" s="4">
        <v>28.13</v>
      </c>
      <c r="K295" s="4">
        <v>16094.41</v>
      </c>
      <c r="L295" s="4">
        <v>2686.4</v>
      </c>
      <c r="M295" s="4">
        <f t="shared" si="12"/>
        <v>18.270000000000003</v>
      </c>
      <c r="N295" s="4">
        <f t="shared" si="13"/>
        <v>16066.28</v>
      </c>
      <c r="O295" s="4">
        <f t="shared" si="14"/>
        <v>-15.120000000000001</v>
      </c>
      <c r="P295" s="3" t="s">
        <v>19</v>
      </c>
    </row>
    <row r="296" spans="1:16" x14ac:dyDescent="0.35">
      <c r="A296" s="3" t="s">
        <v>31</v>
      </c>
      <c r="B296" s="3" t="str">
        <f>INDEX(State_Region!$B$2:$B$26,MATCH(TRIM(A296),State_Region!$A$2:$A$26,0))</f>
        <v>East</v>
      </c>
      <c r="C296" s="3" t="s">
        <v>141</v>
      </c>
      <c r="D296" s="3" t="str">
        <f>INDEX(Port_Type!$B$2:$B$227,MATCH(TRIM(C296),Port_Type!$A$2:$A$227,0))</f>
        <v>Land Border / Rail</v>
      </c>
      <c r="E296" s="3" t="s">
        <v>27</v>
      </c>
      <c r="F296" s="3" t="str">
        <f>INDEX(Product_Category!$B$2:$B$45,MATCH(TRIM(E296),Product_Category!$A$2:$A$45,0))</f>
        <v>Cereals &amp; Grains</v>
      </c>
      <c r="G296" s="4">
        <v>3.58</v>
      </c>
      <c r="H296" s="4">
        <v>18.54</v>
      </c>
      <c r="I296" s="4">
        <v>3.22</v>
      </c>
      <c r="J296" s="4">
        <v>1742.94</v>
      </c>
      <c r="K296" s="4">
        <v>28473.13</v>
      </c>
      <c r="L296" s="4">
        <v>1317.66</v>
      </c>
      <c r="M296" s="4">
        <f t="shared" si="12"/>
        <v>14.959999999999999</v>
      </c>
      <c r="N296" s="4">
        <f t="shared" si="13"/>
        <v>26730.190000000002</v>
      </c>
      <c r="O296" s="4">
        <f t="shared" si="14"/>
        <v>-15.319999999999999</v>
      </c>
      <c r="P296" s="3" t="s">
        <v>19</v>
      </c>
    </row>
    <row r="297" spans="1:16" x14ac:dyDescent="0.35">
      <c r="A297" s="3" t="s">
        <v>77</v>
      </c>
      <c r="B297" s="3" t="str">
        <f>INDEX(State_Region!$B$2:$B$26,MATCH(TRIM(A297),State_Region!$A$2:$A$26,0))</f>
        <v>South</v>
      </c>
      <c r="C297" s="3" t="s">
        <v>157</v>
      </c>
      <c r="D297" s="3" t="str">
        <f>INDEX(Port_Type!$B$2:$B$227,MATCH(TRIM(C297),Port_Type!$A$2:$A$227,0))</f>
        <v>Air Cargo</v>
      </c>
      <c r="E297" s="3" t="s">
        <v>102</v>
      </c>
      <c r="F297" s="3" t="str">
        <f>INDEX(Product_Category!$B$2:$B$45,MATCH(TRIM(E297),Product_Category!$A$2:$A$45,0))</f>
        <v>Fresh Fruits &amp; Vegetables</v>
      </c>
      <c r="G297" s="4">
        <v>6.39</v>
      </c>
      <c r="H297" s="4">
        <v>9.32</v>
      </c>
      <c r="I297" s="4">
        <v>3.18</v>
      </c>
      <c r="J297" s="4">
        <v>6932.35</v>
      </c>
      <c r="K297" s="4">
        <v>10476.75</v>
      </c>
      <c r="L297" s="4">
        <v>2508.67</v>
      </c>
      <c r="M297" s="4">
        <f t="shared" si="12"/>
        <v>2.9300000000000006</v>
      </c>
      <c r="N297" s="4">
        <f t="shared" si="13"/>
        <v>3544.3999999999996</v>
      </c>
      <c r="O297" s="4">
        <f t="shared" si="14"/>
        <v>-6.1400000000000006</v>
      </c>
      <c r="P297" s="3" t="s">
        <v>19</v>
      </c>
    </row>
    <row r="298" spans="1:16" x14ac:dyDescent="0.35">
      <c r="A298" s="3" t="s">
        <v>49</v>
      </c>
      <c r="B298" s="3" t="str">
        <f>INDEX(State_Region!$B$2:$B$26,MATCH(TRIM(A298),State_Region!$A$2:$A$26,0))</f>
        <v>North</v>
      </c>
      <c r="C298" s="3" t="s">
        <v>158</v>
      </c>
      <c r="D298" s="3" t="str">
        <f>INDEX(Port_Type!$B$2:$B$227,MATCH(TRIM(C298),Port_Type!$A$2:$A$227,0))</f>
        <v>Inland ICD / CFS</v>
      </c>
      <c r="E298" s="3" t="s">
        <v>46</v>
      </c>
      <c r="F298" s="3" t="str">
        <f>INDEX(Product_Category!$B$2:$B$45,MATCH(TRIM(E298),Product_Category!$A$2:$A$45,0))</f>
        <v>Others</v>
      </c>
      <c r="G298" s="4">
        <v>8.82</v>
      </c>
      <c r="H298" s="4">
        <v>8.2799999999999994</v>
      </c>
      <c r="I298" s="4">
        <v>3.15</v>
      </c>
      <c r="J298" s="4">
        <v>4935.0200000000004</v>
      </c>
      <c r="K298" s="4">
        <v>4979.6000000000004</v>
      </c>
      <c r="L298" s="4">
        <v>1897.93</v>
      </c>
      <c r="M298" s="4">
        <f t="shared" si="12"/>
        <v>-0.54000000000000092</v>
      </c>
      <c r="N298" s="4">
        <f t="shared" si="13"/>
        <v>44.579999999999927</v>
      </c>
      <c r="O298" s="4">
        <f t="shared" si="14"/>
        <v>-5.129999999999999</v>
      </c>
      <c r="P298" s="3" t="s">
        <v>19</v>
      </c>
    </row>
    <row r="299" spans="1:16" x14ac:dyDescent="0.35">
      <c r="A299" s="3" t="s">
        <v>16</v>
      </c>
      <c r="B299" s="3" t="str">
        <f>INDEX(State_Region!$B$2:$B$26,MATCH(TRIM(A299),State_Region!$A$2:$A$26,0))</f>
        <v>West</v>
      </c>
      <c r="C299" s="3" t="s">
        <v>90</v>
      </c>
      <c r="D299" s="3" t="str">
        <f>INDEX(Port_Type!$B$2:$B$227,MATCH(TRIM(C299),Port_Type!$A$2:$A$227,0))</f>
        <v>Inland ICD / CFS</v>
      </c>
      <c r="E299" s="3" t="s">
        <v>53</v>
      </c>
      <c r="F299" s="3" t="str">
        <f>INDEX(Product_Category!$B$2:$B$45,MATCH(TRIM(E299),Product_Category!$A$2:$A$45,0))</f>
        <v>Processed Foods</v>
      </c>
      <c r="G299" s="4">
        <v>8.92</v>
      </c>
      <c r="H299" s="4">
        <v>18.25</v>
      </c>
      <c r="I299" s="4">
        <v>3.15</v>
      </c>
      <c r="J299" s="4">
        <v>12882</v>
      </c>
      <c r="K299" s="4">
        <v>28026.400000000001</v>
      </c>
      <c r="L299" s="4">
        <v>3852</v>
      </c>
      <c r="M299" s="4">
        <f t="shared" si="12"/>
        <v>9.33</v>
      </c>
      <c r="N299" s="4">
        <f t="shared" si="13"/>
        <v>15144.400000000001</v>
      </c>
      <c r="O299" s="4">
        <f t="shared" si="14"/>
        <v>-15.1</v>
      </c>
      <c r="P299" s="3" t="s">
        <v>19</v>
      </c>
    </row>
    <row r="300" spans="1:16" x14ac:dyDescent="0.35">
      <c r="A300" s="3" t="s">
        <v>57</v>
      </c>
      <c r="B300" s="3" t="str">
        <f>INDEX(State_Region!$B$2:$B$26,MATCH(TRIM(A300),State_Region!$A$2:$A$26,0))</f>
        <v>Central</v>
      </c>
      <c r="C300" s="3" t="s">
        <v>97</v>
      </c>
      <c r="D300" s="3" t="str">
        <f>INDEX(Port_Type!$B$2:$B$227,MATCH(TRIM(C300),Port_Type!$A$2:$A$227,0))</f>
        <v>Inland ICD / CFS</v>
      </c>
      <c r="E300" s="3" t="s">
        <v>60</v>
      </c>
      <c r="F300" s="3" t="str">
        <f>INDEX(Product_Category!$B$2:$B$45,MATCH(TRIM(E300),Product_Category!$A$2:$A$45,0))</f>
        <v>Processed Foods</v>
      </c>
      <c r="G300" s="4">
        <v>24.32</v>
      </c>
      <c r="H300" s="4">
        <v>30.51</v>
      </c>
      <c r="I300" s="4">
        <v>3.07</v>
      </c>
      <c r="J300" s="4">
        <v>11459.22</v>
      </c>
      <c r="K300" s="4">
        <v>14293.48</v>
      </c>
      <c r="L300" s="4">
        <v>1340.08</v>
      </c>
      <c r="M300" s="4">
        <f t="shared" si="12"/>
        <v>6.1900000000000013</v>
      </c>
      <c r="N300" s="4">
        <f t="shared" si="13"/>
        <v>2834.26</v>
      </c>
      <c r="O300" s="4">
        <f t="shared" si="14"/>
        <v>-27.44</v>
      </c>
      <c r="P300" s="3" t="s">
        <v>19</v>
      </c>
    </row>
    <row r="301" spans="1:16" x14ac:dyDescent="0.35">
      <c r="A301" s="3" t="s">
        <v>77</v>
      </c>
      <c r="B301" s="3" t="str">
        <f>INDEX(State_Region!$B$2:$B$26,MATCH(TRIM(A301),State_Region!$A$2:$A$26,0))</f>
        <v>South</v>
      </c>
      <c r="C301" s="3" t="s">
        <v>132</v>
      </c>
      <c r="D301" s="3" t="str">
        <f>INDEX(Port_Type!$B$2:$B$227,MATCH(TRIM(C301),Port_Type!$A$2:$A$227,0))</f>
        <v>Air Cargo</v>
      </c>
      <c r="E301" s="3" t="s">
        <v>45</v>
      </c>
      <c r="F301" s="3" t="str">
        <f>INDEX(Product_Category!$B$2:$B$45,MATCH(TRIM(E301),Product_Category!$A$2:$A$45,0))</f>
        <v>Fresh Fruits &amp; Vegetables</v>
      </c>
      <c r="G301" s="4">
        <v>6.99</v>
      </c>
      <c r="H301" s="4">
        <v>6.68</v>
      </c>
      <c r="I301" s="4">
        <v>3.06</v>
      </c>
      <c r="J301" s="4">
        <v>7939.04</v>
      </c>
      <c r="K301" s="4">
        <v>6704.57</v>
      </c>
      <c r="L301" s="4">
        <v>2467.4499999999998</v>
      </c>
      <c r="M301" s="4">
        <f t="shared" si="12"/>
        <v>-0.3100000000000005</v>
      </c>
      <c r="N301" s="4">
        <f t="shared" si="13"/>
        <v>-1234.4700000000003</v>
      </c>
      <c r="O301" s="4">
        <f t="shared" si="14"/>
        <v>-3.6199999999999997</v>
      </c>
      <c r="P301" s="3" t="s">
        <v>19</v>
      </c>
    </row>
    <row r="302" spans="1:16" x14ac:dyDescent="0.35">
      <c r="A302" s="3" t="s">
        <v>31</v>
      </c>
      <c r="B302" s="3" t="str">
        <f>INDEX(State_Region!$B$2:$B$26,MATCH(TRIM(A302),State_Region!$A$2:$A$26,0))</f>
        <v>East</v>
      </c>
      <c r="C302" s="3" t="s">
        <v>131</v>
      </c>
      <c r="D302" s="3" t="str">
        <f>INDEX(Port_Type!$B$2:$B$227,MATCH(TRIM(C302),Port_Type!$A$2:$A$227,0))</f>
        <v>Land Border / Rail</v>
      </c>
      <c r="E302" s="3" t="s">
        <v>18</v>
      </c>
      <c r="F302" s="3" t="str">
        <f>INDEX(Product_Category!$B$2:$B$45,MATCH(TRIM(E302),Product_Category!$A$2:$A$45,0))</f>
        <v>Cereals &amp; Grains</v>
      </c>
      <c r="G302" s="4">
        <v>9.91</v>
      </c>
      <c r="H302" s="4">
        <v>10.09</v>
      </c>
      <c r="I302" s="4">
        <v>3.06</v>
      </c>
      <c r="J302" s="4">
        <v>12318.91</v>
      </c>
      <c r="K302" s="4">
        <v>16335.88</v>
      </c>
      <c r="L302" s="4">
        <v>5157.75</v>
      </c>
      <c r="M302" s="4">
        <f t="shared" si="12"/>
        <v>0.17999999999999972</v>
      </c>
      <c r="N302" s="4">
        <f t="shared" si="13"/>
        <v>4016.9699999999993</v>
      </c>
      <c r="O302" s="4">
        <f t="shared" si="14"/>
        <v>-7.0299999999999994</v>
      </c>
      <c r="P302" s="3" t="s">
        <v>19</v>
      </c>
    </row>
    <row r="303" spans="1:16" x14ac:dyDescent="0.35">
      <c r="A303" s="3" t="s">
        <v>31</v>
      </c>
      <c r="B303" s="3" t="str">
        <f>INDEX(State_Region!$B$2:$B$26,MATCH(TRIM(A303),State_Region!$A$2:$A$26,0))</f>
        <v>East</v>
      </c>
      <c r="C303" s="3" t="s">
        <v>101</v>
      </c>
      <c r="D303" s="3" t="str">
        <f>INDEX(Port_Type!$B$2:$B$227,MATCH(TRIM(C303),Port_Type!$A$2:$A$227,0))</f>
        <v>Land Border / Rail</v>
      </c>
      <c r="E303" s="3" t="s">
        <v>113</v>
      </c>
      <c r="F303" s="3" t="str">
        <f>INDEX(Product_Category!$B$2:$B$45,MATCH(TRIM(E303),Product_Category!$A$2:$A$45,0))</f>
        <v>Cereals &amp; Grains</v>
      </c>
      <c r="G303" s="4">
        <v>0</v>
      </c>
      <c r="H303" s="4">
        <v>0</v>
      </c>
      <c r="I303" s="4">
        <v>3.04</v>
      </c>
      <c r="J303" s="4">
        <v>0</v>
      </c>
      <c r="K303" s="4">
        <v>0</v>
      </c>
      <c r="L303" s="4">
        <v>11356.58</v>
      </c>
      <c r="M303" s="4">
        <f t="shared" si="12"/>
        <v>0</v>
      </c>
      <c r="N303" s="4">
        <f t="shared" si="13"/>
        <v>0</v>
      </c>
      <c r="O303" s="4">
        <f t="shared" si="14"/>
        <v>3.04</v>
      </c>
      <c r="P303" s="3" t="s">
        <v>19</v>
      </c>
    </row>
    <row r="304" spans="1:16" x14ac:dyDescent="0.35">
      <c r="A304" s="3" t="s">
        <v>40</v>
      </c>
      <c r="B304" s="3" t="str">
        <f>INDEX(State_Region!$B$2:$B$26,MATCH(TRIM(A304),State_Region!$A$2:$A$26,0))</f>
        <v>South</v>
      </c>
      <c r="C304" s="3" t="s">
        <v>107</v>
      </c>
      <c r="D304" s="3" t="str">
        <f>INDEX(Port_Type!$B$2:$B$227,MATCH(TRIM(C304),Port_Type!$A$2:$A$227,0))</f>
        <v>Sea Port</v>
      </c>
      <c r="E304" s="3" t="s">
        <v>48</v>
      </c>
      <c r="F304" s="3" t="str">
        <f>INDEX(Product_Category!$B$2:$B$45,MATCH(TRIM(E304),Product_Category!$A$2:$A$45,0))</f>
        <v>Processed Foods</v>
      </c>
      <c r="G304" s="4">
        <v>9.5399999999999991</v>
      </c>
      <c r="H304" s="4">
        <v>10.06</v>
      </c>
      <c r="I304" s="4">
        <v>3.03</v>
      </c>
      <c r="J304" s="4">
        <v>3233.88</v>
      </c>
      <c r="K304" s="4">
        <v>2788.72</v>
      </c>
      <c r="L304" s="4">
        <v>892</v>
      </c>
      <c r="M304" s="4">
        <f t="shared" si="12"/>
        <v>0.52000000000000135</v>
      </c>
      <c r="N304" s="4">
        <f t="shared" si="13"/>
        <v>-445.16000000000031</v>
      </c>
      <c r="O304" s="4">
        <f t="shared" si="14"/>
        <v>-7.0300000000000011</v>
      </c>
      <c r="P304" s="3" t="s">
        <v>19</v>
      </c>
    </row>
    <row r="305" spans="1:16" x14ac:dyDescent="0.35">
      <c r="A305" s="3" t="s">
        <v>40</v>
      </c>
      <c r="B305" s="3" t="str">
        <f>INDEX(State_Region!$B$2:$B$26,MATCH(TRIM(A305),State_Region!$A$2:$A$26,0))</f>
        <v>South</v>
      </c>
      <c r="C305" s="3" t="s">
        <v>41</v>
      </c>
      <c r="D305" s="3" t="str">
        <f>INDEX(Port_Type!$B$2:$B$227,MATCH(TRIM(C305),Port_Type!$A$2:$A$227,0))</f>
        <v>Sea Port</v>
      </c>
      <c r="E305" s="3" t="s">
        <v>59</v>
      </c>
      <c r="F305" s="3" t="str">
        <f>INDEX(Product_Category!$B$2:$B$45,MATCH(TRIM(E305),Product_Category!$A$2:$A$45,0))</f>
        <v>Processed Foods</v>
      </c>
      <c r="G305" s="4">
        <v>2.12</v>
      </c>
      <c r="H305" s="4">
        <v>22.12</v>
      </c>
      <c r="I305" s="4">
        <v>3.01</v>
      </c>
      <c r="J305" s="4">
        <v>346.38</v>
      </c>
      <c r="K305" s="4">
        <v>2013.28</v>
      </c>
      <c r="L305" s="4">
        <v>457.56</v>
      </c>
      <c r="M305" s="4">
        <f t="shared" si="12"/>
        <v>20</v>
      </c>
      <c r="N305" s="4">
        <f t="shared" si="13"/>
        <v>1666.9</v>
      </c>
      <c r="O305" s="4">
        <f t="shared" si="14"/>
        <v>-19.11</v>
      </c>
      <c r="P305" s="3" t="s">
        <v>19</v>
      </c>
    </row>
    <row r="306" spans="1:16" x14ac:dyDescent="0.35">
      <c r="A306" s="3" t="s">
        <v>79</v>
      </c>
      <c r="B306" s="3" t="str">
        <f>INDEX(State_Region!$B$2:$B$26,MATCH(TRIM(A306),State_Region!$A$2:$A$26,0))</f>
        <v>South</v>
      </c>
      <c r="C306" s="3" t="s">
        <v>92</v>
      </c>
      <c r="D306" s="3" t="str">
        <f>INDEX(Port_Type!$B$2:$B$227,MATCH(TRIM(C306),Port_Type!$A$2:$A$227,0))</f>
        <v>Air Cargo</v>
      </c>
      <c r="E306" s="3" t="s">
        <v>110</v>
      </c>
      <c r="F306" s="3" t="str">
        <f>INDEX(Product_Category!$B$2:$B$45,MATCH(TRIM(E306),Product_Category!$A$2:$A$45,0))</f>
        <v>Dairy, Poultry &amp; Honey</v>
      </c>
      <c r="G306" s="4">
        <v>16.260000000000002</v>
      </c>
      <c r="H306" s="4">
        <v>16.98</v>
      </c>
      <c r="I306" s="4">
        <v>2.97</v>
      </c>
      <c r="J306" s="4">
        <v>47040.75</v>
      </c>
      <c r="K306" s="4">
        <v>46754.12</v>
      </c>
      <c r="L306" s="4">
        <v>9281.25</v>
      </c>
      <c r="M306" s="4">
        <f t="shared" si="12"/>
        <v>0.71999999999999886</v>
      </c>
      <c r="N306" s="4">
        <f t="shared" si="13"/>
        <v>-286.62999999999738</v>
      </c>
      <c r="O306" s="4">
        <f t="shared" si="14"/>
        <v>-14.01</v>
      </c>
      <c r="P306" s="3" t="s">
        <v>19</v>
      </c>
    </row>
    <row r="307" spans="1:16" x14ac:dyDescent="0.35">
      <c r="A307" s="3" t="s">
        <v>31</v>
      </c>
      <c r="B307" s="3" t="str">
        <f>INDEX(State_Region!$B$2:$B$26,MATCH(TRIM(A307),State_Region!$A$2:$A$26,0))</f>
        <v>East</v>
      </c>
      <c r="C307" s="3" t="s">
        <v>152</v>
      </c>
      <c r="D307" s="3" t="str">
        <f>INDEX(Port_Type!$B$2:$B$227,MATCH(TRIM(C307),Port_Type!$A$2:$A$227,0))</f>
        <v>Land Border / Rail</v>
      </c>
      <c r="E307" s="3" t="s">
        <v>102</v>
      </c>
      <c r="F307" s="3" t="str">
        <f>INDEX(Product_Category!$B$2:$B$45,MATCH(TRIM(E307),Product_Category!$A$2:$A$45,0))</f>
        <v>Fresh Fruits &amp; Vegetables</v>
      </c>
      <c r="G307" s="4">
        <v>18.97</v>
      </c>
      <c r="H307" s="4">
        <v>26.66</v>
      </c>
      <c r="I307" s="4">
        <v>2.97</v>
      </c>
      <c r="J307" s="4">
        <v>46738.559999999998</v>
      </c>
      <c r="K307" s="4">
        <v>85503.01</v>
      </c>
      <c r="L307" s="4">
        <v>9835.98</v>
      </c>
      <c r="M307" s="4">
        <f t="shared" si="12"/>
        <v>7.6900000000000013</v>
      </c>
      <c r="N307" s="4">
        <f t="shared" si="13"/>
        <v>38764.449999999997</v>
      </c>
      <c r="O307" s="4">
        <f t="shared" si="14"/>
        <v>-23.69</v>
      </c>
      <c r="P307" s="3" t="s">
        <v>19</v>
      </c>
    </row>
    <row r="308" spans="1:16" x14ac:dyDescent="0.35">
      <c r="A308" s="3" t="s">
        <v>129</v>
      </c>
      <c r="B308" s="3" t="str">
        <f>INDEX(State_Region!$B$2:$B$26,MATCH(TRIM(A308),State_Region!$A$2:$A$26,0))</f>
        <v>East</v>
      </c>
      <c r="C308" s="3" t="s">
        <v>147</v>
      </c>
      <c r="D308" s="3" t="str">
        <f>INDEX(Port_Type!$B$2:$B$227,MATCH(TRIM(C308),Port_Type!$A$2:$A$227,0))</f>
        <v>Land Border / Rail</v>
      </c>
      <c r="E308" s="3" t="s">
        <v>27</v>
      </c>
      <c r="F308" s="3" t="str">
        <f>INDEX(Product_Category!$B$2:$B$45,MATCH(TRIM(E308),Product_Category!$A$2:$A$45,0))</f>
        <v>Cereals &amp; Grains</v>
      </c>
      <c r="G308" s="4">
        <v>1.56</v>
      </c>
      <c r="H308" s="4">
        <v>15.41</v>
      </c>
      <c r="I308" s="4">
        <v>2.95</v>
      </c>
      <c r="J308" s="4">
        <v>3981.12</v>
      </c>
      <c r="K308" s="4">
        <v>33991.47</v>
      </c>
      <c r="L308" s="4">
        <v>6352.23</v>
      </c>
      <c r="M308" s="4">
        <f t="shared" si="12"/>
        <v>13.85</v>
      </c>
      <c r="N308" s="4">
        <f t="shared" si="13"/>
        <v>30010.350000000002</v>
      </c>
      <c r="O308" s="4">
        <f t="shared" si="14"/>
        <v>-12.46</v>
      </c>
      <c r="P308" s="3" t="s">
        <v>19</v>
      </c>
    </row>
    <row r="309" spans="1:16" x14ac:dyDescent="0.35">
      <c r="A309" s="3" t="s">
        <v>31</v>
      </c>
      <c r="B309" s="3" t="str">
        <f>INDEX(State_Region!$B$2:$B$26,MATCH(TRIM(A309),State_Region!$A$2:$A$26,0))</f>
        <v>East</v>
      </c>
      <c r="C309" s="3" t="s">
        <v>152</v>
      </c>
      <c r="D309" s="3" t="str">
        <f>INDEX(Port_Type!$B$2:$B$227,MATCH(TRIM(C309),Port_Type!$A$2:$A$227,0))</f>
        <v>Land Border / Rail</v>
      </c>
      <c r="E309" s="3" t="s">
        <v>33</v>
      </c>
      <c r="F309" s="3" t="str">
        <f>INDEX(Product_Category!$B$2:$B$45,MATCH(TRIM(E309),Product_Category!$A$2:$A$45,0))</f>
        <v>Pulses</v>
      </c>
      <c r="G309" s="4">
        <v>1.48</v>
      </c>
      <c r="H309" s="4">
        <v>13.94</v>
      </c>
      <c r="I309" s="4">
        <v>2.94</v>
      </c>
      <c r="J309" s="4">
        <v>1730.77</v>
      </c>
      <c r="K309" s="4">
        <v>19627.59</v>
      </c>
      <c r="L309" s="4">
        <v>3692.32</v>
      </c>
      <c r="M309" s="4">
        <f t="shared" si="12"/>
        <v>12.459999999999999</v>
      </c>
      <c r="N309" s="4">
        <f t="shared" si="13"/>
        <v>17896.82</v>
      </c>
      <c r="O309" s="4">
        <f t="shared" si="14"/>
        <v>-11</v>
      </c>
      <c r="P309" s="3" t="s">
        <v>19</v>
      </c>
    </row>
    <row r="310" spans="1:16" x14ac:dyDescent="0.35">
      <c r="A310" s="3" t="s">
        <v>31</v>
      </c>
      <c r="B310" s="3" t="str">
        <f>INDEX(State_Region!$B$2:$B$26,MATCH(TRIM(A310),State_Region!$A$2:$A$26,0))</f>
        <v>East</v>
      </c>
      <c r="C310" s="3" t="s">
        <v>32</v>
      </c>
      <c r="D310" s="3" t="str">
        <f>INDEX(Port_Type!$B$2:$B$227,MATCH(TRIM(C310),Port_Type!$A$2:$A$227,0))</f>
        <v>Sea Port</v>
      </c>
      <c r="E310" s="3" t="s">
        <v>48</v>
      </c>
      <c r="F310" s="3" t="str">
        <f>INDEX(Product_Category!$B$2:$B$45,MATCH(TRIM(E310),Product_Category!$A$2:$A$45,0))</f>
        <v>Processed Foods</v>
      </c>
      <c r="G310" s="4">
        <v>14.86</v>
      </c>
      <c r="H310" s="4">
        <v>10.53</v>
      </c>
      <c r="I310" s="4">
        <v>2.93</v>
      </c>
      <c r="J310" s="4">
        <v>9461.52</v>
      </c>
      <c r="K310" s="4">
        <v>7607.43</v>
      </c>
      <c r="L310" s="4">
        <v>2846.68</v>
      </c>
      <c r="M310" s="4">
        <f t="shared" si="12"/>
        <v>-4.33</v>
      </c>
      <c r="N310" s="4">
        <f t="shared" si="13"/>
        <v>-1854.0900000000001</v>
      </c>
      <c r="O310" s="4">
        <f t="shared" si="14"/>
        <v>-7.6</v>
      </c>
      <c r="P310" s="3" t="s">
        <v>19</v>
      </c>
    </row>
    <row r="311" spans="1:16" x14ac:dyDescent="0.35">
      <c r="A311" s="3" t="s">
        <v>40</v>
      </c>
      <c r="B311" s="3" t="str">
        <f>INDEX(State_Region!$B$2:$B$26,MATCH(TRIM(A311),State_Region!$A$2:$A$26,0))</f>
        <v>South</v>
      </c>
      <c r="C311" s="3" t="s">
        <v>85</v>
      </c>
      <c r="D311" s="3" t="str">
        <f>INDEX(Port_Type!$B$2:$B$227,MATCH(TRIM(C311),Port_Type!$A$2:$A$227,0))</f>
        <v>Sea Port</v>
      </c>
      <c r="E311" s="3" t="s">
        <v>65</v>
      </c>
      <c r="F311" s="3" t="str">
        <f>INDEX(Product_Category!$B$2:$B$45,MATCH(TRIM(E311),Product_Category!$A$2:$A$45,0))</f>
        <v>Cereals &amp; Grains</v>
      </c>
      <c r="G311" s="4">
        <v>6.18</v>
      </c>
      <c r="H311" s="4">
        <v>2.48</v>
      </c>
      <c r="I311" s="4">
        <v>2.9</v>
      </c>
      <c r="J311" s="4">
        <v>12647.36</v>
      </c>
      <c r="K311" s="4">
        <v>3723.52</v>
      </c>
      <c r="L311" s="4">
        <v>6317.47</v>
      </c>
      <c r="M311" s="4">
        <f t="shared" si="12"/>
        <v>-3.6999999999999997</v>
      </c>
      <c r="N311" s="4">
        <f t="shared" si="13"/>
        <v>-8923.84</v>
      </c>
      <c r="O311" s="4">
        <f t="shared" si="14"/>
        <v>0.41999999999999993</v>
      </c>
      <c r="P311" s="3" t="s">
        <v>19</v>
      </c>
    </row>
    <row r="312" spans="1:16" x14ac:dyDescent="0.35">
      <c r="A312" s="3" t="s">
        <v>49</v>
      </c>
      <c r="B312" s="3" t="str">
        <f>INDEX(State_Region!$B$2:$B$26,MATCH(TRIM(A312),State_Region!$A$2:$A$26,0))</f>
        <v>North</v>
      </c>
      <c r="C312" s="3" t="s">
        <v>50</v>
      </c>
      <c r="D312" s="3" t="str">
        <f>INDEX(Port_Type!$B$2:$B$227,MATCH(TRIM(C312),Port_Type!$A$2:$A$227,0))</f>
        <v>Inland ICD / CFS</v>
      </c>
      <c r="E312" s="3" t="s">
        <v>27</v>
      </c>
      <c r="F312" s="3" t="str">
        <f>INDEX(Product_Category!$B$2:$B$45,MATCH(TRIM(E312),Product_Category!$A$2:$A$45,0))</f>
        <v>Cereals &amp; Grains</v>
      </c>
      <c r="G312" s="4">
        <v>0</v>
      </c>
      <c r="H312" s="4">
        <v>4.13</v>
      </c>
      <c r="I312" s="4">
        <v>2.88</v>
      </c>
      <c r="J312" s="4">
        <v>0</v>
      </c>
      <c r="K312" s="4">
        <v>7792.9</v>
      </c>
      <c r="L312" s="4">
        <v>4100.32</v>
      </c>
      <c r="M312" s="4">
        <f t="shared" si="12"/>
        <v>4.13</v>
      </c>
      <c r="N312" s="4">
        <f t="shared" si="13"/>
        <v>7792.9</v>
      </c>
      <c r="O312" s="4">
        <f t="shared" si="14"/>
        <v>-1.25</v>
      </c>
      <c r="P312" s="3" t="s">
        <v>19</v>
      </c>
    </row>
    <row r="313" spans="1:16" x14ac:dyDescent="0.35">
      <c r="A313" s="3" t="s">
        <v>31</v>
      </c>
      <c r="B313" s="3" t="str">
        <f>INDEX(State_Region!$B$2:$B$26,MATCH(TRIM(A313),State_Region!$A$2:$A$26,0))</f>
        <v>East</v>
      </c>
      <c r="C313" s="3" t="s">
        <v>101</v>
      </c>
      <c r="D313" s="3" t="str">
        <f>INDEX(Port_Type!$B$2:$B$227,MATCH(TRIM(C313),Port_Type!$A$2:$A$227,0))</f>
        <v>Land Border / Rail</v>
      </c>
      <c r="E313" s="3" t="s">
        <v>62</v>
      </c>
      <c r="F313" s="3" t="str">
        <f>INDEX(Product_Category!$B$2:$B$45,MATCH(TRIM(E313),Product_Category!$A$2:$A$45,0))</f>
        <v>Cereals &amp; Grains</v>
      </c>
      <c r="G313" s="4">
        <v>14.35</v>
      </c>
      <c r="H313" s="4">
        <v>36.979999999999997</v>
      </c>
      <c r="I313" s="4">
        <v>2.83</v>
      </c>
      <c r="J313" s="4">
        <v>16628.27</v>
      </c>
      <c r="K313" s="4">
        <v>99468.95</v>
      </c>
      <c r="L313" s="4">
        <v>12534.7</v>
      </c>
      <c r="M313" s="4">
        <f t="shared" si="12"/>
        <v>22.629999999999995</v>
      </c>
      <c r="N313" s="4">
        <f t="shared" si="13"/>
        <v>82840.679999999993</v>
      </c>
      <c r="O313" s="4">
        <f t="shared" si="14"/>
        <v>-34.15</v>
      </c>
      <c r="P313" s="3" t="s">
        <v>19</v>
      </c>
    </row>
    <row r="314" spans="1:16" x14ac:dyDescent="0.35">
      <c r="A314" s="3" t="s">
        <v>86</v>
      </c>
      <c r="B314" s="3" t="str">
        <f>INDEX(State_Region!$B$2:$B$26,MATCH(TRIM(A314),State_Region!$A$2:$A$26,0))</f>
        <v>North</v>
      </c>
      <c r="C314" s="3" t="s">
        <v>87</v>
      </c>
      <c r="D314" s="3" t="str">
        <f>INDEX(Port_Type!$B$2:$B$227,MATCH(TRIM(C314),Port_Type!$A$2:$A$227,0))</f>
        <v>Air Cargo</v>
      </c>
      <c r="E314" s="3" t="s">
        <v>69</v>
      </c>
      <c r="F314" s="3" t="str">
        <f>INDEX(Product_Category!$B$2:$B$45,MATCH(TRIM(E314),Product_Category!$A$2:$A$45,0))</f>
        <v>Others</v>
      </c>
      <c r="G314" s="4">
        <v>7.66</v>
      </c>
      <c r="H314" s="4">
        <v>7.81</v>
      </c>
      <c r="I314" s="4">
        <v>2.83</v>
      </c>
      <c r="J314" s="4">
        <v>72.540000000000006</v>
      </c>
      <c r="K314" s="4">
        <v>171.48</v>
      </c>
      <c r="L314" s="4">
        <v>43.96</v>
      </c>
      <c r="M314" s="4">
        <f t="shared" si="12"/>
        <v>0.14999999999999947</v>
      </c>
      <c r="N314" s="4">
        <f t="shared" si="13"/>
        <v>98.939999999999984</v>
      </c>
      <c r="O314" s="4">
        <f t="shared" si="14"/>
        <v>-4.9799999999999995</v>
      </c>
      <c r="P314" s="3" t="s">
        <v>19</v>
      </c>
    </row>
    <row r="315" spans="1:16" x14ac:dyDescent="0.35">
      <c r="A315" s="3" t="s">
        <v>77</v>
      </c>
      <c r="B315" s="3" t="str">
        <f>INDEX(State_Region!$B$2:$B$26,MATCH(TRIM(A315),State_Region!$A$2:$A$26,0))</f>
        <v>South</v>
      </c>
      <c r="C315" s="3" t="s">
        <v>132</v>
      </c>
      <c r="D315" s="3" t="str">
        <f>INDEX(Port_Type!$B$2:$B$227,MATCH(TRIM(C315),Port_Type!$A$2:$A$227,0))</f>
        <v>Air Cargo</v>
      </c>
      <c r="E315" s="3" t="s">
        <v>39</v>
      </c>
      <c r="F315" s="3" t="str">
        <f>INDEX(Product_Category!$B$2:$B$45,MATCH(TRIM(E315),Product_Category!$A$2:$A$45,0))</f>
        <v>Processed Foods</v>
      </c>
      <c r="G315" s="4">
        <v>2.0099999999999998</v>
      </c>
      <c r="H315" s="4">
        <v>4.95</v>
      </c>
      <c r="I315" s="4">
        <v>2.81</v>
      </c>
      <c r="J315" s="4">
        <v>154.84</v>
      </c>
      <c r="K315" s="4">
        <v>327.63</v>
      </c>
      <c r="L315" s="4">
        <v>445.82</v>
      </c>
      <c r="M315" s="4">
        <f t="shared" si="12"/>
        <v>2.9400000000000004</v>
      </c>
      <c r="N315" s="4">
        <f t="shared" si="13"/>
        <v>172.79</v>
      </c>
      <c r="O315" s="4">
        <f t="shared" si="14"/>
        <v>-2.14</v>
      </c>
      <c r="P315" s="3" t="s">
        <v>19</v>
      </c>
    </row>
    <row r="316" spans="1:16" x14ac:dyDescent="0.35">
      <c r="A316" s="3" t="s">
        <v>20</v>
      </c>
      <c r="B316" s="3" t="str">
        <f>INDEX(State_Region!$B$2:$B$26,MATCH(TRIM(A316),State_Region!$A$2:$A$26,0))</f>
        <v>West</v>
      </c>
      <c r="C316" s="3" t="s">
        <v>82</v>
      </c>
      <c r="D316" s="3" t="str">
        <f>INDEX(Port_Type!$B$2:$B$227,MATCH(TRIM(C316),Port_Type!$A$2:$A$227,0))</f>
        <v>Inland ICD / CFS</v>
      </c>
      <c r="E316" s="3" t="s">
        <v>42</v>
      </c>
      <c r="F316" s="3" t="str">
        <f>INDEX(Product_Category!$B$2:$B$45,MATCH(TRIM(E316),Product_Category!$A$2:$A$45,0))</f>
        <v>Processed Foods</v>
      </c>
      <c r="G316" s="4">
        <v>18.54</v>
      </c>
      <c r="H316" s="4">
        <v>3.36</v>
      </c>
      <c r="I316" s="4">
        <v>2.8</v>
      </c>
      <c r="J316" s="4">
        <v>14493.04</v>
      </c>
      <c r="K316" s="4">
        <v>2807.26</v>
      </c>
      <c r="L316" s="4">
        <v>1909.27</v>
      </c>
      <c r="M316" s="4">
        <f t="shared" si="12"/>
        <v>-15.18</v>
      </c>
      <c r="N316" s="4">
        <f t="shared" si="13"/>
        <v>-11685.78</v>
      </c>
      <c r="O316" s="4">
        <f t="shared" si="14"/>
        <v>-0.56000000000000005</v>
      </c>
      <c r="P316" s="3" t="s">
        <v>19</v>
      </c>
    </row>
    <row r="317" spans="1:16" x14ac:dyDescent="0.35">
      <c r="A317" s="3" t="s">
        <v>74</v>
      </c>
      <c r="B317" s="3" t="str">
        <f>INDEX(State_Region!$B$2:$B$26,MATCH(TRIM(A317),State_Region!$A$2:$A$26,0))</f>
        <v>South</v>
      </c>
      <c r="C317" s="3" t="s">
        <v>137</v>
      </c>
      <c r="D317" s="3" t="str">
        <f>INDEX(Port_Type!$B$2:$B$227,MATCH(TRIM(C317),Port_Type!$A$2:$A$227,0))</f>
        <v>Air Cargo</v>
      </c>
      <c r="E317" s="3" t="s">
        <v>110</v>
      </c>
      <c r="F317" s="3" t="str">
        <f>INDEX(Product_Category!$B$2:$B$45,MATCH(TRIM(E317),Product_Category!$A$2:$A$45,0))</f>
        <v>Dairy, Poultry &amp; Honey</v>
      </c>
      <c r="G317" s="4">
        <v>1.36</v>
      </c>
      <c r="H317" s="4">
        <v>7.9</v>
      </c>
      <c r="I317" s="4">
        <v>2.79</v>
      </c>
      <c r="J317" s="4">
        <v>3437.27</v>
      </c>
      <c r="K317" s="4">
        <v>21823.87</v>
      </c>
      <c r="L317" s="4">
        <v>8882.1</v>
      </c>
      <c r="M317" s="4">
        <f t="shared" si="12"/>
        <v>6.54</v>
      </c>
      <c r="N317" s="4">
        <f t="shared" si="13"/>
        <v>18386.599999999999</v>
      </c>
      <c r="O317" s="4">
        <f t="shared" si="14"/>
        <v>-5.1100000000000003</v>
      </c>
      <c r="P317" s="3" t="s">
        <v>19</v>
      </c>
    </row>
    <row r="318" spans="1:16" x14ac:dyDescent="0.35">
      <c r="A318" s="3" t="s">
        <v>159</v>
      </c>
      <c r="B318" s="3" t="str">
        <f>INDEX(State_Region!$B$2:$B$26,MATCH(TRIM(A318),State_Region!$A$2:$A$26,0))</f>
        <v>North-East</v>
      </c>
      <c r="C318" s="3" t="s">
        <v>160</v>
      </c>
      <c r="D318" s="3" t="str">
        <f>INDEX(Port_Type!$B$2:$B$227,MATCH(TRIM(C318),Port_Type!$A$2:$A$227,0))</f>
        <v>Land Border / Rail</v>
      </c>
      <c r="E318" s="3" t="s">
        <v>27</v>
      </c>
      <c r="F318" s="3" t="str">
        <f>INDEX(Product_Category!$B$2:$B$45,MATCH(TRIM(E318),Product_Category!$A$2:$A$45,0))</f>
        <v>Cereals &amp; Grains</v>
      </c>
      <c r="G318" s="4">
        <v>0</v>
      </c>
      <c r="H318" s="4">
        <v>8.52</v>
      </c>
      <c r="I318" s="4">
        <v>2.78</v>
      </c>
      <c r="J318" s="4">
        <v>0</v>
      </c>
      <c r="K318" s="4">
        <v>23861.03</v>
      </c>
      <c r="L318" s="4">
        <v>6437.93</v>
      </c>
      <c r="M318" s="4">
        <f t="shared" si="12"/>
        <v>8.52</v>
      </c>
      <c r="N318" s="4">
        <f t="shared" si="13"/>
        <v>23861.03</v>
      </c>
      <c r="O318" s="4">
        <f t="shared" si="14"/>
        <v>-5.74</v>
      </c>
      <c r="P318" s="3" t="s">
        <v>19</v>
      </c>
    </row>
    <row r="319" spans="1:16" x14ac:dyDescent="0.35">
      <c r="A319" s="3" t="s">
        <v>77</v>
      </c>
      <c r="B319" s="3" t="str">
        <f>INDEX(State_Region!$B$2:$B$26,MATCH(TRIM(A319),State_Region!$A$2:$A$26,0))</f>
        <v>South</v>
      </c>
      <c r="C319" s="3" t="s">
        <v>78</v>
      </c>
      <c r="D319" s="3" t="str">
        <f>INDEX(Port_Type!$B$2:$B$227,MATCH(TRIM(C319),Port_Type!$A$2:$A$227,0))</f>
        <v>Sea Port</v>
      </c>
      <c r="E319" s="3" t="s">
        <v>45</v>
      </c>
      <c r="F319" s="3" t="str">
        <f>INDEX(Product_Category!$B$2:$B$45,MATCH(TRIM(E319),Product_Category!$A$2:$A$45,0))</f>
        <v>Fresh Fruits &amp; Vegetables</v>
      </c>
      <c r="G319" s="4">
        <v>19.010000000000002</v>
      </c>
      <c r="H319" s="4">
        <v>29.23</v>
      </c>
      <c r="I319" s="4">
        <v>2.75</v>
      </c>
      <c r="J319" s="4">
        <v>38944.5</v>
      </c>
      <c r="K319" s="4">
        <v>51026.32</v>
      </c>
      <c r="L319" s="4">
        <v>3801.91</v>
      </c>
      <c r="M319" s="4">
        <f t="shared" si="12"/>
        <v>10.219999999999999</v>
      </c>
      <c r="N319" s="4">
        <f t="shared" si="13"/>
        <v>12081.82</v>
      </c>
      <c r="O319" s="4">
        <f t="shared" si="14"/>
        <v>-26.48</v>
      </c>
      <c r="P319" s="3" t="s">
        <v>19</v>
      </c>
    </row>
    <row r="320" spans="1:16" x14ac:dyDescent="0.35">
      <c r="A320" s="3" t="s">
        <v>31</v>
      </c>
      <c r="B320" s="3" t="str">
        <f>INDEX(State_Region!$B$2:$B$26,MATCH(TRIM(A320),State_Region!$A$2:$A$26,0))</f>
        <v>East</v>
      </c>
      <c r="C320" s="3" t="s">
        <v>141</v>
      </c>
      <c r="D320" s="3" t="str">
        <f>INDEX(Port_Type!$B$2:$B$227,MATCH(TRIM(C320),Port_Type!$A$2:$A$227,0))</f>
        <v>Land Border / Rail</v>
      </c>
      <c r="E320" s="3" t="s">
        <v>69</v>
      </c>
      <c r="F320" s="3" t="str">
        <f>INDEX(Product_Category!$B$2:$B$45,MATCH(TRIM(E320),Product_Category!$A$2:$A$45,0))</f>
        <v>Others</v>
      </c>
      <c r="G320" s="4">
        <v>8.0500000000000007</v>
      </c>
      <c r="H320" s="4">
        <v>8.18</v>
      </c>
      <c r="I320" s="4">
        <v>2.75</v>
      </c>
      <c r="J320" s="4">
        <v>1724.71</v>
      </c>
      <c r="K320" s="4">
        <v>1112.6500000000001</v>
      </c>
      <c r="L320" s="4">
        <v>395.65</v>
      </c>
      <c r="M320" s="4">
        <f t="shared" si="12"/>
        <v>0.12999999999999901</v>
      </c>
      <c r="N320" s="4">
        <f t="shared" si="13"/>
        <v>-612.05999999999995</v>
      </c>
      <c r="O320" s="4">
        <f t="shared" si="14"/>
        <v>-5.43</v>
      </c>
      <c r="P320" s="3" t="s">
        <v>19</v>
      </c>
    </row>
    <row r="321" spans="1:16" x14ac:dyDescent="0.35">
      <c r="A321" s="3" t="s">
        <v>31</v>
      </c>
      <c r="B321" s="3" t="str">
        <f>INDEX(State_Region!$B$2:$B$26,MATCH(TRIM(A321),State_Region!$A$2:$A$26,0))</f>
        <v>East</v>
      </c>
      <c r="C321" s="3" t="s">
        <v>101</v>
      </c>
      <c r="D321" s="3" t="str">
        <f>INDEX(Port_Type!$B$2:$B$227,MATCH(TRIM(C321),Port_Type!$A$2:$A$227,0))</f>
        <v>Land Border / Rail</v>
      </c>
      <c r="E321" s="3" t="s">
        <v>84</v>
      </c>
      <c r="F321" s="3" t="str">
        <f>INDEX(Product_Category!$B$2:$B$45,MATCH(TRIM(E321),Product_Category!$A$2:$A$45,0))</f>
        <v>Nuts &amp; Oilseeds</v>
      </c>
      <c r="G321" s="4">
        <v>1.53</v>
      </c>
      <c r="H321" s="4">
        <v>2.69</v>
      </c>
      <c r="I321" s="4">
        <v>2.74</v>
      </c>
      <c r="J321" s="4">
        <v>352.02</v>
      </c>
      <c r="K321" s="4">
        <v>649.54999999999995</v>
      </c>
      <c r="L321" s="4">
        <v>598.80999999999995</v>
      </c>
      <c r="M321" s="4">
        <f t="shared" si="12"/>
        <v>1.1599999999999999</v>
      </c>
      <c r="N321" s="4">
        <f t="shared" si="13"/>
        <v>297.52999999999997</v>
      </c>
      <c r="O321" s="4">
        <f t="shared" si="14"/>
        <v>5.0000000000000266E-2</v>
      </c>
      <c r="P321" s="3" t="s">
        <v>19</v>
      </c>
    </row>
    <row r="322" spans="1:16" x14ac:dyDescent="0.35">
      <c r="A322" s="3" t="s">
        <v>31</v>
      </c>
      <c r="B322" s="3" t="str">
        <f>INDEX(State_Region!$B$2:$B$26,MATCH(TRIM(A322),State_Region!$A$2:$A$26,0))</f>
        <v>East</v>
      </c>
      <c r="C322" s="3" t="s">
        <v>131</v>
      </c>
      <c r="D322" s="3" t="str">
        <f>INDEX(Port_Type!$B$2:$B$227,MATCH(TRIM(C322),Port_Type!$A$2:$A$227,0))</f>
        <v>Land Border / Rail</v>
      </c>
      <c r="E322" s="3" t="s">
        <v>22</v>
      </c>
      <c r="F322" s="3" t="str">
        <f>INDEX(Product_Category!$B$2:$B$45,MATCH(TRIM(E322),Product_Category!$A$2:$A$45,0))</f>
        <v>Meat &amp; Animal Products</v>
      </c>
      <c r="G322" s="4">
        <v>4.8600000000000003</v>
      </c>
      <c r="H322" s="4">
        <v>7.39</v>
      </c>
      <c r="I322" s="4">
        <v>2.72</v>
      </c>
      <c r="J322" s="4">
        <v>1841.73</v>
      </c>
      <c r="K322" s="4">
        <v>2058.44</v>
      </c>
      <c r="L322" s="4">
        <v>645.99</v>
      </c>
      <c r="M322" s="4">
        <f t="shared" ref="M322:M385" si="15">H322-G322</f>
        <v>2.5299999999999994</v>
      </c>
      <c r="N322" s="4">
        <f t="shared" ref="N322:N385" si="16">K322-J322</f>
        <v>216.71000000000004</v>
      </c>
      <c r="O322" s="4">
        <f t="shared" ref="O322:O385" si="17">I322-H322</f>
        <v>-4.67</v>
      </c>
      <c r="P322" s="3" t="s">
        <v>19</v>
      </c>
    </row>
    <row r="323" spans="1:16" x14ac:dyDescent="0.35">
      <c r="A323" s="3" t="s">
        <v>79</v>
      </c>
      <c r="B323" s="3" t="str">
        <f>INDEX(State_Region!$B$2:$B$26,MATCH(TRIM(A323),State_Region!$A$2:$A$26,0))</f>
        <v>South</v>
      </c>
      <c r="C323" s="3" t="s">
        <v>92</v>
      </c>
      <c r="D323" s="3" t="str">
        <f>INDEX(Port_Type!$B$2:$B$227,MATCH(TRIM(C323),Port_Type!$A$2:$A$227,0))</f>
        <v>Air Cargo</v>
      </c>
      <c r="E323" s="3" t="s">
        <v>39</v>
      </c>
      <c r="F323" s="3" t="str">
        <f>INDEX(Product_Category!$B$2:$B$45,MATCH(TRIM(E323),Product_Category!$A$2:$A$45,0))</f>
        <v>Processed Foods</v>
      </c>
      <c r="G323" s="4">
        <v>4.63</v>
      </c>
      <c r="H323" s="4">
        <v>5.71</v>
      </c>
      <c r="I323" s="4">
        <v>2.72</v>
      </c>
      <c r="J323" s="4">
        <v>212.84</v>
      </c>
      <c r="K323" s="4">
        <v>480.47</v>
      </c>
      <c r="L323" s="4">
        <v>205.41</v>
      </c>
      <c r="M323" s="4">
        <f t="shared" si="15"/>
        <v>1.08</v>
      </c>
      <c r="N323" s="4">
        <f t="shared" si="16"/>
        <v>267.63</v>
      </c>
      <c r="O323" s="4">
        <f t="shared" si="17"/>
        <v>-2.9899999999999998</v>
      </c>
      <c r="P323" s="3" t="s">
        <v>19</v>
      </c>
    </row>
    <row r="324" spans="1:16" x14ac:dyDescent="0.35">
      <c r="A324" s="3" t="s">
        <v>57</v>
      </c>
      <c r="B324" s="3" t="str">
        <f>INDEX(State_Region!$B$2:$B$26,MATCH(TRIM(A324),State_Region!$A$2:$A$26,0))</f>
        <v>Central</v>
      </c>
      <c r="C324" s="3" t="s">
        <v>161</v>
      </c>
      <c r="D324" s="3" t="str">
        <f>INDEX(Port_Type!$B$2:$B$227,MATCH(TRIM(C324),Port_Type!$A$2:$A$227,0))</f>
        <v>Inland ICD / CFS</v>
      </c>
      <c r="E324" s="3" t="s">
        <v>53</v>
      </c>
      <c r="F324" s="3" t="str">
        <f>INDEX(Product_Category!$B$2:$B$45,MATCH(TRIM(E324),Product_Category!$A$2:$A$45,0))</f>
        <v>Processed Foods</v>
      </c>
      <c r="G324" s="4">
        <v>10.27</v>
      </c>
      <c r="H324" s="4">
        <v>8.32</v>
      </c>
      <c r="I324" s="4">
        <v>2.72</v>
      </c>
      <c r="J324" s="4">
        <v>7514.27</v>
      </c>
      <c r="K324" s="4">
        <v>6536.99</v>
      </c>
      <c r="L324" s="4">
        <v>2239.89</v>
      </c>
      <c r="M324" s="4">
        <f t="shared" si="15"/>
        <v>-1.9499999999999993</v>
      </c>
      <c r="N324" s="4">
        <f t="shared" si="16"/>
        <v>-977.28000000000065</v>
      </c>
      <c r="O324" s="4">
        <f t="shared" si="17"/>
        <v>-5.6</v>
      </c>
      <c r="P324" s="3" t="s">
        <v>19</v>
      </c>
    </row>
    <row r="325" spans="1:16" x14ac:dyDescent="0.35">
      <c r="A325" s="3" t="s">
        <v>57</v>
      </c>
      <c r="B325" s="3" t="str">
        <f>INDEX(State_Region!$B$2:$B$26,MATCH(TRIM(A325),State_Region!$A$2:$A$26,0))</f>
        <v>Central</v>
      </c>
      <c r="C325" s="3" t="s">
        <v>162</v>
      </c>
      <c r="D325" s="3" t="str">
        <f>INDEX(Port_Type!$B$2:$B$227,MATCH(TRIM(C325),Port_Type!$A$2:$A$227,0))</f>
        <v>Inland ICD / CFS</v>
      </c>
      <c r="E325" s="3" t="s">
        <v>39</v>
      </c>
      <c r="F325" s="3" t="str">
        <f>INDEX(Product_Category!$B$2:$B$45,MATCH(TRIM(E325),Product_Category!$A$2:$A$45,0))</f>
        <v>Processed Foods</v>
      </c>
      <c r="G325" s="4">
        <v>4.49</v>
      </c>
      <c r="H325" s="4">
        <v>4.87</v>
      </c>
      <c r="I325" s="4">
        <v>2.69</v>
      </c>
      <c r="J325" s="4">
        <v>1149.92</v>
      </c>
      <c r="K325" s="4">
        <v>2985.02</v>
      </c>
      <c r="L325" s="4">
        <v>2853.39</v>
      </c>
      <c r="M325" s="4">
        <f t="shared" si="15"/>
        <v>0.37999999999999989</v>
      </c>
      <c r="N325" s="4">
        <f t="shared" si="16"/>
        <v>1835.1</v>
      </c>
      <c r="O325" s="4">
        <f t="shared" si="17"/>
        <v>-2.1800000000000002</v>
      </c>
      <c r="P325" s="3" t="s">
        <v>19</v>
      </c>
    </row>
    <row r="326" spans="1:16" x14ac:dyDescent="0.35">
      <c r="A326" s="3" t="s">
        <v>23</v>
      </c>
      <c r="B326" s="3" t="str">
        <f>INDEX(State_Region!$B$2:$B$26,MATCH(TRIM(A326),State_Region!$A$2:$A$26,0))</f>
        <v>North</v>
      </c>
      <c r="C326" s="3" t="s">
        <v>120</v>
      </c>
      <c r="D326" s="3" t="str">
        <f>INDEX(Port_Type!$B$2:$B$227,MATCH(TRIM(C326),Port_Type!$A$2:$A$227,0))</f>
        <v>Inland ICD / CFS</v>
      </c>
      <c r="E326" s="3" t="s">
        <v>118</v>
      </c>
      <c r="F326" s="3" t="str">
        <f>INDEX(Product_Category!$B$2:$B$45,MATCH(TRIM(E326),Product_Category!$A$2:$A$45,0))</f>
        <v>Dairy, Poultry &amp; Honey</v>
      </c>
      <c r="G326" s="4">
        <v>8.07</v>
      </c>
      <c r="H326" s="4">
        <v>12.36</v>
      </c>
      <c r="I326" s="4">
        <v>2.63</v>
      </c>
      <c r="J326" s="4">
        <v>4934.6899999999996</v>
      </c>
      <c r="K326" s="4">
        <v>6992.49</v>
      </c>
      <c r="L326" s="4">
        <v>1736.48</v>
      </c>
      <c r="M326" s="4">
        <f t="shared" si="15"/>
        <v>4.2899999999999991</v>
      </c>
      <c r="N326" s="4">
        <f t="shared" si="16"/>
        <v>2057.8000000000002</v>
      </c>
      <c r="O326" s="4">
        <f t="shared" si="17"/>
        <v>-9.73</v>
      </c>
      <c r="P326" s="3" t="s">
        <v>19</v>
      </c>
    </row>
    <row r="327" spans="1:16" x14ac:dyDescent="0.35">
      <c r="A327" s="3" t="s">
        <v>49</v>
      </c>
      <c r="B327" s="3" t="str">
        <f>INDEX(State_Region!$B$2:$B$26,MATCH(TRIM(A327),State_Region!$A$2:$A$26,0))</f>
        <v>North</v>
      </c>
      <c r="C327" s="3" t="s">
        <v>163</v>
      </c>
      <c r="D327" s="3" t="str">
        <f>INDEX(Port_Type!$B$2:$B$227,MATCH(TRIM(C327),Port_Type!$A$2:$A$227,0))</f>
        <v>Inland ICD / CFS</v>
      </c>
      <c r="E327" s="3" t="s">
        <v>118</v>
      </c>
      <c r="F327" s="3" t="str">
        <f>INDEX(Product_Category!$B$2:$B$45,MATCH(TRIM(E327),Product_Category!$A$2:$A$45,0))</f>
        <v>Dairy, Poultry &amp; Honey</v>
      </c>
      <c r="G327" s="4">
        <v>0</v>
      </c>
      <c r="H327" s="4">
        <v>0.96</v>
      </c>
      <c r="I327" s="4">
        <v>2.62</v>
      </c>
      <c r="J327" s="4">
        <v>0</v>
      </c>
      <c r="K327" s="4">
        <v>484.8</v>
      </c>
      <c r="L327" s="4">
        <v>1890.6</v>
      </c>
      <c r="M327" s="4">
        <f t="shared" si="15"/>
        <v>0.96</v>
      </c>
      <c r="N327" s="4">
        <f t="shared" si="16"/>
        <v>484.8</v>
      </c>
      <c r="O327" s="4">
        <f t="shared" si="17"/>
        <v>1.6600000000000001</v>
      </c>
      <c r="P327" s="3" t="s">
        <v>19</v>
      </c>
    </row>
    <row r="328" spans="1:16" x14ac:dyDescent="0.35">
      <c r="A328" s="3" t="s">
        <v>66</v>
      </c>
      <c r="B328" s="3" t="str">
        <f>INDEX(State_Region!$B$2:$B$26,MATCH(TRIM(A328),State_Region!$A$2:$A$26,0))</f>
        <v>North</v>
      </c>
      <c r="C328" s="3" t="s">
        <v>127</v>
      </c>
      <c r="D328" s="3" t="str">
        <f>INDEX(Port_Type!$B$2:$B$227,MATCH(TRIM(C328),Port_Type!$A$2:$A$227,0))</f>
        <v>Inland ICD / CFS</v>
      </c>
      <c r="E328" s="3" t="s">
        <v>60</v>
      </c>
      <c r="F328" s="3" t="str">
        <f>INDEX(Product_Category!$B$2:$B$45,MATCH(TRIM(E328),Product_Category!$A$2:$A$45,0))</f>
        <v>Processed Foods</v>
      </c>
      <c r="G328" s="4">
        <v>0.55000000000000004</v>
      </c>
      <c r="H328" s="4">
        <v>0.92</v>
      </c>
      <c r="I328" s="4">
        <v>2.58</v>
      </c>
      <c r="J328" s="4">
        <v>408.82</v>
      </c>
      <c r="K328" s="4">
        <v>628.51</v>
      </c>
      <c r="L328" s="4">
        <v>2117.39</v>
      </c>
      <c r="M328" s="4">
        <f t="shared" si="15"/>
        <v>0.37</v>
      </c>
      <c r="N328" s="4">
        <f t="shared" si="16"/>
        <v>219.69</v>
      </c>
      <c r="O328" s="4">
        <f t="shared" si="17"/>
        <v>1.6600000000000001</v>
      </c>
      <c r="P328" s="3" t="s">
        <v>19</v>
      </c>
    </row>
    <row r="329" spans="1:16" x14ac:dyDescent="0.35">
      <c r="A329" s="3" t="s">
        <v>40</v>
      </c>
      <c r="B329" s="3" t="str">
        <f>INDEX(State_Region!$B$2:$B$26,MATCH(TRIM(A329),State_Region!$A$2:$A$26,0))</f>
        <v>South</v>
      </c>
      <c r="C329" s="3" t="s">
        <v>85</v>
      </c>
      <c r="D329" s="3" t="str">
        <f>INDEX(Port_Type!$B$2:$B$227,MATCH(TRIM(C329),Port_Type!$A$2:$A$227,0))</f>
        <v>Sea Port</v>
      </c>
      <c r="E329" s="3" t="s">
        <v>45</v>
      </c>
      <c r="F329" s="3" t="str">
        <f>INDEX(Product_Category!$B$2:$B$45,MATCH(TRIM(E329),Product_Category!$A$2:$A$45,0))</f>
        <v>Fresh Fruits &amp; Vegetables</v>
      </c>
      <c r="G329" s="4">
        <v>6.9</v>
      </c>
      <c r="H329" s="4">
        <v>8.8699999999999992</v>
      </c>
      <c r="I329" s="4">
        <v>2.58</v>
      </c>
      <c r="J329" s="4">
        <v>14873.24</v>
      </c>
      <c r="K329" s="4">
        <v>17762.54</v>
      </c>
      <c r="L329" s="4">
        <v>4778.42</v>
      </c>
      <c r="M329" s="4">
        <f t="shared" si="15"/>
        <v>1.9699999999999989</v>
      </c>
      <c r="N329" s="4">
        <f t="shared" si="16"/>
        <v>2889.3000000000011</v>
      </c>
      <c r="O329" s="4">
        <f t="shared" si="17"/>
        <v>-6.2899999999999991</v>
      </c>
      <c r="P329" s="3" t="s">
        <v>19</v>
      </c>
    </row>
    <row r="330" spans="1:16" x14ac:dyDescent="0.35">
      <c r="A330" s="3" t="s">
        <v>79</v>
      </c>
      <c r="B330" s="3" t="str">
        <f>INDEX(State_Region!$B$2:$B$26,MATCH(TRIM(A330),State_Region!$A$2:$A$26,0))</f>
        <v>South</v>
      </c>
      <c r="C330" s="3" t="s">
        <v>92</v>
      </c>
      <c r="D330" s="3" t="str">
        <f>INDEX(Port_Type!$B$2:$B$227,MATCH(TRIM(C330),Port_Type!$A$2:$A$227,0))</f>
        <v>Air Cargo</v>
      </c>
      <c r="E330" s="3" t="s">
        <v>45</v>
      </c>
      <c r="F330" s="3" t="str">
        <f>INDEX(Product_Category!$B$2:$B$45,MATCH(TRIM(E330),Product_Category!$A$2:$A$45,0))</f>
        <v>Fresh Fruits &amp; Vegetables</v>
      </c>
      <c r="G330" s="4">
        <v>5.87</v>
      </c>
      <c r="H330" s="4">
        <v>8.84</v>
      </c>
      <c r="I330" s="4">
        <v>2.56</v>
      </c>
      <c r="J330" s="4">
        <v>2438.02</v>
      </c>
      <c r="K330" s="4">
        <v>3663.29</v>
      </c>
      <c r="L330" s="4">
        <v>912.75</v>
      </c>
      <c r="M330" s="4">
        <f t="shared" si="15"/>
        <v>2.9699999999999998</v>
      </c>
      <c r="N330" s="4">
        <f t="shared" si="16"/>
        <v>1225.27</v>
      </c>
      <c r="O330" s="4">
        <f t="shared" si="17"/>
        <v>-6.2799999999999994</v>
      </c>
      <c r="P330" s="3" t="s">
        <v>19</v>
      </c>
    </row>
    <row r="331" spans="1:16" x14ac:dyDescent="0.35">
      <c r="A331" s="3" t="s">
        <v>40</v>
      </c>
      <c r="B331" s="3" t="str">
        <f>INDEX(State_Region!$B$2:$B$26,MATCH(TRIM(A331),State_Region!$A$2:$A$26,0))</f>
        <v>South</v>
      </c>
      <c r="C331" s="3" t="s">
        <v>164</v>
      </c>
      <c r="D331" s="3" t="str">
        <f>INDEX(Port_Type!$B$2:$B$227,MATCH(TRIM(C331),Port_Type!$A$2:$A$227,0))</f>
        <v>Air Cargo</v>
      </c>
      <c r="E331" s="3" t="s">
        <v>102</v>
      </c>
      <c r="F331" s="3" t="str">
        <f>INDEX(Product_Category!$B$2:$B$45,MATCH(TRIM(E331),Product_Category!$A$2:$A$45,0))</f>
        <v>Fresh Fruits &amp; Vegetables</v>
      </c>
      <c r="G331" s="4">
        <v>8.81</v>
      </c>
      <c r="H331" s="4">
        <v>7.73</v>
      </c>
      <c r="I331" s="4">
        <v>2.5299999999999998</v>
      </c>
      <c r="J331" s="4">
        <v>8603.68</v>
      </c>
      <c r="K331" s="4">
        <v>8385.91</v>
      </c>
      <c r="L331" s="4">
        <v>2154.4499999999998</v>
      </c>
      <c r="M331" s="4">
        <f t="shared" si="15"/>
        <v>-1.08</v>
      </c>
      <c r="N331" s="4">
        <f t="shared" si="16"/>
        <v>-217.77000000000044</v>
      </c>
      <c r="O331" s="4">
        <f t="shared" si="17"/>
        <v>-5.2000000000000011</v>
      </c>
      <c r="P331" s="3" t="s">
        <v>19</v>
      </c>
    </row>
    <row r="332" spans="1:16" x14ac:dyDescent="0.35">
      <c r="A332" s="3" t="s">
        <v>35</v>
      </c>
      <c r="B332" s="3" t="str">
        <f>INDEX(State_Region!$B$2:$B$26,MATCH(TRIM(A332),State_Region!$A$2:$A$26,0))</f>
        <v>North</v>
      </c>
      <c r="C332" s="3" t="s">
        <v>165</v>
      </c>
      <c r="D332" s="3" t="str">
        <f>INDEX(Port_Type!$B$2:$B$227,MATCH(TRIM(C332),Port_Type!$A$2:$A$227,0))</f>
        <v>Inland ICD / CFS</v>
      </c>
      <c r="E332" s="3" t="s">
        <v>48</v>
      </c>
      <c r="F332" s="3" t="str">
        <f>INDEX(Product_Category!$B$2:$B$45,MATCH(TRIM(E332),Product_Category!$A$2:$A$45,0))</f>
        <v>Processed Foods</v>
      </c>
      <c r="G332" s="4">
        <v>0.12</v>
      </c>
      <c r="H332" s="4">
        <v>4.97</v>
      </c>
      <c r="I332" s="4">
        <v>2.5</v>
      </c>
      <c r="J332" s="4">
        <v>29.43</v>
      </c>
      <c r="K332" s="4">
        <v>5112.88</v>
      </c>
      <c r="L332" s="4">
        <v>2572.2800000000002</v>
      </c>
      <c r="M332" s="4">
        <f t="shared" si="15"/>
        <v>4.8499999999999996</v>
      </c>
      <c r="N332" s="4">
        <f t="shared" si="16"/>
        <v>5083.45</v>
      </c>
      <c r="O332" s="4">
        <f t="shared" si="17"/>
        <v>-2.4699999999999998</v>
      </c>
      <c r="P332" s="3" t="s">
        <v>19</v>
      </c>
    </row>
    <row r="333" spans="1:16" x14ac:dyDescent="0.35">
      <c r="A333" s="3" t="s">
        <v>57</v>
      </c>
      <c r="B333" s="3" t="str">
        <f>INDEX(State_Region!$B$2:$B$26,MATCH(TRIM(A333),State_Region!$A$2:$A$26,0))</f>
        <v>Central</v>
      </c>
      <c r="C333" s="3" t="s">
        <v>161</v>
      </c>
      <c r="D333" s="3" t="str">
        <f>INDEX(Port_Type!$B$2:$B$227,MATCH(TRIM(C333),Port_Type!$A$2:$A$227,0))</f>
        <v>Inland ICD / CFS</v>
      </c>
      <c r="E333" s="3" t="s">
        <v>33</v>
      </c>
      <c r="F333" s="3" t="str">
        <f>INDEX(Product_Category!$B$2:$B$45,MATCH(TRIM(E333),Product_Category!$A$2:$A$45,0))</f>
        <v>Pulses</v>
      </c>
      <c r="G333" s="4">
        <v>8.8800000000000008</v>
      </c>
      <c r="H333" s="4">
        <v>7.13</v>
      </c>
      <c r="I333" s="4">
        <v>2.48</v>
      </c>
      <c r="J333" s="4">
        <v>6335.74</v>
      </c>
      <c r="K333" s="4">
        <v>6212.69</v>
      </c>
      <c r="L333" s="4">
        <v>2260.5500000000002</v>
      </c>
      <c r="M333" s="4">
        <f t="shared" si="15"/>
        <v>-1.7500000000000009</v>
      </c>
      <c r="N333" s="4">
        <f t="shared" si="16"/>
        <v>-123.05000000000018</v>
      </c>
      <c r="O333" s="4">
        <f t="shared" si="17"/>
        <v>-4.6500000000000004</v>
      </c>
      <c r="P333" s="3" t="s">
        <v>19</v>
      </c>
    </row>
    <row r="334" spans="1:16" x14ac:dyDescent="0.35">
      <c r="A334" s="3" t="s">
        <v>166</v>
      </c>
      <c r="B334" s="3" t="str">
        <f>INDEX(State_Region!$B$2:$B$26,MATCH(TRIM(A334),State_Region!$A$2:$A$26,0))</f>
        <v>West</v>
      </c>
      <c r="C334" s="3" t="s">
        <v>167</v>
      </c>
      <c r="D334" s="3" t="str">
        <f>INDEX(Port_Type!$B$2:$B$227,MATCH(TRIM(C334),Port_Type!$A$2:$A$227,0))</f>
        <v>Inland ICD / CFS</v>
      </c>
      <c r="E334" s="3" t="s">
        <v>60</v>
      </c>
      <c r="F334" s="3" t="str">
        <f>INDEX(Product_Category!$B$2:$B$45,MATCH(TRIM(E334),Product_Category!$A$2:$A$45,0))</f>
        <v>Processed Foods</v>
      </c>
      <c r="G334" s="4">
        <v>5.29</v>
      </c>
      <c r="H334" s="4">
        <v>9.34</v>
      </c>
      <c r="I334" s="4">
        <v>2.4500000000000002</v>
      </c>
      <c r="J334" s="4">
        <v>3450.93</v>
      </c>
      <c r="K334" s="4">
        <v>6219.8</v>
      </c>
      <c r="L334" s="4">
        <v>1736.52</v>
      </c>
      <c r="M334" s="4">
        <f t="shared" si="15"/>
        <v>4.05</v>
      </c>
      <c r="N334" s="4">
        <f t="shared" si="16"/>
        <v>2768.8700000000003</v>
      </c>
      <c r="O334" s="4">
        <f t="shared" si="17"/>
        <v>-6.89</v>
      </c>
      <c r="P334" s="3" t="s">
        <v>19</v>
      </c>
    </row>
    <row r="335" spans="1:16" x14ac:dyDescent="0.35">
      <c r="A335" s="3" t="s">
        <v>35</v>
      </c>
      <c r="B335" s="3" t="str">
        <f>INDEX(State_Region!$B$2:$B$26,MATCH(TRIM(A335),State_Region!$A$2:$A$26,0))</f>
        <v>North</v>
      </c>
      <c r="C335" s="3" t="s">
        <v>47</v>
      </c>
      <c r="D335" s="3" t="str">
        <f>INDEX(Port_Type!$B$2:$B$227,MATCH(TRIM(C335),Port_Type!$A$2:$A$227,0))</f>
        <v>Inland ICD / CFS</v>
      </c>
      <c r="E335" s="3" t="s">
        <v>39</v>
      </c>
      <c r="F335" s="3" t="str">
        <f>INDEX(Product_Category!$B$2:$B$45,MATCH(TRIM(E335),Product_Category!$A$2:$A$45,0))</f>
        <v>Processed Foods</v>
      </c>
      <c r="G335" s="4">
        <v>0.85</v>
      </c>
      <c r="H335" s="4">
        <v>10.4</v>
      </c>
      <c r="I335" s="4">
        <v>2.44</v>
      </c>
      <c r="J335" s="4">
        <v>292.72000000000003</v>
      </c>
      <c r="K335" s="4">
        <v>3719.57</v>
      </c>
      <c r="L335" s="4">
        <v>1067.56</v>
      </c>
      <c r="M335" s="4">
        <f t="shared" si="15"/>
        <v>9.5500000000000007</v>
      </c>
      <c r="N335" s="4">
        <f t="shared" si="16"/>
        <v>3426.8500000000004</v>
      </c>
      <c r="O335" s="4">
        <f t="shared" si="17"/>
        <v>-7.9600000000000009</v>
      </c>
      <c r="P335" s="3" t="s">
        <v>19</v>
      </c>
    </row>
    <row r="336" spans="1:16" x14ac:dyDescent="0.35">
      <c r="A336" s="3" t="s">
        <v>77</v>
      </c>
      <c r="B336" s="3" t="str">
        <f>INDEX(State_Region!$B$2:$B$26,MATCH(TRIM(A336),State_Region!$A$2:$A$26,0))</f>
        <v>South</v>
      </c>
      <c r="C336" s="3" t="s">
        <v>168</v>
      </c>
      <c r="D336" s="3" t="str">
        <f>INDEX(Port_Type!$B$2:$B$227,MATCH(TRIM(C336),Port_Type!$A$2:$A$227,0))</f>
        <v>Air Cargo</v>
      </c>
      <c r="E336" s="3" t="s">
        <v>102</v>
      </c>
      <c r="F336" s="3" t="str">
        <f>INDEX(Product_Category!$B$2:$B$45,MATCH(TRIM(E336),Product_Category!$A$2:$A$45,0))</f>
        <v>Fresh Fruits &amp; Vegetables</v>
      </c>
      <c r="G336" s="4">
        <v>6.87</v>
      </c>
      <c r="H336" s="4">
        <v>8.27</v>
      </c>
      <c r="I336" s="4">
        <v>2.4300000000000002</v>
      </c>
      <c r="J336" s="4">
        <v>7135.13</v>
      </c>
      <c r="K336" s="4">
        <v>8249.9500000000007</v>
      </c>
      <c r="L336" s="4">
        <v>2102.9</v>
      </c>
      <c r="M336" s="4">
        <f t="shared" si="15"/>
        <v>1.3999999999999995</v>
      </c>
      <c r="N336" s="4">
        <f t="shared" si="16"/>
        <v>1114.8200000000006</v>
      </c>
      <c r="O336" s="4">
        <f t="shared" si="17"/>
        <v>-5.84</v>
      </c>
      <c r="P336" s="3" t="s">
        <v>19</v>
      </c>
    </row>
    <row r="337" spans="1:16" x14ac:dyDescent="0.35">
      <c r="A337" s="3" t="s">
        <v>16</v>
      </c>
      <c r="B337" s="3" t="str">
        <f>INDEX(State_Region!$B$2:$B$26,MATCH(TRIM(A337),State_Region!$A$2:$A$26,0))</f>
        <v>West</v>
      </c>
      <c r="C337" s="3" t="s">
        <v>90</v>
      </c>
      <c r="D337" s="3" t="str">
        <f>INDEX(Port_Type!$B$2:$B$227,MATCH(TRIM(C337),Port_Type!$A$2:$A$227,0))</f>
        <v>Inland ICD / CFS</v>
      </c>
      <c r="E337" s="3" t="s">
        <v>72</v>
      </c>
      <c r="F337" s="3" t="str">
        <f>INDEX(Product_Category!$B$2:$B$45,MATCH(TRIM(E337),Product_Category!$A$2:$A$45,0))</f>
        <v>Dairy, Poultry &amp; Honey</v>
      </c>
      <c r="G337" s="4">
        <v>14.64</v>
      </c>
      <c r="H337" s="4">
        <v>9.2200000000000006</v>
      </c>
      <c r="I337" s="4">
        <v>2.41</v>
      </c>
      <c r="J337" s="4">
        <v>4651.29</v>
      </c>
      <c r="K337" s="4">
        <v>3272.66</v>
      </c>
      <c r="L337" s="4">
        <v>1087.8399999999999</v>
      </c>
      <c r="M337" s="4">
        <f t="shared" si="15"/>
        <v>-5.42</v>
      </c>
      <c r="N337" s="4">
        <f t="shared" si="16"/>
        <v>-1378.63</v>
      </c>
      <c r="O337" s="4">
        <f t="shared" si="17"/>
        <v>-6.8100000000000005</v>
      </c>
      <c r="P337" s="3" t="s">
        <v>19</v>
      </c>
    </row>
    <row r="338" spans="1:16" x14ac:dyDescent="0.35">
      <c r="A338" s="3" t="s">
        <v>31</v>
      </c>
      <c r="B338" s="3" t="str">
        <f>INDEX(State_Region!$B$2:$B$26,MATCH(TRIM(A338),State_Region!$A$2:$A$26,0))</f>
        <v>East</v>
      </c>
      <c r="C338" s="3" t="s">
        <v>131</v>
      </c>
      <c r="D338" s="3" t="str">
        <f>INDEX(Port_Type!$B$2:$B$227,MATCH(TRIM(C338),Port_Type!$A$2:$A$227,0))</f>
        <v>Land Border / Rail</v>
      </c>
      <c r="E338" s="3" t="s">
        <v>62</v>
      </c>
      <c r="F338" s="3" t="str">
        <f>INDEX(Product_Category!$B$2:$B$45,MATCH(TRIM(E338),Product_Category!$A$2:$A$45,0))</f>
        <v>Cereals &amp; Grains</v>
      </c>
      <c r="G338" s="4">
        <v>6.21</v>
      </c>
      <c r="H338" s="4">
        <v>7.72</v>
      </c>
      <c r="I338" s="4">
        <v>2.39</v>
      </c>
      <c r="J338" s="4">
        <v>22585.66</v>
      </c>
      <c r="K338" s="4">
        <v>30954.02</v>
      </c>
      <c r="L338" s="4">
        <v>11114.17</v>
      </c>
      <c r="M338" s="4">
        <f t="shared" si="15"/>
        <v>1.5099999999999998</v>
      </c>
      <c r="N338" s="4">
        <f t="shared" si="16"/>
        <v>8368.36</v>
      </c>
      <c r="O338" s="4">
        <f t="shared" si="17"/>
        <v>-5.33</v>
      </c>
      <c r="P338" s="3" t="s">
        <v>19</v>
      </c>
    </row>
    <row r="339" spans="1:16" x14ac:dyDescent="0.35">
      <c r="A339" s="3" t="s">
        <v>31</v>
      </c>
      <c r="B339" s="3" t="str">
        <f>INDEX(State_Region!$B$2:$B$26,MATCH(TRIM(A339),State_Region!$A$2:$A$26,0))</f>
        <v>East</v>
      </c>
      <c r="C339" s="3" t="s">
        <v>169</v>
      </c>
      <c r="D339" s="3" t="str">
        <f>INDEX(Port_Type!$B$2:$B$227,MATCH(TRIM(C339),Port_Type!$A$2:$A$227,0))</f>
        <v>Land Border / Rail</v>
      </c>
      <c r="E339" s="3" t="s">
        <v>62</v>
      </c>
      <c r="F339" s="3" t="str">
        <f>INDEX(Product_Category!$B$2:$B$45,MATCH(TRIM(E339),Product_Category!$A$2:$A$45,0))</f>
        <v>Cereals &amp; Grains</v>
      </c>
      <c r="G339" s="4">
        <v>7.74</v>
      </c>
      <c r="H339" s="4">
        <v>7.71</v>
      </c>
      <c r="I339" s="4">
        <v>2.37</v>
      </c>
      <c r="J339" s="4">
        <v>29313.16</v>
      </c>
      <c r="K339" s="4">
        <v>30469.72</v>
      </c>
      <c r="L339" s="4">
        <v>11357.41</v>
      </c>
      <c r="M339" s="4">
        <f t="shared" si="15"/>
        <v>-3.0000000000000249E-2</v>
      </c>
      <c r="N339" s="4">
        <f t="shared" si="16"/>
        <v>1156.5600000000013</v>
      </c>
      <c r="O339" s="4">
        <f t="shared" si="17"/>
        <v>-5.34</v>
      </c>
      <c r="P339" s="3" t="s">
        <v>19</v>
      </c>
    </row>
    <row r="340" spans="1:16" x14ac:dyDescent="0.35">
      <c r="A340" s="3" t="s">
        <v>16</v>
      </c>
      <c r="B340" s="3" t="str">
        <f>INDEX(State_Region!$B$2:$B$26,MATCH(TRIM(A340),State_Region!$A$2:$A$26,0))</f>
        <v>West</v>
      </c>
      <c r="C340" s="3" t="s">
        <v>90</v>
      </c>
      <c r="D340" s="3" t="str">
        <f>INDEX(Port_Type!$B$2:$B$227,MATCH(TRIM(C340),Port_Type!$A$2:$A$227,0))</f>
        <v>Inland ICD / CFS</v>
      </c>
      <c r="E340" s="3" t="s">
        <v>33</v>
      </c>
      <c r="F340" s="3" t="str">
        <f>INDEX(Product_Category!$B$2:$B$45,MATCH(TRIM(E340),Product_Category!$A$2:$A$45,0))</f>
        <v>Pulses</v>
      </c>
      <c r="G340" s="4">
        <v>3.82</v>
      </c>
      <c r="H340" s="4">
        <v>5.88</v>
      </c>
      <c r="I340" s="4">
        <v>2.36</v>
      </c>
      <c r="J340" s="4">
        <v>2497.09</v>
      </c>
      <c r="K340" s="4">
        <v>4438.22</v>
      </c>
      <c r="L340" s="4">
        <v>1710.79</v>
      </c>
      <c r="M340" s="4">
        <f t="shared" si="15"/>
        <v>2.06</v>
      </c>
      <c r="N340" s="4">
        <f t="shared" si="16"/>
        <v>1941.13</v>
      </c>
      <c r="O340" s="4">
        <f t="shared" si="17"/>
        <v>-3.52</v>
      </c>
      <c r="P340" s="3" t="s">
        <v>19</v>
      </c>
    </row>
    <row r="341" spans="1:16" x14ac:dyDescent="0.35">
      <c r="A341" s="3" t="s">
        <v>35</v>
      </c>
      <c r="B341" s="3" t="str">
        <f>INDEX(State_Region!$B$2:$B$26,MATCH(TRIM(A341),State_Region!$A$2:$A$26,0))</f>
        <v>North</v>
      </c>
      <c r="C341" s="3" t="s">
        <v>88</v>
      </c>
      <c r="D341" s="3" t="str">
        <f>INDEX(Port_Type!$B$2:$B$227,MATCH(TRIM(C341),Port_Type!$A$2:$A$227,0))</f>
        <v>Inland ICD / CFS</v>
      </c>
      <c r="E341" s="3" t="s">
        <v>48</v>
      </c>
      <c r="F341" s="3" t="str">
        <f>INDEX(Product_Category!$B$2:$B$45,MATCH(TRIM(E341),Product_Category!$A$2:$A$45,0))</f>
        <v>Processed Foods</v>
      </c>
      <c r="G341" s="4">
        <v>3.15</v>
      </c>
      <c r="H341" s="4">
        <v>6.11</v>
      </c>
      <c r="I341" s="4">
        <v>2.36</v>
      </c>
      <c r="J341" s="4">
        <v>3025.86</v>
      </c>
      <c r="K341" s="4">
        <v>6985.18</v>
      </c>
      <c r="L341" s="4">
        <v>2840.06</v>
      </c>
      <c r="M341" s="4">
        <f t="shared" si="15"/>
        <v>2.9600000000000004</v>
      </c>
      <c r="N341" s="4">
        <f t="shared" si="16"/>
        <v>3959.32</v>
      </c>
      <c r="O341" s="4">
        <f t="shared" si="17"/>
        <v>-3.7500000000000004</v>
      </c>
      <c r="P341" s="3" t="s">
        <v>19</v>
      </c>
    </row>
    <row r="342" spans="1:16" x14ac:dyDescent="0.35">
      <c r="A342" s="3" t="s">
        <v>40</v>
      </c>
      <c r="B342" s="3" t="str">
        <f>INDEX(State_Region!$B$2:$B$26,MATCH(TRIM(A342),State_Region!$A$2:$A$26,0))</f>
        <v>South</v>
      </c>
      <c r="C342" s="3" t="s">
        <v>64</v>
      </c>
      <c r="D342" s="3" t="str">
        <f>INDEX(Port_Type!$B$2:$B$227,MATCH(TRIM(C342),Port_Type!$A$2:$A$227,0))</f>
        <v>Inland ICD / CFS</v>
      </c>
      <c r="E342" s="3" t="s">
        <v>81</v>
      </c>
      <c r="F342" s="3" t="str">
        <f>INDEX(Product_Category!$B$2:$B$45,MATCH(TRIM(E342),Product_Category!$A$2:$A$45,0))</f>
        <v>Processed Foods</v>
      </c>
      <c r="G342" s="4">
        <v>2.73</v>
      </c>
      <c r="H342" s="4">
        <v>6.44</v>
      </c>
      <c r="I342" s="4">
        <v>2.36</v>
      </c>
      <c r="J342" s="4">
        <v>2584.9299999999998</v>
      </c>
      <c r="K342" s="4">
        <v>5506.8</v>
      </c>
      <c r="L342" s="4">
        <v>2235.13</v>
      </c>
      <c r="M342" s="4">
        <f t="shared" si="15"/>
        <v>3.7100000000000004</v>
      </c>
      <c r="N342" s="4">
        <f t="shared" si="16"/>
        <v>2921.8700000000003</v>
      </c>
      <c r="O342" s="4">
        <f t="shared" si="17"/>
        <v>-4.08</v>
      </c>
      <c r="P342" s="3" t="s">
        <v>19</v>
      </c>
    </row>
    <row r="343" spans="1:16" x14ac:dyDescent="0.35">
      <c r="A343" s="3" t="s">
        <v>23</v>
      </c>
      <c r="B343" s="3" t="str">
        <f>INDEX(State_Region!$B$2:$B$26,MATCH(TRIM(A343),State_Region!$A$2:$A$26,0))</f>
        <v>North</v>
      </c>
      <c r="C343" s="3" t="s">
        <v>138</v>
      </c>
      <c r="D343" s="3" t="str">
        <f>INDEX(Port_Type!$B$2:$B$227,MATCH(TRIM(C343),Port_Type!$A$2:$A$227,0))</f>
        <v>Inland ICD / CFS</v>
      </c>
      <c r="E343" s="3" t="s">
        <v>18</v>
      </c>
      <c r="F343" s="3" t="str">
        <f>INDEX(Product_Category!$B$2:$B$45,MATCH(TRIM(E343),Product_Category!$A$2:$A$45,0))</f>
        <v>Cereals &amp; Grains</v>
      </c>
      <c r="G343" s="4">
        <v>0</v>
      </c>
      <c r="H343" s="4">
        <v>13.38</v>
      </c>
      <c r="I343" s="4">
        <v>2.35</v>
      </c>
      <c r="J343" s="4">
        <v>0</v>
      </c>
      <c r="K343" s="4">
        <v>15230.09</v>
      </c>
      <c r="L343" s="4">
        <v>2285.5100000000002</v>
      </c>
      <c r="M343" s="4">
        <f t="shared" si="15"/>
        <v>13.38</v>
      </c>
      <c r="N343" s="4">
        <f t="shared" si="16"/>
        <v>15230.09</v>
      </c>
      <c r="O343" s="4">
        <f t="shared" si="17"/>
        <v>-11.030000000000001</v>
      </c>
      <c r="P343" s="3" t="s">
        <v>19</v>
      </c>
    </row>
    <row r="344" spans="1:16" x14ac:dyDescent="0.35">
      <c r="A344" s="3" t="s">
        <v>40</v>
      </c>
      <c r="B344" s="3" t="str">
        <f>INDEX(State_Region!$B$2:$B$26,MATCH(TRIM(A344),State_Region!$A$2:$A$26,0))</f>
        <v>South</v>
      </c>
      <c r="C344" s="3" t="s">
        <v>164</v>
      </c>
      <c r="D344" s="3" t="str">
        <f>INDEX(Port_Type!$B$2:$B$227,MATCH(TRIM(C344),Port_Type!$A$2:$A$227,0))</f>
        <v>Air Cargo</v>
      </c>
      <c r="E344" s="3" t="s">
        <v>39</v>
      </c>
      <c r="F344" s="3" t="str">
        <f>INDEX(Product_Category!$B$2:$B$45,MATCH(TRIM(E344),Product_Category!$A$2:$A$45,0))</f>
        <v>Processed Foods</v>
      </c>
      <c r="G344" s="4">
        <v>7.12</v>
      </c>
      <c r="H344" s="4">
        <v>6.69</v>
      </c>
      <c r="I344" s="4">
        <v>2.35</v>
      </c>
      <c r="J344" s="4">
        <v>450.64</v>
      </c>
      <c r="K344" s="4">
        <v>414.89</v>
      </c>
      <c r="L344" s="4">
        <v>158.99</v>
      </c>
      <c r="M344" s="4">
        <f t="shared" si="15"/>
        <v>-0.42999999999999972</v>
      </c>
      <c r="N344" s="4">
        <f t="shared" si="16"/>
        <v>-35.75</v>
      </c>
      <c r="O344" s="4">
        <f t="shared" si="17"/>
        <v>-4.34</v>
      </c>
      <c r="P344" s="3" t="s">
        <v>19</v>
      </c>
    </row>
    <row r="345" spans="1:16" x14ac:dyDescent="0.35">
      <c r="A345" s="3" t="s">
        <v>23</v>
      </c>
      <c r="B345" s="3" t="str">
        <f>INDEX(State_Region!$B$2:$B$26,MATCH(TRIM(A345),State_Region!$A$2:$A$26,0))</f>
        <v>North</v>
      </c>
      <c r="C345" s="3" t="s">
        <v>124</v>
      </c>
      <c r="D345" s="3" t="str">
        <f>INDEX(Port_Type!$B$2:$B$227,MATCH(TRIM(C345),Port_Type!$A$2:$A$227,0))</f>
        <v>Inland ICD / CFS</v>
      </c>
      <c r="E345" s="3" t="s">
        <v>18</v>
      </c>
      <c r="F345" s="3" t="str">
        <f>INDEX(Product_Category!$B$2:$B$45,MATCH(TRIM(E345),Product_Category!$A$2:$A$45,0))</f>
        <v>Cereals &amp; Grains</v>
      </c>
      <c r="G345" s="4">
        <v>0</v>
      </c>
      <c r="H345" s="4">
        <v>2.2599999999999998</v>
      </c>
      <c r="I345" s="4">
        <v>2.34</v>
      </c>
      <c r="J345" s="4">
        <v>0</v>
      </c>
      <c r="K345" s="4">
        <v>2812.95</v>
      </c>
      <c r="L345" s="4">
        <v>2429</v>
      </c>
      <c r="M345" s="4">
        <f t="shared" si="15"/>
        <v>2.2599999999999998</v>
      </c>
      <c r="N345" s="4">
        <f t="shared" si="16"/>
        <v>2812.95</v>
      </c>
      <c r="O345" s="4">
        <f t="shared" si="17"/>
        <v>8.0000000000000071E-2</v>
      </c>
      <c r="P345" s="3" t="s">
        <v>19</v>
      </c>
    </row>
    <row r="346" spans="1:16" x14ac:dyDescent="0.35">
      <c r="A346" s="3" t="s">
        <v>79</v>
      </c>
      <c r="B346" s="3" t="str">
        <f>INDEX(State_Region!$B$2:$B$26,MATCH(TRIM(A346),State_Region!$A$2:$A$26,0))</f>
        <v>South</v>
      </c>
      <c r="C346" s="3" t="s">
        <v>80</v>
      </c>
      <c r="D346" s="3" t="str">
        <f>INDEX(Port_Type!$B$2:$B$227,MATCH(TRIM(C346),Port_Type!$A$2:$A$227,0))</f>
        <v>Inland ICD / CFS</v>
      </c>
      <c r="E346" s="3" t="s">
        <v>54</v>
      </c>
      <c r="F346" s="3" t="str">
        <f>INDEX(Product_Category!$B$2:$B$45,MATCH(TRIM(E346),Product_Category!$A$2:$A$45,0))</f>
        <v>Processed Foods</v>
      </c>
      <c r="G346" s="4">
        <v>10.87</v>
      </c>
      <c r="H346" s="4">
        <v>7.04</v>
      </c>
      <c r="I346" s="4">
        <v>2.33</v>
      </c>
      <c r="J346" s="4">
        <v>7626.32</v>
      </c>
      <c r="K346" s="4">
        <v>4262.26</v>
      </c>
      <c r="L346" s="4">
        <v>2053.6999999999998</v>
      </c>
      <c r="M346" s="4">
        <f t="shared" si="15"/>
        <v>-3.8299999999999992</v>
      </c>
      <c r="N346" s="4">
        <f t="shared" si="16"/>
        <v>-3364.0599999999995</v>
      </c>
      <c r="O346" s="4">
        <f t="shared" si="17"/>
        <v>-4.71</v>
      </c>
      <c r="P346" s="3" t="s">
        <v>19</v>
      </c>
    </row>
    <row r="347" spans="1:16" x14ac:dyDescent="0.35">
      <c r="A347" s="3" t="s">
        <v>23</v>
      </c>
      <c r="B347" s="3" t="str">
        <f>INDEX(State_Region!$B$2:$B$26,MATCH(TRIM(A347),State_Region!$A$2:$A$26,0))</f>
        <v>North</v>
      </c>
      <c r="C347" s="3" t="s">
        <v>123</v>
      </c>
      <c r="D347" s="3" t="str">
        <f>INDEX(Port_Type!$B$2:$B$227,MATCH(TRIM(C347),Port_Type!$A$2:$A$227,0))</f>
        <v>Land Border / Rail</v>
      </c>
      <c r="E347" s="3" t="s">
        <v>102</v>
      </c>
      <c r="F347" s="3" t="str">
        <f>INDEX(Product_Category!$B$2:$B$45,MATCH(TRIM(E347),Product_Category!$A$2:$A$45,0))</f>
        <v>Fresh Fruits &amp; Vegetables</v>
      </c>
      <c r="G347" s="4">
        <v>11.15</v>
      </c>
      <c r="H347" s="4">
        <v>12.9</v>
      </c>
      <c r="I347" s="4">
        <v>2.31</v>
      </c>
      <c r="J347" s="4">
        <v>95247.87</v>
      </c>
      <c r="K347" s="4">
        <v>114007.47</v>
      </c>
      <c r="L347" s="4">
        <v>23110.73</v>
      </c>
      <c r="M347" s="4">
        <f t="shared" si="15"/>
        <v>1.75</v>
      </c>
      <c r="N347" s="4">
        <f t="shared" si="16"/>
        <v>18759.600000000006</v>
      </c>
      <c r="O347" s="4">
        <f t="shared" si="17"/>
        <v>-10.59</v>
      </c>
      <c r="P347" s="3" t="s">
        <v>19</v>
      </c>
    </row>
    <row r="348" spans="1:16" x14ac:dyDescent="0.35">
      <c r="A348" s="3" t="s">
        <v>31</v>
      </c>
      <c r="B348" s="3" t="str">
        <f>INDEX(State_Region!$B$2:$B$26,MATCH(TRIM(A348),State_Region!$A$2:$A$26,0))</f>
        <v>East</v>
      </c>
      <c r="C348" s="3" t="s">
        <v>141</v>
      </c>
      <c r="D348" s="3" t="str">
        <f>INDEX(Port_Type!$B$2:$B$227,MATCH(TRIM(C348),Port_Type!$A$2:$A$227,0))</f>
        <v>Land Border / Rail</v>
      </c>
      <c r="E348" s="3" t="s">
        <v>39</v>
      </c>
      <c r="F348" s="3" t="str">
        <f>INDEX(Product_Category!$B$2:$B$45,MATCH(TRIM(E348),Product_Category!$A$2:$A$45,0))</f>
        <v>Processed Foods</v>
      </c>
      <c r="G348" s="4">
        <v>7.42</v>
      </c>
      <c r="H348" s="4">
        <v>6.12</v>
      </c>
      <c r="I348" s="4">
        <v>2.31</v>
      </c>
      <c r="J348" s="4">
        <v>1442.73</v>
      </c>
      <c r="K348" s="4">
        <v>1118.2</v>
      </c>
      <c r="L348" s="4">
        <v>673.12</v>
      </c>
      <c r="M348" s="4">
        <f t="shared" si="15"/>
        <v>-1.2999999999999998</v>
      </c>
      <c r="N348" s="4">
        <f t="shared" si="16"/>
        <v>-324.52999999999997</v>
      </c>
      <c r="O348" s="4">
        <f t="shared" si="17"/>
        <v>-3.81</v>
      </c>
      <c r="P348" s="3" t="s">
        <v>19</v>
      </c>
    </row>
    <row r="349" spans="1:16" x14ac:dyDescent="0.35">
      <c r="A349" s="3" t="s">
        <v>40</v>
      </c>
      <c r="B349" s="3" t="str">
        <f>INDEX(State_Region!$B$2:$B$26,MATCH(TRIM(A349),State_Region!$A$2:$A$26,0))</f>
        <v>South</v>
      </c>
      <c r="C349" s="3" t="s">
        <v>117</v>
      </c>
      <c r="D349" s="3" t="str">
        <f>INDEX(Port_Type!$B$2:$B$227,MATCH(TRIM(C349),Port_Type!$A$2:$A$227,0))</f>
        <v>Sea Port</v>
      </c>
      <c r="E349" s="3" t="s">
        <v>102</v>
      </c>
      <c r="F349" s="3" t="str">
        <f>INDEX(Product_Category!$B$2:$B$45,MATCH(TRIM(E349),Product_Category!$A$2:$A$45,0))</f>
        <v>Fresh Fruits &amp; Vegetables</v>
      </c>
      <c r="G349" s="4">
        <v>3.83</v>
      </c>
      <c r="H349" s="4">
        <v>8.15</v>
      </c>
      <c r="I349" s="4">
        <v>2.31</v>
      </c>
      <c r="J349" s="4">
        <v>4451.7700000000004</v>
      </c>
      <c r="K349" s="4">
        <v>10174.17</v>
      </c>
      <c r="L349" s="4">
        <v>2928.25</v>
      </c>
      <c r="M349" s="4">
        <f t="shared" si="15"/>
        <v>4.32</v>
      </c>
      <c r="N349" s="4">
        <f t="shared" si="16"/>
        <v>5722.4</v>
      </c>
      <c r="O349" s="4">
        <f t="shared" si="17"/>
        <v>-5.84</v>
      </c>
      <c r="P349" s="3" t="s">
        <v>19</v>
      </c>
    </row>
    <row r="350" spans="1:16" x14ac:dyDescent="0.35">
      <c r="A350" s="3" t="s">
        <v>129</v>
      </c>
      <c r="B350" s="3" t="str">
        <f>INDEX(State_Region!$B$2:$B$26,MATCH(TRIM(A350),State_Region!$A$2:$A$26,0))</f>
        <v>East</v>
      </c>
      <c r="C350" s="3" t="s">
        <v>147</v>
      </c>
      <c r="D350" s="3" t="str">
        <f>INDEX(Port_Type!$B$2:$B$227,MATCH(TRIM(C350),Port_Type!$A$2:$A$227,0))</f>
        <v>Land Border / Rail</v>
      </c>
      <c r="E350" s="3" t="s">
        <v>39</v>
      </c>
      <c r="F350" s="3" t="str">
        <f>INDEX(Product_Category!$B$2:$B$45,MATCH(TRIM(E350),Product_Category!$A$2:$A$45,0))</f>
        <v>Processed Foods</v>
      </c>
      <c r="G350" s="4">
        <v>6.7</v>
      </c>
      <c r="H350" s="4">
        <v>7.26</v>
      </c>
      <c r="I350" s="4">
        <v>2.2999999999999998</v>
      </c>
      <c r="J350" s="4">
        <v>12279.4</v>
      </c>
      <c r="K350" s="4">
        <v>14929.75</v>
      </c>
      <c r="L350" s="4">
        <v>5061.34</v>
      </c>
      <c r="M350" s="4">
        <f t="shared" si="15"/>
        <v>0.55999999999999961</v>
      </c>
      <c r="N350" s="4">
        <f t="shared" si="16"/>
        <v>2650.3500000000004</v>
      </c>
      <c r="O350" s="4">
        <f t="shared" si="17"/>
        <v>-4.96</v>
      </c>
      <c r="P350" s="3" t="s">
        <v>19</v>
      </c>
    </row>
    <row r="351" spans="1:16" x14ac:dyDescent="0.35">
      <c r="A351" s="3" t="s">
        <v>20</v>
      </c>
      <c r="B351" s="3" t="str">
        <f>INDEX(State_Region!$B$2:$B$26,MATCH(TRIM(A351),State_Region!$A$2:$A$26,0))</f>
        <v>West</v>
      </c>
      <c r="C351" s="3" t="s">
        <v>21</v>
      </c>
      <c r="D351" s="3" t="str">
        <f>INDEX(Port_Type!$B$2:$B$227,MATCH(TRIM(C351),Port_Type!$A$2:$A$227,0))</f>
        <v>Sea Port</v>
      </c>
      <c r="E351" s="3" t="s">
        <v>170</v>
      </c>
      <c r="F351" s="3" t="str">
        <f>INDEX(Product_Category!$B$2:$B$45,MATCH(TRIM(E351),Product_Category!$A$2:$A$45,0))</f>
        <v>Others</v>
      </c>
      <c r="G351" s="4">
        <v>1.84</v>
      </c>
      <c r="H351" s="4">
        <v>4.03</v>
      </c>
      <c r="I351" s="4">
        <v>2.2999999999999998</v>
      </c>
      <c r="J351" s="4">
        <v>249.44</v>
      </c>
      <c r="K351" s="4">
        <v>1101.52</v>
      </c>
      <c r="L351" s="4">
        <v>1063.6300000000001</v>
      </c>
      <c r="M351" s="4">
        <f t="shared" si="15"/>
        <v>2.1900000000000004</v>
      </c>
      <c r="N351" s="4">
        <f t="shared" si="16"/>
        <v>852.07999999999993</v>
      </c>
      <c r="O351" s="4">
        <f t="shared" si="17"/>
        <v>-1.7300000000000004</v>
      </c>
      <c r="P351" s="3" t="s">
        <v>19</v>
      </c>
    </row>
    <row r="352" spans="1:16" x14ac:dyDescent="0.35">
      <c r="A352" s="3" t="s">
        <v>20</v>
      </c>
      <c r="B352" s="3" t="str">
        <f>INDEX(State_Region!$B$2:$B$26,MATCH(TRIM(A352),State_Region!$A$2:$A$26,0))</f>
        <v>West</v>
      </c>
      <c r="C352" s="3" t="s">
        <v>156</v>
      </c>
      <c r="D352" s="3" t="str">
        <f>INDEX(Port_Type!$B$2:$B$227,MATCH(TRIM(C352),Port_Type!$A$2:$A$227,0))</f>
        <v>Sea Port</v>
      </c>
      <c r="E352" s="3" t="s">
        <v>45</v>
      </c>
      <c r="F352" s="3" t="str">
        <f>INDEX(Product_Category!$B$2:$B$45,MATCH(TRIM(E352),Product_Category!$A$2:$A$45,0))</f>
        <v>Fresh Fruits &amp; Vegetables</v>
      </c>
      <c r="G352" s="4">
        <v>0</v>
      </c>
      <c r="H352" s="4">
        <v>1.57</v>
      </c>
      <c r="I352" s="4">
        <v>2.2999999999999998</v>
      </c>
      <c r="J352" s="4">
        <v>0</v>
      </c>
      <c r="K352" s="4">
        <v>217.47</v>
      </c>
      <c r="L352" s="4">
        <v>368.71</v>
      </c>
      <c r="M352" s="4">
        <f t="shared" si="15"/>
        <v>1.57</v>
      </c>
      <c r="N352" s="4">
        <f t="shared" si="16"/>
        <v>217.47</v>
      </c>
      <c r="O352" s="4">
        <f t="shared" si="17"/>
        <v>0.72999999999999976</v>
      </c>
      <c r="P352" s="3" t="s">
        <v>19</v>
      </c>
    </row>
    <row r="353" spans="1:16" x14ac:dyDescent="0.35">
      <c r="A353" s="3" t="s">
        <v>66</v>
      </c>
      <c r="B353" s="3" t="str">
        <f>INDEX(State_Region!$B$2:$B$26,MATCH(TRIM(A353),State_Region!$A$2:$A$26,0))</f>
        <v>North</v>
      </c>
      <c r="C353" s="3" t="s">
        <v>127</v>
      </c>
      <c r="D353" s="3" t="str">
        <f>INDEX(Port_Type!$B$2:$B$227,MATCH(TRIM(C353),Port_Type!$A$2:$A$227,0))</f>
        <v>Inland ICD / CFS</v>
      </c>
      <c r="E353" s="3" t="s">
        <v>118</v>
      </c>
      <c r="F353" s="3" t="str">
        <f>INDEX(Product_Category!$B$2:$B$45,MATCH(TRIM(E353),Product_Category!$A$2:$A$45,0))</f>
        <v>Dairy, Poultry &amp; Honey</v>
      </c>
      <c r="G353" s="4">
        <v>4.9400000000000004</v>
      </c>
      <c r="H353" s="4">
        <v>6.99</v>
      </c>
      <c r="I353" s="4">
        <v>2.29</v>
      </c>
      <c r="J353" s="4">
        <v>3311.54</v>
      </c>
      <c r="K353" s="4">
        <v>3453.41</v>
      </c>
      <c r="L353" s="4">
        <v>1231.05</v>
      </c>
      <c r="M353" s="4">
        <f t="shared" si="15"/>
        <v>2.0499999999999998</v>
      </c>
      <c r="N353" s="4">
        <f t="shared" si="16"/>
        <v>141.86999999999989</v>
      </c>
      <c r="O353" s="4">
        <f t="shared" si="17"/>
        <v>-4.7</v>
      </c>
      <c r="P353" s="3" t="s">
        <v>19</v>
      </c>
    </row>
    <row r="354" spans="1:16" x14ac:dyDescent="0.35">
      <c r="A354" s="3" t="s">
        <v>40</v>
      </c>
      <c r="B354" s="3" t="str">
        <f>INDEX(State_Region!$B$2:$B$26,MATCH(TRIM(A354),State_Region!$A$2:$A$26,0))</f>
        <v>South</v>
      </c>
      <c r="C354" s="3" t="s">
        <v>41</v>
      </c>
      <c r="D354" s="3" t="str">
        <f>INDEX(Port_Type!$B$2:$B$227,MATCH(TRIM(C354),Port_Type!$A$2:$A$227,0))</f>
        <v>Sea Port</v>
      </c>
      <c r="E354" s="3" t="s">
        <v>45</v>
      </c>
      <c r="F354" s="3" t="str">
        <f>INDEX(Product_Category!$B$2:$B$45,MATCH(TRIM(E354),Product_Category!$A$2:$A$45,0))</f>
        <v>Fresh Fruits &amp; Vegetables</v>
      </c>
      <c r="G354" s="4">
        <v>3.78</v>
      </c>
      <c r="H354" s="4">
        <v>5.45</v>
      </c>
      <c r="I354" s="4">
        <v>2.29</v>
      </c>
      <c r="J354" s="4">
        <v>2878.88</v>
      </c>
      <c r="K354" s="4">
        <v>4725.05</v>
      </c>
      <c r="L354" s="4">
        <v>2499.85</v>
      </c>
      <c r="M354" s="4">
        <f t="shared" si="15"/>
        <v>1.6700000000000004</v>
      </c>
      <c r="N354" s="4">
        <f t="shared" si="16"/>
        <v>1846.17</v>
      </c>
      <c r="O354" s="4">
        <f t="shared" si="17"/>
        <v>-3.16</v>
      </c>
      <c r="P354" s="3" t="s">
        <v>19</v>
      </c>
    </row>
    <row r="355" spans="1:16" x14ac:dyDescent="0.35">
      <c r="A355" s="3" t="s">
        <v>94</v>
      </c>
      <c r="B355" s="3" t="str">
        <f>INDEX(State_Region!$B$2:$B$26,MATCH(TRIM(A355),State_Region!$A$2:$A$26,0))</f>
        <v>East</v>
      </c>
      <c r="C355" s="3" t="s">
        <v>95</v>
      </c>
      <c r="D355" s="3" t="str">
        <f>INDEX(Port_Type!$B$2:$B$227,MATCH(TRIM(C355),Port_Type!$A$2:$A$227,0))</f>
        <v>Land Border / Rail</v>
      </c>
      <c r="E355" s="3" t="s">
        <v>45</v>
      </c>
      <c r="F355" s="3" t="str">
        <f>INDEX(Product_Category!$B$2:$B$45,MATCH(TRIM(E355),Product_Category!$A$2:$A$45,0))</f>
        <v>Fresh Fruits &amp; Vegetables</v>
      </c>
      <c r="G355" s="4">
        <v>6.01</v>
      </c>
      <c r="H355" s="4">
        <v>8.6999999999999993</v>
      </c>
      <c r="I355" s="4">
        <v>2.2599999999999998</v>
      </c>
      <c r="J355" s="4">
        <v>17529.84</v>
      </c>
      <c r="K355" s="4">
        <v>27412.14</v>
      </c>
      <c r="L355" s="4">
        <v>6955.6</v>
      </c>
      <c r="M355" s="4">
        <f t="shared" si="15"/>
        <v>2.6899999999999995</v>
      </c>
      <c r="N355" s="4">
        <f t="shared" si="16"/>
        <v>9882.2999999999993</v>
      </c>
      <c r="O355" s="4">
        <f t="shared" si="17"/>
        <v>-6.4399999999999995</v>
      </c>
      <c r="P355" s="3" t="s">
        <v>19</v>
      </c>
    </row>
    <row r="356" spans="1:16" x14ac:dyDescent="0.35">
      <c r="A356" s="3" t="s">
        <v>31</v>
      </c>
      <c r="B356" s="3" t="str">
        <f>INDEX(State_Region!$B$2:$B$26,MATCH(TRIM(A356),State_Region!$A$2:$A$26,0))</f>
        <v>East</v>
      </c>
      <c r="C356" s="3" t="s">
        <v>32</v>
      </c>
      <c r="D356" s="3" t="str">
        <f>INDEX(Port_Type!$B$2:$B$227,MATCH(TRIM(C356),Port_Type!$A$2:$A$227,0))</f>
        <v>Sea Port</v>
      </c>
      <c r="E356" s="3" t="s">
        <v>54</v>
      </c>
      <c r="F356" s="3" t="str">
        <f>INDEX(Product_Category!$B$2:$B$45,MATCH(TRIM(E356),Product_Category!$A$2:$A$45,0))</f>
        <v>Processed Foods</v>
      </c>
      <c r="G356" s="4">
        <v>6.68</v>
      </c>
      <c r="H356" s="4">
        <v>6.96</v>
      </c>
      <c r="I356" s="4">
        <v>2.21</v>
      </c>
      <c r="J356" s="4">
        <v>5468.79</v>
      </c>
      <c r="K356" s="4">
        <v>6445.12</v>
      </c>
      <c r="L356" s="4">
        <v>1990.34</v>
      </c>
      <c r="M356" s="4">
        <f t="shared" si="15"/>
        <v>0.28000000000000025</v>
      </c>
      <c r="N356" s="4">
        <f t="shared" si="16"/>
        <v>976.32999999999993</v>
      </c>
      <c r="O356" s="4">
        <f t="shared" si="17"/>
        <v>-4.75</v>
      </c>
      <c r="P356" s="3" t="s">
        <v>19</v>
      </c>
    </row>
    <row r="357" spans="1:16" x14ac:dyDescent="0.35">
      <c r="A357" s="3" t="s">
        <v>77</v>
      </c>
      <c r="B357" s="3" t="str">
        <f>INDEX(State_Region!$B$2:$B$26,MATCH(TRIM(A357),State_Region!$A$2:$A$26,0))</f>
        <v>South</v>
      </c>
      <c r="C357" s="3" t="s">
        <v>78</v>
      </c>
      <c r="D357" s="3" t="str">
        <f>INDEX(Port_Type!$B$2:$B$227,MATCH(TRIM(C357),Port_Type!$A$2:$A$227,0))</f>
        <v>Sea Port</v>
      </c>
      <c r="E357" s="3" t="s">
        <v>53</v>
      </c>
      <c r="F357" s="3" t="str">
        <f>INDEX(Product_Category!$B$2:$B$45,MATCH(TRIM(E357),Product_Category!$A$2:$A$45,0))</f>
        <v>Processed Foods</v>
      </c>
      <c r="G357" s="4">
        <v>6.45</v>
      </c>
      <c r="H357" s="4">
        <v>6.91</v>
      </c>
      <c r="I357" s="4">
        <v>2.21</v>
      </c>
      <c r="J357" s="4">
        <v>5520.8</v>
      </c>
      <c r="K357" s="4">
        <v>5586.74</v>
      </c>
      <c r="L357" s="4">
        <v>1626.84</v>
      </c>
      <c r="M357" s="4">
        <f t="shared" si="15"/>
        <v>0.45999999999999996</v>
      </c>
      <c r="N357" s="4">
        <f t="shared" si="16"/>
        <v>65.9399999999996</v>
      </c>
      <c r="O357" s="4">
        <f t="shared" si="17"/>
        <v>-4.7</v>
      </c>
      <c r="P357" s="3" t="s">
        <v>19</v>
      </c>
    </row>
    <row r="358" spans="1:16" x14ac:dyDescent="0.35">
      <c r="A358" s="3" t="s">
        <v>77</v>
      </c>
      <c r="B358" s="3" t="str">
        <f>INDEX(State_Region!$B$2:$B$26,MATCH(TRIM(A358),State_Region!$A$2:$A$26,0))</f>
        <v>South</v>
      </c>
      <c r="C358" s="3" t="s">
        <v>149</v>
      </c>
      <c r="D358" s="3" t="str">
        <f>INDEX(Port_Type!$B$2:$B$227,MATCH(TRIM(C358),Port_Type!$A$2:$A$227,0))</f>
        <v>SEZ / EPZ</v>
      </c>
      <c r="E358" s="3" t="s">
        <v>84</v>
      </c>
      <c r="F358" s="3" t="str">
        <f>INDEX(Product_Category!$B$2:$B$45,MATCH(TRIM(E358),Product_Category!$A$2:$A$45,0))</f>
        <v>Nuts &amp; Oilseeds</v>
      </c>
      <c r="G358" s="4">
        <v>8.98</v>
      </c>
      <c r="H358" s="4">
        <v>17.54</v>
      </c>
      <c r="I358" s="4">
        <v>2.19</v>
      </c>
      <c r="J358" s="4">
        <v>1178.6199999999999</v>
      </c>
      <c r="K358" s="4">
        <v>2036.87</v>
      </c>
      <c r="L358" s="4">
        <v>299.20999999999998</v>
      </c>
      <c r="M358" s="4">
        <f t="shared" si="15"/>
        <v>8.5599999999999987</v>
      </c>
      <c r="N358" s="4">
        <f t="shared" si="16"/>
        <v>858.25</v>
      </c>
      <c r="O358" s="4">
        <f t="shared" si="17"/>
        <v>-15.35</v>
      </c>
      <c r="P358" s="3" t="s">
        <v>19</v>
      </c>
    </row>
    <row r="359" spans="1:16" x14ac:dyDescent="0.35">
      <c r="A359" s="3" t="s">
        <v>23</v>
      </c>
      <c r="B359" s="3" t="str">
        <f>INDEX(State_Region!$B$2:$B$26,MATCH(TRIM(A359),State_Region!$A$2:$A$26,0))</f>
        <v>North</v>
      </c>
      <c r="C359" s="3" t="s">
        <v>120</v>
      </c>
      <c r="D359" s="3" t="str">
        <f>INDEX(Port_Type!$B$2:$B$227,MATCH(TRIM(C359),Port_Type!$A$2:$A$227,0))</f>
        <v>Inland ICD / CFS</v>
      </c>
      <c r="E359" s="3" t="s">
        <v>18</v>
      </c>
      <c r="F359" s="3" t="str">
        <f>INDEX(Product_Category!$B$2:$B$45,MATCH(TRIM(E359),Product_Category!$A$2:$A$45,0))</f>
        <v>Cereals &amp; Grains</v>
      </c>
      <c r="G359" s="4">
        <v>3.91</v>
      </c>
      <c r="H359" s="4">
        <v>15.79</v>
      </c>
      <c r="I359" s="4">
        <v>2.1800000000000002</v>
      </c>
      <c r="J359" s="4">
        <v>3543.19</v>
      </c>
      <c r="K359" s="4">
        <v>16353.7</v>
      </c>
      <c r="L359" s="4">
        <v>2625.58</v>
      </c>
      <c r="M359" s="4">
        <f t="shared" si="15"/>
        <v>11.879999999999999</v>
      </c>
      <c r="N359" s="4">
        <f t="shared" si="16"/>
        <v>12810.51</v>
      </c>
      <c r="O359" s="4">
        <f t="shared" si="17"/>
        <v>-13.61</v>
      </c>
      <c r="P359" s="3" t="s">
        <v>19</v>
      </c>
    </row>
    <row r="360" spans="1:16" x14ac:dyDescent="0.35">
      <c r="A360" s="3" t="s">
        <v>79</v>
      </c>
      <c r="B360" s="3" t="str">
        <f>INDEX(State_Region!$B$2:$B$26,MATCH(TRIM(A360),State_Region!$A$2:$A$26,0))</f>
        <v>South</v>
      </c>
      <c r="C360" s="3" t="s">
        <v>80</v>
      </c>
      <c r="D360" s="3" t="str">
        <f>INDEX(Port_Type!$B$2:$B$227,MATCH(TRIM(C360),Port_Type!$A$2:$A$227,0))</f>
        <v>Inland ICD / CFS</v>
      </c>
      <c r="E360" s="3" t="s">
        <v>72</v>
      </c>
      <c r="F360" s="3" t="str">
        <f>INDEX(Product_Category!$B$2:$B$45,MATCH(TRIM(E360),Product_Category!$A$2:$A$45,0))</f>
        <v>Dairy, Poultry &amp; Honey</v>
      </c>
      <c r="G360" s="4">
        <v>3.23</v>
      </c>
      <c r="H360" s="4">
        <v>4.0199999999999996</v>
      </c>
      <c r="I360" s="4">
        <v>2.1800000000000002</v>
      </c>
      <c r="J360" s="4">
        <v>407.8</v>
      </c>
      <c r="K360" s="4">
        <v>581.32000000000005</v>
      </c>
      <c r="L360" s="4">
        <v>288.86</v>
      </c>
      <c r="M360" s="4">
        <f t="shared" si="15"/>
        <v>0.78999999999999959</v>
      </c>
      <c r="N360" s="4">
        <f t="shared" si="16"/>
        <v>173.52000000000004</v>
      </c>
      <c r="O360" s="4">
        <f t="shared" si="17"/>
        <v>-1.8399999999999994</v>
      </c>
      <c r="P360" s="3" t="s">
        <v>19</v>
      </c>
    </row>
    <row r="361" spans="1:16" x14ac:dyDescent="0.35">
      <c r="A361" s="3" t="s">
        <v>31</v>
      </c>
      <c r="B361" s="3" t="str">
        <f>INDEX(State_Region!$B$2:$B$26,MATCH(TRIM(A361),State_Region!$A$2:$A$26,0))</f>
        <v>East</v>
      </c>
      <c r="C361" s="3" t="s">
        <v>171</v>
      </c>
      <c r="D361" s="3" t="str">
        <f>INDEX(Port_Type!$B$2:$B$227,MATCH(TRIM(C361),Port_Type!$A$2:$A$227,0))</f>
        <v>Land Border / Rail</v>
      </c>
      <c r="E361" s="3" t="s">
        <v>27</v>
      </c>
      <c r="F361" s="3" t="str">
        <f>INDEX(Product_Category!$B$2:$B$45,MATCH(TRIM(E361),Product_Category!$A$2:$A$45,0))</f>
        <v>Cereals &amp; Grains</v>
      </c>
      <c r="G361" s="4">
        <v>3.83</v>
      </c>
      <c r="H361" s="4">
        <v>9</v>
      </c>
      <c r="I361" s="4">
        <v>2.17</v>
      </c>
      <c r="J361" s="4">
        <v>9024.09</v>
      </c>
      <c r="K361" s="4">
        <v>30925.86</v>
      </c>
      <c r="L361" s="4">
        <v>7213.92</v>
      </c>
      <c r="M361" s="4">
        <f t="shared" si="15"/>
        <v>5.17</v>
      </c>
      <c r="N361" s="4">
        <f t="shared" si="16"/>
        <v>21901.77</v>
      </c>
      <c r="O361" s="4">
        <f t="shared" si="17"/>
        <v>-6.83</v>
      </c>
      <c r="P361" s="3" t="s">
        <v>19</v>
      </c>
    </row>
    <row r="362" spans="1:16" x14ac:dyDescent="0.35">
      <c r="A362" s="3" t="s">
        <v>16</v>
      </c>
      <c r="B362" s="3" t="str">
        <f>INDEX(State_Region!$B$2:$B$26,MATCH(TRIM(A362),State_Region!$A$2:$A$26,0))</f>
        <v>West</v>
      </c>
      <c r="C362" s="3" t="s">
        <v>105</v>
      </c>
      <c r="D362" s="3" t="str">
        <f>INDEX(Port_Type!$B$2:$B$227,MATCH(TRIM(C362),Port_Type!$A$2:$A$227,0))</f>
        <v>SEZ / EPZ</v>
      </c>
      <c r="E362" s="3" t="s">
        <v>45</v>
      </c>
      <c r="F362" s="3" t="str">
        <f>INDEX(Product_Category!$B$2:$B$45,MATCH(TRIM(E362),Product_Category!$A$2:$A$45,0))</f>
        <v>Fresh Fruits &amp; Vegetables</v>
      </c>
      <c r="G362" s="4">
        <v>0.32</v>
      </c>
      <c r="H362" s="4">
        <v>0.02</v>
      </c>
      <c r="I362" s="4">
        <v>2.17</v>
      </c>
      <c r="J362" s="4">
        <v>437.18</v>
      </c>
      <c r="K362" s="4">
        <v>22.77</v>
      </c>
      <c r="L362" s="4">
        <v>571.83000000000004</v>
      </c>
      <c r="M362" s="4">
        <f t="shared" si="15"/>
        <v>-0.3</v>
      </c>
      <c r="N362" s="4">
        <f t="shared" si="16"/>
        <v>-414.41</v>
      </c>
      <c r="O362" s="4">
        <f t="shared" si="17"/>
        <v>2.15</v>
      </c>
      <c r="P362" s="3" t="s">
        <v>19</v>
      </c>
    </row>
    <row r="363" spans="1:16" x14ac:dyDescent="0.35">
      <c r="A363" s="3" t="s">
        <v>57</v>
      </c>
      <c r="B363" s="3" t="str">
        <f>INDEX(State_Region!$B$2:$B$26,MATCH(TRIM(A363),State_Region!$A$2:$A$26,0))</f>
        <v>Central</v>
      </c>
      <c r="C363" s="3" t="s">
        <v>161</v>
      </c>
      <c r="D363" s="3" t="str">
        <f>INDEX(Port_Type!$B$2:$B$227,MATCH(TRIM(C363),Port_Type!$A$2:$A$227,0))</f>
        <v>Inland ICD / CFS</v>
      </c>
      <c r="E363" s="3" t="s">
        <v>39</v>
      </c>
      <c r="F363" s="3" t="str">
        <f>INDEX(Product_Category!$B$2:$B$45,MATCH(TRIM(E363),Product_Category!$A$2:$A$45,0))</f>
        <v>Processed Foods</v>
      </c>
      <c r="G363" s="4">
        <v>15</v>
      </c>
      <c r="H363" s="4">
        <v>7.83</v>
      </c>
      <c r="I363" s="4">
        <v>2.16</v>
      </c>
      <c r="J363" s="4">
        <v>15774.85</v>
      </c>
      <c r="K363" s="4">
        <v>9285.67</v>
      </c>
      <c r="L363" s="4">
        <v>2357.8000000000002</v>
      </c>
      <c r="M363" s="4">
        <f t="shared" si="15"/>
        <v>-7.17</v>
      </c>
      <c r="N363" s="4">
        <f t="shared" si="16"/>
        <v>-6489.18</v>
      </c>
      <c r="O363" s="4">
        <f t="shared" si="17"/>
        <v>-5.67</v>
      </c>
      <c r="P363" s="3" t="s">
        <v>19</v>
      </c>
    </row>
    <row r="364" spans="1:16" x14ac:dyDescent="0.35">
      <c r="A364" s="3" t="s">
        <v>16</v>
      </c>
      <c r="B364" s="3" t="str">
        <f>INDEX(State_Region!$B$2:$B$26,MATCH(TRIM(A364),State_Region!$A$2:$A$26,0))</f>
        <v>West</v>
      </c>
      <c r="C364" s="3" t="s">
        <v>172</v>
      </c>
      <c r="D364" s="3" t="str">
        <f>INDEX(Port_Type!$B$2:$B$227,MATCH(TRIM(C364),Port_Type!$A$2:$A$227,0))</f>
        <v>Sea Port</v>
      </c>
      <c r="E364" s="3" t="s">
        <v>27</v>
      </c>
      <c r="F364" s="3" t="str">
        <f>INDEX(Product_Category!$B$2:$B$45,MATCH(TRIM(E364),Product_Category!$A$2:$A$45,0))</f>
        <v>Cereals &amp; Grains</v>
      </c>
      <c r="G364" s="4">
        <v>12.59</v>
      </c>
      <c r="H364" s="4">
        <v>7.37</v>
      </c>
      <c r="I364" s="4">
        <v>2.14</v>
      </c>
      <c r="J364" s="4">
        <v>28655</v>
      </c>
      <c r="K364" s="4">
        <v>20961.27</v>
      </c>
      <c r="L364" s="4">
        <v>6500</v>
      </c>
      <c r="M364" s="4">
        <f t="shared" si="15"/>
        <v>-5.22</v>
      </c>
      <c r="N364" s="4">
        <f t="shared" si="16"/>
        <v>-7693.73</v>
      </c>
      <c r="O364" s="4">
        <f t="shared" si="17"/>
        <v>-5.23</v>
      </c>
      <c r="P364" s="3" t="s">
        <v>19</v>
      </c>
    </row>
    <row r="365" spans="1:16" x14ac:dyDescent="0.35">
      <c r="A365" s="3" t="s">
        <v>40</v>
      </c>
      <c r="B365" s="3" t="str">
        <f>INDEX(State_Region!$B$2:$B$26,MATCH(TRIM(A365),State_Region!$A$2:$A$26,0))</f>
        <v>South</v>
      </c>
      <c r="C365" s="3" t="s">
        <v>41</v>
      </c>
      <c r="D365" s="3" t="str">
        <f>INDEX(Port_Type!$B$2:$B$227,MATCH(TRIM(C365),Port_Type!$A$2:$A$227,0))</f>
        <v>Sea Port</v>
      </c>
      <c r="E365" s="3" t="s">
        <v>128</v>
      </c>
      <c r="F365" s="3" t="str">
        <f>INDEX(Product_Category!$B$2:$B$45,MATCH(TRIM(E365),Product_Category!$A$2:$A$45,0))</f>
        <v>Dairy, Poultry &amp; Honey</v>
      </c>
      <c r="G365" s="4">
        <v>3.61</v>
      </c>
      <c r="H365" s="4">
        <v>6.93</v>
      </c>
      <c r="I365" s="4">
        <v>2.13</v>
      </c>
      <c r="J365" s="4">
        <v>1406.66</v>
      </c>
      <c r="K365" s="4">
        <v>1711.89</v>
      </c>
      <c r="L365" s="4">
        <v>391.96</v>
      </c>
      <c r="M365" s="4">
        <f t="shared" si="15"/>
        <v>3.32</v>
      </c>
      <c r="N365" s="4">
        <f t="shared" si="16"/>
        <v>305.23</v>
      </c>
      <c r="O365" s="4">
        <f t="shared" si="17"/>
        <v>-4.8</v>
      </c>
      <c r="P365" s="3" t="s">
        <v>19</v>
      </c>
    </row>
    <row r="366" spans="1:16" x14ac:dyDescent="0.35">
      <c r="A366" s="3" t="s">
        <v>31</v>
      </c>
      <c r="B366" s="3" t="str">
        <f>INDEX(State_Region!$B$2:$B$26,MATCH(TRIM(A366),State_Region!$A$2:$A$26,0))</f>
        <v>East</v>
      </c>
      <c r="C366" s="3" t="s">
        <v>152</v>
      </c>
      <c r="D366" s="3" t="str">
        <f>INDEX(Port_Type!$B$2:$B$227,MATCH(TRIM(C366),Port_Type!$A$2:$A$227,0))</f>
        <v>Land Border / Rail</v>
      </c>
      <c r="E366" s="3" t="s">
        <v>27</v>
      </c>
      <c r="F366" s="3" t="str">
        <f>INDEX(Product_Category!$B$2:$B$45,MATCH(TRIM(E366),Product_Category!$A$2:$A$45,0))</f>
        <v>Cereals &amp; Grains</v>
      </c>
      <c r="G366" s="4">
        <v>0</v>
      </c>
      <c r="H366" s="4">
        <v>122.5</v>
      </c>
      <c r="I366" s="4">
        <v>2.12</v>
      </c>
      <c r="J366" s="4">
        <v>0</v>
      </c>
      <c r="K366" s="4">
        <v>329690.03000000003</v>
      </c>
      <c r="L366" s="4">
        <v>5842.16</v>
      </c>
      <c r="M366" s="4">
        <f t="shared" si="15"/>
        <v>122.5</v>
      </c>
      <c r="N366" s="4">
        <f t="shared" si="16"/>
        <v>329690.03000000003</v>
      </c>
      <c r="O366" s="4">
        <f t="shared" si="17"/>
        <v>-120.38</v>
      </c>
      <c r="P366" s="3" t="s">
        <v>19</v>
      </c>
    </row>
    <row r="367" spans="1:16" x14ac:dyDescent="0.35">
      <c r="A367" s="3" t="s">
        <v>40</v>
      </c>
      <c r="B367" s="3" t="str">
        <f>INDEX(State_Region!$B$2:$B$26,MATCH(TRIM(A367),State_Region!$A$2:$A$26,0))</f>
        <v>South</v>
      </c>
      <c r="C367" s="3" t="s">
        <v>85</v>
      </c>
      <c r="D367" s="3" t="str">
        <f>INDEX(Port_Type!$B$2:$B$227,MATCH(TRIM(C367),Port_Type!$A$2:$A$227,0))</f>
        <v>Sea Port</v>
      </c>
      <c r="E367" s="3" t="s">
        <v>122</v>
      </c>
      <c r="F367" s="3" t="str">
        <f>INDEX(Product_Category!$B$2:$B$45,MATCH(TRIM(E367),Product_Category!$A$2:$A$45,0))</f>
        <v>Others</v>
      </c>
      <c r="G367" s="4">
        <v>11.61</v>
      </c>
      <c r="H367" s="4">
        <v>5.73</v>
      </c>
      <c r="I367" s="4">
        <v>2.12</v>
      </c>
      <c r="J367" s="4">
        <v>2468.1999999999998</v>
      </c>
      <c r="K367" s="4">
        <v>2116.86</v>
      </c>
      <c r="L367" s="4">
        <v>1486.84</v>
      </c>
      <c r="M367" s="4">
        <f t="shared" si="15"/>
        <v>-5.879999999999999</v>
      </c>
      <c r="N367" s="4">
        <f t="shared" si="16"/>
        <v>-351.33999999999969</v>
      </c>
      <c r="O367" s="4">
        <f t="shared" si="17"/>
        <v>-3.6100000000000003</v>
      </c>
      <c r="P367" s="3" t="s">
        <v>19</v>
      </c>
    </row>
    <row r="368" spans="1:16" x14ac:dyDescent="0.35">
      <c r="A368" s="3" t="s">
        <v>40</v>
      </c>
      <c r="B368" s="3" t="str">
        <f>INDEX(State_Region!$B$2:$B$26,MATCH(TRIM(A368),State_Region!$A$2:$A$26,0))</f>
        <v>South</v>
      </c>
      <c r="C368" s="3" t="s">
        <v>85</v>
      </c>
      <c r="D368" s="3" t="str">
        <f>INDEX(Port_Type!$B$2:$B$227,MATCH(TRIM(C368),Port_Type!$A$2:$A$227,0))</f>
        <v>Sea Port</v>
      </c>
      <c r="E368" s="3" t="s">
        <v>72</v>
      </c>
      <c r="F368" s="3" t="str">
        <f>INDEX(Product_Category!$B$2:$B$45,MATCH(TRIM(E368),Product_Category!$A$2:$A$45,0))</f>
        <v>Dairy, Poultry &amp; Honey</v>
      </c>
      <c r="G368" s="4">
        <v>2.74</v>
      </c>
      <c r="H368" s="4">
        <v>4.07</v>
      </c>
      <c r="I368" s="4">
        <v>2.11</v>
      </c>
      <c r="J368" s="4">
        <v>496.43</v>
      </c>
      <c r="K368" s="4">
        <v>1528.44</v>
      </c>
      <c r="L368" s="4">
        <v>617.12</v>
      </c>
      <c r="M368" s="4">
        <f t="shared" si="15"/>
        <v>1.33</v>
      </c>
      <c r="N368" s="4">
        <f t="shared" si="16"/>
        <v>1032.01</v>
      </c>
      <c r="O368" s="4">
        <f t="shared" si="17"/>
        <v>-1.9600000000000004</v>
      </c>
      <c r="P368" s="3" t="s">
        <v>19</v>
      </c>
    </row>
    <row r="369" spans="1:16" x14ac:dyDescent="0.35">
      <c r="A369" s="3" t="s">
        <v>20</v>
      </c>
      <c r="B369" s="3" t="str">
        <f>INDEX(State_Region!$B$2:$B$26,MATCH(TRIM(A369),State_Region!$A$2:$A$26,0))</f>
        <v>West</v>
      </c>
      <c r="C369" s="3" t="s">
        <v>173</v>
      </c>
      <c r="D369" s="3" t="str">
        <f>INDEX(Port_Type!$B$2:$B$227,MATCH(TRIM(C369),Port_Type!$A$2:$A$227,0))</f>
        <v>Inland ICD / CFS</v>
      </c>
      <c r="E369" s="3" t="s">
        <v>72</v>
      </c>
      <c r="F369" s="3" t="str">
        <f>INDEX(Product_Category!$B$2:$B$45,MATCH(TRIM(E369),Product_Category!$A$2:$A$45,0))</f>
        <v>Dairy, Poultry &amp; Honey</v>
      </c>
      <c r="G369" s="4">
        <v>4.9400000000000004</v>
      </c>
      <c r="H369" s="4">
        <v>4.57</v>
      </c>
      <c r="I369" s="4">
        <v>2.1</v>
      </c>
      <c r="J369" s="4">
        <v>671.52</v>
      </c>
      <c r="K369" s="4">
        <v>902.21</v>
      </c>
      <c r="L369" s="4">
        <v>420.17</v>
      </c>
      <c r="M369" s="4">
        <f t="shared" si="15"/>
        <v>-0.37000000000000011</v>
      </c>
      <c r="N369" s="4">
        <f t="shared" si="16"/>
        <v>230.69000000000005</v>
      </c>
      <c r="O369" s="4">
        <f t="shared" si="17"/>
        <v>-2.4700000000000002</v>
      </c>
      <c r="P369" s="3" t="s">
        <v>19</v>
      </c>
    </row>
    <row r="370" spans="1:16" x14ac:dyDescent="0.35">
      <c r="A370" s="3" t="s">
        <v>23</v>
      </c>
      <c r="B370" s="3" t="str">
        <f>INDEX(State_Region!$B$2:$B$26,MATCH(TRIM(A370),State_Region!$A$2:$A$26,0))</f>
        <v>North</v>
      </c>
      <c r="C370" s="3" t="s">
        <v>123</v>
      </c>
      <c r="D370" s="3" t="str">
        <f>INDEX(Port_Type!$B$2:$B$227,MATCH(TRIM(C370),Port_Type!$A$2:$A$227,0))</f>
        <v>Land Border / Rail</v>
      </c>
      <c r="E370" s="3" t="s">
        <v>27</v>
      </c>
      <c r="F370" s="3" t="str">
        <f>INDEX(Product_Category!$B$2:$B$45,MATCH(TRIM(E370),Product_Category!$A$2:$A$45,0))</f>
        <v>Cereals &amp; Grains</v>
      </c>
      <c r="G370" s="4">
        <v>10.77</v>
      </c>
      <c r="H370" s="4">
        <v>18.920000000000002</v>
      </c>
      <c r="I370" s="4">
        <v>2.1</v>
      </c>
      <c r="J370" s="4">
        <v>34594.01</v>
      </c>
      <c r="K370" s="4">
        <v>63918.77</v>
      </c>
      <c r="L370" s="4">
        <v>6477.55</v>
      </c>
      <c r="M370" s="4">
        <f t="shared" si="15"/>
        <v>8.1500000000000021</v>
      </c>
      <c r="N370" s="4">
        <f t="shared" si="16"/>
        <v>29324.759999999995</v>
      </c>
      <c r="O370" s="4">
        <f t="shared" si="17"/>
        <v>-16.82</v>
      </c>
      <c r="P370" s="3" t="s">
        <v>19</v>
      </c>
    </row>
    <row r="371" spans="1:16" x14ac:dyDescent="0.35">
      <c r="A371" s="3" t="s">
        <v>74</v>
      </c>
      <c r="B371" s="3" t="str">
        <f>INDEX(State_Region!$B$2:$B$26,MATCH(TRIM(A371),State_Region!$A$2:$A$26,0))</f>
        <v>South</v>
      </c>
      <c r="C371" s="3" t="s">
        <v>98</v>
      </c>
      <c r="D371" s="3" t="str">
        <f>INDEX(Port_Type!$B$2:$B$227,MATCH(TRIM(C371),Port_Type!$A$2:$A$227,0))</f>
        <v>Inland ICD / CFS</v>
      </c>
      <c r="E371" s="3" t="s">
        <v>53</v>
      </c>
      <c r="F371" s="3" t="str">
        <f>INDEX(Product_Category!$B$2:$B$45,MATCH(TRIM(E371),Product_Category!$A$2:$A$45,0))</f>
        <v>Processed Foods</v>
      </c>
      <c r="G371" s="4">
        <v>9.5299999999999994</v>
      </c>
      <c r="H371" s="4">
        <v>8.93</v>
      </c>
      <c r="I371" s="4">
        <v>2.09</v>
      </c>
      <c r="J371" s="4">
        <v>7854.71</v>
      </c>
      <c r="K371" s="4">
        <v>7755.35</v>
      </c>
      <c r="L371" s="4">
        <v>1795.54</v>
      </c>
      <c r="M371" s="4">
        <f t="shared" si="15"/>
        <v>-0.59999999999999964</v>
      </c>
      <c r="N371" s="4">
        <f t="shared" si="16"/>
        <v>-99.359999999999673</v>
      </c>
      <c r="O371" s="4">
        <f t="shared" si="17"/>
        <v>-6.84</v>
      </c>
      <c r="P371" s="3" t="s">
        <v>19</v>
      </c>
    </row>
    <row r="372" spans="1:16" x14ac:dyDescent="0.35">
      <c r="A372" s="3" t="s">
        <v>57</v>
      </c>
      <c r="B372" s="3" t="str">
        <f>INDEX(State_Region!$B$2:$B$26,MATCH(TRIM(A372),State_Region!$A$2:$A$26,0))</f>
        <v>Central</v>
      </c>
      <c r="C372" s="3" t="s">
        <v>162</v>
      </c>
      <c r="D372" s="3" t="str">
        <f>INDEX(Port_Type!$B$2:$B$227,MATCH(TRIM(C372),Port_Type!$A$2:$A$227,0))</f>
        <v>Inland ICD / CFS</v>
      </c>
      <c r="E372" s="3" t="s">
        <v>48</v>
      </c>
      <c r="F372" s="3" t="str">
        <f>INDEX(Product_Category!$B$2:$B$45,MATCH(TRIM(E372),Product_Category!$A$2:$A$45,0))</f>
        <v>Processed Foods</v>
      </c>
      <c r="G372" s="4">
        <v>0.03</v>
      </c>
      <c r="H372" s="4">
        <v>1.03</v>
      </c>
      <c r="I372" s="4">
        <v>2.06</v>
      </c>
      <c r="J372" s="4">
        <v>44</v>
      </c>
      <c r="K372" s="4">
        <v>1074.3499999999999</v>
      </c>
      <c r="L372" s="4">
        <v>2146.4499999999998</v>
      </c>
      <c r="M372" s="4">
        <f t="shared" si="15"/>
        <v>1</v>
      </c>
      <c r="N372" s="4">
        <f t="shared" si="16"/>
        <v>1030.3499999999999</v>
      </c>
      <c r="O372" s="4">
        <f t="shared" si="17"/>
        <v>1.03</v>
      </c>
      <c r="P372" s="3" t="s">
        <v>19</v>
      </c>
    </row>
    <row r="373" spans="1:16" x14ac:dyDescent="0.35">
      <c r="A373" s="3" t="s">
        <v>16</v>
      </c>
      <c r="B373" s="3" t="str">
        <f>INDEX(State_Region!$B$2:$B$26,MATCH(TRIM(A373),State_Region!$A$2:$A$26,0))</f>
        <v>West</v>
      </c>
      <c r="C373" s="3" t="s">
        <v>90</v>
      </c>
      <c r="D373" s="3" t="str">
        <f>INDEX(Port_Type!$B$2:$B$227,MATCH(TRIM(C373),Port_Type!$A$2:$A$227,0))</f>
        <v>Inland ICD / CFS</v>
      </c>
      <c r="E373" s="3" t="s">
        <v>54</v>
      </c>
      <c r="F373" s="3" t="str">
        <f>INDEX(Product_Category!$B$2:$B$45,MATCH(TRIM(E373),Product_Category!$A$2:$A$45,0))</f>
        <v>Processed Foods</v>
      </c>
      <c r="G373" s="4">
        <v>6.52</v>
      </c>
      <c r="H373" s="4">
        <v>5.53</v>
      </c>
      <c r="I373" s="4">
        <v>2.02</v>
      </c>
      <c r="J373" s="4">
        <v>2517.23</v>
      </c>
      <c r="K373" s="4">
        <v>2051.61</v>
      </c>
      <c r="L373" s="4">
        <v>833.56</v>
      </c>
      <c r="M373" s="4">
        <f t="shared" si="15"/>
        <v>-0.98999999999999932</v>
      </c>
      <c r="N373" s="4">
        <f t="shared" si="16"/>
        <v>-465.61999999999989</v>
      </c>
      <c r="O373" s="4">
        <f t="shared" si="17"/>
        <v>-3.5100000000000002</v>
      </c>
      <c r="P373" s="3" t="s">
        <v>19</v>
      </c>
    </row>
    <row r="374" spans="1:16" x14ac:dyDescent="0.35">
      <c r="A374" s="3" t="s">
        <v>16</v>
      </c>
      <c r="B374" s="3" t="str">
        <f>INDEX(State_Region!$B$2:$B$26,MATCH(TRIM(A374),State_Region!$A$2:$A$26,0))</f>
        <v>West</v>
      </c>
      <c r="C374" s="3" t="s">
        <v>28</v>
      </c>
      <c r="D374" s="3" t="str">
        <f>INDEX(Port_Type!$B$2:$B$227,MATCH(TRIM(C374),Port_Type!$A$2:$A$227,0))</f>
        <v>Sea Port</v>
      </c>
      <c r="E374" s="3" t="s">
        <v>51</v>
      </c>
      <c r="F374" s="3" t="str">
        <f>INDEX(Product_Category!$B$2:$B$45,MATCH(TRIM(E374),Product_Category!$A$2:$A$45,0))</f>
        <v>Nuts &amp; Oilseeds</v>
      </c>
      <c r="G374" s="4">
        <v>31.48</v>
      </c>
      <c r="H374" s="4">
        <v>34.159999999999997</v>
      </c>
      <c r="I374" s="4">
        <v>1.99</v>
      </c>
      <c r="J374" s="4">
        <v>24401.53</v>
      </c>
      <c r="K374" s="4">
        <v>35094.46</v>
      </c>
      <c r="L374" s="4">
        <v>1354.02</v>
      </c>
      <c r="M374" s="4">
        <f t="shared" si="15"/>
        <v>2.6799999999999962</v>
      </c>
      <c r="N374" s="4">
        <f t="shared" si="16"/>
        <v>10692.93</v>
      </c>
      <c r="O374" s="4">
        <f t="shared" si="17"/>
        <v>-32.169999999999995</v>
      </c>
      <c r="P374" s="3" t="s">
        <v>19</v>
      </c>
    </row>
    <row r="375" spans="1:16" x14ac:dyDescent="0.35">
      <c r="A375" s="3" t="s">
        <v>40</v>
      </c>
      <c r="B375" s="3" t="str">
        <f>INDEX(State_Region!$B$2:$B$26,MATCH(TRIM(A375),State_Region!$A$2:$A$26,0))</f>
        <v>South</v>
      </c>
      <c r="C375" s="3" t="s">
        <v>85</v>
      </c>
      <c r="D375" s="3" t="str">
        <f>INDEX(Port_Type!$B$2:$B$227,MATCH(TRIM(C375),Port_Type!$A$2:$A$227,0))</f>
        <v>Sea Port</v>
      </c>
      <c r="E375" s="3" t="s">
        <v>174</v>
      </c>
      <c r="F375" s="3" t="str">
        <f>INDEX(Product_Category!$B$2:$B$45,MATCH(TRIM(E375),Product_Category!$A$2:$A$45,0))</f>
        <v>Dairy, Poultry &amp; Honey</v>
      </c>
      <c r="G375" s="4">
        <v>12.01</v>
      </c>
      <c r="H375" s="4">
        <v>10.36</v>
      </c>
      <c r="I375" s="4">
        <v>1.97</v>
      </c>
      <c r="J375" s="4">
        <v>1011</v>
      </c>
      <c r="K375" s="4">
        <v>1427.95</v>
      </c>
      <c r="L375" s="4">
        <v>333.25</v>
      </c>
      <c r="M375" s="4">
        <f t="shared" si="15"/>
        <v>-1.6500000000000004</v>
      </c>
      <c r="N375" s="4">
        <f t="shared" si="16"/>
        <v>416.95000000000005</v>
      </c>
      <c r="O375" s="4">
        <f t="shared" si="17"/>
        <v>-8.3899999999999988</v>
      </c>
      <c r="P375" s="3" t="s">
        <v>19</v>
      </c>
    </row>
    <row r="376" spans="1:16" x14ac:dyDescent="0.35">
      <c r="A376" s="3" t="s">
        <v>31</v>
      </c>
      <c r="B376" s="3" t="str">
        <f>INDEX(State_Region!$B$2:$B$26,MATCH(TRIM(A376),State_Region!$A$2:$A$26,0))</f>
        <v>East</v>
      </c>
      <c r="C376" s="3" t="s">
        <v>139</v>
      </c>
      <c r="D376" s="3" t="str">
        <f>INDEX(Port_Type!$B$2:$B$227,MATCH(TRIM(C376),Port_Type!$A$2:$A$227,0))</f>
        <v>Land Border / Rail</v>
      </c>
      <c r="E376" s="3" t="s">
        <v>62</v>
      </c>
      <c r="F376" s="3" t="str">
        <f>INDEX(Product_Category!$B$2:$B$45,MATCH(TRIM(E376),Product_Category!$A$2:$A$45,0))</f>
        <v>Cereals &amp; Grains</v>
      </c>
      <c r="G376" s="4">
        <v>16.38</v>
      </c>
      <c r="H376" s="4">
        <v>16.14</v>
      </c>
      <c r="I376" s="4">
        <v>1.95</v>
      </c>
      <c r="J376" s="4">
        <v>60178.35</v>
      </c>
      <c r="K376" s="4">
        <v>64687.68</v>
      </c>
      <c r="L376" s="4">
        <v>8824.8799999999992</v>
      </c>
      <c r="M376" s="4">
        <f t="shared" si="15"/>
        <v>-0.23999999999999844</v>
      </c>
      <c r="N376" s="4">
        <f t="shared" si="16"/>
        <v>4509.3300000000017</v>
      </c>
      <c r="O376" s="4">
        <f t="shared" si="17"/>
        <v>-14.190000000000001</v>
      </c>
      <c r="P376" s="3" t="s">
        <v>19</v>
      </c>
    </row>
    <row r="377" spans="1:16" x14ac:dyDescent="0.35">
      <c r="A377" s="3" t="s">
        <v>129</v>
      </c>
      <c r="B377" s="3" t="str">
        <f>INDEX(State_Region!$B$2:$B$26,MATCH(TRIM(A377),State_Region!$A$2:$A$26,0))</f>
        <v>East</v>
      </c>
      <c r="C377" s="3" t="s">
        <v>147</v>
      </c>
      <c r="D377" s="3" t="str">
        <f>INDEX(Port_Type!$B$2:$B$227,MATCH(TRIM(C377),Port_Type!$A$2:$A$227,0))</f>
        <v>Land Border / Rail</v>
      </c>
      <c r="E377" s="3" t="s">
        <v>18</v>
      </c>
      <c r="F377" s="3" t="str">
        <f>INDEX(Product_Category!$B$2:$B$45,MATCH(TRIM(E377),Product_Category!$A$2:$A$45,0))</f>
        <v>Cereals &amp; Grains</v>
      </c>
      <c r="G377" s="4">
        <v>3.15</v>
      </c>
      <c r="H377" s="4">
        <v>5.81</v>
      </c>
      <c r="I377" s="4">
        <v>1.94</v>
      </c>
      <c r="J377" s="4">
        <v>3293.73</v>
      </c>
      <c r="K377" s="4">
        <v>7781.77</v>
      </c>
      <c r="L377" s="4">
        <v>2382.81</v>
      </c>
      <c r="M377" s="4">
        <f t="shared" si="15"/>
        <v>2.6599999999999997</v>
      </c>
      <c r="N377" s="4">
        <f t="shared" si="16"/>
        <v>4488.0400000000009</v>
      </c>
      <c r="O377" s="4">
        <f t="shared" si="17"/>
        <v>-3.8699999999999997</v>
      </c>
      <c r="P377" s="3" t="s">
        <v>19</v>
      </c>
    </row>
    <row r="378" spans="1:16" x14ac:dyDescent="0.35">
      <c r="A378" s="3" t="s">
        <v>16</v>
      </c>
      <c r="B378" s="3" t="str">
        <f>INDEX(State_Region!$B$2:$B$26,MATCH(TRIM(A378),State_Region!$A$2:$A$26,0))</f>
        <v>West</v>
      </c>
      <c r="C378" s="3" t="s">
        <v>17</v>
      </c>
      <c r="D378" s="3" t="str">
        <f>INDEX(Port_Type!$B$2:$B$227,MATCH(TRIM(C378),Port_Type!$A$2:$A$227,0))</f>
        <v>Sea Port</v>
      </c>
      <c r="E378" s="3" t="s">
        <v>151</v>
      </c>
      <c r="F378" s="3" t="str">
        <f>INDEX(Product_Category!$B$2:$B$45,MATCH(TRIM(E378),Product_Category!$A$2:$A$45,0))</f>
        <v>Processed Foods</v>
      </c>
      <c r="G378" s="4">
        <v>6.88</v>
      </c>
      <c r="H378" s="4">
        <v>6.17</v>
      </c>
      <c r="I378" s="4">
        <v>1.94</v>
      </c>
      <c r="J378" s="4">
        <v>4302.04</v>
      </c>
      <c r="K378" s="4">
        <v>3804.24</v>
      </c>
      <c r="L378" s="4">
        <v>1228.1400000000001</v>
      </c>
      <c r="M378" s="4">
        <f t="shared" si="15"/>
        <v>-0.71</v>
      </c>
      <c r="N378" s="4">
        <f t="shared" si="16"/>
        <v>-497.80000000000018</v>
      </c>
      <c r="O378" s="4">
        <f t="shared" si="17"/>
        <v>-4.2300000000000004</v>
      </c>
      <c r="P378" s="3" t="s">
        <v>19</v>
      </c>
    </row>
    <row r="379" spans="1:16" x14ac:dyDescent="0.35">
      <c r="A379" s="3" t="s">
        <v>20</v>
      </c>
      <c r="B379" s="3" t="str">
        <f>INDEX(State_Region!$B$2:$B$26,MATCH(TRIM(A379),State_Region!$A$2:$A$26,0))</f>
        <v>West</v>
      </c>
      <c r="C379" s="3" t="s">
        <v>56</v>
      </c>
      <c r="D379" s="3" t="str">
        <f>INDEX(Port_Type!$B$2:$B$227,MATCH(TRIM(C379),Port_Type!$A$2:$A$227,0))</f>
        <v>Inland ICD / CFS</v>
      </c>
      <c r="E379" s="3" t="s">
        <v>48</v>
      </c>
      <c r="F379" s="3" t="str">
        <f>INDEX(Product_Category!$B$2:$B$45,MATCH(TRIM(E379),Product_Category!$A$2:$A$45,0))</f>
        <v>Processed Foods</v>
      </c>
      <c r="G379" s="4">
        <v>2.2000000000000002</v>
      </c>
      <c r="H379" s="4">
        <v>3.69</v>
      </c>
      <c r="I379" s="4">
        <v>1.9</v>
      </c>
      <c r="J379" s="4">
        <v>1375.5</v>
      </c>
      <c r="K379" s="4">
        <v>2339</v>
      </c>
      <c r="L379" s="4">
        <v>934.66</v>
      </c>
      <c r="M379" s="4">
        <f t="shared" si="15"/>
        <v>1.4899999999999998</v>
      </c>
      <c r="N379" s="4">
        <f t="shared" si="16"/>
        <v>963.5</v>
      </c>
      <c r="O379" s="4">
        <f t="shared" si="17"/>
        <v>-1.79</v>
      </c>
      <c r="P379" s="3" t="s">
        <v>19</v>
      </c>
    </row>
    <row r="380" spans="1:16" x14ac:dyDescent="0.35">
      <c r="A380" s="3" t="s">
        <v>79</v>
      </c>
      <c r="B380" s="3" t="str">
        <f>INDEX(State_Region!$B$2:$B$26,MATCH(TRIM(A380),State_Region!$A$2:$A$26,0))</f>
        <v>South</v>
      </c>
      <c r="C380" s="3" t="s">
        <v>80</v>
      </c>
      <c r="D380" s="3" t="str">
        <f>INDEX(Port_Type!$B$2:$B$227,MATCH(TRIM(C380),Port_Type!$A$2:$A$227,0))</f>
        <v>Inland ICD / CFS</v>
      </c>
      <c r="E380" s="3" t="s">
        <v>60</v>
      </c>
      <c r="F380" s="3" t="str">
        <f>INDEX(Product_Category!$B$2:$B$45,MATCH(TRIM(E380),Product_Category!$A$2:$A$45,0))</f>
        <v>Processed Foods</v>
      </c>
      <c r="G380" s="4">
        <v>6.54</v>
      </c>
      <c r="H380" s="4">
        <v>5.37</v>
      </c>
      <c r="I380" s="4">
        <v>1.9</v>
      </c>
      <c r="J380" s="4">
        <v>3358.14</v>
      </c>
      <c r="K380" s="4">
        <v>2614.91</v>
      </c>
      <c r="L380" s="4">
        <v>974.28</v>
      </c>
      <c r="M380" s="4">
        <f t="shared" si="15"/>
        <v>-1.17</v>
      </c>
      <c r="N380" s="4">
        <f t="shared" si="16"/>
        <v>-743.23</v>
      </c>
      <c r="O380" s="4">
        <f t="shared" si="17"/>
        <v>-3.47</v>
      </c>
      <c r="P380" s="3" t="s">
        <v>19</v>
      </c>
    </row>
    <row r="381" spans="1:16" x14ac:dyDescent="0.35">
      <c r="A381" s="3" t="s">
        <v>57</v>
      </c>
      <c r="B381" s="3" t="str">
        <f>INDEX(State_Region!$B$2:$B$26,MATCH(TRIM(A381),State_Region!$A$2:$A$26,0))</f>
        <v>Central</v>
      </c>
      <c r="C381" s="3" t="s">
        <v>175</v>
      </c>
      <c r="D381" s="3" t="str">
        <f>INDEX(Port_Type!$B$2:$B$227,MATCH(TRIM(C381),Port_Type!$A$2:$A$227,0))</f>
        <v>Inland ICD / CFS</v>
      </c>
      <c r="E381" s="3" t="s">
        <v>39</v>
      </c>
      <c r="F381" s="3" t="str">
        <f>INDEX(Product_Category!$B$2:$B$45,MATCH(TRIM(E381),Product_Category!$A$2:$A$45,0))</f>
        <v>Processed Foods</v>
      </c>
      <c r="G381" s="4">
        <v>0.8</v>
      </c>
      <c r="H381" s="4">
        <v>5.93</v>
      </c>
      <c r="I381" s="4">
        <v>1.9</v>
      </c>
      <c r="J381" s="4">
        <v>875.59</v>
      </c>
      <c r="K381" s="4">
        <v>3555.7</v>
      </c>
      <c r="L381" s="4">
        <v>1344.38</v>
      </c>
      <c r="M381" s="4">
        <f t="shared" si="15"/>
        <v>5.13</v>
      </c>
      <c r="N381" s="4">
        <f t="shared" si="16"/>
        <v>2680.1099999999997</v>
      </c>
      <c r="O381" s="4">
        <f t="shared" si="17"/>
        <v>-4.0299999999999994</v>
      </c>
      <c r="P381" s="3" t="s">
        <v>19</v>
      </c>
    </row>
    <row r="382" spans="1:16" x14ac:dyDescent="0.35">
      <c r="A382" s="3" t="s">
        <v>77</v>
      </c>
      <c r="B382" s="3" t="str">
        <f>INDEX(State_Region!$B$2:$B$26,MATCH(TRIM(A382),State_Region!$A$2:$A$26,0))</f>
        <v>South</v>
      </c>
      <c r="C382" s="3" t="s">
        <v>78</v>
      </c>
      <c r="D382" s="3" t="str">
        <f>INDEX(Port_Type!$B$2:$B$227,MATCH(TRIM(C382),Port_Type!$A$2:$A$227,0))</f>
        <v>Sea Port</v>
      </c>
      <c r="E382" s="3" t="s">
        <v>102</v>
      </c>
      <c r="F382" s="3" t="str">
        <f>INDEX(Product_Category!$B$2:$B$45,MATCH(TRIM(E382),Product_Category!$A$2:$A$45,0))</f>
        <v>Fresh Fruits &amp; Vegetables</v>
      </c>
      <c r="G382" s="4">
        <v>8.3800000000000008</v>
      </c>
      <c r="H382" s="4">
        <v>10.18</v>
      </c>
      <c r="I382" s="4">
        <v>1.89</v>
      </c>
      <c r="J382" s="4">
        <v>11584.18</v>
      </c>
      <c r="K382" s="4">
        <v>13650.31</v>
      </c>
      <c r="L382" s="4">
        <v>2144.54</v>
      </c>
      <c r="M382" s="4">
        <f t="shared" si="15"/>
        <v>1.7999999999999989</v>
      </c>
      <c r="N382" s="4">
        <f t="shared" si="16"/>
        <v>2066.1299999999992</v>
      </c>
      <c r="O382" s="4">
        <f t="shared" si="17"/>
        <v>-8.2899999999999991</v>
      </c>
      <c r="P382" s="3" t="s">
        <v>19</v>
      </c>
    </row>
    <row r="383" spans="1:16" x14ac:dyDescent="0.35">
      <c r="A383" s="3" t="s">
        <v>94</v>
      </c>
      <c r="B383" s="3" t="str">
        <f>INDEX(State_Region!$B$2:$B$26,MATCH(TRIM(A383),State_Region!$A$2:$A$26,0))</f>
        <v>East</v>
      </c>
      <c r="C383" s="3" t="s">
        <v>95</v>
      </c>
      <c r="D383" s="3" t="str">
        <f>INDEX(Port_Type!$B$2:$B$227,MATCH(TRIM(C383),Port_Type!$A$2:$A$227,0))</f>
        <v>Land Border / Rail</v>
      </c>
      <c r="E383" s="3" t="s">
        <v>54</v>
      </c>
      <c r="F383" s="3" t="str">
        <f>INDEX(Product_Category!$B$2:$B$45,MATCH(TRIM(E383),Product_Category!$A$2:$A$45,0))</f>
        <v>Processed Foods</v>
      </c>
      <c r="G383" s="4">
        <v>5.61</v>
      </c>
      <c r="H383" s="4">
        <v>4.62</v>
      </c>
      <c r="I383" s="4">
        <v>1.87</v>
      </c>
      <c r="J383" s="4">
        <v>5760.81</v>
      </c>
      <c r="K383" s="4">
        <v>6604.26</v>
      </c>
      <c r="L383" s="4">
        <v>1926.95</v>
      </c>
      <c r="M383" s="4">
        <f t="shared" si="15"/>
        <v>-0.99000000000000021</v>
      </c>
      <c r="N383" s="4">
        <f t="shared" si="16"/>
        <v>843.44999999999982</v>
      </c>
      <c r="O383" s="4">
        <f t="shared" si="17"/>
        <v>-2.75</v>
      </c>
      <c r="P383" s="3" t="s">
        <v>19</v>
      </c>
    </row>
    <row r="384" spans="1:16" x14ac:dyDescent="0.35">
      <c r="A384" s="3" t="s">
        <v>35</v>
      </c>
      <c r="B384" s="3" t="str">
        <f>INDEX(State_Region!$B$2:$B$26,MATCH(TRIM(A384),State_Region!$A$2:$A$26,0))</f>
        <v>North</v>
      </c>
      <c r="C384" s="3" t="s">
        <v>88</v>
      </c>
      <c r="D384" s="3" t="str">
        <f>INDEX(Port_Type!$B$2:$B$227,MATCH(TRIM(C384),Port_Type!$A$2:$A$227,0))</f>
        <v>Inland ICD / CFS</v>
      </c>
      <c r="E384" s="3" t="s">
        <v>72</v>
      </c>
      <c r="F384" s="3" t="str">
        <f>INDEX(Product_Category!$B$2:$B$45,MATCH(TRIM(E384),Product_Category!$A$2:$A$45,0))</f>
        <v>Dairy, Poultry &amp; Honey</v>
      </c>
      <c r="G384" s="4">
        <v>5.0199999999999996</v>
      </c>
      <c r="H384" s="4">
        <v>2.95</v>
      </c>
      <c r="I384" s="4">
        <v>1.87</v>
      </c>
      <c r="J384" s="4">
        <v>2016.21</v>
      </c>
      <c r="K384" s="4">
        <v>1070.94</v>
      </c>
      <c r="L384" s="4">
        <v>626.97</v>
      </c>
      <c r="M384" s="4">
        <f t="shared" si="15"/>
        <v>-2.0699999999999994</v>
      </c>
      <c r="N384" s="4">
        <f t="shared" si="16"/>
        <v>-945.27</v>
      </c>
      <c r="O384" s="4">
        <f t="shared" si="17"/>
        <v>-1.08</v>
      </c>
      <c r="P384" s="3" t="s">
        <v>19</v>
      </c>
    </row>
    <row r="385" spans="1:16" x14ac:dyDescent="0.35">
      <c r="A385" s="3" t="s">
        <v>31</v>
      </c>
      <c r="B385" s="3" t="str">
        <f>INDEX(State_Region!$B$2:$B$26,MATCH(TRIM(A385),State_Region!$A$2:$A$26,0))</f>
        <v>East</v>
      </c>
      <c r="C385" s="3" t="s">
        <v>131</v>
      </c>
      <c r="D385" s="3" t="str">
        <f>INDEX(Port_Type!$B$2:$B$227,MATCH(TRIM(C385),Port_Type!$A$2:$A$227,0))</f>
        <v>Land Border / Rail</v>
      </c>
      <c r="E385" s="3" t="s">
        <v>128</v>
      </c>
      <c r="F385" s="3" t="str">
        <f>INDEX(Product_Category!$B$2:$B$45,MATCH(TRIM(E385),Product_Category!$A$2:$A$45,0))</f>
        <v>Dairy, Poultry &amp; Honey</v>
      </c>
      <c r="G385" s="4">
        <v>4.93</v>
      </c>
      <c r="H385" s="4">
        <v>4.82</v>
      </c>
      <c r="I385" s="4">
        <v>1.85</v>
      </c>
      <c r="J385" s="4">
        <v>2486.8000000000002</v>
      </c>
      <c r="K385" s="4">
        <v>2492.14</v>
      </c>
      <c r="L385" s="4">
        <v>956.24</v>
      </c>
      <c r="M385" s="4">
        <f t="shared" si="15"/>
        <v>-0.10999999999999943</v>
      </c>
      <c r="N385" s="4">
        <f t="shared" si="16"/>
        <v>5.3399999999996908</v>
      </c>
      <c r="O385" s="4">
        <f t="shared" si="17"/>
        <v>-2.97</v>
      </c>
      <c r="P385" s="3" t="s">
        <v>19</v>
      </c>
    </row>
    <row r="386" spans="1:16" x14ac:dyDescent="0.35">
      <c r="A386" s="3" t="s">
        <v>94</v>
      </c>
      <c r="B386" s="3" t="str">
        <f>INDEX(State_Region!$B$2:$B$26,MATCH(TRIM(A386),State_Region!$A$2:$A$26,0))</f>
        <v>East</v>
      </c>
      <c r="C386" s="3" t="s">
        <v>95</v>
      </c>
      <c r="D386" s="3" t="str">
        <f>INDEX(Port_Type!$B$2:$B$227,MATCH(TRIM(C386),Port_Type!$A$2:$A$227,0))</f>
        <v>Land Border / Rail</v>
      </c>
      <c r="E386" s="3" t="s">
        <v>53</v>
      </c>
      <c r="F386" s="3" t="str">
        <f>INDEX(Product_Category!$B$2:$B$45,MATCH(TRIM(E386),Product_Category!$A$2:$A$45,0))</f>
        <v>Processed Foods</v>
      </c>
      <c r="G386" s="4">
        <v>3.92</v>
      </c>
      <c r="H386" s="4">
        <v>4.9800000000000004</v>
      </c>
      <c r="I386" s="4">
        <v>1.81</v>
      </c>
      <c r="J386" s="4">
        <v>6090.78</v>
      </c>
      <c r="K386" s="4">
        <v>7004.62</v>
      </c>
      <c r="L386" s="4">
        <v>2377.34</v>
      </c>
      <c r="M386" s="4">
        <f t="shared" ref="M386:M449" si="18">H386-G386</f>
        <v>1.0600000000000005</v>
      </c>
      <c r="N386" s="4">
        <f t="shared" ref="N386:N449" si="19">K386-J386</f>
        <v>913.84000000000015</v>
      </c>
      <c r="O386" s="4">
        <f t="shared" ref="O386:O449" si="20">I386-H386</f>
        <v>-3.1700000000000004</v>
      </c>
      <c r="P386" s="3" t="s">
        <v>19</v>
      </c>
    </row>
    <row r="387" spans="1:16" x14ac:dyDescent="0.35">
      <c r="A387" s="3" t="s">
        <v>16</v>
      </c>
      <c r="B387" s="3" t="str">
        <f>INDEX(State_Region!$B$2:$B$26,MATCH(TRIM(A387),State_Region!$A$2:$A$26,0))</f>
        <v>West</v>
      </c>
      <c r="C387" s="3" t="s">
        <v>109</v>
      </c>
      <c r="D387" s="3" t="str">
        <f>INDEX(Port_Type!$B$2:$B$227,MATCH(TRIM(C387),Port_Type!$A$2:$A$227,0))</f>
        <v>SEZ / EPZ</v>
      </c>
      <c r="E387" s="3" t="s">
        <v>54</v>
      </c>
      <c r="F387" s="3" t="str">
        <f>INDEX(Product_Category!$B$2:$B$45,MATCH(TRIM(E387),Product_Category!$A$2:$A$45,0))</f>
        <v>Processed Foods</v>
      </c>
      <c r="G387" s="4">
        <v>1.69</v>
      </c>
      <c r="H387" s="4">
        <v>3.86</v>
      </c>
      <c r="I387" s="4">
        <v>1.8</v>
      </c>
      <c r="J387" s="4">
        <v>734.09</v>
      </c>
      <c r="K387" s="4">
        <v>1578.34</v>
      </c>
      <c r="L387" s="4">
        <v>716.2</v>
      </c>
      <c r="M387" s="4">
        <f t="shared" si="18"/>
        <v>2.17</v>
      </c>
      <c r="N387" s="4">
        <f t="shared" si="19"/>
        <v>844.24999999999989</v>
      </c>
      <c r="O387" s="4">
        <f t="shared" si="20"/>
        <v>-2.0599999999999996</v>
      </c>
      <c r="P387" s="3" t="s">
        <v>19</v>
      </c>
    </row>
    <row r="388" spans="1:16" x14ac:dyDescent="0.35">
      <c r="A388" s="3" t="s">
        <v>23</v>
      </c>
      <c r="B388" s="3" t="str">
        <f>INDEX(State_Region!$B$2:$B$26,MATCH(TRIM(A388),State_Region!$A$2:$A$26,0))</f>
        <v>North</v>
      </c>
      <c r="C388" s="3" t="s">
        <v>123</v>
      </c>
      <c r="D388" s="3" t="str">
        <f>INDEX(Port_Type!$B$2:$B$227,MATCH(TRIM(C388),Port_Type!$A$2:$A$227,0))</f>
        <v>Land Border / Rail</v>
      </c>
      <c r="E388" s="3" t="s">
        <v>53</v>
      </c>
      <c r="F388" s="3" t="str">
        <f>INDEX(Product_Category!$B$2:$B$45,MATCH(TRIM(E388),Product_Category!$A$2:$A$45,0))</f>
        <v>Processed Foods</v>
      </c>
      <c r="G388" s="4">
        <v>6.55</v>
      </c>
      <c r="H388" s="4">
        <v>3.73</v>
      </c>
      <c r="I388" s="4">
        <v>1.8</v>
      </c>
      <c r="J388" s="4">
        <v>3834.35</v>
      </c>
      <c r="K388" s="4">
        <v>2883.2</v>
      </c>
      <c r="L388" s="4">
        <v>1594.83</v>
      </c>
      <c r="M388" s="4">
        <f t="shared" si="18"/>
        <v>-2.82</v>
      </c>
      <c r="N388" s="4">
        <f t="shared" si="19"/>
        <v>-951.15000000000009</v>
      </c>
      <c r="O388" s="4">
        <f t="shared" si="20"/>
        <v>-1.93</v>
      </c>
      <c r="P388" s="3" t="s">
        <v>19</v>
      </c>
    </row>
    <row r="389" spans="1:16" x14ac:dyDescent="0.35">
      <c r="A389" s="3" t="s">
        <v>31</v>
      </c>
      <c r="B389" s="3" t="str">
        <f>INDEX(State_Region!$B$2:$B$26,MATCH(TRIM(A389),State_Region!$A$2:$A$26,0))</f>
        <v>East</v>
      </c>
      <c r="C389" s="3" t="s">
        <v>152</v>
      </c>
      <c r="D389" s="3" t="str">
        <f>INDEX(Port_Type!$B$2:$B$227,MATCH(TRIM(C389),Port_Type!$A$2:$A$227,0))</f>
        <v>Land Border / Rail</v>
      </c>
      <c r="E389" s="3" t="s">
        <v>54</v>
      </c>
      <c r="F389" s="3" t="str">
        <f>INDEX(Product_Category!$B$2:$B$45,MATCH(TRIM(E389),Product_Category!$A$2:$A$45,0))</f>
        <v>Processed Foods</v>
      </c>
      <c r="G389" s="4">
        <v>3.14</v>
      </c>
      <c r="H389" s="4">
        <v>5.89</v>
      </c>
      <c r="I389" s="4">
        <v>1.79</v>
      </c>
      <c r="J389" s="4">
        <v>12012.56</v>
      </c>
      <c r="K389" s="4">
        <v>13456.46</v>
      </c>
      <c r="L389" s="4">
        <v>3635.56</v>
      </c>
      <c r="M389" s="4">
        <f t="shared" si="18"/>
        <v>2.7499999999999996</v>
      </c>
      <c r="N389" s="4">
        <f t="shared" si="19"/>
        <v>1443.8999999999996</v>
      </c>
      <c r="O389" s="4">
        <f t="shared" si="20"/>
        <v>-4.0999999999999996</v>
      </c>
      <c r="P389" s="3" t="s">
        <v>19</v>
      </c>
    </row>
    <row r="390" spans="1:16" x14ac:dyDescent="0.35">
      <c r="A390" s="3" t="s">
        <v>23</v>
      </c>
      <c r="B390" s="3" t="str">
        <f>INDEX(State_Region!$B$2:$B$26,MATCH(TRIM(A390),State_Region!$A$2:$A$26,0))</f>
        <v>North</v>
      </c>
      <c r="C390" s="3" t="s">
        <v>43</v>
      </c>
      <c r="D390" s="3" t="str">
        <f>INDEX(Port_Type!$B$2:$B$227,MATCH(TRIM(C390),Port_Type!$A$2:$A$227,0))</f>
        <v>Land Border / Rail</v>
      </c>
      <c r="E390" s="3" t="s">
        <v>125</v>
      </c>
      <c r="F390" s="3" t="str">
        <f>INDEX(Product_Category!$B$2:$B$45,MATCH(TRIM(E390),Product_Category!$A$2:$A$45,0))</f>
        <v>Meat &amp; Animal Products</v>
      </c>
      <c r="G390" s="4">
        <v>3.45</v>
      </c>
      <c r="H390" s="4">
        <v>5.2</v>
      </c>
      <c r="I390" s="4">
        <v>1.79</v>
      </c>
      <c r="J390" s="4">
        <v>654.26</v>
      </c>
      <c r="K390" s="4">
        <v>1297.53</v>
      </c>
      <c r="L390" s="4">
        <v>402.5</v>
      </c>
      <c r="M390" s="4">
        <f t="shared" si="18"/>
        <v>1.75</v>
      </c>
      <c r="N390" s="4">
        <f t="shared" si="19"/>
        <v>643.27</v>
      </c>
      <c r="O390" s="4">
        <f t="shared" si="20"/>
        <v>-3.41</v>
      </c>
      <c r="P390" s="3" t="s">
        <v>19</v>
      </c>
    </row>
    <row r="391" spans="1:16" x14ac:dyDescent="0.35">
      <c r="A391" s="3" t="s">
        <v>40</v>
      </c>
      <c r="B391" s="3" t="str">
        <f>INDEX(State_Region!$B$2:$B$26,MATCH(TRIM(A391),State_Region!$A$2:$A$26,0))</f>
        <v>South</v>
      </c>
      <c r="C391" s="3" t="s">
        <v>41</v>
      </c>
      <c r="D391" s="3" t="str">
        <f>INDEX(Port_Type!$B$2:$B$227,MATCH(TRIM(C391),Port_Type!$A$2:$A$227,0))</f>
        <v>Sea Port</v>
      </c>
      <c r="E391" s="3" t="s">
        <v>65</v>
      </c>
      <c r="F391" s="3" t="str">
        <f>INDEX(Product_Category!$B$2:$B$45,MATCH(TRIM(E391),Product_Category!$A$2:$A$45,0))</f>
        <v>Cereals &amp; Grains</v>
      </c>
      <c r="G391" s="4">
        <v>4.6500000000000004</v>
      </c>
      <c r="H391" s="4">
        <v>5.24</v>
      </c>
      <c r="I391" s="4">
        <v>1.78</v>
      </c>
      <c r="J391" s="4">
        <v>7392.15</v>
      </c>
      <c r="K391" s="4">
        <v>9158.7099999999991</v>
      </c>
      <c r="L391" s="4">
        <v>3118.11</v>
      </c>
      <c r="M391" s="4">
        <f t="shared" si="18"/>
        <v>0.58999999999999986</v>
      </c>
      <c r="N391" s="4">
        <f t="shared" si="19"/>
        <v>1766.5599999999995</v>
      </c>
      <c r="O391" s="4">
        <f t="shared" si="20"/>
        <v>-3.46</v>
      </c>
      <c r="P391" s="3" t="s">
        <v>19</v>
      </c>
    </row>
    <row r="392" spans="1:16" x14ac:dyDescent="0.35">
      <c r="A392" s="3" t="s">
        <v>77</v>
      </c>
      <c r="B392" s="3" t="str">
        <f>INDEX(State_Region!$B$2:$B$26,MATCH(TRIM(A392),State_Region!$A$2:$A$26,0))</f>
        <v>South</v>
      </c>
      <c r="C392" s="3" t="s">
        <v>149</v>
      </c>
      <c r="D392" s="3" t="str">
        <f>INDEX(Port_Type!$B$2:$B$227,MATCH(TRIM(C392),Port_Type!$A$2:$A$227,0))</f>
        <v>SEZ / EPZ</v>
      </c>
      <c r="E392" s="3" t="s">
        <v>60</v>
      </c>
      <c r="F392" s="3" t="str">
        <f>INDEX(Product_Category!$B$2:$B$45,MATCH(TRIM(E392),Product_Category!$A$2:$A$45,0))</f>
        <v>Processed Foods</v>
      </c>
      <c r="G392" s="4">
        <v>17.010000000000002</v>
      </c>
      <c r="H392" s="4">
        <v>4.04</v>
      </c>
      <c r="I392" s="4">
        <v>1.77</v>
      </c>
      <c r="J392" s="4">
        <v>964.58</v>
      </c>
      <c r="K392" s="4">
        <v>222.02</v>
      </c>
      <c r="L392" s="4">
        <v>43.28</v>
      </c>
      <c r="M392" s="4">
        <f t="shared" si="18"/>
        <v>-12.970000000000002</v>
      </c>
      <c r="N392" s="4">
        <f t="shared" si="19"/>
        <v>-742.56000000000006</v>
      </c>
      <c r="O392" s="4">
        <f t="shared" si="20"/>
        <v>-2.27</v>
      </c>
      <c r="P392" s="3" t="s">
        <v>19</v>
      </c>
    </row>
    <row r="393" spans="1:16" x14ac:dyDescent="0.35">
      <c r="A393" s="3" t="s">
        <v>57</v>
      </c>
      <c r="B393" s="3" t="str">
        <f>INDEX(State_Region!$B$2:$B$26,MATCH(TRIM(A393),State_Region!$A$2:$A$26,0))</f>
        <v>Central</v>
      </c>
      <c r="C393" s="3" t="s">
        <v>161</v>
      </c>
      <c r="D393" s="3" t="str">
        <f>INDEX(Port_Type!$B$2:$B$227,MATCH(TRIM(C393),Port_Type!$A$2:$A$227,0))</f>
        <v>Inland ICD / CFS</v>
      </c>
      <c r="E393" s="3" t="s">
        <v>65</v>
      </c>
      <c r="F393" s="3" t="str">
        <f>INDEX(Product_Category!$B$2:$B$45,MATCH(TRIM(E393),Product_Category!$A$2:$A$45,0))</f>
        <v>Cereals &amp; Grains</v>
      </c>
      <c r="G393" s="4">
        <v>0.74</v>
      </c>
      <c r="H393" s="4">
        <v>1.6</v>
      </c>
      <c r="I393" s="4">
        <v>1.77</v>
      </c>
      <c r="J393" s="4">
        <v>1120.5999999999999</v>
      </c>
      <c r="K393" s="4">
        <v>2653.49</v>
      </c>
      <c r="L393" s="4">
        <v>3791.14</v>
      </c>
      <c r="M393" s="4">
        <f t="shared" si="18"/>
        <v>0.8600000000000001</v>
      </c>
      <c r="N393" s="4">
        <f t="shared" si="19"/>
        <v>1532.8899999999999</v>
      </c>
      <c r="O393" s="4">
        <f t="shared" si="20"/>
        <v>0.16999999999999993</v>
      </c>
      <c r="P393" s="3" t="s">
        <v>19</v>
      </c>
    </row>
    <row r="394" spans="1:16" x14ac:dyDescent="0.35">
      <c r="A394" s="3" t="s">
        <v>16</v>
      </c>
      <c r="B394" s="3" t="str">
        <f>INDEX(State_Region!$B$2:$B$26,MATCH(TRIM(A394),State_Region!$A$2:$A$26,0))</f>
        <v>West</v>
      </c>
      <c r="C394" s="3" t="s">
        <v>172</v>
      </c>
      <c r="D394" s="3" t="str">
        <f>INDEX(Port_Type!$B$2:$B$227,MATCH(TRIM(C394),Port_Type!$A$2:$A$227,0))</f>
        <v>Sea Port</v>
      </c>
      <c r="E394" s="3" t="s">
        <v>51</v>
      </c>
      <c r="F394" s="3" t="str">
        <f>INDEX(Product_Category!$B$2:$B$45,MATCH(TRIM(E394),Product_Category!$A$2:$A$45,0))</f>
        <v>Nuts &amp; Oilseeds</v>
      </c>
      <c r="G394" s="4">
        <v>6.18</v>
      </c>
      <c r="H394" s="4">
        <v>7.65</v>
      </c>
      <c r="I394" s="4">
        <v>1.77</v>
      </c>
      <c r="J394" s="4">
        <v>5392</v>
      </c>
      <c r="K394" s="4">
        <v>7736.9</v>
      </c>
      <c r="L394" s="4">
        <v>1569.52</v>
      </c>
      <c r="M394" s="4">
        <f t="shared" si="18"/>
        <v>1.4700000000000006</v>
      </c>
      <c r="N394" s="4">
        <f t="shared" si="19"/>
        <v>2344.8999999999996</v>
      </c>
      <c r="O394" s="4">
        <f t="shared" si="20"/>
        <v>-5.8800000000000008</v>
      </c>
      <c r="P394" s="3" t="s">
        <v>19</v>
      </c>
    </row>
    <row r="395" spans="1:16" x14ac:dyDescent="0.35">
      <c r="A395" s="3" t="s">
        <v>31</v>
      </c>
      <c r="B395" s="3" t="str">
        <f>INDEX(State_Region!$B$2:$B$26,MATCH(TRIM(A395),State_Region!$A$2:$A$26,0))</f>
        <v>East</v>
      </c>
      <c r="C395" s="3" t="s">
        <v>32</v>
      </c>
      <c r="D395" s="3" t="str">
        <f>INDEX(Port_Type!$B$2:$B$227,MATCH(TRIM(C395),Port_Type!$A$2:$A$227,0))</f>
        <v>Sea Port</v>
      </c>
      <c r="E395" s="3" t="s">
        <v>53</v>
      </c>
      <c r="F395" s="3" t="str">
        <f>INDEX(Product_Category!$B$2:$B$45,MATCH(TRIM(E395),Product_Category!$A$2:$A$45,0))</f>
        <v>Processed Foods</v>
      </c>
      <c r="G395" s="4">
        <v>0.13</v>
      </c>
      <c r="H395" s="4">
        <v>5.49</v>
      </c>
      <c r="I395" s="4">
        <v>1.76</v>
      </c>
      <c r="J395" s="4">
        <v>109.41</v>
      </c>
      <c r="K395" s="4">
        <v>13681.81</v>
      </c>
      <c r="L395" s="4">
        <v>4311.8100000000004</v>
      </c>
      <c r="M395" s="4">
        <f t="shared" si="18"/>
        <v>5.36</v>
      </c>
      <c r="N395" s="4">
        <f t="shared" si="19"/>
        <v>13572.4</v>
      </c>
      <c r="O395" s="4">
        <f t="shared" si="20"/>
        <v>-3.7300000000000004</v>
      </c>
      <c r="P395" s="3" t="s">
        <v>19</v>
      </c>
    </row>
    <row r="396" spans="1:16" x14ac:dyDescent="0.35">
      <c r="A396" s="3" t="s">
        <v>66</v>
      </c>
      <c r="B396" s="3" t="str">
        <f>INDEX(State_Region!$B$2:$B$26,MATCH(TRIM(A396),State_Region!$A$2:$A$26,0))</f>
        <v>North</v>
      </c>
      <c r="C396" s="3" t="s">
        <v>108</v>
      </c>
      <c r="D396" s="3" t="str">
        <f>INDEX(Port_Type!$B$2:$B$227,MATCH(TRIM(C396),Port_Type!$A$2:$A$227,0))</f>
        <v>Inland ICD / CFS</v>
      </c>
      <c r="E396" s="3" t="s">
        <v>118</v>
      </c>
      <c r="F396" s="3" t="str">
        <f>INDEX(Product_Category!$B$2:$B$45,MATCH(TRIM(E396),Product_Category!$A$2:$A$45,0))</f>
        <v>Dairy, Poultry &amp; Honey</v>
      </c>
      <c r="G396" s="4">
        <v>10.69</v>
      </c>
      <c r="H396" s="4">
        <v>19.09</v>
      </c>
      <c r="I396" s="4">
        <v>1.76</v>
      </c>
      <c r="J396" s="4">
        <v>5696.01</v>
      </c>
      <c r="K396" s="4">
        <v>11161.14</v>
      </c>
      <c r="L396" s="4">
        <v>1172.96</v>
      </c>
      <c r="M396" s="4">
        <f t="shared" si="18"/>
        <v>8.4</v>
      </c>
      <c r="N396" s="4">
        <f t="shared" si="19"/>
        <v>5465.1299999999992</v>
      </c>
      <c r="O396" s="4">
        <f t="shared" si="20"/>
        <v>-17.329999999999998</v>
      </c>
      <c r="P396" s="3" t="s">
        <v>19</v>
      </c>
    </row>
    <row r="397" spans="1:16" x14ac:dyDescent="0.35">
      <c r="A397" s="3" t="s">
        <v>77</v>
      </c>
      <c r="B397" s="3" t="str">
        <f>INDEX(State_Region!$B$2:$B$26,MATCH(TRIM(A397),State_Region!$A$2:$A$26,0))</f>
        <v>South</v>
      </c>
      <c r="C397" s="3" t="s">
        <v>168</v>
      </c>
      <c r="D397" s="3" t="str">
        <f>INDEX(Port_Type!$B$2:$B$227,MATCH(TRIM(C397),Port_Type!$A$2:$A$227,0))</f>
        <v>Air Cargo</v>
      </c>
      <c r="E397" s="3" t="s">
        <v>45</v>
      </c>
      <c r="F397" s="3" t="str">
        <f>INDEX(Product_Category!$B$2:$B$45,MATCH(TRIM(E397),Product_Category!$A$2:$A$45,0))</f>
        <v>Fresh Fruits &amp; Vegetables</v>
      </c>
      <c r="G397" s="4">
        <v>4.01</v>
      </c>
      <c r="H397" s="4">
        <v>4.55</v>
      </c>
      <c r="I397" s="4">
        <v>1.75</v>
      </c>
      <c r="J397" s="4">
        <v>3850.39</v>
      </c>
      <c r="K397" s="4">
        <v>4217.25</v>
      </c>
      <c r="L397" s="4">
        <v>1539.52</v>
      </c>
      <c r="M397" s="4">
        <f t="shared" si="18"/>
        <v>0.54</v>
      </c>
      <c r="N397" s="4">
        <f t="shared" si="19"/>
        <v>366.86000000000013</v>
      </c>
      <c r="O397" s="4">
        <f t="shared" si="20"/>
        <v>-2.8</v>
      </c>
      <c r="P397" s="3" t="s">
        <v>19</v>
      </c>
    </row>
    <row r="398" spans="1:16" x14ac:dyDescent="0.35">
      <c r="A398" s="3" t="s">
        <v>79</v>
      </c>
      <c r="B398" s="3" t="str">
        <f>INDEX(State_Region!$B$2:$B$26,MATCH(TRIM(A398),State_Region!$A$2:$A$26,0))</f>
        <v>South</v>
      </c>
      <c r="C398" s="3" t="s">
        <v>80</v>
      </c>
      <c r="D398" s="3" t="str">
        <f>INDEX(Port_Type!$B$2:$B$227,MATCH(TRIM(C398),Port_Type!$A$2:$A$227,0))</f>
        <v>Inland ICD / CFS</v>
      </c>
      <c r="E398" s="3" t="s">
        <v>174</v>
      </c>
      <c r="F398" s="3" t="str">
        <f>INDEX(Product_Category!$B$2:$B$45,MATCH(TRIM(E398),Product_Category!$A$2:$A$45,0))</f>
        <v>Dairy, Poultry &amp; Honey</v>
      </c>
      <c r="G398" s="4">
        <v>4.8899999999999997</v>
      </c>
      <c r="H398" s="4">
        <v>3.93</v>
      </c>
      <c r="I398" s="4">
        <v>1.75</v>
      </c>
      <c r="J398" s="4">
        <v>450.51</v>
      </c>
      <c r="K398" s="4">
        <v>677.45</v>
      </c>
      <c r="L398" s="4">
        <v>306.69</v>
      </c>
      <c r="M398" s="4">
        <f t="shared" si="18"/>
        <v>-0.95999999999999952</v>
      </c>
      <c r="N398" s="4">
        <f t="shared" si="19"/>
        <v>226.94000000000005</v>
      </c>
      <c r="O398" s="4">
        <f t="shared" si="20"/>
        <v>-2.1800000000000002</v>
      </c>
      <c r="P398" s="3" t="s">
        <v>19</v>
      </c>
    </row>
    <row r="399" spans="1:16" x14ac:dyDescent="0.35">
      <c r="A399" s="3" t="s">
        <v>16</v>
      </c>
      <c r="B399" s="3" t="str">
        <f>INDEX(State_Region!$B$2:$B$26,MATCH(TRIM(A399),State_Region!$A$2:$A$26,0))</f>
        <v>West</v>
      </c>
      <c r="C399" s="3" t="s">
        <v>89</v>
      </c>
      <c r="D399" s="3" t="str">
        <f>INDEX(Port_Type!$B$2:$B$227,MATCH(TRIM(C399),Port_Type!$A$2:$A$227,0))</f>
        <v>Inland ICD / CFS</v>
      </c>
      <c r="E399" s="3" t="s">
        <v>65</v>
      </c>
      <c r="F399" s="3" t="str">
        <f>INDEX(Product_Category!$B$2:$B$45,MATCH(TRIM(E399),Product_Category!$A$2:$A$45,0))</f>
        <v>Cereals &amp; Grains</v>
      </c>
      <c r="G399" s="4">
        <v>4.07</v>
      </c>
      <c r="H399" s="4">
        <v>4.28</v>
      </c>
      <c r="I399" s="4">
        <v>1.71</v>
      </c>
      <c r="J399" s="4">
        <v>9382.02</v>
      </c>
      <c r="K399" s="4">
        <v>10330.049999999999</v>
      </c>
      <c r="L399" s="4">
        <v>4353.66</v>
      </c>
      <c r="M399" s="4">
        <f t="shared" si="18"/>
        <v>0.20999999999999996</v>
      </c>
      <c r="N399" s="4">
        <f t="shared" si="19"/>
        <v>948.02999999999884</v>
      </c>
      <c r="O399" s="4">
        <f t="shared" si="20"/>
        <v>-2.5700000000000003</v>
      </c>
      <c r="P399" s="3" t="s">
        <v>19</v>
      </c>
    </row>
    <row r="400" spans="1:16" x14ac:dyDescent="0.35">
      <c r="A400" s="3" t="s">
        <v>77</v>
      </c>
      <c r="B400" s="3" t="str">
        <f>INDEX(State_Region!$B$2:$B$26,MATCH(TRIM(A400),State_Region!$A$2:$A$26,0))</f>
        <v>South</v>
      </c>
      <c r="C400" s="3" t="s">
        <v>132</v>
      </c>
      <c r="D400" s="3" t="str">
        <f>INDEX(Port_Type!$B$2:$B$227,MATCH(TRIM(C400),Port_Type!$A$2:$A$227,0))</f>
        <v>Air Cargo</v>
      </c>
      <c r="E400" s="3" t="s">
        <v>122</v>
      </c>
      <c r="F400" s="3" t="str">
        <f>INDEX(Product_Category!$B$2:$B$45,MATCH(TRIM(E400),Product_Category!$A$2:$A$45,0))</f>
        <v>Others</v>
      </c>
      <c r="G400" s="4">
        <v>3.82</v>
      </c>
      <c r="H400" s="4">
        <v>4.09</v>
      </c>
      <c r="I400" s="4">
        <v>1.7</v>
      </c>
      <c r="J400" s="4">
        <v>996.87</v>
      </c>
      <c r="K400" s="4">
        <v>1096.52</v>
      </c>
      <c r="L400" s="4">
        <v>454.47</v>
      </c>
      <c r="M400" s="4">
        <f t="shared" si="18"/>
        <v>0.27</v>
      </c>
      <c r="N400" s="4">
        <f t="shared" si="19"/>
        <v>99.649999999999977</v>
      </c>
      <c r="O400" s="4">
        <f t="shared" si="20"/>
        <v>-2.3899999999999997</v>
      </c>
      <c r="P400" s="3" t="s">
        <v>19</v>
      </c>
    </row>
    <row r="401" spans="1:16" x14ac:dyDescent="0.35">
      <c r="A401" s="3" t="s">
        <v>49</v>
      </c>
      <c r="B401" s="3" t="str">
        <f>INDEX(State_Region!$B$2:$B$26,MATCH(TRIM(A401),State_Region!$A$2:$A$26,0))</f>
        <v>North</v>
      </c>
      <c r="C401" s="3" t="s">
        <v>176</v>
      </c>
      <c r="D401" s="3" t="str">
        <f>INDEX(Port_Type!$B$2:$B$227,MATCH(TRIM(C401),Port_Type!$A$2:$A$227,0))</f>
        <v>Inland ICD / CFS</v>
      </c>
      <c r="E401" s="3" t="s">
        <v>118</v>
      </c>
      <c r="F401" s="3" t="str">
        <f>INDEX(Product_Category!$B$2:$B$45,MATCH(TRIM(E401),Product_Category!$A$2:$A$45,0))</f>
        <v>Dairy, Poultry &amp; Honey</v>
      </c>
      <c r="G401" s="4">
        <v>6.05</v>
      </c>
      <c r="H401" s="4">
        <v>3.83</v>
      </c>
      <c r="I401" s="4">
        <v>1.69</v>
      </c>
      <c r="J401" s="4">
        <v>3909.44</v>
      </c>
      <c r="K401" s="4">
        <v>2143.52</v>
      </c>
      <c r="L401" s="4">
        <v>1150.2</v>
      </c>
      <c r="M401" s="4">
        <f t="shared" si="18"/>
        <v>-2.2199999999999998</v>
      </c>
      <c r="N401" s="4">
        <f t="shared" si="19"/>
        <v>-1765.92</v>
      </c>
      <c r="O401" s="4">
        <f t="shared" si="20"/>
        <v>-2.14</v>
      </c>
      <c r="P401" s="3" t="s">
        <v>19</v>
      </c>
    </row>
    <row r="402" spans="1:16" x14ac:dyDescent="0.35">
      <c r="A402" s="3" t="s">
        <v>40</v>
      </c>
      <c r="B402" s="3" t="str">
        <f>INDEX(State_Region!$B$2:$B$26,MATCH(TRIM(A402),State_Region!$A$2:$A$26,0))</f>
        <v>South</v>
      </c>
      <c r="C402" s="3" t="s">
        <v>117</v>
      </c>
      <c r="D402" s="3" t="str">
        <f>INDEX(Port_Type!$B$2:$B$227,MATCH(TRIM(C402),Port_Type!$A$2:$A$227,0))</f>
        <v>Sea Port</v>
      </c>
      <c r="E402" s="3" t="s">
        <v>53</v>
      </c>
      <c r="F402" s="3" t="str">
        <f>INDEX(Product_Category!$B$2:$B$45,MATCH(TRIM(E402),Product_Category!$A$2:$A$45,0))</f>
        <v>Processed Foods</v>
      </c>
      <c r="G402" s="4">
        <v>23.26</v>
      </c>
      <c r="H402" s="4">
        <v>5.86</v>
      </c>
      <c r="I402" s="4">
        <v>1.67</v>
      </c>
      <c r="J402" s="4">
        <v>41812.06</v>
      </c>
      <c r="K402" s="4">
        <v>9514.77</v>
      </c>
      <c r="L402" s="4">
        <v>2611.7800000000002</v>
      </c>
      <c r="M402" s="4">
        <f t="shared" si="18"/>
        <v>-17.400000000000002</v>
      </c>
      <c r="N402" s="4">
        <f t="shared" si="19"/>
        <v>-32297.289999999997</v>
      </c>
      <c r="O402" s="4">
        <f t="shared" si="20"/>
        <v>-4.1900000000000004</v>
      </c>
      <c r="P402" s="3" t="s">
        <v>19</v>
      </c>
    </row>
    <row r="403" spans="1:16" x14ac:dyDescent="0.35">
      <c r="A403" s="3" t="s">
        <v>57</v>
      </c>
      <c r="B403" s="3" t="str">
        <f>INDEX(State_Region!$B$2:$B$26,MATCH(TRIM(A403),State_Region!$A$2:$A$26,0))</f>
        <v>Central</v>
      </c>
      <c r="C403" s="3" t="s">
        <v>175</v>
      </c>
      <c r="D403" s="3" t="str">
        <f>INDEX(Port_Type!$B$2:$B$227,MATCH(TRIM(C403),Port_Type!$A$2:$A$227,0))</f>
        <v>Inland ICD / CFS</v>
      </c>
      <c r="E403" s="3" t="s">
        <v>48</v>
      </c>
      <c r="F403" s="3" t="str">
        <f>INDEX(Product_Category!$B$2:$B$45,MATCH(TRIM(E403),Product_Category!$A$2:$A$45,0))</f>
        <v>Processed Foods</v>
      </c>
      <c r="G403" s="4">
        <v>0</v>
      </c>
      <c r="H403" s="4">
        <v>5.62</v>
      </c>
      <c r="I403" s="4">
        <v>1.67</v>
      </c>
      <c r="J403" s="4">
        <v>0</v>
      </c>
      <c r="K403" s="4">
        <v>4994.33</v>
      </c>
      <c r="L403" s="4">
        <v>1306.6300000000001</v>
      </c>
      <c r="M403" s="4">
        <f t="shared" si="18"/>
        <v>5.62</v>
      </c>
      <c r="N403" s="4">
        <f t="shared" si="19"/>
        <v>4994.33</v>
      </c>
      <c r="O403" s="4">
        <f t="shared" si="20"/>
        <v>-3.95</v>
      </c>
      <c r="P403" s="3" t="s">
        <v>19</v>
      </c>
    </row>
    <row r="404" spans="1:16" x14ac:dyDescent="0.35">
      <c r="A404" s="3" t="s">
        <v>20</v>
      </c>
      <c r="B404" s="3" t="str">
        <f>INDEX(State_Region!$B$2:$B$26,MATCH(TRIM(A404),State_Region!$A$2:$A$26,0))</f>
        <v>West</v>
      </c>
      <c r="C404" s="3" t="s">
        <v>134</v>
      </c>
      <c r="D404" s="3" t="str">
        <f>INDEX(Port_Type!$B$2:$B$227,MATCH(TRIM(C404),Port_Type!$A$2:$A$227,0))</f>
        <v>Inland ICD / CFS</v>
      </c>
      <c r="E404" s="3" t="s">
        <v>45</v>
      </c>
      <c r="F404" s="3" t="str">
        <f>INDEX(Product_Category!$B$2:$B$45,MATCH(TRIM(E404),Product_Category!$A$2:$A$45,0))</f>
        <v>Fresh Fruits &amp; Vegetables</v>
      </c>
      <c r="G404" s="4">
        <v>0</v>
      </c>
      <c r="H404" s="4">
        <v>9.17</v>
      </c>
      <c r="I404" s="4">
        <v>1.66</v>
      </c>
      <c r="J404" s="4">
        <v>0</v>
      </c>
      <c r="K404" s="4">
        <v>22578.34</v>
      </c>
      <c r="L404" s="4">
        <v>4399.53</v>
      </c>
      <c r="M404" s="4">
        <f t="shared" si="18"/>
        <v>9.17</v>
      </c>
      <c r="N404" s="4">
        <f t="shared" si="19"/>
        <v>22578.34</v>
      </c>
      <c r="O404" s="4">
        <f t="shared" si="20"/>
        <v>-7.51</v>
      </c>
      <c r="P404" s="3" t="s">
        <v>19</v>
      </c>
    </row>
    <row r="405" spans="1:16" x14ac:dyDescent="0.35">
      <c r="A405" s="3" t="s">
        <v>31</v>
      </c>
      <c r="B405" s="3" t="str">
        <f>INDEX(State_Region!$B$2:$B$26,MATCH(TRIM(A405),State_Region!$A$2:$A$26,0))</f>
        <v>East</v>
      </c>
      <c r="C405" s="3" t="s">
        <v>32</v>
      </c>
      <c r="D405" s="3" t="str">
        <f>INDEX(Port_Type!$B$2:$B$227,MATCH(TRIM(C405),Port_Type!$A$2:$A$227,0))</f>
        <v>Sea Port</v>
      </c>
      <c r="E405" s="3" t="s">
        <v>62</v>
      </c>
      <c r="F405" s="3" t="str">
        <f>INDEX(Product_Category!$B$2:$B$45,MATCH(TRIM(E405),Product_Category!$A$2:$A$45,0))</f>
        <v>Cereals &amp; Grains</v>
      </c>
      <c r="G405" s="4">
        <v>9.76</v>
      </c>
      <c r="H405" s="4">
        <v>0.01</v>
      </c>
      <c r="I405" s="4">
        <v>1.66</v>
      </c>
      <c r="J405" s="4">
        <v>37682.61</v>
      </c>
      <c r="K405" s="4">
        <v>24.84</v>
      </c>
      <c r="L405" s="4">
        <v>7292.99</v>
      </c>
      <c r="M405" s="4">
        <f t="shared" si="18"/>
        <v>-9.75</v>
      </c>
      <c r="N405" s="4">
        <f t="shared" si="19"/>
        <v>-37657.770000000004</v>
      </c>
      <c r="O405" s="4">
        <f t="shared" si="20"/>
        <v>1.65</v>
      </c>
      <c r="P405" s="3" t="s">
        <v>19</v>
      </c>
    </row>
    <row r="406" spans="1:16" x14ac:dyDescent="0.35">
      <c r="A406" s="3" t="s">
        <v>31</v>
      </c>
      <c r="B406" s="3" t="str">
        <f>INDEX(State_Region!$B$2:$B$26,MATCH(TRIM(A406),State_Region!$A$2:$A$26,0))</f>
        <v>East</v>
      </c>
      <c r="C406" s="3" t="s">
        <v>146</v>
      </c>
      <c r="D406" s="3" t="str">
        <f>INDEX(Port_Type!$B$2:$B$227,MATCH(TRIM(C406),Port_Type!$A$2:$A$227,0))</f>
        <v>Land Border / Rail</v>
      </c>
      <c r="E406" s="3" t="s">
        <v>39</v>
      </c>
      <c r="F406" s="3" t="str">
        <f>INDEX(Product_Category!$B$2:$B$45,MATCH(TRIM(E406),Product_Category!$A$2:$A$45,0))</f>
        <v>Processed Foods</v>
      </c>
      <c r="G406" s="4">
        <v>4.5599999999999996</v>
      </c>
      <c r="H406" s="4">
        <v>5.86</v>
      </c>
      <c r="I406" s="4">
        <v>1.64</v>
      </c>
      <c r="J406" s="4">
        <v>10035.6</v>
      </c>
      <c r="K406" s="4">
        <v>13493.12</v>
      </c>
      <c r="L406" s="4">
        <v>3732.75</v>
      </c>
      <c r="M406" s="4">
        <f t="shared" si="18"/>
        <v>1.3000000000000007</v>
      </c>
      <c r="N406" s="4">
        <f t="shared" si="19"/>
        <v>3457.5200000000004</v>
      </c>
      <c r="O406" s="4">
        <f t="shared" si="20"/>
        <v>-4.2200000000000006</v>
      </c>
      <c r="P406" s="3" t="s">
        <v>19</v>
      </c>
    </row>
    <row r="407" spans="1:16" x14ac:dyDescent="0.35">
      <c r="A407" s="3" t="s">
        <v>23</v>
      </c>
      <c r="B407" s="3" t="str">
        <f>INDEX(State_Region!$B$2:$B$26,MATCH(TRIM(A407),State_Region!$A$2:$A$26,0))</f>
        <v>North</v>
      </c>
      <c r="C407" s="3" t="s">
        <v>177</v>
      </c>
      <c r="D407" s="3" t="str">
        <f>INDEX(Port_Type!$B$2:$B$227,MATCH(TRIM(C407),Port_Type!$A$2:$A$227,0))</f>
        <v>SEZ / EPZ</v>
      </c>
      <c r="E407" s="3" t="s">
        <v>60</v>
      </c>
      <c r="F407" s="3" t="str">
        <f>INDEX(Product_Category!$B$2:$B$45,MATCH(TRIM(E407),Product_Category!$A$2:$A$45,0))</f>
        <v>Processed Foods</v>
      </c>
      <c r="G407" s="4">
        <v>8.6199999999999992</v>
      </c>
      <c r="H407" s="4">
        <v>9.4700000000000006</v>
      </c>
      <c r="I407" s="4">
        <v>1.64</v>
      </c>
      <c r="J407" s="4">
        <v>667.66</v>
      </c>
      <c r="K407" s="4">
        <v>488.55</v>
      </c>
      <c r="L407" s="4">
        <v>73.83</v>
      </c>
      <c r="M407" s="4">
        <f t="shared" si="18"/>
        <v>0.85000000000000142</v>
      </c>
      <c r="N407" s="4">
        <f t="shared" si="19"/>
        <v>-179.10999999999996</v>
      </c>
      <c r="O407" s="4">
        <f t="shared" si="20"/>
        <v>-7.830000000000001</v>
      </c>
      <c r="P407" s="3" t="s">
        <v>19</v>
      </c>
    </row>
    <row r="408" spans="1:16" x14ac:dyDescent="0.35">
      <c r="A408" s="3" t="s">
        <v>94</v>
      </c>
      <c r="B408" s="3" t="str">
        <f>INDEX(State_Region!$B$2:$B$26,MATCH(TRIM(A408),State_Region!$A$2:$A$26,0))</f>
        <v>East</v>
      </c>
      <c r="C408" s="3" t="s">
        <v>112</v>
      </c>
      <c r="D408" s="3" t="str">
        <f>INDEX(Port_Type!$B$2:$B$227,MATCH(TRIM(C408),Port_Type!$A$2:$A$227,0))</f>
        <v>Land Border / Rail</v>
      </c>
      <c r="E408" s="3" t="s">
        <v>18</v>
      </c>
      <c r="F408" s="3" t="str">
        <f>INDEX(Product_Category!$B$2:$B$45,MATCH(TRIM(E408),Product_Category!$A$2:$A$45,0))</f>
        <v>Cereals &amp; Grains</v>
      </c>
      <c r="G408" s="4">
        <v>3.16</v>
      </c>
      <c r="H408" s="4">
        <v>5.25</v>
      </c>
      <c r="I408" s="4">
        <v>1.63</v>
      </c>
      <c r="J408" s="4">
        <v>3350.52</v>
      </c>
      <c r="K408" s="4">
        <v>6811.06</v>
      </c>
      <c r="L408" s="4">
        <v>2002</v>
      </c>
      <c r="M408" s="4">
        <f t="shared" si="18"/>
        <v>2.09</v>
      </c>
      <c r="N408" s="4">
        <f t="shared" si="19"/>
        <v>3460.5400000000004</v>
      </c>
      <c r="O408" s="4">
        <f t="shared" si="20"/>
        <v>-3.62</v>
      </c>
      <c r="P408" s="3" t="s">
        <v>19</v>
      </c>
    </row>
    <row r="409" spans="1:16" x14ac:dyDescent="0.35">
      <c r="A409" s="3" t="s">
        <v>23</v>
      </c>
      <c r="B409" s="3" t="str">
        <f>INDEX(State_Region!$B$2:$B$26,MATCH(TRIM(A409),State_Region!$A$2:$A$26,0))</f>
        <v>North</v>
      </c>
      <c r="C409" s="3" t="s">
        <v>44</v>
      </c>
      <c r="D409" s="3" t="str">
        <f>INDEX(Port_Type!$B$2:$B$227,MATCH(TRIM(C409),Port_Type!$A$2:$A$227,0))</f>
        <v>Inland ICD / CFS</v>
      </c>
      <c r="E409" s="3" t="s">
        <v>27</v>
      </c>
      <c r="F409" s="3" t="str">
        <f>INDEX(Product_Category!$B$2:$B$45,MATCH(TRIM(E409),Product_Category!$A$2:$A$45,0))</f>
        <v>Cereals &amp; Grains</v>
      </c>
      <c r="G409" s="4">
        <v>2.5</v>
      </c>
      <c r="H409" s="4">
        <v>3.53</v>
      </c>
      <c r="I409" s="4">
        <v>1.63</v>
      </c>
      <c r="J409" s="4">
        <v>3474.9</v>
      </c>
      <c r="K409" s="4">
        <v>3666.85</v>
      </c>
      <c r="L409" s="4">
        <v>1860.61</v>
      </c>
      <c r="M409" s="4">
        <f t="shared" si="18"/>
        <v>1.0299999999999998</v>
      </c>
      <c r="N409" s="4">
        <f t="shared" si="19"/>
        <v>191.94999999999982</v>
      </c>
      <c r="O409" s="4">
        <f t="shared" si="20"/>
        <v>-1.9</v>
      </c>
      <c r="P409" s="3" t="s">
        <v>19</v>
      </c>
    </row>
    <row r="410" spans="1:16" x14ac:dyDescent="0.35">
      <c r="A410" s="3" t="s">
        <v>23</v>
      </c>
      <c r="B410" s="3" t="str">
        <f>INDEX(State_Region!$B$2:$B$26,MATCH(TRIM(A410),State_Region!$A$2:$A$26,0))</f>
        <v>North</v>
      </c>
      <c r="C410" s="3" t="s">
        <v>24</v>
      </c>
      <c r="D410" s="3" t="str">
        <f>INDEX(Port_Type!$B$2:$B$227,MATCH(TRIM(C410),Port_Type!$A$2:$A$227,0))</f>
        <v>Inland ICD / CFS</v>
      </c>
      <c r="E410" s="3" t="s">
        <v>72</v>
      </c>
      <c r="F410" s="3" t="str">
        <f>INDEX(Product_Category!$B$2:$B$45,MATCH(TRIM(E410),Product_Category!$A$2:$A$45,0))</f>
        <v>Dairy, Poultry &amp; Honey</v>
      </c>
      <c r="G410" s="4">
        <v>0.25</v>
      </c>
      <c r="H410" s="4">
        <v>17.53</v>
      </c>
      <c r="I410" s="4">
        <v>1.63</v>
      </c>
      <c r="J410" s="4">
        <v>53.2</v>
      </c>
      <c r="K410" s="4">
        <v>3664.43</v>
      </c>
      <c r="L410" s="4">
        <v>348.44</v>
      </c>
      <c r="M410" s="4">
        <f t="shared" si="18"/>
        <v>17.28</v>
      </c>
      <c r="N410" s="4">
        <f t="shared" si="19"/>
        <v>3611.23</v>
      </c>
      <c r="O410" s="4">
        <f t="shared" si="20"/>
        <v>-15.900000000000002</v>
      </c>
      <c r="P410" s="3" t="s">
        <v>19</v>
      </c>
    </row>
    <row r="411" spans="1:16" x14ac:dyDescent="0.35">
      <c r="A411" s="3" t="s">
        <v>40</v>
      </c>
      <c r="B411" s="3" t="str">
        <f>INDEX(State_Region!$B$2:$B$26,MATCH(TRIM(A411),State_Region!$A$2:$A$26,0))</f>
        <v>South</v>
      </c>
      <c r="C411" s="3" t="s">
        <v>178</v>
      </c>
      <c r="D411" s="3" t="str">
        <f>INDEX(Port_Type!$B$2:$B$227,MATCH(TRIM(C411),Port_Type!$A$2:$A$227,0))</f>
        <v>Inland ICD / CFS</v>
      </c>
      <c r="E411" s="3" t="s">
        <v>60</v>
      </c>
      <c r="F411" s="3" t="str">
        <f>INDEX(Product_Category!$B$2:$B$45,MATCH(TRIM(E411),Product_Category!$A$2:$A$45,0))</f>
        <v>Processed Foods</v>
      </c>
      <c r="G411" s="4">
        <v>12.53</v>
      </c>
      <c r="H411" s="4">
        <v>12.06</v>
      </c>
      <c r="I411" s="4">
        <v>1.62</v>
      </c>
      <c r="J411" s="4">
        <v>617.39</v>
      </c>
      <c r="K411" s="4">
        <v>191.04</v>
      </c>
      <c r="L411" s="4">
        <v>8.4600000000000009</v>
      </c>
      <c r="M411" s="4">
        <f t="shared" si="18"/>
        <v>-0.46999999999999886</v>
      </c>
      <c r="N411" s="4">
        <f t="shared" si="19"/>
        <v>-426.35</v>
      </c>
      <c r="O411" s="4">
        <f t="shared" si="20"/>
        <v>-10.440000000000001</v>
      </c>
      <c r="P411" s="3" t="s">
        <v>19</v>
      </c>
    </row>
    <row r="412" spans="1:16" x14ac:dyDescent="0.35">
      <c r="A412" s="3" t="s">
        <v>23</v>
      </c>
      <c r="B412" s="3" t="str">
        <f>INDEX(State_Region!$B$2:$B$26,MATCH(TRIM(A412),State_Region!$A$2:$A$26,0))</f>
        <v>North</v>
      </c>
      <c r="C412" s="3" t="s">
        <v>44</v>
      </c>
      <c r="D412" s="3" t="str">
        <f>INDEX(Port_Type!$B$2:$B$227,MATCH(TRIM(C412),Port_Type!$A$2:$A$227,0))</f>
        <v>Inland ICD / CFS</v>
      </c>
      <c r="E412" s="3" t="s">
        <v>114</v>
      </c>
      <c r="F412" s="3" t="str">
        <f>INDEX(Product_Category!$B$2:$B$45,MATCH(TRIM(E412),Product_Category!$A$2:$A$45,0))</f>
        <v>Dairy, Poultry &amp; Honey</v>
      </c>
      <c r="G412" s="4">
        <v>3.4</v>
      </c>
      <c r="H412" s="4">
        <v>0</v>
      </c>
      <c r="I412" s="4">
        <v>1.62</v>
      </c>
      <c r="J412" s="4">
        <v>334.36</v>
      </c>
      <c r="K412" s="4">
        <v>0</v>
      </c>
      <c r="L412" s="4">
        <v>247</v>
      </c>
      <c r="M412" s="4">
        <f t="shared" si="18"/>
        <v>-3.4</v>
      </c>
      <c r="N412" s="4">
        <f t="shared" si="19"/>
        <v>-334.36</v>
      </c>
      <c r="O412" s="4">
        <f t="shared" si="20"/>
        <v>1.62</v>
      </c>
      <c r="P412" s="3" t="s">
        <v>19</v>
      </c>
    </row>
    <row r="413" spans="1:16" x14ac:dyDescent="0.35">
      <c r="A413" s="3" t="s">
        <v>16</v>
      </c>
      <c r="B413" s="3" t="str">
        <f>INDEX(State_Region!$B$2:$B$26,MATCH(TRIM(A413),State_Region!$A$2:$A$26,0))</f>
        <v>West</v>
      </c>
      <c r="C413" s="3" t="s">
        <v>109</v>
      </c>
      <c r="D413" s="3" t="str">
        <f>INDEX(Port_Type!$B$2:$B$227,MATCH(TRIM(C413),Port_Type!$A$2:$A$227,0))</f>
        <v>SEZ / EPZ</v>
      </c>
      <c r="E413" s="3" t="s">
        <v>33</v>
      </c>
      <c r="F413" s="3" t="str">
        <f>INDEX(Product_Category!$B$2:$B$45,MATCH(TRIM(E413),Product_Category!$A$2:$A$45,0))</f>
        <v>Pulses</v>
      </c>
      <c r="G413" s="4">
        <v>7.43</v>
      </c>
      <c r="H413" s="4">
        <v>6.62</v>
      </c>
      <c r="I413" s="4">
        <v>1.6</v>
      </c>
      <c r="J413" s="4">
        <v>5219.3</v>
      </c>
      <c r="K413" s="4">
        <v>5619.2</v>
      </c>
      <c r="L413" s="4">
        <v>1238.22</v>
      </c>
      <c r="M413" s="4">
        <f t="shared" si="18"/>
        <v>-0.80999999999999961</v>
      </c>
      <c r="N413" s="4">
        <f t="shared" si="19"/>
        <v>399.89999999999964</v>
      </c>
      <c r="O413" s="4">
        <f t="shared" si="20"/>
        <v>-5.0199999999999996</v>
      </c>
      <c r="P413" s="3" t="s">
        <v>19</v>
      </c>
    </row>
    <row r="414" spans="1:16" x14ac:dyDescent="0.35">
      <c r="A414" s="3" t="s">
        <v>40</v>
      </c>
      <c r="B414" s="3" t="str">
        <f>INDEX(State_Region!$B$2:$B$26,MATCH(TRIM(A414),State_Region!$A$2:$A$26,0))</f>
        <v>South</v>
      </c>
      <c r="C414" s="3" t="s">
        <v>41</v>
      </c>
      <c r="D414" s="3" t="str">
        <f>INDEX(Port_Type!$B$2:$B$227,MATCH(TRIM(C414),Port_Type!$A$2:$A$227,0))</f>
        <v>Sea Port</v>
      </c>
      <c r="E414" s="3" t="s">
        <v>60</v>
      </c>
      <c r="F414" s="3" t="str">
        <f>INDEX(Product_Category!$B$2:$B$45,MATCH(TRIM(E414),Product_Category!$A$2:$A$45,0))</f>
        <v>Processed Foods</v>
      </c>
      <c r="G414" s="4">
        <v>4.4800000000000004</v>
      </c>
      <c r="H414" s="4">
        <v>4.37</v>
      </c>
      <c r="I414" s="4">
        <v>1.59</v>
      </c>
      <c r="J414" s="4">
        <v>1562.92</v>
      </c>
      <c r="K414" s="4">
        <v>2282.0100000000002</v>
      </c>
      <c r="L414" s="4">
        <v>444.68</v>
      </c>
      <c r="M414" s="4">
        <f t="shared" si="18"/>
        <v>-0.11000000000000032</v>
      </c>
      <c r="N414" s="4">
        <f t="shared" si="19"/>
        <v>719.09000000000015</v>
      </c>
      <c r="O414" s="4">
        <f t="shared" si="20"/>
        <v>-2.7800000000000002</v>
      </c>
      <c r="P414" s="3" t="s">
        <v>19</v>
      </c>
    </row>
    <row r="415" spans="1:16" x14ac:dyDescent="0.35">
      <c r="A415" s="3" t="s">
        <v>74</v>
      </c>
      <c r="B415" s="3" t="str">
        <f>INDEX(State_Region!$B$2:$B$26,MATCH(TRIM(A415),State_Region!$A$2:$A$26,0))</f>
        <v>South</v>
      </c>
      <c r="C415" s="3" t="s">
        <v>98</v>
      </c>
      <c r="D415" s="3" t="str">
        <f>INDEX(Port_Type!$B$2:$B$227,MATCH(TRIM(C415),Port_Type!$A$2:$A$227,0))</f>
        <v>Inland ICD / CFS</v>
      </c>
      <c r="E415" s="3" t="s">
        <v>59</v>
      </c>
      <c r="F415" s="3" t="str">
        <f>INDEX(Product_Category!$B$2:$B$45,MATCH(TRIM(E415),Product_Category!$A$2:$A$45,0))</f>
        <v>Processed Foods</v>
      </c>
      <c r="G415" s="4">
        <v>3.07</v>
      </c>
      <c r="H415" s="4">
        <v>5.79</v>
      </c>
      <c r="I415" s="4">
        <v>1.57</v>
      </c>
      <c r="J415" s="4">
        <v>2288.5500000000002</v>
      </c>
      <c r="K415" s="4">
        <v>4045.33</v>
      </c>
      <c r="L415" s="4">
        <v>1016.8</v>
      </c>
      <c r="M415" s="4">
        <f t="shared" si="18"/>
        <v>2.72</v>
      </c>
      <c r="N415" s="4">
        <f t="shared" si="19"/>
        <v>1756.7799999999997</v>
      </c>
      <c r="O415" s="4">
        <f t="shared" si="20"/>
        <v>-4.22</v>
      </c>
      <c r="P415" s="3" t="s">
        <v>19</v>
      </c>
    </row>
    <row r="416" spans="1:16" x14ac:dyDescent="0.35">
      <c r="A416" s="3" t="s">
        <v>57</v>
      </c>
      <c r="B416" s="3" t="str">
        <f>INDEX(State_Region!$B$2:$B$26,MATCH(TRIM(A416),State_Region!$A$2:$A$26,0))</f>
        <v>Central</v>
      </c>
      <c r="C416" s="3" t="s">
        <v>97</v>
      </c>
      <c r="D416" s="3" t="str">
        <f>INDEX(Port_Type!$B$2:$B$227,MATCH(TRIM(C416),Port_Type!$A$2:$A$227,0))</f>
        <v>Inland ICD / CFS</v>
      </c>
      <c r="E416" s="3" t="s">
        <v>53</v>
      </c>
      <c r="F416" s="3" t="str">
        <f>INDEX(Product_Category!$B$2:$B$45,MATCH(TRIM(E416),Product_Category!$A$2:$A$45,0))</f>
        <v>Processed Foods</v>
      </c>
      <c r="G416" s="4">
        <v>0.52</v>
      </c>
      <c r="H416" s="4">
        <v>3.9</v>
      </c>
      <c r="I416" s="4">
        <v>1.57</v>
      </c>
      <c r="J416" s="4">
        <v>413.8</v>
      </c>
      <c r="K416" s="4">
        <v>3388.7</v>
      </c>
      <c r="L416" s="4">
        <v>1502.68</v>
      </c>
      <c r="M416" s="4">
        <f t="shared" si="18"/>
        <v>3.38</v>
      </c>
      <c r="N416" s="4">
        <f t="shared" si="19"/>
        <v>2974.8999999999996</v>
      </c>
      <c r="O416" s="4">
        <f t="shared" si="20"/>
        <v>-2.33</v>
      </c>
      <c r="P416" s="3" t="s">
        <v>19</v>
      </c>
    </row>
    <row r="417" spans="1:16" x14ac:dyDescent="0.35">
      <c r="A417" s="3" t="s">
        <v>40</v>
      </c>
      <c r="B417" s="3" t="str">
        <f>INDEX(State_Region!$B$2:$B$26,MATCH(TRIM(A417),State_Region!$A$2:$A$26,0))</f>
        <v>South</v>
      </c>
      <c r="C417" s="3" t="s">
        <v>85</v>
      </c>
      <c r="D417" s="3" t="str">
        <f>INDEX(Port_Type!$B$2:$B$227,MATCH(TRIM(C417),Port_Type!$A$2:$A$227,0))</f>
        <v>Sea Port</v>
      </c>
      <c r="E417" s="3" t="s">
        <v>42</v>
      </c>
      <c r="F417" s="3" t="str">
        <f>INDEX(Product_Category!$B$2:$B$45,MATCH(TRIM(E417),Product_Category!$A$2:$A$45,0))</f>
        <v>Processed Foods</v>
      </c>
      <c r="G417" s="4">
        <v>3.29</v>
      </c>
      <c r="H417" s="4">
        <v>3.32</v>
      </c>
      <c r="I417" s="4">
        <v>1.56</v>
      </c>
      <c r="J417" s="4">
        <v>2385.4299999999998</v>
      </c>
      <c r="K417" s="4">
        <v>2623.59</v>
      </c>
      <c r="L417" s="4">
        <v>1337.55</v>
      </c>
      <c r="M417" s="4">
        <f t="shared" si="18"/>
        <v>2.9999999999999805E-2</v>
      </c>
      <c r="N417" s="4">
        <f t="shared" si="19"/>
        <v>238.16000000000031</v>
      </c>
      <c r="O417" s="4">
        <f t="shared" si="20"/>
        <v>-1.7599999999999998</v>
      </c>
      <c r="P417" s="3" t="s">
        <v>19</v>
      </c>
    </row>
    <row r="418" spans="1:16" x14ac:dyDescent="0.35">
      <c r="A418" s="3" t="s">
        <v>31</v>
      </c>
      <c r="B418" s="3" t="str">
        <f>INDEX(State_Region!$B$2:$B$26,MATCH(TRIM(A418),State_Region!$A$2:$A$26,0))</f>
        <v>East</v>
      </c>
      <c r="C418" s="3" t="s">
        <v>101</v>
      </c>
      <c r="D418" s="3" t="str">
        <f>INDEX(Port_Type!$B$2:$B$227,MATCH(TRIM(C418),Port_Type!$A$2:$A$227,0))</f>
        <v>Land Border / Rail</v>
      </c>
      <c r="E418" s="3" t="s">
        <v>54</v>
      </c>
      <c r="F418" s="3" t="str">
        <f>INDEX(Product_Category!$B$2:$B$45,MATCH(TRIM(E418),Product_Category!$A$2:$A$45,0))</f>
        <v>Processed Foods</v>
      </c>
      <c r="G418" s="4">
        <v>0.68</v>
      </c>
      <c r="H418" s="4">
        <v>0.66</v>
      </c>
      <c r="I418" s="4">
        <v>1.55</v>
      </c>
      <c r="J418" s="4">
        <v>978.16</v>
      </c>
      <c r="K418" s="4">
        <v>343.81</v>
      </c>
      <c r="L418" s="4">
        <v>806.59</v>
      </c>
      <c r="M418" s="4">
        <f t="shared" si="18"/>
        <v>-2.0000000000000018E-2</v>
      </c>
      <c r="N418" s="4">
        <f t="shared" si="19"/>
        <v>-634.34999999999991</v>
      </c>
      <c r="O418" s="4">
        <f t="shared" si="20"/>
        <v>0.89</v>
      </c>
      <c r="P418" s="3" t="s">
        <v>19</v>
      </c>
    </row>
    <row r="419" spans="1:16" x14ac:dyDescent="0.35">
      <c r="A419" s="3" t="s">
        <v>57</v>
      </c>
      <c r="B419" s="3" t="str">
        <f>INDEX(State_Region!$B$2:$B$26,MATCH(TRIM(A419),State_Region!$A$2:$A$26,0))</f>
        <v>Central</v>
      </c>
      <c r="C419" s="3" t="s">
        <v>161</v>
      </c>
      <c r="D419" s="3" t="str">
        <f>INDEX(Port_Type!$B$2:$B$227,MATCH(TRIM(C419),Port_Type!$A$2:$A$227,0))</f>
        <v>Inland ICD / CFS</v>
      </c>
      <c r="E419" s="3" t="s">
        <v>48</v>
      </c>
      <c r="F419" s="3" t="str">
        <f>INDEX(Product_Category!$B$2:$B$45,MATCH(TRIM(E419),Product_Category!$A$2:$A$45,0))</f>
        <v>Processed Foods</v>
      </c>
      <c r="G419" s="4">
        <v>0.82</v>
      </c>
      <c r="H419" s="4">
        <v>4.8600000000000003</v>
      </c>
      <c r="I419" s="4">
        <v>1.55</v>
      </c>
      <c r="J419" s="4">
        <v>490.88</v>
      </c>
      <c r="K419" s="4">
        <v>4705.5600000000004</v>
      </c>
      <c r="L419" s="4">
        <v>1409.63</v>
      </c>
      <c r="M419" s="4">
        <f t="shared" si="18"/>
        <v>4.04</v>
      </c>
      <c r="N419" s="4">
        <f t="shared" si="19"/>
        <v>4214.68</v>
      </c>
      <c r="O419" s="4">
        <f t="shared" si="20"/>
        <v>-3.3100000000000005</v>
      </c>
      <c r="P419" s="3" t="s">
        <v>19</v>
      </c>
    </row>
    <row r="420" spans="1:16" x14ac:dyDescent="0.35">
      <c r="A420" s="3" t="s">
        <v>40</v>
      </c>
      <c r="B420" s="3" t="str">
        <f>INDEX(State_Region!$B$2:$B$26,MATCH(TRIM(A420),State_Region!$A$2:$A$26,0))</f>
        <v>South</v>
      </c>
      <c r="C420" s="3" t="s">
        <v>107</v>
      </c>
      <c r="D420" s="3" t="str">
        <f>INDEX(Port_Type!$B$2:$B$227,MATCH(TRIM(C420),Port_Type!$A$2:$A$227,0))</f>
        <v>Sea Port</v>
      </c>
      <c r="E420" s="3" t="s">
        <v>151</v>
      </c>
      <c r="F420" s="3" t="str">
        <f>INDEX(Product_Category!$B$2:$B$45,MATCH(TRIM(E420),Product_Category!$A$2:$A$45,0))</f>
        <v>Processed Foods</v>
      </c>
      <c r="G420" s="4">
        <v>6.16</v>
      </c>
      <c r="H420" s="4">
        <v>6.67</v>
      </c>
      <c r="I420" s="4">
        <v>1.54</v>
      </c>
      <c r="J420" s="4">
        <v>6455.87</v>
      </c>
      <c r="K420" s="4">
        <v>8624.9500000000007</v>
      </c>
      <c r="L420" s="4">
        <v>2341.46</v>
      </c>
      <c r="M420" s="4">
        <f t="shared" si="18"/>
        <v>0.50999999999999979</v>
      </c>
      <c r="N420" s="4">
        <f t="shared" si="19"/>
        <v>2169.0800000000008</v>
      </c>
      <c r="O420" s="4">
        <f t="shared" si="20"/>
        <v>-5.13</v>
      </c>
      <c r="P420" s="3" t="s">
        <v>19</v>
      </c>
    </row>
    <row r="421" spans="1:16" x14ac:dyDescent="0.35">
      <c r="A421" s="3" t="s">
        <v>40</v>
      </c>
      <c r="B421" s="3" t="str">
        <f>INDEX(State_Region!$B$2:$B$26,MATCH(TRIM(A421),State_Region!$A$2:$A$26,0))</f>
        <v>South</v>
      </c>
      <c r="C421" s="3" t="s">
        <v>85</v>
      </c>
      <c r="D421" s="3" t="str">
        <f>INDEX(Port_Type!$B$2:$B$227,MATCH(TRIM(C421),Port_Type!$A$2:$A$227,0))</f>
        <v>Sea Port</v>
      </c>
      <c r="E421" s="3" t="s">
        <v>179</v>
      </c>
      <c r="F421" s="3" t="str">
        <f>INDEX(Product_Category!$B$2:$B$45,MATCH(TRIM(E421),Product_Category!$A$2:$A$45,0))</f>
        <v>Nuts &amp; Oilseeds</v>
      </c>
      <c r="G421" s="4">
        <v>15.95</v>
      </c>
      <c r="H421" s="4">
        <v>99.93</v>
      </c>
      <c r="I421" s="4">
        <v>1.53</v>
      </c>
      <c r="J421" s="4">
        <v>14903.89</v>
      </c>
      <c r="K421" s="4">
        <v>68369.05</v>
      </c>
      <c r="L421" s="4">
        <v>1030.0899999999999</v>
      </c>
      <c r="M421" s="4">
        <f t="shared" si="18"/>
        <v>83.98</v>
      </c>
      <c r="N421" s="4">
        <f t="shared" si="19"/>
        <v>53465.16</v>
      </c>
      <c r="O421" s="4">
        <f t="shared" si="20"/>
        <v>-98.4</v>
      </c>
      <c r="P421" s="3" t="s">
        <v>19</v>
      </c>
    </row>
    <row r="422" spans="1:16" x14ac:dyDescent="0.35">
      <c r="A422" s="3" t="s">
        <v>79</v>
      </c>
      <c r="B422" s="3" t="str">
        <f>INDEX(State_Region!$B$2:$B$26,MATCH(TRIM(A422),State_Region!$A$2:$A$26,0))</f>
        <v>South</v>
      </c>
      <c r="C422" s="3" t="s">
        <v>91</v>
      </c>
      <c r="D422" s="3" t="str">
        <f>INDEX(Port_Type!$B$2:$B$227,MATCH(TRIM(C422),Port_Type!$A$2:$A$227,0))</f>
        <v>Sea Port</v>
      </c>
      <c r="E422" s="3" t="s">
        <v>39</v>
      </c>
      <c r="F422" s="3" t="str">
        <f>INDEX(Product_Category!$B$2:$B$45,MATCH(TRIM(E422),Product_Category!$A$2:$A$45,0))</f>
        <v>Processed Foods</v>
      </c>
      <c r="G422" s="4">
        <v>3.16</v>
      </c>
      <c r="H422" s="4">
        <v>2.77</v>
      </c>
      <c r="I422" s="4">
        <v>1.52</v>
      </c>
      <c r="J422" s="4">
        <v>1949.68</v>
      </c>
      <c r="K422" s="4">
        <v>1531.96</v>
      </c>
      <c r="L422" s="4">
        <v>884.55</v>
      </c>
      <c r="M422" s="4">
        <f t="shared" si="18"/>
        <v>-0.39000000000000012</v>
      </c>
      <c r="N422" s="4">
        <f t="shared" si="19"/>
        <v>-417.72</v>
      </c>
      <c r="O422" s="4">
        <f t="shared" si="20"/>
        <v>-1.25</v>
      </c>
      <c r="P422" s="3" t="s">
        <v>19</v>
      </c>
    </row>
    <row r="423" spans="1:16" x14ac:dyDescent="0.35">
      <c r="A423" s="3" t="s">
        <v>94</v>
      </c>
      <c r="B423" s="3" t="str">
        <f>INDEX(State_Region!$B$2:$B$26,MATCH(TRIM(A423),State_Region!$A$2:$A$26,0))</f>
        <v>East</v>
      </c>
      <c r="C423" s="3" t="s">
        <v>95</v>
      </c>
      <c r="D423" s="3" t="str">
        <f>INDEX(Port_Type!$B$2:$B$227,MATCH(TRIM(C423),Port_Type!$A$2:$A$227,0))</f>
        <v>Land Border / Rail</v>
      </c>
      <c r="E423" s="3" t="s">
        <v>51</v>
      </c>
      <c r="F423" s="3" t="str">
        <f>INDEX(Product_Category!$B$2:$B$45,MATCH(TRIM(E423),Product_Category!$A$2:$A$45,0))</f>
        <v>Nuts &amp; Oilseeds</v>
      </c>
      <c r="G423" s="4">
        <v>4.12</v>
      </c>
      <c r="H423" s="4">
        <v>6.14</v>
      </c>
      <c r="I423" s="4">
        <v>1.52</v>
      </c>
      <c r="J423" s="4">
        <v>4508.12</v>
      </c>
      <c r="K423" s="4">
        <v>7028.29</v>
      </c>
      <c r="L423" s="4">
        <v>1701.79</v>
      </c>
      <c r="M423" s="4">
        <f t="shared" si="18"/>
        <v>2.0199999999999996</v>
      </c>
      <c r="N423" s="4">
        <f t="shared" si="19"/>
        <v>2520.17</v>
      </c>
      <c r="O423" s="4">
        <f t="shared" si="20"/>
        <v>-4.6199999999999992</v>
      </c>
      <c r="P423" s="3" t="s">
        <v>19</v>
      </c>
    </row>
    <row r="424" spans="1:16" x14ac:dyDescent="0.35">
      <c r="A424" s="3" t="s">
        <v>31</v>
      </c>
      <c r="B424" s="3" t="str">
        <f>INDEX(State_Region!$B$2:$B$26,MATCH(TRIM(A424),State_Region!$A$2:$A$26,0))</f>
        <v>East</v>
      </c>
      <c r="C424" s="3" t="s">
        <v>141</v>
      </c>
      <c r="D424" s="3" t="str">
        <f>INDEX(Port_Type!$B$2:$B$227,MATCH(TRIM(C424),Port_Type!$A$2:$A$227,0))</f>
        <v>Land Border / Rail</v>
      </c>
      <c r="E424" s="3" t="s">
        <v>45</v>
      </c>
      <c r="F424" s="3" t="str">
        <f>INDEX(Product_Category!$B$2:$B$45,MATCH(TRIM(E424),Product_Category!$A$2:$A$45,0))</f>
        <v>Fresh Fruits &amp; Vegetables</v>
      </c>
      <c r="G424" s="4">
        <v>30.27</v>
      </c>
      <c r="H424" s="4">
        <v>28.29</v>
      </c>
      <c r="I424" s="4">
        <v>1.51</v>
      </c>
      <c r="J424" s="4">
        <v>107069.34</v>
      </c>
      <c r="K424" s="4">
        <v>81723.41</v>
      </c>
      <c r="L424" s="4">
        <v>4041.93</v>
      </c>
      <c r="M424" s="4">
        <f t="shared" si="18"/>
        <v>-1.9800000000000004</v>
      </c>
      <c r="N424" s="4">
        <f t="shared" si="19"/>
        <v>-25345.929999999993</v>
      </c>
      <c r="O424" s="4">
        <f t="shared" si="20"/>
        <v>-26.779999999999998</v>
      </c>
      <c r="P424" s="3" t="s">
        <v>19</v>
      </c>
    </row>
    <row r="425" spans="1:16" x14ac:dyDescent="0.35">
      <c r="A425" s="3" t="s">
        <v>31</v>
      </c>
      <c r="B425" s="3" t="str">
        <f>INDEX(State_Region!$B$2:$B$26,MATCH(TRIM(A425),State_Region!$A$2:$A$26,0))</f>
        <v>East</v>
      </c>
      <c r="C425" s="3" t="s">
        <v>131</v>
      </c>
      <c r="D425" s="3" t="str">
        <f>INDEX(Port_Type!$B$2:$B$227,MATCH(TRIM(C425),Port_Type!$A$2:$A$227,0))</f>
        <v>Land Border / Rail</v>
      </c>
      <c r="E425" s="3" t="s">
        <v>102</v>
      </c>
      <c r="F425" s="3" t="str">
        <f>INDEX(Product_Category!$B$2:$B$45,MATCH(TRIM(E425),Product_Category!$A$2:$A$45,0))</f>
        <v>Fresh Fruits &amp; Vegetables</v>
      </c>
      <c r="G425" s="4">
        <v>5.84</v>
      </c>
      <c r="H425" s="4">
        <v>4.7699999999999996</v>
      </c>
      <c r="I425" s="4">
        <v>1.51</v>
      </c>
      <c r="J425" s="4">
        <v>13636.65</v>
      </c>
      <c r="K425" s="4">
        <v>12905.05</v>
      </c>
      <c r="L425" s="4">
        <v>4566.1499999999996</v>
      </c>
      <c r="M425" s="4">
        <f t="shared" si="18"/>
        <v>-1.0700000000000003</v>
      </c>
      <c r="N425" s="4">
        <f t="shared" si="19"/>
        <v>-731.60000000000036</v>
      </c>
      <c r="O425" s="4">
        <f t="shared" si="20"/>
        <v>-3.26</v>
      </c>
      <c r="P425" s="3" t="s">
        <v>19</v>
      </c>
    </row>
    <row r="426" spans="1:16" x14ac:dyDescent="0.35">
      <c r="A426" s="3" t="s">
        <v>31</v>
      </c>
      <c r="B426" s="3" t="str">
        <f>INDEX(State_Region!$B$2:$B$26,MATCH(TRIM(A426),State_Region!$A$2:$A$26,0))</f>
        <v>East</v>
      </c>
      <c r="C426" s="3" t="s">
        <v>131</v>
      </c>
      <c r="D426" s="3" t="str">
        <f>INDEX(Port_Type!$B$2:$B$227,MATCH(TRIM(C426),Port_Type!$A$2:$A$227,0))</f>
        <v>Land Border / Rail</v>
      </c>
      <c r="E426" s="3" t="s">
        <v>45</v>
      </c>
      <c r="F426" s="3" t="str">
        <f>INDEX(Product_Category!$B$2:$B$45,MATCH(TRIM(E426),Product_Category!$A$2:$A$45,0))</f>
        <v>Fresh Fruits &amp; Vegetables</v>
      </c>
      <c r="G426" s="4">
        <v>4.66</v>
      </c>
      <c r="H426" s="4">
        <v>5.0999999999999996</v>
      </c>
      <c r="I426" s="4">
        <v>1.49</v>
      </c>
      <c r="J426" s="4">
        <v>5829.64</v>
      </c>
      <c r="K426" s="4">
        <v>6929.47</v>
      </c>
      <c r="L426" s="4">
        <v>2699.02</v>
      </c>
      <c r="M426" s="4">
        <f t="shared" si="18"/>
        <v>0.4399999999999995</v>
      </c>
      <c r="N426" s="4">
        <f t="shared" si="19"/>
        <v>1099.83</v>
      </c>
      <c r="O426" s="4">
        <f t="shared" si="20"/>
        <v>-3.6099999999999994</v>
      </c>
      <c r="P426" s="3" t="s">
        <v>19</v>
      </c>
    </row>
    <row r="427" spans="1:16" x14ac:dyDescent="0.35">
      <c r="A427" s="3" t="s">
        <v>16</v>
      </c>
      <c r="B427" s="3" t="str">
        <f>INDEX(State_Region!$B$2:$B$26,MATCH(TRIM(A427),State_Region!$A$2:$A$26,0))</f>
        <v>West</v>
      </c>
      <c r="C427" s="3" t="s">
        <v>105</v>
      </c>
      <c r="D427" s="3" t="str">
        <f>INDEX(Port_Type!$B$2:$B$227,MATCH(TRIM(C427),Port_Type!$A$2:$A$227,0))</f>
        <v>SEZ / EPZ</v>
      </c>
      <c r="E427" s="3" t="s">
        <v>72</v>
      </c>
      <c r="F427" s="3" t="str">
        <f>INDEX(Product_Category!$B$2:$B$45,MATCH(TRIM(E427),Product_Category!$A$2:$A$45,0))</f>
        <v>Dairy, Poultry &amp; Honey</v>
      </c>
      <c r="G427" s="4">
        <v>3.22</v>
      </c>
      <c r="H427" s="4">
        <v>4.0199999999999996</v>
      </c>
      <c r="I427" s="4">
        <v>1.48</v>
      </c>
      <c r="J427" s="4">
        <v>260.66000000000003</v>
      </c>
      <c r="K427" s="4">
        <v>514.5</v>
      </c>
      <c r="L427" s="4">
        <v>195.5</v>
      </c>
      <c r="M427" s="4">
        <f t="shared" si="18"/>
        <v>0.79999999999999938</v>
      </c>
      <c r="N427" s="4">
        <f t="shared" si="19"/>
        <v>253.83999999999997</v>
      </c>
      <c r="O427" s="4">
        <f t="shared" si="20"/>
        <v>-2.5399999999999996</v>
      </c>
      <c r="P427" s="3" t="s">
        <v>19</v>
      </c>
    </row>
    <row r="428" spans="1:16" x14ac:dyDescent="0.35">
      <c r="A428" s="3" t="s">
        <v>31</v>
      </c>
      <c r="B428" s="3" t="str">
        <f>INDEX(State_Region!$B$2:$B$26,MATCH(TRIM(A428),State_Region!$A$2:$A$26,0))</f>
        <v>East</v>
      </c>
      <c r="C428" s="3" t="s">
        <v>32</v>
      </c>
      <c r="D428" s="3" t="str">
        <f>INDEX(Port_Type!$B$2:$B$227,MATCH(TRIM(C428),Port_Type!$A$2:$A$227,0))</f>
        <v>Sea Port</v>
      </c>
      <c r="E428" s="3" t="s">
        <v>65</v>
      </c>
      <c r="F428" s="3" t="str">
        <f>INDEX(Product_Category!$B$2:$B$45,MATCH(TRIM(E428),Product_Category!$A$2:$A$45,0))</f>
        <v>Cereals &amp; Grains</v>
      </c>
      <c r="G428" s="4">
        <v>0.08</v>
      </c>
      <c r="H428" s="4">
        <v>0.2</v>
      </c>
      <c r="I428" s="4">
        <v>1.48</v>
      </c>
      <c r="J428" s="4">
        <v>188.29</v>
      </c>
      <c r="K428" s="4">
        <v>575</v>
      </c>
      <c r="L428" s="4">
        <v>4102.8999999999996</v>
      </c>
      <c r="M428" s="4">
        <f t="shared" si="18"/>
        <v>0.12000000000000001</v>
      </c>
      <c r="N428" s="4">
        <f t="shared" si="19"/>
        <v>386.71000000000004</v>
      </c>
      <c r="O428" s="4">
        <f t="shared" si="20"/>
        <v>1.28</v>
      </c>
      <c r="P428" s="3" t="s">
        <v>19</v>
      </c>
    </row>
    <row r="429" spans="1:16" x14ac:dyDescent="0.35">
      <c r="A429" s="3" t="s">
        <v>74</v>
      </c>
      <c r="B429" s="3" t="str">
        <f>INDEX(State_Region!$B$2:$B$26,MATCH(TRIM(A429),State_Region!$A$2:$A$26,0))</f>
        <v>South</v>
      </c>
      <c r="C429" s="3" t="s">
        <v>98</v>
      </c>
      <c r="D429" s="3" t="str">
        <f>INDEX(Port_Type!$B$2:$B$227,MATCH(TRIM(C429),Port_Type!$A$2:$A$227,0))</f>
        <v>Inland ICD / CFS</v>
      </c>
      <c r="E429" s="3" t="s">
        <v>62</v>
      </c>
      <c r="F429" s="3" t="str">
        <f>INDEX(Product_Category!$B$2:$B$45,MATCH(TRIM(E429),Product_Category!$A$2:$A$45,0))</f>
        <v>Cereals &amp; Grains</v>
      </c>
      <c r="G429" s="4">
        <v>0</v>
      </c>
      <c r="H429" s="4">
        <v>8.7100000000000009</v>
      </c>
      <c r="I429" s="4">
        <v>1.48</v>
      </c>
      <c r="J429" s="4">
        <v>0</v>
      </c>
      <c r="K429" s="4">
        <v>3494.1</v>
      </c>
      <c r="L429" s="4">
        <v>595.6</v>
      </c>
      <c r="M429" s="4">
        <f t="shared" si="18"/>
        <v>8.7100000000000009</v>
      </c>
      <c r="N429" s="4">
        <f t="shared" si="19"/>
        <v>3494.1</v>
      </c>
      <c r="O429" s="4">
        <f t="shared" si="20"/>
        <v>-7.23</v>
      </c>
      <c r="P429" s="3" t="s">
        <v>19</v>
      </c>
    </row>
    <row r="430" spans="1:16" x14ac:dyDescent="0.35">
      <c r="A430" s="3" t="s">
        <v>74</v>
      </c>
      <c r="B430" s="3" t="str">
        <f>INDEX(State_Region!$B$2:$B$26,MATCH(TRIM(A430),State_Region!$A$2:$A$26,0))</f>
        <v>South</v>
      </c>
      <c r="C430" s="3" t="s">
        <v>75</v>
      </c>
      <c r="D430" s="3" t="str">
        <f>INDEX(Port_Type!$B$2:$B$227,MATCH(TRIM(C430),Port_Type!$A$2:$A$227,0))</f>
        <v>Inland ICD / CFS</v>
      </c>
      <c r="E430" s="3" t="s">
        <v>59</v>
      </c>
      <c r="F430" s="3" t="str">
        <f>INDEX(Product_Category!$B$2:$B$45,MATCH(TRIM(E430),Product_Category!$A$2:$A$45,0))</f>
        <v>Processed Foods</v>
      </c>
      <c r="G430" s="4">
        <v>5.08</v>
      </c>
      <c r="H430" s="4">
        <v>5.13</v>
      </c>
      <c r="I430" s="4">
        <v>1.48</v>
      </c>
      <c r="J430" s="4">
        <v>2846.51</v>
      </c>
      <c r="K430" s="4">
        <v>2564.17</v>
      </c>
      <c r="L430" s="4">
        <v>857.61</v>
      </c>
      <c r="M430" s="4">
        <f t="shared" si="18"/>
        <v>4.9999999999999822E-2</v>
      </c>
      <c r="N430" s="4">
        <f t="shared" si="19"/>
        <v>-282.34000000000015</v>
      </c>
      <c r="O430" s="4">
        <f t="shared" si="20"/>
        <v>-3.65</v>
      </c>
      <c r="P430" s="3" t="s">
        <v>19</v>
      </c>
    </row>
    <row r="431" spans="1:16" x14ac:dyDescent="0.35">
      <c r="A431" s="3" t="s">
        <v>79</v>
      </c>
      <c r="B431" s="3" t="str">
        <f>INDEX(State_Region!$B$2:$B$26,MATCH(TRIM(A431),State_Region!$A$2:$A$26,0))</f>
        <v>South</v>
      </c>
      <c r="C431" s="3" t="s">
        <v>80</v>
      </c>
      <c r="D431" s="3" t="str">
        <f>INDEX(Port_Type!$B$2:$B$227,MATCH(TRIM(C431),Port_Type!$A$2:$A$227,0))</f>
        <v>Inland ICD / CFS</v>
      </c>
      <c r="E431" s="3" t="s">
        <v>53</v>
      </c>
      <c r="F431" s="3" t="str">
        <f>INDEX(Product_Category!$B$2:$B$45,MATCH(TRIM(E431),Product_Category!$A$2:$A$45,0))</f>
        <v>Processed Foods</v>
      </c>
      <c r="G431" s="4">
        <v>5.99</v>
      </c>
      <c r="H431" s="4">
        <v>3.97</v>
      </c>
      <c r="I431" s="4">
        <v>1.46</v>
      </c>
      <c r="J431" s="4">
        <v>5992.09</v>
      </c>
      <c r="K431" s="4">
        <v>2145.48</v>
      </c>
      <c r="L431" s="4">
        <v>693.76</v>
      </c>
      <c r="M431" s="4">
        <f t="shared" si="18"/>
        <v>-2.02</v>
      </c>
      <c r="N431" s="4">
        <f t="shared" si="19"/>
        <v>-3846.61</v>
      </c>
      <c r="O431" s="4">
        <f t="shared" si="20"/>
        <v>-2.5100000000000002</v>
      </c>
      <c r="P431" s="3" t="s">
        <v>19</v>
      </c>
    </row>
    <row r="432" spans="1:16" x14ac:dyDescent="0.35">
      <c r="A432" s="3" t="s">
        <v>31</v>
      </c>
      <c r="B432" s="3" t="str">
        <f>INDEX(State_Region!$B$2:$B$26,MATCH(TRIM(A432),State_Region!$A$2:$A$26,0))</f>
        <v>East</v>
      </c>
      <c r="C432" s="3" t="s">
        <v>32</v>
      </c>
      <c r="D432" s="3" t="str">
        <f>INDEX(Port_Type!$B$2:$B$227,MATCH(TRIM(C432),Port_Type!$A$2:$A$227,0))</f>
        <v>Sea Port</v>
      </c>
      <c r="E432" s="3" t="s">
        <v>33</v>
      </c>
      <c r="F432" s="3" t="str">
        <f>INDEX(Product_Category!$B$2:$B$45,MATCH(TRIM(E432),Product_Category!$A$2:$A$45,0))</f>
        <v>Pulses</v>
      </c>
      <c r="G432" s="4">
        <v>2.63</v>
      </c>
      <c r="H432" s="4">
        <v>7.12</v>
      </c>
      <c r="I432" s="4">
        <v>1.46</v>
      </c>
      <c r="J432" s="4">
        <v>3096.99</v>
      </c>
      <c r="K432" s="4">
        <v>12733.41</v>
      </c>
      <c r="L432" s="4">
        <v>1857.56</v>
      </c>
      <c r="M432" s="4">
        <f t="shared" si="18"/>
        <v>4.49</v>
      </c>
      <c r="N432" s="4">
        <f t="shared" si="19"/>
        <v>9636.42</v>
      </c>
      <c r="O432" s="4">
        <f t="shared" si="20"/>
        <v>-5.66</v>
      </c>
      <c r="P432" s="3" t="s">
        <v>19</v>
      </c>
    </row>
    <row r="433" spans="1:16" x14ac:dyDescent="0.35">
      <c r="A433" s="3" t="s">
        <v>23</v>
      </c>
      <c r="B433" s="3" t="str">
        <f>INDEX(State_Region!$B$2:$B$26,MATCH(TRIM(A433),State_Region!$A$2:$A$26,0))</f>
        <v>North</v>
      </c>
      <c r="C433" s="3" t="s">
        <v>180</v>
      </c>
      <c r="D433" s="3" t="str">
        <f>INDEX(Port_Type!$B$2:$B$227,MATCH(TRIM(C433),Port_Type!$A$2:$A$227,0))</f>
        <v>Inland ICD / CFS</v>
      </c>
      <c r="E433" s="3" t="s">
        <v>60</v>
      </c>
      <c r="F433" s="3" t="str">
        <f>INDEX(Product_Category!$B$2:$B$45,MATCH(TRIM(E433),Product_Category!$A$2:$A$45,0))</f>
        <v>Processed Foods</v>
      </c>
      <c r="G433" s="4">
        <v>0</v>
      </c>
      <c r="H433" s="4">
        <v>0</v>
      </c>
      <c r="I433" s="4">
        <v>1.45</v>
      </c>
      <c r="J433" s="4">
        <v>0</v>
      </c>
      <c r="K433" s="4">
        <v>0</v>
      </c>
      <c r="L433" s="4">
        <v>707.9</v>
      </c>
      <c r="M433" s="4">
        <f t="shared" si="18"/>
        <v>0</v>
      </c>
      <c r="N433" s="4">
        <f t="shared" si="19"/>
        <v>0</v>
      </c>
      <c r="O433" s="4">
        <f t="shared" si="20"/>
        <v>1.45</v>
      </c>
      <c r="P433" s="3" t="s">
        <v>19</v>
      </c>
    </row>
    <row r="434" spans="1:16" x14ac:dyDescent="0.35">
      <c r="A434" s="3" t="s">
        <v>66</v>
      </c>
      <c r="B434" s="3" t="str">
        <f>INDEX(State_Region!$B$2:$B$26,MATCH(TRIM(A434),State_Region!$A$2:$A$26,0))</f>
        <v>North</v>
      </c>
      <c r="C434" s="3" t="s">
        <v>71</v>
      </c>
      <c r="D434" s="3" t="str">
        <f>INDEX(Port_Type!$B$2:$B$227,MATCH(TRIM(C434),Port_Type!$A$2:$A$227,0))</f>
        <v>Inland ICD / CFS</v>
      </c>
      <c r="E434" s="3" t="s">
        <v>118</v>
      </c>
      <c r="F434" s="3" t="str">
        <f>INDEX(Product_Category!$B$2:$B$45,MATCH(TRIM(E434),Product_Category!$A$2:$A$45,0))</f>
        <v>Dairy, Poultry &amp; Honey</v>
      </c>
      <c r="G434" s="4">
        <v>0.02</v>
      </c>
      <c r="H434" s="4">
        <v>10.11</v>
      </c>
      <c r="I434" s="4">
        <v>1.45</v>
      </c>
      <c r="J434" s="4">
        <v>16.600000000000001</v>
      </c>
      <c r="K434" s="4">
        <v>7065.32</v>
      </c>
      <c r="L434" s="4">
        <v>970.23</v>
      </c>
      <c r="M434" s="4">
        <f t="shared" si="18"/>
        <v>10.09</v>
      </c>
      <c r="N434" s="4">
        <f t="shared" si="19"/>
        <v>7048.7199999999993</v>
      </c>
      <c r="O434" s="4">
        <f t="shared" si="20"/>
        <v>-8.66</v>
      </c>
      <c r="P434" s="3" t="s">
        <v>19</v>
      </c>
    </row>
    <row r="435" spans="1:16" x14ac:dyDescent="0.35">
      <c r="A435" s="3" t="s">
        <v>79</v>
      </c>
      <c r="B435" s="3" t="str">
        <f>INDEX(State_Region!$B$2:$B$26,MATCH(TRIM(A435),State_Region!$A$2:$A$26,0))</f>
        <v>South</v>
      </c>
      <c r="C435" s="3" t="s">
        <v>80</v>
      </c>
      <c r="D435" s="3" t="str">
        <f>INDEX(Port_Type!$B$2:$B$227,MATCH(TRIM(C435),Port_Type!$A$2:$A$227,0))</f>
        <v>Inland ICD / CFS</v>
      </c>
      <c r="E435" s="3" t="s">
        <v>69</v>
      </c>
      <c r="F435" s="3" t="str">
        <f>INDEX(Product_Category!$B$2:$B$45,MATCH(TRIM(E435),Product_Category!$A$2:$A$45,0))</f>
        <v>Others</v>
      </c>
      <c r="G435" s="4">
        <v>3.34</v>
      </c>
      <c r="H435" s="4">
        <v>3.99</v>
      </c>
      <c r="I435" s="4">
        <v>1.45</v>
      </c>
      <c r="J435" s="4">
        <v>124.04</v>
      </c>
      <c r="K435" s="4">
        <v>197.68</v>
      </c>
      <c r="L435" s="4">
        <v>80.33</v>
      </c>
      <c r="M435" s="4">
        <f t="shared" si="18"/>
        <v>0.65000000000000036</v>
      </c>
      <c r="N435" s="4">
        <f t="shared" si="19"/>
        <v>73.64</v>
      </c>
      <c r="O435" s="4">
        <f t="shared" si="20"/>
        <v>-2.54</v>
      </c>
      <c r="P435" s="3" t="s">
        <v>19</v>
      </c>
    </row>
    <row r="436" spans="1:16" x14ac:dyDescent="0.35">
      <c r="A436" s="3" t="s">
        <v>16</v>
      </c>
      <c r="B436" s="3" t="str">
        <f>INDEX(State_Region!$B$2:$B$26,MATCH(TRIM(A436),State_Region!$A$2:$A$26,0))</f>
        <v>West</v>
      </c>
      <c r="C436" s="3" t="s">
        <v>17</v>
      </c>
      <c r="D436" s="3" t="str">
        <f>INDEX(Port_Type!$B$2:$B$227,MATCH(TRIM(C436),Port_Type!$A$2:$A$227,0))</f>
        <v>Sea Port</v>
      </c>
      <c r="E436" s="3" t="s">
        <v>62</v>
      </c>
      <c r="F436" s="3" t="str">
        <f>INDEX(Product_Category!$B$2:$B$45,MATCH(TRIM(E436),Product_Category!$A$2:$A$45,0))</f>
        <v>Cereals &amp; Grains</v>
      </c>
      <c r="G436" s="4">
        <v>7.24</v>
      </c>
      <c r="H436" s="4">
        <v>4.55</v>
      </c>
      <c r="I436" s="4">
        <v>1.45</v>
      </c>
      <c r="J436" s="4">
        <v>22294.71</v>
      </c>
      <c r="K436" s="4">
        <v>13632.62</v>
      </c>
      <c r="L436" s="4">
        <v>5014.49</v>
      </c>
      <c r="M436" s="4">
        <f t="shared" si="18"/>
        <v>-2.6900000000000004</v>
      </c>
      <c r="N436" s="4">
        <f t="shared" si="19"/>
        <v>-8662.0899999999983</v>
      </c>
      <c r="O436" s="4">
        <f t="shared" si="20"/>
        <v>-3.0999999999999996</v>
      </c>
      <c r="P436" s="3" t="s">
        <v>19</v>
      </c>
    </row>
    <row r="437" spans="1:16" x14ac:dyDescent="0.35">
      <c r="A437" s="3" t="s">
        <v>20</v>
      </c>
      <c r="B437" s="3" t="str">
        <f>INDEX(State_Region!$B$2:$B$26,MATCH(TRIM(A437),State_Region!$A$2:$A$26,0))</f>
        <v>West</v>
      </c>
      <c r="C437" s="3" t="s">
        <v>21</v>
      </c>
      <c r="D437" s="3" t="str">
        <f>INDEX(Port_Type!$B$2:$B$227,MATCH(TRIM(C437),Port_Type!$A$2:$A$227,0))</f>
        <v>Sea Port</v>
      </c>
      <c r="E437" s="3" t="s">
        <v>181</v>
      </c>
      <c r="F437" s="3" t="str">
        <f>INDEX(Product_Category!$B$2:$B$45,MATCH(TRIM(E437),Product_Category!$A$2:$A$45,0))</f>
        <v>Nuts &amp; Oilseeds</v>
      </c>
      <c r="G437" s="4">
        <v>2.02</v>
      </c>
      <c r="H437" s="4">
        <v>6.83</v>
      </c>
      <c r="I437" s="4">
        <v>1.44</v>
      </c>
      <c r="J437" s="4">
        <v>396.13</v>
      </c>
      <c r="K437" s="4">
        <v>838.44</v>
      </c>
      <c r="L437" s="4">
        <v>287.3</v>
      </c>
      <c r="M437" s="4">
        <f t="shared" si="18"/>
        <v>4.8100000000000005</v>
      </c>
      <c r="N437" s="4">
        <f t="shared" si="19"/>
        <v>442.31000000000006</v>
      </c>
      <c r="O437" s="4">
        <f t="shared" si="20"/>
        <v>-5.3900000000000006</v>
      </c>
      <c r="P437" s="3" t="s">
        <v>19</v>
      </c>
    </row>
    <row r="438" spans="1:16" x14ac:dyDescent="0.35">
      <c r="A438" s="3" t="s">
        <v>77</v>
      </c>
      <c r="B438" s="3" t="str">
        <f>INDEX(State_Region!$B$2:$B$26,MATCH(TRIM(A438),State_Region!$A$2:$A$26,0))</f>
        <v>South</v>
      </c>
      <c r="C438" s="3" t="s">
        <v>78</v>
      </c>
      <c r="D438" s="3" t="str">
        <f>INDEX(Port_Type!$B$2:$B$227,MATCH(TRIM(C438),Port_Type!$A$2:$A$227,0))</f>
        <v>Sea Port</v>
      </c>
      <c r="E438" s="3" t="s">
        <v>60</v>
      </c>
      <c r="F438" s="3" t="str">
        <f>INDEX(Product_Category!$B$2:$B$45,MATCH(TRIM(E438),Product_Category!$A$2:$A$45,0))</f>
        <v>Processed Foods</v>
      </c>
      <c r="G438" s="4">
        <v>0.33</v>
      </c>
      <c r="H438" s="4">
        <v>3.29</v>
      </c>
      <c r="I438" s="4">
        <v>1.44</v>
      </c>
      <c r="J438" s="4">
        <v>320.24</v>
      </c>
      <c r="K438" s="4">
        <v>1137.6099999999999</v>
      </c>
      <c r="L438" s="4">
        <v>943.15</v>
      </c>
      <c r="M438" s="4">
        <f t="shared" si="18"/>
        <v>2.96</v>
      </c>
      <c r="N438" s="4">
        <f t="shared" si="19"/>
        <v>817.36999999999989</v>
      </c>
      <c r="O438" s="4">
        <f t="shared" si="20"/>
        <v>-1.85</v>
      </c>
      <c r="P438" s="3" t="s">
        <v>19</v>
      </c>
    </row>
    <row r="439" spans="1:16" x14ac:dyDescent="0.35">
      <c r="A439" s="3" t="s">
        <v>40</v>
      </c>
      <c r="B439" s="3" t="str">
        <f>INDEX(State_Region!$B$2:$B$26,MATCH(TRIM(A439),State_Region!$A$2:$A$26,0))</f>
        <v>South</v>
      </c>
      <c r="C439" s="3" t="s">
        <v>64</v>
      </c>
      <c r="D439" s="3" t="str">
        <f>INDEX(Port_Type!$B$2:$B$227,MATCH(TRIM(C439),Port_Type!$A$2:$A$227,0))</f>
        <v>Inland ICD / CFS</v>
      </c>
      <c r="E439" s="3" t="s">
        <v>62</v>
      </c>
      <c r="F439" s="3" t="str">
        <f>INDEX(Product_Category!$B$2:$B$45,MATCH(TRIM(E439),Product_Category!$A$2:$A$45,0))</f>
        <v>Cereals &amp; Grains</v>
      </c>
      <c r="G439" s="4">
        <v>3.6</v>
      </c>
      <c r="H439" s="4">
        <v>1.02</v>
      </c>
      <c r="I439" s="4">
        <v>1.43</v>
      </c>
      <c r="J439" s="4">
        <v>12516.42</v>
      </c>
      <c r="K439" s="4">
        <v>3440.66</v>
      </c>
      <c r="L439" s="4">
        <v>6270.55</v>
      </c>
      <c r="M439" s="4">
        <f t="shared" si="18"/>
        <v>-2.58</v>
      </c>
      <c r="N439" s="4">
        <f t="shared" si="19"/>
        <v>-9075.76</v>
      </c>
      <c r="O439" s="4">
        <f t="shared" si="20"/>
        <v>0.40999999999999992</v>
      </c>
      <c r="P439" s="3" t="s">
        <v>19</v>
      </c>
    </row>
    <row r="440" spans="1:16" x14ac:dyDescent="0.35">
      <c r="A440" s="3" t="s">
        <v>40</v>
      </c>
      <c r="B440" s="3" t="str">
        <f>INDEX(State_Region!$B$2:$B$26,MATCH(TRIM(A440),State_Region!$A$2:$A$26,0))</f>
        <v>South</v>
      </c>
      <c r="C440" s="3" t="s">
        <v>64</v>
      </c>
      <c r="D440" s="3" t="str">
        <f>INDEX(Port_Type!$B$2:$B$227,MATCH(TRIM(C440),Port_Type!$A$2:$A$227,0))</f>
        <v>Inland ICD / CFS</v>
      </c>
      <c r="E440" s="3" t="s">
        <v>54</v>
      </c>
      <c r="F440" s="3" t="str">
        <f>INDEX(Product_Category!$B$2:$B$45,MATCH(TRIM(E440),Product_Category!$A$2:$A$45,0))</f>
        <v>Processed Foods</v>
      </c>
      <c r="G440" s="4">
        <v>5.76</v>
      </c>
      <c r="H440" s="4">
        <v>4.24</v>
      </c>
      <c r="I440" s="4">
        <v>1.43</v>
      </c>
      <c r="J440" s="4">
        <v>5749.29</v>
      </c>
      <c r="K440" s="4">
        <v>4831.3599999999997</v>
      </c>
      <c r="L440" s="4">
        <v>2010.39</v>
      </c>
      <c r="M440" s="4">
        <f t="shared" si="18"/>
        <v>-1.5199999999999996</v>
      </c>
      <c r="N440" s="4">
        <f t="shared" si="19"/>
        <v>-917.93000000000029</v>
      </c>
      <c r="O440" s="4">
        <f t="shared" si="20"/>
        <v>-2.8100000000000005</v>
      </c>
      <c r="P440" s="3" t="s">
        <v>19</v>
      </c>
    </row>
    <row r="441" spans="1:16" x14ac:dyDescent="0.35">
      <c r="A441" s="3" t="s">
        <v>16</v>
      </c>
      <c r="B441" s="3" t="str">
        <f>INDEX(State_Region!$B$2:$B$26,MATCH(TRIM(A441),State_Region!$A$2:$A$26,0))</f>
        <v>West</v>
      </c>
      <c r="C441" s="3" t="s">
        <v>135</v>
      </c>
      <c r="D441" s="3" t="str">
        <f>INDEX(Port_Type!$B$2:$B$227,MATCH(TRIM(C441),Port_Type!$A$2:$A$227,0))</f>
        <v>Air Cargo</v>
      </c>
      <c r="E441" s="3" t="s">
        <v>76</v>
      </c>
      <c r="F441" s="3" t="str">
        <f>INDEX(Product_Category!$B$2:$B$45,MATCH(TRIM(E441),Product_Category!$A$2:$A$45,0))</f>
        <v>Fresh Fruits &amp; Vegetables</v>
      </c>
      <c r="G441" s="4">
        <v>1.98</v>
      </c>
      <c r="H441" s="4">
        <v>1.84</v>
      </c>
      <c r="I441" s="4">
        <v>1.43</v>
      </c>
      <c r="J441" s="4">
        <v>686.98</v>
      </c>
      <c r="K441" s="4">
        <v>516.78</v>
      </c>
      <c r="L441" s="4">
        <v>396.4</v>
      </c>
      <c r="M441" s="4">
        <f t="shared" si="18"/>
        <v>-0.1399999999999999</v>
      </c>
      <c r="N441" s="4">
        <f t="shared" si="19"/>
        <v>-170.20000000000005</v>
      </c>
      <c r="O441" s="4">
        <f t="shared" si="20"/>
        <v>-0.41000000000000014</v>
      </c>
      <c r="P441" s="3" t="s">
        <v>19</v>
      </c>
    </row>
    <row r="442" spans="1:16" x14ac:dyDescent="0.35">
      <c r="A442" s="3" t="s">
        <v>23</v>
      </c>
      <c r="B442" s="3" t="str">
        <f>INDEX(State_Region!$B$2:$B$26,MATCH(TRIM(A442),State_Region!$A$2:$A$26,0))</f>
        <v>North</v>
      </c>
      <c r="C442" s="3" t="s">
        <v>30</v>
      </c>
      <c r="D442" s="3" t="str">
        <f>INDEX(Port_Type!$B$2:$B$227,MATCH(TRIM(C442),Port_Type!$A$2:$A$227,0))</f>
        <v>Inland ICD / CFS</v>
      </c>
      <c r="E442" s="3" t="s">
        <v>42</v>
      </c>
      <c r="F442" s="3" t="str">
        <f>INDEX(Product_Category!$B$2:$B$45,MATCH(TRIM(E442),Product_Category!$A$2:$A$45,0))</f>
        <v>Processed Foods</v>
      </c>
      <c r="G442" s="4">
        <v>3.9</v>
      </c>
      <c r="H442" s="4">
        <v>3.88</v>
      </c>
      <c r="I442" s="4">
        <v>1.42</v>
      </c>
      <c r="J442" s="4">
        <v>1351.4</v>
      </c>
      <c r="K442" s="4">
        <v>1377.38</v>
      </c>
      <c r="L442" s="4">
        <v>485.2</v>
      </c>
      <c r="M442" s="4">
        <f t="shared" si="18"/>
        <v>-2.0000000000000018E-2</v>
      </c>
      <c r="N442" s="4">
        <f t="shared" si="19"/>
        <v>25.980000000000018</v>
      </c>
      <c r="O442" s="4">
        <f t="shared" si="20"/>
        <v>-2.46</v>
      </c>
      <c r="P442" s="3" t="s">
        <v>19</v>
      </c>
    </row>
    <row r="443" spans="1:16" x14ac:dyDescent="0.35">
      <c r="A443" s="3" t="s">
        <v>23</v>
      </c>
      <c r="B443" s="3" t="str">
        <f>INDEX(State_Region!$B$2:$B$26,MATCH(TRIM(A443),State_Region!$A$2:$A$26,0))</f>
        <v>North</v>
      </c>
      <c r="C443" s="3" t="s">
        <v>44</v>
      </c>
      <c r="D443" s="3" t="str">
        <f>INDEX(Port_Type!$B$2:$B$227,MATCH(TRIM(C443),Port_Type!$A$2:$A$227,0))</f>
        <v>Inland ICD / CFS</v>
      </c>
      <c r="E443" s="3" t="s">
        <v>48</v>
      </c>
      <c r="F443" s="3" t="str">
        <f>INDEX(Product_Category!$B$2:$B$45,MATCH(TRIM(E443),Product_Category!$A$2:$A$45,0))</f>
        <v>Processed Foods</v>
      </c>
      <c r="G443" s="4">
        <v>5.49</v>
      </c>
      <c r="H443" s="4">
        <v>4.9000000000000004</v>
      </c>
      <c r="I443" s="4">
        <v>1.41</v>
      </c>
      <c r="J443" s="4">
        <v>2442.92</v>
      </c>
      <c r="K443" s="4">
        <v>2004.74</v>
      </c>
      <c r="L443" s="4">
        <v>622.09</v>
      </c>
      <c r="M443" s="4">
        <f t="shared" si="18"/>
        <v>-0.58999999999999986</v>
      </c>
      <c r="N443" s="4">
        <f t="shared" si="19"/>
        <v>-438.18000000000006</v>
      </c>
      <c r="O443" s="4">
        <f t="shared" si="20"/>
        <v>-3.49</v>
      </c>
      <c r="P443" s="3" t="s">
        <v>19</v>
      </c>
    </row>
    <row r="444" spans="1:16" x14ac:dyDescent="0.35">
      <c r="A444" s="3" t="s">
        <v>94</v>
      </c>
      <c r="B444" s="3" t="str">
        <f>INDEX(State_Region!$B$2:$B$26,MATCH(TRIM(A444),State_Region!$A$2:$A$26,0))</f>
        <v>East</v>
      </c>
      <c r="C444" s="3" t="s">
        <v>95</v>
      </c>
      <c r="D444" s="3" t="str">
        <f>INDEX(Port_Type!$B$2:$B$227,MATCH(TRIM(C444),Port_Type!$A$2:$A$227,0))</f>
        <v>Land Border / Rail</v>
      </c>
      <c r="E444" s="3" t="s">
        <v>59</v>
      </c>
      <c r="F444" s="3" t="str">
        <f>INDEX(Product_Category!$B$2:$B$45,MATCH(TRIM(E444),Product_Category!$A$2:$A$45,0))</f>
        <v>Processed Foods</v>
      </c>
      <c r="G444" s="4">
        <v>3.61</v>
      </c>
      <c r="H444" s="4">
        <v>3.6</v>
      </c>
      <c r="I444" s="4">
        <v>1.4</v>
      </c>
      <c r="J444" s="4">
        <v>957.7</v>
      </c>
      <c r="K444" s="4">
        <v>848.58</v>
      </c>
      <c r="L444" s="4">
        <v>179.55</v>
      </c>
      <c r="M444" s="4">
        <f t="shared" si="18"/>
        <v>-9.9999999999997868E-3</v>
      </c>
      <c r="N444" s="4">
        <f t="shared" si="19"/>
        <v>-109.12</v>
      </c>
      <c r="O444" s="4">
        <f t="shared" si="20"/>
        <v>-2.2000000000000002</v>
      </c>
      <c r="P444" s="3" t="s">
        <v>19</v>
      </c>
    </row>
    <row r="445" spans="1:16" x14ac:dyDescent="0.35">
      <c r="A445" s="3" t="s">
        <v>35</v>
      </c>
      <c r="B445" s="3" t="str">
        <f>INDEX(State_Region!$B$2:$B$26,MATCH(TRIM(A445),State_Region!$A$2:$A$26,0))</f>
        <v>North</v>
      </c>
      <c r="C445" s="3" t="s">
        <v>165</v>
      </c>
      <c r="D445" s="3" t="str">
        <f>INDEX(Port_Type!$B$2:$B$227,MATCH(TRIM(C445),Port_Type!$A$2:$A$227,0))</f>
        <v>Inland ICD / CFS</v>
      </c>
      <c r="E445" s="3" t="s">
        <v>39</v>
      </c>
      <c r="F445" s="3" t="str">
        <f>INDEX(Product_Category!$B$2:$B$45,MATCH(TRIM(E445),Product_Category!$A$2:$A$45,0))</f>
        <v>Processed Foods</v>
      </c>
      <c r="G445" s="4">
        <v>0.17</v>
      </c>
      <c r="H445" s="4">
        <v>1.92</v>
      </c>
      <c r="I445" s="4">
        <v>1.39</v>
      </c>
      <c r="J445" s="4">
        <v>97.97</v>
      </c>
      <c r="K445" s="4">
        <v>1164.4100000000001</v>
      </c>
      <c r="L445" s="4">
        <v>1001.76</v>
      </c>
      <c r="M445" s="4">
        <f t="shared" si="18"/>
        <v>1.75</v>
      </c>
      <c r="N445" s="4">
        <f t="shared" si="19"/>
        <v>1066.44</v>
      </c>
      <c r="O445" s="4">
        <f t="shared" si="20"/>
        <v>-0.53</v>
      </c>
      <c r="P445" s="3" t="s">
        <v>19</v>
      </c>
    </row>
    <row r="446" spans="1:16" x14ac:dyDescent="0.35">
      <c r="A446" s="3" t="s">
        <v>25</v>
      </c>
      <c r="B446" s="3" t="str">
        <f>INDEX(State_Region!$B$2:$B$26,MATCH(TRIM(A446),State_Region!$A$2:$A$26,0))</f>
        <v>South</v>
      </c>
      <c r="C446" s="3" t="s">
        <v>29</v>
      </c>
      <c r="D446" s="3" t="str">
        <f>INDEX(Port_Type!$B$2:$B$227,MATCH(TRIM(C446),Port_Type!$A$2:$A$227,0))</f>
        <v>Sea Port</v>
      </c>
      <c r="E446" s="3" t="s">
        <v>53</v>
      </c>
      <c r="F446" s="3" t="str">
        <f>INDEX(Product_Category!$B$2:$B$45,MATCH(TRIM(E446),Product_Category!$A$2:$A$45,0))</f>
        <v>Processed Foods</v>
      </c>
      <c r="G446" s="4">
        <v>2.2599999999999998</v>
      </c>
      <c r="H446" s="4">
        <v>5.35</v>
      </c>
      <c r="I446" s="4">
        <v>1.39</v>
      </c>
      <c r="J446" s="4">
        <v>4181.16</v>
      </c>
      <c r="K446" s="4">
        <v>12730.83</v>
      </c>
      <c r="L446" s="4">
        <v>3468</v>
      </c>
      <c r="M446" s="4">
        <f t="shared" si="18"/>
        <v>3.09</v>
      </c>
      <c r="N446" s="4">
        <f t="shared" si="19"/>
        <v>8549.67</v>
      </c>
      <c r="O446" s="4">
        <f t="shared" si="20"/>
        <v>-3.96</v>
      </c>
      <c r="P446" s="3" t="s">
        <v>19</v>
      </c>
    </row>
    <row r="447" spans="1:16" x14ac:dyDescent="0.35">
      <c r="A447" s="3" t="s">
        <v>40</v>
      </c>
      <c r="B447" s="3" t="str">
        <f>INDEX(State_Region!$B$2:$B$26,MATCH(TRIM(A447),State_Region!$A$2:$A$26,0))</f>
        <v>South</v>
      </c>
      <c r="C447" s="3" t="s">
        <v>117</v>
      </c>
      <c r="D447" s="3" t="str">
        <f>INDEX(Port_Type!$B$2:$B$227,MATCH(TRIM(C447),Port_Type!$A$2:$A$227,0))</f>
        <v>Sea Port</v>
      </c>
      <c r="E447" s="3" t="s">
        <v>48</v>
      </c>
      <c r="F447" s="3" t="str">
        <f>INDEX(Product_Category!$B$2:$B$45,MATCH(TRIM(E447),Product_Category!$A$2:$A$45,0))</f>
        <v>Processed Foods</v>
      </c>
      <c r="G447" s="4">
        <v>3.31</v>
      </c>
      <c r="H447" s="4">
        <v>2.42</v>
      </c>
      <c r="I447" s="4">
        <v>1.39</v>
      </c>
      <c r="J447" s="4">
        <v>1231.78</v>
      </c>
      <c r="K447" s="4">
        <v>1233.95</v>
      </c>
      <c r="L447" s="4">
        <v>553.39</v>
      </c>
      <c r="M447" s="4">
        <f t="shared" si="18"/>
        <v>-0.89000000000000012</v>
      </c>
      <c r="N447" s="4">
        <f t="shared" si="19"/>
        <v>2.1700000000000728</v>
      </c>
      <c r="O447" s="4">
        <f t="shared" si="20"/>
        <v>-1.03</v>
      </c>
      <c r="P447" s="3" t="s">
        <v>19</v>
      </c>
    </row>
    <row r="448" spans="1:16" x14ac:dyDescent="0.35">
      <c r="A448" s="3" t="s">
        <v>31</v>
      </c>
      <c r="B448" s="3" t="str">
        <f>INDEX(State_Region!$B$2:$B$26,MATCH(TRIM(A448),State_Region!$A$2:$A$26,0))</f>
        <v>East</v>
      </c>
      <c r="C448" s="3" t="s">
        <v>131</v>
      </c>
      <c r="D448" s="3" t="str">
        <f>INDEX(Port_Type!$B$2:$B$227,MATCH(TRIM(C448),Port_Type!$A$2:$A$227,0))</f>
        <v>Land Border / Rail</v>
      </c>
      <c r="E448" s="3" t="s">
        <v>65</v>
      </c>
      <c r="F448" s="3" t="str">
        <f>INDEX(Product_Category!$B$2:$B$45,MATCH(TRIM(E448),Product_Category!$A$2:$A$45,0))</f>
        <v>Cereals &amp; Grains</v>
      </c>
      <c r="G448" s="4">
        <v>0.94</v>
      </c>
      <c r="H448" s="4">
        <v>3.44</v>
      </c>
      <c r="I448" s="4">
        <v>1.38</v>
      </c>
      <c r="J448" s="4">
        <v>2444.2800000000002</v>
      </c>
      <c r="K448" s="4">
        <v>8747.2900000000009</v>
      </c>
      <c r="L448" s="4">
        <v>3726.99</v>
      </c>
      <c r="M448" s="4">
        <f t="shared" si="18"/>
        <v>2.5</v>
      </c>
      <c r="N448" s="4">
        <f t="shared" si="19"/>
        <v>6303.01</v>
      </c>
      <c r="O448" s="4">
        <f t="shared" si="20"/>
        <v>-2.06</v>
      </c>
      <c r="P448" s="3" t="s">
        <v>19</v>
      </c>
    </row>
    <row r="449" spans="1:16" x14ac:dyDescent="0.35">
      <c r="A449" s="3" t="s">
        <v>23</v>
      </c>
      <c r="B449" s="3" t="str">
        <f>INDEX(State_Region!$B$2:$B$26,MATCH(TRIM(A449),State_Region!$A$2:$A$26,0))</f>
        <v>North</v>
      </c>
      <c r="C449" s="3" t="s">
        <v>182</v>
      </c>
      <c r="D449" s="3" t="str">
        <f>INDEX(Port_Type!$B$2:$B$227,MATCH(TRIM(C449),Port_Type!$A$2:$A$227,0))</f>
        <v>Air Cargo</v>
      </c>
      <c r="E449" s="3" t="s">
        <v>22</v>
      </c>
      <c r="F449" s="3" t="str">
        <f>INDEX(Product_Category!$B$2:$B$45,MATCH(TRIM(E449),Product_Category!$A$2:$A$45,0))</f>
        <v>Meat &amp; Animal Products</v>
      </c>
      <c r="G449" s="4">
        <v>7.58</v>
      </c>
      <c r="H449" s="4">
        <v>6.72</v>
      </c>
      <c r="I449" s="4">
        <v>1.38</v>
      </c>
      <c r="J449" s="4">
        <v>1813.14</v>
      </c>
      <c r="K449" s="4">
        <v>1452.17</v>
      </c>
      <c r="L449" s="4">
        <v>247.08</v>
      </c>
      <c r="M449" s="4">
        <f t="shared" si="18"/>
        <v>-0.86000000000000032</v>
      </c>
      <c r="N449" s="4">
        <f t="shared" si="19"/>
        <v>-360.97</v>
      </c>
      <c r="O449" s="4">
        <f t="shared" si="20"/>
        <v>-5.34</v>
      </c>
      <c r="P449" s="3" t="s">
        <v>19</v>
      </c>
    </row>
    <row r="450" spans="1:16" x14ac:dyDescent="0.35">
      <c r="A450" s="3" t="s">
        <v>94</v>
      </c>
      <c r="B450" s="3" t="str">
        <f>INDEX(State_Region!$B$2:$B$26,MATCH(TRIM(A450),State_Region!$A$2:$A$26,0))</f>
        <v>East</v>
      </c>
      <c r="C450" s="3" t="s">
        <v>112</v>
      </c>
      <c r="D450" s="3" t="str">
        <f>INDEX(Port_Type!$B$2:$B$227,MATCH(TRIM(C450),Port_Type!$A$2:$A$227,0))</f>
        <v>Land Border / Rail</v>
      </c>
      <c r="E450" s="3" t="s">
        <v>102</v>
      </c>
      <c r="F450" s="3" t="str">
        <f>INDEX(Product_Category!$B$2:$B$45,MATCH(TRIM(E450),Product_Category!$A$2:$A$45,0))</f>
        <v>Fresh Fruits &amp; Vegetables</v>
      </c>
      <c r="G450" s="4">
        <v>2.2799999999999998</v>
      </c>
      <c r="H450" s="4">
        <v>4.34</v>
      </c>
      <c r="I450" s="4">
        <v>1.38</v>
      </c>
      <c r="J450" s="4">
        <v>14013.62</v>
      </c>
      <c r="K450" s="4">
        <v>26918.43</v>
      </c>
      <c r="L450" s="4">
        <v>10229.82</v>
      </c>
      <c r="M450" s="4">
        <f t="shared" ref="M450:M513" si="21">H450-G450</f>
        <v>2.06</v>
      </c>
      <c r="N450" s="4">
        <f t="shared" ref="N450:N513" si="22">K450-J450</f>
        <v>12904.81</v>
      </c>
      <c r="O450" s="4">
        <f t="shared" ref="O450:O513" si="23">I450-H450</f>
        <v>-2.96</v>
      </c>
      <c r="P450" s="3" t="s">
        <v>19</v>
      </c>
    </row>
    <row r="451" spans="1:16" x14ac:dyDescent="0.35">
      <c r="A451" s="3" t="s">
        <v>20</v>
      </c>
      <c r="B451" s="3" t="str">
        <f>INDEX(State_Region!$B$2:$B$26,MATCH(TRIM(A451),State_Region!$A$2:$A$26,0))</f>
        <v>West</v>
      </c>
      <c r="C451" s="3" t="s">
        <v>21</v>
      </c>
      <c r="D451" s="3" t="str">
        <f>INDEX(Port_Type!$B$2:$B$227,MATCH(TRIM(C451),Port_Type!$A$2:$A$227,0))</f>
        <v>Sea Port</v>
      </c>
      <c r="E451" s="3" t="s">
        <v>126</v>
      </c>
      <c r="F451" s="3" t="str">
        <f>INDEX(Product_Category!$B$2:$B$45,MATCH(TRIM(E451),Product_Category!$A$2:$A$45,0))</f>
        <v>Cereals &amp; Grains</v>
      </c>
      <c r="G451" s="4">
        <v>3.9</v>
      </c>
      <c r="H451" s="4">
        <v>2.7</v>
      </c>
      <c r="I451" s="4">
        <v>1.37</v>
      </c>
      <c r="J451" s="4">
        <v>5847.33</v>
      </c>
      <c r="K451" s="4">
        <v>3627.69</v>
      </c>
      <c r="L451" s="4">
        <v>1821.67</v>
      </c>
      <c r="M451" s="4">
        <f t="shared" si="21"/>
        <v>-1.1999999999999997</v>
      </c>
      <c r="N451" s="4">
        <f t="shared" si="22"/>
        <v>-2219.64</v>
      </c>
      <c r="O451" s="4">
        <f t="shared" si="23"/>
        <v>-1.33</v>
      </c>
      <c r="P451" s="3" t="s">
        <v>19</v>
      </c>
    </row>
    <row r="452" spans="1:16" x14ac:dyDescent="0.35">
      <c r="A452" s="3" t="s">
        <v>16</v>
      </c>
      <c r="B452" s="3" t="str">
        <f>INDEX(State_Region!$B$2:$B$26,MATCH(TRIM(A452),State_Region!$A$2:$A$26,0))</f>
        <v>West</v>
      </c>
      <c r="C452" s="3" t="s">
        <v>17</v>
      </c>
      <c r="D452" s="3" t="str">
        <f>INDEX(Port_Type!$B$2:$B$227,MATCH(TRIM(C452),Port_Type!$A$2:$A$227,0))</f>
        <v>Sea Port</v>
      </c>
      <c r="E452" s="3" t="s">
        <v>113</v>
      </c>
      <c r="F452" s="3" t="str">
        <f>INDEX(Product_Category!$B$2:$B$45,MATCH(TRIM(E452),Product_Category!$A$2:$A$45,0))</f>
        <v>Cereals &amp; Grains</v>
      </c>
      <c r="G452" s="4">
        <v>0.01</v>
      </c>
      <c r="H452" s="4">
        <v>1.22</v>
      </c>
      <c r="I452" s="4">
        <v>1.37</v>
      </c>
      <c r="J452" s="4">
        <v>3.03</v>
      </c>
      <c r="K452" s="4">
        <v>2295.23</v>
      </c>
      <c r="L452" s="4">
        <v>3866.71</v>
      </c>
      <c r="M452" s="4">
        <f t="shared" si="21"/>
        <v>1.21</v>
      </c>
      <c r="N452" s="4">
        <f t="shared" si="22"/>
        <v>2292.1999999999998</v>
      </c>
      <c r="O452" s="4">
        <f t="shared" si="23"/>
        <v>0.15000000000000013</v>
      </c>
      <c r="P452" s="3" t="s">
        <v>19</v>
      </c>
    </row>
    <row r="453" spans="1:16" x14ac:dyDescent="0.35">
      <c r="A453" s="3" t="s">
        <v>77</v>
      </c>
      <c r="B453" s="3" t="str">
        <f>INDEX(State_Region!$B$2:$B$26,MATCH(TRIM(A453),State_Region!$A$2:$A$26,0))</f>
        <v>South</v>
      </c>
      <c r="C453" s="3" t="s">
        <v>157</v>
      </c>
      <c r="D453" s="3" t="str">
        <f>INDEX(Port_Type!$B$2:$B$227,MATCH(TRIM(C453),Port_Type!$A$2:$A$227,0))</f>
        <v>Air Cargo</v>
      </c>
      <c r="E453" s="3" t="s">
        <v>45</v>
      </c>
      <c r="F453" s="3" t="str">
        <f>INDEX(Product_Category!$B$2:$B$45,MATCH(TRIM(E453),Product_Category!$A$2:$A$45,0))</f>
        <v>Fresh Fruits &amp; Vegetables</v>
      </c>
      <c r="G453" s="4">
        <v>4.76</v>
      </c>
      <c r="H453" s="4">
        <v>3.09</v>
      </c>
      <c r="I453" s="4">
        <v>1.37</v>
      </c>
      <c r="J453" s="4">
        <v>4714.43</v>
      </c>
      <c r="K453" s="4">
        <v>3023.07</v>
      </c>
      <c r="L453" s="4">
        <v>959.15</v>
      </c>
      <c r="M453" s="4">
        <f t="shared" si="21"/>
        <v>-1.67</v>
      </c>
      <c r="N453" s="4">
        <f t="shared" si="22"/>
        <v>-1691.3600000000001</v>
      </c>
      <c r="O453" s="4">
        <f t="shared" si="23"/>
        <v>-1.7199999999999998</v>
      </c>
      <c r="P453" s="3" t="s">
        <v>19</v>
      </c>
    </row>
    <row r="454" spans="1:16" x14ac:dyDescent="0.35">
      <c r="A454" s="3" t="s">
        <v>31</v>
      </c>
      <c r="B454" s="3" t="str">
        <f>INDEX(State_Region!$B$2:$B$26,MATCH(TRIM(A454),State_Region!$A$2:$A$26,0))</f>
        <v>East</v>
      </c>
      <c r="C454" s="3" t="s">
        <v>139</v>
      </c>
      <c r="D454" s="3" t="str">
        <f>INDEX(Port_Type!$B$2:$B$227,MATCH(TRIM(C454),Port_Type!$A$2:$A$227,0))</f>
        <v>Land Border / Rail</v>
      </c>
      <c r="E454" s="3" t="s">
        <v>113</v>
      </c>
      <c r="F454" s="3" t="str">
        <f>INDEX(Product_Category!$B$2:$B$45,MATCH(TRIM(E454),Product_Category!$A$2:$A$45,0))</f>
        <v>Cereals &amp; Grains</v>
      </c>
      <c r="G454" s="4">
        <v>6.26</v>
      </c>
      <c r="H454" s="4">
        <v>1.24</v>
      </c>
      <c r="I454" s="4">
        <v>1.33</v>
      </c>
      <c r="J454" s="4">
        <v>21064.25</v>
      </c>
      <c r="K454" s="4">
        <v>4046.53</v>
      </c>
      <c r="L454" s="4">
        <v>4781.2</v>
      </c>
      <c r="M454" s="4">
        <f t="shared" si="21"/>
        <v>-5.0199999999999996</v>
      </c>
      <c r="N454" s="4">
        <f t="shared" si="22"/>
        <v>-17017.72</v>
      </c>
      <c r="O454" s="4">
        <f t="shared" si="23"/>
        <v>9.000000000000008E-2</v>
      </c>
      <c r="P454" s="3" t="s">
        <v>19</v>
      </c>
    </row>
    <row r="455" spans="1:16" x14ac:dyDescent="0.35">
      <c r="A455" s="3" t="s">
        <v>57</v>
      </c>
      <c r="B455" s="3" t="str">
        <f>INDEX(State_Region!$B$2:$B$26,MATCH(TRIM(A455),State_Region!$A$2:$A$26,0))</f>
        <v>Central</v>
      </c>
      <c r="C455" s="3" t="s">
        <v>175</v>
      </c>
      <c r="D455" s="3" t="str">
        <f>INDEX(Port_Type!$B$2:$B$227,MATCH(TRIM(C455),Port_Type!$A$2:$A$227,0))</f>
        <v>Inland ICD / CFS</v>
      </c>
      <c r="E455" s="3" t="s">
        <v>53</v>
      </c>
      <c r="F455" s="3" t="str">
        <f>INDEX(Product_Category!$B$2:$B$45,MATCH(TRIM(E455),Product_Category!$A$2:$A$45,0))</f>
        <v>Processed Foods</v>
      </c>
      <c r="G455" s="4">
        <v>0.74</v>
      </c>
      <c r="H455" s="4">
        <v>5.46</v>
      </c>
      <c r="I455" s="4">
        <v>1.32</v>
      </c>
      <c r="J455" s="4">
        <v>573.72</v>
      </c>
      <c r="K455" s="4">
        <v>4020.54</v>
      </c>
      <c r="L455" s="4">
        <v>896.95</v>
      </c>
      <c r="M455" s="4">
        <f t="shared" si="21"/>
        <v>4.72</v>
      </c>
      <c r="N455" s="4">
        <f t="shared" si="22"/>
        <v>3446.8199999999997</v>
      </c>
      <c r="O455" s="4">
        <f t="shared" si="23"/>
        <v>-4.1399999999999997</v>
      </c>
      <c r="P455" s="3" t="s">
        <v>19</v>
      </c>
    </row>
    <row r="456" spans="1:16" x14ac:dyDescent="0.35">
      <c r="A456" s="3" t="s">
        <v>16</v>
      </c>
      <c r="B456" s="3" t="str">
        <f>INDEX(State_Region!$B$2:$B$26,MATCH(TRIM(A456),State_Region!$A$2:$A$26,0))</f>
        <v>West</v>
      </c>
      <c r="C456" s="3" t="s">
        <v>109</v>
      </c>
      <c r="D456" s="3" t="str">
        <f>INDEX(Port_Type!$B$2:$B$227,MATCH(TRIM(C456),Port_Type!$A$2:$A$227,0))</f>
        <v>SEZ / EPZ</v>
      </c>
      <c r="E456" s="3" t="s">
        <v>53</v>
      </c>
      <c r="F456" s="3" t="str">
        <f>INDEX(Product_Category!$B$2:$B$45,MATCH(TRIM(E456),Product_Category!$A$2:$A$45,0))</f>
        <v>Processed Foods</v>
      </c>
      <c r="G456" s="4">
        <v>3.67</v>
      </c>
      <c r="H456" s="4">
        <v>3.96</v>
      </c>
      <c r="I456" s="4">
        <v>1.32</v>
      </c>
      <c r="J456" s="4">
        <v>5110.13</v>
      </c>
      <c r="K456" s="4">
        <v>4303.8999999999996</v>
      </c>
      <c r="L456" s="4">
        <v>1927.82</v>
      </c>
      <c r="M456" s="4">
        <f t="shared" si="21"/>
        <v>0.29000000000000004</v>
      </c>
      <c r="N456" s="4">
        <f t="shared" si="22"/>
        <v>-806.23000000000047</v>
      </c>
      <c r="O456" s="4">
        <f t="shared" si="23"/>
        <v>-2.6399999999999997</v>
      </c>
      <c r="P456" s="3" t="s">
        <v>19</v>
      </c>
    </row>
    <row r="457" spans="1:16" x14ac:dyDescent="0.35">
      <c r="A457" s="3" t="s">
        <v>16</v>
      </c>
      <c r="B457" s="3" t="str">
        <f>INDEX(State_Region!$B$2:$B$26,MATCH(TRIM(A457),State_Region!$A$2:$A$26,0))</f>
        <v>West</v>
      </c>
      <c r="C457" s="3" t="s">
        <v>115</v>
      </c>
      <c r="D457" s="3" t="str">
        <f>INDEX(Port_Type!$B$2:$B$227,MATCH(TRIM(C457),Port_Type!$A$2:$A$227,0))</f>
        <v>Inland ICD / CFS</v>
      </c>
      <c r="E457" s="3" t="s">
        <v>72</v>
      </c>
      <c r="F457" s="3" t="str">
        <f>INDEX(Product_Category!$B$2:$B$45,MATCH(TRIM(E457),Product_Category!$A$2:$A$45,0))</f>
        <v>Dairy, Poultry &amp; Honey</v>
      </c>
      <c r="G457" s="4">
        <v>0</v>
      </c>
      <c r="H457" s="4">
        <v>2.33</v>
      </c>
      <c r="I457" s="4">
        <v>1.31</v>
      </c>
      <c r="J457" s="4">
        <v>0</v>
      </c>
      <c r="K457" s="4">
        <v>754.01</v>
      </c>
      <c r="L457" s="4">
        <v>334.45</v>
      </c>
      <c r="M457" s="4">
        <f t="shared" si="21"/>
        <v>2.33</v>
      </c>
      <c r="N457" s="4">
        <f t="shared" si="22"/>
        <v>754.01</v>
      </c>
      <c r="O457" s="4">
        <f t="shared" si="23"/>
        <v>-1.02</v>
      </c>
      <c r="P457" s="3" t="s">
        <v>19</v>
      </c>
    </row>
    <row r="458" spans="1:16" x14ac:dyDescent="0.35">
      <c r="A458" s="3" t="s">
        <v>20</v>
      </c>
      <c r="B458" s="3" t="str">
        <f>INDEX(State_Region!$B$2:$B$26,MATCH(TRIM(A458),State_Region!$A$2:$A$26,0))</f>
        <v>West</v>
      </c>
      <c r="C458" s="3" t="s">
        <v>134</v>
      </c>
      <c r="D458" s="3" t="str">
        <f>INDEX(Port_Type!$B$2:$B$227,MATCH(TRIM(C458),Port_Type!$A$2:$A$227,0))</f>
        <v>Inland ICD / CFS</v>
      </c>
      <c r="E458" s="3" t="s">
        <v>54</v>
      </c>
      <c r="F458" s="3" t="str">
        <f>INDEX(Product_Category!$B$2:$B$45,MATCH(TRIM(E458),Product_Category!$A$2:$A$45,0))</f>
        <v>Processed Foods</v>
      </c>
      <c r="G458" s="4">
        <v>0</v>
      </c>
      <c r="H458" s="4">
        <v>1.04</v>
      </c>
      <c r="I458" s="4">
        <v>1.31</v>
      </c>
      <c r="J458" s="4">
        <v>0</v>
      </c>
      <c r="K458" s="4">
        <v>615.16999999999996</v>
      </c>
      <c r="L458" s="4">
        <v>524.88</v>
      </c>
      <c r="M458" s="4">
        <f t="shared" si="21"/>
        <v>1.04</v>
      </c>
      <c r="N458" s="4">
        <f t="shared" si="22"/>
        <v>615.16999999999996</v>
      </c>
      <c r="O458" s="4">
        <f t="shared" si="23"/>
        <v>0.27</v>
      </c>
      <c r="P458" s="3" t="s">
        <v>19</v>
      </c>
    </row>
    <row r="459" spans="1:16" x14ac:dyDescent="0.35">
      <c r="A459" s="3" t="s">
        <v>40</v>
      </c>
      <c r="B459" s="3" t="str">
        <f>INDEX(State_Region!$B$2:$B$26,MATCH(TRIM(A459),State_Region!$A$2:$A$26,0))</f>
        <v>South</v>
      </c>
      <c r="C459" s="3" t="s">
        <v>183</v>
      </c>
      <c r="D459" s="3" t="str">
        <f>INDEX(Port_Type!$B$2:$B$227,MATCH(TRIM(C459),Port_Type!$A$2:$A$227,0))</f>
        <v>Inland ICD / CFS</v>
      </c>
      <c r="E459" s="3" t="s">
        <v>122</v>
      </c>
      <c r="F459" s="3" t="str">
        <f>INDEX(Product_Category!$B$2:$B$45,MATCH(TRIM(E459),Product_Category!$A$2:$A$45,0))</f>
        <v>Others</v>
      </c>
      <c r="G459" s="4">
        <v>0.98</v>
      </c>
      <c r="H459" s="4">
        <v>5.92</v>
      </c>
      <c r="I459" s="4">
        <v>1.31</v>
      </c>
      <c r="J459" s="4">
        <v>212.62</v>
      </c>
      <c r="K459" s="4">
        <v>1056.96</v>
      </c>
      <c r="L459" s="4">
        <v>240.53</v>
      </c>
      <c r="M459" s="4">
        <f t="shared" si="21"/>
        <v>4.9399999999999995</v>
      </c>
      <c r="N459" s="4">
        <f t="shared" si="22"/>
        <v>844.34</v>
      </c>
      <c r="O459" s="4">
        <f t="shared" si="23"/>
        <v>-4.6099999999999994</v>
      </c>
      <c r="P459" s="3" t="s">
        <v>19</v>
      </c>
    </row>
    <row r="460" spans="1:16" x14ac:dyDescent="0.35">
      <c r="A460" s="3" t="s">
        <v>31</v>
      </c>
      <c r="B460" s="3" t="str">
        <f>INDEX(State_Region!$B$2:$B$26,MATCH(TRIM(A460),State_Region!$A$2:$A$26,0))</f>
        <v>East</v>
      </c>
      <c r="C460" s="3" t="s">
        <v>101</v>
      </c>
      <c r="D460" s="3" t="str">
        <f>INDEX(Port_Type!$B$2:$B$227,MATCH(TRIM(C460),Port_Type!$A$2:$A$227,0))</f>
        <v>Land Border / Rail</v>
      </c>
      <c r="E460" s="3" t="s">
        <v>69</v>
      </c>
      <c r="F460" s="3" t="str">
        <f>INDEX(Product_Category!$B$2:$B$45,MATCH(TRIM(E460),Product_Category!$A$2:$A$45,0))</f>
        <v>Others</v>
      </c>
      <c r="G460" s="4">
        <v>2.96</v>
      </c>
      <c r="H460" s="4">
        <v>4.83</v>
      </c>
      <c r="I460" s="4">
        <v>1.3</v>
      </c>
      <c r="J460" s="4">
        <v>3558.2</v>
      </c>
      <c r="K460" s="4">
        <v>4233.29</v>
      </c>
      <c r="L460" s="4">
        <v>1063.1400000000001</v>
      </c>
      <c r="M460" s="4">
        <f t="shared" si="21"/>
        <v>1.87</v>
      </c>
      <c r="N460" s="4">
        <f t="shared" si="22"/>
        <v>675.09000000000015</v>
      </c>
      <c r="O460" s="4">
        <f t="shared" si="23"/>
        <v>-3.5300000000000002</v>
      </c>
      <c r="P460" s="3" t="s">
        <v>19</v>
      </c>
    </row>
    <row r="461" spans="1:16" x14ac:dyDescent="0.35">
      <c r="A461" s="3" t="s">
        <v>40</v>
      </c>
      <c r="B461" s="3" t="str">
        <f>INDEX(State_Region!$B$2:$B$26,MATCH(TRIM(A461),State_Region!$A$2:$A$26,0))</f>
        <v>South</v>
      </c>
      <c r="C461" s="3" t="s">
        <v>117</v>
      </c>
      <c r="D461" s="3" t="str">
        <f>INDEX(Port_Type!$B$2:$B$227,MATCH(TRIM(C461),Port_Type!$A$2:$A$227,0))</f>
        <v>Sea Port</v>
      </c>
      <c r="E461" s="3" t="s">
        <v>42</v>
      </c>
      <c r="F461" s="3" t="str">
        <f>INDEX(Product_Category!$B$2:$B$45,MATCH(TRIM(E461),Product_Category!$A$2:$A$45,0))</f>
        <v>Processed Foods</v>
      </c>
      <c r="G461" s="4">
        <v>1.47</v>
      </c>
      <c r="H461" s="4">
        <v>2.66</v>
      </c>
      <c r="I461" s="4">
        <v>1.3</v>
      </c>
      <c r="J461" s="4">
        <v>923.63</v>
      </c>
      <c r="K461" s="4">
        <v>1940.99</v>
      </c>
      <c r="L461" s="4">
        <v>855.65</v>
      </c>
      <c r="M461" s="4">
        <f t="shared" si="21"/>
        <v>1.1900000000000002</v>
      </c>
      <c r="N461" s="4">
        <f t="shared" si="22"/>
        <v>1017.36</v>
      </c>
      <c r="O461" s="4">
        <f t="shared" si="23"/>
        <v>-1.36</v>
      </c>
      <c r="P461" s="3" t="s">
        <v>19</v>
      </c>
    </row>
    <row r="462" spans="1:16" x14ac:dyDescent="0.35">
      <c r="A462" s="3" t="s">
        <v>40</v>
      </c>
      <c r="B462" s="3" t="str">
        <f>INDEX(State_Region!$B$2:$B$26,MATCH(TRIM(A462),State_Region!$A$2:$A$26,0))</f>
        <v>South</v>
      </c>
      <c r="C462" s="3" t="s">
        <v>41</v>
      </c>
      <c r="D462" s="3" t="str">
        <f>INDEX(Port_Type!$B$2:$B$227,MATCH(TRIM(C462),Port_Type!$A$2:$A$227,0))</f>
        <v>Sea Port</v>
      </c>
      <c r="E462" s="3" t="s">
        <v>151</v>
      </c>
      <c r="F462" s="3" t="str">
        <f>INDEX(Product_Category!$B$2:$B$45,MATCH(TRIM(E462),Product_Category!$A$2:$A$45,0))</f>
        <v>Processed Foods</v>
      </c>
      <c r="G462" s="4">
        <v>5.26</v>
      </c>
      <c r="H462" s="4">
        <v>7.25</v>
      </c>
      <c r="I462" s="4">
        <v>1.29</v>
      </c>
      <c r="J462" s="4">
        <v>4790.4399999999996</v>
      </c>
      <c r="K462" s="4">
        <v>9946.49</v>
      </c>
      <c r="L462" s="4">
        <v>2063.2800000000002</v>
      </c>
      <c r="M462" s="4">
        <f t="shared" si="21"/>
        <v>1.9900000000000002</v>
      </c>
      <c r="N462" s="4">
        <f t="shared" si="22"/>
        <v>5156.05</v>
      </c>
      <c r="O462" s="4">
        <f t="shared" si="23"/>
        <v>-5.96</v>
      </c>
      <c r="P462" s="3" t="s">
        <v>19</v>
      </c>
    </row>
    <row r="463" spans="1:16" x14ac:dyDescent="0.35">
      <c r="A463" s="3" t="s">
        <v>35</v>
      </c>
      <c r="B463" s="3" t="str">
        <f>INDEX(State_Region!$B$2:$B$26,MATCH(TRIM(A463),State_Region!$A$2:$A$26,0))</f>
        <v>North</v>
      </c>
      <c r="C463" s="3" t="s">
        <v>37</v>
      </c>
      <c r="D463" s="3" t="str">
        <f>INDEX(Port_Type!$B$2:$B$227,MATCH(TRIM(C463),Port_Type!$A$2:$A$227,0))</f>
        <v>Inland ICD / CFS</v>
      </c>
      <c r="E463" s="3" t="s">
        <v>39</v>
      </c>
      <c r="F463" s="3" t="str">
        <f>INDEX(Product_Category!$B$2:$B$45,MATCH(TRIM(E463),Product_Category!$A$2:$A$45,0))</f>
        <v>Processed Foods</v>
      </c>
      <c r="G463" s="4">
        <v>0.63</v>
      </c>
      <c r="H463" s="4">
        <v>0.97</v>
      </c>
      <c r="I463" s="4">
        <v>1.29</v>
      </c>
      <c r="J463" s="4">
        <v>300.11</v>
      </c>
      <c r="K463" s="4">
        <v>366.91</v>
      </c>
      <c r="L463" s="4">
        <v>544.05999999999995</v>
      </c>
      <c r="M463" s="4">
        <f t="shared" si="21"/>
        <v>0.33999999999999997</v>
      </c>
      <c r="N463" s="4">
        <f t="shared" si="22"/>
        <v>66.800000000000011</v>
      </c>
      <c r="O463" s="4">
        <f t="shared" si="23"/>
        <v>0.32000000000000006</v>
      </c>
      <c r="P463" s="3" t="s">
        <v>19</v>
      </c>
    </row>
    <row r="464" spans="1:16" x14ac:dyDescent="0.35">
      <c r="A464" s="3" t="s">
        <v>77</v>
      </c>
      <c r="B464" s="3" t="str">
        <f>INDEX(State_Region!$B$2:$B$26,MATCH(TRIM(A464),State_Region!$A$2:$A$26,0))</f>
        <v>South</v>
      </c>
      <c r="C464" s="3" t="s">
        <v>132</v>
      </c>
      <c r="D464" s="3" t="str">
        <f>INDEX(Port_Type!$B$2:$B$227,MATCH(TRIM(C464),Port_Type!$A$2:$A$227,0))</f>
        <v>Air Cargo</v>
      </c>
      <c r="E464" s="3" t="s">
        <v>76</v>
      </c>
      <c r="F464" s="3" t="str">
        <f>INDEX(Product_Category!$B$2:$B$45,MATCH(TRIM(E464),Product_Category!$A$2:$A$45,0))</f>
        <v>Fresh Fruits &amp; Vegetables</v>
      </c>
      <c r="G464" s="4">
        <v>1.1000000000000001</v>
      </c>
      <c r="H464" s="4">
        <v>1.78</v>
      </c>
      <c r="I464" s="4">
        <v>1.29</v>
      </c>
      <c r="J464" s="4">
        <v>547.73</v>
      </c>
      <c r="K464" s="4">
        <v>914.65</v>
      </c>
      <c r="L464" s="4">
        <v>456.11</v>
      </c>
      <c r="M464" s="4">
        <f t="shared" si="21"/>
        <v>0.67999999999999994</v>
      </c>
      <c r="N464" s="4">
        <f t="shared" si="22"/>
        <v>366.91999999999996</v>
      </c>
      <c r="O464" s="4">
        <f t="shared" si="23"/>
        <v>-0.49</v>
      </c>
      <c r="P464" s="3" t="s">
        <v>19</v>
      </c>
    </row>
    <row r="465" spans="1:16" x14ac:dyDescent="0.35">
      <c r="A465" s="3" t="s">
        <v>23</v>
      </c>
      <c r="B465" s="3" t="str">
        <f>INDEX(State_Region!$B$2:$B$26,MATCH(TRIM(A465),State_Region!$A$2:$A$26,0))</f>
        <v>North</v>
      </c>
      <c r="C465" s="3" t="s">
        <v>148</v>
      </c>
      <c r="D465" s="3" t="str">
        <f>INDEX(Port_Type!$B$2:$B$227,MATCH(TRIM(C465),Port_Type!$A$2:$A$227,0))</f>
        <v>Inland ICD / CFS</v>
      </c>
      <c r="E465" s="3" t="s">
        <v>42</v>
      </c>
      <c r="F465" s="3" t="str">
        <f>INDEX(Product_Category!$B$2:$B$45,MATCH(TRIM(E465),Product_Category!$A$2:$A$45,0))</f>
        <v>Processed Foods</v>
      </c>
      <c r="G465" s="4">
        <v>3.08</v>
      </c>
      <c r="H465" s="4">
        <v>3.76</v>
      </c>
      <c r="I465" s="4">
        <v>1.27</v>
      </c>
      <c r="J465" s="4">
        <v>549.03</v>
      </c>
      <c r="K465" s="4">
        <v>239.73</v>
      </c>
      <c r="L465" s="4">
        <v>119.87</v>
      </c>
      <c r="M465" s="4">
        <f t="shared" si="21"/>
        <v>0.67999999999999972</v>
      </c>
      <c r="N465" s="4">
        <f t="shared" si="22"/>
        <v>-309.29999999999995</v>
      </c>
      <c r="O465" s="4">
        <f t="shared" si="23"/>
        <v>-2.4899999999999998</v>
      </c>
      <c r="P465" s="3" t="s">
        <v>19</v>
      </c>
    </row>
    <row r="466" spans="1:16" x14ac:dyDescent="0.35">
      <c r="A466" s="3" t="s">
        <v>35</v>
      </c>
      <c r="B466" s="3" t="str">
        <f>INDEX(State_Region!$B$2:$B$26,MATCH(TRIM(A466),State_Region!$A$2:$A$26,0))</f>
        <v>North</v>
      </c>
      <c r="C466" s="3" t="s">
        <v>37</v>
      </c>
      <c r="D466" s="3" t="str">
        <f>INDEX(Port_Type!$B$2:$B$227,MATCH(TRIM(C466),Port_Type!$A$2:$A$227,0))</f>
        <v>Inland ICD / CFS</v>
      </c>
      <c r="E466" s="3" t="s">
        <v>72</v>
      </c>
      <c r="F466" s="3" t="str">
        <f>INDEX(Product_Category!$B$2:$B$45,MATCH(TRIM(E466),Product_Category!$A$2:$A$45,0))</f>
        <v>Dairy, Poultry &amp; Honey</v>
      </c>
      <c r="G466" s="4">
        <v>7.35</v>
      </c>
      <c r="H466" s="4">
        <v>1.07</v>
      </c>
      <c r="I466" s="4">
        <v>1.27</v>
      </c>
      <c r="J466" s="4">
        <v>1526.36</v>
      </c>
      <c r="K466" s="4">
        <v>223.66</v>
      </c>
      <c r="L466" s="4">
        <v>375</v>
      </c>
      <c r="M466" s="4">
        <f t="shared" si="21"/>
        <v>-6.2799999999999994</v>
      </c>
      <c r="N466" s="4">
        <f t="shared" si="22"/>
        <v>-1302.6999999999998</v>
      </c>
      <c r="O466" s="4">
        <f t="shared" si="23"/>
        <v>0.19999999999999996</v>
      </c>
      <c r="P466" s="3" t="s">
        <v>19</v>
      </c>
    </row>
    <row r="467" spans="1:16" x14ac:dyDescent="0.35">
      <c r="A467" s="3" t="s">
        <v>20</v>
      </c>
      <c r="B467" s="3" t="str">
        <f>INDEX(State_Region!$B$2:$B$26,MATCH(TRIM(A467),State_Region!$A$2:$A$26,0))</f>
        <v>West</v>
      </c>
      <c r="C467" s="3" t="s">
        <v>145</v>
      </c>
      <c r="D467" s="3" t="str">
        <f>INDEX(Port_Type!$B$2:$B$227,MATCH(TRIM(C467),Port_Type!$A$2:$A$227,0))</f>
        <v>Inland ICD / CFS</v>
      </c>
      <c r="E467" s="3" t="s">
        <v>45</v>
      </c>
      <c r="F467" s="3" t="str">
        <f>INDEX(Product_Category!$B$2:$B$45,MATCH(TRIM(E467),Product_Category!$A$2:$A$45,0))</f>
        <v>Fresh Fruits &amp; Vegetables</v>
      </c>
      <c r="G467" s="4">
        <v>0</v>
      </c>
      <c r="H467" s="4">
        <v>15.32</v>
      </c>
      <c r="I467" s="4">
        <v>1.26</v>
      </c>
      <c r="J467" s="4">
        <v>0</v>
      </c>
      <c r="K467" s="4">
        <v>34806.71</v>
      </c>
      <c r="L467" s="4">
        <v>2754.17</v>
      </c>
      <c r="M467" s="4">
        <f t="shared" si="21"/>
        <v>15.32</v>
      </c>
      <c r="N467" s="4">
        <f t="shared" si="22"/>
        <v>34806.71</v>
      </c>
      <c r="O467" s="4">
        <f t="shared" si="23"/>
        <v>-14.06</v>
      </c>
      <c r="P467" s="3" t="s">
        <v>19</v>
      </c>
    </row>
    <row r="468" spans="1:16" x14ac:dyDescent="0.35">
      <c r="A468" s="3" t="s">
        <v>31</v>
      </c>
      <c r="B468" s="3" t="str">
        <f>INDEX(State_Region!$B$2:$B$26,MATCH(TRIM(A468),State_Region!$A$2:$A$26,0))</f>
        <v>East</v>
      </c>
      <c r="C468" s="3" t="s">
        <v>141</v>
      </c>
      <c r="D468" s="3" t="str">
        <f>INDEX(Port_Type!$B$2:$B$227,MATCH(TRIM(C468),Port_Type!$A$2:$A$227,0))</f>
        <v>Land Border / Rail</v>
      </c>
      <c r="E468" s="3" t="s">
        <v>102</v>
      </c>
      <c r="F468" s="3" t="str">
        <f>INDEX(Product_Category!$B$2:$B$45,MATCH(TRIM(E468),Product_Category!$A$2:$A$45,0))</f>
        <v>Fresh Fruits &amp; Vegetables</v>
      </c>
      <c r="G468" s="4">
        <v>13.92</v>
      </c>
      <c r="H468" s="4">
        <v>5.47</v>
      </c>
      <c r="I468" s="4">
        <v>1.26</v>
      </c>
      <c r="J468" s="4">
        <v>58286.8</v>
      </c>
      <c r="K468" s="4">
        <v>18682.2</v>
      </c>
      <c r="L468" s="4">
        <v>4316.66</v>
      </c>
      <c r="M468" s="4">
        <f t="shared" si="21"/>
        <v>-8.4499999999999993</v>
      </c>
      <c r="N468" s="4">
        <f t="shared" si="22"/>
        <v>-39604.600000000006</v>
      </c>
      <c r="O468" s="4">
        <f t="shared" si="23"/>
        <v>-4.21</v>
      </c>
      <c r="P468" s="3" t="s">
        <v>19</v>
      </c>
    </row>
    <row r="469" spans="1:16" x14ac:dyDescent="0.35">
      <c r="A469" s="3" t="s">
        <v>94</v>
      </c>
      <c r="B469" s="3" t="str">
        <f>INDEX(State_Region!$B$2:$B$26,MATCH(TRIM(A469),State_Region!$A$2:$A$26,0))</f>
        <v>East</v>
      </c>
      <c r="C469" s="3" t="s">
        <v>184</v>
      </c>
      <c r="D469" s="3" t="str">
        <f>INDEX(Port_Type!$B$2:$B$227,MATCH(TRIM(C469),Port_Type!$A$2:$A$227,0))</f>
        <v>Land Border / Rail</v>
      </c>
      <c r="E469" s="3" t="s">
        <v>27</v>
      </c>
      <c r="F469" s="3" t="str">
        <f>INDEX(Product_Category!$B$2:$B$45,MATCH(TRIM(E469),Product_Category!$A$2:$A$45,0))</f>
        <v>Cereals &amp; Grains</v>
      </c>
      <c r="G469" s="4">
        <v>0.51</v>
      </c>
      <c r="H469" s="4">
        <v>3.51</v>
      </c>
      <c r="I469" s="4">
        <v>1.25</v>
      </c>
      <c r="J469" s="4">
        <v>1912.55</v>
      </c>
      <c r="K469" s="4">
        <v>12514.03</v>
      </c>
      <c r="L469" s="4">
        <v>4206.3500000000004</v>
      </c>
      <c r="M469" s="4">
        <f t="shared" si="21"/>
        <v>3</v>
      </c>
      <c r="N469" s="4">
        <f t="shared" si="22"/>
        <v>10601.480000000001</v>
      </c>
      <c r="O469" s="4">
        <f t="shared" si="23"/>
        <v>-2.2599999999999998</v>
      </c>
      <c r="P469" s="3" t="s">
        <v>19</v>
      </c>
    </row>
    <row r="470" spans="1:16" x14ac:dyDescent="0.35">
      <c r="A470" s="3" t="s">
        <v>40</v>
      </c>
      <c r="B470" s="3" t="str">
        <f>INDEX(State_Region!$B$2:$B$26,MATCH(TRIM(A470),State_Region!$A$2:$A$26,0))</f>
        <v>South</v>
      </c>
      <c r="C470" s="3" t="s">
        <v>164</v>
      </c>
      <c r="D470" s="3" t="str">
        <f>INDEX(Port_Type!$B$2:$B$227,MATCH(TRIM(C470),Port_Type!$A$2:$A$227,0))</f>
        <v>Air Cargo</v>
      </c>
      <c r="E470" s="3" t="s">
        <v>45</v>
      </c>
      <c r="F470" s="3" t="str">
        <f>INDEX(Product_Category!$B$2:$B$45,MATCH(TRIM(E470),Product_Category!$A$2:$A$45,0))</f>
        <v>Fresh Fruits &amp; Vegetables</v>
      </c>
      <c r="G470" s="4">
        <v>1.4</v>
      </c>
      <c r="H470" s="4">
        <v>1.55</v>
      </c>
      <c r="I470" s="4">
        <v>1.25</v>
      </c>
      <c r="J470" s="4">
        <v>874.81</v>
      </c>
      <c r="K470" s="4">
        <v>1145.93</v>
      </c>
      <c r="L470" s="4">
        <v>827.56</v>
      </c>
      <c r="M470" s="4">
        <f t="shared" si="21"/>
        <v>0.15000000000000013</v>
      </c>
      <c r="N470" s="4">
        <f t="shared" si="22"/>
        <v>271.12000000000012</v>
      </c>
      <c r="O470" s="4">
        <f t="shared" si="23"/>
        <v>-0.30000000000000004</v>
      </c>
      <c r="P470" s="3" t="s">
        <v>19</v>
      </c>
    </row>
    <row r="471" spans="1:16" x14ac:dyDescent="0.35">
      <c r="A471" s="3" t="s">
        <v>23</v>
      </c>
      <c r="B471" s="3" t="str">
        <f>INDEX(State_Region!$B$2:$B$26,MATCH(TRIM(A471),State_Region!$A$2:$A$26,0))</f>
        <v>North</v>
      </c>
      <c r="C471" s="3" t="s">
        <v>185</v>
      </c>
      <c r="D471" s="3" t="str">
        <f>INDEX(Port_Type!$B$2:$B$227,MATCH(TRIM(C471),Port_Type!$A$2:$A$227,0))</f>
        <v>Land Border / Rail</v>
      </c>
      <c r="E471" s="3" t="s">
        <v>55</v>
      </c>
      <c r="F471" s="3" t="str">
        <f>INDEX(Product_Category!$B$2:$B$45,MATCH(TRIM(E471),Product_Category!$A$2:$A$45,0))</f>
        <v>Fresh Fruits &amp; Vegetables</v>
      </c>
      <c r="G471" s="4">
        <v>0.67</v>
      </c>
      <c r="H471" s="4">
        <v>3.09</v>
      </c>
      <c r="I471" s="4">
        <v>1.25</v>
      </c>
      <c r="J471" s="4">
        <v>3725.76</v>
      </c>
      <c r="K471" s="4">
        <v>11025.6</v>
      </c>
      <c r="L471" s="4">
        <v>4767.82</v>
      </c>
      <c r="M471" s="4">
        <f t="shared" si="21"/>
        <v>2.42</v>
      </c>
      <c r="N471" s="4">
        <f t="shared" si="22"/>
        <v>7299.84</v>
      </c>
      <c r="O471" s="4">
        <f t="shared" si="23"/>
        <v>-1.8399999999999999</v>
      </c>
      <c r="P471" s="3" t="s">
        <v>19</v>
      </c>
    </row>
    <row r="472" spans="1:16" x14ac:dyDescent="0.35">
      <c r="A472" s="3" t="s">
        <v>66</v>
      </c>
      <c r="B472" s="3" t="str">
        <f>INDEX(State_Region!$B$2:$B$26,MATCH(TRIM(A472),State_Region!$A$2:$A$26,0))</f>
        <v>North</v>
      </c>
      <c r="C472" s="3" t="s">
        <v>108</v>
      </c>
      <c r="D472" s="3" t="str">
        <f>INDEX(Port_Type!$B$2:$B$227,MATCH(TRIM(C472),Port_Type!$A$2:$A$227,0))</f>
        <v>Inland ICD / CFS</v>
      </c>
      <c r="E472" s="3" t="s">
        <v>39</v>
      </c>
      <c r="F472" s="3" t="str">
        <f>INDEX(Product_Category!$B$2:$B$45,MATCH(TRIM(E472),Product_Category!$A$2:$A$45,0))</f>
        <v>Processed Foods</v>
      </c>
      <c r="G472" s="4">
        <v>8.06</v>
      </c>
      <c r="H472" s="4">
        <v>5.48</v>
      </c>
      <c r="I472" s="4">
        <v>1.24</v>
      </c>
      <c r="J472" s="4">
        <v>4634.34</v>
      </c>
      <c r="K472" s="4">
        <v>2682.45</v>
      </c>
      <c r="L472" s="4">
        <v>717.91</v>
      </c>
      <c r="M472" s="4">
        <f t="shared" si="21"/>
        <v>-2.58</v>
      </c>
      <c r="N472" s="4">
        <f t="shared" si="22"/>
        <v>-1951.8900000000003</v>
      </c>
      <c r="O472" s="4">
        <f t="shared" si="23"/>
        <v>-4.24</v>
      </c>
      <c r="P472" s="3" t="s">
        <v>19</v>
      </c>
    </row>
    <row r="473" spans="1:16" x14ac:dyDescent="0.35">
      <c r="A473" s="3" t="s">
        <v>74</v>
      </c>
      <c r="B473" s="3" t="str">
        <f>INDEX(State_Region!$B$2:$B$26,MATCH(TRIM(A473),State_Region!$A$2:$A$26,0))</f>
        <v>South</v>
      </c>
      <c r="C473" s="3" t="s">
        <v>75</v>
      </c>
      <c r="D473" s="3" t="str">
        <f>INDEX(Port_Type!$B$2:$B$227,MATCH(TRIM(C473),Port_Type!$A$2:$A$227,0))</f>
        <v>Inland ICD / CFS</v>
      </c>
      <c r="E473" s="3" t="s">
        <v>144</v>
      </c>
      <c r="F473" s="3" t="str">
        <f>INDEX(Product_Category!$B$2:$B$45,MATCH(TRIM(E473),Product_Category!$A$2:$A$45,0))</f>
        <v>Cereals &amp; Grains</v>
      </c>
      <c r="G473" s="4">
        <v>3.2</v>
      </c>
      <c r="H473" s="4">
        <v>0.87</v>
      </c>
      <c r="I473" s="4">
        <v>1.24</v>
      </c>
      <c r="J473" s="4">
        <v>1781.52</v>
      </c>
      <c r="K473" s="4">
        <v>386.52</v>
      </c>
      <c r="L473" s="4">
        <v>597.99</v>
      </c>
      <c r="M473" s="4">
        <f t="shared" si="21"/>
        <v>-2.33</v>
      </c>
      <c r="N473" s="4">
        <f t="shared" si="22"/>
        <v>-1395</v>
      </c>
      <c r="O473" s="4">
        <f t="shared" si="23"/>
        <v>0.37</v>
      </c>
      <c r="P473" s="3" t="s">
        <v>19</v>
      </c>
    </row>
    <row r="474" spans="1:16" x14ac:dyDescent="0.35">
      <c r="A474" s="3" t="s">
        <v>40</v>
      </c>
      <c r="B474" s="3" t="str">
        <f>INDEX(State_Region!$B$2:$B$26,MATCH(TRIM(A474),State_Region!$A$2:$A$26,0))</f>
        <v>South</v>
      </c>
      <c r="C474" s="3" t="s">
        <v>85</v>
      </c>
      <c r="D474" s="3" t="str">
        <f>INDEX(Port_Type!$B$2:$B$227,MATCH(TRIM(C474),Port_Type!$A$2:$A$227,0))</f>
        <v>Sea Port</v>
      </c>
      <c r="E474" s="3" t="s">
        <v>51</v>
      </c>
      <c r="F474" s="3" t="str">
        <f>INDEX(Product_Category!$B$2:$B$45,MATCH(TRIM(E474),Product_Category!$A$2:$A$45,0))</f>
        <v>Nuts &amp; Oilseeds</v>
      </c>
      <c r="G474" s="4">
        <v>0.3</v>
      </c>
      <c r="H474" s="4">
        <v>1.91</v>
      </c>
      <c r="I474" s="4">
        <v>1.23</v>
      </c>
      <c r="J474" s="4">
        <v>221.85</v>
      </c>
      <c r="K474" s="4">
        <v>1342.46</v>
      </c>
      <c r="L474" s="4">
        <v>836.72</v>
      </c>
      <c r="M474" s="4">
        <f t="shared" si="21"/>
        <v>1.6099999999999999</v>
      </c>
      <c r="N474" s="4">
        <f t="shared" si="22"/>
        <v>1120.6100000000001</v>
      </c>
      <c r="O474" s="4">
        <f t="shared" si="23"/>
        <v>-0.67999999999999994</v>
      </c>
      <c r="P474" s="3" t="s">
        <v>19</v>
      </c>
    </row>
    <row r="475" spans="1:16" x14ac:dyDescent="0.35">
      <c r="A475" s="3" t="s">
        <v>23</v>
      </c>
      <c r="B475" s="3" t="str">
        <f>INDEX(State_Region!$B$2:$B$26,MATCH(TRIM(A475),State_Region!$A$2:$A$26,0))</f>
        <v>North</v>
      </c>
      <c r="C475" s="3" t="s">
        <v>123</v>
      </c>
      <c r="D475" s="3" t="str">
        <f>INDEX(Port_Type!$B$2:$B$227,MATCH(TRIM(C475),Port_Type!$A$2:$A$227,0))</f>
        <v>Land Border / Rail</v>
      </c>
      <c r="E475" s="3" t="s">
        <v>59</v>
      </c>
      <c r="F475" s="3" t="str">
        <f>INDEX(Product_Category!$B$2:$B$45,MATCH(TRIM(E475),Product_Category!$A$2:$A$45,0))</f>
        <v>Processed Foods</v>
      </c>
      <c r="G475" s="4">
        <v>9.26</v>
      </c>
      <c r="H475" s="4">
        <v>6.63</v>
      </c>
      <c r="I475" s="4">
        <v>1.23</v>
      </c>
      <c r="J475" s="4">
        <v>1234.02</v>
      </c>
      <c r="K475" s="4">
        <v>1162.21</v>
      </c>
      <c r="L475" s="4">
        <v>169.73</v>
      </c>
      <c r="M475" s="4">
        <f t="shared" si="21"/>
        <v>-2.63</v>
      </c>
      <c r="N475" s="4">
        <f t="shared" si="22"/>
        <v>-71.809999999999945</v>
      </c>
      <c r="O475" s="4">
        <f t="shared" si="23"/>
        <v>-5.4</v>
      </c>
      <c r="P475" s="3" t="s">
        <v>19</v>
      </c>
    </row>
    <row r="476" spans="1:16" x14ac:dyDescent="0.35">
      <c r="A476" s="3" t="s">
        <v>20</v>
      </c>
      <c r="B476" s="3" t="str">
        <f>INDEX(State_Region!$B$2:$B$26,MATCH(TRIM(A476),State_Region!$A$2:$A$26,0))</f>
        <v>West</v>
      </c>
      <c r="C476" s="3" t="s">
        <v>173</v>
      </c>
      <c r="D476" s="3" t="str">
        <f>INDEX(Port_Type!$B$2:$B$227,MATCH(TRIM(C476),Port_Type!$A$2:$A$227,0))</f>
        <v>Inland ICD / CFS</v>
      </c>
      <c r="E476" s="3" t="s">
        <v>39</v>
      </c>
      <c r="F476" s="3" t="str">
        <f>INDEX(Product_Category!$B$2:$B$45,MATCH(TRIM(E476),Product_Category!$A$2:$A$45,0))</f>
        <v>Processed Foods</v>
      </c>
      <c r="G476" s="4">
        <v>1.0900000000000001</v>
      </c>
      <c r="H476" s="4">
        <v>1.47</v>
      </c>
      <c r="I476" s="4">
        <v>1.22</v>
      </c>
      <c r="J476" s="4">
        <v>366.58</v>
      </c>
      <c r="K476" s="4">
        <v>499.63</v>
      </c>
      <c r="L476" s="4">
        <v>281.44</v>
      </c>
      <c r="M476" s="4">
        <f t="shared" si="21"/>
        <v>0.37999999999999989</v>
      </c>
      <c r="N476" s="4">
        <f t="shared" si="22"/>
        <v>133.05000000000001</v>
      </c>
      <c r="O476" s="4">
        <f t="shared" si="23"/>
        <v>-0.25</v>
      </c>
      <c r="P476" s="3" t="s">
        <v>19</v>
      </c>
    </row>
    <row r="477" spans="1:16" x14ac:dyDescent="0.35">
      <c r="A477" s="3" t="s">
        <v>79</v>
      </c>
      <c r="B477" s="3" t="str">
        <f>INDEX(State_Region!$B$2:$B$26,MATCH(TRIM(A477),State_Region!$A$2:$A$26,0))</f>
        <v>South</v>
      </c>
      <c r="C477" s="3" t="s">
        <v>91</v>
      </c>
      <c r="D477" s="3" t="str">
        <f>INDEX(Port_Type!$B$2:$B$227,MATCH(TRIM(C477),Port_Type!$A$2:$A$227,0))</f>
        <v>Sea Port</v>
      </c>
      <c r="E477" s="3" t="s">
        <v>59</v>
      </c>
      <c r="F477" s="3" t="str">
        <f>INDEX(Product_Category!$B$2:$B$45,MATCH(TRIM(E477),Product_Category!$A$2:$A$45,0))</f>
        <v>Processed Foods</v>
      </c>
      <c r="G477" s="4">
        <v>3.39</v>
      </c>
      <c r="H477" s="4">
        <v>5.04</v>
      </c>
      <c r="I477" s="4">
        <v>1.22</v>
      </c>
      <c r="J477" s="4">
        <v>1654.4</v>
      </c>
      <c r="K477" s="4">
        <v>2322.12</v>
      </c>
      <c r="L477" s="4">
        <v>577.32000000000005</v>
      </c>
      <c r="M477" s="4">
        <f t="shared" si="21"/>
        <v>1.65</v>
      </c>
      <c r="N477" s="4">
        <f t="shared" si="22"/>
        <v>667.7199999999998</v>
      </c>
      <c r="O477" s="4">
        <f t="shared" si="23"/>
        <v>-3.8200000000000003</v>
      </c>
      <c r="P477" s="3" t="s">
        <v>19</v>
      </c>
    </row>
    <row r="478" spans="1:16" x14ac:dyDescent="0.35">
      <c r="A478" s="3" t="s">
        <v>57</v>
      </c>
      <c r="B478" s="3" t="str">
        <f>INDEX(State_Region!$B$2:$B$26,MATCH(TRIM(A478),State_Region!$A$2:$A$26,0))</f>
        <v>Central</v>
      </c>
      <c r="C478" s="3" t="s">
        <v>161</v>
      </c>
      <c r="D478" s="3" t="str">
        <f>INDEX(Port_Type!$B$2:$B$227,MATCH(TRIM(C478),Port_Type!$A$2:$A$227,0))</f>
        <v>Inland ICD / CFS</v>
      </c>
      <c r="E478" s="3" t="s">
        <v>59</v>
      </c>
      <c r="F478" s="3" t="str">
        <f>INDEX(Product_Category!$B$2:$B$45,MATCH(TRIM(E478),Product_Category!$A$2:$A$45,0))</f>
        <v>Processed Foods</v>
      </c>
      <c r="G478" s="4">
        <v>4.4000000000000004</v>
      </c>
      <c r="H478" s="4">
        <v>4.5599999999999996</v>
      </c>
      <c r="I478" s="4">
        <v>1.22</v>
      </c>
      <c r="J478" s="4">
        <v>2798.23</v>
      </c>
      <c r="K478" s="4">
        <v>2965.42</v>
      </c>
      <c r="L478" s="4">
        <v>728.34</v>
      </c>
      <c r="M478" s="4">
        <f t="shared" si="21"/>
        <v>0.15999999999999925</v>
      </c>
      <c r="N478" s="4">
        <f t="shared" si="22"/>
        <v>167.19000000000005</v>
      </c>
      <c r="O478" s="4">
        <f t="shared" si="23"/>
        <v>-3.34</v>
      </c>
      <c r="P478" s="3" t="s">
        <v>19</v>
      </c>
    </row>
    <row r="479" spans="1:16" x14ac:dyDescent="0.35">
      <c r="A479" s="3" t="s">
        <v>129</v>
      </c>
      <c r="B479" s="3" t="str">
        <f>INDEX(State_Region!$B$2:$B$26,MATCH(TRIM(A479),State_Region!$A$2:$A$26,0))</f>
        <v>East</v>
      </c>
      <c r="C479" s="3" t="s">
        <v>147</v>
      </c>
      <c r="D479" s="3" t="str">
        <f>INDEX(Port_Type!$B$2:$B$227,MATCH(TRIM(C479),Port_Type!$A$2:$A$227,0))</f>
        <v>Land Border / Rail</v>
      </c>
      <c r="E479" s="3" t="s">
        <v>51</v>
      </c>
      <c r="F479" s="3" t="str">
        <f>INDEX(Product_Category!$B$2:$B$45,MATCH(TRIM(E479),Product_Category!$A$2:$A$45,0))</f>
        <v>Nuts &amp; Oilseeds</v>
      </c>
      <c r="G479" s="4">
        <v>4.82</v>
      </c>
      <c r="H479" s="4">
        <v>6.13</v>
      </c>
      <c r="I479" s="4">
        <v>1.22</v>
      </c>
      <c r="J479" s="4">
        <v>5005.99</v>
      </c>
      <c r="K479" s="4">
        <v>6698.36</v>
      </c>
      <c r="L479" s="4">
        <v>1127.8900000000001</v>
      </c>
      <c r="M479" s="4">
        <f t="shared" si="21"/>
        <v>1.3099999999999996</v>
      </c>
      <c r="N479" s="4">
        <f t="shared" si="22"/>
        <v>1692.37</v>
      </c>
      <c r="O479" s="4">
        <f t="shared" si="23"/>
        <v>-4.91</v>
      </c>
      <c r="P479" s="3" t="s">
        <v>19</v>
      </c>
    </row>
    <row r="480" spans="1:16" x14ac:dyDescent="0.35">
      <c r="A480" s="3" t="s">
        <v>79</v>
      </c>
      <c r="B480" s="3" t="str">
        <f>INDEX(State_Region!$B$2:$B$26,MATCH(TRIM(A480),State_Region!$A$2:$A$26,0))</f>
        <v>South</v>
      </c>
      <c r="C480" s="3" t="s">
        <v>91</v>
      </c>
      <c r="D480" s="3" t="str">
        <f>INDEX(Port_Type!$B$2:$B$227,MATCH(TRIM(C480),Port_Type!$A$2:$A$227,0))</f>
        <v>Sea Port</v>
      </c>
      <c r="E480" s="3" t="s">
        <v>42</v>
      </c>
      <c r="F480" s="3" t="str">
        <f>INDEX(Product_Category!$B$2:$B$45,MATCH(TRIM(E480),Product_Category!$A$2:$A$45,0))</f>
        <v>Processed Foods</v>
      </c>
      <c r="G480" s="4">
        <v>7.44</v>
      </c>
      <c r="H480" s="4">
        <v>9.4499999999999993</v>
      </c>
      <c r="I480" s="4">
        <v>1.21</v>
      </c>
      <c r="J480" s="4">
        <v>5161.08</v>
      </c>
      <c r="K480" s="4">
        <v>7381.88</v>
      </c>
      <c r="L480" s="4">
        <v>901.09</v>
      </c>
      <c r="M480" s="4">
        <f t="shared" si="21"/>
        <v>2.0099999999999989</v>
      </c>
      <c r="N480" s="4">
        <f t="shared" si="22"/>
        <v>2220.8000000000002</v>
      </c>
      <c r="O480" s="4">
        <f t="shared" si="23"/>
        <v>-8.2399999999999984</v>
      </c>
      <c r="P480" s="3" t="s">
        <v>19</v>
      </c>
    </row>
    <row r="481" spans="1:16" x14ac:dyDescent="0.35">
      <c r="A481" s="3" t="s">
        <v>23</v>
      </c>
      <c r="B481" s="3" t="str">
        <f>INDEX(State_Region!$B$2:$B$26,MATCH(TRIM(A481),State_Region!$A$2:$A$26,0))</f>
        <v>North</v>
      </c>
      <c r="C481" s="3" t="s">
        <v>124</v>
      </c>
      <c r="D481" s="3" t="str">
        <f>INDEX(Port_Type!$B$2:$B$227,MATCH(TRIM(C481),Port_Type!$A$2:$A$227,0))</f>
        <v>Inland ICD / CFS</v>
      </c>
      <c r="E481" s="3" t="s">
        <v>45</v>
      </c>
      <c r="F481" s="3" t="str">
        <f>INDEX(Product_Category!$B$2:$B$45,MATCH(TRIM(E481),Product_Category!$A$2:$A$45,0))</f>
        <v>Fresh Fruits &amp; Vegetables</v>
      </c>
      <c r="G481" s="4">
        <v>0</v>
      </c>
      <c r="H481" s="4">
        <v>3.86</v>
      </c>
      <c r="I481" s="4">
        <v>1.2</v>
      </c>
      <c r="J481" s="4">
        <v>0</v>
      </c>
      <c r="K481" s="4">
        <v>12806.73</v>
      </c>
      <c r="L481" s="4">
        <v>5585.93</v>
      </c>
      <c r="M481" s="4">
        <f t="shared" si="21"/>
        <v>3.86</v>
      </c>
      <c r="N481" s="4">
        <f t="shared" si="22"/>
        <v>12806.73</v>
      </c>
      <c r="O481" s="4">
        <f t="shared" si="23"/>
        <v>-2.66</v>
      </c>
      <c r="P481" s="3" t="s">
        <v>19</v>
      </c>
    </row>
    <row r="482" spans="1:16" x14ac:dyDescent="0.35">
      <c r="A482" s="3" t="s">
        <v>31</v>
      </c>
      <c r="B482" s="3" t="str">
        <f>INDEX(State_Region!$B$2:$B$26,MATCH(TRIM(A482),State_Region!$A$2:$A$26,0))</f>
        <v>East</v>
      </c>
      <c r="C482" s="3" t="s">
        <v>171</v>
      </c>
      <c r="D482" s="3" t="str">
        <f>INDEX(Port_Type!$B$2:$B$227,MATCH(TRIM(C482),Port_Type!$A$2:$A$227,0))</f>
        <v>Land Border / Rail</v>
      </c>
      <c r="E482" s="3" t="s">
        <v>113</v>
      </c>
      <c r="F482" s="3" t="str">
        <f>INDEX(Product_Category!$B$2:$B$45,MATCH(TRIM(E482),Product_Category!$A$2:$A$45,0))</f>
        <v>Cereals &amp; Grains</v>
      </c>
      <c r="G482" s="4">
        <v>0</v>
      </c>
      <c r="H482" s="4">
        <v>0</v>
      </c>
      <c r="I482" s="4">
        <v>1.19</v>
      </c>
      <c r="J482" s="4">
        <v>0</v>
      </c>
      <c r="K482" s="4">
        <v>0</v>
      </c>
      <c r="L482" s="4">
        <v>4714.95</v>
      </c>
      <c r="M482" s="4">
        <f t="shared" si="21"/>
        <v>0</v>
      </c>
      <c r="N482" s="4">
        <f t="shared" si="22"/>
        <v>0</v>
      </c>
      <c r="O482" s="4">
        <f t="shared" si="23"/>
        <v>1.19</v>
      </c>
      <c r="P482" s="3" t="s">
        <v>19</v>
      </c>
    </row>
    <row r="483" spans="1:16" x14ac:dyDescent="0.35">
      <c r="A483" s="3" t="s">
        <v>74</v>
      </c>
      <c r="B483" s="3" t="str">
        <f>INDEX(State_Region!$B$2:$B$26,MATCH(TRIM(A483),State_Region!$A$2:$A$26,0))</f>
        <v>South</v>
      </c>
      <c r="C483" s="3" t="s">
        <v>75</v>
      </c>
      <c r="D483" s="3" t="str">
        <f>INDEX(Port_Type!$B$2:$B$227,MATCH(TRIM(C483),Port_Type!$A$2:$A$227,0))</f>
        <v>Inland ICD / CFS</v>
      </c>
      <c r="E483" s="3" t="s">
        <v>174</v>
      </c>
      <c r="F483" s="3" t="str">
        <f>INDEX(Product_Category!$B$2:$B$45,MATCH(TRIM(E483),Product_Category!$A$2:$A$45,0))</f>
        <v>Dairy, Poultry &amp; Honey</v>
      </c>
      <c r="G483" s="4">
        <v>3.07</v>
      </c>
      <c r="H483" s="4">
        <v>2.92</v>
      </c>
      <c r="I483" s="4">
        <v>1.18</v>
      </c>
      <c r="J483" s="4">
        <v>466.97</v>
      </c>
      <c r="K483" s="4">
        <v>615.26</v>
      </c>
      <c r="L483" s="4">
        <v>201.75</v>
      </c>
      <c r="M483" s="4">
        <f t="shared" si="21"/>
        <v>-0.14999999999999991</v>
      </c>
      <c r="N483" s="4">
        <f t="shared" si="22"/>
        <v>148.28999999999996</v>
      </c>
      <c r="O483" s="4">
        <f t="shared" si="23"/>
        <v>-1.74</v>
      </c>
      <c r="P483" s="3" t="s">
        <v>19</v>
      </c>
    </row>
    <row r="484" spans="1:16" x14ac:dyDescent="0.35">
      <c r="A484" s="3" t="s">
        <v>20</v>
      </c>
      <c r="B484" s="3" t="str">
        <f>INDEX(State_Region!$B$2:$B$26,MATCH(TRIM(A484),State_Region!$A$2:$A$26,0))</f>
        <v>West</v>
      </c>
      <c r="C484" s="3" t="s">
        <v>21</v>
      </c>
      <c r="D484" s="3" t="str">
        <f>INDEX(Port_Type!$B$2:$B$227,MATCH(TRIM(C484),Port_Type!$A$2:$A$227,0))</f>
        <v>Sea Port</v>
      </c>
      <c r="E484" s="3" t="s">
        <v>84</v>
      </c>
      <c r="F484" s="3" t="str">
        <f>INDEX(Product_Category!$B$2:$B$45,MATCH(TRIM(E484),Product_Category!$A$2:$A$45,0))</f>
        <v>Nuts &amp; Oilseeds</v>
      </c>
      <c r="G484" s="4">
        <v>2.79</v>
      </c>
      <c r="H484" s="4">
        <v>1.19</v>
      </c>
      <c r="I484" s="4">
        <v>1.17</v>
      </c>
      <c r="J484" s="4">
        <v>435.27</v>
      </c>
      <c r="K484" s="4">
        <v>207.76</v>
      </c>
      <c r="L484" s="4">
        <v>137.96</v>
      </c>
      <c r="M484" s="4">
        <f t="shared" si="21"/>
        <v>-1.6</v>
      </c>
      <c r="N484" s="4">
        <f t="shared" si="22"/>
        <v>-227.51</v>
      </c>
      <c r="O484" s="4">
        <f t="shared" si="23"/>
        <v>-2.0000000000000018E-2</v>
      </c>
      <c r="P484" s="3" t="s">
        <v>19</v>
      </c>
    </row>
    <row r="485" spans="1:16" x14ac:dyDescent="0.35">
      <c r="A485" s="3" t="s">
        <v>16</v>
      </c>
      <c r="B485" s="3" t="str">
        <f>INDEX(State_Region!$B$2:$B$26,MATCH(TRIM(A485),State_Region!$A$2:$A$26,0))</f>
        <v>West</v>
      </c>
      <c r="C485" s="3" t="s">
        <v>115</v>
      </c>
      <c r="D485" s="3" t="str">
        <f>INDEX(Port_Type!$B$2:$B$227,MATCH(TRIM(C485),Port_Type!$A$2:$A$227,0))</f>
        <v>Inland ICD / CFS</v>
      </c>
      <c r="E485" s="3" t="s">
        <v>39</v>
      </c>
      <c r="F485" s="3" t="str">
        <f>INDEX(Product_Category!$B$2:$B$45,MATCH(TRIM(E485),Product_Category!$A$2:$A$45,0))</f>
        <v>Processed Foods</v>
      </c>
      <c r="G485" s="4">
        <v>0.11</v>
      </c>
      <c r="H485" s="4">
        <v>0.69</v>
      </c>
      <c r="I485" s="4">
        <v>1.1599999999999999</v>
      </c>
      <c r="J485" s="4">
        <v>103.44</v>
      </c>
      <c r="K485" s="4">
        <v>448.24</v>
      </c>
      <c r="L485" s="4">
        <v>732.08</v>
      </c>
      <c r="M485" s="4">
        <f t="shared" si="21"/>
        <v>0.57999999999999996</v>
      </c>
      <c r="N485" s="4">
        <f t="shared" si="22"/>
        <v>344.8</v>
      </c>
      <c r="O485" s="4">
        <f t="shared" si="23"/>
        <v>0.47</v>
      </c>
      <c r="P485" s="3" t="s">
        <v>19</v>
      </c>
    </row>
    <row r="486" spans="1:16" x14ac:dyDescent="0.35">
      <c r="A486" s="3" t="s">
        <v>66</v>
      </c>
      <c r="B486" s="3" t="str">
        <f>INDEX(State_Region!$B$2:$B$26,MATCH(TRIM(A486),State_Region!$A$2:$A$26,0))</f>
        <v>North</v>
      </c>
      <c r="C486" s="3" t="s">
        <v>108</v>
      </c>
      <c r="D486" s="3" t="str">
        <f>INDEX(Port_Type!$B$2:$B$227,MATCH(TRIM(C486),Port_Type!$A$2:$A$227,0))</f>
        <v>Inland ICD / CFS</v>
      </c>
      <c r="E486" s="3" t="s">
        <v>69</v>
      </c>
      <c r="F486" s="3" t="str">
        <f>INDEX(Product_Category!$B$2:$B$45,MATCH(TRIM(E486),Product_Category!$A$2:$A$45,0))</f>
        <v>Others</v>
      </c>
      <c r="G486" s="4">
        <v>1.02</v>
      </c>
      <c r="H486" s="4">
        <v>1.1399999999999999</v>
      </c>
      <c r="I486" s="4">
        <v>1.1599999999999999</v>
      </c>
      <c r="J486" s="4">
        <v>87.59</v>
      </c>
      <c r="K486" s="4">
        <v>96.86</v>
      </c>
      <c r="L486" s="4">
        <v>190.51</v>
      </c>
      <c r="M486" s="4">
        <f t="shared" si="21"/>
        <v>0.11999999999999988</v>
      </c>
      <c r="N486" s="4">
        <f t="shared" si="22"/>
        <v>9.269999999999996</v>
      </c>
      <c r="O486" s="4">
        <f t="shared" si="23"/>
        <v>2.0000000000000018E-2</v>
      </c>
      <c r="P486" s="3" t="s">
        <v>19</v>
      </c>
    </row>
    <row r="487" spans="1:16" x14ac:dyDescent="0.35">
      <c r="A487" s="3" t="s">
        <v>20</v>
      </c>
      <c r="B487" s="3" t="str">
        <f>INDEX(State_Region!$B$2:$B$26,MATCH(TRIM(A487),State_Region!$A$2:$A$26,0))</f>
        <v>West</v>
      </c>
      <c r="C487" s="3" t="s">
        <v>173</v>
      </c>
      <c r="D487" s="3" t="str">
        <f>INDEX(Port_Type!$B$2:$B$227,MATCH(TRIM(C487),Port_Type!$A$2:$A$227,0))</f>
        <v>Inland ICD / CFS</v>
      </c>
      <c r="E487" s="3" t="s">
        <v>42</v>
      </c>
      <c r="F487" s="3" t="str">
        <f>INDEX(Product_Category!$B$2:$B$45,MATCH(TRIM(E487),Product_Category!$A$2:$A$45,0))</f>
        <v>Processed Foods</v>
      </c>
      <c r="G487" s="4">
        <v>2.87</v>
      </c>
      <c r="H487" s="4">
        <v>3.81</v>
      </c>
      <c r="I487" s="4">
        <v>1.1399999999999999</v>
      </c>
      <c r="J487" s="4">
        <v>4077.49</v>
      </c>
      <c r="K487" s="4">
        <v>5248.43</v>
      </c>
      <c r="L487" s="4">
        <v>1716.32</v>
      </c>
      <c r="M487" s="4">
        <f t="shared" si="21"/>
        <v>0.94</v>
      </c>
      <c r="N487" s="4">
        <f t="shared" si="22"/>
        <v>1170.9400000000005</v>
      </c>
      <c r="O487" s="4">
        <f t="shared" si="23"/>
        <v>-2.67</v>
      </c>
      <c r="P487" s="3" t="s">
        <v>19</v>
      </c>
    </row>
    <row r="488" spans="1:16" x14ac:dyDescent="0.35">
      <c r="A488" s="3" t="s">
        <v>23</v>
      </c>
      <c r="B488" s="3" t="str">
        <f>INDEX(State_Region!$B$2:$B$26,MATCH(TRIM(A488),State_Region!$A$2:$A$26,0))</f>
        <v>North</v>
      </c>
      <c r="C488" s="3" t="s">
        <v>185</v>
      </c>
      <c r="D488" s="3" t="str">
        <f>INDEX(Port_Type!$B$2:$B$227,MATCH(TRIM(C488),Port_Type!$A$2:$A$227,0))</f>
        <v>Land Border / Rail</v>
      </c>
      <c r="E488" s="3" t="s">
        <v>27</v>
      </c>
      <c r="F488" s="3" t="str">
        <f>INDEX(Product_Category!$B$2:$B$45,MATCH(TRIM(E488),Product_Category!$A$2:$A$45,0))</f>
        <v>Cereals &amp; Grains</v>
      </c>
      <c r="G488" s="4">
        <v>1.06</v>
      </c>
      <c r="H488" s="4">
        <v>14.22</v>
      </c>
      <c r="I488" s="4">
        <v>1.1399999999999999</v>
      </c>
      <c r="J488" s="4">
        <v>5786.8</v>
      </c>
      <c r="K488" s="4">
        <v>61018.46</v>
      </c>
      <c r="L488" s="4">
        <v>4811.8900000000003</v>
      </c>
      <c r="M488" s="4">
        <f t="shared" si="21"/>
        <v>13.16</v>
      </c>
      <c r="N488" s="4">
        <f t="shared" si="22"/>
        <v>55231.659999999996</v>
      </c>
      <c r="O488" s="4">
        <f t="shared" si="23"/>
        <v>-13.08</v>
      </c>
      <c r="P488" s="3" t="s">
        <v>19</v>
      </c>
    </row>
    <row r="489" spans="1:16" x14ac:dyDescent="0.35">
      <c r="A489" s="3" t="s">
        <v>40</v>
      </c>
      <c r="B489" s="3" t="str">
        <f>INDEX(State_Region!$B$2:$B$26,MATCH(TRIM(A489),State_Region!$A$2:$A$26,0))</f>
        <v>South</v>
      </c>
      <c r="C489" s="3" t="s">
        <v>183</v>
      </c>
      <c r="D489" s="3" t="str">
        <f>INDEX(Port_Type!$B$2:$B$227,MATCH(TRIM(C489),Port_Type!$A$2:$A$227,0))</f>
        <v>Inland ICD / CFS</v>
      </c>
      <c r="E489" s="3" t="s">
        <v>72</v>
      </c>
      <c r="F489" s="3" t="str">
        <f>INDEX(Product_Category!$B$2:$B$45,MATCH(TRIM(E489),Product_Category!$A$2:$A$45,0))</f>
        <v>Dairy, Poultry &amp; Honey</v>
      </c>
      <c r="G489" s="4">
        <v>0.03</v>
      </c>
      <c r="H489" s="4">
        <v>0.82</v>
      </c>
      <c r="I489" s="4">
        <v>1.1399999999999999</v>
      </c>
      <c r="J489" s="4">
        <v>4</v>
      </c>
      <c r="K489" s="4">
        <v>814.48</v>
      </c>
      <c r="L489" s="4">
        <v>1003.44</v>
      </c>
      <c r="M489" s="4">
        <f t="shared" si="21"/>
        <v>0.78999999999999992</v>
      </c>
      <c r="N489" s="4">
        <f t="shared" si="22"/>
        <v>810.48</v>
      </c>
      <c r="O489" s="4">
        <f t="shared" si="23"/>
        <v>0.31999999999999995</v>
      </c>
      <c r="P489" s="3" t="s">
        <v>19</v>
      </c>
    </row>
    <row r="490" spans="1:16" x14ac:dyDescent="0.35">
      <c r="A490" s="3" t="s">
        <v>94</v>
      </c>
      <c r="B490" s="3" t="str">
        <f>INDEX(State_Region!$B$2:$B$26,MATCH(TRIM(A490),State_Region!$A$2:$A$26,0))</f>
        <v>East</v>
      </c>
      <c r="C490" s="3" t="s">
        <v>112</v>
      </c>
      <c r="D490" s="3" t="str">
        <f>INDEX(Port_Type!$B$2:$B$227,MATCH(TRIM(C490),Port_Type!$A$2:$A$227,0))</f>
        <v>Land Border / Rail</v>
      </c>
      <c r="E490" s="3" t="s">
        <v>39</v>
      </c>
      <c r="F490" s="3" t="str">
        <f>INDEX(Product_Category!$B$2:$B$45,MATCH(TRIM(E490),Product_Category!$A$2:$A$45,0))</f>
        <v>Processed Foods</v>
      </c>
      <c r="G490" s="4">
        <v>2.84</v>
      </c>
      <c r="H490" s="4">
        <v>3.52</v>
      </c>
      <c r="I490" s="4">
        <v>1.1399999999999999</v>
      </c>
      <c r="J490" s="4">
        <v>4224.83</v>
      </c>
      <c r="K490" s="4">
        <v>5697.07</v>
      </c>
      <c r="L490" s="4">
        <v>2180</v>
      </c>
      <c r="M490" s="4">
        <f t="shared" si="21"/>
        <v>0.68000000000000016</v>
      </c>
      <c r="N490" s="4">
        <f t="shared" si="22"/>
        <v>1472.2399999999998</v>
      </c>
      <c r="O490" s="4">
        <f t="shared" si="23"/>
        <v>-2.38</v>
      </c>
      <c r="P490" s="3" t="s">
        <v>19</v>
      </c>
    </row>
    <row r="491" spans="1:16" x14ac:dyDescent="0.35">
      <c r="A491" s="3" t="s">
        <v>57</v>
      </c>
      <c r="B491" s="3" t="str">
        <f>INDEX(State_Region!$B$2:$B$26,MATCH(TRIM(A491),State_Region!$A$2:$A$26,0))</f>
        <v>Central</v>
      </c>
      <c r="C491" s="3" t="s">
        <v>162</v>
      </c>
      <c r="D491" s="3" t="str">
        <f>INDEX(Port_Type!$B$2:$B$227,MATCH(TRIM(C491),Port_Type!$A$2:$A$227,0))</f>
        <v>Inland ICD / CFS</v>
      </c>
      <c r="E491" s="3" t="s">
        <v>33</v>
      </c>
      <c r="F491" s="3" t="str">
        <f>INDEX(Product_Category!$B$2:$B$45,MATCH(TRIM(E491),Product_Category!$A$2:$A$45,0))</f>
        <v>Pulses</v>
      </c>
      <c r="G491" s="4">
        <v>0.43</v>
      </c>
      <c r="H491" s="4">
        <v>0.59</v>
      </c>
      <c r="I491" s="4">
        <v>1.1299999999999999</v>
      </c>
      <c r="J491" s="4">
        <v>339.56</v>
      </c>
      <c r="K491" s="4">
        <v>449.48</v>
      </c>
      <c r="L491" s="4">
        <v>1085.22</v>
      </c>
      <c r="M491" s="4">
        <f t="shared" si="21"/>
        <v>0.15999999999999998</v>
      </c>
      <c r="N491" s="4">
        <f t="shared" si="22"/>
        <v>109.92000000000002</v>
      </c>
      <c r="O491" s="4">
        <f t="shared" si="23"/>
        <v>0.53999999999999992</v>
      </c>
      <c r="P491" s="3" t="s">
        <v>19</v>
      </c>
    </row>
    <row r="492" spans="1:16" x14ac:dyDescent="0.35">
      <c r="A492" s="3" t="s">
        <v>159</v>
      </c>
      <c r="B492" s="3" t="str">
        <f>INDEX(State_Region!$B$2:$B$26,MATCH(TRIM(A492),State_Region!$A$2:$A$26,0))</f>
        <v>North-East</v>
      </c>
      <c r="C492" s="3" t="s">
        <v>186</v>
      </c>
      <c r="D492" s="3" t="str">
        <f>INDEX(Port_Type!$B$2:$B$227,MATCH(TRIM(C492),Port_Type!$A$2:$A$227,0))</f>
        <v>Land Border / Rail</v>
      </c>
      <c r="E492" s="3" t="s">
        <v>27</v>
      </c>
      <c r="F492" s="3" t="str">
        <f>INDEX(Product_Category!$B$2:$B$45,MATCH(TRIM(E492),Product_Category!$A$2:$A$45,0))</f>
        <v>Cereals &amp; Grains</v>
      </c>
      <c r="G492" s="4">
        <v>1.75</v>
      </c>
      <c r="H492" s="4">
        <v>3.1</v>
      </c>
      <c r="I492" s="4">
        <v>1.1299999999999999</v>
      </c>
      <c r="J492" s="4">
        <v>4170.2</v>
      </c>
      <c r="K492" s="4">
        <v>7343.27</v>
      </c>
      <c r="L492" s="4">
        <v>2909.5</v>
      </c>
      <c r="M492" s="4">
        <f t="shared" si="21"/>
        <v>1.35</v>
      </c>
      <c r="N492" s="4">
        <f t="shared" si="22"/>
        <v>3173.0700000000006</v>
      </c>
      <c r="O492" s="4">
        <f t="shared" si="23"/>
        <v>-1.9700000000000002</v>
      </c>
      <c r="P492" s="3" t="s">
        <v>19</v>
      </c>
    </row>
    <row r="493" spans="1:16" x14ac:dyDescent="0.35">
      <c r="A493" s="3" t="s">
        <v>31</v>
      </c>
      <c r="B493" s="3" t="str">
        <f>INDEX(State_Region!$B$2:$B$26,MATCH(TRIM(A493),State_Region!$A$2:$A$26,0))</f>
        <v>East</v>
      </c>
      <c r="C493" s="3" t="s">
        <v>131</v>
      </c>
      <c r="D493" s="3" t="str">
        <f>INDEX(Port_Type!$B$2:$B$227,MATCH(TRIM(C493),Port_Type!$A$2:$A$227,0))</f>
        <v>Land Border / Rail</v>
      </c>
      <c r="E493" s="3" t="s">
        <v>116</v>
      </c>
      <c r="F493" s="3" t="str">
        <f>INDEX(Product_Category!$B$2:$B$45,MATCH(TRIM(E493),Product_Category!$A$2:$A$45,0))</f>
        <v>Others</v>
      </c>
      <c r="G493" s="4">
        <v>0.6</v>
      </c>
      <c r="H493" s="4">
        <v>1.73</v>
      </c>
      <c r="I493" s="4">
        <v>1.1299999999999999</v>
      </c>
      <c r="J493" s="4">
        <v>2596.1799999999998</v>
      </c>
      <c r="K493" s="4">
        <v>8989.2199999999993</v>
      </c>
      <c r="L493" s="4">
        <v>5746.48</v>
      </c>
      <c r="M493" s="4">
        <f t="shared" si="21"/>
        <v>1.1299999999999999</v>
      </c>
      <c r="N493" s="4">
        <f t="shared" si="22"/>
        <v>6393.0399999999991</v>
      </c>
      <c r="O493" s="4">
        <f t="shared" si="23"/>
        <v>-0.60000000000000009</v>
      </c>
      <c r="P493" s="3" t="s">
        <v>19</v>
      </c>
    </row>
    <row r="494" spans="1:16" x14ac:dyDescent="0.35">
      <c r="A494" s="3" t="s">
        <v>23</v>
      </c>
      <c r="B494" s="3" t="str">
        <f>INDEX(State_Region!$B$2:$B$26,MATCH(TRIM(A494),State_Region!$A$2:$A$26,0))</f>
        <v>North</v>
      </c>
      <c r="C494" s="3" t="s">
        <v>34</v>
      </c>
      <c r="D494" s="3" t="str">
        <f>INDEX(Port_Type!$B$2:$B$227,MATCH(TRIM(C494),Port_Type!$A$2:$A$227,0))</f>
        <v>Inland ICD / CFS</v>
      </c>
      <c r="E494" s="3" t="s">
        <v>39</v>
      </c>
      <c r="F494" s="3" t="str">
        <f>INDEX(Product_Category!$B$2:$B$45,MATCH(TRIM(E494),Product_Category!$A$2:$A$45,0))</f>
        <v>Processed Foods</v>
      </c>
      <c r="G494" s="4">
        <v>0.34</v>
      </c>
      <c r="H494" s="4">
        <v>1.76</v>
      </c>
      <c r="I494" s="4">
        <v>1.1299999999999999</v>
      </c>
      <c r="J494" s="4">
        <v>115.82</v>
      </c>
      <c r="K494" s="4">
        <v>661.47</v>
      </c>
      <c r="L494" s="4">
        <v>514.47</v>
      </c>
      <c r="M494" s="4">
        <f t="shared" si="21"/>
        <v>1.42</v>
      </c>
      <c r="N494" s="4">
        <f t="shared" si="22"/>
        <v>545.65000000000009</v>
      </c>
      <c r="O494" s="4">
        <f t="shared" si="23"/>
        <v>-0.63000000000000012</v>
      </c>
      <c r="P494" s="3" t="s">
        <v>19</v>
      </c>
    </row>
    <row r="495" spans="1:16" x14ac:dyDescent="0.35">
      <c r="A495" s="3" t="s">
        <v>74</v>
      </c>
      <c r="B495" s="3" t="str">
        <f>INDEX(State_Region!$B$2:$B$26,MATCH(TRIM(A495),State_Region!$A$2:$A$26,0))</f>
        <v>South</v>
      </c>
      <c r="C495" s="3" t="s">
        <v>75</v>
      </c>
      <c r="D495" s="3" t="str">
        <f>INDEX(Port_Type!$B$2:$B$227,MATCH(TRIM(C495),Port_Type!$A$2:$A$227,0))</f>
        <v>Inland ICD / CFS</v>
      </c>
      <c r="E495" s="3" t="s">
        <v>81</v>
      </c>
      <c r="F495" s="3" t="str">
        <f>INDEX(Product_Category!$B$2:$B$45,MATCH(TRIM(E495),Product_Category!$A$2:$A$45,0))</f>
        <v>Processed Foods</v>
      </c>
      <c r="G495" s="4">
        <v>3.76</v>
      </c>
      <c r="H495" s="4">
        <v>6.13</v>
      </c>
      <c r="I495" s="4">
        <v>1.1200000000000001</v>
      </c>
      <c r="J495" s="4">
        <v>3513.9</v>
      </c>
      <c r="K495" s="4">
        <v>6556.2</v>
      </c>
      <c r="L495" s="4">
        <v>1088.75</v>
      </c>
      <c r="M495" s="4">
        <f t="shared" si="21"/>
        <v>2.37</v>
      </c>
      <c r="N495" s="4">
        <f t="shared" si="22"/>
        <v>3042.2999999999997</v>
      </c>
      <c r="O495" s="4">
        <f t="shared" si="23"/>
        <v>-5.01</v>
      </c>
      <c r="P495" s="3" t="s">
        <v>19</v>
      </c>
    </row>
    <row r="496" spans="1:16" x14ac:dyDescent="0.35">
      <c r="A496" s="3" t="s">
        <v>94</v>
      </c>
      <c r="B496" s="3" t="str">
        <f>INDEX(State_Region!$B$2:$B$26,MATCH(TRIM(A496),State_Region!$A$2:$A$26,0))</f>
        <v>East</v>
      </c>
      <c r="C496" s="3" t="s">
        <v>112</v>
      </c>
      <c r="D496" s="3" t="str">
        <f>INDEX(Port_Type!$B$2:$B$227,MATCH(TRIM(C496),Port_Type!$A$2:$A$227,0))</f>
        <v>Land Border / Rail</v>
      </c>
      <c r="E496" s="3" t="s">
        <v>55</v>
      </c>
      <c r="F496" s="3" t="str">
        <f>INDEX(Product_Category!$B$2:$B$45,MATCH(TRIM(E496),Product_Category!$A$2:$A$45,0))</f>
        <v>Fresh Fruits &amp; Vegetables</v>
      </c>
      <c r="G496" s="4">
        <v>0.85</v>
      </c>
      <c r="H496" s="4">
        <v>2.86</v>
      </c>
      <c r="I496" s="4">
        <v>1.1200000000000001</v>
      </c>
      <c r="J496" s="4">
        <v>3427.19</v>
      </c>
      <c r="K496" s="4">
        <v>14554.76</v>
      </c>
      <c r="L496" s="4">
        <v>6606.26</v>
      </c>
      <c r="M496" s="4">
        <f t="shared" si="21"/>
        <v>2.0099999999999998</v>
      </c>
      <c r="N496" s="4">
        <f t="shared" si="22"/>
        <v>11127.57</v>
      </c>
      <c r="O496" s="4">
        <f t="shared" si="23"/>
        <v>-1.7399999999999998</v>
      </c>
      <c r="P496" s="3" t="s">
        <v>19</v>
      </c>
    </row>
    <row r="497" spans="1:16" x14ac:dyDescent="0.35">
      <c r="A497" s="3" t="s">
        <v>66</v>
      </c>
      <c r="B497" s="3" t="str">
        <f>INDEX(State_Region!$B$2:$B$26,MATCH(TRIM(A497),State_Region!$A$2:$A$26,0))</f>
        <v>North</v>
      </c>
      <c r="C497" s="3" t="s">
        <v>71</v>
      </c>
      <c r="D497" s="3" t="str">
        <f>INDEX(Port_Type!$B$2:$B$227,MATCH(TRIM(C497),Port_Type!$A$2:$A$227,0))</f>
        <v>Inland ICD / CFS</v>
      </c>
      <c r="E497" s="3" t="s">
        <v>48</v>
      </c>
      <c r="F497" s="3" t="str">
        <f>INDEX(Product_Category!$B$2:$B$45,MATCH(TRIM(E497),Product_Category!$A$2:$A$45,0))</f>
        <v>Processed Foods</v>
      </c>
      <c r="G497" s="4">
        <v>10.86</v>
      </c>
      <c r="H497" s="4">
        <v>4.3499999999999996</v>
      </c>
      <c r="I497" s="4">
        <v>1.1200000000000001</v>
      </c>
      <c r="J497" s="4">
        <v>6619.84</v>
      </c>
      <c r="K497" s="4">
        <v>2392.79</v>
      </c>
      <c r="L497" s="4">
        <v>785.53</v>
      </c>
      <c r="M497" s="4">
        <f t="shared" si="21"/>
        <v>-6.51</v>
      </c>
      <c r="N497" s="4">
        <f t="shared" si="22"/>
        <v>-4227.05</v>
      </c>
      <c r="O497" s="4">
        <f t="shared" si="23"/>
        <v>-3.2299999999999995</v>
      </c>
      <c r="P497" s="3" t="s">
        <v>19</v>
      </c>
    </row>
    <row r="498" spans="1:16" x14ac:dyDescent="0.35">
      <c r="A498" s="3" t="s">
        <v>40</v>
      </c>
      <c r="B498" s="3" t="str">
        <f>INDEX(State_Region!$B$2:$B$26,MATCH(TRIM(A498),State_Region!$A$2:$A$26,0))</f>
        <v>South</v>
      </c>
      <c r="C498" s="3" t="s">
        <v>107</v>
      </c>
      <c r="D498" s="3" t="str">
        <f>INDEX(Port_Type!$B$2:$B$227,MATCH(TRIM(C498),Port_Type!$A$2:$A$227,0))</f>
        <v>Sea Port</v>
      </c>
      <c r="E498" s="3" t="s">
        <v>45</v>
      </c>
      <c r="F498" s="3" t="str">
        <f>INDEX(Product_Category!$B$2:$B$45,MATCH(TRIM(E498),Product_Category!$A$2:$A$45,0))</f>
        <v>Fresh Fruits &amp; Vegetables</v>
      </c>
      <c r="G498" s="4">
        <v>0.53</v>
      </c>
      <c r="H498" s="4">
        <v>1.79</v>
      </c>
      <c r="I498" s="4">
        <v>1.1000000000000001</v>
      </c>
      <c r="J498" s="4">
        <v>439.85</v>
      </c>
      <c r="K498" s="4">
        <v>1910.76</v>
      </c>
      <c r="L498" s="4">
        <v>1193.98</v>
      </c>
      <c r="M498" s="4">
        <f t="shared" si="21"/>
        <v>1.26</v>
      </c>
      <c r="N498" s="4">
        <f t="shared" si="22"/>
        <v>1470.9099999999999</v>
      </c>
      <c r="O498" s="4">
        <f t="shared" si="23"/>
        <v>-0.69</v>
      </c>
      <c r="P498" s="3" t="s">
        <v>19</v>
      </c>
    </row>
    <row r="499" spans="1:16" x14ac:dyDescent="0.35">
      <c r="A499" s="3" t="s">
        <v>35</v>
      </c>
      <c r="B499" s="3" t="str">
        <f>INDEX(State_Region!$B$2:$B$26,MATCH(TRIM(A499),State_Region!$A$2:$A$26,0))</f>
        <v>North</v>
      </c>
      <c r="C499" s="3" t="s">
        <v>96</v>
      </c>
      <c r="D499" s="3" t="str">
        <f>INDEX(Port_Type!$B$2:$B$227,MATCH(TRIM(C499),Port_Type!$A$2:$A$227,0))</f>
        <v>Inland ICD / CFS</v>
      </c>
      <c r="E499" s="3" t="s">
        <v>27</v>
      </c>
      <c r="F499" s="3" t="str">
        <f>INDEX(Product_Category!$B$2:$B$45,MATCH(TRIM(E499),Product_Category!$A$2:$A$45,0))</f>
        <v>Cereals &amp; Grains</v>
      </c>
      <c r="G499" s="4">
        <v>2.57</v>
      </c>
      <c r="H499" s="4">
        <v>6.39</v>
      </c>
      <c r="I499" s="4">
        <v>1.1000000000000001</v>
      </c>
      <c r="J499" s="4">
        <v>4456.21</v>
      </c>
      <c r="K499" s="4">
        <v>10814.31</v>
      </c>
      <c r="L499" s="4">
        <v>1846.1</v>
      </c>
      <c r="M499" s="4">
        <f t="shared" si="21"/>
        <v>3.82</v>
      </c>
      <c r="N499" s="4">
        <f t="shared" si="22"/>
        <v>6358.0999999999995</v>
      </c>
      <c r="O499" s="4">
        <f t="shared" si="23"/>
        <v>-5.2899999999999991</v>
      </c>
      <c r="P499" s="3" t="s">
        <v>19</v>
      </c>
    </row>
    <row r="500" spans="1:16" x14ac:dyDescent="0.35">
      <c r="A500" s="3" t="s">
        <v>31</v>
      </c>
      <c r="B500" s="3" t="str">
        <f>INDEX(State_Region!$B$2:$B$26,MATCH(TRIM(A500),State_Region!$A$2:$A$26,0))</f>
        <v>East</v>
      </c>
      <c r="C500" s="3" t="s">
        <v>139</v>
      </c>
      <c r="D500" s="3" t="str">
        <f>INDEX(Port_Type!$B$2:$B$227,MATCH(TRIM(C500),Port_Type!$A$2:$A$227,0))</f>
        <v>Land Border / Rail</v>
      </c>
      <c r="E500" s="3" t="s">
        <v>102</v>
      </c>
      <c r="F500" s="3" t="str">
        <f>INDEX(Product_Category!$B$2:$B$45,MATCH(TRIM(E500),Product_Category!$A$2:$A$45,0))</f>
        <v>Fresh Fruits &amp; Vegetables</v>
      </c>
      <c r="G500" s="4">
        <v>9.26</v>
      </c>
      <c r="H500" s="4">
        <v>5.33</v>
      </c>
      <c r="I500" s="4">
        <v>1.0900000000000001</v>
      </c>
      <c r="J500" s="4">
        <v>54509.45</v>
      </c>
      <c r="K500" s="4">
        <v>30404.52</v>
      </c>
      <c r="L500" s="4">
        <v>6589.67</v>
      </c>
      <c r="M500" s="4">
        <f t="shared" si="21"/>
        <v>-3.9299999999999997</v>
      </c>
      <c r="N500" s="4">
        <f t="shared" si="22"/>
        <v>-24104.929999999997</v>
      </c>
      <c r="O500" s="4">
        <f t="shared" si="23"/>
        <v>-4.24</v>
      </c>
      <c r="P500" s="3" t="s">
        <v>19</v>
      </c>
    </row>
    <row r="501" spans="1:16" x14ac:dyDescent="0.35">
      <c r="A501" s="3" t="s">
        <v>49</v>
      </c>
      <c r="B501" s="3" t="str">
        <f>INDEX(State_Region!$B$2:$B$26,MATCH(TRIM(A501),State_Region!$A$2:$A$26,0))</f>
        <v>North</v>
      </c>
      <c r="C501" s="3" t="s">
        <v>176</v>
      </c>
      <c r="D501" s="3" t="str">
        <f>INDEX(Port_Type!$B$2:$B$227,MATCH(TRIM(C501),Port_Type!$A$2:$A$227,0))</f>
        <v>Inland ICD / CFS</v>
      </c>
      <c r="E501" s="3" t="s">
        <v>65</v>
      </c>
      <c r="F501" s="3" t="str">
        <f>INDEX(Product_Category!$B$2:$B$45,MATCH(TRIM(E501),Product_Category!$A$2:$A$45,0))</f>
        <v>Cereals &amp; Grains</v>
      </c>
      <c r="G501" s="4">
        <v>0.98</v>
      </c>
      <c r="H501" s="4">
        <v>3.54</v>
      </c>
      <c r="I501" s="4">
        <v>1.08</v>
      </c>
      <c r="J501" s="4">
        <v>1554.73</v>
      </c>
      <c r="K501" s="4">
        <v>6957.63</v>
      </c>
      <c r="L501" s="4">
        <v>2091.0100000000002</v>
      </c>
      <c r="M501" s="4">
        <f t="shared" si="21"/>
        <v>2.56</v>
      </c>
      <c r="N501" s="4">
        <f t="shared" si="22"/>
        <v>5402.9</v>
      </c>
      <c r="O501" s="4">
        <f t="shared" si="23"/>
        <v>-2.46</v>
      </c>
      <c r="P501" s="3" t="s">
        <v>19</v>
      </c>
    </row>
    <row r="502" spans="1:16" x14ac:dyDescent="0.35">
      <c r="A502" s="3" t="s">
        <v>23</v>
      </c>
      <c r="B502" s="3" t="str">
        <f>INDEX(State_Region!$B$2:$B$26,MATCH(TRIM(A502),State_Region!$A$2:$A$26,0))</f>
        <v>North</v>
      </c>
      <c r="C502" s="3" t="s">
        <v>187</v>
      </c>
      <c r="D502" s="3" t="str">
        <f>INDEX(Port_Type!$B$2:$B$227,MATCH(TRIM(C502),Port_Type!$A$2:$A$227,0))</f>
        <v>Land Border / Rail</v>
      </c>
      <c r="E502" s="3" t="s">
        <v>39</v>
      </c>
      <c r="F502" s="3" t="str">
        <f>INDEX(Product_Category!$B$2:$B$45,MATCH(TRIM(E502),Product_Category!$A$2:$A$45,0))</f>
        <v>Processed Foods</v>
      </c>
      <c r="G502" s="4">
        <v>0.03</v>
      </c>
      <c r="H502" s="4">
        <v>0.56000000000000005</v>
      </c>
      <c r="I502" s="4">
        <v>1.08</v>
      </c>
      <c r="J502" s="4">
        <v>3.53</v>
      </c>
      <c r="K502" s="4">
        <v>21.77</v>
      </c>
      <c r="L502" s="4">
        <v>32.51</v>
      </c>
      <c r="M502" s="4">
        <f t="shared" si="21"/>
        <v>0.53</v>
      </c>
      <c r="N502" s="4">
        <f t="shared" si="22"/>
        <v>18.239999999999998</v>
      </c>
      <c r="O502" s="4">
        <f t="shared" si="23"/>
        <v>0.52</v>
      </c>
      <c r="P502" s="3" t="s">
        <v>19</v>
      </c>
    </row>
    <row r="503" spans="1:16" x14ac:dyDescent="0.35">
      <c r="A503" s="3" t="s">
        <v>23</v>
      </c>
      <c r="B503" s="3" t="str">
        <f>INDEX(State_Region!$B$2:$B$26,MATCH(TRIM(A503),State_Region!$A$2:$A$26,0))</f>
        <v>North</v>
      </c>
      <c r="C503" s="3" t="s">
        <v>44</v>
      </c>
      <c r="D503" s="3" t="str">
        <f>INDEX(Port_Type!$B$2:$B$227,MATCH(TRIM(C503),Port_Type!$A$2:$A$227,0))</f>
        <v>Inland ICD / CFS</v>
      </c>
      <c r="E503" s="3" t="s">
        <v>118</v>
      </c>
      <c r="F503" s="3" t="str">
        <f>INDEX(Product_Category!$B$2:$B$45,MATCH(TRIM(E503),Product_Category!$A$2:$A$45,0))</f>
        <v>Dairy, Poultry &amp; Honey</v>
      </c>
      <c r="G503" s="4">
        <v>2.15</v>
      </c>
      <c r="H503" s="4">
        <v>2.35</v>
      </c>
      <c r="I503" s="4">
        <v>1.08</v>
      </c>
      <c r="J503" s="4">
        <v>1115.4000000000001</v>
      </c>
      <c r="K503" s="4">
        <v>1303.3399999999999</v>
      </c>
      <c r="L503" s="4">
        <v>731.55</v>
      </c>
      <c r="M503" s="4">
        <f t="shared" si="21"/>
        <v>0.20000000000000018</v>
      </c>
      <c r="N503" s="4">
        <f t="shared" si="22"/>
        <v>187.93999999999983</v>
      </c>
      <c r="O503" s="4">
        <f t="shared" si="23"/>
        <v>-1.27</v>
      </c>
      <c r="P503" s="3" t="s">
        <v>19</v>
      </c>
    </row>
    <row r="504" spans="1:16" x14ac:dyDescent="0.35">
      <c r="A504" s="3" t="s">
        <v>16</v>
      </c>
      <c r="B504" s="3" t="str">
        <f>INDEX(State_Region!$B$2:$B$26,MATCH(TRIM(A504),State_Region!$A$2:$A$26,0))</f>
        <v>West</v>
      </c>
      <c r="C504" s="3" t="s">
        <v>105</v>
      </c>
      <c r="D504" s="3" t="str">
        <f>INDEX(Port_Type!$B$2:$B$227,MATCH(TRIM(C504),Port_Type!$A$2:$A$227,0))</f>
        <v>SEZ / EPZ</v>
      </c>
      <c r="E504" s="3" t="s">
        <v>59</v>
      </c>
      <c r="F504" s="3" t="str">
        <f>INDEX(Product_Category!$B$2:$B$45,MATCH(TRIM(E504),Product_Category!$A$2:$A$45,0))</f>
        <v>Processed Foods</v>
      </c>
      <c r="G504" s="4">
        <v>0</v>
      </c>
      <c r="H504" s="4">
        <v>2.8</v>
      </c>
      <c r="I504" s="4">
        <v>1.07</v>
      </c>
      <c r="J504" s="4">
        <v>0</v>
      </c>
      <c r="K504" s="4">
        <v>230.33</v>
      </c>
      <c r="L504" s="4">
        <v>98.54</v>
      </c>
      <c r="M504" s="4">
        <f t="shared" si="21"/>
        <v>2.8</v>
      </c>
      <c r="N504" s="4">
        <f t="shared" si="22"/>
        <v>230.33</v>
      </c>
      <c r="O504" s="4">
        <f t="shared" si="23"/>
        <v>-1.7299999999999998</v>
      </c>
      <c r="P504" s="3" t="s">
        <v>19</v>
      </c>
    </row>
    <row r="505" spans="1:16" x14ac:dyDescent="0.35">
      <c r="A505" s="3" t="s">
        <v>40</v>
      </c>
      <c r="B505" s="3" t="str">
        <f>INDEX(State_Region!$B$2:$B$26,MATCH(TRIM(A505),State_Region!$A$2:$A$26,0))</f>
        <v>South</v>
      </c>
      <c r="C505" s="3" t="s">
        <v>183</v>
      </c>
      <c r="D505" s="3" t="str">
        <f>INDEX(Port_Type!$B$2:$B$227,MATCH(TRIM(C505),Port_Type!$A$2:$A$227,0))</f>
        <v>Inland ICD / CFS</v>
      </c>
      <c r="E505" s="3" t="s">
        <v>128</v>
      </c>
      <c r="F505" s="3" t="str">
        <f>INDEX(Product_Category!$B$2:$B$45,MATCH(TRIM(E505),Product_Category!$A$2:$A$45,0))</f>
        <v>Dairy, Poultry &amp; Honey</v>
      </c>
      <c r="G505" s="4">
        <v>0.1</v>
      </c>
      <c r="H505" s="4">
        <v>6.44</v>
      </c>
      <c r="I505" s="4">
        <v>1.07</v>
      </c>
      <c r="J505" s="4">
        <v>14.3</v>
      </c>
      <c r="K505" s="4">
        <v>866.79</v>
      </c>
      <c r="L505" s="4">
        <v>136.5</v>
      </c>
      <c r="M505" s="4">
        <f t="shared" si="21"/>
        <v>6.3400000000000007</v>
      </c>
      <c r="N505" s="4">
        <f t="shared" si="22"/>
        <v>852.49</v>
      </c>
      <c r="O505" s="4">
        <f t="shared" si="23"/>
        <v>-5.37</v>
      </c>
      <c r="P505" s="3" t="s">
        <v>19</v>
      </c>
    </row>
    <row r="506" spans="1:16" x14ac:dyDescent="0.35">
      <c r="A506" s="3" t="s">
        <v>20</v>
      </c>
      <c r="B506" s="3" t="str">
        <f>INDEX(State_Region!$B$2:$B$26,MATCH(TRIM(A506),State_Region!$A$2:$A$26,0))</f>
        <v>West</v>
      </c>
      <c r="C506" s="3" t="s">
        <v>68</v>
      </c>
      <c r="D506" s="3" t="str">
        <f>INDEX(Port_Type!$B$2:$B$227,MATCH(TRIM(C506),Port_Type!$A$2:$A$227,0))</f>
        <v>Air Cargo</v>
      </c>
      <c r="E506" s="3" t="s">
        <v>110</v>
      </c>
      <c r="F506" s="3" t="str">
        <f>INDEX(Product_Category!$B$2:$B$45,MATCH(TRIM(E506),Product_Category!$A$2:$A$45,0))</f>
        <v>Dairy, Poultry &amp; Honey</v>
      </c>
      <c r="G506" s="4">
        <v>2.35</v>
      </c>
      <c r="H506" s="4">
        <v>2.79</v>
      </c>
      <c r="I506" s="4">
        <v>1.07</v>
      </c>
      <c r="J506" s="4">
        <v>5813.86</v>
      </c>
      <c r="K506" s="4">
        <v>4485.28</v>
      </c>
      <c r="L506" s="4">
        <v>1580.07</v>
      </c>
      <c r="M506" s="4">
        <f t="shared" si="21"/>
        <v>0.43999999999999995</v>
      </c>
      <c r="N506" s="4">
        <f t="shared" si="22"/>
        <v>-1328.58</v>
      </c>
      <c r="O506" s="4">
        <f t="shared" si="23"/>
        <v>-1.72</v>
      </c>
      <c r="P506" s="3" t="s">
        <v>19</v>
      </c>
    </row>
    <row r="507" spans="1:16" x14ac:dyDescent="0.35">
      <c r="A507" s="3" t="s">
        <v>31</v>
      </c>
      <c r="B507" s="3" t="str">
        <f>INDEX(State_Region!$B$2:$B$26,MATCH(TRIM(A507),State_Region!$A$2:$A$26,0))</f>
        <v>East</v>
      </c>
      <c r="C507" s="3" t="s">
        <v>146</v>
      </c>
      <c r="D507" s="3" t="str">
        <f>INDEX(Port_Type!$B$2:$B$227,MATCH(TRIM(C507),Port_Type!$A$2:$A$227,0))</f>
        <v>Land Border / Rail</v>
      </c>
      <c r="E507" s="3" t="s">
        <v>51</v>
      </c>
      <c r="F507" s="3" t="str">
        <f>INDEX(Product_Category!$B$2:$B$45,MATCH(TRIM(E507),Product_Category!$A$2:$A$45,0))</f>
        <v>Nuts &amp; Oilseeds</v>
      </c>
      <c r="G507" s="4">
        <v>5.35</v>
      </c>
      <c r="H507" s="4">
        <v>4.3</v>
      </c>
      <c r="I507" s="4">
        <v>1.07</v>
      </c>
      <c r="J507" s="4">
        <v>7146.77</v>
      </c>
      <c r="K507" s="4">
        <v>5809.53</v>
      </c>
      <c r="L507" s="4">
        <v>1389.38</v>
      </c>
      <c r="M507" s="4">
        <f t="shared" si="21"/>
        <v>-1.0499999999999998</v>
      </c>
      <c r="N507" s="4">
        <f t="shared" si="22"/>
        <v>-1337.2400000000007</v>
      </c>
      <c r="O507" s="4">
        <f t="shared" si="23"/>
        <v>-3.2299999999999995</v>
      </c>
      <c r="P507" s="3" t="s">
        <v>19</v>
      </c>
    </row>
    <row r="508" spans="1:16" x14ac:dyDescent="0.35">
      <c r="A508" s="3" t="s">
        <v>57</v>
      </c>
      <c r="B508" s="3" t="str">
        <f>INDEX(State_Region!$B$2:$B$26,MATCH(TRIM(A508),State_Region!$A$2:$A$26,0))</f>
        <v>Central</v>
      </c>
      <c r="C508" s="3" t="s">
        <v>58</v>
      </c>
      <c r="D508" s="3" t="str">
        <f>INDEX(Port_Type!$B$2:$B$227,MATCH(TRIM(C508),Port_Type!$A$2:$A$227,0))</f>
        <v>Inland ICD / CFS</v>
      </c>
      <c r="E508" s="3" t="s">
        <v>39</v>
      </c>
      <c r="F508" s="3" t="str">
        <f>INDEX(Product_Category!$B$2:$B$45,MATCH(TRIM(E508),Product_Category!$A$2:$A$45,0))</f>
        <v>Processed Foods</v>
      </c>
      <c r="G508" s="4">
        <v>6.24</v>
      </c>
      <c r="H508" s="4">
        <v>4.79</v>
      </c>
      <c r="I508" s="4">
        <v>1.06</v>
      </c>
      <c r="J508" s="4">
        <v>6383.57</v>
      </c>
      <c r="K508" s="4">
        <v>5879.86</v>
      </c>
      <c r="L508" s="4">
        <v>1285.2</v>
      </c>
      <c r="M508" s="4">
        <f t="shared" si="21"/>
        <v>-1.4500000000000002</v>
      </c>
      <c r="N508" s="4">
        <f t="shared" si="22"/>
        <v>-503.71000000000004</v>
      </c>
      <c r="O508" s="4">
        <f t="shared" si="23"/>
        <v>-3.73</v>
      </c>
      <c r="P508" s="3" t="s">
        <v>19</v>
      </c>
    </row>
    <row r="509" spans="1:16" x14ac:dyDescent="0.35">
      <c r="A509" s="3" t="s">
        <v>40</v>
      </c>
      <c r="B509" s="3" t="str">
        <f>INDEX(State_Region!$B$2:$B$26,MATCH(TRIM(A509),State_Region!$A$2:$A$26,0))</f>
        <v>South</v>
      </c>
      <c r="C509" s="3" t="s">
        <v>117</v>
      </c>
      <c r="D509" s="3" t="str">
        <f>INDEX(Port_Type!$B$2:$B$227,MATCH(TRIM(C509),Port_Type!$A$2:$A$227,0))</f>
        <v>Sea Port</v>
      </c>
      <c r="E509" s="3" t="s">
        <v>128</v>
      </c>
      <c r="F509" s="3" t="str">
        <f>INDEX(Product_Category!$B$2:$B$45,MATCH(TRIM(E509),Product_Category!$A$2:$A$45,0))</f>
        <v>Dairy, Poultry &amp; Honey</v>
      </c>
      <c r="G509" s="4">
        <v>0</v>
      </c>
      <c r="H509" s="4">
        <v>0.67</v>
      </c>
      <c r="I509" s="4">
        <v>1.06</v>
      </c>
      <c r="J509" s="4">
        <v>0</v>
      </c>
      <c r="K509" s="4">
        <v>166.85</v>
      </c>
      <c r="L509" s="4">
        <v>216.66</v>
      </c>
      <c r="M509" s="4">
        <f t="shared" si="21"/>
        <v>0.67</v>
      </c>
      <c r="N509" s="4">
        <f t="shared" si="22"/>
        <v>166.85</v>
      </c>
      <c r="O509" s="4">
        <f t="shared" si="23"/>
        <v>0.39</v>
      </c>
      <c r="P509" s="3" t="s">
        <v>19</v>
      </c>
    </row>
    <row r="510" spans="1:16" x14ac:dyDescent="0.35">
      <c r="A510" s="3" t="s">
        <v>94</v>
      </c>
      <c r="B510" s="3" t="str">
        <f>INDEX(State_Region!$B$2:$B$26,MATCH(TRIM(A510),State_Region!$A$2:$A$26,0))</f>
        <v>East</v>
      </c>
      <c r="C510" s="3" t="s">
        <v>188</v>
      </c>
      <c r="D510" s="3" t="str">
        <f>INDEX(Port_Type!$B$2:$B$227,MATCH(TRIM(C510),Port_Type!$A$2:$A$227,0))</f>
        <v>Land Border / Rail</v>
      </c>
      <c r="E510" s="3" t="s">
        <v>102</v>
      </c>
      <c r="F510" s="3" t="str">
        <f>INDEX(Product_Category!$B$2:$B$45,MATCH(TRIM(E510),Product_Category!$A$2:$A$45,0))</f>
        <v>Fresh Fruits &amp; Vegetables</v>
      </c>
      <c r="G510" s="4">
        <v>6.17</v>
      </c>
      <c r="H510" s="4">
        <v>6.16</v>
      </c>
      <c r="I510" s="4">
        <v>1.06</v>
      </c>
      <c r="J510" s="4">
        <v>41919.230000000003</v>
      </c>
      <c r="K510" s="4">
        <v>40625.230000000003</v>
      </c>
      <c r="L510" s="4">
        <v>8845.58</v>
      </c>
      <c r="M510" s="4">
        <f t="shared" si="21"/>
        <v>-9.9999999999997868E-3</v>
      </c>
      <c r="N510" s="4">
        <f t="shared" si="22"/>
        <v>-1294</v>
      </c>
      <c r="O510" s="4">
        <f t="shared" si="23"/>
        <v>-5.0999999999999996</v>
      </c>
      <c r="P510" s="3" t="s">
        <v>19</v>
      </c>
    </row>
    <row r="511" spans="1:16" x14ac:dyDescent="0.35">
      <c r="A511" s="3" t="s">
        <v>35</v>
      </c>
      <c r="B511" s="3" t="str">
        <f>INDEX(State_Region!$B$2:$B$26,MATCH(TRIM(A511),State_Region!$A$2:$A$26,0))</f>
        <v>North</v>
      </c>
      <c r="C511" s="3" t="s">
        <v>38</v>
      </c>
      <c r="D511" s="3" t="str">
        <f>INDEX(Port_Type!$B$2:$B$227,MATCH(TRIM(C511),Port_Type!$A$2:$A$227,0))</f>
        <v>Inland ICD / CFS</v>
      </c>
      <c r="E511" s="3" t="s">
        <v>126</v>
      </c>
      <c r="F511" s="3" t="str">
        <f>INDEX(Product_Category!$B$2:$B$45,MATCH(TRIM(E511),Product_Category!$A$2:$A$45,0))</f>
        <v>Cereals &amp; Grains</v>
      </c>
      <c r="G511" s="4">
        <v>0.12</v>
      </c>
      <c r="H511" s="4">
        <v>0.95</v>
      </c>
      <c r="I511" s="4">
        <v>1.06</v>
      </c>
      <c r="J511" s="4">
        <v>62.23</v>
      </c>
      <c r="K511" s="4">
        <v>415.1</v>
      </c>
      <c r="L511" s="4">
        <v>330.07</v>
      </c>
      <c r="M511" s="4">
        <f t="shared" si="21"/>
        <v>0.83</v>
      </c>
      <c r="N511" s="4">
        <f t="shared" si="22"/>
        <v>352.87</v>
      </c>
      <c r="O511" s="4">
        <f t="shared" si="23"/>
        <v>0.1100000000000001</v>
      </c>
      <c r="P511" s="3" t="s">
        <v>19</v>
      </c>
    </row>
    <row r="512" spans="1:16" x14ac:dyDescent="0.35">
      <c r="A512" s="3" t="s">
        <v>23</v>
      </c>
      <c r="B512" s="3" t="str">
        <f>INDEX(State_Region!$B$2:$B$26,MATCH(TRIM(A512),State_Region!$A$2:$A$26,0))</f>
        <v>North</v>
      </c>
      <c r="C512" s="3" t="s">
        <v>136</v>
      </c>
      <c r="D512" s="3" t="str">
        <f>INDEX(Port_Type!$B$2:$B$227,MATCH(TRIM(C512),Port_Type!$A$2:$A$227,0))</f>
        <v>Inland ICD / CFS</v>
      </c>
      <c r="E512" s="3" t="s">
        <v>39</v>
      </c>
      <c r="F512" s="3" t="str">
        <f>INDEX(Product_Category!$B$2:$B$45,MATCH(TRIM(E512),Product_Category!$A$2:$A$45,0))</f>
        <v>Processed Foods</v>
      </c>
      <c r="G512" s="4">
        <v>2.71</v>
      </c>
      <c r="H512" s="4">
        <v>1.26</v>
      </c>
      <c r="I512" s="4">
        <v>1.05</v>
      </c>
      <c r="J512" s="4">
        <v>5006.88</v>
      </c>
      <c r="K512" s="4">
        <v>857.22</v>
      </c>
      <c r="L512" s="4">
        <v>2050.75</v>
      </c>
      <c r="M512" s="4">
        <f t="shared" si="21"/>
        <v>-1.45</v>
      </c>
      <c r="N512" s="4">
        <f t="shared" si="22"/>
        <v>-4149.66</v>
      </c>
      <c r="O512" s="4">
        <f t="shared" si="23"/>
        <v>-0.20999999999999996</v>
      </c>
      <c r="P512" s="3" t="s">
        <v>19</v>
      </c>
    </row>
    <row r="513" spans="1:16" x14ac:dyDescent="0.35">
      <c r="A513" s="3" t="s">
        <v>189</v>
      </c>
      <c r="B513" s="3" t="str">
        <f>INDEX(State_Region!$B$2:$B$26,MATCH(TRIM(A513),State_Region!$A$2:$A$26,0))</f>
        <v>North</v>
      </c>
      <c r="C513" s="3" t="s">
        <v>190</v>
      </c>
      <c r="D513" s="3" t="str">
        <f>INDEX(Port_Type!$B$2:$B$227,MATCH(TRIM(C513),Port_Type!$A$2:$A$227,0))</f>
        <v>Inland ICD / CFS</v>
      </c>
      <c r="E513" s="3" t="s">
        <v>39</v>
      </c>
      <c r="F513" s="3" t="str">
        <f>INDEX(Product_Category!$B$2:$B$45,MATCH(TRIM(E513),Product_Category!$A$2:$A$45,0))</f>
        <v>Processed Foods</v>
      </c>
      <c r="G513" s="4">
        <v>1.1599999999999999</v>
      </c>
      <c r="H513" s="4">
        <v>0.17</v>
      </c>
      <c r="I513" s="4">
        <v>1.05</v>
      </c>
      <c r="J513" s="4">
        <v>2842.25</v>
      </c>
      <c r="K513" s="4">
        <v>291</v>
      </c>
      <c r="L513" s="4">
        <v>3085.5</v>
      </c>
      <c r="M513" s="4">
        <f t="shared" si="21"/>
        <v>-0.98999999999999988</v>
      </c>
      <c r="N513" s="4">
        <f t="shared" si="22"/>
        <v>-2551.25</v>
      </c>
      <c r="O513" s="4">
        <f t="shared" si="23"/>
        <v>0.88</v>
      </c>
      <c r="P513" s="3" t="s">
        <v>19</v>
      </c>
    </row>
    <row r="514" spans="1:16" x14ac:dyDescent="0.35">
      <c r="A514" s="3" t="s">
        <v>66</v>
      </c>
      <c r="B514" s="3" t="str">
        <f>INDEX(State_Region!$B$2:$B$26,MATCH(TRIM(A514),State_Region!$A$2:$A$26,0))</f>
        <v>North</v>
      </c>
      <c r="C514" s="3" t="s">
        <v>73</v>
      </c>
      <c r="D514" s="3" t="str">
        <f>INDEX(Port_Type!$B$2:$B$227,MATCH(TRIM(C514),Port_Type!$A$2:$A$227,0))</f>
        <v>Inland ICD / CFS</v>
      </c>
      <c r="E514" s="3" t="s">
        <v>72</v>
      </c>
      <c r="F514" s="3" t="str">
        <f>INDEX(Product_Category!$B$2:$B$45,MATCH(TRIM(E514),Product_Category!$A$2:$A$45,0))</f>
        <v>Dairy, Poultry &amp; Honey</v>
      </c>
      <c r="G514" s="4">
        <v>3.2</v>
      </c>
      <c r="H514" s="4">
        <v>2.13</v>
      </c>
      <c r="I514" s="4">
        <v>1.04</v>
      </c>
      <c r="J514" s="4">
        <v>463.17</v>
      </c>
      <c r="K514" s="4">
        <v>314.97000000000003</v>
      </c>
      <c r="L514" s="4">
        <v>149.31</v>
      </c>
      <c r="M514" s="4">
        <f t="shared" ref="M514:M577" si="24">H514-G514</f>
        <v>-1.0700000000000003</v>
      </c>
      <c r="N514" s="4">
        <f t="shared" ref="N514:N577" si="25">K514-J514</f>
        <v>-148.19999999999999</v>
      </c>
      <c r="O514" s="4">
        <f t="shared" ref="O514:O577" si="26">I514-H514</f>
        <v>-1.0899999999999999</v>
      </c>
      <c r="P514" s="3" t="s">
        <v>19</v>
      </c>
    </row>
    <row r="515" spans="1:16" x14ac:dyDescent="0.35">
      <c r="A515" s="3" t="s">
        <v>20</v>
      </c>
      <c r="B515" s="3" t="str">
        <f>INDEX(State_Region!$B$2:$B$26,MATCH(TRIM(A515),State_Region!$A$2:$A$26,0))</f>
        <v>West</v>
      </c>
      <c r="C515" s="3" t="s">
        <v>68</v>
      </c>
      <c r="D515" s="3" t="str">
        <f>INDEX(Port_Type!$B$2:$B$227,MATCH(TRIM(C515),Port_Type!$A$2:$A$227,0))</f>
        <v>Air Cargo</v>
      </c>
      <c r="E515" s="3" t="s">
        <v>42</v>
      </c>
      <c r="F515" s="3" t="str">
        <f>INDEX(Product_Category!$B$2:$B$45,MATCH(TRIM(E515),Product_Category!$A$2:$A$45,0))</f>
        <v>Processed Foods</v>
      </c>
      <c r="G515" s="4">
        <v>2.5</v>
      </c>
      <c r="H515" s="4">
        <v>2.2599999999999998</v>
      </c>
      <c r="I515" s="4">
        <v>1.04</v>
      </c>
      <c r="J515" s="4">
        <v>953.32</v>
      </c>
      <c r="K515" s="4">
        <v>737.81</v>
      </c>
      <c r="L515" s="4">
        <v>343.98</v>
      </c>
      <c r="M515" s="4">
        <f t="shared" si="24"/>
        <v>-0.24000000000000021</v>
      </c>
      <c r="N515" s="4">
        <f t="shared" si="25"/>
        <v>-215.5100000000001</v>
      </c>
      <c r="O515" s="4">
        <f t="shared" si="26"/>
        <v>-1.2199999999999998</v>
      </c>
      <c r="P515" s="3" t="s">
        <v>19</v>
      </c>
    </row>
    <row r="516" spans="1:16" x14ac:dyDescent="0.35">
      <c r="A516" s="3" t="s">
        <v>94</v>
      </c>
      <c r="B516" s="3" t="str">
        <f>INDEX(State_Region!$B$2:$B$26,MATCH(TRIM(A516),State_Region!$A$2:$A$26,0))</f>
        <v>East</v>
      </c>
      <c r="C516" s="3" t="s">
        <v>95</v>
      </c>
      <c r="D516" s="3" t="str">
        <f>INDEX(Port_Type!$B$2:$B$227,MATCH(TRIM(C516),Port_Type!$A$2:$A$227,0))</f>
        <v>Land Border / Rail</v>
      </c>
      <c r="E516" s="3" t="s">
        <v>42</v>
      </c>
      <c r="F516" s="3" t="str">
        <f>INDEX(Product_Category!$B$2:$B$45,MATCH(TRIM(E516),Product_Category!$A$2:$A$45,0))</f>
        <v>Processed Foods</v>
      </c>
      <c r="G516" s="4">
        <v>2.54</v>
      </c>
      <c r="H516" s="4">
        <v>2.76</v>
      </c>
      <c r="I516" s="4">
        <v>1.03</v>
      </c>
      <c r="J516" s="4">
        <v>1672.62</v>
      </c>
      <c r="K516" s="4">
        <v>5445.71</v>
      </c>
      <c r="L516" s="4">
        <v>2041.4</v>
      </c>
      <c r="M516" s="4">
        <f t="shared" si="24"/>
        <v>0.21999999999999975</v>
      </c>
      <c r="N516" s="4">
        <f t="shared" si="25"/>
        <v>3773.09</v>
      </c>
      <c r="O516" s="4">
        <f t="shared" si="26"/>
        <v>-1.7299999999999998</v>
      </c>
      <c r="P516" s="3" t="s">
        <v>19</v>
      </c>
    </row>
    <row r="517" spans="1:16" x14ac:dyDescent="0.35">
      <c r="A517" s="3" t="s">
        <v>77</v>
      </c>
      <c r="B517" s="3" t="str">
        <f>INDEX(State_Region!$B$2:$B$26,MATCH(TRIM(A517),State_Region!$A$2:$A$26,0))</f>
        <v>South</v>
      </c>
      <c r="C517" s="3" t="s">
        <v>78</v>
      </c>
      <c r="D517" s="3" t="str">
        <f>INDEX(Port_Type!$B$2:$B$227,MATCH(TRIM(C517),Port_Type!$A$2:$A$227,0))</f>
        <v>Sea Port</v>
      </c>
      <c r="E517" s="3" t="s">
        <v>128</v>
      </c>
      <c r="F517" s="3" t="str">
        <f>INDEX(Product_Category!$B$2:$B$45,MATCH(TRIM(E517),Product_Category!$A$2:$A$45,0))</f>
        <v>Dairy, Poultry &amp; Honey</v>
      </c>
      <c r="G517" s="4">
        <v>0.35</v>
      </c>
      <c r="H517" s="4">
        <v>2.2999999999999998</v>
      </c>
      <c r="I517" s="4">
        <v>1.01</v>
      </c>
      <c r="J517" s="4">
        <v>53.27</v>
      </c>
      <c r="K517" s="4">
        <v>1109.05</v>
      </c>
      <c r="L517" s="4">
        <v>492</v>
      </c>
      <c r="M517" s="4">
        <f t="shared" si="24"/>
        <v>1.9499999999999997</v>
      </c>
      <c r="N517" s="4">
        <f t="shared" si="25"/>
        <v>1055.78</v>
      </c>
      <c r="O517" s="4">
        <f t="shared" si="26"/>
        <v>-1.2899999999999998</v>
      </c>
      <c r="P517" s="3" t="s">
        <v>19</v>
      </c>
    </row>
    <row r="518" spans="1:16" x14ac:dyDescent="0.35">
      <c r="A518" s="3" t="s">
        <v>16</v>
      </c>
      <c r="B518" s="3" t="str">
        <f>INDEX(State_Region!$B$2:$B$26,MATCH(TRIM(A518),State_Region!$A$2:$A$26,0))</f>
        <v>West</v>
      </c>
      <c r="C518" s="3" t="s">
        <v>17</v>
      </c>
      <c r="D518" s="3" t="str">
        <f>INDEX(Port_Type!$B$2:$B$227,MATCH(TRIM(C518),Port_Type!$A$2:$A$227,0))</f>
        <v>Sea Port</v>
      </c>
      <c r="E518" s="3" t="s">
        <v>69</v>
      </c>
      <c r="F518" s="3" t="str">
        <f>INDEX(Product_Category!$B$2:$B$45,MATCH(TRIM(E518),Product_Category!$A$2:$A$45,0))</f>
        <v>Others</v>
      </c>
      <c r="G518" s="4">
        <v>7.81</v>
      </c>
      <c r="H518" s="4">
        <v>11.02</v>
      </c>
      <c r="I518" s="4">
        <v>1</v>
      </c>
      <c r="J518" s="4">
        <v>4157.16</v>
      </c>
      <c r="K518" s="4">
        <v>4709.93</v>
      </c>
      <c r="L518" s="4">
        <v>728.69</v>
      </c>
      <c r="M518" s="4">
        <f t="shared" si="24"/>
        <v>3.21</v>
      </c>
      <c r="N518" s="4">
        <f t="shared" si="25"/>
        <v>552.77000000000044</v>
      </c>
      <c r="O518" s="4">
        <f t="shared" si="26"/>
        <v>-10.02</v>
      </c>
      <c r="P518" s="3" t="s">
        <v>19</v>
      </c>
    </row>
    <row r="519" spans="1:16" x14ac:dyDescent="0.35">
      <c r="A519" s="3" t="s">
        <v>40</v>
      </c>
      <c r="B519" s="3" t="str">
        <f>INDEX(State_Region!$B$2:$B$26,MATCH(TRIM(A519),State_Region!$A$2:$A$26,0))</f>
        <v>South</v>
      </c>
      <c r="C519" s="3" t="s">
        <v>107</v>
      </c>
      <c r="D519" s="3" t="str">
        <f>INDEX(Port_Type!$B$2:$B$227,MATCH(TRIM(C519),Port_Type!$A$2:$A$227,0))</f>
        <v>Sea Port</v>
      </c>
      <c r="E519" s="3" t="s">
        <v>27</v>
      </c>
      <c r="F519" s="3" t="str">
        <f>INDEX(Product_Category!$B$2:$B$45,MATCH(TRIM(E519),Product_Category!$A$2:$A$45,0))</f>
        <v>Cereals &amp; Grains</v>
      </c>
      <c r="G519" s="4">
        <v>0.36</v>
      </c>
      <c r="H519" s="4">
        <v>1.27</v>
      </c>
      <c r="I519" s="4">
        <v>1</v>
      </c>
      <c r="J519" s="4">
        <v>502.48</v>
      </c>
      <c r="K519" s="4">
        <v>1932.52</v>
      </c>
      <c r="L519" s="4">
        <v>1530.76</v>
      </c>
      <c r="M519" s="4">
        <f t="shared" si="24"/>
        <v>0.91</v>
      </c>
      <c r="N519" s="4">
        <f t="shared" si="25"/>
        <v>1430.04</v>
      </c>
      <c r="O519" s="4">
        <f t="shared" si="26"/>
        <v>-0.27</v>
      </c>
      <c r="P519" s="3" t="s">
        <v>19</v>
      </c>
    </row>
    <row r="520" spans="1:16" x14ac:dyDescent="0.35">
      <c r="A520" s="3" t="s">
        <v>23</v>
      </c>
      <c r="B520" s="3" t="str">
        <f>INDEX(State_Region!$B$2:$B$26,MATCH(TRIM(A520),State_Region!$A$2:$A$26,0))</f>
        <v>North</v>
      </c>
      <c r="C520" s="3" t="s">
        <v>191</v>
      </c>
      <c r="D520" s="3" t="str">
        <f>INDEX(Port_Type!$B$2:$B$227,MATCH(TRIM(C520),Port_Type!$A$2:$A$227,0))</f>
        <v>Land Border / Rail</v>
      </c>
      <c r="E520" s="3" t="s">
        <v>39</v>
      </c>
      <c r="F520" s="3" t="str">
        <f>INDEX(Product_Category!$B$2:$B$45,MATCH(TRIM(E520),Product_Category!$A$2:$A$45,0))</f>
        <v>Processed Foods</v>
      </c>
      <c r="G520" s="4">
        <v>0.56999999999999995</v>
      </c>
      <c r="H520" s="4">
        <v>3.44</v>
      </c>
      <c r="I520" s="4">
        <v>1</v>
      </c>
      <c r="J520" s="4">
        <v>237.71</v>
      </c>
      <c r="K520" s="4">
        <v>448.59</v>
      </c>
      <c r="L520" s="4">
        <v>54.75</v>
      </c>
      <c r="M520" s="4">
        <f t="shared" si="24"/>
        <v>2.87</v>
      </c>
      <c r="N520" s="4">
        <f t="shared" si="25"/>
        <v>210.87999999999997</v>
      </c>
      <c r="O520" s="4">
        <f t="shared" si="26"/>
        <v>-2.44</v>
      </c>
      <c r="P520" s="3" t="s">
        <v>19</v>
      </c>
    </row>
    <row r="521" spans="1:16" x14ac:dyDescent="0.35">
      <c r="A521" s="3" t="s">
        <v>20</v>
      </c>
      <c r="B521" s="3" t="str">
        <f>INDEX(State_Region!$B$2:$B$26,MATCH(TRIM(A521),State_Region!$A$2:$A$26,0))</f>
        <v>West</v>
      </c>
      <c r="C521" s="3" t="s">
        <v>56</v>
      </c>
      <c r="D521" s="3" t="str">
        <f>INDEX(Port_Type!$B$2:$B$227,MATCH(TRIM(C521),Port_Type!$A$2:$A$227,0))</f>
        <v>Inland ICD / CFS</v>
      </c>
      <c r="E521" s="3" t="s">
        <v>18</v>
      </c>
      <c r="F521" s="3" t="str">
        <f>INDEX(Product_Category!$B$2:$B$45,MATCH(TRIM(E521),Product_Category!$A$2:$A$45,0))</f>
        <v>Cereals &amp; Grains</v>
      </c>
      <c r="G521" s="4">
        <v>0.09</v>
      </c>
      <c r="H521" s="4">
        <v>0.69</v>
      </c>
      <c r="I521" s="4">
        <v>1</v>
      </c>
      <c r="J521" s="4">
        <v>76.05</v>
      </c>
      <c r="K521" s="4">
        <v>884</v>
      </c>
      <c r="L521" s="4">
        <v>942</v>
      </c>
      <c r="M521" s="4">
        <f t="shared" si="24"/>
        <v>0.6</v>
      </c>
      <c r="N521" s="4">
        <f t="shared" si="25"/>
        <v>807.95</v>
      </c>
      <c r="O521" s="4">
        <f t="shared" si="26"/>
        <v>0.31000000000000005</v>
      </c>
      <c r="P521" s="3" t="s">
        <v>19</v>
      </c>
    </row>
    <row r="522" spans="1:16" x14ac:dyDescent="0.35">
      <c r="A522" s="3" t="s">
        <v>31</v>
      </c>
      <c r="B522" s="3" t="str">
        <f>INDEX(State_Region!$B$2:$B$26,MATCH(TRIM(A522),State_Region!$A$2:$A$26,0))</f>
        <v>East</v>
      </c>
      <c r="C522" s="3" t="s">
        <v>192</v>
      </c>
      <c r="D522" s="3" t="str">
        <f>INDEX(Port_Type!$B$2:$B$227,MATCH(TRIM(C522),Port_Type!$A$2:$A$227,0))</f>
        <v>Air Cargo</v>
      </c>
      <c r="E522" s="3" t="s">
        <v>102</v>
      </c>
      <c r="F522" s="3" t="str">
        <f>INDEX(Product_Category!$B$2:$B$45,MATCH(TRIM(E522),Product_Category!$A$2:$A$45,0))</f>
        <v>Fresh Fruits &amp; Vegetables</v>
      </c>
      <c r="G522" s="4">
        <v>1.92</v>
      </c>
      <c r="H522" s="4">
        <v>2.85</v>
      </c>
      <c r="I522" s="4">
        <v>0.99</v>
      </c>
      <c r="J522" s="4">
        <v>1874.39</v>
      </c>
      <c r="K522" s="4">
        <v>2865.74</v>
      </c>
      <c r="L522" s="4">
        <v>1039.3699999999999</v>
      </c>
      <c r="M522" s="4">
        <f t="shared" si="24"/>
        <v>0.93000000000000016</v>
      </c>
      <c r="N522" s="4">
        <f t="shared" si="25"/>
        <v>991.34999999999968</v>
      </c>
      <c r="O522" s="4">
        <f t="shared" si="26"/>
        <v>-1.86</v>
      </c>
      <c r="P522" s="3" t="s">
        <v>19</v>
      </c>
    </row>
    <row r="523" spans="1:16" x14ac:dyDescent="0.35">
      <c r="A523" s="3" t="s">
        <v>79</v>
      </c>
      <c r="B523" s="3" t="str">
        <f>INDEX(State_Region!$B$2:$B$26,MATCH(TRIM(A523),State_Region!$A$2:$A$26,0))</f>
        <v>South</v>
      </c>
      <c r="C523" s="3" t="s">
        <v>80</v>
      </c>
      <c r="D523" s="3" t="str">
        <f>INDEX(Port_Type!$B$2:$B$227,MATCH(TRIM(C523),Port_Type!$A$2:$A$227,0))</f>
        <v>Inland ICD / CFS</v>
      </c>
      <c r="E523" s="3" t="s">
        <v>65</v>
      </c>
      <c r="F523" s="3" t="str">
        <f>INDEX(Product_Category!$B$2:$B$45,MATCH(TRIM(E523),Product_Category!$A$2:$A$45,0))</f>
        <v>Cereals &amp; Grains</v>
      </c>
      <c r="G523" s="4">
        <v>1.5</v>
      </c>
      <c r="H523" s="4">
        <v>2.48</v>
      </c>
      <c r="I523" s="4">
        <v>0.97</v>
      </c>
      <c r="J523" s="4">
        <v>1944.04</v>
      </c>
      <c r="K523" s="4">
        <v>3011.56</v>
      </c>
      <c r="L523" s="4">
        <v>1175.6300000000001</v>
      </c>
      <c r="M523" s="4">
        <f t="shared" si="24"/>
        <v>0.98</v>
      </c>
      <c r="N523" s="4">
        <f t="shared" si="25"/>
        <v>1067.52</v>
      </c>
      <c r="O523" s="4">
        <f t="shared" si="26"/>
        <v>-1.51</v>
      </c>
      <c r="P523" s="3" t="s">
        <v>19</v>
      </c>
    </row>
    <row r="524" spans="1:16" x14ac:dyDescent="0.35">
      <c r="A524" s="3" t="s">
        <v>35</v>
      </c>
      <c r="B524" s="3" t="str">
        <f>INDEX(State_Region!$B$2:$B$26,MATCH(TRIM(A524),State_Region!$A$2:$A$26,0))</f>
        <v>North</v>
      </c>
      <c r="C524" s="3" t="s">
        <v>47</v>
      </c>
      <c r="D524" s="3" t="str">
        <f>INDEX(Port_Type!$B$2:$B$227,MATCH(TRIM(C524),Port_Type!$A$2:$A$227,0))</f>
        <v>Inland ICD / CFS</v>
      </c>
      <c r="E524" s="3" t="s">
        <v>46</v>
      </c>
      <c r="F524" s="3" t="str">
        <f>INDEX(Product_Category!$B$2:$B$45,MATCH(TRIM(E524),Product_Category!$A$2:$A$45,0))</f>
        <v>Others</v>
      </c>
      <c r="G524" s="4">
        <v>11.44</v>
      </c>
      <c r="H524" s="4">
        <v>2.59</v>
      </c>
      <c r="I524" s="4">
        <v>0.97</v>
      </c>
      <c r="J524" s="4">
        <v>5807.54</v>
      </c>
      <c r="K524" s="4">
        <v>1459.28</v>
      </c>
      <c r="L524" s="4">
        <v>667.96</v>
      </c>
      <c r="M524" s="4">
        <f t="shared" si="24"/>
        <v>-8.85</v>
      </c>
      <c r="N524" s="4">
        <f t="shared" si="25"/>
        <v>-4348.26</v>
      </c>
      <c r="O524" s="4">
        <f t="shared" si="26"/>
        <v>-1.6199999999999999</v>
      </c>
      <c r="P524" s="3" t="s">
        <v>19</v>
      </c>
    </row>
    <row r="525" spans="1:16" x14ac:dyDescent="0.35">
      <c r="A525" s="3" t="s">
        <v>189</v>
      </c>
      <c r="B525" s="3" t="str">
        <f>INDEX(State_Region!$B$2:$B$26,MATCH(TRIM(A525),State_Region!$A$2:$A$26,0))</f>
        <v>North</v>
      </c>
      <c r="C525" s="3" t="s">
        <v>193</v>
      </c>
      <c r="D525" s="3" t="str">
        <f>INDEX(Port_Type!$B$2:$B$227,MATCH(TRIM(C525),Port_Type!$A$2:$A$227,0))</f>
        <v>Inland ICD / CFS</v>
      </c>
      <c r="E525" s="3" t="s">
        <v>48</v>
      </c>
      <c r="F525" s="3" t="str">
        <f>INDEX(Product_Category!$B$2:$B$45,MATCH(TRIM(E525),Product_Category!$A$2:$A$45,0))</f>
        <v>Processed Foods</v>
      </c>
      <c r="G525" s="4">
        <v>0.52</v>
      </c>
      <c r="H525" s="4">
        <v>2.1</v>
      </c>
      <c r="I525" s="4">
        <v>0.97</v>
      </c>
      <c r="J525" s="4">
        <v>464.83</v>
      </c>
      <c r="K525" s="4">
        <v>1167.22</v>
      </c>
      <c r="L525" s="4">
        <v>477.48</v>
      </c>
      <c r="M525" s="4">
        <f t="shared" si="24"/>
        <v>1.58</v>
      </c>
      <c r="N525" s="4">
        <f t="shared" si="25"/>
        <v>702.3900000000001</v>
      </c>
      <c r="O525" s="4">
        <f t="shared" si="26"/>
        <v>-1.1300000000000001</v>
      </c>
      <c r="P525" s="3" t="s">
        <v>19</v>
      </c>
    </row>
    <row r="526" spans="1:16" x14ac:dyDescent="0.35">
      <c r="A526" s="3" t="s">
        <v>16</v>
      </c>
      <c r="B526" s="3" t="str">
        <f>INDEX(State_Region!$B$2:$B$26,MATCH(TRIM(A526),State_Region!$A$2:$A$26,0))</f>
        <v>West</v>
      </c>
      <c r="C526" s="3" t="s">
        <v>28</v>
      </c>
      <c r="D526" s="3" t="str">
        <f>INDEX(Port_Type!$B$2:$B$227,MATCH(TRIM(C526),Port_Type!$A$2:$A$227,0))</f>
        <v>Sea Port</v>
      </c>
      <c r="E526" s="3" t="s">
        <v>54</v>
      </c>
      <c r="F526" s="3" t="str">
        <f>INDEX(Product_Category!$B$2:$B$45,MATCH(TRIM(E526),Product_Category!$A$2:$A$45,0))</f>
        <v>Processed Foods</v>
      </c>
      <c r="G526" s="4">
        <v>2.94</v>
      </c>
      <c r="H526" s="4">
        <v>5.8</v>
      </c>
      <c r="I526" s="4">
        <v>0.97</v>
      </c>
      <c r="J526" s="4">
        <v>2041.16</v>
      </c>
      <c r="K526" s="4">
        <v>5439.42</v>
      </c>
      <c r="L526" s="4">
        <v>759.1</v>
      </c>
      <c r="M526" s="4">
        <f t="shared" si="24"/>
        <v>2.86</v>
      </c>
      <c r="N526" s="4">
        <f t="shared" si="25"/>
        <v>3398.26</v>
      </c>
      <c r="O526" s="4">
        <f t="shared" si="26"/>
        <v>-4.83</v>
      </c>
      <c r="P526" s="3" t="s">
        <v>19</v>
      </c>
    </row>
    <row r="527" spans="1:16" x14ac:dyDescent="0.35">
      <c r="A527" s="3" t="s">
        <v>20</v>
      </c>
      <c r="B527" s="3" t="str">
        <f>INDEX(State_Region!$B$2:$B$26,MATCH(TRIM(A527),State_Region!$A$2:$A$26,0))</f>
        <v>West</v>
      </c>
      <c r="C527" s="3" t="s">
        <v>134</v>
      </c>
      <c r="D527" s="3" t="str">
        <f>INDEX(Port_Type!$B$2:$B$227,MATCH(TRIM(C527),Port_Type!$A$2:$A$227,0))</f>
        <v>Inland ICD / CFS</v>
      </c>
      <c r="E527" s="3" t="s">
        <v>83</v>
      </c>
      <c r="F527" s="3" t="str">
        <f>INDEX(Product_Category!$B$2:$B$45,MATCH(TRIM(E527),Product_Category!$A$2:$A$45,0))</f>
        <v>Fresh Fruits &amp; Vegetables</v>
      </c>
      <c r="G527" s="4">
        <v>0</v>
      </c>
      <c r="H527" s="4">
        <v>8.9499999999999993</v>
      </c>
      <c r="I527" s="4">
        <v>0.96</v>
      </c>
      <c r="J527" s="4">
        <v>0</v>
      </c>
      <c r="K527" s="4">
        <v>4433.51</v>
      </c>
      <c r="L527" s="4">
        <v>455.85</v>
      </c>
      <c r="M527" s="4">
        <f t="shared" si="24"/>
        <v>8.9499999999999993</v>
      </c>
      <c r="N527" s="4">
        <f t="shared" si="25"/>
        <v>4433.51</v>
      </c>
      <c r="O527" s="4">
        <f t="shared" si="26"/>
        <v>-7.9899999999999993</v>
      </c>
      <c r="P527" s="3" t="s">
        <v>19</v>
      </c>
    </row>
    <row r="528" spans="1:16" x14ac:dyDescent="0.35">
      <c r="A528" s="3" t="s">
        <v>94</v>
      </c>
      <c r="B528" s="3" t="str">
        <f>INDEX(State_Region!$B$2:$B$26,MATCH(TRIM(A528),State_Region!$A$2:$A$26,0))</f>
        <v>East</v>
      </c>
      <c r="C528" s="3" t="s">
        <v>95</v>
      </c>
      <c r="D528" s="3" t="str">
        <f>INDEX(Port_Type!$B$2:$B$227,MATCH(TRIM(C528),Port_Type!$A$2:$A$227,0))</f>
        <v>Land Border / Rail</v>
      </c>
      <c r="E528" s="3" t="s">
        <v>84</v>
      </c>
      <c r="F528" s="3" t="str">
        <f>INDEX(Product_Category!$B$2:$B$45,MATCH(TRIM(E528),Product_Category!$A$2:$A$45,0))</f>
        <v>Nuts &amp; Oilseeds</v>
      </c>
      <c r="G528" s="4">
        <v>1.44</v>
      </c>
      <c r="H528" s="4">
        <v>1.88</v>
      </c>
      <c r="I528" s="4">
        <v>0.96</v>
      </c>
      <c r="J528" s="4">
        <v>210.54</v>
      </c>
      <c r="K528" s="4">
        <v>267.93</v>
      </c>
      <c r="L528" s="4">
        <v>148.88999999999999</v>
      </c>
      <c r="M528" s="4">
        <f t="shared" si="24"/>
        <v>0.43999999999999995</v>
      </c>
      <c r="N528" s="4">
        <f t="shared" si="25"/>
        <v>57.390000000000015</v>
      </c>
      <c r="O528" s="4">
        <f t="shared" si="26"/>
        <v>-0.91999999999999993</v>
      </c>
      <c r="P528" s="3" t="s">
        <v>19</v>
      </c>
    </row>
    <row r="529" spans="1:16" x14ac:dyDescent="0.35">
      <c r="A529" s="3" t="s">
        <v>66</v>
      </c>
      <c r="B529" s="3" t="str">
        <f>INDEX(State_Region!$B$2:$B$26,MATCH(TRIM(A529),State_Region!$A$2:$A$26,0))</f>
        <v>North</v>
      </c>
      <c r="C529" s="3" t="s">
        <v>108</v>
      </c>
      <c r="D529" s="3" t="str">
        <f>INDEX(Port_Type!$B$2:$B$227,MATCH(TRIM(C529),Port_Type!$A$2:$A$227,0))</f>
        <v>Inland ICD / CFS</v>
      </c>
      <c r="E529" s="3" t="s">
        <v>60</v>
      </c>
      <c r="F529" s="3" t="str">
        <f>INDEX(Product_Category!$B$2:$B$45,MATCH(TRIM(E529),Product_Category!$A$2:$A$45,0))</f>
        <v>Processed Foods</v>
      </c>
      <c r="G529" s="4">
        <v>1.1299999999999999</v>
      </c>
      <c r="H529" s="4">
        <v>2.14</v>
      </c>
      <c r="I529" s="4">
        <v>0.95</v>
      </c>
      <c r="J529" s="4">
        <v>891.08</v>
      </c>
      <c r="K529" s="4">
        <v>1908.98</v>
      </c>
      <c r="L529" s="4">
        <v>784.68</v>
      </c>
      <c r="M529" s="4">
        <f t="shared" si="24"/>
        <v>1.0100000000000002</v>
      </c>
      <c r="N529" s="4">
        <f t="shared" si="25"/>
        <v>1017.9</v>
      </c>
      <c r="O529" s="4">
        <f t="shared" si="26"/>
        <v>-1.1900000000000002</v>
      </c>
      <c r="P529" s="3" t="s">
        <v>19</v>
      </c>
    </row>
    <row r="530" spans="1:16" x14ac:dyDescent="0.35">
      <c r="A530" s="3" t="s">
        <v>94</v>
      </c>
      <c r="B530" s="3" t="str">
        <f>INDEX(State_Region!$B$2:$B$26,MATCH(TRIM(A530),State_Region!$A$2:$A$26,0))</f>
        <v>East</v>
      </c>
      <c r="C530" s="3" t="s">
        <v>184</v>
      </c>
      <c r="D530" s="3" t="str">
        <f>INDEX(Port_Type!$B$2:$B$227,MATCH(TRIM(C530),Port_Type!$A$2:$A$227,0))</f>
        <v>Land Border / Rail</v>
      </c>
      <c r="E530" s="3" t="s">
        <v>55</v>
      </c>
      <c r="F530" s="3" t="str">
        <f>INDEX(Product_Category!$B$2:$B$45,MATCH(TRIM(E530),Product_Category!$A$2:$A$45,0))</f>
        <v>Fresh Fruits &amp; Vegetables</v>
      </c>
      <c r="G530" s="4">
        <v>1.79</v>
      </c>
      <c r="H530" s="4">
        <v>2.13</v>
      </c>
      <c r="I530" s="4">
        <v>0.95</v>
      </c>
      <c r="J530" s="4">
        <v>7785.44</v>
      </c>
      <c r="K530" s="4">
        <v>12037.56</v>
      </c>
      <c r="L530" s="4">
        <v>5731.6</v>
      </c>
      <c r="M530" s="4">
        <f t="shared" si="24"/>
        <v>0.33999999999999986</v>
      </c>
      <c r="N530" s="4">
        <f t="shared" si="25"/>
        <v>4252.12</v>
      </c>
      <c r="O530" s="4">
        <f t="shared" si="26"/>
        <v>-1.18</v>
      </c>
      <c r="P530" s="3" t="s">
        <v>19</v>
      </c>
    </row>
    <row r="531" spans="1:16" x14ac:dyDescent="0.35">
      <c r="A531" s="3" t="s">
        <v>40</v>
      </c>
      <c r="B531" s="3" t="str">
        <f>INDEX(State_Region!$B$2:$B$26,MATCH(TRIM(A531),State_Region!$A$2:$A$26,0))</f>
        <v>South</v>
      </c>
      <c r="C531" s="3" t="s">
        <v>117</v>
      </c>
      <c r="D531" s="3" t="str">
        <f>INDEX(Port_Type!$B$2:$B$227,MATCH(TRIM(C531),Port_Type!$A$2:$A$227,0))</f>
        <v>Sea Port</v>
      </c>
      <c r="E531" s="3" t="s">
        <v>151</v>
      </c>
      <c r="F531" s="3" t="str">
        <f>INDEX(Product_Category!$B$2:$B$45,MATCH(TRIM(E531),Product_Category!$A$2:$A$45,0))</f>
        <v>Processed Foods</v>
      </c>
      <c r="G531" s="4">
        <v>0.92</v>
      </c>
      <c r="H531" s="4">
        <v>4.3899999999999997</v>
      </c>
      <c r="I531" s="4">
        <v>0.95</v>
      </c>
      <c r="J531" s="4">
        <v>882.77</v>
      </c>
      <c r="K531" s="4">
        <v>5876.9</v>
      </c>
      <c r="L531" s="4">
        <v>1632.67</v>
      </c>
      <c r="M531" s="4">
        <f t="shared" si="24"/>
        <v>3.4699999999999998</v>
      </c>
      <c r="N531" s="4">
        <f t="shared" si="25"/>
        <v>4994.1299999999992</v>
      </c>
      <c r="O531" s="4">
        <f t="shared" si="26"/>
        <v>-3.4399999999999995</v>
      </c>
      <c r="P531" s="3" t="s">
        <v>19</v>
      </c>
    </row>
    <row r="532" spans="1:16" x14ac:dyDescent="0.35">
      <c r="A532" s="3" t="s">
        <v>23</v>
      </c>
      <c r="B532" s="3" t="str">
        <f>INDEX(State_Region!$B$2:$B$26,MATCH(TRIM(A532),State_Region!$A$2:$A$26,0))</f>
        <v>North</v>
      </c>
      <c r="C532" s="3" t="s">
        <v>123</v>
      </c>
      <c r="D532" s="3" t="str">
        <f>INDEX(Port_Type!$B$2:$B$227,MATCH(TRIM(C532),Port_Type!$A$2:$A$227,0))</f>
        <v>Land Border / Rail</v>
      </c>
      <c r="E532" s="3" t="s">
        <v>18</v>
      </c>
      <c r="F532" s="3" t="str">
        <f>INDEX(Product_Category!$B$2:$B$45,MATCH(TRIM(E532),Product_Category!$A$2:$A$45,0))</f>
        <v>Cereals &amp; Grains</v>
      </c>
      <c r="G532" s="4">
        <v>5.07</v>
      </c>
      <c r="H532" s="4">
        <v>7.33</v>
      </c>
      <c r="I532" s="4">
        <v>0.95</v>
      </c>
      <c r="J532" s="4">
        <v>5152.97</v>
      </c>
      <c r="K532" s="4">
        <v>9643.7000000000007</v>
      </c>
      <c r="L532" s="4">
        <v>1131.56</v>
      </c>
      <c r="M532" s="4">
        <f t="shared" si="24"/>
        <v>2.2599999999999998</v>
      </c>
      <c r="N532" s="4">
        <f t="shared" si="25"/>
        <v>4490.7300000000005</v>
      </c>
      <c r="O532" s="4">
        <f t="shared" si="26"/>
        <v>-6.38</v>
      </c>
      <c r="P532" s="3" t="s">
        <v>19</v>
      </c>
    </row>
    <row r="533" spans="1:16" x14ac:dyDescent="0.35">
      <c r="A533" s="3" t="s">
        <v>23</v>
      </c>
      <c r="B533" s="3" t="str">
        <f>INDEX(State_Region!$B$2:$B$26,MATCH(TRIM(A533),State_Region!$A$2:$A$26,0))</f>
        <v>North</v>
      </c>
      <c r="C533" s="3" t="s">
        <v>123</v>
      </c>
      <c r="D533" s="3" t="str">
        <f>INDEX(Port_Type!$B$2:$B$227,MATCH(TRIM(C533),Port_Type!$A$2:$A$227,0))</f>
        <v>Land Border / Rail</v>
      </c>
      <c r="E533" s="3" t="s">
        <v>62</v>
      </c>
      <c r="F533" s="3" t="str">
        <f>INDEX(Product_Category!$B$2:$B$45,MATCH(TRIM(E533),Product_Category!$A$2:$A$45,0))</f>
        <v>Cereals &amp; Grains</v>
      </c>
      <c r="G533" s="4">
        <v>9.49</v>
      </c>
      <c r="H533" s="4">
        <v>6.27</v>
      </c>
      <c r="I533" s="4">
        <v>0.95</v>
      </c>
      <c r="J533" s="4">
        <v>35220.89</v>
      </c>
      <c r="K533" s="4">
        <v>24606.78</v>
      </c>
      <c r="L533" s="4">
        <v>3996.59</v>
      </c>
      <c r="M533" s="4">
        <f t="shared" si="24"/>
        <v>-3.2200000000000006</v>
      </c>
      <c r="N533" s="4">
        <f t="shared" si="25"/>
        <v>-10614.11</v>
      </c>
      <c r="O533" s="4">
        <f t="shared" si="26"/>
        <v>-5.3199999999999994</v>
      </c>
      <c r="P533" s="3" t="s">
        <v>19</v>
      </c>
    </row>
    <row r="534" spans="1:16" x14ac:dyDescent="0.35">
      <c r="A534" s="3" t="s">
        <v>189</v>
      </c>
      <c r="B534" s="3" t="str">
        <f>INDEX(State_Region!$B$2:$B$26,MATCH(TRIM(A534),State_Region!$A$2:$A$26,0))</f>
        <v>North</v>
      </c>
      <c r="C534" s="3" t="s">
        <v>193</v>
      </c>
      <c r="D534" s="3" t="str">
        <f>INDEX(Port_Type!$B$2:$B$227,MATCH(TRIM(C534),Port_Type!$A$2:$A$227,0))</f>
        <v>Inland ICD / CFS</v>
      </c>
      <c r="E534" s="3" t="s">
        <v>46</v>
      </c>
      <c r="F534" s="3" t="str">
        <f>INDEX(Product_Category!$B$2:$B$45,MATCH(TRIM(E534),Product_Category!$A$2:$A$45,0))</f>
        <v>Others</v>
      </c>
      <c r="G534" s="4">
        <v>4.5999999999999996</v>
      </c>
      <c r="H534" s="4">
        <v>2.96</v>
      </c>
      <c r="I534" s="4">
        <v>0.94</v>
      </c>
      <c r="J534" s="4">
        <v>1317.81</v>
      </c>
      <c r="K534" s="4">
        <v>924.71</v>
      </c>
      <c r="L534" s="4">
        <v>319.23</v>
      </c>
      <c r="M534" s="4">
        <f t="shared" si="24"/>
        <v>-1.6399999999999997</v>
      </c>
      <c r="N534" s="4">
        <f t="shared" si="25"/>
        <v>-393.09999999999991</v>
      </c>
      <c r="O534" s="4">
        <f t="shared" si="26"/>
        <v>-2.02</v>
      </c>
      <c r="P534" s="3" t="s">
        <v>19</v>
      </c>
    </row>
    <row r="535" spans="1:16" x14ac:dyDescent="0.35">
      <c r="A535" s="3" t="s">
        <v>35</v>
      </c>
      <c r="B535" s="3" t="str">
        <f>INDEX(State_Region!$B$2:$B$26,MATCH(TRIM(A535),State_Region!$A$2:$A$26,0))</f>
        <v>North</v>
      </c>
      <c r="C535" s="3" t="s">
        <v>88</v>
      </c>
      <c r="D535" s="3" t="str">
        <f>INDEX(Port_Type!$B$2:$B$227,MATCH(TRIM(C535),Port_Type!$A$2:$A$227,0))</f>
        <v>Inland ICD / CFS</v>
      </c>
      <c r="E535" s="3" t="s">
        <v>27</v>
      </c>
      <c r="F535" s="3" t="str">
        <f>INDEX(Product_Category!$B$2:$B$45,MATCH(TRIM(E535),Product_Category!$A$2:$A$45,0))</f>
        <v>Cereals &amp; Grains</v>
      </c>
      <c r="G535" s="4">
        <v>0.98</v>
      </c>
      <c r="H535" s="4">
        <v>4.49</v>
      </c>
      <c r="I535" s="4">
        <v>0.94</v>
      </c>
      <c r="J535" s="4">
        <v>1593.1</v>
      </c>
      <c r="K535" s="4">
        <v>8047.82</v>
      </c>
      <c r="L535" s="4">
        <v>1883</v>
      </c>
      <c r="M535" s="4">
        <f t="shared" si="24"/>
        <v>3.5100000000000002</v>
      </c>
      <c r="N535" s="4">
        <f t="shared" si="25"/>
        <v>6454.7199999999993</v>
      </c>
      <c r="O535" s="4">
        <f t="shared" si="26"/>
        <v>-3.5500000000000003</v>
      </c>
      <c r="P535" s="3" t="s">
        <v>19</v>
      </c>
    </row>
    <row r="536" spans="1:16" x14ac:dyDescent="0.35">
      <c r="A536" s="3" t="s">
        <v>31</v>
      </c>
      <c r="B536" s="3" t="str">
        <f>INDEX(State_Region!$B$2:$B$26,MATCH(TRIM(A536),State_Region!$A$2:$A$26,0))</f>
        <v>East</v>
      </c>
      <c r="C536" s="3" t="s">
        <v>141</v>
      </c>
      <c r="D536" s="3" t="str">
        <f>INDEX(Port_Type!$B$2:$B$227,MATCH(TRIM(C536),Port_Type!$A$2:$A$227,0))</f>
        <v>Land Border / Rail</v>
      </c>
      <c r="E536" s="3" t="s">
        <v>118</v>
      </c>
      <c r="F536" s="3" t="str">
        <f>INDEX(Product_Category!$B$2:$B$45,MATCH(TRIM(E536),Product_Category!$A$2:$A$45,0))</f>
        <v>Dairy, Poultry &amp; Honey</v>
      </c>
      <c r="G536" s="4">
        <v>1.02</v>
      </c>
      <c r="H536" s="4">
        <v>1.79</v>
      </c>
      <c r="I536" s="4">
        <v>0.94</v>
      </c>
      <c r="J536" s="4">
        <v>609</v>
      </c>
      <c r="K536" s="4">
        <v>1031.7</v>
      </c>
      <c r="L536" s="4">
        <v>627</v>
      </c>
      <c r="M536" s="4">
        <f t="shared" si="24"/>
        <v>0.77</v>
      </c>
      <c r="N536" s="4">
        <f t="shared" si="25"/>
        <v>422.70000000000005</v>
      </c>
      <c r="O536" s="4">
        <f t="shared" si="26"/>
        <v>-0.85000000000000009</v>
      </c>
      <c r="P536" s="3" t="s">
        <v>19</v>
      </c>
    </row>
    <row r="537" spans="1:16" x14ac:dyDescent="0.35">
      <c r="A537" s="3" t="s">
        <v>20</v>
      </c>
      <c r="B537" s="3" t="str">
        <f>INDEX(State_Region!$B$2:$B$26,MATCH(TRIM(A537),State_Region!$A$2:$A$26,0))</f>
        <v>West</v>
      </c>
      <c r="C537" s="3" t="s">
        <v>21</v>
      </c>
      <c r="D537" s="3" t="str">
        <f>INDEX(Port_Type!$B$2:$B$227,MATCH(TRIM(C537),Port_Type!$A$2:$A$227,0))</f>
        <v>Sea Port</v>
      </c>
      <c r="E537" s="3" t="s">
        <v>51</v>
      </c>
      <c r="F537" s="3" t="str">
        <f>INDEX(Product_Category!$B$2:$B$45,MATCH(TRIM(E537),Product_Category!$A$2:$A$45,0))</f>
        <v>Nuts &amp; Oilseeds</v>
      </c>
      <c r="G537" s="4">
        <v>15.85</v>
      </c>
      <c r="H537" s="4">
        <v>11.37</v>
      </c>
      <c r="I537" s="4">
        <v>0.93</v>
      </c>
      <c r="J537" s="4">
        <v>12119.47</v>
      </c>
      <c r="K537" s="4">
        <v>10181.549999999999</v>
      </c>
      <c r="L537" s="4">
        <v>649.37</v>
      </c>
      <c r="M537" s="4">
        <f t="shared" si="24"/>
        <v>-4.4800000000000004</v>
      </c>
      <c r="N537" s="4">
        <f t="shared" si="25"/>
        <v>-1937.92</v>
      </c>
      <c r="O537" s="4">
        <f t="shared" si="26"/>
        <v>-10.44</v>
      </c>
      <c r="P537" s="3" t="s">
        <v>19</v>
      </c>
    </row>
    <row r="538" spans="1:16" x14ac:dyDescent="0.35">
      <c r="A538" s="3" t="s">
        <v>40</v>
      </c>
      <c r="B538" s="3" t="str">
        <f>INDEX(State_Region!$B$2:$B$26,MATCH(TRIM(A538),State_Region!$A$2:$A$26,0))</f>
        <v>South</v>
      </c>
      <c r="C538" s="3" t="s">
        <v>194</v>
      </c>
      <c r="D538" s="3" t="str">
        <f>INDEX(Port_Type!$B$2:$B$227,MATCH(TRIM(C538),Port_Type!$A$2:$A$227,0))</f>
        <v>Air Cargo</v>
      </c>
      <c r="E538" s="3" t="s">
        <v>102</v>
      </c>
      <c r="F538" s="3" t="str">
        <f>INDEX(Product_Category!$B$2:$B$45,MATCH(TRIM(E538),Product_Category!$A$2:$A$45,0))</f>
        <v>Fresh Fruits &amp; Vegetables</v>
      </c>
      <c r="G538" s="4">
        <v>2.63</v>
      </c>
      <c r="H538" s="4">
        <v>2.41</v>
      </c>
      <c r="I538" s="4">
        <v>0.93</v>
      </c>
      <c r="J538" s="4">
        <v>3504.09</v>
      </c>
      <c r="K538" s="4">
        <v>3264.21</v>
      </c>
      <c r="L538" s="4">
        <v>1103.1300000000001</v>
      </c>
      <c r="M538" s="4">
        <f t="shared" si="24"/>
        <v>-0.21999999999999975</v>
      </c>
      <c r="N538" s="4">
        <f t="shared" si="25"/>
        <v>-239.88000000000011</v>
      </c>
      <c r="O538" s="4">
        <f t="shared" si="26"/>
        <v>-1.48</v>
      </c>
      <c r="P538" s="3" t="s">
        <v>19</v>
      </c>
    </row>
    <row r="539" spans="1:16" x14ac:dyDescent="0.35">
      <c r="A539" s="3" t="s">
        <v>20</v>
      </c>
      <c r="B539" s="3" t="str">
        <f>INDEX(State_Region!$B$2:$B$26,MATCH(TRIM(A539),State_Region!$A$2:$A$26,0))</f>
        <v>West</v>
      </c>
      <c r="C539" s="3" t="s">
        <v>21</v>
      </c>
      <c r="D539" s="3" t="str">
        <f>INDEX(Port_Type!$B$2:$B$227,MATCH(TRIM(C539),Port_Type!$A$2:$A$227,0))</f>
        <v>Sea Port</v>
      </c>
      <c r="E539" s="3" t="s">
        <v>128</v>
      </c>
      <c r="F539" s="3" t="str">
        <f>INDEX(Product_Category!$B$2:$B$45,MATCH(TRIM(E539),Product_Category!$A$2:$A$45,0))</f>
        <v>Dairy, Poultry &amp; Honey</v>
      </c>
      <c r="G539" s="4">
        <v>4.0199999999999996</v>
      </c>
      <c r="H539" s="4">
        <v>6.27</v>
      </c>
      <c r="I539" s="4">
        <v>0.93</v>
      </c>
      <c r="J539" s="4">
        <v>1074.73</v>
      </c>
      <c r="K539" s="4">
        <v>2138.19</v>
      </c>
      <c r="L539" s="4">
        <v>474.2</v>
      </c>
      <c r="M539" s="4">
        <f t="shared" si="24"/>
        <v>2.25</v>
      </c>
      <c r="N539" s="4">
        <f t="shared" si="25"/>
        <v>1063.46</v>
      </c>
      <c r="O539" s="4">
        <f t="shared" si="26"/>
        <v>-5.34</v>
      </c>
      <c r="P539" s="3" t="s">
        <v>19</v>
      </c>
    </row>
    <row r="540" spans="1:16" x14ac:dyDescent="0.35">
      <c r="A540" s="3" t="s">
        <v>189</v>
      </c>
      <c r="B540" s="3" t="str">
        <f>INDEX(State_Region!$B$2:$B$26,MATCH(TRIM(A540),State_Region!$A$2:$A$26,0))</f>
        <v>North</v>
      </c>
      <c r="C540" s="3" t="s">
        <v>193</v>
      </c>
      <c r="D540" s="3" t="str">
        <f>INDEX(Port_Type!$B$2:$B$227,MATCH(TRIM(C540),Port_Type!$A$2:$A$227,0))</f>
        <v>Inland ICD / CFS</v>
      </c>
      <c r="E540" s="3" t="s">
        <v>53</v>
      </c>
      <c r="F540" s="3" t="str">
        <f>INDEX(Product_Category!$B$2:$B$45,MATCH(TRIM(E540),Product_Category!$A$2:$A$45,0))</f>
        <v>Processed Foods</v>
      </c>
      <c r="G540" s="4">
        <v>0.6</v>
      </c>
      <c r="H540" s="4">
        <v>2.08</v>
      </c>
      <c r="I540" s="4">
        <v>0.93</v>
      </c>
      <c r="J540" s="4">
        <v>1108.26</v>
      </c>
      <c r="K540" s="4">
        <v>3425.77</v>
      </c>
      <c r="L540" s="4">
        <v>1479.78</v>
      </c>
      <c r="M540" s="4">
        <f t="shared" si="24"/>
        <v>1.48</v>
      </c>
      <c r="N540" s="4">
        <f t="shared" si="25"/>
        <v>2317.5100000000002</v>
      </c>
      <c r="O540" s="4">
        <f t="shared" si="26"/>
        <v>-1.1499999999999999</v>
      </c>
      <c r="P540" s="3" t="s">
        <v>19</v>
      </c>
    </row>
    <row r="541" spans="1:16" x14ac:dyDescent="0.35">
      <c r="A541" s="3" t="s">
        <v>31</v>
      </c>
      <c r="B541" s="3" t="str">
        <f>INDEX(State_Region!$B$2:$B$26,MATCH(TRIM(A541),State_Region!$A$2:$A$26,0))</f>
        <v>East</v>
      </c>
      <c r="C541" s="3" t="s">
        <v>146</v>
      </c>
      <c r="D541" s="3" t="str">
        <f>INDEX(Port_Type!$B$2:$B$227,MATCH(TRIM(C541),Port_Type!$A$2:$A$227,0))</f>
        <v>Land Border / Rail</v>
      </c>
      <c r="E541" s="3" t="s">
        <v>48</v>
      </c>
      <c r="F541" s="3" t="str">
        <f>INDEX(Product_Category!$B$2:$B$45,MATCH(TRIM(E541),Product_Category!$A$2:$A$45,0))</f>
        <v>Processed Foods</v>
      </c>
      <c r="G541" s="4">
        <v>1.18</v>
      </c>
      <c r="H541" s="4">
        <v>1.86</v>
      </c>
      <c r="I541" s="4">
        <v>0.93</v>
      </c>
      <c r="J541" s="4">
        <v>1908.91</v>
      </c>
      <c r="K541" s="4">
        <v>3294.39</v>
      </c>
      <c r="L541" s="4">
        <v>1574.1</v>
      </c>
      <c r="M541" s="4">
        <f t="shared" si="24"/>
        <v>0.68000000000000016</v>
      </c>
      <c r="N541" s="4">
        <f t="shared" si="25"/>
        <v>1385.4799999999998</v>
      </c>
      <c r="O541" s="4">
        <f t="shared" si="26"/>
        <v>-0.93</v>
      </c>
      <c r="P541" s="3" t="s">
        <v>19</v>
      </c>
    </row>
    <row r="542" spans="1:16" x14ac:dyDescent="0.35">
      <c r="A542" s="3" t="s">
        <v>40</v>
      </c>
      <c r="B542" s="3" t="str">
        <f>INDEX(State_Region!$B$2:$B$26,MATCH(TRIM(A542),State_Region!$A$2:$A$26,0))</f>
        <v>South</v>
      </c>
      <c r="C542" s="3" t="s">
        <v>164</v>
      </c>
      <c r="D542" s="3" t="str">
        <f>INDEX(Port_Type!$B$2:$B$227,MATCH(TRIM(C542),Port_Type!$A$2:$A$227,0))</f>
        <v>Air Cargo</v>
      </c>
      <c r="E542" s="3" t="s">
        <v>122</v>
      </c>
      <c r="F542" s="3" t="str">
        <f>INDEX(Product_Category!$B$2:$B$45,MATCH(TRIM(E542),Product_Category!$A$2:$A$45,0))</f>
        <v>Others</v>
      </c>
      <c r="G542" s="4">
        <v>2.82</v>
      </c>
      <c r="H542" s="4">
        <v>2.81</v>
      </c>
      <c r="I542" s="4">
        <v>0.92</v>
      </c>
      <c r="J542" s="4">
        <v>1675.84</v>
      </c>
      <c r="K542" s="4">
        <v>1507.46</v>
      </c>
      <c r="L542" s="4">
        <v>473.06</v>
      </c>
      <c r="M542" s="4">
        <f t="shared" si="24"/>
        <v>-9.9999999999997868E-3</v>
      </c>
      <c r="N542" s="4">
        <f t="shared" si="25"/>
        <v>-168.37999999999988</v>
      </c>
      <c r="O542" s="4">
        <f t="shared" si="26"/>
        <v>-1.8900000000000001</v>
      </c>
      <c r="P542" s="3" t="s">
        <v>19</v>
      </c>
    </row>
    <row r="543" spans="1:16" x14ac:dyDescent="0.35">
      <c r="A543" s="3" t="s">
        <v>35</v>
      </c>
      <c r="B543" s="3" t="str">
        <f>INDEX(State_Region!$B$2:$B$26,MATCH(TRIM(A543),State_Region!$A$2:$A$26,0))</f>
        <v>North</v>
      </c>
      <c r="C543" s="3" t="s">
        <v>38</v>
      </c>
      <c r="D543" s="3" t="str">
        <f>INDEX(Port_Type!$B$2:$B$227,MATCH(TRIM(C543),Port_Type!$A$2:$A$227,0))</f>
        <v>Inland ICD / CFS</v>
      </c>
      <c r="E543" s="3" t="s">
        <v>33</v>
      </c>
      <c r="F543" s="3" t="str">
        <f>INDEX(Product_Category!$B$2:$B$45,MATCH(TRIM(E543),Product_Category!$A$2:$A$45,0))</f>
        <v>Pulses</v>
      </c>
      <c r="G543" s="4">
        <v>4.33</v>
      </c>
      <c r="H543" s="4">
        <v>3.6</v>
      </c>
      <c r="I543" s="4">
        <v>0.92</v>
      </c>
      <c r="J543" s="4">
        <v>3440.74</v>
      </c>
      <c r="K543" s="4">
        <v>2922.43</v>
      </c>
      <c r="L543" s="4">
        <v>745.42</v>
      </c>
      <c r="M543" s="4">
        <f t="shared" si="24"/>
        <v>-0.73</v>
      </c>
      <c r="N543" s="4">
        <f t="shared" si="25"/>
        <v>-518.30999999999995</v>
      </c>
      <c r="O543" s="4">
        <f t="shared" si="26"/>
        <v>-2.68</v>
      </c>
      <c r="P543" s="3" t="s">
        <v>19</v>
      </c>
    </row>
    <row r="544" spans="1:16" x14ac:dyDescent="0.35">
      <c r="A544" s="3" t="s">
        <v>16</v>
      </c>
      <c r="B544" s="3" t="str">
        <f>INDEX(State_Region!$B$2:$B$26,MATCH(TRIM(A544),State_Region!$A$2:$A$26,0))</f>
        <v>West</v>
      </c>
      <c r="C544" s="3" t="s">
        <v>90</v>
      </c>
      <c r="D544" s="3" t="str">
        <f>INDEX(Port_Type!$B$2:$B$227,MATCH(TRIM(C544),Port_Type!$A$2:$A$227,0))</f>
        <v>Inland ICD / CFS</v>
      </c>
      <c r="E544" s="3" t="s">
        <v>46</v>
      </c>
      <c r="F544" s="3" t="str">
        <f>INDEX(Product_Category!$B$2:$B$45,MATCH(TRIM(E544),Product_Category!$A$2:$A$45,0))</f>
        <v>Others</v>
      </c>
      <c r="G544" s="4">
        <v>3.87</v>
      </c>
      <c r="H544" s="4">
        <v>1.98</v>
      </c>
      <c r="I544" s="4">
        <v>0.91</v>
      </c>
      <c r="J544" s="4">
        <v>2101.52</v>
      </c>
      <c r="K544" s="4">
        <v>1094.99</v>
      </c>
      <c r="L544" s="4">
        <v>492.94</v>
      </c>
      <c r="M544" s="4">
        <f t="shared" si="24"/>
        <v>-1.8900000000000001</v>
      </c>
      <c r="N544" s="4">
        <f t="shared" si="25"/>
        <v>-1006.53</v>
      </c>
      <c r="O544" s="4">
        <f t="shared" si="26"/>
        <v>-1.0699999999999998</v>
      </c>
      <c r="P544" s="3" t="s">
        <v>19</v>
      </c>
    </row>
    <row r="545" spans="1:16" x14ac:dyDescent="0.35">
      <c r="A545" s="3" t="s">
        <v>25</v>
      </c>
      <c r="B545" s="3" t="str">
        <f>INDEX(State_Region!$B$2:$B$26,MATCH(TRIM(A545),State_Region!$A$2:$A$26,0))</f>
        <v>South</v>
      </c>
      <c r="C545" s="3" t="s">
        <v>195</v>
      </c>
      <c r="D545" s="3" t="str">
        <f>INDEX(Port_Type!$B$2:$B$227,MATCH(TRIM(C545),Port_Type!$A$2:$A$227,0))</f>
        <v>Sea Port</v>
      </c>
      <c r="E545" s="3" t="s">
        <v>84</v>
      </c>
      <c r="F545" s="3" t="str">
        <f>INDEX(Product_Category!$B$2:$B$45,MATCH(TRIM(E545),Product_Category!$A$2:$A$45,0))</f>
        <v>Nuts &amp; Oilseeds</v>
      </c>
      <c r="G545" s="4">
        <v>0</v>
      </c>
      <c r="H545" s="4">
        <v>1.68</v>
      </c>
      <c r="I545" s="4">
        <v>0.91</v>
      </c>
      <c r="J545" s="4">
        <v>0</v>
      </c>
      <c r="K545" s="4">
        <v>191.39</v>
      </c>
      <c r="L545" s="4">
        <v>96.39</v>
      </c>
      <c r="M545" s="4">
        <f t="shared" si="24"/>
        <v>1.68</v>
      </c>
      <c r="N545" s="4">
        <f t="shared" si="25"/>
        <v>191.39</v>
      </c>
      <c r="O545" s="4">
        <f t="shared" si="26"/>
        <v>-0.76999999999999991</v>
      </c>
      <c r="P545" s="3" t="s">
        <v>19</v>
      </c>
    </row>
    <row r="546" spans="1:16" x14ac:dyDescent="0.35">
      <c r="A546" s="3" t="s">
        <v>129</v>
      </c>
      <c r="B546" s="3" t="str">
        <f>INDEX(State_Region!$B$2:$B$26,MATCH(TRIM(A546),State_Region!$A$2:$A$26,0))</f>
        <v>East</v>
      </c>
      <c r="C546" s="3" t="s">
        <v>147</v>
      </c>
      <c r="D546" s="3" t="str">
        <f>INDEX(Port_Type!$B$2:$B$227,MATCH(TRIM(C546),Port_Type!$A$2:$A$227,0))</f>
        <v>Land Border / Rail</v>
      </c>
      <c r="E546" s="3" t="s">
        <v>45</v>
      </c>
      <c r="F546" s="3" t="str">
        <f>INDEX(Product_Category!$B$2:$B$45,MATCH(TRIM(E546),Product_Category!$A$2:$A$45,0))</f>
        <v>Fresh Fruits &amp; Vegetables</v>
      </c>
      <c r="G546" s="4">
        <v>4.3499999999999996</v>
      </c>
      <c r="H546" s="4">
        <v>3.65</v>
      </c>
      <c r="I546" s="4">
        <v>0.91</v>
      </c>
      <c r="J546" s="4">
        <v>17168.05</v>
      </c>
      <c r="K546" s="4">
        <v>15064.63</v>
      </c>
      <c r="L546" s="4">
        <v>3832.46</v>
      </c>
      <c r="M546" s="4">
        <f t="shared" si="24"/>
        <v>-0.69999999999999973</v>
      </c>
      <c r="N546" s="4">
        <f t="shared" si="25"/>
        <v>-2103.42</v>
      </c>
      <c r="O546" s="4">
        <f t="shared" si="26"/>
        <v>-2.7399999999999998</v>
      </c>
      <c r="P546" s="3" t="s">
        <v>19</v>
      </c>
    </row>
    <row r="547" spans="1:16" x14ac:dyDescent="0.35">
      <c r="A547" s="3" t="s">
        <v>23</v>
      </c>
      <c r="B547" s="3" t="str">
        <f>INDEX(State_Region!$B$2:$B$26,MATCH(TRIM(A547),State_Region!$A$2:$A$26,0))</f>
        <v>North</v>
      </c>
      <c r="C547" s="3" t="s">
        <v>30</v>
      </c>
      <c r="D547" s="3" t="str">
        <f>INDEX(Port_Type!$B$2:$B$227,MATCH(TRIM(C547),Port_Type!$A$2:$A$227,0))</f>
        <v>Inland ICD / CFS</v>
      </c>
      <c r="E547" s="3" t="s">
        <v>18</v>
      </c>
      <c r="F547" s="3" t="str">
        <f>INDEX(Product_Category!$B$2:$B$45,MATCH(TRIM(E547),Product_Category!$A$2:$A$45,0))</f>
        <v>Cereals &amp; Grains</v>
      </c>
      <c r="G547" s="4">
        <v>13.44</v>
      </c>
      <c r="H547" s="4">
        <v>2.71</v>
      </c>
      <c r="I547" s="4">
        <v>0.9</v>
      </c>
      <c r="J547" s="4">
        <v>11782.68</v>
      </c>
      <c r="K547" s="4">
        <v>2593.84</v>
      </c>
      <c r="L547" s="4">
        <v>842.66</v>
      </c>
      <c r="M547" s="4">
        <f t="shared" si="24"/>
        <v>-10.73</v>
      </c>
      <c r="N547" s="4">
        <f t="shared" si="25"/>
        <v>-9188.84</v>
      </c>
      <c r="O547" s="4">
        <f t="shared" si="26"/>
        <v>-1.81</v>
      </c>
      <c r="P547" s="3" t="s">
        <v>19</v>
      </c>
    </row>
    <row r="548" spans="1:16" x14ac:dyDescent="0.35">
      <c r="A548" s="3" t="s">
        <v>23</v>
      </c>
      <c r="B548" s="3" t="str">
        <f>INDEX(State_Region!$B$2:$B$26,MATCH(TRIM(A548),State_Region!$A$2:$A$26,0))</f>
        <v>North</v>
      </c>
      <c r="C548" s="3" t="s">
        <v>34</v>
      </c>
      <c r="D548" s="3" t="str">
        <f>INDEX(Port_Type!$B$2:$B$227,MATCH(TRIM(C548),Port_Type!$A$2:$A$227,0))</f>
        <v>Inland ICD / CFS</v>
      </c>
      <c r="E548" s="3" t="s">
        <v>125</v>
      </c>
      <c r="F548" s="3" t="str">
        <f>INDEX(Product_Category!$B$2:$B$45,MATCH(TRIM(E548),Product_Category!$A$2:$A$45,0))</f>
        <v>Meat &amp; Animal Products</v>
      </c>
      <c r="G548" s="4">
        <v>4.84</v>
      </c>
      <c r="H548" s="4">
        <v>4.57</v>
      </c>
      <c r="I548" s="4">
        <v>0.89</v>
      </c>
      <c r="J548" s="4">
        <v>1374.55</v>
      </c>
      <c r="K548" s="4">
        <v>857</v>
      </c>
      <c r="L548" s="4">
        <v>145.5</v>
      </c>
      <c r="M548" s="4">
        <f t="shared" si="24"/>
        <v>-0.26999999999999957</v>
      </c>
      <c r="N548" s="4">
        <f t="shared" si="25"/>
        <v>-517.54999999999995</v>
      </c>
      <c r="O548" s="4">
        <f t="shared" si="26"/>
        <v>-3.68</v>
      </c>
      <c r="P548" s="3" t="s">
        <v>19</v>
      </c>
    </row>
    <row r="549" spans="1:16" x14ac:dyDescent="0.35">
      <c r="A549" s="3" t="s">
        <v>20</v>
      </c>
      <c r="B549" s="3" t="str">
        <f>INDEX(State_Region!$B$2:$B$26,MATCH(TRIM(A549),State_Region!$A$2:$A$26,0))</f>
        <v>West</v>
      </c>
      <c r="C549" s="3" t="s">
        <v>134</v>
      </c>
      <c r="D549" s="3" t="str">
        <f>INDEX(Port_Type!$B$2:$B$227,MATCH(TRIM(C549),Port_Type!$A$2:$A$227,0))</f>
        <v>Inland ICD / CFS</v>
      </c>
      <c r="E549" s="3" t="s">
        <v>42</v>
      </c>
      <c r="F549" s="3" t="str">
        <f>INDEX(Product_Category!$B$2:$B$45,MATCH(TRIM(E549),Product_Category!$A$2:$A$45,0))</f>
        <v>Processed Foods</v>
      </c>
      <c r="G549" s="4">
        <v>0</v>
      </c>
      <c r="H549" s="4">
        <v>1.27</v>
      </c>
      <c r="I549" s="4">
        <v>0.89</v>
      </c>
      <c r="J549" s="4">
        <v>0</v>
      </c>
      <c r="K549" s="4">
        <v>964.85</v>
      </c>
      <c r="L549" s="4">
        <v>811.4</v>
      </c>
      <c r="M549" s="4">
        <f t="shared" si="24"/>
        <v>1.27</v>
      </c>
      <c r="N549" s="4">
        <f t="shared" si="25"/>
        <v>964.85</v>
      </c>
      <c r="O549" s="4">
        <f t="shared" si="26"/>
        <v>-0.38</v>
      </c>
      <c r="P549" s="3" t="s">
        <v>19</v>
      </c>
    </row>
    <row r="550" spans="1:16" x14ac:dyDescent="0.35">
      <c r="A550" s="3" t="s">
        <v>77</v>
      </c>
      <c r="B550" s="3" t="str">
        <f>INDEX(State_Region!$B$2:$B$26,MATCH(TRIM(A550),State_Region!$A$2:$A$26,0))</f>
        <v>South</v>
      </c>
      <c r="C550" s="3" t="s">
        <v>78</v>
      </c>
      <c r="D550" s="3" t="str">
        <f>INDEX(Port_Type!$B$2:$B$227,MATCH(TRIM(C550),Port_Type!$A$2:$A$227,0))</f>
        <v>Sea Port</v>
      </c>
      <c r="E550" s="3" t="s">
        <v>33</v>
      </c>
      <c r="F550" s="3" t="str">
        <f>INDEX(Product_Category!$B$2:$B$45,MATCH(TRIM(E550),Product_Category!$A$2:$A$45,0))</f>
        <v>Pulses</v>
      </c>
      <c r="G550" s="4">
        <v>3.16</v>
      </c>
      <c r="H550" s="4">
        <v>3.72</v>
      </c>
      <c r="I550" s="4">
        <v>0.89</v>
      </c>
      <c r="J550" s="4">
        <v>2413.87</v>
      </c>
      <c r="K550" s="4">
        <v>2481.77</v>
      </c>
      <c r="L550" s="4">
        <v>611.29</v>
      </c>
      <c r="M550" s="4">
        <f t="shared" si="24"/>
        <v>0.56000000000000005</v>
      </c>
      <c r="N550" s="4">
        <f t="shared" si="25"/>
        <v>67.900000000000091</v>
      </c>
      <c r="O550" s="4">
        <f t="shared" si="26"/>
        <v>-2.83</v>
      </c>
      <c r="P550" s="3" t="s">
        <v>19</v>
      </c>
    </row>
    <row r="551" spans="1:16" x14ac:dyDescent="0.35">
      <c r="A551" s="3" t="s">
        <v>20</v>
      </c>
      <c r="B551" s="3" t="str">
        <f>INDEX(State_Region!$B$2:$B$26,MATCH(TRIM(A551),State_Region!$A$2:$A$26,0))</f>
        <v>West</v>
      </c>
      <c r="C551" s="3" t="s">
        <v>134</v>
      </c>
      <c r="D551" s="3" t="str">
        <f>INDEX(Port_Type!$B$2:$B$227,MATCH(TRIM(C551),Port_Type!$A$2:$A$227,0))</f>
        <v>Inland ICD / CFS</v>
      </c>
      <c r="E551" s="3" t="s">
        <v>102</v>
      </c>
      <c r="F551" s="3" t="str">
        <f>INDEX(Product_Category!$B$2:$B$45,MATCH(TRIM(E551),Product_Category!$A$2:$A$45,0))</f>
        <v>Fresh Fruits &amp; Vegetables</v>
      </c>
      <c r="G551" s="4">
        <v>0</v>
      </c>
      <c r="H551" s="4">
        <v>1.3</v>
      </c>
      <c r="I551" s="4">
        <v>0.88</v>
      </c>
      <c r="J551" s="4">
        <v>0</v>
      </c>
      <c r="K551" s="4">
        <v>1882.53</v>
      </c>
      <c r="L551" s="4">
        <v>1113.58</v>
      </c>
      <c r="M551" s="4">
        <f t="shared" si="24"/>
        <v>1.3</v>
      </c>
      <c r="N551" s="4">
        <f t="shared" si="25"/>
        <v>1882.53</v>
      </c>
      <c r="O551" s="4">
        <f t="shared" si="26"/>
        <v>-0.42000000000000004</v>
      </c>
      <c r="P551" s="3" t="s">
        <v>19</v>
      </c>
    </row>
    <row r="552" spans="1:16" x14ac:dyDescent="0.35">
      <c r="A552" s="3" t="s">
        <v>40</v>
      </c>
      <c r="B552" s="3" t="str">
        <f>INDEX(State_Region!$B$2:$B$26,MATCH(TRIM(A552),State_Region!$A$2:$A$26,0))</f>
        <v>South</v>
      </c>
      <c r="C552" s="3" t="s">
        <v>107</v>
      </c>
      <c r="D552" s="3" t="str">
        <f>INDEX(Port_Type!$B$2:$B$227,MATCH(TRIM(C552),Port_Type!$A$2:$A$227,0))</f>
        <v>Sea Port</v>
      </c>
      <c r="E552" s="3" t="s">
        <v>53</v>
      </c>
      <c r="F552" s="3" t="str">
        <f>INDEX(Product_Category!$B$2:$B$45,MATCH(TRIM(E552),Product_Category!$A$2:$A$45,0))</f>
        <v>Processed Foods</v>
      </c>
      <c r="G552" s="4">
        <v>2.19</v>
      </c>
      <c r="H552" s="4">
        <v>0.85</v>
      </c>
      <c r="I552" s="4">
        <v>0.87</v>
      </c>
      <c r="J552" s="4">
        <v>805.78</v>
      </c>
      <c r="K552" s="4">
        <v>350.24</v>
      </c>
      <c r="L552" s="4">
        <v>311.94</v>
      </c>
      <c r="M552" s="4">
        <f t="shared" si="24"/>
        <v>-1.3399999999999999</v>
      </c>
      <c r="N552" s="4">
        <f t="shared" si="25"/>
        <v>-455.53999999999996</v>
      </c>
      <c r="O552" s="4">
        <f t="shared" si="26"/>
        <v>2.0000000000000018E-2</v>
      </c>
      <c r="P552" s="3" t="s">
        <v>19</v>
      </c>
    </row>
    <row r="553" spans="1:16" x14ac:dyDescent="0.35">
      <c r="A553" s="3" t="s">
        <v>23</v>
      </c>
      <c r="B553" s="3" t="str">
        <f>INDEX(State_Region!$B$2:$B$26,MATCH(TRIM(A553),State_Region!$A$2:$A$26,0))</f>
        <v>North</v>
      </c>
      <c r="C553" s="3" t="s">
        <v>123</v>
      </c>
      <c r="D553" s="3" t="str">
        <f>INDEX(Port_Type!$B$2:$B$227,MATCH(TRIM(C553),Port_Type!$A$2:$A$227,0))</f>
        <v>Land Border / Rail</v>
      </c>
      <c r="E553" s="3" t="s">
        <v>83</v>
      </c>
      <c r="F553" s="3" t="str">
        <f>INDEX(Product_Category!$B$2:$B$45,MATCH(TRIM(E553),Product_Category!$A$2:$A$45,0))</f>
        <v>Fresh Fruits &amp; Vegetables</v>
      </c>
      <c r="G553" s="4">
        <v>2.52</v>
      </c>
      <c r="H553" s="4">
        <v>2.41</v>
      </c>
      <c r="I553" s="4">
        <v>0.87</v>
      </c>
      <c r="J553" s="4">
        <v>7116.28</v>
      </c>
      <c r="K553" s="4">
        <v>4730.72</v>
      </c>
      <c r="L553" s="4">
        <v>1967.81</v>
      </c>
      <c r="M553" s="4">
        <f t="shared" si="24"/>
        <v>-0.10999999999999988</v>
      </c>
      <c r="N553" s="4">
        <f t="shared" si="25"/>
        <v>-2385.5599999999995</v>
      </c>
      <c r="O553" s="4">
        <f t="shared" si="26"/>
        <v>-1.54</v>
      </c>
      <c r="P553" s="3" t="s">
        <v>19</v>
      </c>
    </row>
    <row r="554" spans="1:16" x14ac:dyDescent="0.35">
      <c r="A554" s="3" t="s">
        <v>77</v>
      </c>
      <c r="B554" s="3" t="str">
        <f>INDEX(State_Region!$B$2:$B$26,MATCH(TRIM(A554),State_Region!$A$2:$A$26,0))</f>
        <v>South</v>
      </c>
      <c r="C554" s="3" t="s">
        <v>78</v>
      </c>
      <c r="D554" s="3" t="str">
        <f>INDEX(Port_Type!$B$2:$B$227,MATCH(TRIM(C554),Port_Type!$A$2:$A$227,0))</f>
        <v>Sea Port</v>
      </c>
      <c r="E554" s="3" t="s">
        <v>69</v>
      </c>
      <c r="F554" s="3" t="str">
        <f>INDEX(Product_Category!$B$2:$B$45,MATCH(TRIM(E554),Product_Category!$A$2:$A$45,0))</f>
        <v>Others</v>
      </c>
      <c r="G554" s="4">
        <v>2.1</v>
      </c>
      <c r="H554" s="4">
        <v>3.75</v>
      </c>
      <c r="I554" s="4">
        <v>0.87</v>
      </c>
      <c r="J554" s="4">
        <v>224.86</v>
      </c>
      <c r="K554" s="4">
        <v>220.11</v>
      </c>
      <c r="L554" s="4">
        <v>66.44</v>
      </c>
      <c r="M554" s="4">
        <f t="shared" si="24"/>
        <v>1.65</v>
      </c>
      <c r="N554" s="4">
        <f t="shared" si="25"/>
        <v>-4.75</v>
      </c>
      <c r="O554" s="4">
        <f t="shared" si="26"/>
        <v>-2.88</v>
      </c>
      <c r="P554" s="3" t="s">
        <v>19</v>
      </c>
    </row>
    <row r="555" spans="1:16" x14ac:dyDescent="0.35">
      <c r="A555" s="3" t="s">
        <v>74</v>
      </c>
      <c r="B555" s="3" t="str">
        <f>INDEX(State_Region!$B$2:$B$26,MATCH(TRIM(A555),State_Region!$A$2:$A$26,0))</f>
        <v>South</v>
      </c>
      <c r="C555" s="3" t="s">
        <v>75</v>
      </c>
      <c r="D555" s="3" t="str">
        <f>INDEX(Port_Type!$B$2:$B$227,MATCH(TRIM(C555),Port_Type!$A$2:$A$227,0))</f>
        <v>Inland ICD / CFS</v>
      </c>
      <c r="E555" s="3" t="s">
        <v>42</v>
      </c>
      <c r="F555" s="3" t="str">
        <f>INDEX(Product_Category!$B$2:$B$45,MATCH(TRIM(E555),Product_Category!$A$2:$A$45,0))</f>
        <v>Processed Foods</v>
      </c>
      <c r="G555" s="4">
        <v>2.42</v>
      </c>
      <c r="H555" s="4">
        <v>1.99</v>
      </c>
      <c r="I555" s="4">
        <v>0.87</v>
      </c>
      <c r="J555" s="4">
        <v>678.98</v>
      </c>
      <c r="K555" s="4">
        <v>511.15</v>
      </c>
      <c r="L555" s="4">
        <v>215.86</v>
      </c>
      <c r="M555" s="4">
        <f t="shared" si="24"/>
        <v>-0.42999999999999994</v>
      </c>
      <c r="N555" s="4">
        <f t="shared" si="25"/>
        <v>-167.83000000000004</v>
      </c>
      <c r="O555" s="4">
        <f t="shared" si="26"/>
        <v>-1.1200000000000001</v>
      </c>
      <c r="P555" s="3" t="s">
        <v>19</v>
      </c>
    </row>
    <row r="556" spans="1:16" x14ac:dyDescent="0.35">
      <c r="A556" s="3" t="s">
        <v>40</v>
      </c>
      <c r="B556" s="3" t="str">
        <f>INDEX(State_Region!$B$2:$B$26,MATCH(TRIM(A556),State_Region!$A$2:$A$26,0))</f>
        <v>South</v>
      </c>
      <c r="C556" s="3" t="s">
        <v>85</v>
      </c>
      <c r="D556" s="3" t="str">
        <f>INDEX(Port_Type!$B$2:$B$227,MATCH(TRIM(C556),Port_Type!$A$2:$A$227,0))</f>
        <v>Sea Port</v>
      </c>
      <c r="E556" s="3" t="s">
        <v>53</v>
      </c>
      <c r="F556" s="3" t="str">
        <f>INDEX(Product_Category!$B$2:$B$45,MATCH(TRIM(E556),Product_Category!$A$2:$A$45,0))</f>
        <v>Processed Foods</v>
      </c>
      <c r="G556" s="4">
        <v>2</v>
      </c>
      <c r="H556" s="4">
        <v>2.42</v>
      </c>
      <c r="I556" s="4">
        <v>0.85</v>
      </c>
      <c r="J556" s="4">
        <v>1874.6</v>
      </c>
      <c r="K556" s="4">
        <v>2110.02</v>
      </c>
      <c r="L556" s="4">
        <v>601.37</v>
      </c>
      <c r="M556" s="4">
        <f t="shared" si="24"/>
        <v>0.41999999999999993</v>
      </c>
      <c r="N556" s="4">
        <f t="shared" si="25"/>
        <v>235.42000000000007</v>
      </c>
      <c r="O556" s="4">
        <f t="shared" si="26"/>
        <v>-1.5699999999999998</v>
      </c>
      <c r="P556" s="3" t="s">
        <v>19</v>
      </c>
    </row>
    <row r="557" spans="1:16" x14ac:dyDescent="0.35">
      <c r="A557" s="3" t="s">
        <v>49</v>
      </c>
      <c r="B557" s="3" t="str">
        <f>INDEX(State_Region!$B$2:$B$26,MATCH(TRIM(A557),State_Region!$A$2:$A$26,0))</f>
        <v>North</v>
      </c>
      <c r="C557" s="3" t="s">
        <v>176</v>
      </c>
      <c r="D557" s="3" t="str">
        <f>INDEX(Port_Type!$B$2:$B$227,MATCH(TRIM(C557),Port_Type!$A$2:$A$227,0))</f>
        <v>Inland ICD / CFS</v>
      </c>
      <c r="E557" s="3" t="s">
        <v>39</v>
      </c>
      <c r="F557" s="3" t="str">
        <f>INDEX(Product_Category!$B$2:$B$45,MATCH(TRIM(E557),Product_Category!$A$2:$A$45,0))</f>
        <v>Processed Foods</v>
      </c>
      <c r="G557" s="4">
        <v>0.19</v>
      </c>
      <c r="H557" s="4">
        <v>1.29</v>
      </c>
      <c r="I557" s="4">
        <v>0.85</v>
      </c>
      <c r="J557" s="4">
        <v>81.510000000000005</v>
      </c>
      <c r="K557" s="4">
        <v>736.66</v>
      </c>
      <c r="L557" s="4">
        <v>594.79999999999995</v>
      </c>
      <c r="M557" s="4">
        <f t="shared" si="24"/>
        <v>1.1000000000000001</v>
      </c>
      <c r="N557" s="4">
        <f t="shared" si="25"/>
        <v>655.15</v>
      </c>
      <c r="O557" s="4">
        <f t="shared" si="26"/>
        <v>-0.44000000000000006</v>
      </c>
      <c r="P557" s="3" t="s">
        <v>19</v>
      </c>
    </row>
    <row r="558" spans="1:16" x14ac:dyDescent="0.35">
      <c r="A558" s="3" t="s">
        <v>49</v>
      </c>
      <c r="B558" s="3" t="str">
        <f>INDEX(State_Region!$B$2:$B$26,MATCH(TRIM(A558),State_Region!$A$2:$A$26,0))</f>
        <v>North</v>
      </c>
      <c r="C558" s="3" t="s">
        <v>121</v>
      </c>
      <c r="D558" s="3" t="str">
        <f>INDEX(Port_Type!$B$2:$B$227,MATCH(TRIM(C558),Port_Type!$A$2:$A$227,0))</f>
        <v>Inland ICD / CFS</v>
      </c>
      <c r="E558" s="3" t="s">
        <v>39</v>
      </c>
      <c r="F558" s="3" t="str">
        <f>INDEX(Product_Category!$B$2:$B$45,MATCH(TRIM(E558),Product_Category!$A$2:$A$45,0))</f>
        <v>Processed Foods</v>
      </c>
      <c r="G558" s="4">
        <v>0.25</v>
      </c>
      <c r="H558" s="4">
        <v>2.71</v>
      </c>
      <c r="I558" s="4">
        <v>0.85</v>
      </c>
      <c r="J558" s="4">
        <v>119.54</v>
      </c>
      <c r="K558" s="4">
        <v>1436.62</v>
      </c>
      <c r="L558" s="4">
        <v>487.22</v>
      </c>
      <c r="M558" s="4">
        <f t="shared" si="24"/>
        <v>2.46</v>
      </c>
      <c r="N558" s="4">
        <f t="shared" si="25"/>
        <v>1317.08</v>
      </c>
      <c r="O558" s="4">
        <f t="shared" si="26"/>
        <v>-1.8599999999999999</v>
      </c>
      <c r="P558" s="3" t="s">
        <v>19</v>
      </c>
    </row>
    <row r="559" spans="1:16" x14ac:dyDescent="0.35">
      <c r="A559" s="3" t="s">
        <v>40</v>
      </c>
      <c r="B559" s="3" t="str">
        <f>INDEX(State_Region!$B$2:$B$26,MATCH(TRIM(A559),State_Region!$A$2:$A$26,0))</f>
        <v>South</v>
      </c>
      <c r="C559" s="3" t="s">
        <v>64</v>
      </c>
      <c r="D559" s="3" t="str">
        <f>INDEX(Port_Type!$B$2:$B$227,MATCH(TRIM(C559),Port_Type!$A$2:$A$227,0))</f>
        <v>Inland ICD / CFS</v>
      </c>
      <c r="E559" s="3" t="s">
        <v>151</v>
      </c>
      <c r="F559" s="3" t="str">
        <f>INDEX(Product_Category!$B$2:$B$45,MATCH(TRIM(E559),Product_Category!$A$2:$A$45,0))</f>
        <v>Processed Foods</v>
      </c>
      <c r="G559" s="4">
        <v>0.21</v>
      </c>
      <c r="H559" s="4">
        <v>0.23</v>
      </c>
      <c r="I559" s="4">
        <v>0.84</v>
      </c>
      <c r="J559" s="4">
        <v>172.99</v>
      </c>
      <c r="K559" s="4">
        <v>556.61</v>
      </c>
      <c r="L559" s="4">
        <v>2064</v>
      </c>
      <c r="M559" s="4">
        <f t="shared" si="24"/>
        <v>2.0000000000000018E-2</v>
      </c>
      <c r="N559" s="4">
        <f t="shared" si="25"/>
        <v>383.62</v>
      </c>
      <c r="O559" s="4">
        <f t="shared" si="26"/>
        <v>0.61</v>
      </c>
      <c r="P559" s="3" t="s">
        <v>19</v>
      </c>
    </row>
    <row r="560" spans="1:16" x14ac:dyDescent="0.35">
      <c r="A560" s="3" t="s">
        <v>23</v>
      </c>
      <c r="B560" s="3" t="str">
        <f>INDEX(State_Region!$B$2:$B$26,MATCH(TRIM(A560),State_Region!$A$2:$A$26,0))</f>
        <v>North</v>
      </c>
      <c r="C560" s="3" t="s">
        <v>123</v>
      </c>
      <c r="D560" s="3" t="str">
        <f>INDEX(Port_Type!$B$2:$B$227,MATCH(TRIM(C560),Port_Type!$A$2:$A$227,0))</f>
        <v>Land Border / Rail</v>
      </c>
      <c r="E560" s="3" t="s">
        <v>42</v>
      </c>
      <c r="F560" s="3" t="str">
        <f>INDEX(Product_Category!$B$2:$B$45,MATCH(TRIM(E560),Product_Category!$A$2:$A$45,0))</f>
        <v>Processed Foods</v>
      </c>
      <c r="G560" s="4">
        <v>1.55</v>
      </c>
      <c r="H560" s="4">
        <v>1.82</v>
      </c>
      <c r="I560" s="4">
        <v>0.84</v>
      </c>
      <c r="J560" s="4">
        <v>1455.76</v>
      </c>
      <c r="K560" s="4">
        <v>1816.41</v>
      </c>
      <c r="L560" s="4">
        <v>593.65</v>
      </c>
      <c r="M560" s="4">
        <f t="shared" si="24"/>
        <v>0.27</v>
      </c>
      <c r="N560" s="4">
        <f t="shared" si="25"/>
        <v>360.65000000000009</v>
      </c>
      <c r="O560" s="4">
        <f t="shared" si="26"/>
        <v>-0.98000000000000009</v>
      </c>
      <c r="P560" s="3" t="s">
        <v>19</v>
      </c>
    </row>
    <row r="561" spans="1:16" x14ac:dyDescent="0.35">
      <c r="A561" s="3" t="s">
        <v>23</v>
      </c>
      <c r="B561" s="3" t="str">
        <f>INDEX(State_Region!$B$2:$B$26,MATCH(TRIM(A561),State_Region!$A$2:$A$26,0))</f>
        <v>North</v>
      </c>
      <c r="C561" s="3" t="s">
        <v>182</v>
      </c>
      <c r="D561" s="3" t="str">
        <f>INDEX(Port_Type!$B$2:$B$227,MATCH(TRIM(C561),Port_Type!$A$2:$A$227,0))</f>
        <v>Air Cargo</v>
      </c>
      <c r="E561" s="3" t="s">
        <v>93</v>
      </c>
      <c r="F561" s="3" t="str">
        <f>INDEX(Product_Category!$B$2:$B$45,MATCH(TRIM(E561),Product_Category!$A$2:$A$45,0))</f>
        <v>Meat &amp; Animal Products</v>
      </c>
      <c r="G561" s="4">
        <v>2.14</v>
      </c>
      <c r="H561" s="4">
        <v>2.85</v>
      </c>
      <c r="I561" s="4">
        <v>0.84</v>
      </c>
      <c r="J561" s="4">
        <v>310.5</v>
      </c>
      <c r="K561" s="4">
        <v>379.83</v>
      </c>
      <c r="L561" s="4">
        <v>115.74</v>
      </c>
      <c r="M561" s="4">
        <f t="shared" si="24"/>
        <v>0.71</v>
      </c>
      <c r="N561" s="4">
        <f t="shared" si="25"/>
        <v>69.329999999999984</v>
      </c>
      <c r="O561" s="4">
        <f t="shared" si="26"/>
        <v>-2.0100000000000002</v>
      </c>
      <c r="P561" s="3" t="s">
        <v>19</v>
      </c>
    </row>
    <row r="562" spans="1:16" x14ac:dyDescent="0.35">
      <c r="A562" s="3" t="s">
        <v>20</v>
      </c>
      <c r="B562" s="3" t="str">
        <f>INDEX(State_Region!$B$2:$B$26,MATCH(TRIM(A562),State_Region!$A$2:$A$26,0))</f>
        <v>West</v>
      </c>
      <c r="C562" s="3" t="s">
        <v>145</v>
      </c>
      <c r="D562" s="3" t="str">
        <f>INDEX(Port_Type!$B$2:$B$227,MATCH(TRIM(C562),Port_Type!$A$2:$A$227,0))</f>
        <v>Inland ICD / CFS</v>
      </c>
      <c r="E562" s="3" t="s">
        <v>27</v>
      </c>
      <c r="F562" s="3" t="str">
        <f>INDEX(Product_Category!$B$2:$B$45,MATCH(TRIM(E562),Product_Category!$A$2:$A$45,0))</f>
        <v>Cereals &amp; Grains</v>
      </c>
      <c r="G562" s="4">
        <v>0</v>
      </c>
      <c r="H562" s="4">
        <v>1.22</v>
      </c>
      <c r="I562" s="4">
        <v>0.83</v>
      </c>
      <c r="J562" s="4">
        <v>0</v>
      </c>
      <c r="K562" s="4">
        <v>1586.48</v>
      </c>
      <c r="L562" s="4">
        <v>1009.6</v>
      </c>
      <c r="M562" s="4">
        <f t="shared" si="24"/>
        <v>1.22</v>
      </c>
      <c r="N562" s="4">
        <f t="shared" si="25"/>
        <v>1586.48</v>
      </c>
      <c r="O562" s="4">
        <f t="shared" si="26"/>
        <v>-0.39</v>
      </c>
      <c r="P562" s="3" t="s">
        <v>19</v>
      </c>
    </row>
    <row r="563" spans="1:16" x14ac:dyDescent="0.35">
      <c r="A563" s="3" t="s">
        <v>40</v>
      </c>
      <c r="B563" s="3" t="str">
        <f>INDEX(State_Region!$B$2:$B$26,MATCH(TRIM(A563),State_Region!$A$2:$A$26,0))</f>
        <v>South</v>
      </c>
      <c r="C563" s="3" t="s">
        <v>183</v>
      </c>
      <c r="D563" s="3" t="str">
        <f>INDEX(Port_Type!$B$2:$B$227,MATCH(TRIM(C563),Port_Type!$A$2:$A$227,0))</f>
        <v>Inland ICD / CFS</v>
      </c>
      <c r="E563" s="3" t="s">
        <v>174</v>
      </c>
      <c r="F563" s="3" t="str">
        <f>INDEX(Product_Category!$B$2:$B$45,MATCH(TRIM(E563),Product_Category!$A$2:$A$45,0))</f>
        <v>Dairy, Poultry &amp; Honey</v>
      </c>
      <c r="G563" s="4">
        <v>0.16</v>
      </c>
      <c r="H563" s="4">
        <v>3.84</v>
      </c>
      <c r="I563" s="4">
        <v>0.82</v>
      </c>
      <c r="J563" s="4">
        <v>18</v>
      </c>
      <c r="K563" s="4">
        <v>552.79999999999995</v>
      </c>
      <c r="L563" s="4">
        <v>131</v>
      </c>
      <c r="M563" s="4">
        <f t="shared" si="24"/>
        <v>3.6799999999999997</v>
      </c>
      <c r="N563" s="4">
        <f t="shared" si="25"/>
        <v>534.79999999999995</v>
      </c>
      <c r="O563" s="4">
        <f t="shared" si="26"/>
        <v>-3.02</v>
      </c>
      <c r="P563" s="3" t="s">
        <v>19</v>
      </c>
    </row>
    <row r="564" spans="1:16" x14ac:dyDescent="0.35">
      <c r="A564" s="3" t="s">
        <v>40</v>
      </c>
      <c r="B564" s="3" t="str">
        <f>INDEX(State_Region!$B$2:$B$26,MATCH(TRIM(A564),State_Region!$A$2:$A$26,0))</f>
        <v>South</v>
      </c>
      <c r="C564" s="3" t="s">
        <v>196</v>
      </c>
      <c r="D564" s="3" t="str">
        <f>INDEX(Port_Type!$B$2:$B$227,MATCH(TRIM(C564),Port_Type!$A$2:$A$227,0))</f>
        <v>SEZ / EPZ</v>
      </c>
      <c r="E564" s="3" t="s">
        <v>39</v>
      </c>
      <c r="F564" s="3" t="str">
        <f>INDEX(Product_Category!$B$2:$B$45,MATCH(TRIM(E564),Product_Category!$A$2:$A$45,0))</f>
        <v>Processed Foods</v>
      </c>
      <c r="G564" s="4">
        <v>8.31</v>
      </c>
      <c r="H564" s="4">
        <v>4.84</v>
      </c>
      <c r="I564" s="4">
        <v>0.82</v>
      </c>
      <c r="J564" s="4">
        <v>1368.52</v>
      </c>
      <c r="K564" s="4">
        <v>1598.73</v>
      </c>
      <c r="L564" s="4">
        <v>337.27</v>
      </c>
      <c r="M564" s="4">
        <f t="shared" si="24"/>
        <v>-3.4700000000000006</v>
      </c>
      <c r="N564" s="4">
        <f t="shared" si="25"/>
        <v>230.21000000000004</v>
      </c>
      <c r="O564" s="4">
        <f t="shared" si="26"/>
        <v>-4.0199999999999996</v>
      </c>
      <c r="P564" s="3" t="s">
        <v>19</v>
      </c>
    </row>
    <row r="565" spans="1:16" x14ac:dyDescent="0.35">
      <c r="A565" s="3" t="s">
        <v>31</v>
      </c>
      <c r="B565" s="3" t="str">
        <f>INDEX(State_Region!$B$2:$B$26,MATCH(TRIM(A565),State_Region!$A$2:$A$26,0))</f>
        <v>East</v>
      </c>
      <c r="C565" s="3" t="s">
        <v>139</v>
      </c>
      <c r="D565" s="3" t="str">
        <f>INDEX(Port_Type!$B$2:$B$227,MATCH(TRIM(C565),Port_Type!$A$2:$A$227,0))</f>
        <v>Land Border / Rail</v>
      </c>
      <c r="E565" s="3" t="s">
        <v>55</v>
      </c>
      <c r="F565" s="3" t="str">
        <f>INDEX(Product_Category!$B$2:$B$45,MATCH(TRIM(E565),Product_Category!$A$2:$A$45,0))</f>
        <v>Fresh Fruits &amp; Vegetables</v>
      </c>
      <c r="G565" s="4">
        <v>1.1499999999999999</v>
      </c>
      <c r="H565" s="4">
        <v>1.6</v>
      </c>
      <c r="I565" s="4">
        <v>0.82</v>
      </c>
      <c r="J565" s="4">
        <v>4349.4799999999996</v>
      </c>
      <c r="K565" s="4">
        <v>5986.54</v>
      </c>
      <c r="L565" s="4">
        <v>3271.45</v>
      </c>
      <c r="M565" s="4">
        <f t="shared" si="24"/>
        <v>0.45000000000000018</v>
      </c>
      <c r="N565" s="4">
        <f t="shared" si="25"/>
        <v>1637.0600000000004</v>
      </c>
      <c r="O565" s="4">
        <f t="shared" si="26"/>
        <v>-0.78000000000000014</v>
      </c>
      <c r="P565" s="3" t="s">
        <v>19</v>
      </c>
    </row>
    <row r="566" spans="1:16" x14ac:dyDescent="0.35">
      <c r="A566" s="3" t="s">
        <v>16</v>
      </c>
      <c r="B566" s="3" t="str">
        <f>INDEX(State_Region!$B$2:$B$26,MATCH(TRIM(A566),State_Region!$A$2:$A$26,0))</f>
        <v>West</v>
      </c>
      <c r="C566" s="3" t="s">
        <v>89</v>
      </c>
      <c r="D566" s="3" t="str">
        <f>INDEX(Port_Type!$B$2:$B$227,MATCH(TRIM(C566),Port_Type!$A$2:$A$227,0))</f>
        <v>Inland ICD / CFS</v>
      </c>
      <c r="E566" s="3" t="s">
        <v>54</v>
      </c>
      <c r="F566" s="3" t="str">
        <f>INDEX(Product_Category!$B$2:$B$45,MATCH(TRIM(E566),Product_Category!$A$2:$A$45,0))</f>
        <v>Processed Foods</v>
      </c>
      <c r="G566" s="4">
        <v>8.08</v>
      </c>
      <c r="H566" s="4">
        <v>6.36</v>
      </c>
      <c r="I566" s="4">
        <v>0.81</v>
      </c>
      <c r="J566" s="4">
        <v>4754.42</v>
      </c>
      <c r="K566" s="4">
        <v>3788.7</v>
      </c>
      <c r="L566" s="4">
        <v>369.59</v>
      </c>
      <c r="M566" s="4">
        <f t="shared" si="24"/>
        <v>-1.7199999999999998</v>
      </c>
      <c r="N566" s="4">
        <f t="shared" si="25"/>
        <v>-965.72000000000025</v>
      </c>
      <c r="O566" s="4">
        <f t="shared" si="26"/>
        <v>-5.5500000000000007</v>
      </c>
      <c r="P566" s="3" t="s">
        <v>19</v>
      </c>
    </row>
    <row r="567" spans="1:16" x14ac:dyDescent="0.35">
      <c r="A567" s="3" t="s">
        <v>94</v>
      </c>
      <c r="B567" s="3" t="str">
        <f>INDEX(State_Region!$B$2:$B$26,MATCH(TRIM(A567),State_Region!$A$2:$A$26,0))</f>
        <v>East</v>
      </c>
      <c r="C567" s="3" t="s">
        <v>188</v>
      </c>
      <c r="D567" s="3" t="str">
        <f>INDEX(Port_Type!$B$2:$B$227,MATCH(TRIM(C567),Port_Type!$A$2:$A$227,0))</f>
        <v>Land Border / Rail</v>
      </c>
      <c r="E567" s="3" t="s">
        <v>45</v>
      </c>
      <c r="F567" s="3" t="str">
        <f>INDEX(Product_Category!$B$2:$B$45,MATCH(TRIM(E567),Product_Category!$A$2:$A$45,0))</f>
        <v>Fresh Fruits &amp; Vegetables</v>
      </c>
      <c r="G567" s="4">
        <v>2.78</v>
      </c>
      <c r="H567" s="4">
        <v>2.79</v>
      </c>
      <c r="I567" s="4">
        <v>0.81</v>
      </c>
      <c r="J567" s="4">
        <v>8456.64</v>
      </c>
      <c r="K567" s="4">
        <v>9879.43</v>
      </c>
      <c r="L567" s="4">
        <v>4279.38</v>
      </c>
      <c r="M567" s="4">
        <f t="shared" si="24"/>
        <v>1.0000000000000231E-2</v>
      </c>
      <c r="N567" s="4">
        <f t="shared" si="25"/>
        <v>1422.7900000000009</v>
      </c>
      <c r="O567" s="4">
        <f t="shared" si="26"/>
        <v>-1.98</v>
      </c>
      <c r="P567" s="3" t="s">
        <v>19</v>
      </c>
    </row>
    <row r="568" spans="1:16" x14ac:dyDescent="0.35">
      <c r="A568" s="3" t="s">
        <v>35</v>
      </c>
      <c r="B568" s="3" t="str">
        <f>INDEX(State_Region!$B$2:$B$26,MATCH(TRIM(A568),State_Region!$A$2:$A$26,0))</f>
        <v>North</v>
      </c>
      <c r="C568" s="3" t="s">
        <v>38</v>
      </c>
      <c r="D568" s="3" t="str">
        <f>INDEX(Port_Type!$B$2:$B$227,MATCH(TRIM(C568),Port_Type!$A$2:$A$227,0))</f>
        <v>Inland ICD / CFS</v>
      </c>
      <c r="E568" s="3" t="s">
        <v>42</v>
      </c>
      <c r="F568" s="3" t="str">
        <f>INDEX(Product_Category!$B$2:$B$45,MATCH(TRIM(E568),Product_Category!$A$2:$A$45,0))</f>
        <v>Processed Foods</v>
      </c>
      <c r="G568" s="4">
        <v>3.6</v>
      </c>
      <c r="H568" s="4">
        <v>2.78</v>
      </c>
      <c r="I568" s="4">
        <v>0.81</v>
      </c>
      <c r="J568" s="4">
        <v>2042.85</v>
      </c>
      <c r="K568" s="4">
        <v>1654.7</v>
      </c>
      <c r="L568" s="4">
        <v>422.38</v>
      </c>
      <c r="M568" s="4">
        <f t="shared" si="24"/>
        <v>-0.82000000000000028</v>
      </c>
      <c r="N568" s="4">
        <f t="shared" si="25"/>
        <v>-388.14999999999986</v>
      </c>
      <c r="O568" s="4">
        <f t="shared" si="26"/>
        <v>-1.9699999999999998</v>
      </c>
      <c r="P568" s="3" t="s">
        <v>19</v>
      </c>
    </row>
    <row r="569" spans="1:16" x14ac:dyDescent="0.35">
      <c r="A569" s="3" t="s">
        <v>31</v>
      </c>
      <c r="B569" s="3" t="str">
        <f>INDEX(State_Region!$B$2:$B$26,MATCH(TRIM(A569),State_Region!$A$2:$A$26,0))</f>
        <v>East</v>
      </c>
      <c r="C569" s="3" t="s">
        <v>171</v>
      </c>
      <c r="D569" s="3" t="str">
        <f>INDEX(Port_Type!$B$2:$B$227,MATCH(TRIM(C569),Port_Type!$A$2:$A$227,0))</f>
        <v>Land Border / Rail</v>
      </c>
      <c r="E569" s="3" t="s">
        <v>33</v>
      </c>
      <c r="F569" s="3" t="str">
        <f>INDEX(Product_Category!$B$2:$B$45,MATCH(TRIM(E569),Product_Category!$A$2:$A$45,0))</f>
        <v>Pulses</v>
      </c>
      <c r="G569" s="4">
        <v>1.84</v>
      </c>
      <c r="H569" s="4">
        <v>2.2599999999999998</v>
      </c>
      <c r="I569" s="4">
        <v>0.81</v>
      </c>
      <c r="J569" s="4">
        <v>2192.25</v>
      </c>
      <c r="K569" s="4">
        <v>3259.35</v>
      </c>
      <c r="L569" s="4">
        <v>1195.2</v>
      </c>
      <c r="M569" s="4">
        <f t="shared" si="24"/>
        <v>0.41999999999999971</v>
      </c>
      <c r="N569" s="4">
        <f t="shared" si="25"/>
        <v>1067.0999999999999</v>
      </c>
      <c r="O569" s="4">
        <f t="shared" si="26"/>
        <v>-1.4499999999999997</v>
      </c>
      <c r="P569" s="3" t="s">
        <v>19</v>
      </c>
    </row>
    <row r="570" spans="1:16" x14ac:dyDescent="0.35">
      <c r="A570" s="3" t="s">
        <v>40</v>
      </c>
      <c r="B570" s="3" t="str">
        <f>INDEX(State_Region!$B$2:$B$26,MATCH(TRIM(A570),State_Region!$A$2:$A$26,0))</f>
        <v>South</v>
      </c>
      <c r="C570" s="3" t="s">
        <v>41</v>
      </c>
      <c r="D570" s="3" t="str">
        <f>INDEX(Port_Type!$B$2:$B$227,MATCH(TRIM(C570),Port_Type!$A$2:$A$227,0))</f>
        <v>Sea Port</v>
      </c>
      <c r="E570" s="3" t="s">
        <v>174</v>
      </c>
      <c r="F570" s="3" t="str">
        <f>INDEX(Product_Category!$B$2:$B$45,MATCH(TRIM(E570),Product_Category!$A$2:$A$45,0))</f>
        <v>Dairy, Poultry &amp; Honey</v>
      </c>
      <c r="G570" s="4">
        <v>0.24</v>
      </c>
      <c r="H570" s="4">
        <v>1.24</v>
      </c>
      <c r="I570" s="4">
        <v>0.8</v>
      </c>
      <c r="J570" s="4">
        <v>54.3</v>
      </c>
      <c r="K570" s="4">
        <v>208.07</v>
      </c>
      <c r="L570" s="4">
        <v>133.44999999999999</v>
      </c>
      <c r="M570" s="4">
        <f t="shared" si="24"/>
        <v>1</v>
      </c>
      <c r="N570" s="4">
        <f t="shared" si="25"/>
        <v>153.76999999999998</v>
      </c>
      <c r="O570" s="4">
        <f t="shared" si="26"/>
        <v>-0.43999999999999995</v>
      </c>
      <c r="P570" s="3" t="s">
        <v>19</v>
      </c>
    </row>
    <row r="571" spans="1:16" x14ac:dyDescent="0.35">
      <c r="A571" s="3" t="s">
        <v>74</v>
      </c>
      <c r="B571" s="3" t="str">
        <f>INDEX(State_Region!$B$2:$B$26,MATCH(TRIM(A571),State_Region!$A$2:$A$26,0))</f>
        <v>South</v>
      </c>
      <c r="C571" s="3" t="s">
        <v>137</v>
      </c>
      <c r="D571" s="3" t="str">
        <f>INDEX(Port_Type!$B$2:$B$227,MATCH(TRIM(C571),Port_Type!$A$2:$A$227,0))</f>
        <v>Air Cargo</v>
      </c>
      <c r="E571" s="3" t="s">
        <v>102</v>
      </c>
      <c r="F571" s="3" t="str">
        <f>INDEX(Product_Category!$B$2:$B$45,MATCH(TRIM(E571),Product_Category!$A$2:$A$45,0))</f>
        <v>Fresh Fruits &amp; Vegetables</v>
      </c>
      <c r="G571" s="4">
        <v>1.1499999999999999</v>
      </c>
      <c r="H571" s="4">
        <v>1</v>
      </c>
      <c r="I571" s="4">
        <v>0.8</v>
      </c>
      <c r="J571" s="4">
        <v>1118.75</v>
      </c>
      <c r="K571" s="4">
        <v>469.54</v>
      </c>
      <c r="L571" s="4">
        <v>266.86</v>
      </c>
      <c r="M571" s="4">
        <f t="shared" si="24"/>
        <v>-0.14999999999999991</v>
      </c>
      <c r="N571" s="4">
        <f t="shared" si="25"/>
        <v>-649.21</v>
      </c>
      <c r="O571" s="4">
        <f t="shared" si="26"/>
        <v>-0.19999999999999996</v>
      </c>
      <c r="P571" s="3" t="s">
        <v>19</v>
      </c>
    </row>
    <row r="572" spans="1:16" x14ac:dyDescent="0.35">
      <c r="A572" s="3" t="s">
        <v>23</v>
      </c>
      <c r="B572" s="3" t="str">
        <f>INDEX(State_Region!$B$2:$B$26,MATCH(TRIM(A572),State_Region!$A$2:$A$26,0))</f>
        <v>North</v>
      </c>
      <c r="C572" s="3" t="s">
        <v>185</v>
      </c>
      <c r="D572" s="3" t="str">
        <f>INDEX(Port_Type!$B$2:$B$227,MATCH(TRIM(C572),Port_Type!$A$2:$A$227,0))</f>
        <v>Land Border / Rail</v>
      </c>
      <c r="E572" s="3" t="s">
        <v>42</v>
      </c>
      <c r="F572" s="3" t="str">
        <f>INDEX(Product_Category!$B$2:$B$45,MATCH(TRIM(E572),Product_Category!$A$2:$A$45,0))</f>
        <v>Processed Foods</v>
      </c>
      <c r="G572" s="4">
        <v>0.37</v>
      </c>
      <c r="H572" s="4">
        <v>2.94</v>
      </c>
      <c r="I572" s="4">
        <v>0.79</v>
      </c>
      <c r="J572" s="4">
        <v>3055.85</v>
      </c>
      <c r="K572" s="4">
        <v>17366</v>
      </c>
      <c r="L572" s="4">
        <v>5033.6000000000004</v>
      </c>
      <c r="M572" s="4">
        <f t="shared" si="24"/>
        <v>2.57</v>
      </c>
      <c r="N572" s="4">
        <f t="shared" si="25"/>
        <v>14310.15</v>
      </c>
      <c r="O572" s="4">
        <f t="shared" si="26"/>
        <v>-2.15</v>
      </c>
      <c r="P572" s="3" t="s">
        <v>19</v>
      </c>
    </row>
    <row r="573" spans="1:16" x14ac:dyDescent="0.35">
      <c r="A573" s="3" t="s">
        <v>23</v>
      </c>
      <c r="B573" s="3" t="str">
        <f>INDEX(State_Region!$B$2:$B$26,MATCH(TRIM(A573),State_Region!$A$2:$A$26,0))</f>
        <v>North</v>
      </c>
      <c r="C573" s="3" t="s">
        <v>124</v>
      </c>
      <c r="D573" s="3" t="str">
        <f>INDEX(Port_Type!$B$2:$B$227,MATCH(TRIM(C573),Port_Type!$A$2:$A$227,0))</f>
        <v>Inland ICD / CFS</v>
      </c>
      <c r="E573" s="3" t="s">
        <v>33</v>
      </c>
      <c r="F573" s="3" t="str">
        <f>INDEX(Product_Category!$B$2:$B$45,MATCH(TRIM(E573),Product_Category!$A$2:$A$45,0))</f>
        <v>Pulses</v>
      </c>
      <c r="G573" s="4">
        <v>0</v>
      </c>
      <c r="H573" s="4">
        <v>1.53</v>
      </c>
      <c r="I573" s="4">
        <v>0.79</v>
      </c>
      <c r="J573" s="4">
        <v>0</v>
      </c>
      <c r="K573" s="4">
        <v>2057.5300000000002</v>
      </c>
      <c r="L573" s="4">
        <v>1065.68</v>
      </c>
      <c r="M573" s="4">
        <f t="shared" si="24"/>
        <v>1.53</v>
      </c>
      <c r="N573" s="4">
        <f t="shared" si="25"/>
        <v>2057.5300000000002</v>
      </c>
      <c r="O573" s="4">
        <f t="shared" si="26"/>
        <v>-0.74</v>
      </c>
      <c r="P573" s="3" t="s">
        <v>19</v>
      </c>
    </row>
    <row r="574" spans="1:16" x14ac:dyDescent="0.35">
      <c r="A574" s="3" t="s">
        <v>23</v>
      </c>
      <c r="B574" s="3" t="str">
        <f>INDEX(State_Region!$B$2:$B$26,MATCH(TRIM(A574),State_Region!$A$2:$A$26,0))</f>
        <v>North</v>
      </c>
      <c r="C574" s="3" t="s">
        <v>44</v>
      </c>
      <c r="D574" s="3" t="str">
        <f>INDEX(Port_Type!$B$2:$B$227,MATCH(TRIM(C574),Port_Type!$A$2:$A$227,0))</f>
        <v>Inland ICD / CFS</v>
      </c>
      <c r="E574" s="3" t="s">
        <v>42</v>
      </c>
      <c r="F574" s="3" t="str">
        <f>INDEX(Product_Category!$B$2:$B$45,MATCH(TRIM(E574),Product_Category!$A$2:$A$45,0))</f>
        <v>Processed Foods</v>
      </c>
      <c r="G574" s="4">
        <v>2.29</v>
      </c>
      <c r="H574" s="4">
        <v>2.11</v>
      </c>
      <c r="I574" s="4">
        <v>0.79</v>
      </c>
      <c r="J574" s="4">
        <v>1908.3</v>
      </c>
      <c r="K574" s="4">
        <v>2153.4299999999998</v>
      </c>
      <c r="L574" s="4">
        <v>885.02</v>
      </c>
      <c r="M574" s="4">
        <f t="shared" si="24"/>
        <v>-0.18000000000000016</v>
      </c>
      <c r="N574" s="4">
        <f t="shared" si="25"/>
        <v>245.12999999999988</v>
      </c>
      <c r="O574" s="4">
        <f t="shared" si="26"/>
        <v>-1.3199999999999998</v>
      </c>
      <c r="P574" s="3" t="s">
        <v>19</v>
      </c>
    </row>
    <row r="575" spans="1:16" x14ac:dyDescent="0.35">
      <c r="A575" s="3" t="s">
        <v>25</v>
      </c>
      <c r="B575" s="3" t="str">
        <f>INDEX(State_Region!$B$2:$B$26,MATCH(TRIM(A575),State_Region!$A$2:$A$26,0))</f>
        <v>South</v>
      </c>
      <c r="C575" s="3" t="s">
        <v>29</v>
      </c>
      <c r="D575" s="3" t="str">
        <f>INDEX(Port_Type!$B$2:$B$227,MATCH(TRIM(C575),Port_Type!$A$2:$A$227,0))</f>
        <v>Sea Port</v>
      </c>
      <c r="E575" s="3" t="s">
        <v>18</v>
      </c>
      <c r="F575" s="3" t="str">
        <f>INDEX(Product_Category!$B$2:$B$45,MATCH(TRIM(E575),Product_Category!$A$2:$A$45,0))</f>
        <v>Cereals &amp; Grains</v>
      </c>
      <c r="G575" s="4">
        <v>0.27</v>
      </c>
      <c r="H575" s="4">
        <v>0.05</v>
      </c>
      <c r="I575" s="4">
        <v>0.79</v>
      </c>
      <c r="J575" s="4">
        <v>800.99</v>
      </c>
      <c r="K575" s="4">
        <v>75.25</v>
      </c>
      <c r="L575" s="4">
        <v>1400</v>
      </c>
      <c r="M575" s="4">
        <f t="shared" si="24"/>
        <v>-0.22000000000000003</v>
      </c>
      <c r="N575" s="4">
        <f t="shared" si="25"/>
        <v>-725.74</v>
      </c>
      <c r="O575" s="4">
        <f t="shared" si="26"/>
        <v>0.74</v>
      </c>
      <c r="P575" s="3" t="s">
        <v>19</v>
      </c>
    </row>
    <row r="576" spans="1:16" x14ac:dyDescent="0.35">
      <c r="A576" s="3" t="s">
        <v>35</v>
      </c>
      <c r="B576" s="3" t="str">
        <f>INDEX(State_Region!$B$2:$B$26,MATCH(TRIM(A576),State_Region!$A$2:$A$26,0))</f>
        <v>North</v>
      </c>
      <c r="C576" s="3" t="s">
        <v>38</v>
      </c>
      <c r="D576" s="3" t="str">
        <f>INDEX(Port_Type!$B$2:$B$227,MATCH(TRIM(C576),Port_Type!$A$2:$A$227,0))</f>
        <v>Inland ICD / CFS</v>
      </c>
      <c r="E576" s="3" t="s">
        <v>125</v>
      </c>
      <c r="F576" s="3" t="str">
        <f>INDEX(Product_Category!$B$2:$B$45,MATCH(TRIM(E576),Product_Category!$A$2:$A$45,0))</f>
        <v>Meat &amp; Animal Products</v>
      </c>
      <c r="G576" s="4">
        <v>1.23</v>
      </c>
      <c r="H576" s="4">
        <v>1.77</v>
      </c>
      <c r="I576" s="4">
        <v>0.79</v>
      </c>
      <c r="J576" s="4">
        <v>511.05</v>
      </c>
      <c r="K576" s="4">
        <v>387</v>
      </c>
      <c r="L576" s="4">
        <v>232.5</v>
      </c>
      <c r="M576" s="4">
        <f t="shared" si="24"/>
        <v>0.54</v>
      </c>
      <c r="N576" s="4">
        <f t="shared" si="25"/>
        <v>-124.05000000000001</v>
      </c>
      <c r="O576" s="4">
        <f t="shared" si="26"/>
        <v>-0.98</v>
      </c>
      <c r="P576" s="3" t="s">
        <v>19</v>
      </c>
    </row>
    <row r="577" spans="1:16" x14ac:dyDescent="0.35">
      <c r="A577" s="3" t="s">
        <v>57</v>
      </c>
      <c r="B577" s="3" t="str">
        <f>INDEX(State_Region!$B$2:$B$26,MATCH(TRIM(A577),State_Region!$A$2:$A$26,0))</f>
        <v>Central</v>
      </c>
      <c r="C577" s="3" t="s">
        <v>197</v>
      </c>
      <c r="D577" s="3" t="str">
        <f>INDEX(Port_Type!$B$2:$B$227,MATCH(TRIM(C577),Port_Type!$A$2:$A$227,0))</f>
        <v>Air Cargo</v>
      </c>
      <c r="E577" s="3" t="s">
        <v>39</v>
      </c>
      <c r="F577" s="3" t="str">
        <f>INDEX(Product_Category!$B$2:$B$45,MATCH(TRIM(E577),Product_Category!$A$2:$A$45,0))</f>
        <v>Processed Foods</v>
      </c>
      <c r="G577" s="4">
        <v>1.91</v>
      </c>
      <c r="H577" s="4">
        <v>1.72</v>
      </c>
      <c r="I577" s="4">
        <v>0.78</v>
      </c>
      <c r="J577" s="4">
        <v>47.72</v>
      </c>
      <c r="K577" s="4">
        <v>43.27</v>
      </c>
      <c r="L577" s="4">
        <v>9.84</v>
      </c>
      <c r="M577" s="4">
        <f t="shared" si="24"/>
        <v>-0.18999999999999995</v>
      </c>
      <c r="N577" s="4">
        <f t="shared" si="25"/>
        <v>-4.4499999999999957</v>
      </c>
      <c r="O577" s="4">
        <f t="shared" si="26"/>
        <v>-0.94</v>
      </c>
      <c r="P577" s="3" t="s">
        <v>19</v>
      </c>
    </row>
    <row r="578" spans="1:16" x14ac:dyDescent="0.35">
      <c r="A578" s="3" t="s">
        <v>23</v>
      </c>
      <c r="B578" s="3" t="str">
        <f>INDEX(State_Region!$B$2:$B$26,MATCH(TRIM(A578),State_Region!$A$2:$A$26,0))</f>
        <v>North</v>
      </c>
      <c r="C578" s="3" t="s">
        <v>191</v>
      </c>
      <c r="D578" s="3" t="str">
        <f>INDEX(Port_Type!$B$2:$B$227,MATCH(TRIM(C578),Port_Type!$A$2:$A$227,0))</f>
        <v>Land Border / Rail</v>
      </c>
      <c r="E578" s="3" t="s">
        <v>102</v>
      </c>
      <c r="F578" s="3" t="str">
        <f>INDEX(Product_Category!$B$2:$B$45,MATCH(TRIM(E578),Product_Category!$A$2:$A$45,0))</f>
        <v>Fresh Fruits &amp; Vegetables</v>
      </c>
      <c r="G578" s="4">
        <v>0</v>
      </c>
      <c r="H578" s="4">
        <v>3.72</v>
      </c>
      <c r="I578" s="4">
        <v>0.77</v>
      </c>
      <c r="J578" s="4">
        <v>0</v>
      </c>
      <c r="K578" s="4">
        <v>21915.21</v>
      </c>
      <c r="L578" s="4">
        <v>4728.09</v>
      </c>
      <c r="M578" s="4">
        <f t="shared" ref="M578:M641" si="27">H578-G578</f>
        <v>3.72</v>
      </c>
      <c r="N578" s="4">
        <f t="shared" ref="N578:N641" si="28">K578-J578</f>
        <v>21915.21</v>
      </c>
      <c r="O578" s="4">
        <f t="shared" ref="O578:O641" si="29">I578-H578</f>
        <v>-2.95</v>
      </c>
      <c r="P578" s="3" t="s">
        <v>19</v>
      </c>
    </row>
    <row r="579" spans="1:16" x14ac:dyDescent="0.35">
      <c r="A579" s="3" t="s">
        <v>94</v>
      </c>
      <c r="B579" s="3" t="str">
        <f>INDEX(State_Region!$B$2:$B$26,MATCH(TRIM(A579),State_Region!$A$2:$A$26,0))</f>
        <v>East</v>
      </c>
      <c r="C579" s="3" t="s">
        <v>95</v>
      </c>
      <c r="D579" s="3" t="str">
        <f>INDEX(Port_Type!$B$2:$B$227,MATCH(TRIM(C579),Port_Type!$A$2:$A$227,0))</f>
        <v>Land Border / Rail</v>
      </c>
      <c r="E579" s="3" t="s">
        <v>55</v>
      </c>
      <c r="F579" s="3" t="str">
        <f>INDEX(Product_Category!$B$2:$B$45,MATCH(TRIM(E579),Product_Category!$A$2:$A$45,0))</f>
        <v>Fresh Fruits &amp; Vegetables</v>
      </c>
      <c r="G579" s="4">
        <v>0.56000000000000005</v>
      </c>
      <c r="H579" s="4">
        <v>2.13</v>
      </c>
      <c r="I579" s="4">
        <v>0.77</v>
      </c>
      <c r="J579" s="4">
        <v>2566.61</v>
      </c>
      <c r="K579" s="4">
        <v>7836.92</v>
      </c>
      <c r="L579" s="4">
        <v>2936.75</v>
      </c>
      <c r="M579" s="4">
        <f t="shared" si="27"/>
        <v>1.5699999999999998</v>
      </c>
      <c r="N579" s="4">
        <f t="shared" si="28"/>
        <v>5270.3099999999995</v>
      </c>
      <c r="O579" s="4">
        <f t="shared" si="29"/>
        <v>-1.3599999999999999</v>
      </c>
      <c r="P579" s="3" t="s">
        <v>19</v>
      </c>
    </row>
    <row r="580" spans="1:16" x14ac:dyDescent="0.35">
      <c r="A580" s="3" t="s">
        <v>49</v>
      </c>
      <c r="B580" s="3" t="str">
        <f>INDEX(State_Region!$B$2:$B$26,MATCH(TRIM(A580),State_Region!$A$2:$A$26,0))</f>
        <v>North</v>
      </c>
      <c r="C580" s="3" t="s">
        <v>176</v>
      </c>
      <c r="D580" s="3" t="str">
        <f>INDEX(Port_Type!$B$2:$B$227,MATCH(TRIM(C580),Port_Type!$A$2:$A$227,0))</f>
        <v>Inland ICD / CFS</v>
      </c>
      <c r="E580" s="3" t="s">
        <v>46</v>
      </c>
      <c r="F580" s="3" t="str">
        <f>INDEX(Product_Category!$B$2:$B$45,MATCH(TRIM(E580),Product_Category!$A$2:$A$45,0))</f>
        <v>Others</v>
      </c>
      <c r="G580" s="4">
        <v>5.03</v>
      </c>
      <c r="H580" s="4">
        <v>3.01</v>
      </c>
      <c r="I580" s="4">
        <v>0.77</v>
      </c>
      <c r="J580" s="4">
        <v>2783.3</v>
      </c>
      <c r="K580" s="4">
        <v>1966.41</v>
      </c>
      <c r="L580" s="4">
        <v>421.76</v>
      </c>
      <c r="M580" s="4">
        <f t="shared" si="27"/>
        <v>-2.0200000000000005</v>
      </c>
      <c r="N580" s="4">
        <f t="shared" si="28"/>
        <v>-816.8900000000001</v>
      </c>
      <c r="O580" s="4">
        <f t="shared" si="29"/>
        <v>-2.2399999999999998</v>
      </c>
      <c r="P580" s="3" t="s">
        <v>19</v>
      </c>
    </row>
    <row r="581" spans="1:16" x14ac:dyDescent="0.35">
      <c r="A581" s="3" t="s">
        <v>31</v>
      </c>
      <c r="B581" s="3" t="str">
        <f>INDEX(State_Region!$B$2:$B$26,MATCH(TRIM(A581),State_Region!$A$2:$A$26,0))</f>
        <v>East</v>
      </c>
      <c r="C581" s="3" t="s">
        <v>101</v>
      </c>
      <c r="D581" s="3" t="str">
        <f>INDEX(Port_Type!$B$2:$B$227,MATCH(TRIM(C581),Port_Type!$A$2:$A$227,0))</f>
        <v>Land Border / Rail</v>
      </c>
      <c r="E581" s="3" t="s">
        <v>27</v>
      </c>
      <c r="F581" s="3" t="str">
        <f>INDEX(Product_Category!$B$2:$B$45,MATCH(TRIM(E581),Product_Category!$A$2:$A$45,0))</f>
        <v>Cereals &amp; Grains</v>
      </c>
      <c r="G581" s="4">
        <v>0</v>
      </c>
      <c r="H581" s="4">
        <v>172.61</v>
      </c>
      <c r="I581" s="4">
        <v>0.76</v>
      </c>
      <c r="J581" s="4">
        <v>0</v>
      </c>
      <c r="K581" s="4">
        <v>379534.13</v>
      </c>
      <c r="L581" s="4">
        <v>1737.14</v>
      </c>
      <c r="M581" s="4">
        <f t="shared" si="27"/>
        <v>172.61</v>
      </c>
      <c r="N581" s="4">
        <f t="shared" si="28"/>
        <v>379534.13</v>
      </c>
      <c r="O581" s="4">
        <f t="shared" si="29"/>
        <v>-171.85000000000002</v>
      </c>
      <c r="P581" s="3" t="s">
        <v>19</v>
      </c>
    </row>
    <row r="582" spans="1:16" x14ac:dyDescent="0.35">
      <c r="A582" s="3" t="s">
        <v>40</v>
      </c>
      <c r="B582" s="3" t="str">
        <f>INDEX(State_Region!$B$2:$B$26,MATCH(TRIM(A582),State_Region!$A$2:$A$26,0))</f>
        <v>South</v>
      </c>
      <c r="C582" s="3" t="s">
        <v>183</v>
      </c>
      <c r="D582" s="3" t="str">
        <f>INDEX(Port_Type!$B$2:$B$227,MATCH(TRIM(C582),Port_Type!$A$2:$A$227,0))</f>
        <v>Inland ICD / CFS</v>
      </c>
      <c r="E582" s="3" t="s">
        <v>39</v>
      </c>
      <c r="F582" s="3" t="str">
        <f>INDEX(Product_Category!$B$2:$B$45,MATCH(TRIM(E582),Product_Category!$A$2:$A$45,0))</f>
        <v>Processed Foods</v>
      </c>
      <c r="G582" s="4">
        <v>0.15</v>
      </c>
      <c r="H582" s="4">
        <v>1.17</v>
      </c>
      <c r="I582" s="4">
        <v>0.76</v>
      </c>
      <c r="J582" s="4">
        <v>67.84</v>
      </c>
      <c r="K582" s="4">
        <v>253.87</v>
      </c>
      <c r="L582" s="4">
        <v>471.5</v>
      </c>
      <c r="M582" s="4">
        <f t="shared" si="27"/>
        <v>1.02</v>
      </c>
      <c r="N582" s="4">
        <f t="shared" si="28"/>
        <v>186.03</v>
      </c>
      <c r="O582" s="4">
        <f t="shared" si="29"/>
        <v>-0.40999999999999992</v>
      </c>
      <c r="P582" s="3" t="s">
        <v>19</v>
      </c>
    </row>
    <row r="583" spans="1:16" x14ac:dyDescent="0.35">
      <c r="A583" s="3" t="s">
        <v>16</v>
      </c>
      <c r="B583" s="3" t="str">
        <f>INDEX(State_Region!$B$2:$B$26,MATCH(TRIM(A583),State_Region!$A$2:$A$26,0))</f>
        <v>West</v>
      </c>
      <c r="C583" s="3" t="s">
        <v>109</v>
      </c>
      <c r="D583" s="3" t="str">
        <f>INDEX(Port_Type!$B$2:$B$227,MATCH(TRIM(C583),Port_Type!$A$2:$A$227,0))</f>
        <v>SEZ / EPZ</v>
      </c>
      <c r="E583" s="3" t="s">
        <v>62</v>
      </c>
      <c r="F583" s="3" t="str">
        <f>INDEX(Product_Category!$B$2:$B$45,MATCH(TRIM(E583),Product_Category!$A$2:$A$45,0))</f>
        <v>Cereals &amp; Grains</v>
      </c>
      <c r="G583" s="4">
        <v>0.3</v>
      </c>
      <c r="H583" s="4">
        <v>0.82</v>
      </c>
      <c r="I583" s="4">
        <v>0.76</v>
      </c>
      <c r="J583" s="4">
        <v>1053.6099999999999</v>
      </c>
      <c r="K583" s="4">
        <v>2860.66</v>
      </c>
      <c r="L583" s="4">
        <v>3314.17</v>
      </c>
      <c r="M583" s="4">
        <f t="shared" si="27"/>
        <v>0.52</v>
      </c>
      <c r="N583" s="4">
        <f t="shared" si="28"/>
        <v>1807.05</v>
      </c>
      <c r="O583" s="4">
        <f t="shared" si="29"/>
        <v>-5.9999999999999942E-2</v>
      </c>
      <c r="P583" s="3" t="s">
        <v>19</v>
      </c>
    </row>
    <row r="584" spans="1:16" x14ac:dyDescent="0.35">
      <c r="A584" s="3" t="s">
        <v>159</v>
      </c>
      <c r="B584" s="3" t="str">
        <f>INDEX(State_Region!$B$2:$B$26,MATCH(TRIM(A584),State_Region!$A$2:$A$26,0))</f>
        <v>North-East</v>
      </c>
      <c r="C584" s="3" t="s">
        <v>160</v>
      </c>
      <c r="D584" s="3" t="str">
        <f>INDEX(Port_Type!$B$2:$B$227,MATCH(TRIM(C584),Port_Type!$A$2:$A$227,0))</f>
        <v>Land Border / Rail</v>
      </c>
      <c r="E584" s="3" t="s">
        <v>62</v>
      </c>
      <c r="F584" s="3" t="str">
        <f>INDEX(Product_Category!$B$2:$B$45,MATCH(TRIM(E584),Product_Category!$A$2:$A$45,0))</f>
        <v>Cereals &amp; Grains</v>
      </c>
      <c r="G584" s="4">
        <v>0.93</v>
      </c>
      <c r="H584" s="4">
        <v>1.65</v>
      </c>
      <c r="I584" s="4">
        <v>0.76</v>
      </c>
      <c r="J584" s="4">
        <v>3150.07</v>
      </c>
      <c r="K584" s="4">
        <v>6749.96</v>
      </c>
      <c r="L584" s="4">
        <v>3404.8</v>
      </c>
      <c r="M584" s="4">
        <f t="shared" si="27"/>
        <v>0.71999999999999986</v>
      </c>
      <c r="N584" s="4">
        <f t="shared" si="28"/>
        <v>3599.89</v>
      </c>
      <c r="O584" s="4">
        <f t="shared" si="29"/>
        <v>-0.8899999999999999</v>
      </c>
      <c r="P584" s="3" t="s">
        <v>19</v>
      </c>
    </row>
    <row r="585" spans="1:16" x14ac:dyDescent="0.35">
      <c r="A585" s="3" t="s">
        <v>94</v>
      </c>
      <c r="B585" s="3" t="str">
        <f>INDEX(State_Region!$B$2:$B$26,MATCH(TRIM(A585),State_Region!$A$2:$A$26,0))</f>
        <v>East</v>
      </c>
      <c r="C585" s="3" t="s">
        <v>95</v>
      </c>
      <c r="D585" s="3" t="str">
        <f>INDEX(Port_Type!$B$2:$B$227,MATCH(TRIM(C585),Port_Type!$A$2:$A$227,0))</f>
        <v>Land Border / Rail</v>
      </c>
      <c r="E585" s="3" t="s">
        <v>116</v>
      </c>
      <c r="F585" s="3" t="str">
        <f>INDEX(Product_Category!$B$2:$B$45,MATCH(TRIM(E585),Product_Category!$A$2:$A$45,0))</f>
        <v>Others</v>
      </c>
      <c r="G585" s="4">
        <v>0.61</v>
      </c>
      <c r="H585" s="4">
        <v>1.85</v>
      </c>
      <c r="I585" s="4">
        <v>0.75</v>
      </c>
      <c r="J585" s="4">
        <v>2782.99</v>
      </c>
      <c r="K585" s="4">
        <v>13049.51</v>
      </c>
      <c r="L585" s="4">
        <v>4346.43</v>
      </c>
      <c r="M585" s="4">
        <f t="shared" si="27"/>
        <v>1.2400000000000002</v>
      </c>
      <c r="N585" s="4">
        <f t="shared" si="28"/>
        <v>10266.52</v>
      </c>
      <c r="O585" s="4">
        <f t="shared" si="29"/>
        <v>-1.1000000000000001</v>
      </c>
      <c r="P585" s="3" t="s">
        <v>19</v>
      </c>
    </row>
    <row r="586" spans="1:16" x14ac:dyDescent="0.35">
      <c r="A586" s="3" t="s">
        <v>16</v>
      </c>
      <c r="B586" s="3" t="str">
        <f>INDEX(State_Region!$B$2:$B$26,MATCH(TRIM(A586),State_Region!$A$2:$A$26,0))</f>
        <v>West</v>
      </c>
      <c r="C586" s="3" t="s">
        <v>143</v>
      </c>
      <c r="D586" s="3" t="str">
        <f>INDEX(Port_Type!$B$2:$B$227,MATCH(TRIM(C586),Port_Type!$A$2:$A$227,0))</f>
        <v>Sea Port</v>
      </c>
      <c r="E586" s="3" t="s">
        <v>51</v>
      </c>
      <c r="F586" s="3" t="str">
        <f>INDEX(Product_Category!$B$2:$B$45,MATCH(TRIM(E586),Product_Category!$A$2:$A$45,0))</f>
        <v>Nuts &amp; Oilseeds</v>
      </c>
      <c r="G586" s="4">
        <v>0.73</v>
      </c>
      <c r="H586" s="4">
        <v>0.23</v>
      </c>
      <c r="I586" s="4">
        <v>0.75</v>
      </c>
      <c r="J586" s="4">
        <v>610</v>
      </c>
      <c r="K586" s="4">
        <v>230</v>
      </c>
      <c r="L586" s="4">
        <v>675</v>
      </c>
      <c r="M586" s="4">
        <f t="shared" si="27"/>
        <v>-0.5</v>
      </c>
      <c r="N586" s="4">
        <f t="shared" si="28"/>
        <v>-380</v>
      </c>
      <c r="O586" s="4">
        <f t="shared" si="29"/>
        <v>0.52</v>
      </c>
      <c r="P586" s="3" t="s">
        <v>19</v>
      </c>
    </row>
    <row r="587" spans="1:16" x14ac:dyDescent="0.35">
      <c r="A587" s="3" t="s">
        <v>23</v>
      </c>
      <c r="B587" s="3" t="str">
        <f>INDEX(State_Region!$B$2:$B$26,MATCH(TRIM(A587),State_Region!$A$2:$A$26,0))</f>
        <v>North</v>
      </c>
      <c r="C587" s="3" t="s">
        <v>24</v>
      </c>
      <c r="D587" s="3" t="str">
        <f>INDEX(Port_Type!$B$2:$B$227,MATCH(TRIM(C587),Port_Type!$A$2:$A$227,0))</f>
        <v>Inland ICD / CFS</v>
      </c>
      <c r="E587" s="3" t="s">
        <v>93</v>
      </c>
      <c r="F587" s="3" t="str">
        <f>INDEX(Product_Category!$B$2:$B$45,MATCH(TRIM(E587),Product_Category!$A$2:$A$45,0))</f>
        <v>Meat &amp; Animal Products</v>
      </c>
      <c r="G587" s="4">
        <v>1.63</v>
      </c>
      <c r="H587" s="4">
        <v>0.89</v>
      </c>
      <c r="I587" s="4">
        <v>0.75</v>
      </c>
      <c r="J587" s="4">
        <v>219.83</v>
      </c>
      <c r="K587" s="4">
        <v>134.55000000000001</v>
      </c>
      <c r="L587" s="4">
        <v>112.7</v>
      </c>
      <c r="M587" s="4">
        <f t="shared" si="27"/>
        <v>-0.73999999999999988</v>
      </c>
      <c r="N587" s="4">
        <f t="shared" si="28"/>
        <v>-85.28</v>
      </c>
      <c r="O587" s="4">
        <f t="shared" si="29"/>
        <v>-0.14000000000000001</v>
      </c>
      <c r="P587" s="3" t="s">
        <v>19</v>
      </c>
    </row>
    <row r="588" spans="1:16" x14ac:dyDescent="0.35">
      <c r="A588" s="3" t="s">
        <v>23</v>
      </c>
      <c r="B588" s="3" t="str">
        <f>INDEX(State_Region!$B$2:$B$26,MATCH(TRIM(A588),State_Region!$A$2:$A$26,0))</f>
        <v>North</v>
      </c>
      <c r="C588" s="3" t="s">
        <v>148</v>
      </c>
      <c r="D588" s="3" t="str">
        <f>INDEX(Port_Type!$B$2:$B$227,MATCH(TRIM(C588),Port_Type!$A$2:$A$227,0))</f>
        <v>Inland ICD / CFS</v>
      </c>
      <c r="E588" s="3" t="s">
        <v>33</v>
      </c>
      <c r="F588" s="3" t="str">
        <f>INDEX(Product_Category!$B$2:$B$45,MATCH(TRIM(E588),Product_Category!$A$2:$A$45,0))</f>
        <v>Pulses</v>
      </c>
      <c r="G588" s="4">
        <v>0.56999999999999995</v>
      </c>
      <c r="H588" s="4">
        <v>1.28</v>
      </c>
      <c r="I588" s="4">
        <v>0.75</v>
      </c>
      <c r="J588" s="4">
        <v>81.12</v>
      </c>
      <c r="K588" s="4">
        <v>172.09</v>
      </c>
      <c r="L588" s="4">
        <v>102.09</v>
      </c>
      <c r="M588" s="4">
        <f t="shared" si="27"/>
        <v>0.71000000000000008</v>
      </c>
      <c r="N588" s="4">
        <f t="shared" si="28"/>
        <v>90.97</v>
      </c>
      <c r="O588" s="4">
        <f t="shared" si="29"/>
        <v>-0.53</v>
      </c>
      <c r="P588" s="3" t="s">
        <v>19</v>
      </c>
    </row>
    <row r="589" spans="1:16" x14ac:dyDescent="0.35">
      <c r="A589" s="3" t="s">
        <v>16</v>
      </c>
      <c r="B589" s="3" t="str">
        <f>INDEX(State_Region!$B$2:$B$26,MATCH(TRIM(A589),State_Region!$A$2:$A$26,0))</f>
        <v>West</v>
      </c>
      <c r="C589" s="3" t="s">
        <v>105</v>
      </c>
      <c r="D589" s="3" t="str">
        <f>INDEX(Port_Type!$B$2:$B$227,MATCH(TRIM(C589),Port_Type!$A$2:$A$227,0))</f>
        <v>SEZ / EPZ</v>
      </c>
      <c r="E589" s="3" t="s">
        <v>39</v>
      </c>
      <c r="F589" s="3" t="str">
        <f>INDEX(Product_Category!$B$2:$B$45,MATCH(TRIM(E589),Product_Category!$A$2:$A$45,0))</f>
        <v>Processed Foods</v>
      </c>
      <c r="G589" s="4">
        <v>0.69</v>
      </c>
      <c r="H589" s="4">
        <v>0.69</v>
      </c>
      <c r="I589" s="4">
        <v>0.75</v>
      </c>
      <c r="J589" s="4">
        <v>172.69</v>
      </c>
      <c r="K589" s="4">
        <v>268.24</v>
      </c>
      <c r="L589" s="4">
        <v>83.81</v>
      </c>
      <c r="M589" s="4">
        <f t="shared" si="27"/>
        <v>0</v>
      </c>
      <c r="N589" s="4">
        <f t="shared" si="28"/>
        <v>95.550000000000011</v>
      </c>
      <c r="O589" s="4">
        <f t="shared" si="29"/>
        <v>6.0000000000000053E-2</v>
      </c>
      <c r="P589" s="3" t="s">
        <v>19</v>
      </c>
    </row>
    <row r="590" spans="1:16" x14ac:dyDescent="0.35">
      <c r="A590" s="3" t="s">
        <v>159</v>
      </c>
      <c r="B590" s="3" t="str">
        <f>INDEX(State_Region!$B$2:$B$26,MATCH(TRIM(A590),State_Region!$A$2:$A$26,0))</f>
        <v>North-East</v>
      </c>
      <c r="C590" s="3" t="s">
        <v>160</v>
      </c>
      <c r="D590" s="3" t="str">
        <f>INDEX(Port_Type!$B$2:$B$227,MATCH(TRIM(C590),Port_Type!$A$2:$A$227,0))</f>
        <v>Land Border / Rail</v>
      </c>
      <c r="E590" s="3" t="s">
        <v>72</v>
      </c>
      <c r="F590" s="3" t="str">
        <f>INDEX(Product_Category!$B$2:$B$45,MATCH(TRIM(E590),Product_Category!$A$2:$A$45,0))</f>
        <v>Dairy, Poultry &amp; Honey</v>
      </c>
      <c r="G590" s="4">
        <v>0.21</v>
      </c>
      <c r="H590" s="4">
        <v>2.59</v>
      </c>
      <c r="I590" s="4">
        <v>0.74</v>
      </c>
      <c r="J590" s="4">
        <v>114.58</v>
      </c>
      <c r="K590" s="4">
        <v>2346.0700000000002</v>
      </c>
      <c r="L590" s="4">
        <v>684.38</v>
      </c>
      <c r="M590" s="4">
        <f t="shared" si="27"/>
        <v>2.38</v>
      </c>
      <c r="N590" s="4">
        <f t="shared" si="28"/>
        <v>2231.4900000000002</v>
      </c>
      <c r="O590" s="4">
        <f t="shared" si="29"/>
        <v>-1.8499999999999999</v>
      </c>
      <c r="P590" s="3" t="s">
        <v>19</v>
      </c>
    </row>
    <row r="591" spans="1:16" x14ac:dyDescent="0.35">
      <c r="A591" s="3" t="s">
        <v>23</v>
      </c>
      <c r="B591" s="3" t="str">
        <f>INDEX(State_Region!$B$2:$B$26,MATCH(TRIM(A591),State_Region!$A$2:$A$26,0))</f>
        <v>North</v>
      </c>
      <c r="C591" s="3" t="s">
        <v>148</v>
      </c>
      <c r="D591" s="3" t="str">
        <f>INDEX(Port_Type!$B$2:$B$227,MATCH(TRIM(C591),Port_Type!$A$2:$A$227,0))</f>
        <v>Inland ICD / CFS</v>
      </c>
      <c r="E591" s="3" t="s">
        <v>60</v>
      </c>
      <c r="F591" s="3" t="str">
        <f>INDEX(Product_Category!$B$2:$B$45,MATCH(TRIM(E591),Product_Category!$A$2:$A$45,0))</f>
        <v>Processed Foods</v>
      </c>
      <c r="G591" s="4">
        <v>0</v>
      </c>
      <c r="H591" s="4">
        <v>0.11</v>
      </c>
      <c r="I591" s="4">
        <v>0.73</v>
      </c>
      <c r="J591" s="4">
        <v>0</v>
      </c>
      <c r="K591" s="4">
        <v>55.17</v>
      </c>
      <c r="L591" s="4">
        <v>318.66000000000003</v>
      </c>
      <c r="M591" s="4">
        <f t="shared" si="27"/>
        <v>0.11</v>
      </c>
      <c r="N591" s="4">
        <f t="shared" si="28"/>
        <v>55.17</v>
      </c>
      <c r="O591" s="4">
        <f t="shared" si="29"/>
        <v>0.62</v>
      </c>
      <c r="P591" s="3" t="s">
        <v>19</v>
      </c>
    </row>
    <row r="592" spans="1:16" x14ac:dyDescent="0.35">
      <c r="A592" s="3" t="s">
        <v>35</v>
      </c>
      <c r="B592" s="3" t="str">
        <f>INDEX(State_Region!$B$2:$B$26,MATCH(TRIM(A592),State_Region!$A$2:$A$26,0))</f>
        <v>North</v>
      </c>
      <c r="C592" s="3" t="s">
        <v>198</v>
      </c>
      <c r="D592" s="3" t="str">
        <f>INDEX(Port_Type!$B$2:$B$227,MATCH(TRIM(C592),Port_Type!$A$2:$A$227,0))</f>
        <v>Inland ICD / CFS</v>
      </c>
      <c r="E592" s="3" t="s">
        <v>48</v>
      </c>
      <c r="F592" s="3" t="str">
        <f>INDEX(Product_Category!$B$2:$B$45,MATCH(TRIM(E592),Product_Category!$A$2:$A$45,0))</f>
        <v>Processed Foods</v>
      </c>
      <c r="G592" s="4">
        <v>1.72</v>
      </c>
      <c r="H592" s="4">
        <v>2.4700000000000002</v>
      </c>
      <c r="I592" s="4">
        <v>0.73</v>
      </c>
      <c r="J592" s="4">
        <v>2427.65</v>
      </c>
      <c r="K592" s="4">
        <v>2951.91</v>
      </c>
      <c r="L592" s="4">
        <v>973.71</v>
      </c>
      <c r="M592" s="4">
        <f t="shared" si="27"/>
        <v>0.75000000000000022</v>
      </c>
      <c r="N592" s="4">
        <f t="shared" si="28"/>
        <v>524.25999999999976</v>
      </c>
      <c r="O592" s="4">
        <f t="shared" si="29"/>
        <v>-1.7400000000000002</v>
      </c>
      <c r="P592" s="3" t="s">
        <v>19</v>
      </c>
    </row>
    <row r="593" spans="1:16" x14ac:dyDescent="0.35">
      <c r="A593" s="3" t="s">
        <v>16</v>
      </c>
      <c r="B593" s="3" t="str">
        <f>INDEX(State_Region!$B$2:$B$26,MATCH(TRIM(A593),State_Region!$A$2:$A$26,0))</f>
        <v>West</v>
      </c>
      <c r="C593" s="3" t="s">
        <v>28</v>
      </c>
      <c r="D593" s="3" t="str">
        <f>INDEX(Port_Type!$B$2:$B$227,MATCH(TRIM(C593),Port_Type!$A$2:$A$227,0))</f>
        <v>Sea Port</v>
      </c>
      <c r="E593" s="3" t="s">
        <v>53</v>
      </c>
      <c r="F593" s="3" t="str">
        <f>INDEX(Product_Category!$B$2:$B$45,MATCH(TRIM(E593),Product_Category!$A$2:$A$45,0))</f>
        <v>Processed Foods</v>
      </c>
      <c r="G593" s="4">
        <v>0.72</v>
      </c>
      <c r="H593" s="4">
        <v>3.59</v>
      </c>
      <c r="I593" s="4">
        <v>0.73</v>
      </c>
      <c r="J593" s="4">
        <v>1413.06</v>
      </c>
      <c r="K593" s="4">
        <v>7820.18</v>
      </c>
      <c r="L593" s="4">
        <v>1598.18</v>
      </c>
      <c r="M593" s="4">
        <f t="shared" si="27"/>
        <v>2.87</v>
      </c>
      <c r="N593" s="4">
        <f t="shared" si="28"/>
        <v>6407.1200000000008</v>
      </c>
      <c r="O593" s="4">
        <f t="shared" si="29"/>
        <v>-2.86</v>
      </c>
      <c r="P593" s="3" t="s">
        <v>19</v>
      </c>
    </row>
    <row r="594" spans="1:16" x14ac:dyDescent="0.35">
      <c r="A594" s="3" t="s">
        <v>20</v>
      </c>
      <c r="B594" s="3" t="str">
        <f>INDEX(State_Region!$B$2:$B$26,MATCH(TRIM(A594),State_Region!$A$2:$A$26,0))</f>
        <v>West</v>
      </c>
      <c r="C594" s="3" t="s">
        <v>82</v>
      </c>
      <c r="D594" s="3" t="str">
        <f>INDEX(Port_Type!$B$2:$B$227,MATCH(TRIM(C594),Port_Type!$A$2:$A$227,0))</f>
        <v>Inland ICD / CFS</v>
      </c>
      <c r="E594" s="3" t="s">
        <v>102</v>
      </c>
      <c r="F594" s="3" t="str">
        <f>INDEX(Product_Category!$B$2:$B$45,MATCH(TRIM(E594),Product_Category!$A$2:$A$45,0))</f>
        <v>Fresh Fruits &amp; Vegetables</v>
      </c>
      <c r="G594" s="4">
        <v>8.0299999999999994</v>
      </c>
      <c r="H594" s="4">
        <v>5.0199999999999996</v>
      </c>
      <c r="I594" s="4">
        <v>0.72</v>
      </c>
      <c r="J594" s="4">
        <v>11673.64</v>
      </c>
      <c r="K594" s="4">
        <v>7619.47</v>
      </c>
      <c r="L594" s="4">
        <v>1047.8599999999999</v>
      </c>
      <c r="M594" s="4">
        <f t="shared" si="27"/>
        <v>-3.01</v>
      </c>
      <c r="N594" s="4">
        <f t="shared" si="28"/>
        <v>-4054.1699999999992</v>
      </c>
      <c r="O594" s="4">
        <f t="shared" si="29"/>
        <v>-4.3</v>
      </c>
      <c r="P594" s="3" t="s">
        <v>19</v>
      </c>
    </row>
    <row r="595" spans="1:16" x14ac:dyDescent="0.35">
      <c r="A595" s="3" t="s">
        <v>66</v>
      </c>
      <c r="B595" s="3" t="str">
        <f>INDEX(State_Region!$B$2:$B$26,MATCH(TRIM(A595),State_Region!$A$2:$A$26,0))</f>
        <v>North</v>
      </c>
      <c r="C595" s="3" t="s">
        <v>71</v>
      </c>
      <c r="D595" s="3" t="str">
        <f>INDEX(Port_Type!$B$2:$B$227,MATCH(TRIM(C595),Port_Type!$A$2:$A$227,0))</f>
        <v>Inland ICD / CFS</v>
      </c>
      <c r="E595" s="3" t="s">
        <v>39</v>
      </c>
      <c r="F595" s="3" t="str">
        <f>INDEX(Product_Category!$B$2:$B$45,MATCH(TRIM(E595),Product_Category!$A$2:$A$45,0))</f>
        <v>Processed Foods</v>
      </c>
      <c r="G595" s="4">
        <v>6.09</v>
      </c>
      <c r="H595" s="4">
        <v>7.91</v>
      </c>
      <c r="I595" s="4">
        <v>0.72</v>
      </c>
      <c r="J595" s="4">
        <v>3021.56</v>
      </c>
      <c r="K595" s="4">
        <v>3808.3</v>
      </c>
      <c r="L595" s="4">
        <v>358.09</v>
      </c>
      <c r="M595" s="4">
        <f t="shared" si="27"/>
        <v>1.8200000000000003</v>
      </c>
      <c r="N595" s="4">
        <f t="shared" si="28"/>
        <v>786.74000000000024</v>
      </c>
      <c r="O595" s="4">
        <f t="shared" si="29"/>
        <v>-7.19</v>
      </c>
      <c r="P595" s="3" t="s">
        <v>19</v>
      </c>
    </row>
    <row r="596" spans="1:16" x14ac:dyDescent="0.35">
      <c r="A596" s="3" t="s">
        <v>20</v>
      </c>
      <c r="B596" s="3" t="str">
        <f>INDEX(State_Region!$B$2:$B$26,MATCH(TRIM(A596),State_Region!$A$2:$A$26,0))</f>
        <v>West</v>
      </c>
      <c r="C596" s="3" t="s">
        <v>21</v>
      </c>
      <c r="D596" s="3" t="str">
        <f>INDEX(Port_Type!$B$2:$B$227,MATCH(TRIM(C596),Port_Type!$A$2:$A$227,0))</f>
        <v>Sea Port</v>
      </c>
      <c r="E596" s="3" t="s">
        <v>142</v>
      </c>
      <c r="F596" s="3" t="str">
        <f>INDEX(Product_Category!$B$2:$B$45,MATCH(TRIM(E596),Product_Category!$A$2:$A$45,0))</f>
        <v>Nuts &amp; Oilseeds</v>
      </c>
      <c r="G596" s="4">
        <v>0.55000000000000004</v>
      </c>
      <c r="H596" s="4">
        <v>1.84</v>
      </c>
      <c r="I596" s="4">
        <v>0.72</v>
      </c>
      <c r="J596" s="4">
        <v>763.89</v>
      </c>
      <c r="K596" s="4">
        <v>2078.52</v>
      </c>
      <c r="L596" s="4">
        <v>778.94</v>
      </c>
      <c r="M596" s="4">
        <f t="shared" si="27"/>
        <v>1.29</v>
      </c>
      <c r="N596" s="4">
        <f t="shared" si="28"/>
        <v>1314.63</v>
      </c>
      <c r="O596" s="4">
        <f t="shared" si="29"/>
        <v>-1.1200000000000001</v>
      </c>
      <c r="P596" s="3" t="s">
        <v>19</v>
      </c>
    </row>
    <row r="597" spans="1:16" x14ac:dyDescent="0.35">
      <c r="A597" s="3" t="s">
        <v>23</v>
      </c>
      <c r="B597" s="3" t="str">
        <f>INDEX(State_Region!$B$2:$B$26,MATCH(TRIM(A597),State_Region!$A$2:$A$26,0))</f>
        <v>North</v>
      </c>
      <c r="C597" s="3" t="s">
        <v>24</v>
      </c>
      <c r="D597" s="3" t="str">
        <f>INDEX(Port_Type!$B$2:$B$227,MATCH(TRIM(C597),Port_Type!$A$2:$A$227,0))</f>
        <v>Inland ICD / CFS</v>
      </c>
      <c r="E597" s="3" t="s">
        <v>60</v>
      </c>
      <c r="F597" s="3" t="str">
        <f>INDEX(Product_Category!$B$2:$B$45,MATCH(TRIM(E597),Product_Category!$A$2:$A$45,0))</f>
        <v>Processed Foods</v>
      </c>
      <c r="G597" s="4">
        <v>1.91</v>
      </c>
      <c r="H597" s="4">
        <v>5.91</v>
      </c>
      <c r="I597" s="4">
        <v>0.72</v>
      </c>
      <c r="J597" s="4">
        <v>724.24</v>
      </c>
      <c r="K597" s="4">
        <v>2878.39</v>
      </c>
      <c r="L597" s="4">
        <v>363.72</v>
      </c>
      <c r="M597" s="4">
        <f t="shared" si="27"/>
        <v>4</v>
      </c>
      <c r="N597" s="4">
        <f t="shared" si="28"/>
        <v>2154.1499999999996</v>
      </c>
      <c r="O597" s="4">
        <f t="shared" si="29"/>
        <v>-5.19</v>
      </c>
      <c r="P597" s="3" t="s">
        <v>19</v>
      </c>
    </row>
    <row r="598" spans="1:16" x14ac:dyDescent="0.35">
      <c r="A598" s="3" t="s">
        <v>31</v>
      </c>
      <c r="B598" s="3" t="str">
        <f>INDEX(State_Region!$B$2:$B$26,MATCH(TRIM(A598),State_Region!$A$2:$A$26,0))</f>
        <v>East</v>
      </c>
      <c r="C598" s="3" t="s">
        <v>171</v>
      </c>
      <c r="D598" s="3" t="str">
        <f>INDEX(Port_Type!$B$2:$B$227,MATCH(TRIM(C598),Port_Type!$A$2:$A$227,0))</f>
        <v>Land Border / Rail</v>
      </c>
      <c r="E598" s="3" t="s">
        <v>102</v>
      </c>
      <c r="F598" s="3" t="str">
        <f>INDEX(Product_Category!$B$2:$B$45,MATCH(TRIM(E598),Product_Category!$A$2:$A$45,0))</f>
        <v>Fresh Fruits &amp; Vegetables</v>
      </c>
      <c r="G598" s="4">
        <v>2.04</v>
      </c>
      <c r="H598" s="4">
        <v>0.82</v>
      </c>
      <c r="I598" s="4">
        <v>0.72</v>
      </c>
      <c r="J598" s="4">
        <v>11380.48</v>
      </c>
      <c r="K598" s="4">
        <v>6902.9</v>
      </c>
      <c r="L598" s="4">
        <v>8259.1</v>
      </c>
      <c r="M598" s="4">
        <f t="shared" si="27"/>
        <v>-1.2200000000000002</v>
      </c>
      <c r="N598" s="4">
        <f t="shared" si="28"/>
        <v>-4477.58</v>
      </c>
      <c r="O598" s="4">
        <f t="shared" si="29"/>
        <v>-9.9999999999999978E-2</v>
      </c>
      <c r="P598" s="3" t="s">
        <v>19</v>
      </c>
    </row>
    <row r="599" spans="1:16" x14ac:dyDescent="0.35">
      <c r="A599" s="3" t="s">
        <v>40</v>
      </c>
      <c r="B599" s="3" t="str">
        <f>INDEX(State_Region!$B$2:$B$26,MATCH(TRIM(A599),State_Region!$A$2:$A$26,0))</f>
        <v>South</v>
      </c>
      <c r="C599" s="3" t="s">
        <v>117</v>
      </c>
      <c r="D599" s="3" t="str">
        <f>INDEX(Port_Type!$B$2:$B$227,MATCH(TRIM(C599),Port_Type!$A$2:$A$227,0))</f>
        <v>Sea Port</v>
      </c>
      <c r="E599" s="3" t="s">
        <v>62</v>
      </c>
      <c r="F599" s="3" t="str">
        <f>INDEX(Product_Category!$B$2:$B$45,MATCH(TRIM(E599),Product_Category!$A$2:$A$45,0))</f>
        <v>Cereals &amp; Grains</v>
      </c>
      <c r="G599" s="4">
        <v>2.25</v>
      </c>
      <c r="H599" s="4">
        <v>0</v>
      </c>
      <c r="I599" s="4">
        <v>0.72</v>
      </c>
      <c r="J599" s="4">
        <v>8150.54</v>
      </c>
      <c r="K599" s="4">
        <v>3.1</v>
      </c>
      <c r="L599" s="4">
        <v>3091.03</v>
      </c>
      <c r="M599" s="4">
        <f t="shared" si="27"/>
        <v>-2.25</v>
      </c>
      <c r="N599" s="4">
        <f t="shared" si="28"/>
        <v>-8147.44</v>
      </c>
      <c r="O599" s="4">
        <f t="shared" si="29"/>
        <v>0.72</v>
      </c>
      <c r="P599" s="3" t="s">
        <v>19</v>
      </c>
    </row>
    <row r="600" spans="1:16" x14ac:dyDescent="0.35">
      <c r="A600" s="3" t="s">
        <v>23</v>
      </c>
      <c r="B600" s="3" t="str">
        <f>INDEX(State_Region!$B$2:$B$26,MATCH(TRIM(A600),State_Region!$A$2:$A$26,0))</f>
        <v>North</v>
      </c>
      <c r="C600" s="3" t="s">
        <v>191</v>
      </c>
      <c r="D600" s="3" t="str">
        <f>INDEX(Port_Type!$B$2:$B$227,MATCH(TRIM(C600),Port_Type!$A$2:$A$227,0))</f>
        <v>Land Border / Rail</v>
      </c>
      <c r="E600" s="3" t="s">
        <v>55</v>
      </c>
      <c r="F600" s="3" t="str">
        <f>INDEX(Product_Category!$B$2:$B$45,MATCH(TRIM(E600),Product_Category!$A$2:$A$45,0))</f>
        <v>Fresh Fruits &amp; Vegetables</v>
      </c>
      <c r="G600" s="4">
        <v>0</v>
      </c>
      <c r="H600" s="4">
        <v>1.54</v>
      </c>
      <c r="I600" s="4">
        <v>0.71</v>
      </c>
      <c r="J600" s="4">
        <v>0</v>
      </c>
      <c r="K600" s="4">
        <v>5511.98</v>
      </c>
      <c r="L600" s="4">
        <v>2719.32</v>
      </c>
      <c r="M600" s="4">
        <f t="shared" si="27"/>
        <v>1.54</v>
      </c>
      <c r="N600" s="4">
        <f t="shared" si="28"/>
        <v>5511.98</v>
      </c>
      <c r="O600" s="4">
        <f t="shared" si="29"/>
        <v>-0.83000000000000007</v>
      </c>
      <c r="P600" s="3" t="s">
        <v>19</v>
      </c>
    </row>
    <row r="601" spans="1:16" x14ac:dyDescent="0.35">
      <c r="A601" s="3" t="s">
        <v>159</v>
      </c>
      <c r="B601" s="3" t="str">
        <f>INDEX(State_Region!$B$2:$B$26,MATCH(TRIM(A601),State_Region!$A$2:$A$26,0))</f>
        <v>North-East</v>
      </c>
      <c r="C601" s="3" t="s">
        <v>186</v>
      </c>
      <c r="D601" s="3" t="str">
        <f>INDEX(Port_Type!$B$2:$B$227,MATCH(TRIM(C601),Port_Type!$A$2:$A$227,0))</f>
        <v>Land Border / Rail</v>
      </c>
      <c r="E601" s="3" t="s">
        <v>72</v>
      </c>
      <c r="F601" s="3" t="str">
        <f>INDEX(Product_Category!$B$2:$B$45,MATCH(TRIM(E601),Product_Category!$A$2:$A$45,0))</f>
        <v>Dairy, Poultry &amp; Honey</v>
      </c>
      <c r="G601" s="4">
        <v>2.39</v>
      </c>
      <c r="H601" s="4">
        <v>1.9</v>
      </c>
      <c r="I601" s="4">
        <v>0.71</v>
      </c>
      <c r="J601" s="4">
        <v>1129.8900000000001</v>
      </c>
      <c r="K601" s="4">
        <v>1274.3800000000001</v>
      </c>
      <c r="L601" s="4">
        <v>570.24</v>
      </c>
      <c r="M601" s="4">
        <f t="shared" si="27"/>
        <v>-0.49000000000000021</v>
      </c>
      <c r="N601" s="4">
        <f t="shared" si="28"/>
        <v>144.49</v>
      </c>
      <c r="O601" s="4">
        <f t="shared" si="29"/>
        <v>-1.19</v>
      </c>
      <c r="P601" s="3" t="s">
        <v>19</v>
      </c>
    </row>
    <row r="602" spans="1:16" x14ac:dyDescent="0.35">
      <c r="A602" s="3" t="s">
        <v>94</v>
      </c>
      <c r="B602" s="3" t="str">
        <f>INDEX(State_Region!$B$2:$B$26,MATCH(TRIM(A602),State_Region!$A$2:$A$26,0))</f>
        <v>East</v>
      </c>
      <c r="C602" s="3" t="s">
        <v>188</v>
      </c>
      <c r="D602" s="3" t="str">
        <f>INDEX(Port_Type!$B$2:$B$227,MATCH(TRIM(C602),Port_Type!$A$2:$A$227,0))</f>
        <v>Land Border / Rail</v>
      </c>
      <c r="E602" s="3" t="s">
        <v>27</v>
      </c>
      <c r="F602" s="3" t="str">
        <f>INDEX(Product_Category!$B$2:$B$45,MATCH(TRIM(E602),Product_Category!$A$2:$A$45,0))</f>
        <v>Cereals &amp; Grains</v>
      </c>
      <c r="G602" s="4">
        <v>0.28000000000000003</v>
      </c>
      <c r="H602" s="4">
        <v>1.43</v>
      </c>
      <c r="I602" s="4">
        <v>0.71</v>
      </c>
      <c r="J602" s="4">
        <v>758.08</v>
      </c>
      <c r="K602" s="4">
        <v>3453.99</v>
      </c>
      <c r="L602" s="4">
        <v>1734.44</v>
      </c>
      <c r="M602" s="4">
        <f t="shared" si="27"/>
        <v>1.1499999999999999</v>
      </c>
      <c r="N602" s="4">
        <f t="shared" si="28"/>
        <v>2695.91</v>
      </c>
      <c r="O602" s="4">
        <f t="shared" si="29"/>
        <v>-0.72</v>
      </c>
      <c r="P602" s="3" t="s">
        <v>19</v>
      </c>
    </row>
    <row r="603" spans="1:16" x14ac:dyDescent="0.35">
      <c r="A603" s="3" t="s">
        <v>166</v>
      </c>
      <c r="B603" s="3" t="str">
        <f>INDEX(State_Region!$B$2:$B$26,MATCH(TRIM(A603),State_Region!$A$2:$A$26,0))</f>
        <v>West</v>
      </c>
      <c r="C603" s="3" t="s">
        <v>167</v>
      </c>
      <c r="D603" s="3" t="str">
        <f>INDEX(Port_Type!$B$2:$B$227,MATCH(TRIM(C603),Port_Type!$A$2:$A$227,0))</f>
        <v>Inland ICD / CFS</v>
      </c>
      <c r="E603" s="3" t="s">
        <v>84</v>
      </c>
      <c r="F603" s="3" t="str">
        <f>INDEX(Product_Category!$B$2:$B$45,MATCH(TRIM(E603),Product_Category!$A$2:$A$45,0))</f>
        <v>Nuts &amp; Oilseeds</v>
      </c>
      <c r="G603" s="4">
        <v>1.82</v>
      </c>
      <c r="H603" s="4">
        <v>2.12</v>
      </c>
      <c r="I603" s="4">
        <v>0.7</v>
      </c>
      <c r="J603" s="4">
        <v>231</v>
      </c>
      <c r="K603" s="4">
        <v>214.33</v>
      </c>
      <c r="L603" s="4">
        <v>68.040000000000006</v>
      </c>
      <c r="M603" s="4">
        <f t="shared" si="27"/>
        <v>0.30000000000000004</v>
      </c>
      <c r="N603" s="4">
        <f t="shared" si="28"/>
        <v>-16.669999999999987</v>
      </c>
      <c r="O603" s="4">
        <f t="shared" si="29"/>
        <v>-1.4200000000000002</v>
      </c>
      <c r="P603" s="3" t="s">
        <v>19</v>
      </c>
    </row>
    <row r="604" spans="1:16" x14ac:dyDescent="0.35">
      <c r="A604" s="3" t="s">
        <v>31</v>
      </c>
      <c r="B604" s="3" t="str">
        <f>INDEX(State_Region!$B$2:$B$26,MATCH(TRIM(A604),State_Region!$A$2:$A$26,0))</f>
        <v>East</v>
      </c>
      <c r="C604" s="3" t="s">
        <v>101</v>
      </c>
      <c r="D604" s="3" t="str">
        <f>INDEX(Port_Type!$B$2:$B$227,MATCH(TRIM(C604),Port_Type!$A$2:$A$227,0))</f>
        <v>Land Border / Rail</v>
      </c>
      <c r="E604" s="3" t="s">
        <v>48</v>
      </c>
      <c r="F604" s="3" t="str">
        <f>INDEX(Product_Category!$B$2:$B$45,MATCH(TRIM(E604),Product_Category!$A$2:$A$45,0))</f>
        <v>Processed Foods</v>
      </c>
      <c r="G604" s="4">
        <v>2.08</v>
      </c>
      <c r="H604" s="4">
        <v>1.71</v>
      </c>
      <c r="I604" s="4">
        <v>0.7</v>
      </c>
      <c r="J604" s="4">
        <v>3501.6</v>
      </c>
      <c r="K604" s="4">
        <v>3424.49</v>
      </c>
      <c r="L604" s="4">
        <v>1205.95</v>
      </c>
      <c r="M604" s="4">
        <f t="shared" si="27"/>
        <v>-0.37000000000000011</v>
      </c>
      <c r="N604" s="4">
        <f t="shared" si="28"/>
        <v>-77.110000000000127</v>
      </c>
      <c r="O604" s="4">
        <f t="shared" si="29"/>
        <v>-1.01</v>
      </c>
      <c r="P604" s="3" t="s">
        <v>19</v>
      </c>
    </row>
    <row r="605" spans="1:16" x14ac:dyDescent="0.35">
      <c r="A605" s="3" t="s">
        <v>40</v>
      </c>
      <c r="B605" s="3" t="str">
        <f>INDEX(State_Region!$B$2:$B$26,MATCH(TRIM(A605),State_Region!$A$2:$A$26,0))</f>
        <v>South</v>
      </c>
      <c r="C605" s="3" t="s">
        <v>117</v>
      </c>
      <c r="D605" s="3" t="str">
        <f>INDEX(Port_Type!$B$2:$B$227,MATCH(TRIM(C605),Port_Type!$A$2:$A$227,0))</f>
        <v>Sea Port</v>
      </c>
      <c r="E605" s="3" t="s">
        <v>33</v>
      </c>
      <c r="F605" s="3" t="str">
        <f>INDEX(Product_Category!$B$2:$B$45,MATCH(TRIM(E605),Product_Category!$A$2:$A$45,0))</f>
        <v>Pulses</v>
      </c>
      <c r="G605" s="4">
        <v>0.64</v>
      </c>
      <c r="H605" s="4">
        <v>1</v>
      </c>
      <c r="I605" s="4">
        <v>0.7</v>
      </c>
      <c r="J605" s="4">
        <v>453.19</v>
      </c>
      <c r="K605" s="4">
        <v>867.13</v>
      </c>
      <c r="L605" s="4">
        <v>641.54999999999995</v>
      </c>
      <c r="M605" s="4">
        <f t="shared" si="27"/>
        <v>0.36</v>
      </c>
      <c r="N605" s="4">
        <f t="shared" si="28"/>
        <v>413.94</v>
      </c>
      <c r="O605" s="4">
        <f t="shared" si="29"/>
        <v>-0.30000000000000004</v>
      </c>
      <c r="P605" s="3" t="s">
        <v>19</v>
      </c>
    </row>
    <row r="606" spans="1:16" x14ac:dyDescent="0.35">
      <c r="A606" s="3" t="s">
        <v>16</v>
      </c>
      <c r="B606" s="3" t="str">
        <f>INDEX(State_Region!$B$2:$B$26,MATCH(TRIM(A606),State_Region!$A$2:$A$26,0))</f>
        <v>West</v>
      </c>
      <c r="C606" s="3" t="s">
        <v>140</v>
      </c>
      <c r="D606" s="3" t="str">
        <f>INDEX(Port_Type!$B$2:$B$227,MATCH(TRIM(C606),Port_Type!$A$2:$A$227,0))</f>
        <v>SEZ / EPZ</v>
      </c>
      <c r="E606" s="3" t="s">
        <v>33</v>
      </c>
      <c r="F606" s="3" t="str">
        <f>INDEX(Product_Category!$B$2:$B$45,MATCH(TRIM(E606),Product_Category!$A$2:$A$45,0))</f>
        <v>Pulses</v>
      </c>
      <c r="G606" s="4">
        <v>3.26</v>
      </c>
      <c r="H606" s="4">
        <v>3.09</v>
      </c>
      <c r="I606" s="4">
        <v>0.69</v>
      </c>
      <c r="J606" s="4">
        <v>2611.1799999999998</v>
      </c>
      <c r="K606" s="4">
        <v>2322.15</v>
      </c>
      <c r="L606" s="4">
        <v>540.13</v>
      </c>
      <c r="M606" s="4">
        <f t="shared" si="27"/>
        <v>-0.16999999999999993</v>
      </c>
      <c r="N606" s="4">
        <f t="shared" si="28"/>
        <v>-289.02999999999975</v>
      </c>
      <c r="O606" s="4">
        <f t="shared" si="29"/>
        <v>-2.4</v>
      </c>
      <c r="P606" s="3" t="s">
        <v>19</v>
      </c>
    </row>
    <row r="607" spans="1:16" x14ac:dyDescent="0.35">
      <c r="A607" s="3" t="s">
        <v>16</v>
      </c>
      <c r="B607" s="3" t="str">
        <f>INDEX(State_Region!$B$2:$B$26,MATCH(TRIM(A607),State_Region!$A$2:$A$26,0))</f>
        <v>West</v>
      </c>
      <c r="C607" s="3" t="s">
        <v>89</v>
      </c>
      <c r="D607" s="3" t="str">
        <f>INDEX(Port_Type!$B$2:$B$227,MATCH(TRIM(C607),Port_Type!$A$2:$A$227,0))</f>
        <v>Inland ICD / CFS</v>
      </c>
      <c r="E607" s="3" t="s">
        <v>53</v>
      </c>
      <c r="F607" s="3" t="str">
        <f>INDEX(Product_Category!$B$2:$B$45,MATCH(TRIM(E607),Product_Category!$A$2:$A$45,0))</f>
        <v>Processed Foods</v>
      </c>
      <c r="G607" s="4">
        <v>3.23</v>
      </c>
      <c r="H607" s="4">
        <v>3.58</v>
      </c>
      <c r="I607" s="4">
        <v>0.69</v>
      </c>
      <c r="J607" s="4">
        <v>5712.54</v>
      </c>
      <c r="K607" s="4">
        <v>7149.16</v>
      </c>
      <c r="L607" s="4">
        <v>1302.9100000000001</v>
      </c>
      <c r="M607" s="4">
        <f t="shared" si="27"/>
        <v>0.35000000000000009</v>
      </c>
      <c r="N607" s="4">
        <f t="shared" si="28"/>
        <v>1436.62</v>
      </c>
      <c r="O607" s="4">
        <f t="shared" si="29"/>
        <v>-2.89</v>
      </c>
      <c r="P607" s="3" t="s">
        <v>19</v>
      </c>
    </row>
    <row r="608" spans="1:16" x14ac:dyDescent="0.35">
      <c r="A608" s="3" t="s">
        <v>25</v>
      </c>
      <c r="B608" s="3" t="str">
        <f>INDEX(State_Region!$B$2:$B$26,MATCH(TRIM(A608),State_Region!$A$2:$A$26,0))</f>
        <v>South</v>
      </c>
      <c r="C608" s="3" t="s">
        <v>195</v>
      </c>
      <c r="D608" s="3" t="str">
        <f>INDEX(Port_Type!$B$2:$B$227,MATCH(TRIM(C608),Port_Type!$A$2:$A$227,0))</f>
        <v>Sea Port</v>
      </c>
      <c r="E608" s="3" t="s">
        <v>27</v>
      </c>
      <c r="F608" s="3" t="str">
        <f>INDEX(Product_Category!$B$2:$B$45,MATCH(TRIM(E608),Product_Category!$A$2:$A$45,0))</f>
        <v>Cereals &amp; Grains</v>
      </c>
      <c r="G608" s="4">
        <v>17.62</v>
      </c>
      <c r="H608" s="4">
        <v>9.57</v>
      </c>
      <c r="I608" s="4">
        <v>0.68</v>
      </c>
      <c r="J608" s="4">
        <v>47250</v>
      </c>
      <c r="K608" s="4">
        <v>24384.75</v>
      </c>
      <c r="L608" s="4">
        <v>1986.42</v>
      </c>
      <c r="M608" s="4">
        <f t="shared" si="27"/>
        <v>-8.0500000000000007</v>
      </c>
      <c r="N608" s="4">
        <f t="shared" si="28"/>
        <v>-22865.25</v>
      </c>
      <c r="O608" s="4">
        <f t="shared" si="29"/>
        <v>-8.89</v>
      </c>
      <c r="P608" s="3" t="s">
        <v>19</v>
      </c>
    </row>
    <row r="609" spans="1:16" x14ac:dyDescent="0.35">
      <c r="A609" s="3" t="s">
        <v>16</v>
      </c>
      <c r="B609" s="3" t="str">
        <f>INDEX(State_Region!$B$2:$B$26,MATCH(TRIM(A609),State_Region!$A$2:$A$26,0))</f>
        <v>West</v>
      </c>
      <c r="C609" s="3" t="s">
        <v>52</v>
      </c>
      <c r="D609" s="3" t="str">
        <f>INDEX(Port_Type!$B$2:$B$227,MATCH(TRIM(C609),Port_Type!$A$2:$A$227,0))</f>
        <v>Sea Port</v>
      </c>
      <c r="E609" s="3" t="s">
        <v>151</v>
      </c>
      <c r="F609" s="3" t="str">
        <f>INDEX(Product_Category!$B$2:$B$45,MATCH(TRIM(E609),Product_Category!$A$2:$A$45,0))</f>
        <v>Processed Foods</v>
      </c>
      <c r="G609" s="4">
        <v>2.82</v>
      </c>
      <c r="H609" s="4">
        <v>2.78</v>
      </c>
      <c r="I609" s="4">
        <v>0.68</v>
      </c>
      <c r="J609" s="4">
        <v>1875.34</v>
      </c>
      <c r="K609" s="4">
        <v>1754.84</v>
      </c>
      <c r="L609" s="4">
        <v>492.28</v>
      </c>
      <c r="M609" s="4">
        <f t="shared" si="27"/>
        <v>-4.0000000000000036E-2</v>
      </c>
      <c r="N609" s="4">
        <f t="shared" si="28"/>
        <v>-120.5</v>
      </c>
      <c r="O609" s="4">
        <f t="shared" si="29"/>
        <v>-2.0999999999999996</v>
      </c>
      <c r="P609" s="3" t="s">
        <v>19</v>
      </c>
    </row>
    <row r="610" spans="1:16" x14ac:dyDescent="0.35">
      <c r="A610" s="3" t="s">
        <v>129</v>
      </c>
      <c r="B610" s="3" t="str">
        <f>INDEX(State_Region!$B$2:$B$26,MATCH(TRIM(A610),State_Region!$A$2:$A$26,0))</f>
        <v>East</v>
      </c>
      <c r="C610" s="3" t="s">
        <v>199</v>
      </c>
      <c r="D610" s="3" t="str">
        <f>INDEX(Port_Type!$B$2:$B$227,MATCH(TRIM(C610),Port_Type!$A$2:$A$227,0))</f>
        <v>Sea Port</v>
      </c>
      <c r="E610" s="3" t="s">
        <v>142</v>
      </c>
      <c r="F610" s="3" t="str">
        <f>INDEX(Product_Category!$B$2:$B$45,MATCH(TRIM(E610),Product_Category!$A$2:$A$45,0))</f>
        <v>Nuts &amp; Oilseeds</v>
      </c>
      <c r="G610" s="4">
        <v>0</v>
      </c>
      <c r="H610" s="4">
        <v>0.69</v>
      </c>
      <c r="I610" s="4">
        <v>0.67</v>
      </c>
      <c r="J610" s="4">
        <v>0</v>
      </c>
      <c r="K610" s="4">
        <v>1488.86</v>
      </c>
      <c r="L610" s="4">
        <v>1121.96</v>
      </c>
      <c r="M610" s="4">
        <f t="shared" si="27"/>
        <v>0.69</v>
      </c>
      <c r="N610" s="4">
        <f t="shared" si="28"/>
        <v>1488.86</v>
      </c>
      <c r="O610" s="4">
        <f t="shared" si="29"/>
        <v>-1.9999999999999907E-2</v>
      </c>
      <c r="P610" s="3" t="s">
        <v>19</v>
      </c>
    </row>
    <row r="611" spans="1:16" x14ac:dyDescent="0.35">
      <c r="A611" s="3" t="s">
        <v>94</v>
      </c>
      <c r="B611" s="3" t="str">
        <f>INDEX(State_Region!$B$2:$B$26,MATCH(TRIM(A611),State_Region!$A$2:$A$26,0))</f>
        <v>East</v>
      </c>
      <c r="C611" s="3" t="s">
        <v>184</v>
      </c>
      <c r="D611" s="3" t="str">
        <f>INDEX(Port_Type!$B$2:$B$227,MATCH(TRIM(C611),Port_Type!$A$2:$A$227,0))</f>
        <v>Land Border / Rail</v>
      </c>
      <c r="E611" s="3" t="s">
        <v>102</v>
      </c>
      <c r="F611" s="3" t="str">
        <f>INDEX(Product_Category!$B$2:$B$45,MATCH(TRIM(E611),Product_Category!$A$2:$A$45,0))</f>
        <v>Fresh Fruits &amp; Vegetables</v>
      </c>
      <c r="G611" s="4">
        <v>4.05</v>
      </c>
      <c r="H611" s="4">
        <v>3.38</v>
      </c>
      <c r="I611" s="4">
        <v>0.67</v>
      </c>
      <c r="J611" s="4">
        <v>33721.1</v>
      </c>
      <c r="K611" s="4">
        <v>25379.08</v>
      </c>
      <c r="L611" s="4">
        <v>5743.16</v>
      </c>
      <c r="M611" s="4">
        <f t="shared" si="27"/>
        <v>-0.66999999999999993</v>
      </c>
      <c r="N611" s="4">
        <f t="shared" si="28"/>
        <v>-8342.0199999999968</v>
      </c>
      <c r="O611" s="4">
        <f t="shared" si="29"/>
        <v>-2.71</v>
      </c>
      <c r="P611" s="3" t="s">
        <v>19</v>
      </c>
    </row>
    <row r="612" spans="1:16" x14ac:dyDescent="0.35">
      <c r="A612" s="3" t="s">
        <v>66</v>
      </c>
      <c r="B612" s="3" t="str">
        <f>INDEX(State_Region!$B$2:$B$26,MATCH(TRIM(A612),State_Region!$A$2:$A$26,0))</f>
        <v>North</v>
      </c>
      <c r="C612" s="3" t="s">
        <v>73</v>
      </c>
      <c r="D612" s="3" t="str">
        <f>INDEX(Port_Type!$B$2:$B$227,MATCH(TRIM(C612),Port_Type!$A$2:$A$227,0))</f>
        <v>Inland ICD / CFS</v>
      </c>
      <c r="E612" s="3" t="s">
        <v>42</v>
      </c>
      <c r="F612" s="3" t="str">
        <f>INDEX(Product_Category!$B$2:$B$45,MATCH(TRIM(E612),Product_Category!$A$2:$A$45,0))</f>
        <v>Processed Foods</v>
      </c>
      <c r="G612" s="4">
        <v>3.56</v>
      </c>
      <c r="H612" s="4">
        <v>3.68</v>
      </c>
      <c r="I612" s="4">
        <v>0.66</v>
      </c>
      <c r="J612" s="4">
        <v>2410.64</v>
      </c>
      <c r="K612" s="4">
        <v>3005.53</v>
      </c>
      <c r="L612" s="4">
        <v>544.09</v>
      </c>
      <c r="M612" s="4">
        <f t="shared" si="27"/>
        <v>0.12000000000000011</v>
      </c>
      <c r="N612" s="4">
        <f t="shared" si="28"/>
        <v>594.89000000000033</v>
      </c>
      <c r="O612" s="4">
        <f t="shared" si="29"/>
        <v>-3.02</v>
      </c>
      <c r="P612" s="3" t="s">
        <v>19</v>
      </c>
    </row>
    <row r="613" spans="1:16" x14ac:dyDescent="0.35">
      <c r="A613" s="3" t="s">
        <v>23</v>
      </c>
      <c r="B613" s="3" t="str">
        <f>INDEX(State_Region!$B$2:$B$26,MATCH(TRIM(A613),State_Region!$A$2:$A$26,0))</f>
        <v>North</v>
      </c>
      <c r="C613" s="3" t="s">
        <v>124</v>
      </c>
      <c r="D613" s="3" t="str">
        <f>INDEX(Port_Type!$B$2:$B$227,MATCH(TRIM(C613),Port_Type!$A$2:$A$227,0))</f>
        <v>Inland ICD / CFS</v>
      </c>
      <c r="E613" s="3" t="s">
        <v>102</v>
      </c>
      <c r="F613" s="3" t="str">
        <f>INDEX(Product_Category!$B$2:$B$45,MATCH(TRIM(E613),Product_Category!$A$2:$A$45,0))</f>
        <v>Fresh Fruits &amp; Vegetables</v>
      </c>
      <c r="G613" s="4">
        <v>0</v>
      </c>
      <c r="H613" s="4">
        <v>3.19</v>
      </c>
      <c r="I613" s="4">
        <v>0.66</v>
      </c>
      <c r="J613" s="4">
        <v>0</v>
      </c>
      <c r="K613" s="4">
        <v>21215.34</v>
      </c>
      <c r="L613" s="4">
        <v>4794.6099999999997</v>
      </c>
      <c r="M613" s="4">
        <f t="shared" si="27"/>
        <v>3.19</v>
      </c>
      <c r="N613" s="4">
        <f t="shared" si="28"/>
        <v>21215.34</v>
      </c>
      <c r="O613" s="4">
        <f t="shared" si="29"/>
        <v>-2.5299999999999998</v>
      </c>
      <c r="P613" s="3" t="s">
        <v>19</v>
      </c>
    </row>
    <row r="614" spans="1:16" x14ac:dyDescent="0.35">
      <c r="A614" s="3" t="s">
        <v>31</v>
      </c>
      <c r="B614" s="3" t="str">
        <f>INDEX(State_Region!$B$2:$B$26,MATCH(TRIM(A614),State_Region!$A$2:$A$26,0))</f>
        <v>East</v>
      </c>
      <c r="C614" s="3" t="s">
        <v>171</v>
      </c>
      <c r="D614" s="3" t="str">
        <f>INDEX(Port_Type!$B$2:$B$227,MATCH(TRIM(C614),Port_Type!$A$2:$A$227,0))</f>
        <v>Land Border / Rail</v>
      </c>
      <c r="E614" s="3" t="s">
        <v>55</v>
      </c>
      <c r="F614" s="3" t="str">
        <f>INDEX(Product_Category!$B$2:$B$45,MATCH(TRIM(E614),Product_Category!$A$2:$A$45,0))</f>
        <v>Fresh Fruits &amp; Vegetables</v>
      </c>
      <c r="G614" s="4">
        <v>1.04</v>
      </c>
      <c r="H614" s="4">
        <v>0.79</v>
      </c>
      <c r="I614" s="4">
        <v>0.66</v>
      </c>
      <c r="J614" s="4">
        <v>3556.76</v>
      </c>
      <c r="K614" s="4">
        <v>4386.28</v>
      </c>
      <c r="L614" s="4">
        <v>4538.1499999999996</v>
      </c>
      <c r="M614" s="4">
        <f t="shared" si="27"/>
        <v>-0.25</v>
      </c>
      <c r="N614" s="4">
        <f t="shared" si="28"/>
        <v>829.51999999999953</v>
      </c>
      <c r="O614" s="4">
        <f t="shared" si="29"/>
        <v>-0.13</v>
      </c>
      <c r="P614" s="3" t="s">
        <v>19</v>
      </c>
    </row>
    <row r="615" spans="1:16" x14ac:dyDescent="0.35">
      <c r="A615" s="3" t="s">
        <v>79</v>
      </c>
      <c r="B615" s="3" t="str">
        <f>INDEX(State_Region!$B$2:$B$26,MATCH(TRIM(A615),State_Region!$A$2:$A$26,0))</f>
        <v>South</v>
      </c>
      <c r="C615" s="3" t="s">
        <v>80</v>
      </c>
      <c r="D615" s="3" t="str">
        <f>INDEX(Port_Type!$B$2:$B$227,MATCH(TRIM(C615),Port_Type!$A$2:$A$227,0))</f>
        <v>Inland ICD / CFS</v>
      </c>
      <c r="E615" s="3" t="s">
        <v>27</v>
      </c>
      <c r="F615" s="3" t="str">
        <f>INDEX(Product_Category!$B$2:$B$45,MATCH(TRIM(E615),Product_Category!$A$2:$A$45,0))</f>
        <v>Cereals &amp; Grains</v>
      </c>
      <c r="G615" s="4">
        <v>2.9</v>
      </c>
      <c r="H615" s="4">
        <v>2.65</v>
      </c>
      <c r="I615" s="4">
        <v>0.66</v>
      </c>
      <c r="J615" s="4">
        <v>3977.91</v>
      </c>
      <c r="K615" s="4">
        <v>3909.82</v>
      </c>
      <c r="L615" s="4">
        <v>940.77</v>
      </c>
      <c r="M615" s="4">
        <f t="shared" si="27"/>
        <v>-0.25</v>
      </c>
      <c r="N615" s="4">
        <f t="shared" si="28"/>
        <v>-68.089999999999691</v>
      </c>
      <c r="O615" s="4">
        <f t="shared" si="29"/>
        <v>-1.9899999999999998</v>
      </c>
      <c r="P615" s="3" t="s">
        <v>19</v>
      </c>
    </row>
    <row r="616" spans="1:16" x14ac:dyDescent="0.35">
      <c r="A616" s="3" t="s">
        <v>31</v>
      </c>
      <c r="B616" s="3" t="str">
        <f>INDEX(State_Region!$B$2:$B$26,MATCH(TRIM(A616),State_Region!$A$2:$A$26,0))</f>
        <v>East</v>
      </c>
      <c r="C616" s="3" t="s">
        <v>152</v>
      </c>
      <c r="D616" s="3" t="str">
        <f>INDEX(Port_Type!$B$2:$B$227,MATCH(TRIM(C616),Port_Type!$A$2:$A$227,0))</f>
        <v>Land Border / Rail</v>
      </c>
      <c r="E616" s="3" t="s">
        <v>62</v>
      </c>
      <c r="F616" s="3" t="str">
        <f>INDEX(Product_Category!$B$2:$B$45,MATCH(TRIM(E616),Product_Category!$A$2:$A$45,0))</f>
        <v>Cereals &amp; Grains</v>
      </c>
      <c r="G616" s="4">
        <v>0.66</v>
      </c>
      <c r="H616" s="4">
        <v>1.24</v>
      </c>
      <c r="I616" s="4">
        <v>0.65</v>
      </c>
      <c r="J616" s="4">
        <v>2809.13</v>
      </c>
      <c r="K616" s="4">
        <v>5792.05</v>
      </c>
      <c r="L616" s="4">
        <v>3093.33</v>
      </c>
      <c r="M616" s="4">
        <f t="shared" si="27"/>
        <v>0.57999999999999996</v>
      </c>
      <c r="N616" s="4">
        <f t="shared" si="28"/>
        <v>2982.92</v>
      </c>
      <c r="O616" s="4">
        <f t="shared" si="29"/>
        <v>-0.59</v>
      </c>
      <c r="P616" s="3" t="s">
        <v>19</v>
      </c>
    </row>
    <row r="617" spans="1:16" x14ac:dyDescent="0.35">
      <c r="A617" s="3" t="s">
        <v>166</v>
      </c>
      <c r="B617" s="3" t="str">
        <f>INDEX(State_Region!$B$2:$B$26,MATCH(TRIM(A617),State_Region!$A$2:$A$26,0))</f>
        <v>West</v>
      </c>
      <c r="C617" s="3" t="s">
        <v>200</v>
      </c>
      <c r="D617" s="3" t="str">
        <f>INDEX(Port_Type!$B$2:$B$227,MATCH(TRIM(C617),Port_Type!$A$2:$A$227,0))</f>
        <v>Air Cargo</v>
      </c>
      <c r="E617" s="3" t="s">
        <v>102</v>
      </c>
      <c r="F617" s="3" t="str">
        <f>INDEX(Product_Category!$B$2:$B$45,MATCH(TRIM(E617),Product_Category!$A$2:$A$45,0))</f>
        <v>Fresh Fruits &amp; Vegetables</v>
      </c>
      <c r="G617" s="4">
        <v>3.07</v>
      </c>
      <c r="H617" s="4">
        <v>3.7</v>
      </c>
      <c r="I617" s="4">
        <v>0.64</v>
      </c>
      <c r="J617" s="4">
        <v>957.65</v>
      </c>
      <c r="K617" s="4">
        <v>1252.9000000000001</v>
      </c>
      <c r="L617" s="4">
        <v>283.36</v>
      </c>
      <c r="M617" s="4">
        <f t="shared" si="27"/>
        <v>0.63000000000000034</v>
      </c>
      <c r="N617" s="4">
        <f t="shared" si="28"/>
        <v>295.25000000000011</v>
      </c>
      <c r="O617" s="4">
        <f t="shared" si="29"/>
        <v>-3.06</v>
      </c>
      <c r="P617" s="3" t="s">
        <v>19</v>
      </c>
    </row>
    <row r="618" spans="1:16" x14ac:dyDescent="0.35">
      <c r="A618" s="3" t="s">
        <v>31</v>
      </c>
      <c r="B618" s="3" t="str">
        <f>INDEX(State_Region!$B$2:$B$26,MATCH(TRIM(A618),State_Region!$A$2:$A$26,0))</f>
        <v>East</v>
      </c>
      <c r="C618" s="3" t="s">
        <v>139</v>
      </c>
      <c r="D618" s="3" t="str">
        <f>INDEX(Port_Type!$B$2:$B$227,MATCH(TRIM(C618),Port_Type!$A$2:$A$227,0))</f>
        <v>Land Border / Rail</v>
      </c>
      <c r="E618" s="3" t="s">
        <v>45</v>
      </c>
      <c r="F618" s="3" t="str">
        <f>INDEX(Product_Category!$B$2:$B$45,MATCH(TRIM(E618),Product_Category!$A$2:$A$45,0))</f>
        <v>Fresh Fruits &amp; Vegetables</v>
      </c>
      <c r="G618" s="4">
        <v>3.17</v>
      </c>
      <c r="H618" s="4">
        <v>3.83</v>
      </c>
      <c r="I618" s="4">
        <v>0.64</v>
      </c>
      <c r="J618" s="4">
        <v>14640.44</v>
      </c>
      <c r="K618" s="4">
        <v>11956.76</v>
      </c>
      <c r="L618" s="4">
        <v>3043.5</v>
      </c>
      <c r="M618" s="4">
        <f t="shared" si="27"/>
        <v>0.66000000000000014</v>
      </c>
      <c r="N618" s="4">
        <f t="shared" si="28"/>
        <v>-2683.6800000000003</v>
      </c>
      <c r="O618" s="4">
        <f t="shared" si="29"/>
        <v>-3.19</v>
      </c>
      <c r="P618" s="3" t="s">
        <v>19</v>
      </c>
    </row>
    <row r="619" spans="1:16" x14ac:dyDescent="0.35">
      <c r="A619" s="3" t="s">
        <v>74</v>
      </c>
      <c r="B619" s="3" t="str">
        <f>INDEX(State_Region!$B$2:$B$26,MATCH(TRIM(A619),State_Region!$A$2:$A$26,0))</f>
        <v>South</v>
      </c>
      <c r="C619" s="3" t="s">
        <v>137</v>
      </c>
      <c r="D619" s="3" t="str">
        <f>INDEX(Port_Type!$B$2:$B$227,MATCH(TRIM(C619),Port_Type!$A$2:$A$227,0))</f>
        <v>Air Cargo</v>
      </c>
      <c r="E619" s="3" t="s">
        <v>76</v>
      </c>
      <c r="F619" s="3" t="str">
        <f>INDEX(Product_Category!$B$2:$B$45,MATCH(TRIM(E619),Product_Category!$A$2:$A$45,0))</f>
        <v>Fresh Fruits &amp; Vegetables</v>
      </c>
      <c r="G619" s="4">
        <v>0.7</v>
      </c>
      <c r="H619" s="4">
        <v>0.6</v>
      </c>
      <c r="I619" s="4">
        <v>0.63</v>
      </c>
      <c r="J619" s="4">
        <v>279.87</v>
      </c>
      <c r="K619" s="4">
        <v>295.86</v>
      </c>
      <c r="L619" s="4">
        <v>278.37</v>
      </c>
      <c r="M619" s="4">
        <f t="shared" si="27"/>
        <v>-9.9999999999999978E-2</v>
      </c>
      <c r="N619" s="4">
        <f t="shared" si="28"/>
        <v>15.990000000000009</v>
      </c>
      <c r="O619" s="4">
        <f t="shared" si="29"/>
        <v>3.0000000000000027E-2</v>
      </c>
      <c r="P619" s="3" t="s">
        <v>19</v>
      </c>
    </row>
    <row r="620" spans="1:16" x14ac:dyDescent="0.35">
      <c r="A620" s="3" t="s">
        <v>94</v>
      </c>
      <c r="B620" s="3" t="str">
        <f>INDEX(State_Region!$B$2:$B$26,MATCH(TRIM(A620),State_Region!$A$2:$A$26,0))</f>
        <v>East</v>
      </c>
      <c r="C620" s="3" t="s">
        <v>95</v>
      </c>
      <c r="D620" s="3" t="str">
        <f>INDEX(Port_Type!$B$2:$B$227,MATCH(TRIM(C620),Port_Type!$A$2:$A$227,0))</f>
        <v>Land Border / Rail</v>
      </c>
      <c r="E620" s="3" t="s">
        <v>102</v>
      </c>
      <c r="F620" s="3" t="str">
        <f>INDEX(Product_Category!$B$2:$B$45,MATCH(TRIM(E620),Product_Category!$A$2:$A$45,0))</f>
        <v>Fresh Fruits &amp; Vegetables</v>
      </c>
      <c r="G620" s="4">
        <v>1.53</v>
      </c>
      <c r="H620" s="4">
        <v>2.94</v>
      </c>
      <c r="I620" s="4">
        <v>0.63</v>
      </c>
      <c r="J620" s="4">
        <v>6885.51</v>
      </c>
      <c r="K620" s="4">
        <v>15062.74</v>
      </c>
      <c r="L620" s="4">
        <v>3420.39</v>
      </c>
      <c r="M620" s="4">
        <f t="shared" si="27"/>
        <v>1.41</v>
      </c>
      <c r="N620" s="4">
        <f t="shared" si="28"/>
        <v>8177.23</v>
      </c>
      <c r="O620" s="4">
        <f t="shared" si="29"/>
        <v>-2.31</v>
      </c>
      <c r="P620" s="3" t="s">
        <v>19</v>
      </c>
    </row>
    <row r="621" spans="1:16" x14ac:dyDescent="0.35">
      <c r="A621" s="3" t="s">
        <v>31</v>
      </c>
      <c r="B621" s="3" t="str">
        <f>INDEX(State_Region!$B$2:$B$26,MATCH(TRIM(A621),State_Region!$A$2:$A$26,0))</f>
        <v>East</v>
      </c>
      <c r="C621" s="3" t="s">
        <v>141</v>
      </c>
      <c r="D621" s="3" t="str">
        <f>INDEX(Port_Type!$B$2:$B$227,MATCH(TRIM(C621),Port_Type!$A$2:$A$227,0))</f>
        <v>Land Border / Rail</v>
      </c>
      <c r="E621" s="3" t="s">
        <v>48</v>
      </c>
      <c r="F621" s="3" t="str">
        <f>INDEX(Product_Category!$B$2:$B$45,MATCH(TRIM(E621),Product_Category!$A$2:$A$45,0))</f>
        <v>Processed Foods</v>
      </c>
      <c r="G621" s="4">
        <v>0.89</v>
      </c>
      <c r="H621" s="4">
        <v>1.67</v>
      </c>
      <c r="I621" s="4">
        <v>0.63</v>
      </c>
      <c r="J621" s="4">
        <v>585.02</v>
      </c>
      <c r="K621" s="4">
        <v>710.65</v>
      </c>
      <c r="L621" s="4">
        <v>320.08999999999997</v>
      </c>
      <c r="M621" s="4">
        <f t="shared" si="27"/>
        <v>0.77999999999999992</v>
      </c>
      <c r="N621" s="4">
        <f t="shared" si="28"/>
        <v>125.63</v>
      </c>
      <c r="O621" s="4">
        <f t="shared" si="29"/>
        <v>-1.04</v>
      </c>
      <c r="P621" s="3" t="s">
        <v>19</v>
      </c>
    </row>
    <row r="622" spans="1:16" x14ac:dyDescent="0.35">
      <c r="A622" s="3" t="s">
        <v>35</v>
      </c>
      <c r="B622" s="3" t="str">
        <f>INDEX(State_Region!$B$2:$B$26,MATCH(TRIM(A622),State_Region!$A$2:$A$26,0))</f>
        <v>North</v>
      </c>
      <c r="C622" s="3" t="s">
        <v>201</v>
      </c>
      <c r="D622" s="3" t="str">
        <f>INDEX(Port_Type!$B$2:$B$227,MATCH(TRIM(C622),Port_Type!$A$2:$A$227,0))</f>
        <v>Inland ICD / CFS</v>
      </c>
      <c r="E622" s="3" t="s">
        <v>39</v>
      </c>
      <c r="F622" s="3" t="str">
        <f>INDEX(Product_Category!$B$2:$B$45,MATCH(TRIM(E622),Product_Category!$A$2:$A$45,0))</f>
        <v>Processed Foods</v>
      </c>
      <c r="G622" s="4">
        <v>0.43</v>
      </c>
      <c r="H622" s="4">
        <v>0.96</v>
      </c>
      <c r="I622" s="4">
        <v>0.63</v>
      </c>
      <c r="J622" s="4">
        <v>84.56</v>
      </c>
      <c r="K622" s="4">
        <v>202.78</v>
      </c>
      <c r="L622" s="4">
        <v>317.61</v>
      </c>
      <c r="M622" s="4">
        <f t="shared" si="27"/>
        <v>0.53</v>
      </c>
      <c r="N622" s="4">
        <f t="shared" si="28"/>
        <v>118.22</v>
      </c>
      <c r="O622" s="4">
        <f t="shared" si="29"/>
        <v>-0.32999999999999996</v>
      </c>
      <c r="P622" s="3" t="s">
        <v>19</v>
      </c>
    </row>
    <row r="623" spans="1:16" x14ac:dyDescent="0.35">
      <c r="A623" s="3" t="s">
        <v>31</v>
      </c>
      <c r="B623" s="3" t="str">
        <f>INDEX(State_Region!$B$2:$B$26,MATCH(TRIM(A623),State_Region!$A$2:$A$26,0))</f>
        <v>East</v>
      </c>
      <c r="C623" s="3" t="s">
        <v>192</v>
      </c>
      <c r="D623" s="3" t="str">
        <f>INDEX(Port_Type!$B$2:$B$227,MATCH(TRIM(C623),Port_Type!$A$2:$A$227,0))</f>
        <v>Air Cargo</v>
      </c>
      <c r="E623" s="3" t="s">
        <v>170</v>
      </c>
      <c r="F623" s="3" t="str">
        <f>INDEX(Product_Category!$B$2:$B$45,MATCH(TRIM(E623),Product_Category!$A$2:$A$45,0))</f>
        <v>Others</v>
      </c>
      <c r="G623" s="4">
        <v>1.98</v>
      </c>
      <c r="H623" s="4">
        <v>1.77</v>
      </c>
      <c r="I623" s="4">
        <v>0.63</v>
      </c>
      <c r="J623" s="4">
        <v>522.79</v>
      </c>
      <c r="K623" s="4">
        <v>604.49</v>
      </c>
      <c r="L623" s="4">
        <v>202.09</v>
      </c>
      <c r="M623" s="4">
        <f t="shared" si="27"/>
        <v>-0.20999999999999996</v>
      </c>
      <c r="N623" s="4">
        <f t="shared" si="28"/>
        <v>81.700000000000045</v>
      </c>
      <c r="O623" s="4">
        <f t="shared" si="29"/>
        <v>-1.1400000000000001</v>
      </c>
      <c r="P623" s="3" t="s">
        <v>19</v>
      </c>
    </row>
    <row r="624" spans="1:16" x14ac:dyDescent="0.35">
      <c r="A624" s="3" t="s">
        <v>40</v>
      </c>
      <c r="B624" s="3" t="str">
        <f>INDEX(State_Region!$B$2:$B$26,MATCH(TRIM(A624),State_Region!$A$2:$A$26,0))</f>
        <v>South</v>
      </c>
      <c r="C624" s="3" t="s">
        <v>41</v>
      </c>
      <c r="D624" s="3" t="str">
        <f>INDEX(Port_Type!$B$2:$B$227,MATCH(TRIM(C624),Port_Type!$A$2:$A$227,0))</f>
        <v>Sea Port</v>
      </c>
      <c r="E624" s="3" t="s">
        <v>18</v>
      </c>
      <c r="F624" s="3" t="str">
        <f>INDEX(Product_Category!$B$2:$B$45,MATCH(TRIM(E624),Product_Category!$A$2:$A$45,0))</f>
        <v>Cereals &amp; Grains</v>
      </c>
      <c r="G624" s="4">
        <v>1.29</v>
      </c>
      <c r="H624" s="4">
        <v>1.3</v>
      </c>
      <c r="I624" s="4">
        <v>0.62</v>
      </c>
      <c r="J624" s="4">
        <v>1155.56</v>
      </c>
      <c r="K624" s="4">
        <v>1230.18</v>
      </c>
      <c r="L624" s="4">
        <v>595.46</v>
      </c>
      <c r="M624" s="4">
        <f t="shared" si="27"/>
        <v>1.0000000000000009E-2</v>
      </c>
      <c r="N624" s="4">
        <f t="shared" si="28"/>
        <v>74.620000000000118</v>
      </c>
      <c r="O624" s="4">
        <f t="shared" si="29"/>
        <v>-0.68</v>
      </c>
      <c r="P624" s="3" t="s">
        <v>19</v>
      </c>
    </row>
    <row r="625" spans="1:16" x14ac:dyDescent="0.35">
      <c r="A625" s="3" t="s">
        <v>31</v>
      </c>
      <c r="B625" s="3" t="str">
        <f>INDEX(State_Region!$B$2:$B$26,MATCH(TRIM(A625),State_Region!$A$2:$A$26,0))</f>
        <v>East</v>
      </c>
      <c r="C625" s="3" t="s">
        <v>131</v>
      </c>
      <c r="D625" s="3" t="str">
        <f>INDEX(Port_Type!$B$2:$B$227,MATCH(TRIM(C625),Port_Type!$A$2:$A$227,0))</f>
        <v>Land Border / Rail</v>
      </c>
      <c r="E625" s="3" t="s">
        <v>110</v>
      </c>
      <c r="F625" s="3" t="str">
        <f>INDEX(Product_Category!$B$2:$B$45,MATCH(TRIM(E625),Product_Category!$A$2:$A$45,0))</f>
        <v>Dairy, Poultry &amp; Honey</v>
      </c>
      <c r="G625" s="4">
        <v>0</v>
      </c>
      <c r="H625" s="4">
        <v>0.08</v>
      </c>
      <c r="I625" s="4">
        <v>0.62</v>
      </c>
      <c r="J625" s="4">
        <v>0</v>
      </c>
      <c r="K625" s="4">
        <v>859.32</v>
      </c>
      <c r="L625" s="4">
        <v>6105.98</v>
      </c>
      <c r="M625" s="4">
        <f t="shared" si="27"/>
        <v>0.08</v>
      </c>
      <c r="N625" s="4">
        <f t="shared" si="28"/>
        <v>859.32</v>
      </c>
      <c r="O625" s="4">
        <f t="shared" si="29"/>
        <v>0.54</v>
      </c>
      <c r="P625" s="3" t="s">
        <v>19</v>
      </c>
    </row>
    <row r="626" spans="1:16" x14ac:dyDescent="0.35">
      <c r="A626" s="3" t="s">
        <v>23</v>
      </c>
      <c r="B626" s="3" t="str">
        <f>INDEX(State_Region!$B$2:$B$26,MATCH(TRIM(A626),State_Region!$A$2:$A$26,0))</f>
        <v>North</v>
      </c>
      <c r="C626" s="3" t="s">
        <v>191</v>
      </c>
      <c r="D626" s="3" t="str">
        <f>INDEX(Port_Type!$B$2:$B$227,MATCH(TRIM(C626),Port_Type!$A$2:$A$227,0))</f>
        <v>Land Border / Rail</v>
      </c>
      <c r="E626" s="3" t="s">
        <v>45</v>
      </c>
      <c r="F626" s="3" t="str">
        <f>INDEX(Product_Category!$B$2:$B$45,MATCH(TRIM(E626),Product_Category!$A$2:$A$45,0))</f>
        <v>Fresh Fruits &amp; Vegetables</v>
      </c>
      <c r="G626" s="4">
        <v>0</v>
      </c>
      <c r="H626" s="4">
        <v>4.09</v>
      </c>
      <c r="I626" s="4">
        <v>0.62</v>
      </c>
      <c r="J626" s="4">
        <v>0</v>
      </c>
      <c r="K626" s="4">
        <v>9364.32</v>
      </c>
      <c r="L626" s="4">
        <v>2195.7800000000002</v>
      </c>
      <c r="M626" s="4">
        <f t="shared" si="27"/>
        <v>4.09</v>
      </c>
      <c r="N626" s="4">
        <f t="shared" si="28"/>
        <v>9364.32</v>
      </c>
      <c r="O626" s="4">
        <f t="shared" si="29"/>
        <v>-3.4699999999999998</v>
      </c>
      <c r="P626" s="3" t="s">
        <v>19</v>
      </c>
    </row>
    <row r="627" spans="1:16" x14ac:dyDescent="0.35">
      <c r="A627" s="3" t="s">
        <v>31</v>
      </c>
      <c r="B627" s="3" t="str">
        <f>INDEX(State_Region!$B$2:$B$26,MATCH(TRIM(A627),State_Region!$A$2:$A$26,0))</f>
        <v>East</v>
      </c>
      <c r="C627" s="3" t="s">
        <v>131</v>
      </c>
      <c r="D627" s="3" t="str">
        <f>INDEX(Port_Type!$B$2:$B$227,MATCH(TRIM(C627),Port_Type!$A$2:$A$227,0))</f>
        <v>Land Border / Rail</v>
      </c>
      <c r="E627" s="3" t="s">
        <v>170</v>
      </c>
      <c r="F627" s="3" t="str">
        <f>INDEX(Product_Category!$B$2:$B$45,MATCH(TRIM(E627),Product_Category!$A$2:$A$45,0))</f>
        <v>Others</v>
      </c>
      <c r="G627" s="4">
        <v>2.98</v>
      </c>
      <c r="H627" s="4">
        <v>2.0099999999999998</v>
      </c>
      <c r="I627" s="4">
        <v>0.62</v>
      </c>
      <c r="J627" s="4">
        <v>927.48</v>
      </c>
      <c r="K627" s="4">
        <v>694.18</v>
      </c>
      <c r="L627" s="4">
        <v>242.44</v>
      </c>
      <c r="M627" s="4">
        <f t="shared" si="27"/>
        <v>-0.9700000000000002</v>
      </c>
      <c r="N627" s="4">
        <f t="shared" si="28"/>
        <v>-233.30000000000007</v>
      </c>
      <c r="O627" s="4">
        <f t="shared" si="29"/>
        <v>-1.3899999999999997</v>
      </c>
      <c r="P627" s="3" t="s">
        <v>19</v>
      </c>
    </row>
    <row r="628" spans="1:16" x14ac:dyDescent="0.35">
      <c r="A628" s="3" t="s">
        <v>31</v>
      </c>
      <c r="B628" s="3" t="str">
        <f>INDEX(State_Region!$B$2:$B$26,MATCH(TRIM(A628),State_Region!$A$2:$A$26,0))</f>
        <v>East</v>
      </c>
      <c r="C628" s="3" t="s">
        <v>131</v>
      </c>
      <c r="D628" s="3" t="str">
        <f>INDEX(Port_Type!$B$2:$B$227,MATCH(TRIM(C628),Port_Type!$A$2:$A$227,0))</f>
        <v>Land Border / Rail</v>
      </c>
      <c r="E628" s="3" t="s">
        <v>33</v>
      </c>
      <c r="F628" s="3" t="str">
        <f>INDEX(Product_Category!$B$2:$B$45,MATCH(TRIM(E628),Product_Category!$A$2:$A$45,0))</f>
        <v>Pulses</v>
      </c>
      <c r="G628" s="4">
        <v>1.85</v>
      </c>
      <c r="H628" s="4">
        <v>1.63</v>
      </c>
      <c r="I628" s="4">
        <v>0.61</v>
      </c>
      <c r="J628" s="4">
        <v>1777.53</v>
      </c>
      <c r="K628" s="4">
        <v>1682.1</v>
      </c>
      <c r="L628" s="4">
        <v>735.5</v>
      </c>
      <c r="M628" s="4">
        <f t="shared" si="27"/>
        <v>-0.2200000000000002</v>
      </c>
      <c r="N628" s="4">
        <f t="shared" si="28"/>
        <v>-95.430000000000064</v>
      </c>
      <c r="O628" s="4">
        <f t="shared" si="29"/>
        <v>-1.02</v>
      </c>
      <c r="P628" s="3" t="s">
        <v>19</v>
      </c>
    </row>
    <row r="629" spans="1:16" x14ac:dyDescent="0.35">
      <c r="A629" s="3" t="s">
        <v>66</v>
      </c>
      <c r="B629" s="3" t="str">
        <f>INDEX(State_Region!$B$2:$B$26,MATCH(TRIM(A629),State_Region!$A$2:$A$26,0))</f>
        <v>North</v>
      </c>
      <c r="C629" s="3" t="s">
        <v>100</v>
      </c>
      <c r="D629" s="3" t="str">
        <f>INDEX(Port_Type!$B$2:$B$227,MATCH(TRIM(C629),Port_Type!$A$2:$A$227,0))</f>
        <v>Inland ICD / CFS</v>
      </c>
      <c r="E629" s="3" t="s">
        <v>39</v>
      </c>
      <c r="F629" s="3" t="str">
        <f>INDEX(Product_Category!$B$2:$B$45,MATCH(TRIM(E629),Product_Category!$A$2:$A$45,0))</f>
        <v>Processed Foods</v>
      </c>
      <c r="G629" s="4">
        <v>0</v>
      </c>
      <c r="H629" s="4">
        <v>0.28000000000000003</v>
      </c>
      <c r="I629" s="4">
        <v>0.61</v>
      </c>
      <c r="J629" s="4">
        <v>0</v>
      </c>
      <c r="K629" s="4">
        <v>88.92</v>
      </c>
      <c r="L629" s="4">
        <v>224.46</v>
      </c>
      <c r="M629" s="4">
        <f t="shared" si="27"/>
        <v>0.28000000000000003</v>
      </c>
      <c r="N629" s="4">
        <f t="shared" si="28"/>
        <v>88.92</v>
      </c>
      <c r="O629" s="4">
        <f t="shared" si="29"/>
        <v>0.32999999999999996</v>
      </c>
      <c r="P629" s="3" t="s">
        <v>19</v>
      </c>
    </row>
    <row r="630" spans="1:16" x14ac:dyDescent="0.35">
      <c r="A630" s="3" t="s">
        <v>16</v>
      </c>
      <c r="B630" s="3" t="str">
        <f>INDEX(State_Region!$B$2:$B$26,MATCH(TRIM(A630),State_Region!$A$2:$A$26,0))</f>
        <v>West</v>
      </c>
      <c r="C630" s="3" t="s">
        <v>140</v>
      </c>
      <c r="D630" s="3" t="str">
        <f>INDEX(Port_Type!$B$2:$B$227,MATCH(TRIM(C630),Port_Type!$A$2:$A$227,0))</f>
        <v>SEZ / EPZ</v>
      </c>
      <c r="E630" s="3" t="s">
        <v>42</v>
      </c>
      <c r="F630" s="3" t="str">
        <f>INDEX(Product_Category!$B$2:$B$45,MATCH(TRIM(E630),Product_Category!$A$2:$A$45,0))</f>
        <v>Processed Foods</v>
      </c>
      <c r="G630" s="4">
        <v>6.1</v>
      </c>
      <c r="H630" s="4">
        <v>1.29</v>
      </c>
      <c r="I630" s="4">
        <v>0.6</v>
      </c>
      <c r="J630" s="4">
        <v>1074.71</v>
      </c>
      <c r="K630" s="4">
        <v>368.06</v>
      </c>
      <c r="L630" s="4">
        <v>169.35</v>
      </c>
      <c r="M630" s="4">
        <f t="shared" si="27"/>
        <v>-4.8099999999999996</v>
      </c>
      <c r="N630" s="4">
        <f t="shared" si="28"/>
        <v>-706.65000000000009</v>
      </c>
      <c r="O630" s="4">
        <f t="shared" si="29"/>
        <v>-0.69000000000000006</v>
      </c>
      <c r="P630" s="3" t="s">
        <v>19</v>
      </c>
    </row>
    <row r="631" spans="1:16" x14ac:dyDescent="0.35">
      <c r="A631" s="3" t="s">
        <v>40</v>
      </c>
      <c r="B631" s="3" t="str">
        <f>INDEX(State_Region!$B$2:$B$26,MATCH(TRIM(A631),State_Region!$A$2:$A$26,0))</f>
        <v>South</v>
      </c>
      <c r="C631" s="3" t="s">
        <v>107</v>
      </c>
      <c r="D631" s="3" t="str">
        <f>INDEX(Port_Type!$B$2:$B$227,MATCH(TRIM(C631),Port_Type!$A$2:$A$227,0))</f>
        <v>Sea Port</v>
      </c>
      <c r="E631" s="3" t="s">
        <v>122</v>
      </c>
      <c r="F631" s="3" t="str">
        <f>INDEX(Product_Category!$B$2:$B$45,MATCH(TRIM(E631),Product_Category!$A$2:$A$45,0))</f>
        <v>Others</v>
      </c>
      <c r="G631" s="4">
        <v>3.22</v>
      </c>
      <c r="H631" s="4">
        <v>1.97</v>
      </c>
      <c r="I631" s="4">
        <v>0.59</v>
      </c>
      <c r="J631" s="4">
        <v>429.34</v>
      </c>
      <c r="K631" s="4">
        <v>258.52</v>
      </c>
      <c r="L631" s="4">
        <v>106.52</v>
      </c>
      <c r="M631" s="4">
        <f t="shared" si="27"/>
        <v>-1.2500000000000002</v>
      </c>
      <c r="N631" s="4">
        <f t="shared" si="28"/>
        <v>-170.82</v>
      </c>
      <c r="O631" s="4">
        <f t="shared" si="29"/>
        <v>-1.38</v>
      </c>
      <c r="P631" s="3" t="s">
        <v>19</v>
      </c>
    </row>
    <row r="632" spans="1:16" x14ac:dyDescent="0.35">
      <c r="A632" s="3" t="s">
        <v>16</v>
      </c>
      <c r="B632" s="3" t="str">
        <f>INDEX(State_Region!$B$2:$B$26,MATCH(TRIM(A632),State_Region!$A$2:$A$26,0))</f>
        <v>West</v>
      </c>
      <c r="C632" s="3" t="s">
        <v>90</v>
      </c>
      <c r="D632" s="3" t="str">
        <f>INDEX(Port_Type!$B$2:$B$227,MATCH(TRIM(C632),Port_Type!$A$2:$A$227,0))</f>
        <v>Inland ICD / CFS</v>
      </c>
      <c r="E632" s="3" t="s">
        <v>65</v>
      </c>
      <c r="F632" s="3" t="str">
        <f>INDEX(Product_Category!$B$2:$B$45,MATCH(TRIM(E632),Product_Category!$A$2:$A$45,0))</f>
        <v>Cereals &amp; Grains</v>
      </c>
      <c r="G632" s="4">
        <v>1.2</v>
      </c>
      <c r="H632" s="4">
        <v>2.2999999999999998</v>
      </c>
      <c r="I632" s="4">
        <v>0.59</v>
      </c>
      <c r="J632" s="4">
        <v>1199.83</v>
      </c>
      <c r="K632" s="4">
        <v>2974.27</v>
      </c>
      <c r="L632" s="4">
        <v>675.85</v>
      </c>
      <c r="M632" s="4">
        <f t="shared" si="27"/>
        <v>1.0999999999999999</v>
      </c>
      <c r="N632" s="4">
        <f t="shared" si="28"/>
        <v>1774.44</v>
      </c>
      <c r="O632" s="4">
        <f t="shared" si="29"/>
        <v>-1.71</v>
      </c>
      <c r="P632" s="3" t="s">
        <v>19</v>
      </c>
    </row>
    <row r="633" spans="1:16" x14ac:dyDescent="0.35">
      <c r="A633" s="3" t="s">
        <v>31</v>
      </c>
      <c r="B633" s="3" t="str">
        <f>INDEX(State_Region!$B$2:$B$26,MATCH(TRIM(A633),State_Region!$A$2:$A$26,0))</f>
        <v>East</v>
      </c>
      <c r="C633" s="3" t="s">
        <v>131</v>
      </c>
      <c r="D633" s="3" t="str">
        <f>INDEX(Port_Type!$B$2:$B$227,MATCH(TRIM(C633),Port_Type!$A$2:$A$227,0))</f>
        <v>Land Border / Rail</v>
      </c>
      <c r="E633" s="3" t="s">
        <v>53</v>
      </c>
      <c r="F633" s="3" t="str">
        <f>INDEX(Product_Category!$B$2:$B$45,MATCH(TRIM(E633),Product_Category!$A$2:$A$45,0))</f>
        <v>Processed Foods</v>
      </c>
      <c r="G633" s="4">
        <v>1.29</v>
      </c>
      <c r="H633" s="4">
        <v>1.54</v>
      </c>
      <c r="I633" s="4">
        <v>0.59</v>
      </c>
      <c r="J633" s="4">
        <v>865.86</v>
      </c>
      <c r="K633" s="4">
        <v>1648.7</v>
      </c>
      <c r="L633" s="4">
        <v>541.62</v>
      </c>
      <c r="M633" s="4">
        <f t="shared" si="27"/>
        <v>0.25</v>
      </c>
      <c r="N633" s="4">
        <f t="shared" si="28"/>
        <v>782.84</v>
      </c>
      <c r="O633" s="4">
        <f t="shared" si="29"/>
        <v>-0.95000000000000007</v>
      </c>
      <c r="P633" s="3" t="s">
        <v>19</v>
      </c>
    </row>
    <row r="634" spans="1:16" x14ac:dyDescent="0.35">
      <c r="A634" s="3" t="s">
        <v>94</v>
      </c>
      <c r="B634" s="3" t="str">
        <f>INDEX(State_Region!$B$2:$B$26,MATCH(TRIM(A634),State_Region!$A$2:$A$26,0))</f>
        <v>East</v>
      </c>
      <c r="C634" s="3" t="s">
        <v>95</v>
      </c>
      <c r="D634" s="3" t="str">
        <f>INDEX(Port_Type!$B$2:$B$227,MATCH(TRIM(C634),Port_Type!$A$2:$A$227,0))</f>
        <v>Land Border / Rail</v>
      </c>
      <c r="E634" s="3" t="s">
        <v>144</v>
      </c>
      <c r="F634" s="3" t="str">
        <f>INDEX(Product_Category!$B$2:$B$45,MATCH(TRIM(E634),Product_Category!$A$2:$A$45,0))</f>
        <v>Cereals &amp; Grains</v>
      </c>
      <c r="G634" s="4">
        <v>3.34</v>
      </c>
      <c r="H634" s="4">
        <v>2.5</v>
      </c>
      <c r="I634" s="4">
        <v>0.59</v>
      </c>
      <c r="J634" s="4">
        <v>9301.11</v>
      </c>
      <c r="K634" s="4">
        <v>7128.39</v>
      </c>
      <c r="L634" s="4">
        <v>1682.46</v>
      </c>
      <c r="M634" s="4">
        <f t="shared" si="27"/>
        <v>-0.83999999999999986</v>
      </c>
      <c r="N634" s="4">
        <f t="shared" si="28"/>
        <v>-2172.7200000000003</v>
      </c>
      <c r="O634" s="4">
        <f t="shared" si="29"/>
        <v>-1.9100000000000001</v>
      </c>
      <c r="P634" s="3" t="s">
        <v>19</v>
      </c>
    </row>
    <row r="635" spans="1:16" x14ac:dyDescent="0.35">
      <c r="A635" s="3" t="s">
        <v>16</v>
      </c>
      <c r="B635" s="3" t="str">
        <f>INDEX(State_Region!$B$2:$B$26,MATCH(TRIM(A635),State_Region!$A$2:$A$26,0))</f>
        <v>West</v>
      </c>
      <c r="C635" s="3" t="s">
        <v>109</v>
      </c>
      <c r="D635" s="3" t="str">
        <f>INDEX(Port_Type!$B$2:$B$227,MATCH(TRIM(C635),Port_Type!$A$2:$A$227,0))</f>
        <v>SEZ / EPZ</v>
      </c>
      <c r="E635" s="3" t="s">
        <v>46</v>
      </c>
      <c r="F635" s="3" t="str">
        <f>INDEX(Product_Category!$B$2:$B$45,MATCH(TRIM(E635),Product_Category!$A$2:$A$45,0))</f>
        <v>Others</v>
      </c>
      <c r="G635" s="4">
        <v>2.71</v>
      </c>
      <c r="H635" s="4">
        <v>1.26</v>
      </c>
      <c r="I635" s="4">
        <v>0.59</v>
      </c>
      <c r="J635" s="4">
        <v>1416.9</v>
      </c>
      <c r="K635" s="4">
        <v>737.23</v>
      </c>
      <c r="L635" s="4">
        <v>322.27</v>
      </c>
      <c r="M635" s="4">
        <f t="shared" si="27"/>
        <v>-1.45</v>
      </c>
      <c r="N635" s="4">
        <f t="shared" si="28"/>
        <v>-679.67000000000007</v>
      </c>
      <c r="O635" s="4">
        <f t="shared" si="29"/>
        <v>-0.67</v>
      </c>
      <c r="P635" s="3" t="s">
        <v>19</v>
      </c>
    </row>
    <row r="636" spans="1:16" x14ac:dyDescent="0.35">
      <c r="A636" s="3" t="s">
        <v>20</v>
      </c>
      <c r="B636" s="3" t="str">
        <f>INDEX(State_Region!$B$2:$B$26,MATCH(TRIM(A636),State_Region!$A$2:$A$26,0))</f>
        <v>West</v>
      </c>
      <c r="C636" s="3" t="s">
        <v>154</v>
      </c>
      <c r="D636" s="3" t="str">
        <f>INDEX(Port_Type!$B$2:$B$227,MATCH(TRIM(C636),Port_Type!$A$2:$A$227,0))</f>
        <v>Inland ICD / CFS</v>
      </c>
      <c r="E636" s="3" t="s">
        <v>62</v>
      </c>
      <c r="F636" s="3" t="str">
        <f>INDEX(Product_Category!$B$2:$B$45,MATCH(TRIM(E636),Product_Category!$A$2:$A$45,0))</f>
        <v>Cereals &amp; Grains</v>
      </c>
      <c r="G636" s="4">
        <v>0</v>
      </c>
      <c r="H636" s="4">
        <v>0.5</v>
      </c>
      <c r="I636" s="4">
        <v>0.57999999999999996</v>
      </c>
      <c r="J636" s="4">
        <v>0</v>
      </c>
      <c r="K636" s="4">
        <v>2132.5700000000002</v>
      </c>
      <c r="L636" s="4">
        <v>2608.9499999999998</v>
      </c>
      <c r="M636" s="4">
        <f t="shared" si="27"/>
        <v>0.5</v>
      </c>
      <c r="N636" s="4">
        <f t="shared" si="28"/>
        <v>2132.5700000000002</v>
      </c>
      <c r="O636" s="4">
        <f t="shared" si="29"/>
        <v>7.999999999999996E-2</v>
      </c>
      <c r="P636" s="3" t="s">
        <v>19</v>
      </c>
    </row>
    <row r="637" spans="1:16" x14ac:dyDescent="0.35">
      <c r="A637" s="3" t="s">
        <v>79</v>
      </c>
      <c r="B637" s="3" t="str">
        <f>INDEX(State_Region!$B$2:$B$26,MATCH(TRIM(A637),State_Region!$A$2:$A$26,0))</f>
        <v>South</v>
      </c>
      <c r="C637" s="3" t="s">
        <v>202</v>
      </c>
      <c r="D637" s="3" t="str">
        <f>INDEX(Port_Type!$B$2:$B$227,MATCH(TRIM(C637),Port_Type!$A$2:$A$227,0))</f>
        <v>SEZ / EPZ</v>
      </c>
      <c r="E637" s="3" t="s">
        <v>142</v>
      </c>
      <c r="F637" s="3" t="str">
        <f>INDEX(Product_Category!$B$2:$B$45,MATCH(TRIM(E637),Product_Category!$A$2:$A$45,0))</f>
        <v>Nuts &amp; Oilseeds</v>
      </c>
      <c r="G637" s="4">
        <v>2.09</v>
      </c>
      <c r="H637" s="4">
        <v>1.19</v>
      </c>
      <c r="I637" s="4">
        <v>0.57999999999999996</v>
      </c>
      <c r="J637" s="4">
        <v>1543.46</v>
      </c>
      <c r="K637" s="4">
        <v>1202.05</v>
      </c>
      <c r="L637" s="4">
        <v>852.17</v>
      </c>
      <c r="M637" s="4">
        <f t="shared" si="27"/>
        <v>-0.89999999999999991</v>
      </c>
      <c r="N637" s="4">
        <f t="shared" si="28"/>
        <v>-341.41000000000008</v>
      </c>
      <c r="O637" s="4">
        <f t="shared" si="29"/>
        <v>-0.61</v>
      </c>
      <c r="P637" s="3" t="s">
        <v>19</v>
      </c>
    </row>
    <row r="638" spans="1:16" x14ac:dyDescent="0.35">
      <c r="A638" s="3" t="s">
        <v>16</v>
      </c>
      <c r="B638" s="3" t="str">
        <f>INDEX(State_Region!$B$2:$B$26,MATCH(TRIM(A638),State_Region!$A$2:$A$26,0))</f>
        <v>West</v>
      </c>
      <c r="C638" s="3" t="s">
        <v>90</v>
      </c>
      <c r="D638" s="3" t="str">
        <f>INDEX(Port_Type!$B$2:$B$227,MATCH(TRIM(C638),Port_Type!$A$2:$A$227,0))</f>
        <v>Inland ICD / CFS</v>
      </c>
      <c r="E638" s="3" t="s">
        <v>42</v>
      </c>
      <c r="F638" s="3" t="str">
        <f>INDEX(Product_Category!$B$2:$B$45,MATCH(TRIM(E638),Product_Category!$A$2:$A$45,0))</f>
        <v>Processed Foods</v>
      </c>
      <c r="G638" s="4">
        <v>1.44</v>
      </c>
      <c r="H638" s="4">
        <v>1.87</v>
      </c>
      <c r="I638" s="4">
        <v>0.56999999999999995</v>
      </c>
      <c r="J638" s="4">
        <v>573.80999999999995</v>
      </c>
      <c r="K638" s="4">
        <v>814.07</v>
      </c>
      <c r="L638" s="4">
        <v>255.03</v>
      </c>
      <c r="M638" s="4">
        <f t="shared" si="27"/>
        <v>0.43000000000000016</v>
      </c>
      <c r="N638" s="4">
        <f t="shared" si="28"/>
        <v>240.2600000000001</v>
      </c>
      <c r="O638" s="4">
        <f t="shared" si="29"/>
        <v>-1.3000000000000003</v>
      </c>
      <c r="P638" s="3" t="s">
        <v>19</v>
      </c>
    </row>
    <row r="639" spans="1:16" x14ac:dyDescent="0.35">
      <c r="A639" s="3" t="s">
        <v>94</v>
      </c>
      <c r="B639" s="3" t="str">
        <f>INDEX(State_Region!$B$2:$B$26,MATCH(TRIM(A639),State_Region!$A$2:$A$26,0))</f>
        <v>East</v>
      </c>
      <c r="C639" s="3" t="s">
        <v>112</v>
      </c>
      <c r="D639" s="3" t="str">
        <f>INDEX(Port_Type!$B$2:$B$227,MATCH(TRIM(C639),Port_Type!$A$2:$A$227,0))</f>
        <v>Land Border / Rail</v>
      </c>
      <c r="E639" s="3" t="s">
        <v>116</v>
      </c>
      <c r="F639" s="3" t="str">
        <f>INDEX(Product_Category!$B$2:$B$45,MATCH(TRIM(E639),Product_Category!$A$2:$A$45,0))</f>
        <v>Others</v>
      </c>
      <c r="G639" s="4">
        <v>0.31</v>
      </c>
      <c r="H639" s="4">
        <v>0.74</v>
      </c>
      <c r="I639" s="4">
        <v>0.56999999999999995</v>
      </c>
      <c r="J639" s="4">
        <v>1714.38</v>
      </c>
      <c r="K639" s="4">
        <v>5742.41</v>
      </c>
      <c r="L639" s="4">
        <v>4064.54</v>
      </c>
      <c r="M639" s="4">
        <f t="shared" si="27"/>
        <v>0.43</v>
      </c>
      <c r="N639" s="4">
        <f t="shared" si="28"/>
        <v>4028.0299999999997</v>
      </c>
      <c r="O639" s="4">
        <f t="shared" si="29"/>
        <v>-0.17000000000000004</v>
      </c>
      <c r="P639" s="3" t="s">
        <v>19</v>
      </c>
    </row>
    <row r="640" spans="1:16" x14ac:dyDescent="0.35">
      <c r="A640" s="3" t="s">
        <v>23</v>
      </c>
      <c r="B640" s="3" t="str">
        <f>INDEX(State_Region!$B$2:$B$26,MATCH(TRIM(A640),State_Region!$A$2:$A$26,0))</f>
        <v>North</v>
      </c>
      <c r="C640" s="3" t="s">
        <v>191</v>
      </c>
      <c r="D640" s="3" t="str">
        <f>INDEX(Port_Type!$B$2:$B$227,MATCH(TRIM(C640),Port_Type!$A$2:$A$227,0))</f>
        <v>Land Border / Rail</v>
      </c>
      <c r="E640" s="3" t="s">
        <v>27</v>
      </c>
      <c r="F640" s="3" t="str">
        <f>INDEX(Product_Category!$B$2:$B$45,MATCH(TRIM(E640),Product_Category!$A$2:$A$45,0))</f>
        <v>Cereals &amp; Grains</v>
      </c>
      <c r="G640" s="4">
        <v>0</v>
      </c>
      <c r="H640" s="4">
        <v>4.3600000000000003</v>
      </c>
      <c r="I640" s="4">
        <v>0.56000000000000005</v>
      </c>
      <c r="J640" s="4">
        <v>0</v>
      </c>
      <c r="K640" s="4">
        <v>10856.72</v>
      </c>
      <c r="L640" s="4">
        <v>1270.8800000000001</v>
      </c>
      <c r="M640" s="4">
        <f t="shared" si="27"/>
        <v>4.3600000000000003</v>
      </c>
      <c r="N640" s="4">
        <f t="shared" si="28"/>
        <v>10856.72</v>
      </c>
      <c r="O640" s="4">
        <f t="shared" si="29"/>
        <v>-3.8000000000000003</v>
      </c>
      <c r="P640" s="3" t="s">
        <v>19</v>
      </c>
    </row>
    <row r="641" spans="1:16" x14ac:dyDescent="0.35">
      <c r="A641" s="3" t="s">
        <v>86</v>
      </c>
      <c r="B641" s="3" t="str">
        <f>INDEX(State_Region!$B$2:$B$26,MATCH(TRIM(A641),State_Region!$A$2:$A$26,0))</f>
        <v>North</v>
      </c>
      <c r="C641" s="3" t="s">
        <v>87</v>
      </c>
      <c r="D641" s="3" t="str">
        <f>INDEX(Port_Type!$B$2:$B$227,MATCH(TRIM(C641),Port_Type!$A$2:$A$227,0))</f>
        <v>Air Cargo</v>
      </c>
      <c r="E641" s="3" t="s">
        <v>102</v>
      </c>
      <c r="F641" s="3" t="str">
        <f>INDEX(Product_Category!$B$2:$B$45,MATCH(TRIM(E641),Product_Category!$A$2:$A$45,0))</f>
        <v>Fresh Fruits &amp; Vegetables</v>
      </c>
      <c r="G641" s="4">
        <v>2.23</v>
      </c>
      <c r="H641" s="4">
        <v>2.29</v>
      </c>
      <c r="I641" s="4">
        <v>0.56000000000000005</v>
      </c>
      <c r="J641" s="4">
        <v>736.29</v>
      </c>
      <c r="K641" s="4">
        <v>627.91</v>
      </c>
      <c r="L641" s="4">
        <v>213.72</v>
      </c>
      <c r="M641" s="4">
        <f t="shared" si="27"/>
        <v>6.0000000000000053E-2</v>
      </c>
      <c r="N641" s="4">
        <f t="shared" si="28"/>
        <v>-108.38</v>
      </c>
      <c r="O641" s="4">
        <f t="shared" si="29"/>
        <v>-1.73</v>
      </c>
      <c r="P641" s="3" t="s">
        <v>19</v>
      </c>
    </row>
    <row r="642" spans="1:16" x14ac:dyDescent="0.35">
      <c r="A642" s="3" t="s">
        <v>35</v>
      </c>
      <c r="B642" s="3" t="str">
        <f>INDEX(State_Region!$B$2:$B$26,MATCH(TRIM(A642),State_Region!$A$2:$A$26,0))</f>
        <v>North</v>
      </c>
      <c r="C642" s="3" t="s">
        <v>47</v>
      </c>
      <c r="D642" s="3" t="str">
        <f>INDEX(Port_Type!$B$2:$B$227,MATCH(TRIM(C642),Port_Type!$A$2:$A$227,0))</f>
        <v>Inland ICD / CFS</v>
      </c>
      <c r="E642" s="3" t="s">
        <v>54</v>
      </c>
      <c r="F642" s="3" t="str">
        <f>INDEX(Product_Category!$B$2:$B$45,MATCH(TRIM(E642),Product_Category!$A$2:$A$45,0))</f>
        <v>Processed Foods</v>
      </c>
      <c r="G642" s="4">
        <v>32.31</v>
      </c>
      <c r="H642" s="4">
        <v>2.52</v>
      </c>
      <c r="I642" s="4">
        <v>0.56000000000000005</v>
      </c>
      <c r="J642" s="4">
        <v>10303.65</v>
      </c>
      <c r="K642" s="4">
        <v>893.37</v>
      </c>
      <c r="L642" s="4">
        <v>239.67</v>
      </c>
      <c r="M642" s="4">
        <f t="shared" ref="M642:M705" si="30">H642-G642</f>
        <v>-29.790000000000003</v>
      </c>
      <c r="N642" s="4">
        <f t="shared" ref="N642:N705" si="31">K642-J642</f>
        <v>-9410.2799999999988</v>
      </c>
      <c r="O642" s="4">
        <f t="shared" ref="O642:O705" si="32">I642-H642</f>
        <v>-1.96</v>
      </c>
      <c r="P642" s="3" t="s">
        <v>19</v>
      </c>
    </row>
    <row r="643" spans="1:16" x14ac:dyDescent="0.35">
      <c r="A643" s="3" t="s">
        <v>23</v>
      </c>
      <c r="B643" s="3" t="str">
        <f>INDEX(State_Region!$B$2:$B$26,MATCH(TRIM(A643),State_Region!$A$2:$A$26,0))</f>
        <v>North</v>
      </c>
      <c r="C643" s="3" t="s">
        <v>191</v>
      </c>
      <c r="D643" s="3" t="str">
        <f>INDEX(Port_Type!$B$2:$B$227,MATCH(TRIM(C643),Port_Type!$A$2:$A$227,0))</f>
        <v>Land Border / Rail</v>
      </c>
      <c r="E643" s="3" t="s">
        <v>113</v>
      </c>
      <c r="F643" s="3" t="str">
        <f>INDEX(Product_Category!$B$2:$B$45,MATCH(TRIM(E643),Product_Category!$A$2:$A$45,0))</f>
        <v>Cereals &amp; Grains</v>
      </c>
      <c r="G643" s="4">
        <v>0</v>
      </c>
      <c r="H643" s="4">
        <v>1.53</v>
      </c>
      <c r="I643" s="4">
        <v>0.56000000000000005</v>
      </c>
      <c r="J643" s="4">
        <v>0</v>
      </c>
      <c r="K643" s="4">
        <v>5200.83</v>
      </c>
      <c r="L643" s="4">
        <v>2050.21</v>
      </c>
      <c r="M643" s="4">
        <f t="shared" si="30"/>
        <v>1.53</v>
      </c>
      <c r="N643" s="4">
        <f t="shared" si="31"/>
        <v>5200.83</v>
      </c>
      <c r="O643" s="4">
        <f t="shared" si="32"/>
        <v>-0.97</v>
      </c>
      <c r="P643" s="3" t="s">
        <v>19</v>
      </c>
    </row>
    <row r="644" spans="1:16" x14ac:dyDescent="0.35">
      <c r="A644" s="3" t="s">
        <v>129</v>
      </c>
      <c r="B644" s="3" t="str">
        <f>INDEX(State_Region!$B$2:$B$26,MATCH(TRIM(A644),State_Region!$A$2:$A$26,0))</f>
        <v>East</v>
      </c>
      <c r="C644" s="3" t="s">
        <v>147</v>
      </c>
      <c r="D644" s="3" t="str">
        <f>INDEX(Port_Type!$B$2:$B$227,MATCH(TRIM(C644),Port_Type!$A$2:$A$227,0))</f>
        <v>Land Border / Rail</v>
      </c>
      <c r="E644" s="3" t="s">
        <v>84</v>
      </c>
      <c r="F644" s="3" t="str">
        <f>INDEX(Product_Category!$B$2:$B$45,MATCH(TRIM(E644),Product_Category!$A$2:$A$45,0))</f>
        <v>Nuts &amp; Oilseeds</v>
      </c>
      <c r="G644" s="4">
        <v>0.32</v>
      </c>
      <c r="H644" s="4">
        <v>1.38</v>
      </c>
      <c r="I644" s="4">
        <v>0.55000000000000004</v>
      </c>
      <c r="J644" s="4">
        <v>55.26</v>
      </c>
      <c r="K644" s="4">
        <v>189.82</v>
      </c>
      <c r="L644" s="4">
        <v>75.55</v>
      </c>
      <c r="M644" s="4">
        <f t="shared" si="30"/>
        <v>1.0599999999999998</v>
      </c>
      <c r="N644" s="4">
        <f t="shared" si="31"/>
        <v>134.56</v>
      </c>
      <c r="O644" s="4">
        <f t="shared" si="32"/>
        <v>-0.82999999999999985</v>
      </c>
      <c r="P644" s="3" t="s">
        <v>19</v>
      </c>
    </row>
    <row r="645" spans="1:16" x14ac:dyDescent="0.35">
      <c r="A645" s="3" t="s">
        <v>94</v>
      </c>
      <c r="B645" s="3" t="str">
        <f>INDEX(State_Region!$B$2:$B$26,MATCH(TRIM(A645),State_Region!$A$2:$A$26,0))</f>
        <v>East</v>
      </c>
      <c r="C645" s="3" t="s">
        <v>203</v>
      </c>
      <c r="D645" s="3" t="str">
        <f>INDEX(Port_Type!$B$2:$B$227,MATCH(TRIM(C645),Port_Type!$A$2:$A$227,0))</f>
        <v>Air Cargo</v>
      </c>
      <c r="E645" s="3" t="s">
        <v>53</v>
      </c>
      <c r="F645" s="3" t="str">
        <f>INDEX(Product_Category!$B$2:$B$45,MATCH(TRIM(E645),Product_Category!$A$2:$A$45,0))</f>
        <v>Processed Foods</v>
      </c>
      <c r="G645" s="4">
        <v>3.05</v>
      </c>
      <c r="H645" s="4">
        <v>1.93</v>
      </c>
      <c r="I645" s="4">
        <v>0.55000000000000004</v>
      </c>
      <c r="J645" s="4">
        <v>9416.58</v>
      </c>
      <c r="K645" s="4">
        <v>5335.85</v>
      </c>
      <c r="L645" s="4">
        <v>1518.64</v>
      </c>
      <c r="M645" s="4">
        <f t="shared" si="30"/>
        <v>-1.1199999999999999</v>
      </c>
      <c r="N645" s="4">
        <f t="shared" si="31"/>
        <v>-4080.7299999999996</v>
      </c>
      <c r="O645" s="4">
        <f t="shared" si="32"/>
        <v>-1.38</v>
      </c>
      <c r="P645" s="3" t="s">
        <v>19</v>
      </c>
    </row>
    <row r="646" spans="1:16" x14ac:dyDescent="0.35">
      <c r="A646" s="3" t="s">
        <v>31</v>
      </c>
      <c r="B646" s="3" t="str">
        <f>INDEX(State_Region!$B$2:$B$26,MATCH(TRIM(A646),State_Region!$A$2:$A$26,0))</f>
        <v>East</v>
      </c>
      <c r="C646" s="3" t="s">
        <v>171</v>
      </c>
      <c r="D646" s="3" t="str">
        <f>INDEX(Port_Type!$B$2:$B$227,MATCH(TRIM(C646),Port_Type!$A$2:$A$227,0))</f>
        <v>Land Border / Rail</v>
      </c>
      <c r="E646" s="3" t="s">
        <v>53</v>
      </c>
      <c r="F646" s="3" t="str">
        <f>INDEX(Product_Category!$B$2:$B$45,MATCH(TRIM(E646),Product_Category!$A$2:$A$45,0))</f>
        <v>Processed Foods</v>
      </c>
      <c r="G646" s="4">
        <v>1.69</v>
      </c>
      <c r="H646" s="4">
        <v>1.28</v>
      </c>
      <c r="I646" s="4">
        <v>0.55000000000000004</v>
      </c>
      <c r="J646" s="4">
        <v>7007.25</v>
      </c>
      <c r="K646" s="4">
        <v>4517.3900000000003</v>
      </c>
      <c r="L646" s="4">
        <v>2097.37</v>
      </c>
      <c r="M646" s="4">
        <f t="shared" si="30"/>
        <v>-0.40999999999999992</v>
      </c>
      <c r="N646" s="4">
        <f t="shared" si="31"/>
        <v>-2489.8599999999997</v>
      </c>
      <c r="O646" s="4">
        <f t="shared" si="32"/>
        <v>-0.73</v>
      </c>
      <c r="P646" s="3" t="s">
        <v>19</v>
      </c>
    </row>
    <row r="647" spans="1:16" x14ac:dyDescent="0.35">
      <c r="A647" s="3" t="s">
        <v>31</v>
      </c>
      <c r="B647" s="3" t="str">
        <f>INDEX(State_Region!$B$2:$B$26,MATCH(TRIM(A647),State_Region!$A$2:$A$26,0))</f>
        <v>East</v>
      </c>
      <c r="C647" s="3" t="s">
        <v>192</v>
      </c>
      <c r="D647" s="3" t="str">
        <f>INDEX(Port_Type!$B$2:$B$227,MATCH(TRIM(C647),Port_Type!$A$2:$A$227,0))</f>
        <v>Air Cargo</v>
      </c>
      <c r="E647" s="3" t="s">
        <v>45</v>
      </c>
      <c r="F647" s="3" t="str">
        <f>INDEX(Product_Category!$B$2:$B$45,MATCH(TRIM(E647),Product_Category!$A$2:$A$45,0))</f>
        <v>Fresh Fruits &amp; Vegetables</v>
      </c>
      <c r="G647" s="4">
        <v>0.19</v>
      </c>
      <c r="H647" s="4">
        <v>0.83</v>
      </c>
      <c r="I647" s="4">
        <v>0.55000000000000004</v>
      </c>
      <c r="J647" s="4">
        <v>242.46</v>
      </c>
      <c r="K647" s="4">
        <v>1037.24</v>
      </c>
      <c r="L647" s="4">
        <v>523.89</v>
      </c>
      <c r="M647" s="4">
        <f t="shared" si="30"/>
        <v>0.6399999999999999</v>
      </c>
      <c r="N647" s="4">
        <f t="shared" si="31"/>
        <v>794.78</v>
      </c>
      <c r="O647" s="4">
        <f t="shared" si="32"/>
        <v>-0.27999999999999992</v>
      </c>
      <c r="P647" s="3" t="s">
        <v>19</v>
      </c>
    </row>
    <row r="648" spans="1:16" x14ac:dyDescent="0.35">
      <c r="A648" s="3" t="s">
        <v>40</v>
      </c>
      <c r="B648" s="3" t="str">
        <f>INDEX(State_Region!$B$2:$B$26,MATCH(TRIM(A648),State_Region!$A$2:$A$26,0))</f>
        <v>South</v>
      </c>
      <c r="C648" s="3" t="s">
        <v>85</v>
      </c>
      <c r="D648" s="3" t="str">
        <f>INDEX(Port_Type!$B$2:$B$227,MATCH(TRIM(C648),Port_Type!$A$2:$A$227,0))</f>
        <v>Sea Port</v>
      </c>
      <c r="E648" s="3" t="s">
        <v>151</v>
      </c>
      <c r="F648" s="3" t="str">
        <f>INDEX(Product_Category!$B$2:$B$45,MATCH(TRIM(E648),Product_Category!$A$2:$A$45,0))</f>
        <v>Processed Foods</v>
      </c>
      <c r="G648" s="4">
        <v>8.69</v>
      </c>
      <c r="H648" s="4">
        <v>3.18</v>
      </c>
      <c r="I648" s="4">
        <v>0.54</v>
      </c>
      <c r="J648" s="4">
        <v>9584.4500000000007</v>
      </c>
      <c r="K648" s="4">
        <v>5672.36</v>
      </c>
      <c r="L648" s="4">
        <v>1204.1600000000001</v>
      </c>
      <c r="M648" s="4">
        <f t="shared" si="30"/>
        <v>-5.51</v>
      </c>
      <c r="N648" s="4">
        <f t="shared" si="31"/>
        <v>-3912.0900000000011</v>
      </c>
      <c r="O648" s="4">
        <f t="shared" si="32"/>
        <v>-2.64</v>
      </c>
      <c r="P648" s="3" t="s">
        <v>19</v>
      </c>
    </row>
    <row r="649" spans="1:16" x14ac:dyDescent="0.35">
      <c r="A649" s="3" t="s">
        <v>40</v>
      </c>
      <c r="B649" s="3" t="str">
        <f>INDEX(State_Region!$B$2:$B$26,MATCH(TRIM(A649),State_Region!$A$2:$A$26,0))</f>
        <v>South</v>
      </c>
      <c r="C649" s="3" t="s">
        <v>41</v>
      </c>
      <c r="D649" s="3" t="str">
        <f>INDEX(Port_Type!$B$2:$B$227,MATCH(TRIM(C649),Port_Type!$A$2:$A$227,0))</f>
        <v>Sea Port</v>
      </c>
      <c r="E649" s="3" t="s">
        <v>122</v>
      </c>
      <c r="F649" s="3" t="str">
        <f>INDEX(Product_Category!$B$2:$B$45,MATCH(TRIM(E649),Product_Category!$A$2:$A$45,0))</f>
        <v>Others</v>
      </c>
      <c r="G649" s="4">
        <v>3.17</v>
      </c>
      <c r="H649" s="4">
        <v>2.37</v>
      </c>
      <c r="I649" s="4">
        <v>0.54</v>
      </c>
      <c r="J649" s="4">
        <v>929.5</v>
      </c>
      <c r="K649" s="4">
        <v>444.58</v>
      </c>
      <c r="L649" s="4">
        <v>81.209999999999994</v>
      </c>
      <c r="M649" s="4">
        <f t="shared" si="30"/>
        <v>-0.79999999999999982</v>
      </c>
      <c r="N649" s="4">
        <f t="shared" si="31"/>
        <v>-484.92</v>
      </c>
      <c r="O649" s="4">
        <f t="shared" si="32"/>
        <v>-1.83</v>
      </c>
      <c r="P649" s="3" t="s">
        <v>19</v>
      </c>
    </row>
    <row r="650" spans="1:16" x14ac:dyDescent="0.35">
      <c r="A650" s="3" t="s">
        <v>20</v>
      </c>
      <c r="B650" s="3" t="str">
        <f>INDEX(State_Region!$B$2:$B$26,MATCH(TRIM(A650),State_Region!$A$2:$A$26,0))</f>
        <v>West</v>
      </c>
      <c r="C650" s="3" t="s">
        <v>145</v>
      </c>
      <c r="D650" s="3" t="str">
        <f>INDEX(Port_Type!$B$2:$B$227,MATCH(TRIM(C650),Port_Type!$A$2:$A$227,0))</f>
        <v>Inland ICD / CFS</v>
      </c>
      <c r="E650" s="3" t="s">
        <v>42</v>
      </c>
      <c r="F650" s="3" t="str">
        <f>INDEX(Product_Category!$B$2:$B$45,MATCH(TRIM(E650),Product_Category!$A$2:$A$45,0))</f>
        <v>Processed Foods</v>
      </c>
      <c r="G650" s="4">
        <v>0</v>
      </c>
      <c r="H650" s="4">
        <v>0.92</v>
      </c>
      <c r="I650" s="4">
        <v>0.54</v>
      </c>
      <c r="J650" s="4">
        <v>0</v>
      </c>
      <c r="K650" s="4">
        <v>1170.55</v>
      </c>
      <c r="L650" s="4">
        <v>779.95</v>
      </c>
      <c r="M650" s="4">
        <f t="shared" si="30"/>
        <v>0.92</v>
      </c>
      <c r="N650" s="4">
        <f t="shared" si="31"/>
        <v>1170.55</v>
      </c>
      <c r="O650" s="4">
        <f t="shared" si="32"/>
        <v>-0.38</v>
      </c>
      <c r="P650" s="3" t="s">
        <v>19</v>
      </c>
    </row>
    <row r="651" spans="1:16" x14ac:dyDescent="0.35">
      <c r="A651" s="3" t="s">
        <v>16</v>
      </c>
      <c r="B651" s="3" t="str">
        <f>INDEX(State_Region!$B$2:$B$26,MATCH(TRIM(A651),State_Region!$A$2:$A$26,0))</f>
        <v>West</v>
      </c>
      <c r="C651" s="3" t="s">
        <v>28</v>
      </c>
      <c r="D651" s="3" t="str">
        <f>INDEX(Port_Type!$B$2:$B$227,MATCH(TRIM(C651),Port_Type!$A$2:$A$227,0))</f>
        <v>Sea Port</v>
      </c>
      <c r="E651" s="3" t="s">
        <v>42</v>
      </c>
      <c r="F651" s="3" t="str">
        <f>INDEX(Product_Category!$B$2:$B$45,MATCH(TRIM(E651),Product_Category!$A$2:$A$45,0))</f>
        <v>Processed Foods</v>
      </c>
      <c r="G651" s="4">
        <v>0.39</v>
      </c>
      <c r="H651" s="4">
        <v>5.96</v>
      </c>
      <c r="I651" s="4">
        <v>0.54</v>
      </c>
      <c r="J651" s="4">
        <v>356.87</v>
      </c>
      <c r="K651" s="4">
        <v>6426.59</v>
      </c>
      <c r="L651" s="4">
        <v>262.62</v>
      </c>
      <c r="M651" s="4">
        <f t="shared" si="30"/>
        <v>5.57</v>
      </c>
      <c r="N651" s="4">
        <f t="shared" si="31"/>
        <v>6069.72</v>
      </c>
      <c r="O651" s="4">
        <f t="shared" si="32"/>
        <v>-5.42</v>
      </c>
      <c r="P651" s="3" t="s">
        <v>19</v>
      </c>
    </row>
    <row r="652" spans="1:16" x14ac:dyDescent="0.35">
      <c r="A652" s="3" t="s">
        <v>31</v>
      </c>
      <c r="B652" s="3" t="str">
        <f>INDEX(State_Region!$B$2:$B$26,MATCH(TRIM(A652),State_Region!$A$2:$A$26,0))</f>
        <v>East</v>
      </c>
      <c r="C652" s="3" t="s">
        <v>146</v>
      </c>
      <c r="D652" s="3" t="str">
        <f>INDEX(Port_Type!$B$2:$B$227,MATCH(TRIM(C652),Port_Type!$A$2:$A$227,0))</f>
        <v>Land Border / Rail</v>
      </c>
      <c r="E652" s="3" t="s">
        <v>84</v>
      </c>
      <c r="F652" s="3" t="str">
        <f>INDEX(Product_Category!$B$2:$B$45,MATCH(TRIM(E652),Product_Category!$A$2:$A$45,0))</f>
        <v>Nuts &amp; Oilseeds</v>
      </c>
      <c r="G652" s="4">
        <v>0.93</v>
      </c>
      <c r="H652" s="4">
        <v>1.98</v>
      </c>
      <c r="I652" s="4">
        <v>0.53</v>
      </c>
      <c r="J652" s="4">
        <v>259</v>
      </c>
      <c r="K652" s="4">
        <v>478.8</v>
      </c>
      <c r="L652" s="4">
        <v>112.3</v>
      </c>
      <c r="M652" s="4">
        <f t="shared" si="30"/>
        <v>1.0499999999999998</v>
      </c>
      <c r="N652" s="4">
        <f t="shared" si="31"/>
        <v>219.8</v>
      </c>
      <c r="O652" s="4">
        <f t="shared" si="32"/>
        <v>-1.45</v>
      </c>
      <c r="P652" s="3" t="s">
        <v>19</v>
      </c>
    </row>
    <row r="653" spans="1:16" x14ac:dyDescent="0.35">
      <c r="A653" s="3" t="s">
        <v>129</v>
      </c>
      <c r="B653" s="3" t="str">
        <f>INDEX(State_Region!$B$2:$B$26,MATCH(TRIM(A653),State_Region!$A$2:$A$26,0))</f>
        <v>East</v>
      </c>
      <c r="C653" s="3" t="s">
        <v>147</v>
      </c>
      <c r="D653" s="3" t="str">
        <f>INDEX(Port_Type!$B$2:$B$227,MATCH(TRIM(C653),Port_Type!$A$2:$A$227,0))</f>
        <v>Land Border / Rail</v>
      </c>
      <c r="E653" s="3" t="s">
        <v>102</v>
      </c>
      <c r="F653" s="3" t="str">
        <f>INDEX(Product_Category!$B$2:$B$45,MATCH(TRIM(E653),Product_Category!$A$2:$A$45,0))</f>
        <v>Fresh Fruits &amp; Vegetables</v>
      </c>
      <c r="G653" s="4">
        <v>2.06</v>
      </c>
      <c r="H653" s="4">
        <v>2.88</v>
      </c>
      <c r="I653" s="4">
        <v>0.53</v>
      </c>
      <c r="J653" s="4">
        <v>17365.88</v>
      </c>
      <c r="K653" s="4">
        <v>22746.31</v>
      </c>
      <c r="L653" s="4">
        <v>3864.59</v>
      </c>
      <c r="M653" s="4">
        <f t="shared" si="30"/>
        <v>0.81999999999999984</v>
      </c>
      <c r="N653" s="4">
        <f t="shared" si="31"/>
        <v>5380.43</v>
      </c>
      <c r="O653" s="4">
        <f t="shared" si="32"/>
        <v>-2.3499999999999996</v>
      </c>
      <c r="P653" s="3" t="s">
        <v>19</v>
      </c>
    </row>
    <row r="654" spans="1:16" x14ac:dyDescent="0.35">
      <c r="A654" s="3" t="s">
        <v>189</v>
      </c>
      <c r="B654" s="3" t="str">
        <f>INDEX(State_Region!$B$2:$B$26,MATCH(TRIM(A654),State_Region!$A$2:$A$26,0))</f>
        <v>North</v>
      </c>
      <c r="C654" s="3" t="s">
        <v>193</v>
      </c>
      <c r="D654" s="3" t="str">
        <f>INDEX(Port_Type!$B$2:$B$227,MATCH(TRIM(C654),Port_Type!$A$2:$A$227,0))</f>
        <v>Inland ICD / CFS</v>
      </c>
      <c r="E654" s="3" t="s">
        <v>60</v>
      </c>
      <c r="F654" s="3" t="str">
        <f>INDEX(Product_Category!$B$2:$B$45,MATCH(TRIM(E654),Product_Category!$A$2:$A$45,0))</f>
        <v>Processed Foods</v>
      </c>
      <c r="G654" s="4">
        <v>2.31</v>
      </c>
      <c r="H654" s="4">
        <v>0.47</v>
      </c>
      <c r="I654" s="4">
        <v>0.53</v>
      </c>
      <c r="J654" s="4">
        <v>2087.1999999999998</v>
      </c>
      <c r="K654" s="4">
        <v>441.4</v>
      </c>
      <c r="L654" s="4">
        <v>539.70000000000005</v>
      </c>
      <c r="M654" s="4">
        <f t="shared" si="30"/>
        <v>-1.84</v>
      </c>
      <c r="N654" s="4">
        <f t="shared" si="31"/>
        <v>-1645.7999999999997</v>
      </c>
      <c r="O654" s="4">
        <f t="shared" si="32"/>
        <v>6.0000000000000053E-2</v>
      </c>
      <c r="P654" s="3" t="s">
        <v>19</v>
      </c>
    </row>
    <row r="655" spans="1:16" x14ac:dyDescent="0.35">
      <c r="A655" s="3" t="s">
        <v>40</v>
      </c>
      <c r="B655" s="3" t="str">
        <f>INDEX(State_Region!$B$2:$B$26,MATCH(TRIM(A655),State_Region!$A$2:$A$26,0))</f>
        <v>South</v>
      </c>
      <c r="C655" s="3" t="s">
        <v>194</v>
      </c>
      <c r="D655" s="3" t="str">
        <f>INDEX(Port_Type!$B$2:$B$227,MATCH(TRIM(C655),Port_Type!$A$2:$A$227,0))</f>
        <v>Air Cargo</v>
      </c>
      <c r="E655" s="3" t="s">
        <v>122</v>
      </c>
      <c r="F655" s="3" t="str">
        <f>INDEX(Product_Category!$B$2:$B$45,MATCH(TRIM(E655),Product_Category!$A$2:$A$45,0))</f>
        <v>Others</v>
      </c>
      <c r="G655" s="4">
        <v>1.55</v>
      </c>
      <c r="H655" s="4">
        <v>2.19</v>
      </c>
      <c r="I655" s="4">
        <v>0.53</v>
      </c>
      <c r="J655" s="4">
        <v>1028.6300000000001</v>
      </c>
      <c r="K655" s="4">
        <v>1068.3699999999999</v>
      </c>
      <c r="L655" s="4">
        <v>275.44</v>
      </c>
      <c r="M655" s="4">
        <f t="shared" si="30"/>
        <v>0.6399999999999999</v>
      </c>
      <c r="N655" s="4">
        <f t="shared" si="31"/>
        <v>39.739999999999782</v>
      </c>
      <c r="O655" s="4">
        <f t="shared" si="32"/>
        <v>-1.66</v>
      </c>
      <c r="P655" s="3" t="s">
        <v>19</v>
      </c>
    </row>
    <row r="656" spans="1:16" x14ac:dyDescent="0.35">
      <c r="A656" s="3" t="s">
        <v>35</v>
      </c>
      <c r="B656" s="3" t="str">
        <f>INDEX(State_Region!$B$2:$B$26,MATCH(TRIM(A656),State_Region!$A$2:$A$26,0))</f>
        <v>North</v>
      </c>
      <c r="C656" s="3" t="s">
        <v>37</v>
      </c>
      <c r="D656" s="3" t="str">
        <f>INDEX(Port_Type!$B$2:$B$227,MATCH(TRIM(C656),Port_Type!$A$2:$A$227,0))</f>
        <v>Inland ICD / CFS</v>
      </c>
      <c r="E656" s="3" t="s">
        <v>42</v>
      </c>
      <c r="F656" s="3" t="str">
        <f>INDEX(Product_Category!$B$2:$B$45,MATCH(TRIM(E656),Product_Category!$A$2:$A$45,0))</f>
        <v>Processed Foods</v>
      </c>
      <c r="G656" s="4">
        <v>1.05</v>
      </c>
      <c r="H656" s="4">
        <v>1.75</v>
      </c>
      <c r="I656" s="4">
        <v>0.51</v>
      </c>
      <c r="J656" s="4">
        <v>1210.8</v>
      </c>
      <c r="K656" s="4">
        <v>2048.7199999999998</v>
      </c>
      <c r="L656" s="4">
        <v>714.05</v>
      </c>
      <c r="M656" s="4">
        <f t="shared" si="30"/>
        <v>0.7</v>
      </c>
      <c r="N656" s="4">
        <f t="shared" si="31"/>
        <v>837.91999999999985</v>
      </c>
      <c r="O656" s="4">
        <f t="shared" si="32"/>
        <v>-1.24</v>
      </c>
      <c r="P656" s="3" t="s">
        <v>19</v>
      </c>
    </row>
    <row r="657" spans="1:16" x14ac:dyDescent="0.35">
      <c r="A657" s="3" t="s">
        <v>31</v>
      </c>
      <c r="B657" s="3" t="str">
        <f>INDEX(State_Region!$B$2:$B$26,MATCH(TRIM(A657),State_Region!$A$2:$A$26,0))</f>
        <v>East</v>
      </c>
      <c r="C657" s="3" t="s">
        <v>32</v>
      </c>
      <c r="D657" s="3" t="str">
        <f>INDEX(Port_Type!$B$2:$B$227,MATCH(TRIM(C657),Port_Type!$A$2:$A$227,0))</f>
        <v>Sea Port</v>
      </c>
      <c r="E657" s="3" t="s">
        <v>128</v>
      </c>
      <c r="F657" s="3" t="str">
        <f>INDEX(Product_Category!$B$2:$B$45,MATCH(TRIM(E657),Product_Category!$A$2:$A$45,0))</f>
        <v>Dairy, Poultry &amp; Honey</v>
      </c>
      <c r="G657" s="4">
        <v>0.15</v>
      </c>
      <c r="H657" s="4">
        <v>0.77</v>
      </c>
      <c r="I657" s="4">
        <v>0.51</v>
      </c>
      <c r="J657" s="4">
        <v>80.37</v>
      </c>
      <c r="K657" s="4">
        <v>456.94</v>
      </c>
      <c r="L657" s="4">
        <v>280.14999999999998</v>
      </c>
      <c r="M657" s="4">
        <f t="shared" si="30"/>
        <v>0.62</v>
      </c>
      <c r="N657" s="4">
        <f t="shared" si="31"/>
        <v>376.57</v>
      </c>
      <c r="O657" s="4">
        <f t="shared" si="32"/>
        <v>-0.26</v>
      </c>
      <c r="P657" s="3" t="s">
        <v>19</v>
      </c>
    </row>
    <row r="658" spans="1:16" x14ac:dyDescent="0.35">
      <c r="A658" s="3" t="s">
        <v>79</v>
      </c>
      <c r="B658" s="3" t="str">
        <f>INDEX(State_Region!$B$2:$B$26,MATCH(TRIM(A658),State_Region!$A$2:$A$26,0))</f>
        <v>South</v>
      </c>
      <c r="C658" s="3" t="s">
        <v>91</v>
      </c>
      <c r="D658" s="3" t="str">
        <f>INDEX(Port_Type!$B$2:$B$227,MATCH(TRIM(C658),Port_Type!$A$2:$A$227,0))</f>
        <v>Sea Port</v>
      </c>
      <c r="E658" s="3" t="s">
        <v>54</v>
      </c>
      <c r="F658" s="3" t="str">
        <f>INDEX(Product_Category!$B$2:$B$45,MATCH(TRIM(E658),Product_Category!$A$2:$A$45,0))</f>
        <v>Processed Foods</v>
      </c>
      <c r="G658" s="4">
        <v>8.35</v>
      </c>
      <c r="H658" s="4">
        <v>1.55</v>
      </c>
      <c r="I658" s="4">
        <v>0.51</v>
      </c>
      <c r="J658" s="4">
        <v>5726.01</v>
      </c>
      <c r="K658" s="4">
        <v>751.33</v>
      </c>
      <c r="L658" s="4">
        <v>296.43</v>
      </c>
      <c r="M658" s="4">
        <f t="shared" si="30"/>
        <v>-6.8</v>
      </c>
      <c r="N658" s="4">
        <f t="shared" si="31"/>
        <v>-4974.68</v>
      </c>
      <c r="O658" s="4">
        <f t="shared" si="32"/>
        <v>-1.04</v>
      </c>
      <c r="P658" s="3" t="s">
        <v>19</v>
      </c>
    </row>
    <row r="659" spans="1:16" x14ac:dyDescent="0.35">
      <c r="A659" s="3" t="s">
        <v>31</v>
      </c>
      <c r="B659" s="3" t="str">
        <f>INDEX(State_Region!$B$2:$B$26,MATCH(TRIM(A659),State_Region!$A$2:$A$26,0))</f>
        <v>East</v>
      </c>
      <c r="C659" s="3" t="s">
        <v>204</v>
      </c>
      <c r="D659" s="3" t="str">
        <f>INDEX(Port_Type!$B$2:$B$227,MATCH(TRIM(C659),Port_Type!$A$2:$A$227,0))</f>
        <v>Land Border / Rail</v>
      </c>
      <c r="E659" s="3" t="s">
        <v>27</v>
      </c>
      <c r="F659" s="3" t="str">
        <f>INDEX(Product_Category!$B$2:$B$45,MATCH(TRIM(E659),Product_Category!$A$2:$A$45,0))</f>
        <v>Cereals &amp; Grains</v>
      </c>
      <c r="G659" s="4">
        <v>0</v>
      </c>
      <c r="H659" s="4">
        <v>0</v>
      </c>
      <c r="I659" s="4">
        <v>0.51</v>
      </c>
      <c r="J659" s="4">
        <v>0</v>
      </c>
      <c r="K659" s="4">
        <v>0</v>
      </c>
      <c r="L659" s="4">
        <v>1500</v>
      </c>
      <c r="M659" s="4">
        <f t="shared" si="30"/>
        <v>0</v>
      </c>
      <c r="N659" s="4">
        <f t="shared" si="31"/>
        <v>0</v>
      </c>
      <c r="O659" s="4">
        <f t="shared" si="32"/>
        <v>0.51</v>
      </c>
      <c r="P659" s="3" t="s">
        <v>19</v>
      </c>
    </row>
    <row r="660" spans="1:16" x14ac:dyDescent="0.35">
      <c r="A660" s="3" t="s">
        <v>20</v>
      </c>
      <c r="B660" s="3" t="str">
        <f>INDEX(State_Region!$B$2:$B$26,MATCH(TRIM(A660),State_Region!$A$2:$A$26,0))</f>
        <v>West</v>
      </c>
      <c r="C660" s="3" t="s">
        <v>56</v>
      </c>
      <c r="D660" s="3" t="str">
        <f>INDEX(Port_Type!$B$2:$B$227,MATCH(TRIM(C660),Port_Type!$A$2:$A$227,0))</f>
        <v>Inland ICD / CFS</v>
      </c>
      <c r="E660" s="3" t="s">
        <v>33</v>
      </c>
      <c r="F660" s="3" t="str">
        <f>INDEX(Product_Category!$B$2:$B$45,MATCH(TRIM(E660),Product_Category!$A$2:$A$45,0))</f>
        <v>Pulses</v>
      </c>
      <c r="G660" s="4">
        <v>2.0699999999999998</v>
      </c>
      <c r="H660" s="4">
        <v>2.4500000000000002</v>
      </c>
      <c r="I660" s="4">
        <v>0.5</v>
      </c>
      <c r="J660" s="4">
        <v>1312.14</v>
      </c>
      <c r="K660" s="4">
        <v>1955.53</v>
      </c>
      <c r="L660" s="4">
        <v>403.5</v>
      </c>
      <c r="M660" s="4">
        <f t="shared" si="30"/>
        <v>0.38000000000000034</v>
      </c>
      <c r="N660" s="4">
        <f t="shared" si="31"/>
        <v>643.38999999999987</v>
      </c>
      <c r="O660" s="4">
        <f t="shared" si="32"/>
        <v>-1.9500000000000002</v>
      </c>
      <c r="P660" s="3" t="s">
        <v>19</v>
      </c>
    </row>
    <row r="661" spans="1:16" x14ac:dyDescent="0.35">
      <c r="A661" s="3" t="s">
        <v>159</v>
      </c>
      <c r="B661" s="3" t="str">
        <f>INDEX(State_Region!$B$2:$B$26,MATCH(TRIM(A661),State_Region!$A$2:$A$26,0))</f>
        <v>North-East</v>
      </c>
      <c r="C661" s="3" t="s">
        <v>160</v>
      </c>
      <c r="D661" s="3" t="str">
        <f>INDEX(Port_Type!$B$2:$B$227,MATCH(TRIM(C661),Port_Type!$A$2:$A$227,0))</f>
        <v>Land Border / Rail</v>
      </c>
      <c r="E661" s="3" t="s">
        <v>18</v>
      </c>
      <c r="F661" s="3" t="str">
        <f>INDEX(Product_Category!$B$2:$B$45,MATCH(TRIM(E661),Product_Category!$A$2:$A$45,0))</f>
        <v>Cereals &amp; Grains</v>
      </c>
      <c r="G661" s="4">
        <v>0.1</v>
      </c>
      <c r="H661" s="4">
        <v>1.8</v>
      </c>
      <c r="I661" s="4">
        <v>0.5</v>
      </c>
      <c r="J661" s="4">
        <v>107.74</v>
      </c>
      <c r="K661" s="4">
        <v>2960.27</v>
      </c>
      <c r="L661" s="4">
        <v>890.49</v>
      </c>
      <c r="M661" s="4">
        <f t="shared" si="30"/>
        <v>1.7</v>
      </c>
      <c r="N661" s="4">
        <f t="shared" si="31"/>
        <v>2852.53</v>
      </c>
      <c r="O661" s="4">
        <f t="shared" si="32"/>
        <v>-1.3</v>
      </c>
      <c r="P661" s="3" t="s">
        <v>19</v>
      </c>
    </row>
    <row r="662" spans="1:16" x14ac:dyDescent="0.35">
      <c r="A662" s="3" t="s">
        <v>94</v>
      </c>
      <c r="B662" s="3" t="str">
        <f>INDEX(State_Region!$B$2:$B$26,MATCH(TRIM(A662),State_Region!$A$2:$A$26,0))</f>
        <v>East</v>
      </c>
      <c r="C662" s="3" t="s">
        <v>112</v>
      </c>
      <c r="D662" s="3" t="str">
        <f>INDEX(Port_Type!$B$2:$B$227,MATCH(TRIM(C662),Port_Type!$A$2:$A$227,0))</f>
        <v>Land Border / Rail</v>
      </c>
      <c r="E662" s="3" t="s">
        <v>42</v>
      </c>
      <c r="F662" s="3" t="str">
        <f>INDEX(Product_Category!$B$2:$B$45,MATCH(TRIM(E662),Product_Category!$A$2:$A$45,0))</f>
        <v>Processed Foods</v>
      </c>
      <c r="G662" s="4">
        <v>1.1299999999999999</v>
      </c>
      <c r="H662" s="4">
        <v>1.48</v>
      </c>
      <c r="I662" s="4">
        <v>0.5</v>
      </c>
      <c r="J662" s="4">
        <v>1178.3800000000001</v>
      </c>
      <c r="K662" s="4">
        <v>1269.81</v>
      </c>
      <c r="L662" s="4">
        <v>406.81</v>
      </c>
      <c r="M662" s="4">
        <f t="shared" si="30"/>
        <v>0.35000000000000009</v>
      </c>
      <c r="N662" s="4">
        <f t="shared" si="31"/>
        <v>91.429999999999836</v>
      </c>
      <c r="O662" s="4">
        <f t="shared" si="32"/>
        <v>-0.98</v>
      </c>
      <c r="P662" s="3" t="s">
        <v>19</v>
      </c>
    </row>
    <row r="663" spans="1:16" x14ac:dyDescent="0.35">
      <c r="A663" s="3" t="s">
        <v>94</v>
      </c>
      <c r="B663" s="3" t="str">
        <f>INDEX(State_Region!$B$2:$B$26,MATCH(TRIM(A663),State_Region!$A$2:$A$26,0))</f>
        <v>East</v>
      </c>
      <c r="C663" s="3" t="s">
        <v>95</v>
      </c>
      <c r="D663" s="3" t="str">
        <f>INDEX(Port_Type!$B$2:$B$227,MATCH(TRIM(C663),Port_Type!$A$2:$A$227,0))</f>
        <v>Land Border / Rail</v>
      </c>
      <c r="E663" s="3" t="s">
        <v>83</v>
      </c>
      <c r="F663" s="3" t="str">
        <f>INDEX(Product_Category!$B$2:$B$45,MATCH(TRIM(E663),Product_Category!$A$2:$A$45,0))</f>
        <v>Fresh Fruits &amp; Vegetables</v>
      </c>
      <c r="G663" s="4">
        <v>2.5299999999999998</v>
      </c>
      <c r="H663" s="4">
        <v>1.1499999999999999</v>
      </c>
      <c r="I663" s="4">
        <v>0.5</v>
      </c>
      <c r="J663" s="4">
        <v>6338.21</v>
      </c>
      <c r="K663" s="4">
        <v>2859.07</v>
      </c>
      <c r="L663" s="4">
        <v>1099.33</v>
      </c>
      <c r="M663" s="4">
        <f t="shared" si="30"/>
        <v>-1.38</v>
      </c>
      <c r="N663" s="4">
        <f t="shared" si="31"/>
        <v>-3479.14</v>
      </c>
      <c r="O663" s="4">
        <f t="shared" si="32"/>
        <v>-0.64999999999999991</v>
      </c>
      <c r="P663" s="3" t="s">
        <v>19</v>
      </c>
    </row>
    <row r="664" spans="1:16" x14ac:dyDescent="0.35">
      <c r="A664" s="3" t="s">
        <v>40</v>
      </c>
      <c r="B664" s="3" t="str">
        <f>INDEX(State_Region!$B$2:$B$26,MATCH(TRIM(A664),State_Region!$A$2:$A$26,0))</f>
        <v>South</v>
      </c>
      <c r="C664" s="3" t="s">
        <v>205</v>
      </c>
      <c r="D664" s="3" t="str">
        <f>INDEX(Port_Type!$B$2:$B$227,MATCH(TRIM(C664),Port_Type!$A$2:$A$227,0))</f>
        <v>Inland ICD / CFS</v>
      </c>
      <c r="E664" s="3" t="s">
        <v>151</v>
      </c>
      <c r="F664" s="3" t="str">
        <f>INDEX(Product_Category!$B$2:$B$45,MATCH(TRIM(E664),Product_Category!$A$2:$A$45,0))</f>
        <v>Processed Foods</v>
      </c>
      <c r="G664" s="4">
        <v>0</v>
      </c>
      <c r="H664" s="4">
        <v>3.94</v>
      </c>
      <c r="I664" s="4">
        <v>0.49</v>
      </c>
      <c r="J664" s="4">
        <v>0</v>
      </c>
      <c r="K664" s="4">
        <v>4654.5600000000004</v>
      </c>
      <c r="L664" s="4">
        <v>690.76</v>
      </c>
      <c r="M664" s="4">
        <f t="shared" si="30"/>
        <v>3.94</v>
      </c>
      <c r="N664" s="4">
        <f t="shared" si="31"/>
        <v>4654.5600000000004</v>
      </c>
      <c r="O664" s="4">
        <f t="shared" si="32"/>
        <v>-3.45</v>
      </c>
      <c r="P664" s="3" t="s">
        <v>19</v>
      </c>
    </row>
    <row r="665" spans="1:16" x14ac:dyDescent="0.35">
      <c r="A665" s="3" t="s">
        <v>40</v>
      </c>
      <c r="B665" s="3" t="str">
        <f>INDEX(State_Region!$B$2:$B$26,MATCH(TRIM(A665),State_Region!$A$2:$A$26,0))</f>
        <v>South</v>
      </c>
      <c r="C665" s="3" t="s">
        <v>117</v>
      </c>
      <c r="D665" s="3" t="str">
        <f>INDEX(Port_Type!$B$2:$B$227,MATCH(TRIM(C665),Port_Type!$A$2:$A$227,0))</f>
        <v>Sea Port</v>
      </c>
      <c r="E665" s="3" t="s">
        <v>65</v>
      </c>
      <c r="F665" s="3" t="str">
        <f>INDEX(Product_Category!$B$2:$B$45,MATCH(TRIM(E665),Product_Category!$A$2:$A$45,0))</f>
        <v>Cereals &amp; Grains</v>
      </c>
      <c r="G665" s="4">
        <v>1.07</v>
      </c>
      <c r="H665" s="4">
        <v>1.36</v>
      </c>
      <c r="I665" s="4">
        <v>0.49</v>
      </c>
      <c r="J665" s="4">
        <v>2323.3200000000002</v>
      </c>
      <c r="K665" s="4">
        <v>3097.03</v>
      </c>
      <c r="L665" s="4">
        <v>1200.54</v>
      </c>
      <c r="M665" s="4">
        <f t="shared" si="30"/>
        <v>0.29000000000000004</v>
      </c>
      <c r="N665" s="4">
        <f t="shared" si="31"/>
        <v>773.71</v>
      </c>
      <c r="O665" s="4">
        <f t="shared" si="32"/>
        <v>-0.87000000000000011</v>
      </c>
      <c r="P665" s="3" t="s">
        <v>19</v>
      </c>
    </row>
    <row r="666" spans="1:16" x14ac:dyDescent="0.35">
      <c r="A666" s="3" t="s">
        <v>20</v>
      </c>
      <c r="B666" s="3" t="str">
        <f>INDEX(State_Region!$B$2:$B$26,MATCH(TRIM(A666),State_Region!$A$2:$A$26,0))</f>
        <v>West</v>
      </c>
      <c r="C666" s="3" t="s">
        <v>111</v>
      </c>
      <c r="D666" s="3" t="str">
        <f>INDEX(Port_Type!$B$2:$B$227,MATCH(TRIM(C666),Port_Type!$A$2:$A$227,0))</f>
        <v>Inland ICD / CFS</v>
      </c>
      <c r="E666" s="3" t="s">
        <v>33</v>
      </c>
      <c r="F666" s="3" t="str">
        <f>INDEX(Product_Category!$B$2:$B$45,MATCH(TRIM(E666),Product_Category!$A$2:$A$45,0))</f>
        <v>Pulses</v>
      </c>
      <c r="G666" s="4">
        <v>0</v>
      </c>
      <c r="H666" s="4">
        <v>0.25</v>
      </c>
      <c r="I666" s="4">
        <v>0.49</v>
      </c>
      <c r="J666" s="4">
        <v>0</v>
      </c>
      <c r="K666" s="4">
        <v>193.5</v>
      </c>
      <c r="L666" s="4">
        <v>389.5</v>
      </c>
      <c r="M666" s="4">
        <f t="shared" si="30"/>
        <v>0.25</v>
      </c>
      <c r="N666" s="4">
        <f t="shared" si="31"/>
        <v>193.5</v>
      </c>
      <c r="O666" s="4">
        <f t="shared" si="32"/>
        <v>0.24</v>
      </c>
      <c r="P666" s="3" t="s">
        <v>19</v>
      </c>
    </row>
    <row r="667" spans="1:16" x14ac:dyDescent="0.35">
      <c r="A667" s="3" t="s">
        <v>31</v>
      </c>
      <c r="B667" s="3" t="str">
        <f>INDEX(State_Region!$B$2:$B$26,MATCH(TRIM(A667),State_Region!$A$2:$A$26,0))</f>
        <v>East</v>
      </c>
      <c r="C667" s="3" t="s">
        <v>204</v>
      </c>
      <c r="D667" s="3" t="str">
        <f>INDEX(Port_Type!$B$2:$B$227,MATCH(TRIM(C667),Port_Type!$A$2:$A$227,0))</f>
        <v>Land Border / Rail</v>
      </c>
      <c r="E667" s="3" t="s">
        <v>62</v>
      </c>
      <c r="F667" s="3" t="str">
        <f>INDEX(Product_Category!$B$2:$B$45,MATCH(TRIM(E667),Product_Category!$A$2:$A$45,0))</f>
        <v>Cereals &amp; Grains</v>
      </c>
      <c r="G667" s="4">
        <v>4.01</v>
      </c>
      <c r="H667" s="4">
        <v>1.36</v>
      </c>
      <c r="I667" s="4">
        <v>0.49</v>
      </c>
      <c r="J667" s="4">
        <v>14897.8</v>
      </c>
      <c r="K667" s="4">
        <v>6212.52</v>
      </c>
      <c r="L667" s="4">
        <v>2161.09</v>
      </c>
      <c r="M667" s="4">
        <f t="shared" si="30"/>
        <v>-2.6499999999999995</v>
      </c>
      <c r="N667" s="4">
        <f t="shared" si="31"/>
        <v>-8685.2799999999988</v>
      </c>
      <c r="O667" s="4">
        <f t="shared" si="32"/>
        <v>-0.87000000000000011</v>
      </c>
      <c r="P667" s="3" t="s">
        <v>19</v>
      </c>
    </row>
    <row r="668" spans="1:16" x14ac:dyDescent="0.35">
      <c r="A668" s="3" t="s">
        <v>31</v>
      </c>
      <c r="B668" s="3" t="str">
        <f>INDEX(State_Region!$B$2:$B$26,MATCH(TRIM(A668),State_Region!$A$2:$A$26,0))</f>
        <v>East</v>
      </c>
      <c r="C668" s="3" t="s">
        <v>171</v>
      </c>
      <c r="D668" s="3" t="str">
        <f>INDEX(Port_Type!$B$2:$B$227,MATCH(TRIM(C668),Port_Type!$A$2:$A$227,0))</f>
        <v>Land Border / Rail</v>
      </c>
      <c r="E668" s="3" t="s">
        <v>45</v>
      </c>
      <c r="F668" s="3" t="str">
        <f>INDEX(Product_Category!$B$2:$B$45,MATCH(TRIM(E668),Product_Category!$A$2:$A$45,0))</f>
        <v>Fresh Fruits &amp; Vegetables</v>
      </c>
      <c r="G668" s="4">
        <v>2.69</v>
      </c>
      <c r="H668" s="4">
        <v>3.72</v>
      </c>
      <c r="I668" s="4">
        <v>0.48</v>
      </c>
      <c r="J668" s="4">
        <v>5052.34</v>
      </c>
      <c r="K668" s="4">
        <v>8599.66</v>
      </c>
      <c r="L668" s="4">
        <v>1332.39</v>
      </c>
      <c r="M668" s="4">
        <f t="shared" si="30"/>
        <v>1.0300000000000002</v>
      </c>
      <c r="N668" s="4">
        <f t="shared" si="31"/>
        <v>3547.3199999999997</v>
      </c>
      <c r="O668" s="4">
        <f t="shared" si="32"/>
        <v>-3.24</v>
      </c>
      <c r="P668" s="3" t="s">
        <v>19</v>
      </c>
    </row>
    <row r="669" spans="1:16" x14ac:dyDescent="0.35">
      <c r="A669" s="3" t="s">
        <v>23</v>
      </c>
      <c r="B669" s="3" t="str">
        <f>INDEX(State_Region!$B$2:$B$26,MATCH(TRIM(A669),State_Region!$A$2:$A$26,0))</f>
        <v>North</v>
      </c>
      <c r="C669" s="3" t="s">
        <v>124</v>
      </c>
      <c r="D669" s="3" t="str">
        <f>INDEX(Port_Type!$B$2:$B$227,MATCH(TRIM(C669),Port_Type!$A$2:$A$227,0))</f>
        <v>Inland ICD / CFS</v>
      </c>
      <c r="E669" s="3" t="s">
        <v>55</v>
      </c>
      <c r="F669" s="3" t="str">
        <f>INDEX(Product_Category!$B$2:$B$45,MATCH(TRIM(E669),Product_Category!$A$2:$A$45,0))</f>
        <v>Fresh Fruits &amp; Vegetables</v>
      </c>
      <c r="G669" s="4">
        <v>0</v>
      </c>
      <c r="H669" s="4">
        <v>1.73</v>
      </c>
      <c r="I669" s="4">
        <v>0.48</v>
      </c>
      <c r="J669" s="4">
        <v>0</v>
      </c>
      <c r="K669" s="4">
        <v>8683.2900000000009</v>
      </c>
      <c r="L669" s="4">
        <v>2272.34</v>
      </c>
      <c r="M669" s="4">
        <f t="shared" si="30"/>
        <v>1.73</v>
      </c>
      <c r="N669" s="4">
        <f t="shared" si="31"/>
        <v>8683.2900000000009</v>
      </c>
      <c r="O669" s="4">
        <f t="shared" si="32"/>
        <v>-1.25</v>
      </c>
      <c r="P669" s="3" t="s">
        <v>19</v>
      </c>
    </row>
    <row r="670" spans="1:16" x14ac:dyDescent="0.35">
      <c r="A670" s="3" t="s">
        <v>25</v>
      </c>
      <c r="B670" s="3" t="str">
        <f>INDEX(State_Region!$B$2:$B$26,MATCH(TRIM(A670),State_Region!$A$2:$A$26,0))</f>
        <v>South</v>
      </c>
      <c r="C670" s="3" t="s">
        <v>206</v>
      </c>
      <c r="D670" s="3" t="str">
        <f>INDEX(Port_Type!$B$2:$B$227,MATCH(TRIM(C670),Port_Type!$A$2:$A$227,0))</f>
        <v>Inland ICD / CFS</v>
      </c>
      <c r="E670" s="3" t="s">
        <v>122</v>
      </c>
      <c r="F670" s="3" t="str">
        <f>INDEX(Product_Category!$B$2:$B$45,MATCH(TRIM(E670),Product_Category!$A$2:$A$45,0))</f>
        <v>Others</v>
      </c>
      <c r="G670" s="4">
        <v>0.84</v>
      </c>
      <c r="H670" s="4">
        <v>1.07</v>
      </c>
      <c r="I670" s="4">
        <v>0.48</v>
      </c>
      <c r="J670" s="4">
        <v>230.15</v>
      </c>
      <c r="K670" s="4">
        <v>419.42</v>
      </c>
      <c r="L670" s="4">
        <v>177.67</v>
      </c>
      <c r="M670" s="4">
        <f t="shared" si="30"/>
        <v>0.23000000000000009</v>
      </c>
      <c r="N670" s="4">
        <f t="shared" si="31"/>
        <v>189.27</v>
      </c>
      <c r="O670" s="4">
        <f t="shared" si="32"/>
        <v>-0.59000000000000008</v>
      </c>
      <c r="P670" s="3" t="s">
        <v>19</v>
      </c>
    </row>
    <row r="671" spans="1:16" x14ac:dyDescent="0.35">
      <c r="A671" s="3" t="s">
        <v>94</v>
      </c>
      <c r="B671" s="3" t="str">
        <f>INDEX(State_Region!$B$2:$B$26,MATCH(TRIM(A671),State_Region!$A$2:$A$26,0))</f>
        <v>East</v>
      </c>
      <c r="C671" s="3" t="s">
        <v>95</v>
      </c>
      <c r="D671" s="3" t="str">
        <f>INDEX(Port_Type!$B$2:$B$227,MATCH(TRIM(C671),Port_Type!$A$2:$A$227,0))</f>
        <v>Land Border / Rail</v>
      </c>
      <c r="E671" s="3" t="s">
        <v>72</v>
      </c>
      <c r="F671" s="3" t="str">
        <f>INDEX(Product_Category!$B$2:$B$45,MATCH(TRIM(E671),Product_Category!$A$2:$A$45,0))</f>
        <v>Dairy, Poultry &amp; Honey</v>
      </c>
      <c r="G671" s="4">
        <v>3.51</v>
      </c>
      <c r="H671" s="4">
        <v>2.23</v>
      </c>
      <c r="I671" s="4">
        <v>0.48</v>
      </c>
      <c r="J671" s="4">
        <v>381.91</v>
      </c>
      <c r="K671" s="4">
        <v>442.15</v>
      </c>
      <c r="L671" s="4">
        <v>108.33</v>
      </c>
      <c r="M671" s="4">
        <f t="shared" si="30"/>
        <v>-1.2799999999999998</v>
      </c>
      <c r="N671" s="4">
        <f t="shared" si="31"/>
        <v>60.239999999999952</v>
      </c>
      <c r="O671" s="4">
        <f t="shared" si="32"/>
        <v>-1.75</v>
      </c>
      <c r="P671" s="3" t="s">
        <v>19</v>
      </c>
    </row>
    <row r="672" spans="1:16" x14ac:dyDescent="0.35">
      <c r="A672" s="3" t="s">
        <v>74</v>
      </c>
      <c r="B672" s="3" t="str">
        <f>INDEX(State_Region!$B$2:$B$26,MATCH(TRIM(A672),State_Region!$A$2:$A$26,0))</f>
        <v>South</v>
      </c>
      <c r="C672" s="3" t="s">
        <v>98</v>
      </c>
      <c r="D672" s="3" t="str">
        <f>INDEX(Port_Type!$B$2:$B$227,MATCH(TRIM(C672),Port_Type!$A$2:$A$227,0))</f>
        <v>Inland ICD / CFS</v>
      </c>
      <c r="E672" s="3" t="s">
        <v>33</v>
      </c>
      <c r="F672" s="3" t="str">
        <f>INDEX(Product_Category!$B$2:$B$45,MATCH(TRIM(E672),Product_Category!$A$2:$A$45,0))</f>
        <v>Pulses</v>
      </c>
      <c r="G672" s="4">
        <v>0</v>
      </c>
      <c r="H672" s="4">
        <v>2.9</v>
      </c>
      <c r="I672" s="4">
        <v>0.47</v>
      </c>
      <c r="J672" s="4">
        <v>0</v>
      </c>
      <c r="K672" s="4">
        <v>1170.58</v>
      </c>
      <c r="L672" s="4">
        <v>203.23</v>
      </c>
      <c r="M672" s="4">
        <f t="shared" si="30"/>
        <v>2.9</v>
      </c>
      <c r="N672" s="4">
        <f t="shared" si="31"/>
        <v>1170.58</v>
      </c>
      <c r="O672" s="4">
        <f t="shared" si="32"/>
        <v>-2.4299999999999997</v>
      </c>
      <c r="P672" s="3" t="s">
        <v>19</v>
      </c>
    </row>
    <row r="673" spans="1:16" x14ac:dyDescent="0.35">
      <c r="A673" s="3" t="s">
        <v>31</v>
      </c>
      <c r="B673" s="3" t="str">
        <f>INDEX(State_Region!$B$2:$B$26,MATCH(TRIM(A673),State_Region!$A$2:$A$26,0))</f>
        <v>East</v>
      </c>
      <c r="C673" s="3" t="s">
        <v>32</v>
      </c>
      <c r="D673" s="3" t="str">
        <f>INDEX(Port_Type!$B$2:$B$227,MATCH(TRIM(C673),Port_Type!$A$2:$A$227,0))</f>
        <v>Sea Port</v>
      </c>
      <c r="E673" s="3" t="s">
        <v>69</v>
      </c>
      <c r="F673" s="3" t="str">
        <f>INDEX(Product_Category!$B$2:$B$45,MATCH(TRIM(E673),Product_Category!$A$2:$A$45,0))</f>
        <v>Others</v>
      </c>
      <c r="G673" s="4">
        <v>0.77</v>
      </c>
      <c r="H673" s="4">
        <v>1.08</v>
      </c>
      <c r="I673" s="4">
        <v>0.47</v>
      </c>
      <c r="J673" s="4">
        <v>146.54</v>
      </c>
      <c r="K673" s="4">
        <v>86.02</v>
      </c>
      <c r="L673" s="4">
        <v>88.5</v>
      </c>
      <c r="M673" s="4">
        <f t="shared" si="30"/>
        <v>0.31000000000000005</v>
      </c>
      <c r="N673" s="4">
        <f t="shared" si="31"/>
        <v>-60.519999999999996</v>
      </c>
      <c r="O673" s="4">
        <f t="shared" si="32"/>
        <v>-0.6100000000000001</v>
      </c>
      <c r="P673" s="3" t="s">
        <v>19</v>
      </c>
    </row>
    <row r="674" spans="1:16" x14ac:dyDescent="0.35">
      <c r="A674" s="3" t="s">
        <v>16</v>
      </c>
      <c r="B674" s="3" t="str">
        <f>INDEX(State_Region!$B$2:$B$26,MATCH(TRIM(A674),State_Region!$A$2:$A$26,0))</f>
        <v>West</v>
      </c>
      <c r="C674" s="3" t="s">
        <v>172</v>
      </c>
      <c r="D674" s="3" t="str">
        <f>INDEX(Port_Type!$B$2:$B$227,MATCH(TRIM(C674),Port_Type!$A$2:$A$227,0))</f>
        <v>Sea Port</v>
      </c>
      <c r="E674" s="3" t="s">
        <v>33</v>
      </c>
      <c r="F674" s="3" t="str">
        <f>INDEX(Product_Category!$B$2:$B$45,MATCH(TRIM(E674),Product_Category!$A$2:$A$45,0))</f>
        <v>Pulses</v>
      </c>
      <c r="G674" s="4">
        <v>1.02</v>
      </c>
      <c r="H674" s="4">
        <v>0.04</v>
      </c>
      <c r="I674" s="4">
        <v>0.47</v>
      </c>
      <c r="J674" s="4">
        <v>1095.0999999999999</v>
      </c>
      <c r="K674" s="4">
        <v>35</v>
      </c>
      <c r="L674" s="4">
        <v>520</v>
      </c>
      <c r="M674" s="4">
        <f t="shared" si="30"/>
        <v>-0.98</v>
      </c>
      <c r="N674" s="4">
        <f t="shared" si="31"/>
        <v>-1060.0999999999999</v>
      </c>
      <c r="O674" s="4">
        <f t="shared" si="32"/>
        <v>0.43</v>
      </c>
      <c r="P674" s="3" t="s">
        <v>19</v>
      </c>
    </row>
    <row r="675" spans="1:16" x14ac:dyDescent="0.35">
      <c r="A675" s="3" t="s">
        <v>74</v>
      </c>
      <c r="B675" s="3" t="str">
        <f>INDEX(State_Region!$B$2:$B$26,MATCH(TRIM(A675),State_Region!$A$2:$A$26,0))</f>
        <v>South</v>
      </c>
      <c r="C675" s="3" t="s">
        <v>98</v>
      </c>
      <c r="D675" s="3" t="str">
        <f>INDEX(Port_Type!$B$2:$B$227,MATCH(TRIM(C675),Port_Type!$A$2:$A$227,0))</f>
        <v>Inland ICD / CFS</v>
      </c>
      <c r="E675" s="3" t="s">
        <v>81</v>
      </c>
      <c r="F675" s="3" t="str">
        <f>INDEX(Product_Category!$B$2:$B$45,MATCH(TRIM(E675),Product_Category!$A$2:$A$45,0))</f>
        <v>Processed Foods</v>
      </c>
      <c r="G675" s="4">
        <v>0.5</v>
      </c>
      <c r="H675" s="4">
        <v>1.55</v>
      </c>
      <c r="I675" s="4">
        <v>0.47</v>
      </c>
      <c r="J675" s="4">
        <v>411.44</v>
      </c>
      <c r="K675" s="4">
        <v>1458.77</v>
      </c>
      <c r="L675" s="4">
        <v>576.55999999999995</v>
      </c>
      <c r="M675" s="4">
        <f t="shared" si="30"/>
        <v>1.05</v>
      </c>
      <c r="N675" s="4">
        <f t="shared" si="31"/>
        <v>1047.33</v>
      </c>
      <c r="O675" s="4">
        <f t="shared" si="32"/>
        <v>-1.08</v>
      </c>
      <c r="P675" s="3" t="s">
        <v>19</v>
      </c>
    </row>
    <row r="676" spans="1:16" x14ac:dyDescent="0.35">
      <c r="A676" s="3" t="s">
        <v>40</v>
      </c>
      <c r="B676" s="3" t="str">
        <f>INDEX(State_Region!$B$2:$B$26,MATCH(TRIM(A676),State_Region!$A$2:$A$26,0))</f>
        <v>South</v>
      </c>
      <c r="C676" s="3" t="s">
        <v>85</v>
      </c>
      <c r="D676" s="3" t="str">
        <f>INDEX(Port_Type!$B$2:$B$227,MATCH(TRIM(C676),Port_Type!$A$2:$A$227,0))</f>
        <v>Sea Port</v>
      </c>
      <c r="E676" s="3" t="s">
        <v>144</v>
      </c>
      <c r="F676" s="3" t="str">
        <f>INDEX(Product_Category!$B$2:$B$45,MATCH(TRIM(E676),Product_Category!$A$2:$A$45,0))</f>
        <v>Cereals &amp; Grains</v>
      </c>
      <c r="G676" s="4">
        <v>0.43</v>
      </c>
      <c r="H676" s="4">
        <v>1.27</v>
      </c>
      <c r="I676" s="4">
        <v>0.47</v>
      </c>
      <c r="J676" s="4">
        <v>478.56</v>
      </c>
      <c r="K676" s="4">
        <v>2011.63</v>
      </c>
      <c r="L676" s="4">
        <v>786.2</v>
      </c>
      <c r="M676" s="4">
        <f t="shared" si="30"/>
        <v>0.84000000000000008</v>
      </c>
      <c r="N676" s="4">
        <f t="shared" si="31"/>
        <v>1533.0700000000002</v>
      </c>
      <c r="O676" s="4">
        <f t="shared" si="32"/>
        <v>-0.8</v>
      </c>
      <c r="P676" s="3" t="s">
        <v>19</v>
      </c>
    </row>
    <row r="677" spans="1:16" x14ac:dyDescent="0.35">
      <c r="A677" s="3" t="s">
        <v>35</v>
      </c>
      <c r="B677" s="3" t="str">
        <f>INDEX(State_Region!$B$2:$B$26,MATCH(TRIM(A677),State_Region!$A$2:$A$26,0))</f>
        <v>North</v>
      </c>
      <c r="C677" s="3" t="s">
        <v>165</v>
      </c>
      <c r="D677" s="3" t="str">
        <f>INDEX(Port_Type!$B$2:$B$227,MATCH(TRIM(C677),Port_Type!$A$2:$A$227,0))</f>
        <v>Inland ICD / CFS</v>
      </c>
      <c r="E677" s="3" t="s">
        <v>118</v>
      </c>
      <c r="F677" s="3" t="str">
        <f>INDEX(Product_Category!$B$2:$B$45,MATCH(TRIM(E677),Product_Category!$A$2:$A$45,0))</f>
        <v>Dairy, Poultry &amp; Honey</v>
      </c>
      <c r="G677" s="4">
        <v>0</v>
      </c>
      <c r="H677" s="4">
        <v>2.23</v>
      </c>
      <c r="I677" s="4">
        <v>0.47</v>
      </c>
      <c r="J677" s="4">
        <v>0.01</v>
      </c>
      <c r="K677" s="4">
        <v>632.62</v>
      </c>
      <c r="L677" s="4">
        <v>140.02000000000001</v>
      </c>
      <c r="M677" s="4">
        <f t="shared" si="30"/>
        <v>2.23</v>
      </c>
      <c r="N677" s="4">
        <f t="shared" si="31"/>
        <v>632.61</v>
      </c>
      <c r="O677" s="4">
        <f t="shared" si="32"/>
        <v>-1.76</v>
      </c>
      <c r="P677" s="3" t="s">
        <v>19</v>
      </c>
    </row>
    <row r="678" spans="1:16" x14ac:dyDescent="0.35">
      <c r="A678" s="3" t="s">
        <v>31</v>
      </c>
      <c r="B678" s="3" t="str">
        <f>INDEX(State_Region!$B$2:$B$26,MATCH(TRIM(A678),State_Region!$A$2:$A$26,0))</f>
        <v>East</v>
      </c>
      <c r="C678" s="3" t="s">
        <v>131</v>
      </c>
      <c r="D678" s="3" t="str">
        <f>INDEX(Port_Type!$B$2:$B$227,MATCH(TRIM(C678),Port_Type!$A$2:$A$227,0))</f>
        <v>Land Border / Rail</v>
      </c>
      <c r="E678" s="3" t="s">
        <v>54</v>
      </c>
      <c r="F678" s="3" t="str">
        <f>INDEX(Product_Category!$B$2:$B$45,MATCH(TRIM(E678),Product_Category!$A$2:$A$45,0))</f>
        <v>Processed Foods</v>
      </c>
      <c r="G678" s="4">
        <v>1.34</v>
      </c>
      <c r="H678" s="4">
        <v>0.98</v>
      </c>
      <c r="I678" s="4">
        <v>0.47</v>
      </c>
      <c r="J678" s="4">
        <v>1084.56</v>
      </c>
      <c r="K678" s="4">
        <v>833.21</v>
      </c>
      <c r="L678" s="4">
        <v>420.98</v>
      </c>
      <c r="M678" s="4">
        <f t="shared" si="30"/>
        <v>-0.3600000000000001</v>
      </c>
      <c r="N678" s="4">
        <f t="shared" si="31"/>
        <v>-251.34999999999991</v>
      </c>
      <c r="O678" s="4">
        <f t="shared" si="32"/>
        <v>-0.51</v>
      </c>
      <c r="P678" s="3" t="s">
        <v>19</v>
      </c>
    </row>
    <row r="679" spans="1:16" x14ac:dyDescent="0.35">
      <c r="A679" s="3" t="s">
        <v>23</v>
      </c>
      <c r="B679" s="3" t="str">
        <f>INDEX(State_Region!$B$2:$B$26,MATCH(TRIM(A679),State_Region!$A$2:$A$26,0))</f>
        <v>North</v>
      </c>
      <c r="C679" s="3" t="s">
        <v>138</v>
      </c>
      <c r="D679" s="3" t="str">
        <f>INDEX(Port_Type!$B$2:$B$227,MATCH(TRIM(C679),Port_Type!$A$2:$A$227,0))</f>
        <v>Inland ICD / CFS</v>
      </c>
      <c r="E679" s="3" t="s">
        <v>125</v>
      </c>
      <c r="F679" s="3" t="str">
        <f>INDEX(Product_Category!$B$2:$B$45,MATCH(TRIM(E679),Product_Category!$A$2:$A$45,0))</f>
        <v>Meat &amp; Animal Products</v>
      </c>
      <c r="G679" s="4">
        <v>0</v>
      </c>
      <c r="H679" s="4">
        <v>4.0999999999999996</v>
      </c>
      <c r="I679" s="4">
        <v>0.46</v>
      </c>
      <c r="J679" s="4">
        <v>0</v>
      </c>
      <c r="K679" s="4">
        <v>1123.8</v>
      </c>
      <c r="L679" s="4">
        <v>182</v>
      </c>
      <c r="M679" s="4">
        <f t="shared" si="30"/>
        <v>4.0999999999999996</v>
      </c>
      <c r="N679" s="4">
        <f t="shared" si="31"/>
        <v>1123.8</v>
      </c>
      <c r="O679" s="4">
        <f t="shared" si="32"/>
        <v>-3.6399999999999997</v>
      </c>
      <c r="P679" s="3" t="s">
        <v>19</v>
      </c>
    </row>
    <row r="680" spans="1:16" x14ac:dyDescent="0.35">
      <c r="A680" s="3" t="s">
        <v>66</v>
      </c>
      <c r="B680" s="3" t="str">
        <f>INDEX(State_Region!$B$2:$B$26,MATCH(TRIM(A680),State_Region!$A$2:$A$26,0))</f>
        <v>North</v>
      </c>
      <c r="C680" s="3" t="s">
        <v>71</v>
      </c>
      <c r="D680" s="3" t="str">
        <f>INDEX(Port_Type!$B$2:$B$227,MATCH(TRIM(C680),Port_Type!$A$2:$A$227,0))</f>
        <v>Inland ICD / CFS</v>
      </c>
      <c r="E680" s="3" t="s">
        <v>27</v>
      </c>
      <c r="F680" s="3" t="str">
        <f>INDEX(Product_Category!$B$2:$B$45,MATCH(TRIM(E680),Product_Category!$A$2:$A$45,0))</f>
        <v>Cereals &amp; Grains</v>
      </c>
      <c r="G680" s="4">
        <v>1.87</v>
      </c>
      <c r="H680" s="4">
        <v>2.5099999999999998</v>
      </c>
      <c r="I680" s="4">
        <v>0.46</v>
      </c>
      <c r="J680" s="4">
        <v>3192.66</v>
      </c>
      <c r="K680" s="4">
        <v>4762.68</v>
      </c>
      <c r="L680" s="4">
        <v>620.85</v>
      </c>
      <c r="M680" s="4">
        <f t="shared" si="30"/>
        <v>0.63999999999999968</v>
      </c>
      <c r="N680" s="4">
        <f t="shared" si="31"/>
        <v>1570.0200000000004</v>
      </c>
      <c r="O680" s="4">
        <f t="shared" si="32"/>
        <v>-2.0499999999999998</v>
      </c>
      <c r="P680" s="3" t="s">
        <v>19</v>
      </c>
    </row>
    <row r="681" spans="1:16" x14ac:dyDescent="0.35">
      <c r="A681" s="3" t="s">
        <v>66</v>
      </c>
      <c r="B681" s="3" t="str">
        <f>INDEX(State_Region!$B$2:$B$26,MATCH(TRIM(A681),State_Region!$A$2:$A$26,0))</f>
        <v>North</v>
      </c>
      <c r="C681" s="3" t="s">
        <v>67</v>
      </c>
      <c r="D681" s="3" t="str">
        <f>INDEX(Port_Type!$B$2:$B$227,MATCH(TRIM(C681),Port_Type!$A$2:$A$227,0))</f>
        <v>Inland ICD / CFS</v>
      </c>
      <c r="E681" s="3" t="s">
        <v>48</v>
      </c>
      <c r="F681" s="3" t="str">
        <f>INDEX(Product_Category!$B$2:$B$45,MATCH(TRIM(E681),Product_Category!$A$2:$A$45,0))</f>
        <v>Processed Foods</v>
      </c>
      <c r="G681" s="4">
        <v>0.06</v>
      </c>
      <c r="H681" s="4">
        <v>1.24</v>
      </c>
      <c r="I681" s="4">
        <v>0.46</v>
      </c>
      <c r="J681" s="4">
        <v>40.69</v>
      </c>
      <c r="K681" s="4">
        <v>687.52</v>
      </c>
      <c r="L681" s="4">
        <v>224</v>
      </c>
      <c r="M681" s="4">
        <f t="shared" si="30"/>
        <v>1.18</v>
      </c>
      <c r="N681" s="4">
        <f t="shared" si="31"/>
        <v>646.82999999999993</v>
      </c>
      <c r="O681" s="4">
        <f t="shared" si="32"/>
        <v>-0.78</v>
      </c>
      <c r="P681" s="3" t="s">
        <v>19</v>
      </c>
    </row>
    <row r="682" spans="1:16" x14ac:dyDescent="0.35">
      <c r="A682" s="3" t="s">
        <v>94</v>
      </c>
      <c r="B682" s="3" t="str">
        <f>INDEX(State_Region!$B$2:$B$26,MATCH(TRIM(A682),State_Region!$A$2:$A$26,0))</f>
        <v>East</v>
      </c>
      <c r="C682" s="3" t="s">
        <v>112</v>
      </c>
      <c r="D682" s="3" t="str">
        <f>INDEX(Port_Type!$B$2:$B$227,MATCH(TRIM(C682),Port_Type!$A$2:$A$227,0))</f>
        <v>Land Border / Rail</v>
      </c>
      <c r="E682" s="3" t="s">
        <v>48</v>
      </c>
      <c r="F682" s="3" t="str">
        <f>INDEX(Product_Category!$B$2:$B$45,MATCH(TRIM(E682),Product_Category!$A$2:$A$45,0))</f>
        <v>Processed Foods</v>
      </c>
      <c r="G682" s="4">
        <v>1.55</v>
      </c>
      <c r="H682" s="4">
        <v>1.22</v>
      </c>
      <c r="I682" s="4">
        <v>0.46</v>
      </c>
      <c r="J682" s="4">
        <v>1910.44</v>
      </c>
      <c r="K682" s="4">
        <v>1134.8499999999999</v>
      </c>
      <c r="L682" s="4">
        <v>483.41</v>
      </c>
      <c r="M682" s="4">
        <f t="shared" si="30"/>
        <v>-0.33000000000000007</v>
      </c>
      <c r="N682" s="4">
        <f t="shared" si="31"/>
        <v>-775.59000000000015</v>
      </c>
      <c r="O682" s="4">
        <f t="shared" si="32"/>
        <v>-0.76</v>
      </c>
      <c r="P682" s="3" t="s">
        <v>19</v>
      </c>
    </row>
    <row r="683" spans="1:16" x14ac:dyDescent="0.35">
      <c r="A683" s="3" t="s">
        <v>40</v>
      </c>
      <c r="B683" s="3" t="str">
        <f>INDEX(State_Region!$B$2:$B$26,MATCH(TRIM(A683),State_Region!$A$2:$A$26,0))</f>
        <v>South</v>
      </c>
      <c r="C683" s="3" t="s">
        <v>85</v>
      </c>
      <c r="D683" s="3" t="str">
        <f>INDEX(Port_Type!$B$2:$B$227,MATCH(TRIM(C683),Port_Type!$A$2:$A$227,0))</f>
        <v>Sea Port</v>
      </c>
      <c r="E683" s="3" t="s">
        <v>59</v>
      </c>
      <c r="F683" s="3" t="str">
        <f>INDEX(Product_Category!$B$2:$B$45,MATCH(TRIM(E683),Product_Category!$A$2:$A$45,0))</f>
        <v>Processed Foods</v>
      </c>
      <c r="G683" s="4">
        <v>0.26</v>
      </c>
      <c r="H683" s="4">
        <v>0.46</v>
      </c>
      <c r="I683" s="4">
        <v>0.46</v>
      </c>
      <c r="J683" s="4">
        <v>34.65</v>
      </c>
      <c r="K683" s="4">
        <v>98.69</v>
      </c>
      <c r="L683" s="4">
        <v>102.59</v>
      </c>
      <c r="M683" s="4">
        <f t="shared" si="30"/>
        <v>0.2</v>
      </c>
      <c r="N683" s="4">
        <f t="shared" si="31"/>
        <v>64.039999999999992</v>
      </c>
      <c r="O683" s="4">
        <f t="shared" si="32"/>
        <v>0</v>
      </c>
      <c r="P683" s="3" t="s">
        <v>19</v>
      </c>
    </row>
    <row r="684" spans="1:16" x14ac:dyDescent="0.35">
      <c r="A684" s="3" t="s">
        <v>159</v>
      </c>
      <c r="B684" s="3" t="str">
        <f>INDEX(State_Region!$B$2:$B$26,MATCH(TRIM(A684),State_Region!$A$2:$A$26,0))</f>
        <v>North-East</v>
      </c>
      <c r="C684" s="3" t="s">
        <v>186</v>
      </c>
      <c r="D684" s="3" t="str">
        <f>INDEX(Port_Type!$B$2:$B$227,MATCH(TRIM(C684),Port_Type!$A$2:$A$227,0))</f>
        <v>Land Border / Rail</v>
      </c>
      <c r="E684" s="3" t="s">
        <v>48</v>
      </c>
      <c r="F684" s="3" t="str">
        <f>INDEX(Product_Category!$B$2:$B$45,MATCH(TRIM(E684),Product_Category!$A$2:$A$45,0))</f>
        <v>Processed Foods</v>
      </c>
      <c r="G684" s="4">
        <v>1.58</v>
      </c>
      <c r="H684" s="4">
        <v>1.21</v>
      </c>
      <c r="I684" s="4">
        <v>0.46</v>
      </c>
      <c r="J684" s="4">
        <v>1197.1199999999999</v>
      </c>
      <c r="K684" s="4">
        <v>773.68</v>
      </c>
      <c r="L684" s="4">
        <v>284.23</v>
      </c>
      <c r="M684" s="4">
        <f t="shared" si="30"/>
        <v>-0.37000000000000011</v>
      </c>
      <c r="N684" s="4">
        <f t="shared" si="31"/>
        <v>-423.43999999999994</v>
      </c>
      <c r="O684" s="4">
        <f t="shared" si="32"/>
        <v>-0.75</v>
      </c>
      <c r="P684" s="3" t="s">
        <v>19</v>
      </c>
    </row>
    <row r="685" spans="1:16" x14ac:dyDescent="0.35">
      <c r="A685" s="3" t="s">
        <v>94</v>
      </c>
      <c r="B685" s="3" t="str">
        <f>INDEX(State_Region!$B$2:$B$26,MATCH(TRIM(A685),State_Region!$A$2:$A$26,0))</f>
        <v>East</v>
      </c>
      <c r="C685" s="3" t="s">
        <v>112</v>
      </c>
      <c r="D685" s="3" t="str">
        <f>INDEX(Port_Type!$B$2:$B$227,MATCH(TRIM(C685),Port_Type!$A$2:$A$227,0))</f>
        <v>Land Border / Rail</v>
      </c>
      <c r="E685" s="3" t="s">
        <v>60</v>
      </c>
      <c r="F685" s="3" t="str">
        <f>INDEX(Product_Category!$B$2:$B$45,MATCH(TRIM(E685),Product_Category!$A$2:$A$45,0))</f>
        <v>Processed Foods</v>
      </c>
      <c r="G685" s="4">
        <v>1.25</v>
      </c>
      <c r="H685" s="4">
        <v>1.38</v>
      </c>
      <c r="I685" s="4">
        <v>0.46</v>
      </c>
      <c r="J685" s="4">
        <v>105.55</v>
      </c>
      <c r="K685" s="4">
        <v>132.80000000000001</v>
      </c>
      <c r="L685" s="4">
        <v>65</v>
      </c>
      <c r="M685" s="4">
        <f t="shared" si="30"/>
        <v>0.12999999999999989</v>
      </c>
      <c r="N685" s="4">
        <f t="shared" si="31"/>
        <v>27.250000000000014</v>
      </c>
      <c r="O685" s="4">
        <f t="shared" si="32"/>
        <v>-0.91999999999999993</v>
      </c>
      <c r="P685" s="3" t="s">
        <v>19</v>
      </c>
    </row>
    <row r="686" spans="1:16" x14ac:dyDescent="0.35">
      <c r="A686" s="3" t="s">
        <v>20</v>
      </c>
      <c r="B686" s="3" t="str">
        <f>INDEX(State_Region!$B$2:$B$26,MATCH(TRIM(A686),State_Region!$A$2:$A$26,0))</f>
        <v>West</v>
      </c>
      <c r="C686" s="3" t="s">
        <v>21</v>
      </c>
      <c r="D686" s="3" t="str">
        <f>INDEX(Port_Type!$B$2:$B$227,MATCH(TRIM(C686),Port_Type!$A$2:$A$227,0))</f>
        <v>Sea Port</v>
      </c>
      <c r="E686" s="3" t="s">
        <v>93</v>
      </c>
      <c r="F686" s="3" t="str">
        <f>INDEX(Product_Category!$B$2:$B$45,MATCH(TRIM(E686),Product_Category!$A$2:$A$45,0))</f>
        <v>Meat &amp; Animal Products</v>
      </c>
      <c r="G686" s="4">
        <v>0.18</v>
      </c>
      <c r="H686" s="4">
        <v>0.71</v>
      </c>
      <c r="I686" s="4">
        <v>0.46</v>
      </c>
      <c r="J686" s="4">
        <v>31.64</v>
      </c>
      <c r="K686" s="4">
        <v>110.17</v>
      </c>
      <c r="L686" s="4">
        <v>60.35</v>
      </c>
      <c r="M686" s="4">
        <f t="shared" si="30"/>
        <v>0.53</v>
      </c>
      <c r="N686" s="4">
        <f t="shared" si="31"/>
        <v>78.53</v>
      </c>
      <c r="O686" s="4">
        <f t="shared" si="32"/>
        <v>-0.24999999999999994</v>
      </c>
      <c r="P686" s="3" t="s">
        <v>19</v>
      </c>
    </row>
    <row r="687" spans="1:16" x14ac:dyDescent="0.35">
      <c r="A687" s="3" t="s">
        <v>86</v>
      </c>
      <c r="B687" s="3" t="str">
        <f>INDEX(State_Region!$B$2:$B$26,MATCH(TRIM(A687),State_Region!$A$2:$A$26,0))</f>
        <v>North</v>
      </c>
      <c r="C687" s="3" t="s">
        <v>106</v>
      </c>
      <c r="D687" s="3" t="str">
        <f>INDEX(Port_Type!$B$2:$B$227,MATCH(TRIM(C687),Port_Type!$A$2:$A$227,0))</f>
        <v>Inland ICD / CFS</v>
      </c>
      <c r="E687" s="3" t="s">
        <v>59</v>
      </c>
      <c r="F687" s="3" t="str">
        <f>INDEX(Product_Category!$B$2:$B$45,MATCH(TRIM(E687),Product_Category!$A$2:$A$45,0))</f>
        <v>Processed Foods</v>
      </c>
      <c r="G687" s="4">
        <v>1.97</v>
      </c>
      <c r="H687" s="4">
        <v>1.32</v>
      </c>
      <c r="I687" s="4">
        <v>0.45</v>
      </c>
      <c r="J687" s="4">
        <v>198.42</v>
      </c>
      <c r="K687" s="4">
        <v>85.46</v>
      </c>
      <c r="L687" s="4">
        <v>22.16</v>
      </c>
      <c r="M687" s="4">
        <f t="shared" si="30"/>
        <v>-0.64999999999999991</v>
      </c>
      <c r="N687" s="4">
        <f t="shared" si="31"/>
        <v>-112.96</v>
      </c>
      <c r="O687" s="4">
        <f t="shared" si="32"/>
        <v>-0.87000000000000011</v>
      </c>
      <c r="P687" s="3" t="s">
        <v>19</v>
      </c>
    </row>
    <row r="688" spans="1:16" x14ac:dyDescent="0.35">
      <c r="A688" s="3" t="s">
        <v>16</v>
      </c>
      <c r="B688" s="3" t="str">
        <f>INDEX(State_Region!$B$2:$B$26,MATCH(TRIM(A688),State_Region!$A$2:$A$26,0))</f>
        <v>West</v>
      </c>
      <c r="C688" s="3" t="s">
        <v>17</v>
      </c>
      <c r="D688" s="3" t="str">
        <f>INDEX(Port_Type!$B$2:$B$227,MATCH(TRIM(C688),Port_Type!$A$2:$A$227,0))</f>
        <v>Sea Port</v>
      </c>
      <c r="E688" s="3" t="s">
        <v>118</v>
      </c>
      <c r="F688" s="3" t="str">
        <f>INDEX(Product_Category!$B$2:$B$45,MATCH(TRIM(E688),Product_Category!$A$2:$A$45,0))</f>
        <v>Dairy, Poultry &amp; Honey</v>
      </c>
      <c r="G688" s="4">
        <v>0.97</v>
      </c>
      <c r="H688" s="4">
        <v>3.58</v>
      </c>
      <c r="I688" s="4">
        <v>0.45</v>
      </c>
      <c r="J688" s="4">
        <v>513.21</v>
      </c>
      <c r="K688" s="4">
        <v>1938.1</v>
      </c>
      <c r="L688" s="4">
        <v>221.16</v>
      </c>
      <c r="M688" s="4">
        <f t="shared" si="30"/>
        <v>2.6100000000000003</v>
      </c>
      <c r="N688" s="4">
        <f t="shared" si="31"/>
        <v>1424.8899999999999</v>
      </c>
      <c r="O688" s="4">
        <f t="shared" si="32"/>
        <v>-3.13</v>
      </c>
      <c r="P688" s="3" t="s">
        <v>19</v>
      </c>
    </row>
    <row r="689" spans="1:16" x14ac:dyDescent="0.35">
      <c r="A689" s="3" t="s">
        <v>159</v>
      </c>
      <c r="B689" s="3" t="str">
        <f>INDEX(State_Region!$B$2:$B$26,MATCH(TRIM(A689),State_Region!$A$2:$A$26,0))</f>
        <v>North-East</v>
      </c>
      <c r="C689" s="3" t="s">
        <v>186</v>
      </c>
      <c r="D689" s="3" t="str">
        <f>INDEX(Port_Type!$B$2:$B$227,MATCH(TRIM(C689),Port_Type!$A$2:$A$227,0))</f>
        <v>Land Border / Rail</v>
      </c>
      <c r="E689" s="3" t="s">
        <v>39</v>
      </c>
      <c r="F689" s="3" t="str">
        <f>INDEX(Product_Category!$B$2:$B$45,MATCH(TRIM(E689),Product_Category!$A$2:$A$45,0))</f>
        <v>Processed Foods</v>
      </c>
      <c r="G689" s="4">
        <v>0.85</v>
      </c>
      <c r="H689" s="4">
        <v>0.49</v>
      </c>
      <c r="I689" s="4">
        <v>0.45</v>
      </c>
      <c r="J689" s="4">
        <v>549.77</v>
      </c>
      <c r="K689" s="4">
        <v>701.25</v>
      </c>
      <c r="L689" s="4">
        <v>843.66</v>
      </c>
      <c r="M689" s="4">
        <f t="shared" si="30"/>
        <v>-0.36</v>
      </c>
      <c r="N689" s="4">
        <f t="shared" si="31"/>
        <v>151.48000000000002</v>
      </c>
      <c r="O689" s="4">
        <f t="shared" si="32"/>
        <v>-3.999999999999998E-2</v>
      </c>
      <c r="P689" s="3" t="s">
        <v>19</v>
      </c>
    </row>
    <row r="690" spans="1:16" x14ac:dyDescent="0.35">
      <c r="A690" s="3" t="s">
        <v>86</v>
      </c>
      <c r="B690" s="3" t="str">
        <f>INDEX(State_Region!$B$2:$B$26,MATCH(TRIM(A690),State_Region!$A$2:$A$26,0))</f>
        <v>North</v>
      </c>
      <c r="C690" s="3" t="s">
        <v>87</v>
      </c>
      <c r="D690" s="3" t="str">
        <f>INDEX(Port_Type!$B$2:$B$227,MATCH(TRIM(C690),Port_Type!$A$2:$A$227,0))</f>
        <v>Air Cargo</v>
      </c>
      <c r="E690" s="3" t="s">
        <v>54</v>
      </c>
      <c r="F690" s="3" t="str">
        <f>INDEX(Product_Category!$B$2:$B$45,MATCH(TRIM(E690),Product_Category!$A$2:$A$45,0))</f>
        <v>Processed Foods</v>
      </c>
      <c r="G690" s="4">
        <v>0.64</v>
      </c>
      <c r="H690" s="4">
        <v>0.52</v>
      </c>
      <c r="I690" s="4">
        <v>0.45</v>
      </c>
      <c r="J690" s="4">
        <v>93.89</v>
      </c>
      <c r="K690" s="4">
        <v>132.69</v>
      </c>
      <c r="L690" s="4">
        <v>104.66</v>
      </c>
      <c r="M690" s="4">
        <f t="shared" si="30"/>
        <v>-0.12</v>
      </c>
      <c r="N690" s="4">
        <f t="shared" si="31"/>
        <v>38.799999999999997</v>
      </c>
      <c r="O690" s="4">
        <f t="shared" si="32"/>
        <v>-7.0000000000000007E-2</v>
      </c>
      <c r="P690" s="3" t="s">
        <v>19</v>
      </c>
    </row>
    <row r="691" spans="1:16" x14ac:dyDescent="0.35">
      <c r="A691" s="3" t="s">
        <v>20</v>
      </c>
      <c r="B691" s="3" t="str">
        <f>INDEX(State_Region!$B$2:$B$26,MATCH(TRIM(A691),State_Region!$A$2:$A$26,0))</f>
        <v>West</v>
      </c>
      <c r="C691" s="3" t="s">
        <v>68</v>
      </c>
      <c r="D691" s="3" t="str">
        <f>INDEX(Port_Type!$B$2:$B$227,MATCH(TRIM(C691),Port_Type!$A$2:$A$227,0))</f>
        <v>Air Cargo</v>
      </c>
      <c r="E691" s="3" t="s">
        <v>46</v>
      </c>
      <c r="F691" s="3" t="str">
        <f>INDEX(Product_Category!$B$2:$B$45,MATCH(TRIM(E691),Product_Category!$A$2:$A$45,0))</f>
        <v>Others</v>
      </c>
      <c r="G691" s="4">
        <v>0.25</v>
      </c>
      <c r="H691" s="4">
        <v>0.52</v>
      </c>
      <c r="I691" s="4">
        <v>0.45</v>
      </c>
      <c r="J691" s="4">
        <v>54.93</v>
      </c>
      <c r="K691" s="4">
        <v>104.66</v>
      </c>
      <c r="L691" s="4">
        <v>74.14</v>
      </c>
      <c r="M691" s="4">
        <f t="shared" si="30"/>
        <v>0.27</v>
      </c>
      <c r="N691" s="4">
        <f t="shared" si="31"/>
        <v>49.73</v>
      </c>
      <c r="O691" s="4">
        <f t="shared" si="32"/>
        <v>-7.0000000000000007E-2</v>
      </c>
      <c r="P691" s="3" t="s">
        <v>19</v>
      </c>
    </row>
    <row r="692" spans="1:16" x14ac:dyDescent="0.35">
      <c r="A692" s="3" t="s">
        <v>40</v>
      </c>
      <c r="B692" s="3" t="str">
        <f>INDEX(State_Region!$B$2:$B$26,MATCH(TRIM(A692),State_Region!$A$2:$A$26,0))</f>
        <v>South</v>
      </c>
      <c r="C692" s="3" t="s">
        <v>85</v>
      </c>
      <c r="D692" s="3" t="str">
        <f>INDEX(Port_Type!$B$2:$B$227,MATCH(TRIM(C692),Port_Type!$A$2:$A$227,0))</f>
        <v>Sea Port</v>
      </c>
      <c r="E692" s="3" t="s">
        <v>170</v>
      </c>
      <c r="F692" s="3" t="str">
        <f>INDEX(Product_Category!$B$2:$B$45,MATCH(TRIM(E692),Product_Category!$A$2:$A$45,0))</f>
        <v>Others</v>
      </c>
      <c r="G692" s="4">
        <v>1.67</v>
      </c>
      <c r="H692" s="4">
        <v>1.63</v>
      </c>
      <c r="I692" s="4">
        <v>0.44</v>
      </c>
      <c r="J692" s="4">
        <v>325.70999999999998</v>
      </c>
      <c r="K692" s="4">
        <v>277.18</v>
      </c>
      <c r="L692" s="4">
        <v>81.069999999999993</v>
      </c>
      <c r="M692" s="4">
        <f t="shared" si="30"/>
        <v>-4.0000000000000036E-2</v>
      </c>
      <c r="N692" s="4">
        <f t="shared" si="31"/>
        <v>-48.529999999999973</v>
      </c>
      <c r="O692" s="4">
        <f t="shared" si="32"/>
        <v>-1.19</v>
      </c>
      <c r="P692" s="3" t="s">
        <v>19</v>
      </c>
    </row>
    <row r="693" spans="1:16" x14ac:dyDescent="0.35">
      <c r="A693" s="3" t="s">
        <v>16</v>
      </c>
      <c r="B693" s="3" t="str">
        <f>INDEX(State_Region!$B$2:$B$26,MATCH(TRIM(A693),State_Region!$A$2:$A$26,0))</f>
        <v>West</v>
      </c>
      <c r="C693" s="3" t="s">
        <v>52</v>
      </c>
      <c r="D693" s="3" t="str">
        <f>INDEX(Port_Type!$B$2:$B$227,MATCH(TRIM(C693),Port_Type!$A$2:$A$227,0))</f>
        <v>Sea Port</v>
      </c>
      <c r="E693" s="3" t="s">
        <v>39</v>
      </c>
      <c r="F693" s="3" t="str">
        <f>INDEX(Product_Category!$B$2:$B$45,MATCH(TRIM(E693),Product_Category!$A$2:$A$45,0))</f>
        <v>Processed Foods</v>
      </c>
      <c r="G693" s="4">
        <v>1.82</v>
      </c>
      <c r="H693" s="4">
        <v>1.62</v>
      </c>
      <c r="I693" s="4">
        <v>0.44</v>
      </c>
      <c r="J693" s="4">
        <v>1160.02</v>
      </c>
      <c r="K693" s="4">
        <v>912.36</v>
      </c>
      <c r="L693" s="4">
        <v>289.04000000000002</v>
      </c>
      <c r="M693" s="4">
        <f t="shared" si="30"/>
        <v>-0.19999999999999996</v>
      </c>
      <c r="N693" s="4">
        <f t="shared" si="31"/>
        <v>-247.65999999999997</v>
      </c>
      <c r="O693" s="4">
        <f t="shared" si="32"/>
        <v>-1.1800000000000002</v>
      </c>
      <c r="P693" s="3" t="s">
        <v>19</v>
      </c>
    </row>
    <row r="694" spans="1:16" x14ac:dyDescent="0.35">
      <c r="A694" s="3" t="s">
        <v>86</v>
      </c>
      <c r="B694" s="3" t="str">
        <f>INDEX(State_Region!$B$2:$B$26,MATCH(TRIM(A694),State_Region!$A$2:$A$26,0))</f>
        <v>North</v>
      </c>
      <c r="C694" s="3" t="s">
        <v>207</v>
      </c>
      <c r="D694" s="3" t="str">
        <f>INDEX(Port_Type!$B$2:$B$227,MATCH(TRIM(C694),Port_Type!$A$2:$A$227,0))</f>
        <v>Inland ICD / CFS</v>
      </c>
      <c r="E694" s="3" t="s">
        <v>39</v>
      </c>
      <c r="F694" s="3" t="str">
        <f>INDEX(Product_Category!$B$2:$B$45,MATCH(TRIM(E694),Product_Category!$A$2:$A$45,0))</f>
        <v>Processed Foods</v>
      </c>
      <c r="G694" s="4">
        <v>1.62</v>
      </c>
      <c r="H694" s="4">
        <v>1.93</v>
      </c>
      <c r="I694" s="4">
        <v>0.44</v>
      </c>
      <c r="J694" s="4">
        <v>255.39</v>
      </c>
      <c r="K694" s="4">
        <v>2403.0500000000002</v>
      </c>
      <c r="L694" s="4">
        <v>760.25</v>
      </c>
      <c r="M694" s="4">
        <f t="shared" si="30"/>
        <v>0.30999999999999983</v>
      </c>
      <c r="N694" s="4">
        <f t="shared" si="31"/>
        <v>2147.6600000000003</v>
      </c>
      <c r="O694" s="4">
        <f t="shared" si="32"/>
        <v>-1.49</v>
      </c>
      <c r="P694" s="3" t="s">
        <v>19</v>
      </c>
    </row>
    <row r="695" spans="1:16" x14ac:dyDescent="0.35">
      <c r="A695" s="3" t="s">
        <v>31</v>
      </c>
      <c r="B695" s="3" t="str">
        <f>INDEX(State_Region!$B$2:$B$26,MATCH(TRIM(A695),State_Region!$A$2:$A$26,0))</f>
        <v>East</v>
      </c>
      <c r="C695" s="3" t="s">
        <v>131</v>
      </c>
      <c r="D695" s="3" t="str">
        <f>INDEX(Port_Type!$B$2:$B$227,MATCH(TRIM(C695),Port_Type!$A$2:$A$227,0))</f>
        <v>Land Border / Rail</v>
      </c>
      <c r="E695" s="3" t="s">
        <v>59</v>
      </c>
      <c r="F695" s="3" t="str">
        <f>INDEX(Product_Category!$B$2:$B$45,MATCH(TRIM(E695),Product_Category!$A$2:$A$45,0))</f>
        <v>Processed Foods</v>
      </c>
      <c r="G695" s="4">
        <v>0.92</v>
      </c>
      <c r="H695" s="4">
        <v>1.19</v>
      </c>
      <c r="I695" s="4">
        <v>0.44</v>
      </c>
      <c r="J695" s="4">
        <v>179.11</v>
      </c>
      <c r="K695" s="4">
        <v>188.3</v>
      </c>
      <c r="L695" s="4">
        <v>75.25</v>
      </c>
      <c r="M695" s="4">
        <f t="shared" si="30"/>
        <v>0.26999999999999991</v>
      </c>
      <c r="N695" s="4">
        <f t="shared" si="31"/>
        <v>9.1899999999999977</v>
      </c>
      <c r="O695" s="4">
        <f t="shared" si="32"/>
        <v>-0.75</v>
      </c>
      <c r="P695" s="3" t="s">
        <v>19</v>
      </c>
    </row>
    <row r="696" spans="1:16" x14ac:dyDescent="0.35">
      <c r="A696" s="3" t="s">
        <v>16</v>
      </c>
      <c r="B696" s="3" t="str">
        <f>INDEX(State_Region!$B$2:$B$26,MATCH(TRIM(A696),State_Region!$A$2:$A$26,0))</f>
        <v>West</v>
      </c>
      <c r="C696" s="3" t="s">
        <v>90</v>
      </c>
      <c r="D696" s="3" t="str">
        <f>INDEX(Port_Type!$B$2:$B$227,MATCH(TRIM(C696),Port_Type!$A$2:$A$227,0))</f>
        <v>Inland ICD / CFS</v>
      </c>
      <c r="E696" s="3" t="s">
        <v>59</v>
      </c>
      <c r="F696" s="3" t="str">
        <f>INDEX(Product_Category!$B$2:$B$45,MATCH(TRIM(E696),Product_Category!$A$2:$A$45,0))</f>
        <v>Processed Foods</v>
      </c>
      <c r="G696" s="4">
        <v>0.38</v>
      </c>
      <c r="H696" s="4">
        <v>1.88</v>
      </c>
      <c r="I696" s="4">
        <v>0.44</v>
      </c>
      <c r="J696" s="4">
        <v>61.29</v>
      </c>
      <c r="K696" s="4">
        <v>276.95</v>
      </c>
      <c r="L696" s="4">
        <v>96.73</v>
      </c>
      <c r="M696" s="4">
        <f t="shared" si="30"/>
        <v>1.5</v>
      </c>
      <c r="N696" s="4">
        <f t="shared" si="31"/>
        <v>215.66</v>
      </c>
      <c r="O696" s="4">
        <f t="shared" si="32"/>
        <v>-1.44</v>
      </c>
      <c r="P696" s="3" t="s">
        <v>19</v>
      </c>
    </row>
    <row r="697" spans="1:16" x14ac:dyDescent="0.35">
      <c r="A697" s="3" t="s">
        <v>74</v>
      </c>
      <c r="B697" s="3" t="str">
        <f>INDEX(State_Region!$B$2:$B$26,MATCH(TRIM(A697),State_Region!$A$2:$A$26,0))</f>
        <v>South</v>
      </c>
      <c r="C697" s="3" t="s">
        <v>98</v>
      </c>
      <c r="D697" s="3" t="str">
        <f>INDEX(Port_Type!$B$2:$B$227,MATCH(TRIM(C697),Port_Type!$A$2:$A$227,0))</f>
        <v>Inland ICD / CFS</v>
      </c>
      <c r="E697" s="3" t="s">
        <v>39</v>
      </c>
      <c r="F697" s="3" t="str">
        <f>INDEX(Product_Category!$B$2:$B$45,MATCH(TRIM(E697),Product_Category!$A$2:$A$45,0))</f>
        <v>Processed Foods</v>
      </c>
      <c r="G697" s="4">
        <v>1.05</v>
      </c>
      <c r="H697" s="4">
        <v>0.6</v>
      </c>
      <c r="I697" s="4">
        <v>0.44</v>
      </c>
      <c r="J697" s="4">
        <v>333.44</v>
      </c>
      <c r="K697" s="4">
        <v>225.09</v>
      </c>
      <c r="L697" s="4">
        <v>135.5</v>
      </c>
      <c r="M697" s="4">
        <f t="shared" si="30"/>
        <v>-0.45000000000000007</v>
      </c>
      <c r="N697" s="4">
        <f t="shared" si="31"/>
        <v>-108.35</v>
      </c>
      <c r="O697" s="4">
        <f t="shared" si="32"/>
        <v>-0.15999999999999998</v>
      </c>
      <c r="P697" s="3" t="s">
        <v>19</v>
      </c>
    </row>
    <row r="698" spans="1:16" x14ac:dyDescent="0.35">
      <c r="A698" s="3" t="s">
        <v>23</v>
      </c>
      <c r="B698" s="3" t="str">
        <f>INDEX(State_Region!$B$2:$B$26,MATCH(TRIM(A698),State_Region!$A$2:$A$26,0))</f>
        <v>North</v>
      </c>
      <c r="C698" s="3" t="s">
        <v>34</v>
      </c>
      <c r="D698" s="3" t="str">
        <f>INDEX(Port_Type!$B$2:$B$227,MATCH(TRIM(C698),Port_Type!$A$2:$A$227,0))</f>
        <v>Inland ICD / CFS</v>
      </c>
      <c r="E698" s="3" t="s">
        <v>48</v>
      </c>
      <c r="F698" s="3" t="str">
        <f>INDEX(Product_Category!$B$2:$B$45,MATCH(TRIM(E698),Product_Category!$A$2:$A$45,0))</f>
        <v>Processed Foods</v>
      </c>
      <c r="G698" s="4">
        <v>0.2</v>
      </c>
      <c r="H698" s="4">
        <v>1.75</v>
      </c>
      <c r="I698" s="4">
        <v>0.44</v>
      </c>
      <c r="J698" s="4">
        <v>190.27</v>
      </c>
      <c r="K698" s="4">
        <v>1586.78</v>
      </c>
      <c r="L698" s="4">
        <v>415.68</v>
      </c>
      <c r="M698" s="4">
        <f t="shared" si="30"/>
        <v>1.55</v>
      </c>
      <c r="N698" s="4">
        <f t="shared" si="31"/>
        <v>1396.51</v>
      </c>
      <c r="O698" s="4">
        <f t="shared" si="32"/>
        <v>-1.31</v>
      </c>
      <c r="P698" s="3" t="s">
        <v>19</v>
      </c>
    </row>
    <row r="699" spans="1:16" x14ac:dyDescent="0.35">
      <c r="A699" s="3" t="s">
        <v>66</v>
      </c>
      <c r="B699" s="3" t="str">
        <f>INDEX(State_Region!$B$2:$B$26,MATCH(TRIM(A699),State_Region!$A$2:$A$26,0))</f>
        <v>North</v>
      </c>
      <c r="C699" s="3" t="s">
        <v>108</v>
      </c>
      <c r="D699" s="3" t="str">
        <f>INDEX(Port_Type!$B$2:$B$227,MATCH(TRIM(C699),Port_Type!$A$2:$A$227,0))</f>
        <v>Inland ICD / CFS</v>
      </c>
      <c r="E699" s="3" t="s">
        <v>42</v>
      </c>
      <c r="F699" s="3" t="str">
        <f>INDEX(Product_Category!$B$2:$B$45,MATCH(TRIM(E699),Product_Category!$A$2:$A$45,0))</f>
        <v>Processed Foods</v>
      </c>
      <c r="G699" s="4">
        <v>1.1299999999999999</v>
      </c>
      <c r="H699" s="4">
        <v>0.96</v>
      </c>
      <c r="I699" s="4">
        <v>0.44</v>
      </c>
      <c r="J699" s="4">
        <v>763.68</v>
      </c>
      <c r="K699" s="4">
        <v>627.16999999999996</v>
      </c>
      <c r="L699" s="4">
        <v>299.7</v>
      </c>
      <c r="M699" s="4">
        <f t="shared" si="30"/>
        <v>-0.16999999999999993</v>
      </c>
      <c r="N699" s="4">
        <f t="shared" si="31"/>
        <v>-136.51</v>
      </c>
      <c r="O699" s="4">
        <f t="shared" si="32"/>
        <v>-0.52</v>
      </c>
      <c r="P699" s="3" t="s">
        <v>19</v>
      </c>
    </row>
    <row r="700" spans="1:16" x14ac:dyDescent="0.35">
      <c r="A700" s="3" t="s">
        <v>40</v>
      </c>
      <c r="B700" s="3" t="str">
        <f>INDEX(State_Region!$B$2:$B$26,MATCH(TRIM(A700),State_Region!$A$2:$A$26,0))</f>
        <v>South</v>
      </c>
      <c r="C700" s="3" t="s">
        <v>178</v>
      </c>
      <c r="D700" s="3" t="str">
        <f>INDEX(Port_Type!$B$2:$B$227,MATCH(TRIM(C700),Port_Type!$A$2:$A$227,0))</f>
        <v>Inland ICD / CFS</v>
      </c>
      <c r="E700" s="3" t="s">
        <v>39</v>
      </c>
      <c r="F700" s="3" t="str">
        <f>INDEX(Product_Category!$B$2:$B$45,MATCH(TRIM(E700),Product_Category!$A$2:$A$45,0))</f>
        <v>Processed Foods</v>
      </c>
      <c r="G700" s="4">
        <v>1.3</v>
      </c>
      <c r="H700" s="4">
        <v>0.55000000000000004</v>
      </c>
      <c r="I700" s="4">
        <v>0.44</v>
      </c>
      <c r="J700" s="4">
        <v>298.60000000000002</v>
      </c>
      <c r="K700" s="4">
        <v>123.66</v>
      </c>
      <c r="L700" s="4">
        <v>118.47</v>
      </c>
      <c r="M700" s="4">
        <f t="shared" si="30"/>
        <v>-0.75</v>
      </c>
      <c r="N700" s="4">
        <f t="shared" si="31"/>
        <v>-174.94000000000003</v>
      </c>
      <c r="O700" s="4">
        <f t="shared" si="32"/>
        <v>-0.11000000000000004</v>
      </c>
      <c r="P700" s="3" t="s">
        <v>19</v>
      </c>
    </row>
    <row r="701" spans="1:16" x14ac:dyDescent="0.35">
      <c r="A701" s="3" t="s">
        <v>77</v>
      </c>
      <c r="B701" s="3" t="str">
        <f>INDEX(State_Region!$B$2:$B$26,MATCH(TRIM(A701),State_Region!$A$2:$A$26,0))</f>
        <v>South</v>
      </c>
      <c r="C701" s="3" t="s">
        <v>149</v>
      </c>
      <c r="D701" s="3" t="str">
        <f>INDEX(Port_Type!$B$2:$B$227,MATCH(TRIM(C701),Port_Type!$A$2:$A$227,0))</f>
        <v>SEZ / EPZ</v>
      </c>
      <c r="E701" s="3" t="s">
        <v>54</v>
      </c>
      <c r="F701" s="3" t="str">
        <f>INDEX(Product_Category!$B$2:$B$45,MATCH(TRIM(E701),Product_Category!$A$2:$A$45,0))</f>
        <v>Processed Foods</v>
      </c>
      <c r="G701" s="4">
        <v>0.62</v>
      </c>
      <c r="H701" s="4">
        <v>1.52</v>
      </c>
      <c r="I701" s="4">
        <v>0.43</v>
      </c>
      <c r="J701" s="4">
        <v>103.18</v>
      </c>
      <c r="K701" s="4">
        <v>124.45</v>
      </c>
      <c r="L701" s="4">
        <v>55.42</v>
      </c>
      <c r="M701" s="4">
        <f t="shared" si="30"/>
        <v>0.9</v>
      </c>
      <c r="N701" s="4">
        <f t="shared" si="31"/>
        <v>21.269999999999996</v>
      </c>
      <c r="O701" s="4">
        <f t="shared" si="32"/>
        <v>-1.0900000000000001</v>
      </c>
      <c r="P701" s="3" t="s">
        <v>19</v>
      </c>
    </row>
    <row r="702" spans="1:16" x14ac:dyDescent="0.35">
      <c r="A702" s="3" t="s">
        <v>77</v>
      </c>
      <c r="B702" s="3" t="str">
        <f>INDEX(State_Region!$B$2:$B$26,MATCH(TRIM(A702),State_Region!$A$2:$A$26,0))</f>
        <v>South</v>
      </c>
      <c r="C702" s="3" t="s">
        <v>168</v>
      </c>
      <c r="D702" s="3" t="str">
        <f>INDEX(Port_Type!$B$2:$B$227,MATCH(TRIM(C702),Port_Type!$A$2:$A$227,0))</f>
        <v>Air Cargo</v>
      </c>
      <c r="E702" s="3" t="s">
        <v>122</v>
      </c>
      <c r="F702" s="3" t="str">
        <f>INDEX(Product_Category!$B$2:$B$45,MATCH(TRIM(E702),Product_Category!$A$2:$A$45,0))</f>
        <v>Others</v>
      </c>
      <c r="G702" s="4">
        <v>1.05</v>
      </c>
      <c r="H702" s="4">
        <v>1.32</v>
      </c>
      <c r="I702" s="4">
        <v>0.43</v>
      </c>
      <c r="J702" s="4">
        <v>372.27</v>
      </c>
      <c r="K702" s="4">
        <v>376.45</v>
      </c>
      <c r="L702" s="4">
        <v>129.29</v>
      </c>
      <c r="M702" s="4">
        <f t="shared" si="30"/>
        <v>0.27</v>
      </c>
      <c r="N702" s="4">
        <f t="shared" si="31"/>
        <v>4.1800000000000068</v>
      </c>
      <c r="O702" s="4">
        <f t="shared" si="32"/>
        <v>-0.89000000000000012</v>
      </c>
      <c r="P702" s="3" t="s">
        <v>19</v>
      </c>
    </row>
    <row r="703" spans="1:16" x14ac:dyDescent="0.35">
      <c r="A703" s="3" t="s">
        <v>23</v>
      </c>
      <c r="B703" s="3" t="str">
        <f>INDEX(State_Region!$B$2:$B$26,MATCH(TRIM(A703),State_Region!$A$2:$A$26,0))</f>
        <v>North</v>
      </c>
      <c r="C703" s="3" t="s">
        <v>24</v>
      </c>
      <c r="D703" s="3" t="str">
        <f>INDEX(Port_Type!$B$2:$B$227,MATCH(TRIM(C703),Port_Type!$A$2:$A$227,0))</f>
        <v>Inland ICD / CFS</v>
      </c>
      <c r="E703" s="3" t="s">
        <v>48</v>
      </c>
      <c r="F703" s="3" t="str">
        <f>INDEX(Product_Category!$B$2:$B$45,MATCH(TRIM(E703),Product_Category!$A$2:$A$45,0))</f>
        <v>Processed Foods</v>
      </c>
      <c r="G703" s="4">
        <v>1.1499999999999999</v>
      </c>
      <c r="H703" s="4">
        <v>1.49</v>
      </c>
      <c r="I703" s="4">
        <v>0.43</v>
      </c>
      <c r="J703" s="4">
        <v>529.32000000000005</v>
      </c>
      <c r="K703" s="4">
        <v>624.70000000000005</v>
      </c>
      <c r="L703" s="4">
        <v>166.05</v>
      </c>
      <c r="M703" s="4">
        <f t="shared" si="30"/>
        <v>0.34000000000000008</v>
      </c>
      <c r="N703" s="4">
        <f t="shared" si="31"/>
        <v>95.38</v>
      </c>
      <c r="O703" s="4">
        <f t="shared" si="32"/>
        <v>-1.06</v>
      </c>
      <c r="P703" s="3" t="s">
        <v>19</v>
      </c>
    </row>
    <row r="704" spans="1:16" x14ac:dyDescent="0.35">
      <c r="A704" s="3" t="s">
        <v>35</v>
      </c>
      <c r="B704" s="3" t="str">
        <f>INDEX(State_Region!$B$2:$B$26,MATCH(TRIM(A704),State_Region!$A$2:$A$26,0))</f>
        <v>North</v>
      </c>
      <c r="C704" s="3" t="s">
        <v>36</v>
      </c>
      <c r="D704" s="3" t="str">
        <f>INDEX(Port_Type!$B$2:$B$227,MATCH(TRIM(C704),Port_Type!$A$2:$A$227,0))</f>
        <v>Inland ICD / CFS</v>
      </c>
      <c r="E704" s="3" t="s">
        <v>53</v>
      </c>
      <c r="F704" s="3" t="str">
        <f>INDEX(Product_Category!$B$2:$B$45,MATCH(TRIM(E704),Product_Category!$A$2:$A$45,0))</f>
        <v>Processed Foods</v>
      </c>
      <c r="G704" s="4">
        <v>2.17</v>
      </c>
      <c r="H704" s="4">
        <v>1.52</v>
      </c>
      <c r="I704" s="4">
        <v>0.43</v>
      </c>
      <c r="J704" s="4">
        <v>3503.97</v>
      </c>
      <c r="K704" s="4">
        <v>2522.12</v>
      </c>
      <c r="L704" s="4">
        <v>613.59</v>
      </c>
      <c r="M704" s="4">
        <f t="shared" si="30"/>
        <v>-0.64999999999999991</v>
      </c>
      <c r="N704" s="4">
        <f t="shared" si="31"/>
        <v>-981.84999999999991</v>
      </c>
      <c r="O704" s="4">
        <f t="shared" si="32"/>
        <v>-1.0900000000000001</v>
      </c>
      <c r="P704" s="3" t="s">
        <v>19</v>
      </c>
    </row>
    <row r="705" spans="1:16" x14ac:dyDescent="0.35">
      <c r="A705" s="3" t="s">
        <v>40</v>
      </c>
      <c r="B705" s="3" t="str">
        <f>INDEX(State_Region!$B$2:$B$26,MATCH(TRIM(A705),State_Region!$A$2:$A$26,0))</f>
        <v>South</v>
      </c>
      <c r="C705" s="3" t="s">
        <v>194</v>
      </c>
      <c r="D705" s="3" t="str">
        <f>INDEX(Port_Type!$B$2:$B$227,MATCH(TRIM(C705),Port_Type!$A$2:$A$227,0))</f>
        <v>Air Cargo</v>
      </c>
      <c r="E705" s="3" t="s">
        <v>72</v>
      </c>
      <c r="F705" s="3" t="str">
        <f>INDEX(Product_Category!$B$2:$B$45,MATCH(TRIM(E705),Product_Category!$A$2:$A$45,0))</f>
        <v>Dairy, Poultry &amp; Honey</v>
      </c>
      <c r="G705" s="4">
        <v>0.8</v>
      </c>
      <c r="H705" s="4">
        <v>1.07</v>
      </c>
      <c r="I705" s="4">
        <v>0.43</v>
      </c>
      <c r="J705" s="4">
        <v>165.34</v>
      </c>
      <c r="K705" s="4">
        <v>215.42</v>
      </c>
      <c r="L705" s="4">
        <v>78.3</v>
      </c>
      <c r="M705" s="4">
        <f t="shared" si="30"/>
        <v>0.27</v>
      </c>
      <c r="N705" s="4">
        <f t="shared" si="31"/>
        <v>50.079999999999984</v>
      </c>
      <c r="O705" s="4">
        <f t="shared" si="32"/>
        <v>-0.64000000000000012</v>
      </c>
      <c r="P705" s="3" t="s">
        <v>19</v>
      </c>
    </row>
    <row r="706" spans="1:16" x14ac:dyDescent="0.35">
      <c r="A706" s="3" t="s">
        <v>79</v>
      </c>
      <c r="B706" s="3" t="str">
        <f>INDEX(State_Region!$B$2:$B$26,MATCH(TRIM(A706),State_Region!$A$2:$A$26,0))</f>
        <v>South</v>
      </c>
      <c r="C706" s="3" t="s">
        <v>80</v>
      </c>
      <c r="D706" s="3" t="str">
        <f>INDEX(Port_Type!$B$2:$B$227,MATCH(TRIM(C706),Port_Type!$A$2:$A$227,0))</f>
        <v>Inland ICD / CFS</v>
      </c>
      <c r="E706" s="3" t="s">
        <v>33</v>
      </c>
      <c r="F706" s="3" t="str">
        <f>INDEX(Product_Category!$B$2:$B$45,MATCH(TRIM(E706),Product_Category!$A$2:$A$45,0))</f>
        <v>Pulses</v>
      </c>
      <c r="G706" s="4">
        <v>0.83</v>
      </c>
      <c r="H706" s="4">
        <v>1.07</v>
      </c>
      <c r="I706" s="4">
        <v>0.43</v>
      </c>
      <c r="J706" s="4">
        <v>435.78</v>
      </c>
      <c r="K706" s="4">
        <v>519.54999999999995</v>
      </c>
      <c r="L706" s="4">
        <v>197.92</v>
      </c>
      <c r="M706" s="4">
        <f t="shared" ref="M706:M769" si="33">H706-G706</f>
        <v>0.2400000000000001</v>
      </c>
      <c r="N706" s="4">
        <f t="shared" ref="N706:N769" si="34">K706-J706</f>
        <v>83.769999999999982</v>
      </c>
      <c r="O706" s="4">
        <f t="shared" ref="O706:O769" si="35">I706-H706</f>
        <v>-0.64000000000000012</v>
      </c>
      <c r="P706" s="3" t="s">
        <v>19</v>
      </c>
    </row>
    <row r="707" spans="1:16" x14ac:dyDescent="0.35">
      <c r="A707" s="3" t="s">
        <v>66</v>
      </c>
      <c r="B707" s="3" t="str">
        <f>INDEX(State_Region!$B$2:$B$26,MATCH(TRIM(A707),State_Region!$A$2:$A$26,0))</f>
        <v>North</v>
      </c>
      <c r="C707" s="3" t="s">
        <v>208</v>
      </c>
      <c r="D707" s="3" t="str">
        <f>INDEX(Port_Type!$B$2:$B$227,MATCH(TRIM(C707),Port_Type!$A$2:$A$227,0))</f>
        <v>Inland ICD / CFS</v>
      </c>
      <c r="E707" s="3" t="s">
        <v>39</v>
      </c>
      <c r="F707" s="3" t="str">
        <f>INDEX(Product_Category!$B$2:$B$45,MATCH(TRIM(E707),Product_Category!$A$2:$A$45,0))</f>
        <v>Processed Foods</v>
      </c>
      <c r="G707" s="4">
        <v>1.44</v>
      </c>
      <c r="H707" s="4">
        <v>1.1200000000000001</v>
      </c>
      <c r="I707" s="4">
        <v>0.43</v>
      </c>
      <c r="J707" s="4">
        <v>644.32000000000005</v>
      </c>
      <c r="K707" s="4">
        <v>478.26</v>
      </c>
      <c r="L707" s="4">
        <v>196.41</v>
      </c>
      <c r="M707" s="4">
        <f t="shared" si="33"/>
        <v>-0.31999999999999984</v>
      </c>
      <c r="N707" s="4">
        <f t="shared" si="34"/>
        <v>-166.06000000000006</v>
      </c>
      <c r="O707" s="4">
        <f t="shared" si="35"/>
        <v>-0.69000000000000017</v>
      </c>
      <c r="P707" s="3" t="s">
        <v>19</v>
      </c>
    </row>
    <row r="708" spans="1:16" x14ac:dyDescent="0.35">
      <c r="A708" s="3" t="s">
        <v>23</v>
      </c>
      <c r="B708" s="3" t="str">
        <f>INDEX(State_Region!$B$2:$B$26,MATCH(TRIM(A708),State_Region!$A$2:$A$26,0))</f>
        <v>North</v>
      </c>
      <c r="C708" s="3" t="s">
        <v>30</v>
      </c>
      <c r="D708" s="3" t="str">
        <f>INDEX(Port_Type!$B$2:$B$227,MATCH(TRIM(C708),Port_Type!$A$2:$A$227,0))</f>
        <v>Inland ICD / CFS</v>
      </c>
      <c r="E708" s="3" t="s">
        <v>60</v>
      </c>
      <c r="F708" s="3" t="str">
        <f>INDEX(Product_Category!$B$2:$B$45,MATCH(TRIM(E708),Product_Category!$A$2:$A$45,0))</f>
        <v>Processed Foods</v>
      </c>
      <c r="G708" s="4">
        <v>0.18</v>
      </c>
      <c r="H708" s="4">
        <v>0</v>
      </c>
      <c r="I708" s="4">
        <v>0.43</v>
      </c>
      <c r="J708" s="4">
        <v>4.8600000000000003</v>
      </c>
      <c r="K708" s="4">
        <v>0</v>
      </c>
      <c r="L708" s="4">
        <v>182.56</v>
      </c>
      <c r="M708" s="4">
        <f t="shared" si="33"/>
        <v>-0.18</v>
      </c>
      <c r="N708" s="4">
        <f t="shared" si="34"/>
        <v>-4.8600000000000003</v>
      </c>
      <c r="O708" s="4">
        <f t="shared" si="35"/>
        <v>0.43</v>
      </c>
      <c r="P708" s="3" t="s">
        <v>19</v>
      </c>
    </row>
    <row r="709" spans="1:16" x14ac:dyDescent="0.35">
      <c r="A709" s="3" t="s">
        <v>23</v>
      </c>
      <c r="B709" s="3" t="str">
        <f>INDEX(State_Region!$B$2:$B$26,MATCH(TRIM(A709),State_Region!$A$2:$A$26,0))</f>
        <v>North</v>
      </c>
      <c r="C709" s="3" t="s">
        <v>123</v>
      </c>
      <c r="D709" s="3" t="str">
        <f>INDEX(Port_Type!$B$2:$B$227,MATCH(TRIM(C709),Port_Type!$A$2:$A$227,0))</f>
        <v>Land Border / Rail</v>
      </c>
      <c r="E709" s="3" t="s">
        <v>116</v>
      </c>
      <c r="F709" s="3" t="str">
        <f>INDEX(Product_Category!$B$2:$B$45,MATCH(TRIM(E709),Product_Category!$A$2:$A$45,0))</f>
        <v>Others</v>
      </c>
      <c r="G709" s="4">
        <v>0.94</v>
      </c>
      <c r="H709" s="4">
        <v>1.62</v>
      </c>
      <c r="I709" s="4">
        <v>0.43</v>
      </c>
      <c r="J709" s="4">
        <v>4544.78</v>
      </c>
      <c r="K709" s="4">
        <v>11250.48</v>
      </c>
      <c r="L709" s="4">
        <v>2482.37</v>
      </c>
      <c r="M709" s="4">
        <f t="shared" si="33"/>
        <v>0.68000000000000016</v>
      </c>
      <c r="N709" s="4">
        <f t="shared" si="34"/>
        <v>6705.7</v>
      </c>
      <c r="O709" s="4">
        <f t="shared" si="35"/>
        <v>-1.1900000000000002</v>
      </c>
      <c r="P709" s="3" t="s">
        <v>19</v>
      </c>
    </row>
    <row r="710" spans="1:16" x14ac:dyDescent="0.35">
      <c r="A710" s="3" t="s">
        <v>57</v>
      </c>
      <c r="B710" s="3" t="str">
        <f>INDEX(State_Region!$B$2:$B$26,MATCH(TRIM(A710),State_Region!$A$2:$A$26,0))</f>
        <v>Central</v>
      </c>
      <c r="C710" s="3" t="s">
        <v>175</v>
      </c>
      <c r="D710" s="3" t="str">
        <f>INDEX(Port_Type!$B$2:$B$227,MATCH(TRIM(C710),Port_Type!$A$2:$A$227,0))</f>
        <v>Inland ICD / CFS</v>
      </c>
      <c r="E710" s="3" t="s">
        <v>59</v>
      </c>
      <c r="F710" s="3" t="str">
        <f>INDEX(Product_Category!$B$2:$B$45,MATCH(TRIM(E710),Product_Category!$A$2:$A$45,0))</f>
        <v>Processed Foods</v>
      </c>
      <c r="G710" s="4">
        <v>0.17</v>
      </c>
      <c r="H710" s="4">
        <v>5.87</v>
      </c>
      <c r="I710" s="4">
        <v>0.43</v>
      </c>
      <c r="J710" s="4">
        <v>95.06</v>
      </c>
      <c r="K710" s="4">
        <v>3735.29</v>
      </c>
      <c r="L710" s="4">
        <v>253.57</v>
      </c>
      <c r="M710" s="4">
        <f t="shared" si="33"/>
        <v>5.7</v>
      </c>
      <c r="N710" s="4">
        <f t="shared" si="34"/>
        <v>3640.23</v>
      </c>
      <c r="O710" s="4">
        <f t="shared" si="35"/>
        <v>-5.44</v>
      </c>
      <c r="P710" s="3" t="s">
        <v>19</v>
      </c>
    </row>
    <row r="711" spans="1:16" x14ac:dyDescent="0.35">
      <c r="A711" s="3" t="s">
        <v>57</v>
      </c>
      <c r="B711" s="3" t="str">
        <f>INDEX(State_Region!$B$2:$B$26,MATCH(TRIM(A711),State_Region!$A$2:$A$26,0))</f>
        <v>Central</v>
      </c>
      <c r="C711" s="3" t="s">
        <v>58</v>
      </c>
      <c r="D711" s="3" t="str">
        <f>INDEX(Port_Type!$B$2:$B$227,MATCH(TRIM(C711),Port_Type!$A$2:$A$227,0))</f>
        <v>Inland ICD / CFS</v>
      </c>
      <c r="E711" s="3" t="s">
        <v>33</v>
      </c>
      <c r="F711" s="3" t="str">
        <f>INDEX(Product_Category!$B$2:$B$45,MATCH(TRIM(E711),Product_Category!$A$2:$A$45,0))</f>
        <v>Pulses</v>
      </c>
      <c r="G711" s="4">
        <v>0</v>
      </c>
      <c r="H711" s="4">
        <v>0.21</v>
      </c>
      <c r="I711" s="4">
        <v>0.42</v>
      </c>
      <c r="J711" s="4">
        <v>0</v>
      </c>
      <c r="K711" s="4">
        <v>151.06</v>
      </c>
      <c r="L711" s="4">
        <v>400</v>
      </c>
      <c r="M711" s="4">
        <f t="shared" si="33"/>
        <v>0.21</v>
      </c>
      <c r="N711" s="4">
        <f t="shared" si="34"/>
        <v>151.06</v>
      </c>
      <c r="O711" s="4">
        <f t="shared" si="35"/>
        <v>0.21</v>
      </c>
      <c r="P711" s="3" t="s">
        <v>19</v>
      </c>
    </row>
    <row r="712" spans="1:16" x14ac:dyDescent="0.35">
      <c r="A712" s="3" t="s">
        <v>35</v>
      </c>
      <c r="B712" s="3" t="str">
        <f>INDEX(State_Region!$B$2:$B$26,MATCH(TRIM(A712),State_Region!$A$2:$A$26,0))</f>
        <v>North</v>
      </c>
      <c r="C712" s="3" t="s">
        <v>88</v>
      </c>
      <c r="D712" s="3" t="str">
        <f>INDEX(Port_Type!$B$2:$B$227,MATCH(TRIM(C712),Port_Type!$A$2:$A$227,0))</f>
        <v>Inland ICD / CFS</v>
      </c>
      <c r="E712" s="3" t="s">
        <v>125</v>
      </c>
      <c r="F712" s="3" t="str">
        <f>INDEX(Product_Category!$B$2:$B$45,MATCH(TRIM(E712),Product_Category!$A$2:$A$45,0))</f>
        <v>Meat &amp; Animal Products</v>
      </c>
      <c r="G712" s="4">
        <v>2.06</v>
      </c>
      <c r="H712" s="4">
        <v>0</v>
      </c>
      <c r="I712" s="4">
        <v>0.42</v>
      </c>
      <c r="J712" s="4">
        <v>934.88</v>
      </c>
      <c r="K712" s="4">
        <v>0</v>
      </c>
      <c r="L712" s="4">
        <v>56</v>
      </c>
      <c r="M712" s="4">
        <f t="shared" si="33"/>
        <v>-2.06</v>
      </c>
      <c r="N712" s="4">
        <f t="shared" si="34"/>
        <v>-934.88</v>
      </c>
      <c r="O712" s="4">
        <f t="shared" si="35"/>
        <v>0.42</v>
      </c>
      <c r="P712" s="3" t="s">
        <v>19</v>
      </c>
    </row>
    <row r="713" spans="1:16" x14ac:dyDescent="0.35">
      <c r="A713" s="3" t="s">
        <v>40</v>
      </c>
      <c r="B713" s="3" t="str">
        <f>INDEX(State_Region!$B$2:$B$26,MATCH(TRIM(A713),State_Region!$A$2:$A$26,0))</f>
        <v>South</v>
      </c>
      <c r="C713" s="3" t="s">
        <v>117</v>
      </c>
      <c r="D713" s="3" t="str">
        <f>INDEX(Port_Type!$B$2:$B$227,MATCH(TRIM(C713),Port_Type!$A$2:$A$227,0))</f>
        <v>Sea Port</v>
      </c>
      <c r="E713" s="3" t="s">
        <v>55</v>
      </c>
      <c r="F713" s="3" t="str">
        <f>INDEX(Product_Category!$B$2:$B$45,MATCH(TRIM(E713),Product_Category!$A$2:$A$45,0))</f>
        <v>Fresh Fruits &amp; Vegetables</v>
      </c>
      <c r="G713" s="4">
        <v>5.15</v>
      </c>
      <c r="H713" s="4">
        <v>4.1100000000000003</v>
      </c>
      <c r="I713" s="4">
        <v>0.41</v>
      </c>
      <c r="J713" s="4">
        <v>9433.0300000000007</v>
      </c>
      <c r="K713" s="4">
        <v>8984.5</v>
      </c>
      <c r="L713" s="4">
        <v>1706.74</v>
      </c>
      <c r="M713" s="4">
        <f t="shared" si="33"/>
        <v>-1.04</v>
      </c>
      <c r="N713" s="4">
        <f t="shared" si="34"/>
        <v>-448.53000000000065</v>
      </c>
      <c r="O713" s="4">
        <f t="shared" si="35"/>
        <v>-3.7</v>
      </c>
      <c r="P713" s="3" t="s">
        <v>19</v>
      </c>
    </row>
    <row r="714" spans="1:16" x14ac:dyDescent="0.35">
      <c r="A714" s="3" t="s">
        <v>77</v>
      </c>
      <c r="B714" s="3" t="str">
        <f>INDEX(State_Region!$B$2:$B$26,MATCH(TRIM(A714),State_Region!$A$2:$A$26,0))</f>
        <v>South</v>
      </c>
      <c r="C714" s="3" t="s">
        <v>149</v>
      </c>
      <c r="D714" s="3" t="str">
        <f>INDEX(Port_Type!$B$2:$B$227,MATCH(TRIM(C714),Port_Type!$A$2:$A$227,0))</f>
        <v>SEZ / EPZ</v>
      </c>
      <c r="E714" s="3" t="s">
        <v>122</v>
      </c>
      <c r="F714" s="3" t="str">
        <f>INDEX(Product_Category!$B$2:$B$45,MATCH(TRIM(E714),Product_Category!$A$2:$A$45,0))</f>
        <v>Others</v>
      </c>
      <c r="G714" s="4">
        <v>1.2</v>
      </c>
      <c r="H714" s="4">
        <v>1.26</v>
      </c>
      <c r="I714" s="4">
        <v>0.41</v>
      </c>
      <c r="J714" s="4">
        <v>10.91</v>
      </c>
      <c r="K714" s="4">
        <v>4.28</v>
      </c>
      <c r="L714" s="4">
        <v>1.36</v>
      </c>
      <c r="M714" s="4">
        <f t="shared" si="33"/>
        <v>6.0000000000000053E-2</v>
      </c>
      <c r="N714" s="4">
        <f t="shared" si="34"/>
        <v>-6.63</v>
      </c>
      <c r="O714" s="4">
        <f t="shared" si="35"/>
        <v>-0.85000000000000009</v>
      </c>
      <c r="P714" s="3" t="s">
        <v>19</v>
      </c>
    </row>
    <row r="715" spans="1:16" x14ac:dyDescent="0.35">
      <c r="A715" s="3" t="s">
        <v>74</v>
      </c>
      <c r="B715" s="3" t="str">
        <f>INDEX(State_Region!$B$2:$B$26,MATCH(TRIM(A715),State_Region!$A$2:$A$26,0))</f>
        <v>South</v>
      </c>
      <c r="C715" s="3" t="s">
        <v>75</v>
      </c>
      <c r="D715" s="3" t="str">
        <f>INDEX(Port_Type!$B$2:$B$227,MATCH(TRIM(C715),Port_Type!$A$2:$A$227,0))</f>
        <v>Inland ICD / CFS</v>
      </c>
      <c r="E715" s="3" t="s">
        <v>69</v>
      </c>
      <c r="F715" s="3" t="str">
        <f>INDEX(Product_Category!$B$2:$B$45,MATCH(TRIM(E715),Product_Category!$A$2:$A$45,0))</f>
        <v>Others</v>
      </c>
      <c r="G715" s="4">
        <v>2.38</v>
      </c>
      <c r="H715" s="4">
        <v>1.81</v>
      </c>
      <c r="I715" s="4">
        <v>0.41</v>
      </c>
      <c r="J715" s="4">
        <v>244.43</v>
      </c>
      <c r="K715" s="4">
        <v>290.97000000000003</v>
      </c>
      <c r="L715" s="4">
        <v>51.75</v>
      </c>
      <c r="M715" s="4">
        <f t="shared" si="33"/>
        <v>-0.56999999999999984</v>
      </c>
      <c r="N715" s="4">
        <f t="shared" si="34"/>
        <v>46.54000000000002</v>
      </c>
      <c r="O715" s="4">
        <f t="shared" si="35"/>
        <v>-1.4000000000000001</v>
      </c>
      <c r="P715" s="3" t="s">
        <v>19</v>
      </c>
    </row>
    <row r="716" spans="1:16" x14ac:dyDescent="0.35">
      <c r="A716" s="3" t="s">
        <v>20</v>
      </c>
      <c r="B716" s="3" t="str">
        <f>INDEX(State_Region!$B$2:$B$26,MATCH(TRIM(A716),State_Region!$A$2:$A$26,0))</f>
        <v>West</v>
      </c>
      <c r="C716" s="3" t="s">
        <v>56</v>
      </c>
      <c r="D716" s="3" t="str">
        <f>INDEX(Port_Type!$B$2:$B$227,MATCH(TRIM(C716),Port_Type!$A$2:$A$227,0))</f>
        <v>Inland ICD / CFS</v>
      </c>
      <c r="E716" s="3" t="s">
        <v>54</v>
      </c>
      <c r="F716" s="3" t="str">
        <f>INDEX(Product_Category!$B$2:$B$45,MATCH(TRIM(E716),Product_Category!$A$2:$A$45,0))</f>
        <v>Processed Foods</v>
      </c>
      <c r="G716" s="4">
        <v>1.1599999999999999</v>
      </c>
      <c r="H716" s="4">
        <v>1.0900000000000001</v>
      </c>
      <c r="I716" s="4">
        <v>0.41</v>
      </c>
      <c r="J716" s="4">
        <v>888.26</v>
      </c>
      <c r="K716" s="4">
        <v>685.45</v>
      </c>
      <c r="L716" s="4">
        <v>307.51</v>
      </c>
      <c r="M716" s="4">
        <f t="shared" si="33"/>
        <v>-6.999999999999984E-2</v>
      </c>
      <c r="N716" s="4">
        <f t="shared" si="34"/>
        <v>-202.80999999999995</v>
      </c>
      <c r="O716" s="4">
        <f t="shared" si="35"/>
        <v>-0.68000000000000016</v>
      </c>
      <c r="P716" s="3" t="s">
        <v>19</v>
      </c>
    </row>
    <row r="717" spans="1:16" x14ac:dyDescent="0.35">
      <c r="A717" s="3" t="s">
        <v>94</v>
      </c>
      <c r="B717" s="3" t="str">
        <f>INDEX(State_Region!$B$2:$B$26,MATCH(TRIM(A717),State_Region!$A$2:$A$26,0))</f>
        <v>East</v>
      </c>
      <c r="C717" s="3" t="s">
        <v>112</v>
      </c>
      <c r="D717" s="3" t="str">
        <f>INDEX(Port_Type!$B$2:$B$227,MATCH(TRIM(C717),Port_Type!$A$2:$A$227,0))</f>
        <v>Land Border / Rail</v>
      </c>
      <c r="E717" s="3" t="s">
        <v>45</v>
      </c>
      <c r="F717" s="3" t="str">
        <f>INDEX(Product_Category!$B$2:$B$45,MATCH(TRIM(E717),Product_Category!$A$2:$A$45,0))</f>
        <v>Fresh Fruits &amp; Vegetables</v>
      </c>
      <c r="G717" s="4">
        <v>0.67</v>
      </c>
      <c r="H717" s="4">
        <v>1.23</v>
      </c>
      <c r="I717" s="4">
        <v>0.41</v>
      </c>
      <c r="J717" s="4">
        <v>1645.65</v>
      </c>
      <c r="K717" s="4">
        <v>2606.67</v>
      </c>
      <c r="L717" s="4">
        <v>1549.44</v>
      </c>
      <c r="M717" s="4">
        <f t="shared" si="33"/>
        <v>0.55999999999999994</v>
      </c>
      <c r="N717" s="4">
        <f t="shared" si="34"/>
        <v>961.02</v>
      </c>
      <c r="O717" s="4">
        <f t="shared" si="35"/>
        <v>-0.82000000000000006</v>
      </c>
      <c r="P717" s="3" t="s">
        <v>19</v>
      </c>
    </row>
    <row r="718" spans="1:16" x14ac:dyDescent="0.35">
      <c r="A718" s="3" t="s">
        <v>16</v>
      </c>
      <c r="B718" s="3" t="str">
        <f>INDEX(State_Region!$B$2:$B$26,MATCH(TRIM(A718),State_Region!$A$2:$A$26,0))</f>
        <v>West</v>
      </c>
      <c r="C718" s="3" t="s">
        <v>155</v>
      </c>
      <c r="D718" s="3" t="str">
        <f>INDEX(Port_Type!$B$2:$B$227,MATCH(TRIM(C718),Port_Type!$A$2:$A$227,0))</f>
        <v>Inland ICD / CFS</v>
      </c>
      <c r="E718" s="3" t="s">
        <v>39</v>
      </c>
      <c r="F718" s="3" t="str">
        <f>INDEX(Product_Category!$B$2:$B$45,MATCH(TRIM(E718),Product_Category!$A$2:$A$45,0))</f>
        <v>Processed Foods</v>
      </c>
      <c r="G718" s="4">
        <v>0.54</v>
      </c>
      <c r="H718" s="4">
        <v>0.35</v>
      </c>
      <c r="I718" s="4">
        <v>0.41</v>
      </c>
      <c r="J718" s="4">
        <v>277.3</v>
      </c>
      <c r="K718" s="4">
        <v>926.68</v>
      </c>
      <c r="L718" s="4">
        <v>951.03</v>
      </c>
      <c r="M718" s="4">
        <f t="shared" si="33"/>
        <v>-0.19000000000000006</v>
      </c>
      <c r="N718" s="4">
        <f t="shared" si="34"/>
        <v>649.37999999999988</v>
      </c>
      <c r="O718" s="4">
        <f t="shared" si="35"/>
        <v>0.06</v>
      </c>
      <c r="P718" s="3" t="s">
        <v>19</v>
      </c>
    </row>
    <row r="719" spans="1:16" x14ac:dyDescent="0.35">
      <c r="A719" s="3" t="s">
        <v>31</v>
      </c>
      <c r="B719" s="3" t="str">
        <f>INDEX(State_Region!$B$2:$B$26,MATCH(TRIM(A719),State_Region!$A$2:$A$26,0))</f>
        <v>East</v>
      </c>
      <c r="C719" s="3" t="s">
        <v>139</v>
      </c>
      <c r="D719" s="3" t="str">
        <f>INDEX(Port_Type!$B$2:$B$227,MATCH(TRIM(C719),Port_Type!$A$2:$A$227,0))</f>
        <v>Land Border / Rail</v>
      </c>
      <c r="E719" s="3" t="s">
        <v>39</v>
      </c>
      <c r="F719" s="3" t="str">
        <f>INDEX(Product_Category!$B$2:$B$45,MATCH(TRIM(E719),Product_Category!$A$2:$A$45,0))</f>
        <v>Processed Foods</v>
      </c>
      <c r="G719" s="4">
        <v>0.56000000000000005</v>
      </c>
      <c r="H719" s="4">
        <v>1.45</v>
      </c>
      <c r="I719" s="4">
        <v>0.41</v>
      </c>
      <c r="J719" s="4">
        <v>372.62</v>
      </c>
      <c r="K719" s="4">
        <v>900.13</v>
      </c>
      <c r="L719" s="4">
        <v>255.47</v>
      </c>
      <c r="M719" s="4">
        <f t="shared" si="33"/>
        <v>0.8899999999999999</v>
      </c>
      <c r="N719" s="4">
        <f t="shared" si="34"/>
        <v>527.51</v>
      </c>
      <c r="O719" s="4">
        <f t="shared" si="35"/>
        <v>-1.04</v>
      </c>
      <c r="P719" s="3" t="s">
        <v>19</v>
      </c>
    </row>
    <row r="720" spans="1:16" x14ac:dyDescent="0.35">
      <c r="A720" s="3" t="s">
        <v>31</v>
      </c>
      <c r="B720" s="3" t="str">
        <f>INDEX(State_Region!$B$2:$B$26,MATCH(TRIM(A720),State_Region!$A$2:$A$26,0))</f>
        <v>East</v>
      </c>
      <c r="C720" s="3" t="s">
        <v>139</v>
      </c>
      <c r="D720" s="3" t="str">
        <f>INDEX(Port_Type!$B$2:$B$227,MATCH(TRIM(C720),Port_Type!$A$2:$A$227,0))</f>
        <v>Land Border / Rail</v>
      </c>
      <c r="E720" s="3" t="s">
        <v>83</v>
      </c>
      <c r="F720" s="3" t="str">
        <f>INDEX(Product_Category!$B$2:$B$45,MATCH(TRIM(E720),Product_Category!$A$2:$A$45,0))</f>
        <v>Fresh Fruits &amp; Vegetables</v>
      </c>
      <c r="G720" s="4">
        <v>1.07</v>
      </c>
      <c r="H720" s="4">
        <v>0.77</v>
      </c>
      <c r="I720" s="4">
        <v>0.41</v>
      </c>
      <c r="J720" s="4">
        <v>2617.8200000000002</v>
      </c>
      <c r="K720" s="4">
        <v>1367.99</v>
      </c>
      <c r="L720" s="4">
        <v>769.17</v>
      </c>
      <c r="M720" s="4">
        <f t="shared" si="33"/>
        <v>-0.30000000000000004</v>
      </c>
      <c r="N720" s="4">
        <f t="shared" si="34"/>
        <v>-1249.8300000000002</v>
      </c>
      <c r="O720" s="4">
        <f t="shared" si="35"/>
        <v>-0.36000000000000004</v>
      </c>
      <c r="P720" s="3" t="s">
        <v>19</v>
      </c>
    </row>
    <row r="721" spans="1:16" x14ac:dyDescent="0.35">
      <c r="A721" s="3" t="s">
        <v>35</v>
      </c>
      <c r="B721" s="3" t="str">
        <f>INDEX(State_Region!$B$2:$B$26,MATCH(TRIM(A721),State_Region!$A$2:$A$26,0))</f>
        <v>North</v>
      </c>
      <c r="C721" s="3" t="s">
        <v>38</v>
      </c>
      <c r="D721" s="3" t="str">
        <f>INDEX(Port_Type!$B$2:$B$227,MATCH(TRIM(C721),Port_Type!$A$2:$A$227,0))</f>
        <v>Inland ICD / CFS</v>
      </c>
      <c r="E721" s="3" t="s">
        <v>59</v>
      </c>
      <c r="F721" s="3" t="str">
        <f>INDEX(Product_Category!$B$2:$B$45,MATCH(TRIM(E721),Product_Category!$A$2:$A$45,0))</f>
        <v>Processed Foods</v>
      </c>
      <c r="G721" s="4">
        <v>0.28000000000000003</v>
      </c>
      <c r="H721" s="4">
        <v>1.9</v>
      </c>
      <c r="I721" s="4">
        <v>0.41</v>
      </c>
      <c r="J721" s="4">
        <v>85.3</v>
      </c>
      <c r="K721" s="4">
        <v>492.27</v>
      </c>
      <c r="L721" s="4">
        <v>124.46</v>
      </c>
      <c r="M721" s="4">
        <f t="shared" si="33"/>
        <v>1.6199999999999999</v>
      </c>
      <c r="N721" s="4">
        <f t="shared" si="34"/>
        <v>406.96999999999997</v>
      </c>
      <c r="O721" s="4">
        <f t="shared" si="35"/>
        <v>-1.49</v>
      </c>
      <c r="P721" s="3" t="s">
        <v>19</v>
      </c>
    </row>
    <row r="722" spans="1:16" x14ac:dyDescent="0.35">
      <c r="A722" s="3" t="s">
        <v>31</v>
      </c>
      <c r="B722" s="3" t="str">
        <f>INDEX(State_Region!$B$2:$B$26,MATCH(TRIM(A722),State_Region!$A$2:$A$26,0))</f>
        <v>East</v>
      </c>
      <c r="C722" s="3" t="s">
        <v>131</v>
      </c>
      <c r="D722" s="3" t="str">
        <f>INDEX(Port_Type!$B$2:$B$227,MATCH(TRIM(C722),Port_Type!$A$2:$A$227,0))</f>
        <v>Land Border / Rail</v>
      </c>
      <c r="E722" s="3" t="s">
        <v>76</v>
      </c>
      <c r="F722" s="3" t="str">
        <f>INDEX(Product_Category!$B$2:$B$45,MATCH(TRIM(E722),Product_Category!$A$2:$A$45,0))</f>
        <v>Fresh Fruits &amp; Vegetables</v>
      </c>
      <c r="G722" s="4">
        <v>0.46</v>
      </c>
      <c r="H722" s="4">
        <v>0.55000000000000004</v>
      </c>
      <c r="I722" s="4">
        <v>0.41</v>
      </c>
      <c r="J722" s="4">
        <v>535.82000000000005</v>
      </c>
      <c r="K722" s="4">
        <v>654.54</v>
      </c>
      <c r="L722" s="4">
        <v>556.49</v>
      </c>
      <c r="M722" s="4">
        <f t="shared" si="33"/>
        <v>9.0000000000000024E-2</v>
      </c>
      <c r="N722" s="4">
        <f t="shared" si="34"/>
        <v>118.71999999999991</v>
      </c>
      <c r="O722" s="4">
        <f t="shared" si="35"/>
        <v>-0.14000000000000007</v>
      </c>
      <c r="P722" s="3" t="s">
        <v>19</v>
      </c>
    </row>
    <row r="723" spans="1:16" x14ac:dyDescent="0.35">
      <c r="A723" s="3" t="s">
        <v>86</v>
      </c>
      <c r="B723" s="3" t="str">
        <f>INDEX(State_Region!$B$2:$B$26,MATCH(TRIM(A723),State_Region!$A$2:$A$26,0))</f>
        <v>North</v>
      </c>
      <c r="C723" s="3" t="s">
        <v>87</v>
      </c>
      <c r="D723" s="3" t="str">
        <f>INDEX(Port_Type!$B$2:$B$227,MATCH(TRIM(C723),Port_Type!$A$2:$A$227,0))</f>
        <v>Air Cargo</v>
      </c>
      <c r="E723" s="3" t="s">
        <v>42</v>
      </c>
      <c r="F723" s="3" t="str">
        <f>INDEX(Product_Category!$B$2:$B$45,MATCH(TRIM(E723),Product_Category!$A$2:$A$45,0))</f>
        <v>Processed Foods</v>
      </c>
      <c r="G723" s="4">
        <v>1.64</v>
      </c>
      <c r="H723" s="4">
        <v>1.59</v>
      </c>
      <c r="I723" s="4">
        <v>0.41</v>
      </c>
      <c r="J723" s="4">
        <v>51.03</v>
      </c>
      <c r="K723" s="4">
        <v>50.31</v>
      </c>
      <c r="L723" s="4">
        <v>27.63</v>
      </c>
      <c r="M723" s="4">
        <f t="shared" si="33"/>
        <v>-4.9999999999999822E-2</v>
      </c>
      <c r="N723" s="4">
        <f t="shared" si="34"/>
        <v>-0.71999999999999886</v>
      </c>
      <c r="O723" s="4">
        <f t="shared" si="35"/>
        <v>-1.1800000000000002</v>
      </c>
      <c r="P723" s="3" t="s">
        <v>19</v>
      </c>
    </row>
    <row r="724" spans="1:16" x14ac:dyDescent="0.35">
      <c r="A724" s="3" t="s">
        <v>16</v>
      </c>
      <c r="B724" s="3" t="str">
        <f>INDEX(State_Region!$B$2:$B$26,MATCH(TRIM(A724),State_Region!$A$2:$A$26,0))</f>
        <v>West</v>
      </c>
      <c r="C724" s="3" t="s">
        <v>115</v>
      </c>
      <c r="D724" s="3" t="str">
        <f>INDEX(Port_Type!$B$2:$B$227,MATCH(TRIM(C724),Port_Type!$A$2:$A$227,0))</f>
        <v>Inland ICD / CFS</v>
      </c>
      <c r="E724" s="3" t="s">
        <v>46</v>
      </c>
      <c r="F724" s="3" t="str">
        <f>INDEX(Product_Category!$B$2:$B$45,MATCH(TRIM(E724),Product_Category!$A$2:$A$45,0))</f>
        <v>Others</v>
      </c>
      <c r="G724" s="4">
        <v>3.76</v>
      </c>
      <c r="H724" s="4">
        <v>3.61</v>
      </c>
      <c r="I724" s="4">
        <v>0.4</v>
      </c>
      <c r="J724" s="4">
        <v>5645.33</v>
      </c>
      <c r="K724" s="4">
        <v>3595.62</v>
      </c>
      <c r="L724" s="4">
        <v>206.21</v>
      </c>
      <c r="M724" s="4">
        <f t="shared" si="33"/>
        <v>-0.14999999999999991</v>
      </c>
      <c r="N724" s="4">
        <f t="shared" si="34"/>
        <v>-2049.71</v>
      </c>
      <c r="O724" s="4">
        <f t="shared" si="35"/>
        <v>-3.21</v>
      </c>
      <c r="P724" s="3" t="s">
        <v>19</v>
      </c>
    </row>
    <row r="725" spans="1:16" x14ac:dyDescent="0.35">
      <c r="A725" s="3" t="s">
        <v>40</v>
      </c>
      <c r="B725" s="3" t="str">
        <f>INDEX(State_Region!$B$2:$B$26,MATCH(TRIM(A725),State_Region!$A$2:$A$26,0))</f>
        <v>South</v>
      </c>
      <c r="C725" s="3" t="s">
        <v>117</v>
      </c>
      <c r="D725" s="3" t="str">
        <f>INDEX(Port_Type!$B$2:$B$227,MATCH(TRIM(C725),Port_Type!$A$2:$A$227,0))</f>
        <v>Sea Port</v>
      </c>
      <c r="E725" s="3" t="s">
        <v>72</v>
      </c>
      <c r="F725" s="3" t="str">
        <f>INDEX(Product_Category!$B$2:$B$45,MATCH(TRIM(E725),Product_Category!$A$2:$A$45,0))</f>
        <v>Dairy, Poultry &amp; Honey</v>
      </c>
      <c r="G725" s="4">
        <v>0.6</v>
      </c>
      <c r="H725" s="4">
        <v>1.54</v>
      </c>
      <c r="I725" s="4">
        <v>0.4</v>
      </c>
      <c r="J725" s="4">
        <v>87.14</v>
      </c>
      <c r="K725" s="4">
        <v>195.25</v>
      </c>
      <c r="L725" s="4">
        <v>46.93</v>
      </c>
      <c r="M725" s="4">
        <f t="shared" si="33"/>
        <v>0.94000000000000006</v>
      </c>
      <c r="N725" s="4">
        <f t="shared" si="34"/>
        <v>108.11</v>
      </c>
      <c r="O725" s="4">
        <f t="shared" si="35"/>
        <v>-1.1400000000000001</v>
      </c>
      <c r="P725" s="3" t="s">
        <v>19</v>
      </c>
    </row>
    <row r="726" spans="1:16" x14ac:dyDescent="0.35">
      <c r="A726" s="3" t="s">
        <v>77</v>
      </c>
      <c r="B726" s="3" t="str">
        <f>INDEX(State_Region!$B$2:$B$26,MATCH(TRIM(A726),State_Region!$A$2:$A$26,0))</f>
        <v>South</v>
      </c>
      <c r="C726" s="3" t="s">
        <v>78</v>
      </c>
      <c r="D726" s="3" t="str">
        <f>INDEX(Port_Type!$B$2:$B$227,MATCH(TRIM(C726),Port_Type!$A$2:$A$227,0))</f>
        <v>Sea Port</v>
      </c>
      <c r="E726" s="3" t="s">
        <v>59</v>
      </c>
      <c r="F726" s="3" t="str">
        <f>INDEX(Product_Category!$B$2:$B$45,MATCH(TRIM(E726),Product_Category!$A$2:$A$45,0))</f>
        <v>Processed Foods</v>
      </c>
      <c r="G726" s="4">
        <v>1.1399999999999999</v>
      </c>
      <c r="H726" s="4">
        <v>3.38</v>
      </c>
      <c r="I726" s="4">
        <v>0.4</v>
      </c>
      <c r="J726" s="4">
        <v>190.53</v>
      </c>
      <c r="K726" s="4">
        <v>461.79</v>
      </c>
      <c r="L726" s="4">
        <v>49.97</v>
      </c>
      <c r="M726" s="4">
        <f t="shared" si="33"/>
        <v>2.2400000000000002</v>
      </c>
      <c r="N726" s="4">
        <f t="shared" si="34"/>
        <v>271.26</v>
      </c>
      <c r="O726" s="4">
        <f t="shared" si="35"/>
        <v>-2.98</v>
      </c>
      <c r="P726" s="3" t="s">
        <v>19</v>
      </c>
    </row>
    <row r="727" spans="1:16" x14ac:dyDescent="0.35">
      <c r="A727" s="3" t="s">
        <v>35</v>
      </c>
      <c r="B727" s="3" t="str">
        <f>INDEX(State_Region!$B$2:$B$26,MATCH(TRIM(A727),State_Region!$A$2:$A$26,0))</f>
        <v>North</v>
      </c>
      <c r="C727" s="3" t="s">
        <v>38</v>
      </c>
      <c r="D727" s="3" t="str">
        <f>INDEX(Port_Type!$B$2:$B$227,MATCH(TRIM(C727),Port_Type!$A$2:$A$227,0))</f>
        <v>Inland ICD / CFS</v>
      </c>
      <c r="E727" s="3" t="s">
        <v>65</v>
      </c>
      <c r="F727" s="3" t="str">
        <f>INDEX(Product_Category!$B$2:$B$45,MATCH(TRIM(E727),Product_Category!$A$2:$A$45,0))</f>
        <v>Cereals &amp; Grains</v>
      </c>
      <c r="G727" s="4">
        <v>0.94</v>
      </c>
      <c r="H727" s="4">
        <v>3.51</v>
      </c>
      <c r="I727" s="4">
        <v>0.39</v>
      </c>
      <c r="J727" s="4">
        <v>1498.78</v>
      </c>
      <c r="K727" s="4">
        <v>5281.08</v>
      </c>
      <c r="L727" s="4">
        <v>611.08000000000004</v>
      </c>
      <c r="M727" s="4">
        <f t="shared" si="33"/>
        <v>2.57</v>
      </c>
      <c r="N727" s="4">
        <f t="shared" si="34"/>
        <v>3782.3</v>
      </c>
      <c r="O727" s="4">
        <f t="shared" si="35"/>
        <v>-3.1199999999999997</v>
      </c>
      <c r="P727" s="3" t="s">
        <v>19</v>
      </c>
    </row>
    <row r="728" spans="1:16" x14ac:dyDescent="0.35">
      <c r="A728" s="3" t="s">
        <v>31</v>
      </c>
      <c r="B728" s="3" t="str">
        <f>INDEX(State_Region!$B$2:$B$26,MATCH(TRIM(A728),State_Region!$A$2:$A$26,0))</f>
        <v>East</v>
      </c>
      <c r="C728" s="3" t="s">
        <v>141</v>
      </c>
      <c r="D728" s="3" t="str">
        <f>INDEX(Port_Type!$B$2:$B$227,MATCH(TRIM(C728),Port_Type!$A$2:$A$227,0))</f>
        <v>Land Border / Rail</v>
      </c>
      <c r="E728" s="3" t="s">
        <v>33</v>
      </c>
      <c r="F728" s="3" t="str">
        <f>INDEX(Product_Category!$B$2:$B$45,MATCH(TRIM(E728),Product_Category!$A$2:$A$45,0))</f>
        <v>Pulses</v>
      </c>
      <c r="G728" s="4">
        <v>72.84</v>
      </c>
      <c r="H728" s="4">
        <v>2.42</v>
      </c>
      <c r="I728" s="4">
        <v>0.38</v>
      </c>
      <c r="J728" s="4">
        <v>89288.98</v>
      </c>
      <c r="K728" s="4">
        <v>3104.65</v>
      </c>
      <c r="L728" s="4">
        <v>468.98</v>
      </c>
      <c r="M728" s="4">
        <f t="shared" si="33"/>
        <v>-70.42</v>
      </c>
      <c r="N728" s="4">
        <f t="shared" si="34"/>
        <v>-86184.33</v>
      </c>
      <c r="O728" s="4">
        <f t="shared" si="35"/>
        <v>-2.04</v>
      </c>
      <c r="P728" s="3" t="s">
        <v>19</v>
      </c>
    </row>
    <row r="729" spans="1:16" x14ac:dyDescent="0.35">
      <c r="A729" s="3" t="s">
        <v>16</v>
      </c>
      <c r="B729" s="3" t="str">
        <f>INDEX(State_Region!$B$2:$B$26,MATCH(TRIM(A729),State_Region!$A$2:$A$26,0))</f>
        <v>West</v>
      </c>
      <c r="C729" s="3" t="s">
        <v>90</v>
      </c>
      <c r="D729" s="3" t="str">
        <f>INDEX(Port_Type!$B$2:$B$227,MATCH(TRIM(C729),Port_Type!$A$2:$A$227,0))</f>
        <v>Inland ICD / CFS</v>
      </c>
      <c r="E729" s="3" t="s">
        <v>144</v>
      </c>
      <c r="F729" s="3" t="str">
        <f>INDEX(Product_Category!$B$2:$B$45,MATCH(TRIM(E729),Product_Category!$A$2:$A$45,0))</f>
        <v>Cereals &amp; Grains</v>
      </c>
      <c r="G729" s="4">
        <v>0.54</v>
      </c>
      <c r="H729" s="4">
        <v>0.91</v>
      </c>
      <c r="I729" s="4">
        <v>0.38</v>
      </c>
      <c r="J729" s="4">
        <v>539.57000000000005</v>
      </c>
      <c r="K729" s="4">
        <v>1222.6500000000001</v>
      </c>
      <c r="L729" s="4">
        <v>731.32</v>
      </c>
      <c r="M729" s="4">
        <f t="shared" si="33"/>
        <v>0.37</v>
      </c>
      <c r="N729" s="4">
        <f t="shared" si="34"/>
        <v>683.08</v>
      </c>
      <c r="O729" s="4">
        <f t="shared" si="35"/>
        <v>-0.53</v>
      </c>
      <c r="P729" s="3" t="s">
        <v>19</v>
      </c>
    </row>
    <row r="730" spans="1:16" x14ac:dyDescent="0.35">
      <c r="A730" s="3" t="s">
        <v>86</v>
      </c>
      <c r="B730" s="3" t="str">
        <f>INDEX(State_Region!$B$2:$B$26,MATCH(TRIM(A730),State_Region!$A$2:$A$26,0))</f>
        <v>North</v>
      </c>
      <c r="C730" s="3" t="s">
        <v>106</v>
      </c>
      <c r="D730" s="3" t="str">
        <f>INDEX(Port_Type!$B$2:$B$227,MATCH(TRIM(C730),Port_Type!$A$2:$A$227,0))</f>
        <v>Inland ICD / CFS</v>
      </c>
      <c r="E730" s="3" t="s">
        <v>72</v>
      </c>
      <c r="F730" s="3" t="str">
        <f>INDEX(Product_Category!$B$2:$B$45,MATCH(TRIM(E730),Product_Category!$A$2:$A$45,0))</f>
        <v>Dairy, Poultry &amp; Honey</v>
      </c>
      <c r="G730" s="4">
        <v>1.92</v>
      </c>
      <c r="H730" s="4">
        <v>1.52</v>
      </c>
      <c r="I730" s="4">
        <v>0.38</v>
      </c>
      <c r="J730" s="4">
        <v>270.24</v>
      </c>
      <c r="K730" s="4">
        <v>218.83</v>
      </c>
      <c r="L730" s="4">
        <v>69.37</v>
      </c>
      <c r="M730" s="4">
        <f t="shared" si="33"/>
        <v>-0.39999999999999991</v>
      </c>
      <c r="N730" s="4">
        <f t="shared" si="34"/>
        <v>-51.41</v>
      </c>
      <c r="O730" s="4">
        <f t="shared" si="35"/>
        <v>-1.1400000000000001</v>
      </c>
      <c r="P730" s="3" t="s">
        <v>19</v>
      </c>
    </row>
    <row r="731" spans="1:16" x14ac:dyDescent="0.35">
      <c r="A731" s="3" t="s">
        <v>16</v>
      </c>
      <c r="B731" s="3" t="str">
        <f>INDEX(State_Region!$B$2:$B$26,MATCH(TRIM(A731),State_Region!$A$2:$A$26,0))</f>
        <v>West</v>
      </c>
      <c r="C731" s="3" t="s">
        <v>89</v>
      </c>
      <c r="D731" s="3" t="str">
        <f>INDEX(Port_Type!$B$2:$B$227,MATCH(TRIM(C731),Port_Type!$A$2:$A$227,0))</f>
        <v>Inland ICD / CFS</v>
      </c>
      <c r="E731" s="3" t="s">
        <v>33</v>
      </c>
      <c r="F731" s="3" t="str">
        <f>INDEX(Product_Category!$B$2:$B$45,MATCH(TRIM(E731),Product_Category!$A$2:$A$45,0))</f>
        <v>Pulses</v>
      </c>
      <c r="G731" s="4">
        <v>2.74</v>
      </c>
      <c r="H731" s="4">
        <v>1.1399999999999999</v>
      </c>
      <c r="I731" s="4">
        <v>0.38</v>
      </c>
      <c r="J731" s="4">
        <v>1489.16</v>
      </c>
      <c r="K731" s="4">
        <v>724.5</v>
      </c>
      <c r="L731" s="4">
        <v>252.22</v>
      </c>
      <c r="M731" s="4">
        <f t="shared" si="33"/>
        <v>-1.6000000000000003</v>
      </c>
      <c r="N731" s="4">
        <f t="shared" si="34"/>
        <v>-764.66000000000008</v>
      </c>
      <c r="O731" s="4">
        <f t="shared" si="35"/>
        <v>-0.7599999999999999</v>
      </c>
      <c r="P731" s="3" t="s">
        <v>19</v>
      </c>
    </row>
    <row r="732" spans="1:16" x14ac:dyDescent="0.35">
      <c r="A732" s="3" t="s">
        <v>40</v>
      </c>
      <c r="B732" s="3" t="str">
        <f>INDEX(State_Region!$B$2:$B$26,MATCH(TRIM(A732),State_Region!$A$2:$A$26,0))</f>
        <v>South</v>
      </c>
      <c r="C732" s="3" t="s">
        <v>209</v>
      </c>
      <c r="D732" s="3" t="str">
        <f>INDEX(Port_Type!$B$2:$B$227,MATCH(TRIM(C732),Port_Type!$A$2:$A$227,0))</f>
        <v>SEZ / EPZ</v>
      </c>
      <c r="E732" s="3" t="s">
        <v>48</v>
      </c>
      <c r="F732" s="3" t="str">
        <f>INDEX(Product_Category!$B$2:$B$45,MATCH(TRIM(E732),Product_Category!$A$2:$A$45,0))</f>
        <v>Processed Foods</v>
      </c>
      <c r="G732" s="4">
        <v>0.2</v>
      </c>
      <c r="H732" s="4">
        <v>1</v>
      </c>
      <c r="I732" s="4">
        <v>0.37</v>
      </c>
      <c r="J732" s="4">
        <v>104</v>
      </c>
      <c r="K732" s="4">
        <v>552.79</v>
      </c>
      <c r="L732" s="4">
        <v>232.72</v>
      </c>
      <c r="M732" s="4">
        <f t="shared" si="33"/>
        <v>0.8</v>
      </c>
      <c r="N732" s="4">
        <f t="shared" si="34"/>
        <v>448.78999999999996</v>
      </c>
      <c r="O732" s="4">
        <f t="shared" si="35"/>
        <v>-0.63</v>
      </c>
      <c r="P732" s="3" t="s">
        <v>19</v>
      </c>
    </row>
    <row r="733" spans="1:16" x14ac:dyDescent="0.35">
      <c r="A733" s="3" t="s">
        <v>40</v>
      </c>
      <c r="B733" s="3" t="str">
        <f>INDEX(State_Region!$B$2:$B$26,MATCH(TRIM(A733),State_Region!$A$2:$A$26,0))</f>
        <v>South</v>
      </c>
      <c r="C733" s="3" t="s">
        <v>41</v>
      </c>
      <c r="D733" s="3" t="str">
        <f>INDEX(Port_Type!$B$2:$B$227,MATCH(TRIM(C733),Port_Type!$A$2:$A$227,0))</f>
        <v>Sea Port</v>
      </c>
      <c r="E733" s="3" t="s">
        <v>144</v>
      </c>
      <c r="F733" s="3" t="str">
        <f>INDEX(Product_Category!$B$2:$B$45,MATCH(TRIM(E733),Product_Category!$A$2:$A$45,0))</f>
        <v>Cereals &amp; Grains</v>
      </c>
      <c r="G733" s="4">
        <v>0.98</v>
      </c>
      <c r="H733" s="4">
        <v>1.64</v>
      </c>
      <c r="I733" s="4">
        <v>0.37</v>
      </c>
      <c r="J733" s="4">
        <v>1330.14</v>
      </c>
      <c r="K733" s="4">
        <v>2311.6799999999998</v>
      </c>
      <c r="L733" s="4">
        <v>448.3</v>
      </c>
      <c r="M733" s="4">
        <f t="shared" si="33"/>
        <v>0.65999999999999992</v>
      </c>
      <c r="N733" s="4">
        <f t="shared" si="34"/>
        <v>981.53999999999974</v>
      </c>
      <c r="O733" s="4">
        <f t="shared" si="35"/>
        <v>-1.27</v>
      </c>
      <c r="P733" s="3" t="s">
        <v>19</v>
      </c>
    </row>
    <row r="734" spans="1:16" x14ac:dyDescent="0.35">
      <c r="A734" s="3" t="s">
        <v>23</v>
      </c>
      <c r="B734" s="3" t="str">
        <f>INDEX(State_Region!$B$2:$B$26,MATCH(TRIM(A734),State_Region!$A$2:$A$26,0))</f>
        <v>North</v>
      </c>
      <c r="C734" s="3" t="s">
        <v>191</v>
      </c>
      <c r="D734" s="3" t="str">
        <f>INDEX(Port_Type!$B$2:$B$227,MATCH(TRIM(C734),Port_Type!$A$2:$A$227,0))</f>
        <v>Land Border / Rail</v>
      </c>
      <c r="E734" s="3" t="s">
        <v>83</v>
      </c>
      <c r="F734" s="3" t="str">
        <f>INDEX(Product_Category!$B$2:$B$45,MATCH(TRIM(E734),Product_Category!$A$2:$A$45,0))</f>
        <v>Fresh Fruits &amp; Vegetables</v>
      </c>
      <c r="G734" s="4">
        <v>0</v>
      </c>
      <c r="H734" s="4">
        <v>1.06</v>
      </c>
      <c r="I734" s="4">
        <v>0.37</v>
      </c>
      <c r="J734" s="4">
        <v>0</v>
      </c>
      <c r="K734" s="4">
        <v>1858.4</v>
      </c>
      <c r="L734" s="4">
        <v>705.22</v>
      </c>
      <c r="M734" s="4">
        <f t="shared" si="33"/>
        <v>1.06</v>
      </c>
      <c r="N734" s="4">
        <f t="shared" si="34"/>
        <v>1858.4</v>
      </c>
      <c r="O734" s="4">
        <f t="shared" si="35"/>
        <v>-0.69000000000000006</v>
      </c>
      <c r="P734" s="3" t="s">
        <v>19</v>
      </c>
    </row>
    <row r="735" spans="1:16" x14ac:dyDescent="0.35">
      <c r="A735" s="3" t="s">
        <v>25</v>
      </c>
      <c r="B735" s="3" t="str">
        <f>INDEX(State_Region!$B$2:$B$26,MATCH(TRIM(A735),State_Region!$A$2:$A$26,0))</f>
        <v>South</v>
      </c>
      <c r="C735" s="3" t="s">
        <v>29</v>
      </c>
      <c r="D735" s="3" t="str">
        <f>INDEX(Port_Type!$B$2:$B$227,MATCH(TRIM(C735),Port_Type!$A$2:$A$227,0))</f>
        <v>Sea Port</v>
      </c>
      <c r="E735" s="3" t="s">
        <v>54</v>
      </c>
      <c r="F735" s="3" t="str">
        <f>INDEX(Product_Category!$B$2:$B$45,MATCH(TRIM(E735),Product_Category!$A$2:$A$45,0))</f>
        <v>Processed Foods</v>
      </c>
      <c r="G735" s="4">
        <v>0.72</v>
      </c>
      <c r="H735" s="4">
        <v>5.23</v>
      </c>
      <c r="I735" s="4">
        <v>0.37</v>
      </c>
      <c r="J735" s="4">
        <v>1249.51</v>
      </c>
      <c r="K735" s="4">
        <v>6477.95</v>
      </c>
      <c r="L735" s="4">
        <v>431.2</v>
      </c>
      <c r="M735" s="4">
        <f t="shared" si="33"/>
        <v>4.5100000000000007</v>
      </c>
      <c r="N735" s="4">
        <f t="shared" si="34"/>
        <v>5228.4399999999996</v>
      </c>
      <c r="O735" s="4">
        <f t="shared" si="35"/>
        <v>-4.8600000000000003</v>
      </c>
      <c r="P735" s="3" t="s">
        <v>19</v>
      </c>
    </row>
    <row r="736" spans="1:16" x14ac:dyDescent="0.35">
      <c r="A736" s="3" t="s">
        <v>94</v>
      </c>
      <c r="B736" s="3" t="str">
        <f>INDEX(State_Region!$B$2:$B$26,MATCH(TRIM(A736),State_Region!$A$2:$A$26,0))</f>
        <v>East</v>
      </c>
      <c r="C736" s="3" t="s">
        <v>188</v>
      </c>
      <c r="D736" s="3" t="str">
        <f>INDEX(Port_Type!$B$2:$B$227,MATCH(TRIM(C736),Port_Type!$A$2:$A$227,0))</f>
        <v>Land Border / Rail</v>
      </c>
      <c r="E736" s="3" t="s">
        <v>144</v>
      </c>
      <c r="F736" s="3" t="str">
        <f>INDEX(Product_Category!$B$2:$B$45,MATCH(TRIM(E736),Product_Category!$A$2:$A$45,0))</f>
        <v>Cereals &amp; Grains</v>
      </c>
      <c r="G736" s="4">
        <v>2.04</v>
      </c>
      <c r="H736" s="4">
        <v>1.62</v>
      </c>
      <c r="I736" s="4">
        <v>0.37</v>
      </c>
      <c r="J736" s="4">
        <v>5614.26</v>
      </c>
      <c r="K736" s="4">
        <v>4669.46</v>
      </c>
      <c r="L736" s="4">
        <v>1120.1400000000001</v>
      </c>
      <c r="M736" s="4">
        <f t="shared" si="33"/>
        <v>-0.41999999999999993</v>
      </c>
      <c r="N736" s="4">
        <f t="shared" si="34"/>
        <v>-944.80000000000018</v>
      </c>
      <c r="O736" s="4">
        <f t="shared" si="35"/>
        <v>-1.25</v>
      </c>
      <c r="P736" s="3" t="s">
        <v>19</v>
      </c>
    </row>
    <row r="737" spans="1:16" x14ac:dyDescent="0.35">
      <c r="A737" s="3" t="s">
        <v>20</v>
      </c>
      <c r="B737" s="3" t="str">
        <f>INDEX(State_Region!$B$2:$B$26,MATCH(TRIM(A737),State_Region!$A$2:$A$26,0))</f>
        <v>West</v>
      </c>
      <c r="C737" s="3" t="s">
        <v>156</v>
      </c>
      <c r="D737" s="3" t="str">
        <f>INDEX(Port_Type!$B$2:$B$227,MATCH(TRIM(C737),Port_Type!$A$2:$A$227,0))</f>
        <v>Sea Port</v>
      </c>
      <c r="E737" s="3" t="s">
        <v>62</v>
      </c>
      <c r="F737" s="3" t="str">
        <f>INDEX(Product_Category!$B$2:$B$45,MATCH(TRIM(E737),Product_Category!$A$2:$A$45,0))</f>
        <v>Cereals &amp; Grains</v>
      </c>
      <c r="G737" s="4">
        <v>0.28000000000000003</v>
      </c>
      <c r="H737" s="4">
        <v>1.02</v>
      </c>
      <c r="I737" s="4">
        <v>0.37</v>
      </c>
      <c r="J737" s="4">
        <v>802.6</v>
      </c>
      <c r="K737" s="4">
        <v>2637.5</v>
      </c>
      <c r="L737" s="4">
        <v>1086.5</v>
      </c>
      <c r="M737" s="4">
        <f t="shared" si="33"/>
        <v>0.74</v>
      </c>
      <c r="N737" s="4">
        <f t="shared" si="34"/>
        <v>1834.9</v>
      </c>
      <c r="O737" s="4">
        <f t="shared" si="35"/>
        <v>-0.65</v>
      </c>
      <c r="P737" s="3" t="s">
        <v>19</v>
      </c>
    </row>
    <row r="738" spans="1:16" x14ac:dyDescent="0.35">
      <c r="A738" s="3" t="s">
        <v>31</v>
      </c>
      <c r="B738" s="3" t="str">
        <f>INDEX(State_Region!$B$2:$B$26,MATCH(TRIM(A738),State_Region!$A$2:$A$26,0))</f>
        <v>East</v>
      </c>
      <c r="C738" s="3" t="s">
        <v>131</v>
      </c>
      <c r="D738" s="3" t="str">
        <f>INDEX(Port_Type!$B$2:$B$227,MATCH(TRIM(C738),Port_Type!$A$2:$A$227,0))</f>
        <v>Land Border / Rail</v>
      </c>
      <c r="E738" s="3" t="s">
        <v>55</v>
      </c>
      <c r="F738" s="3" t="str">
        <f>INDEX(Product_Category!$B$2:$B$45,MATCH(TRIM(E738),Product_Category!$A$2:$A$45,0))</f>
        <v>Fresh Fruits &amp; Vegetables</v>
      </c>
      <c r="G738" s="4">
        <v>0.96</v>
      </c>
      <c r="H738" s="4">
        <v>1.06</v>
      </c>
      <c r="I738" s="4">
        <v>0.37</v>
      </c>
      <c r="J738" s="4">
        <v>2603.91</v>
      </c>
      <c r="K738" s="4">
        <v>4180.6000000000004</v>
      </c>
      <c r="L738" s="4">
        <v>1597.56</v>
      </c>
      <c r="M738" s="4">
        <f t="shared" si="33"/>
        <v>0.10000000000000009</v>
      </c>
      <c r="N738" s="4">
        <f t="shared" si="34"/>
        <v>1576.6900000000005</v>
      </c>
      <c r="O738" s="4">
        <f t="shared" si="35"/>
        <v>-0.69000000000000006</v>
      </c>
      <c r="P738" s="3" t="s">
        <v>19</v>
      </c>
    </row>
    <row r="739" spans="1:16" x14ac:dyDescent="0.35">
      <c r="A739" s="3" t="s">
        <v>49</v>
      </c>
      <c r="B739" s="3" t="str">
        <f>INDEX(State_Region!$B$2:$B$26,MATCH(TRIM(A739),State_Region!$A$2:$A$26,0))</f>
        <v>North</v>
      </c>
      <c r="C739" s="3" t="s">
        <v>121</v>
      </c>
      <c r="D739" s="3" t="str">
        <f>INDEX(Port_Type!$B$2:$B$227,MATCH(TRIM(C739),Port_Type!$A$2:$A$227,0))</f>
        <v>Inland ICD / CFS</v>
      </c>
      <c r="E739" s="3" t="s">
        <v>102</v>
      </c>
      <c r="F739" s="3" t="str">
        <f>INDEX(Product_Category!$B$2:$B$45,MATCH(TRIM(E739),Product_Category!$A$2:$A$45,0))</f>
        <v>Fresh Fruits &amp; Vegetables</v>
      </c>
      <c r="G739" s="4">
        <v>0.06</v>
      </c>
      <c r="H739" s="4">
        <v>0.17</v>
      </c>
      <c r="I739" s="4">
        <v>0.37</v>
      </c>
      <c r="J739" s="4">
        <v>26</v>
      </c>
      <c r="K739" s="4">
        <v>157.72</v>
      </c>
      <c r="L739" s="4">
        <v>334.13</v>
      </c>
      <c r="M739" s="4">
        <f t="shared" si="33"/>
        <v>0.11000000000000001</v>
      </c>
      <c r="N739" s="4">
        <f t="shared" si="34"/>
        <v>131.72</v>
      </c>
      <c r="O739" s="4">
        <f t="shared" si="35"/>
        <v>0.19999999999999998</v>
      </c>
      <c r="P739" s="3" t="s">
        <v>19</v>
      </c>
    </row>
    <row r="740" spans="1:16" x14ac:dyDescent="0.35">
      <c r="A740" s="3" t="s">
        <v>31</v>
      </c>
      <c r="B740" s="3" t="str">
        <f>INDEX(State_Region!$B$2:$B$26,MATCH(TRIM(A740),State_Region!$A$2:$A$26,0))</f>
        <v>East</v>
      </c>
      <c r="C740" s="3" t="s">
        <v>146</v>
      </c>
      <c r="D740" s="3" t="str">
        <f>INDEX(Port_Type!$B$2:$B$227,MATCH(TRIM(C740),Port_Type!$A$2:$A$227,0))</f>
        <v>Land Border / Rail</v>
      </c>
      <c r="E740" s="3" t="s">
        <v>54</v>
      </c>
      <c r="F740" s="3" t="str">
        <f>INDEX(Product_Category!$B$2:$B$45,MATCH(TRIM(E740),Product_Category!$A$2:$A$45,0))</f>
        <v>Processed Foods</v>
      </c>
      <c r="G740" s="4">
        <v>7.0000000000000007E-2</v>
      </c>
      <c r="H740" s="4">
        <v>0.28999999999999998</v>
      </c>
      <c r="I740" s="4">
        <v>0.37</v>
      </c>
      <c r="J740" s="4">
        <v>58.01</v>
      </c>
      <c r="K740" s="4">
        <v>532.15</v>
      </c>
      <c r="L740" s="4">
        <v>266.44</v>
      </c>
      <c r="M740" s="4">
        <f t="shared" si="33"/>
        <v>0.21999999999999997</v>
      </c>
      <c r="N740" s="4">
        <f t="shared" si="34"/>
        <v>474.14</v>
      </c>
      <c r="O740" s="4">
        <f t="shared" si="35"/>
        <v>8.0000000000000016E-2</v>
      </c>
      <c r="P740" s="3" t="s">
        <v>19</v>
      </c>
    </row>
    <row r="741" spans="1:16" x14ac:dyDescent="0.35">
      <c r="A741" s="3" t="s">
        <v>23</v>
      </c>
      <c r="B741" s="3" t="str">
        <f>INDEX(State_Region!$B$2:$B$26,MATCH(TRIM(A741),State_Region!$A$2:$A$26,0))</f>
        <v>North</v>
      </c>
      <c r="C741" s="3" t="s">
        <v>182</v>
      </c>
      <c r="D741" s="3" t="str">
        <f>INDEX(Port_Type!$B$2:$B$227,MATCH(TRIM(C741),Port_Type!$A$2:$A$227,0))</f>
        <v>Air Cargo</v>
      </c>
      <c r="E741" s="3" t="s">
        <v>102</v>
      </c>
      <c r="F741" s="3" t="str">
        <f>INDEX(Product_Category!$B$2:$B$45,MATCH(TRIM(E741),Product_Category!$A$2:$A$45,0))</f>
        <v>Fresh Fruits &amp; Vegetables</v>
      </c>
      <c r="G741" s="4">
        <v>0.19</v>
      </c>
      <c r="H741" s="4">
        <v>0.48</v>
      </c>
      <c r="I741" s="4">
        <v>0.37</v>
      </c>
      <c r="J741" s="4">
        <v>294.72000000000003</v>
      </c>
      <c r="K741" s="4">
        <v>833.72</v>
      </c>
      <c r="L741" s="4">
        <v>496.66</v>
      </c>
      <c r="M741" s="4">
        <f t="shared" si="33"/>
        <v>0.28999999999999998</v>
      </c>
      <c r="N741" s="4">
        <f t="shared" si="34"/>
        <v>539</v>
      </c>
      <c r="O741" s="4">
        <f t="shared" si="35"/>
        <v>-0.10999999999999999</v>
      </c>
      <c r="P741" s="3" t="s">
        <v>19</v>
      </c>
    </row>
    <row r="742" spans="1:16" x14ac:dyDescent="0.35">
      <c r="A742" s="3" t="s">
        <v>77</v>
      </c>
      <c r="B742" s="3" t="str">
        <f>INDEX(State_Region!$B$2:$B$26,MATCH(TRIM(A742),State_Region!$A$2:$A$26,0))</f>
        <v>South</v>
      </c>
      <c r="C742" s="3" t="s">
        <v>132</v>
      </c>
      <c r="D742" s="3" t="str">
        <f>INDEX(Port_Type!$B$2:$B$227,MATCH(TRIM(C742),Port_Type!$A$2:$A$227,0))</f>
        <v>Air Cargo</v>
      </c>
      <c r="E742" s="3" t="s">
        <v>54</v>
      </c>
      <c r="F742" s="3" t="str">
        <f>INDEX(Product_Category!$B$2:$B$45,MATCH(TRIM(E742),Product_Category!$A$2:$A$45,0))</f>
        <v>Processed Foods</v>
      </c>
      <c r="G742" s="4">
        <v>0.57999999999999996</v>
      </c>
      <c r="H742" s="4">
        <v>1.42</v>
      </c>
      <c r="I742" s="4">
        <v>0.37</v>
      </c>
      <c r="J742" s="4">
        <v>447.13</v>
      </c>
      <c r="K742" s="4">
        <v>404.31</v>
      </c>
      <c r="L742" s="4">
        <v>223.14</v>
      </c>
      <c r="M742" s="4">
        <f t="shared" si="33"/>
        <v>0.84</v>
      </c>
      <c r="N742" s="4">
        <f t="shared" si="34"/>
        <v>-42.819999999999993</v>
      </c>
      <c r="O742" s="4">
        <f t="shared" si="35"/>
        <v>-1.0499999999999998</v>
      </c>
      <c r="P742" s="3" t="s">
        <v>19</v>
      </c>
    </row>
    <row r="743" spans="1:16" x14ac:dyDescent="0.35">
      <c r="A743" s="3" t="s">
        <v>86</v>
      </c>
      <c r="B743" s="3" t="str">
        <f>INDEX(State_Region!$B$2:$B$26,MATCH(TRIM(A743),State_Region!$A$2:$A$26,0))</f>
        <v>North</v>
      </c>
      <c r="C743" s="3" t="s">
        <v>87</v>
      </c>
      <c r="D743" s="3" t="str">
        <f>INDEX(Port_Type!$B$2:$B$227,MATCH(TRIM(C743),Port_Type!$A$2:$A$227,0))</f>
        <v>Air Cargo</v>
      </c>
      <c r="E743" s="3" t="s">
        <v>46</v>
      </c>
      <c r="F743" s="3" t="str">
        <f>INDEX(Product_Category!$B$2:$B$45,MATCH(TRIM(E743),Product_Category!$A$2:$A$45,0))</f>
        <v>Others</v>
      </c>
      <c r="G743" s="4">
        <v>0.38</v>
      </c>
      <c r="H743" s="4">
        <v>0.25</v>
      </c>
      <c r="I743" s="4">
        <v>0.36</v>
      </c>
      <c r="J743" s="4">
        <v>92.93</v>
      </c>
      <c r="K743" s="4">
        <v>75.31</v>
      </c>
      <c r="L743" s="4">
        <v>94.31</v>
      </c>
      <c r="M743" s="4">
        <f t="shared" si="33"/>
        <v>-0.13</v>
      </c>
      <c r="N743" s="4">
        <f t="shared" si="34"/>
        <v>-17.620000000000005</v>
      </c>
      <c r="O743" s="4">
        <f t="shared" si="35"/>
        <v>0.10999999999999999</v>
      </c>
      <c r="P743" s="3" t="s">
        <v>19</v>
      </c>
    </row>
    <row r="744" spans="1:16" x14ac:dyDescent="0.35">
      <c r="A744" s="3" t="s">
        <v>159</v>
      </c>
      <c r="B744" s="3" t="str">
        <f>INDEX(State_Region!$B$2:$B$26,MATCH(TRIM(A744),State_Region!$A$2:$A$26,0))</f>
        <v>North-East</v>
      </c>
      <c r="C744" s="3" t="s">
        <v>160</v>
      </c>
      <c r="D744" s="3" t="str">
        <f>INDEX(Port_Type!$B$2:$B$227,MATCH(TRIM(C744),Port_Type!$A$2:$A$227,0))</f>
        <v>Land Border / Rail</v>
      </c>
      <c r="E744" s="3" t="s">
        <v>48</v>
      </c>
      <c r="F744" s="3" t="str">
        <f>INDEX(Product_Category!$B$2:$B$45,MATCH(TRIM(E744),Product_Category!$A$2:$A$45,0))</f>
        <v>Processed Foods</v>
      </c>
      <c r="G744" s="4">
        <v>0.11</v>
      </c>
      <c r="H744" s="4">
        <v>1.27</v>
      </c>
      <c r="I744" s="4">
        <v>0.36</v>
      </c>
      <c r="J744" s="4">
        <v>26.8</v>
      </c>
      <c r="K744" s="4">
        <v>439.73</v>
      </c>
      <c r="L744" s="4">
        <v>141.25</v>
      </c>
      <c r="M744" s="4">
        <f t="shared" si="33"/>
        <v>1.1599999999999999</v>
      </c>
      <c r="N744" s="4">
        <f t="shared" si="34"/>
        <v>412.93</v>
      </c>
      <c r="O744" s="4">
        <f t="shared" si="35"/>
        <v>-0.91</v>
      </c>
      <c r="P744" s="3" t="s">
        <v>19</v>
      </c>
    </row>
    <row r="745" spans="1:16" x14ac:dyDescent="0.35">
      <c r="A745" s="3" t="s">
        <v>23</v>
      </c>
      <c r="B745" s="3" t="str">
        <f>INDEX(State_Region!$B$2:$B$26,MATCH(TRIM(A745),State_Region!$A$2:$A$26,0))</f>
        <v>North</v>
      </c>
      <c r="C745" s="3" t="s">
        <v>44</v>
      </c>
      <c r="D745" s="3" t="str">
        <f>INDEX(Port_Type!$B$2:$B$227,MATCH(TRIM(C745),Port_Type!$A$2:$A$227,0))</f>
        <v>Inland ICD / CFS</v>
      </c>
      <c r="E745" s="3" t="s">
        <v>65</v>
      </c>
      <c r="F745" s="3" t="str">
        <f>INDEX(Product_Category!$B$2:$B$45,MATCH(TRIM(E745),Product_Category!$A$2:$A$45,0))</f>
        <v>Cereals &amp; Grains</v>
      </c>
      <c r="G745" s="4">
        <v>0.63</v>
      </c>
      <c r="H745" s="4">
        <v>0.7</v>
      </c>
      <c r="I745" s="4">
        <v>0.36</v>
      </c>
      <c r="J745" s="4">
        <v>863.55</v>
      </c>
      <c r="K745" s="4">
        <v>960.41</v>
      </c>
      <c r="L745" s="4">
        <v>496.38</v>
      </c>
      <c r="M745" s="4">
        <f t="shared" si="33"/>
        <v>6.9999999999999951E-2</v>
      </c>
      <c r="N745" s="4">
        <f t="shared" si="34"/>
        <v>96.860000000000014</v>
      </c>
      <c r="O745" s="4">
        <f t="shared" si="35"/>
        <v>-0.33999999999999997</v>
      </c>
      <c r="P745" s="3" t="s">
        <v>19</v>
      </c>
    </row>
    <row r="746" spans="1:16" x14ac:dyDescent="0.35">
      <c r="A746" s="3" t="s">
        <v>74</v>
      </c>
      <c r="B746" s="3" t="str">
        <f>INDEX(State_Region!$B$2:$B$26,MATCH(TRIM(A746),State_Region!$A$2:$A$26,0))</f>
        <v>South</v>
      </c>
      <c r="C746" s="3" t="s">
        <v>75</v>
      </c>
      <c r="D746" s="3" t="str">
        <f>INDEX(Port_Type!$B$2:$B$227,MATCH(TRIM(C746),Port_Type!$A$2:$A$227,0))</f>
        <v>Inland ICD / CFS</v>
      </c>
      <c r="E746" s="3" t="s">
        <v>33</v>
      </c>
      <c r="F746" s="3" t="str">
        <f>INDEX(Product_Category!$B$2:$B$45,MATCH(TRIM(E746),Product_Category!$A$2:$A$45,0))</f>
        <v>Pulses</v>
      </c>
      <c r="G746" s="4">
        <v>3.3</v>
      </c>
      <c r="H746" s="4">
        <v>1.05</v>
      </c>
      <c r="I746" s="4">
        <v>0.35</v>
      </c>
      <c r="J746" s="4">
        <v>1433.68</v>
      </c>
      <c r="K746" s="4">
        <v>600.03</v>
      </c>
      <c r="L746" s="4">
        <v>252.3</v>
      </c>
      <c r="M746" s="4">
        <f t="shared" si="33"/>
        <v>-2.25</v>
      </c>
      <c r="N746" s="4">
        <f t="shared" si="34"/>
        <v>-833.65000000000009</v>
      </c>
      <c r="O746" s="4">
        <f t="shared" si="35"/>
        <v>-0.70000000000000007</v>
      </c>
      <c r="P746" s="3" t="s">
        <v>19</v>
      </c>
    </row>
    <row r="747" spans="1:16" x14ac:dyDescent="0.35">
      <c r="A747" s="3" t="s">
        <v>40</v>
      </c>
      <c r="B747" s="3" t="str">
        <f>INDEX(State_Region!$B$2:$B$26,MATCH(TRIM(A747),State_Region!$A$2:$A$26,0))</f>
        <v>South</v>
      </c>
      <c r="C747" s="3" t="s">
        <v>41</v>
      </c>
      <c r="D747" s="3" t="str">
        <f>INDEX(Port_Type!$B$2:$B$227,MATCH(TRIM(C747),Port_Type!$A$2:$A$227,0))</f>
        <v>Sea Port</v>
      </c>
      <c r="E747" s="3" t="s">
        <v>69</v>
      </c>
      <c r="F747" s="3" t="str">
        <f>INDEX(Product_Category!$B$2:$B$45,MATCH(TRIM(E747),Product_Category!$A$2:$A$45,0))</f>
        <v>Others</v>
      </c>
      <c r="G747" s="4">
        <v>1.84</v>
      </c>
      <c r="H747" s="4">
        <v>0.08</v>
      </c>
      <c r="I747" s="4">
        <v>0.35</v>
      </c>
      <c r="J747" s="4">
        <v>1351.05</v>
      </c>
      <c r="K747" s="4">
        <v>40.72</v>
      </c>
      <c r="L747" s="4">
        <v>54.05</v>
      </c>
      <c r="M747" s="4">
        <f t="shared" si="33"/>
        <v>-1.76</v>
      </c>
      <c r="N747" s="4">
        <f t="shared" si="34"/>
        <v>-1310.33</v>
      </c>
      <c r="O747" s="4">
        <f t="shared" si="35"/>
        <v>0.26999999999999996</v>
      </c>
      <c r="P747" s="3" t="s">
        <v>19</v>
      </c>
    </row>
    <row r="748" spans="1:16" x14ac:dyDescent="0.35">
      <c r="A748" s="3" t="s">
        <v>79</v>
      </c>
      <c r="B748" s="3" t="str">
        <f>INDEX(State_Region!$B$2:$B$26,MATCH(TRIM(A748),State_Region!$A$2:$A$26,0))</f>
        <v>South</v>
      </c>
      <c r="C748" s="3" t="s">
        <v>210</v>
      </c>
      <c r="D748" s="3" t="str">
        <f>INDEX(Port_Type!$B$2:$B$227,MATCH(TRIM(C748),Port_Type!$A$2:$A$227,0))</f>
        <v>Inland ICD / CFS</v>
      </c>
      <c r="E748" s="3" t="s">
        <v>126</v>
      </c>
      <c r="F748" s="3" t="str">
        <f>INDEX(Product_Category!$B$2:$B$45,MATCH(TRIM(E748),Product_Category!$A$2:$A$45,0))</f>
        <v>Cereals &amp; Grains</v>
      </c>
      <c r="G748" s="4">
        <v>0</v>
      </c>
      <c r="H748" s="4">
        <v>0.01</v>
      </c>
      <c r="I748" s="4">
        <v>0.35</v>
      </c>
      <c r="J748" s="4">
        <v>0</v>
      </c>
      <c r="K748" s="4">
        <v>5.33</v>
      </c>
      <c r="L748" s="4">
        <v>161</v>
      </c>
      <c r="M748" s="4">
        <f t="shared" si="33"/>
        <v>0.01</v>
      </c>
      <c r="N748" s="4">
        <f t="shared" si="34"/>
        <v>5.33</v>
      </c>
      <c r="O748" s="4">
        <f t="shared" si="35"/>
        <v>0.33999999999999997</v>
      </c>
      <c r="P748" s="3" t="s">
        <v>19</v>
      </c>
    </row>
    <row r="749" spans="1:16" x14ac:dyDescent="0.35">
      <c r="A749" s="3" t="s">
        <v>25</v>
      </c>
      <c r="B749" s="3" t="str">
        <f>INDEX(State_Region!$B$2:$B$26,MATCH(TRIM(A749),State_Region!$A$2:$A$26,0))</f>
        <v>South</v>
      </c>
      <c r="C749" s="3" t="s">
        <v>29</v>
      </c>
      <c r="D749" s="3" t="str">
        <f>INDEX(Port_Type!$B$2:$B$227,MATCH(TRIM(C749),Port_Type!$A$2:$A$227,0))</f>
        <v>Sea Port</v>
      </c>
      <c r="E749" s="3" t="s">
        <v>128</v>
      </c>
      <c r="F749" s="3" t="str">
        <f>INDEX(Product_Category!$B$2:$B$45,MATCH(TRIM(E749),Product_Category!$A$2:$A$45,0))</f>
        <v>Dairy, Poultry &amp; Honey</v>
      </c>
      <c r="G749" s="4">
        <v>7.0000000000000007E-2</v>
      </c>
      <c r="H749" s="4">
        <v>1.4</v>
      </c>
      <c r="I749" s="4">
        <v>0.35</v>
      </c>
      <c r="J749" s="4">
        <v>64.59</v>
      </c>
      <c r="K749" s="4">
        <v>210.4</v>
      </c>
      <c r="L749" s="4">
        <v>56.1</v>
      </c>
      <c r="M749" s="4">
        <f t="shared" si="33"/>
        <v>1.3299999999999998</v>
      </c>
      <c r="N749" s="4">
        <f t="shared" si="34"/>
        <v>145.81</v>
      </c>
      <c r="O749" s="4">
        <f t="shared" si="35"/>
        <v>-1.0499999999999998</v>
      </c>
      <c r="P749" s="3" t="s">
        <v>19</v>
      </c>
    </row>
    <row r="750" spans="1:16" x14ac:dyDescent="0.35">
      <c r="A750" s="3" t="s">
        <v>31</v>
      </c>
      <c r="B750" s="3" t="str">
        <f>INDEX(State_Region!$B$2:$B$26,MATCH(TRIM(A750),State_Region!$A$2:$A$26,0))</f>
        <v>East</v>
      </c>
      <c r="C750" s="3" t="s">
        <v>141</v>
      </c>
      <c r="D750" s="3" t="str">
        <f>INDEX(Port_Type!$B$2:$B$227,MATCH(TRIM(C750),Port_Type!$A$2:$A$227,0))</f>
        <v>Land Border / Rail</v>
      </c>
      <c r="E750" s="3" t="s">
        <v>42</v>
      </c>
      <c r="F750" s="3" t="str">
        <f>INDEX(Product_Category!$B$2:$B$45,MATCH(TRIM(E750),Product_Category!$A$2:$A$45,0))</f>
        <v>Processed Foods</v>
      </c>
      <c r="G750" s="4">
        <v>0.02</v>
      </c>
      <c r="H750" s="4">
        <v>0.39</v>
      </c>
      <c r="I750" s="4">
        <v>0.35</v>
      </c>
      <c r="J750" s="4">
        <v>15.03</v>
      </c>
      <c r="K750" s="4">
        <v>435.76</v>
      </c>
      <c r="L750" s="4">
        <v>288.31</v>
      </c>
      <c r="M750" s="4">
        <f t="shared" si="33"/>
        <v>0.37</v>
      </c>
      <c r="N750" s="4">
        <f t="shared" si="34"/>
        <v>420.73</v>
      </c>
      <c r="O750" s="4">
        <f t="shared" si="35"/>
        <v>-4.0000000000000036E-2</v>
      </c>
      <c r="P750" s="3" t="s">
        <v>19</v>
      </c>
    </row>
    <row r="751" spans="1:16" x14ac:dyDescent="0.35">
      <c r="A751" s="3" t="s">
        <v>74</v>
      </c>
      <c r="B751" s="3" t="str">
        <f>INDEX(State_Region!$B$2:$B$26,MATCH(TRIM(A751),State_Region!$A$2:$A$26,0))</f>
        <v>South</v>
      </c>
      <c r="C751" s="3" t="s">
        <v>75</v>
      </c>
      <c r="D751" s="3" t="str">
        <f>INDEX(Port_Type!$B$2:$B$227,MATCH(TRIM(C751),Port_Type!$A$2:$A$227,0))</f>
        <v>Inland ICD / CFS</v>
      </c>
      <c r="E751" s="3" t="s">
        <v>65</v>
      </c>
      <c r="F751" s="3" t="str">
        <f>INDEX(Product_Category!$B$2:$B$45,MATCH(TRIM(E751),Product_Category!$A$2:$A$45,0))</f>
        <v>Cereals &amp; Grains</v>
      </c>
      <c r="G751" s="4">
        <v>18.97</v>
      </c>
      <c r="H751" s="4">
        <v>1.17</v>
      </c>
      <c r="I751" s="4">
        <v>0.35</v>
      </c>
      <c r="J751" s="4">
        <v>5503.44</v>
      </c>
      <c r="K751" s="4">
        <v>1433.12</v>
      </c>
      <c r="L751" s="4">
        <v>425.13</v>
      </c>
      <c r="M751" s="4">
        <f t="shared" si="33"/>
        <v>-17.799999999999997</v>
      </c>
      <c r="N751" s="4">
        <f t="shared" si="34"/>
        <v>-4070.3199999999997</v>
      </c>
      <c r="O751" s="4">
        <f t="shared" si="35"/>
        <v>-0.82</v>
      </c>
      <c r="P751" s="3" t="s">
        <v>19</v>
      </c>
    </row>
    <row r="752" spans="1:16" x14ac:dyDescent="0.35">
      <c r="A752" s="3" t="s">
        <v>86</v>
      </c>
      <c r="B752" s="3" t="str">
        <f>INDEX(State_Region!$B$2:$B$26,MATCH(TRIM(A752),State_Region!$A$2:$A$26,0))</f>
        <v>North</v>
      </c>
      <c r="C752" s="3" t="s">
        <v>87</v>
      </c>
      <c r="D752" s="3" t="str">
        <f>INDEX(Port_Type!$B$2:$B$227,MATCH(TRIM(C752),Port_Type!$A$2:$A$227,0))</f>
        <v>Air Cargo</v>
      </c>
      <c r="E752" s="3" t="s">
        <v>72</v>
      </c>
      <c r="F752" s="3" t="str">
        <f>INDEX(Product_Category!$B$2:$B$45,MATCH(TRIM(E752),Product_Category!$A$2:$A$45,0))</f>
        <v>Dairy, Poultry &amp; Honey</v>
      </c>
      <c r="G752" s="4">
        <v>0.98</v>
      </c>
      <c r="H752" s="4">
        <v>1.37</v>
      </c>
      <c r="I752" s="4">
        <v>0.34</v>
      </c>
      <c r="J752" s="4">
        <v>152.63</v>
      </c>
      <c r="K752" s="4">
        <v>185.08</v>
      </c>
      <c r="L752" s="4">
        <v>64.11</v>
      </c>
      <c r="M752" s="4">
        <f t="shared" si="33"/>
        <v>0.39000000000000012</v>
      </c>
      <c r="N752" s="4">
        <f t="shared" si="34"/>
        <v>32.450000000000017</v>
      </c>
      <c r="O752" s="4">
        <f t="shared" si="35"/>
        <v>-1.03</v>
      </c>
      <c r="P752" s="3" t="s">
        <v>19</v>
      </c>
    </row>
    <row r="753" spans="1:16" x14ac:dyDescent="0.35">
      <c r="A753" s="3" t="s">
        <v>57</v>
      </c>
      <c r="B753" s="3" t="str">
        <f>INDEX(State_Region!$B$2:$B$26,MATCH(TRIM(A753),State_Region!$A$2:$A$26,0))</f>
        <v>Central</v>
      </c>
      <c r="C753" s="3" t="s">
        <v>58</v>
      </c>
      <c r="D753" s="3" t="str">
        <f>INDEX(Port_Type!$B$2:$B$227,MATCH(TRIM(C753),Port_Type!$A$2:$A$227,0))</f>
        <v>Inland ICD / CFS</v>
      </c>
      <c r="E753" s="3" t="s">
        <v>27</v>
      </c>
      <c r="F753" s="3" t="str">
        <f>INDEX(Product_Category!$B$2:$B$45,MATCH(TRIM(E753),Product_Category!$A$2:$A$45,0))</f>
        <v>Cereals &amp; Grains</v>
      </c>
      <c r="G753" s="4">
        <v>0.76</v>
      </c>
      <c r="H753" s="4">
        <v>1.61</v>
      </c>
      <c r="I753" s="4">
        <v>0.34</v>
      </c>
      <c r="J753" s="4">
        <v>1408.74</v>
      </c>
      <c r="K753" s="4">
        <v>2541.04</v>
      </c>
      <c r="L753" s="4">
        <v>515.03</v>
      </c>
      <c r="M753" s="4">
        <f t="shared" si="33"/>
        <v>0.85000000000000009</v>
      </c>
      <c r="N753" s="4">
        <f t="shared" si="34"/>
        <v>1132.3</v>
      </c>
      <c r="O753" s="4">
        <f t="shared" si="35"/>
        <v>-1.27</v>
      </c>
      <c r="P753" s="3" t="s">
        <v>19</v>
      </c>
    </row>
    <row r="754" spans="1:16" x14ac:dyDescent="0.35">
      <c r="A754" s="3" t="s">
        <v>40</v>
      </c>
      <c r="B754" s="3" t="str">
        <f>INDEX(State_Region!$B$2:$B$26,MATCH(TRIM(A754),State_Region!$A$2:$A$26,0))</f>
        <v>South</v>
      </c>
      <c r="C754" s="3" t="s">
        <v>211</v>
      </c>
      <c r="D754" s="3" t="str">
        <f>INDEX(Port_Type!$B$2:$B$227,MATCH(TRIM(C754),Port_Type!$A$2:$A$227,0))</f>
        <v>Air Cargo</v>
      </c>
      <c r="E754" s="3" t="s">
        <v>102</v>
      </c>
      <c r="F754" s="3" t="str">
        <f>INDEX(Product_Category!$B$2:$B$45,MATCH(TRIM(E754),Product_Category!$A$2:$A$45,0))</f>
        <v>Fresh Fruits &amp; Vegetables</v>
      </c>
      <c r="G754" s="4">
        <v>0.45</v>
      </c>
      <c r="H754" s="4">
        <v>1.08</v>
      </c>
      <c r="I754" s="4">
        <v>0.34</v>
      </c>
      <c r="J754" s="4">
        <v>443.86</v>
      </c>
      <c r="K754" s="4">
        <v>1085.6400000000001</v>
      </c>
      <c r="L754" s="4">
        <v>351.04</v>
      </c>
      <c r="M754" s="4">
        <f t="shared" si="33"/>
        <v>0.63000000000000012</v>
      </c>
      <c r="N754" s="4">
        <f t="shared" si="34"/>
        <v>641.78000000000009</v>
      </c>
      <c r="O754" s="4">
        <f t="shared" si="35"/>
        <v>-0.74</v>
      </c>
      <c r="P754" s="3" t="s">
        <v>19</v>
      </c>
    </row>
    <row r="755" spans="1:16" x14ac:dyDescent="0.35">
      <c r="A755" s="3" t="s">
        <v>212</v>
      </c>
      <c r="B755" s="3" t="str">
        <f>INDEX(State_Region!$B$2:$B$26,MATCH(TRIM(A755),State_Region!$A$2:$A$26,0))</f>
        <v>North</v>
      </c>
      <c r="C755" s="3" t="s">
        <v>213</v>
      </c>
      <c r="D755" s="3" t="str">
        <f>INDEX(Port_Type!$B$2:$B$227,MATCH(TRIM(C755),Port_Type!$A$2:$A$227,0))</f>
        <v>Inland ICD / CFS</v>
      </c>
      <c r="E755" s="3" t="s">
        <v>39</v>
      </c>
      <c r="F755" s="3" t="str">
        <f>INDEX(Product_Category!$B$2:$B$45,MATCH(TRIM(E755),Product_Category!$A$2:$A$45,0))</f>
        <v>Processed Foods</v>
      </c>
      <c r="G755" s="4">
        <v>0.87</v>
      </c>
      <c r="H755" s="4">
        <v>0.08</v>
      </c>
      <c r="I755" s="4">
        <v>0.34</v>
      </c>
      <c r="J755" s="4">
        <v>448.72</v>
      </c>
      <c r="K755" s="4">
        <v>52.14</v>
      </c>
      <c r="L755" s="4">
        <v>63.41</v>
      </c>
      <c r="M755" s="4">
        <f t="shared" si="33"/>
        <v>-0.79</v>
      </c>
      <c r="N755" s="4">
        <f t="shared" si="34"/>
        <v>-396.58000000000004</v>
      </c>
      <c r="O755" s="4">
        <f t="shared" si="35"/>
        <v>0.26</v>
      </c>
      <c r="P755" s="3" t="s">
        <v>19</v>
      </c>
    </row>
    <row r="756" spans="1:16" x14ac:dyDescent="0.35">
      <c r="A756" s="3" t="s">
        <v>77</v>
      </c>
      <c r="B756" s="3" t="str">
        <f>INDEX(State_Region!$B$2:$B$26,MATCH(TRIM(A756),State_Region!$A$2:$A$26,0))</f>
        <v>South</v>
      </c>
      <c r="C756" s="3" t="s">
        <v>214</v>
      </c>
      <c r="D756" s="3" t="str">
        <f>INDEX(Port_Type!$B$2:$B$227,MATCH(TRIM(C756),Port_Type!$A$2:$A$227,0))</f>
        <v>SEZ / EPZ</v>
      </c>
      <c r="E756" s="3" t="s">
        <v>48</v>
      </c>
      <c r="F756" s="3" t="str">
        <f>INDEX(Product_Category!$B$2:$B$45,MATCH(TRIM(E756),Product_Category!$A$2:$A$45,0))</f>
        <v>Processed Foods</v>
      </c>
      <c r="G756" s="4">
        <v>0</v>
      </c>
      <c r="H756" s="4">
        <v>1.08</v>
      </c>
      <c r="I756" s="4">
        <v>0.34</v>
      </c>
      <c r="J756" s="4">
        <v>0</v>
      </c>
      <c r="K756" s="4">
        <v>444.98</v>
      </c>
      <c r="L756" s="4">
        <v>138.47</v>
      </c>
      <c r="M756" s="4">
        <f t="shared" si="33"/>
        <v>1.08</v>
      </c>
      <c r="N756" s="4">
        <f t="shared" si="34"/>
        <v>444.98</v>
      </c>
      <c r="O756" s="4">
        <f t="shared" si="35"/>
        <v>-0.74</v>
      </c>
      <c r="P756" s="3" t="s">
        <v>19</v>
      </c>
    </row>
    <row r="757" spans="1:16" x14ac:dyDescent="0.35">
      <c r="A757" s="3" t="s">
        <v>31</v>
      </c>
      <c r="B757" s="3" t="str">
        <f>INDEX(State_Region!$B$2:$B$26,MATCH(TRIM(A757),State_Region!$A$2:$A$26,0))</f>
        <v>East</v>
      </c>
      <c r="C757" s="3" t="s">
        <v>141</v>
      </c>
      <c r="D757" s="3" t="str">
        <f>INDEX(Port_Type!$B$2:$B$227,MATCH(TRIM(C757),Port_Type!$A$2:$A$227,0))</f>
        <v>Land Border / Rail</v>
      </c>
      <c r="E757" s="3" t="s">
        <v>53</v>
      </c>
      <c r="F757" s="3" t="str">
        <f>INDEX(Product_Category!$B$2:$B$45,MATCH(TRIM(E757),Product_Category!$A$2:$A$45,0))</f>
        <v>Processed Foods</v>
      </c>
      <c r="G757" s="4">
        <v>0.53</v>
      </c>
      <c r="H757" s="4">
        <v>0.92</v>
      </c>
      <c r="I757" s="4">
        <v>0.34</v>
      </c>
      <c r="J757" s="4">
        <v>624.53</v>
      </c>
      <c r="K757" s="4">
        <v>1167.8599999999999</v>
      </c>
      <c r="L757" s="4">
        <v>425.56</v>
      </c>
      <c r="M757" s="4">
        <f t="shared" si="33"/>
        <v>0.39</v>
      </c>
      <c r="N757" s="4">
        <f t="shared" si="34"/>
        <v>543.32999999999993</v>
      </c>
      <c r="O757" s="4">
        <f t="shared" si="35"/>
        <v>-0.58000000000000007</v>
      </c>
      <c r="P757" s="3" t="s">
        <v>19</v>
      </c>
    </row>
    <row r="758" spans="1:16" x14ac:dyDescent="0.35">
      <c r="A758" s="3" t="s">
        <v>86</v>
      </c>
      <c r="B758" s="3" t="str">
        <f>INDEX(State_Region!$B$2:$B$26,MATCH(TRIM(A758),State_Region!$A$2:$A$26,0))</f>
        <v>North</v>
      </c>
      <c r="C758" s="3" t="s">
        <v>106</v>
      </c>
      <c r="D758" s="3" t="str">
        <f>INDEX(Port_Type!$B$2:$B$227,MATCH(TRIM(C758),Port_Type!$A$2:$A$227,0))</f>
        <v>Inland ICD / CFS</v>
      </c>
      <c r="E758" s="3" t="s">
        <v>42</v>
      </c>
      <c r="F758" s="3" t="str">
        <f>INDEX(Product_Category!$B$2:$B$45,MATCH(TRIM(E758),Product_Category!$A$2:$A$45,0))</f>
        <v>Processed Foods</v>
      </c>
      <c r="G758" s="4">
        <v>1.0900000000000001</v>
      </c>
      <c r="H758" s="4">
        <v>0.88</v>
      </c>
      <c r="I758" s="4">
        <v>0.34</v>
      </c>
      <c r="J758" s="4">
        <v>660.88</v>
      </c>
      <c r="K758" s="4">
        <v>547.74</v>
      </c>
      <c r="L758" s="4">
        <v>215.42</v>
      </c>
      <c r="M758" s="4">
        <f t="shared" si="33"/>
        <v>-0.21000000000000008</v>
      </c>
      <c r="N758" s="4">
        <f t="shared" si="34"/>
        <v>-113.13999999999999</v>
      </c>
      <c r="O758" s="4">
        <f t="shared" si="35"/>
        <v>-0.54</v>
      </c>
      <c r="P758" s="3" t="s">
        <v>19</v>
      </c>
    </row>
    <row r="759" spans="1:16" x14ac:dyDescent="0.35">
      <c r="A759" s="3" t="s">
        <v>40</v>
      </c>
      <c r="B759" s="3" t="str">
        <f>INDEX(State_Region!$B$2:$B$26,MATCH(TRIM(A759),State_Region!$A$2:$A$26,0))</f>
        <v>South</v>
      </c>
      <c r="C759" s="3" t="s">
        <v>107</v>
      </c>
      <c r="D759" s="3" t="str">
        <f>INDEX(Port_Type!$B$2:$B$227,MATCH(TRIM(C759),Port_Type!$A$2:$A$227,0))</f>
        <v>Sea Port</v>
      </c>
      <c r="E759" s="3" t="s">
        <v>65</v>
      </c>
      <c r="F759" s="3" t="str">
        <f>INDEX(Product_Category!$B$2:$B$45,MATCH(TRIM(E759),Product_Category!$A$2:$A$45,0))</f>
        <v>Cereals &amp; Grains</v>
      </c>
      <c r="G759" s="4">
        <v>1.1299999999999999</v>
      </c>
      <c r="H759" s="4">
        <v>1.03</v>
      </c>
      <c r="I759" s="4">
        <v>0.34</v>
      </c>
      <c r="J759" s="4">
        <v>1067.22</v>
      </c>
      <c r="K759" s="4">
        <v>785.73</v>
      </c>
      <c r="L759" s="4">
        <v>279.83</v>
      </c>
      <c r="M759" s="4">
        <f t="shared" si="33"/>
        <v>-9.9999999999999867E-2</v>
      </c>
      <c r="N759" s="4">
        <f t="shared" si="34"/>
        <v>-281.49</v>
      </c>
      <c r="O759" s="4">
        <f t="shared" si="35"/>
        <v>-0.69</v>
      </c>
      <c r="P759" s="3" t="s">
        <v>19</v>
      </c>
    </row>
    <row r="760" spans="1:16" x14ac:dyDescent="0.35">
      <c r="A760" s="3" t="s">
        <v>86</v>
      </c>
      <c r="B760" s="3" t="str">
        <f>INDEX(State_Region!$B$2:$B$26,MATCH(TRIM(A760),State_Region!$A$2:$A$26,0))</f>
        <v>North</v>
      </c>
      <c r="C760" s="3" t="s">
        <v>106</v>
      </c>
      <c r="D760" s="3" t="str">
        <f>INDEX(Port_Type!$B$2:$B$227,MATCH(TRIM(C760),Port_Type!$A$2:$A$227,0))</f>
        <v>Inland ICD / CFS</v>
      </c>
      <c r="E760" s="3" t="s">
        <v>53</v>
      </c>
      <c r="F760" s="3" t="str">
        <f>INDEX(Product_Category!$B$2:$B$45,MATCH(TRIM(E760),Product_Category!$A$2:$A$45,0))</f>
        <v>Processed Foods</v>
      </c>
      <c r="G760" s="4">
        <v>3.42</v>
      </c>
      <c r="H760" s="4">
        <v>1.44</v>
      </c>
      <c r="I760" s="4">
        <v>0.34</v>
      </c>
      <c r="J760" s="4">
        <v>2603.3200000000002</v>
      </c>
      <c r="K760" s="4">
        <v>925.16</v>
      </c>
      <c r="L760" s="4">
        <v>261.72000000000003</v>
      </c>
      <c r="M760" s="4">
        <f t="shared" si="33"/>
        <v>-1.98</v>
      </c>
      <c r="N760" s="4">
        <f t="shared" si="34"/>
        <v>-1678.1600000000003</v>
      </c>
      <c r="O760" s="4">
        <f t="shared" si="35"/>
        <v>-1.0999999999999999</v>
      </c>
      <c r="P760" s="3" t="s">
        <v>19</v>
      </c>
    </row>
    <row r="761" spans="1:16" x14ac:dyDescent="0.35">
      <c r="A761" s="3" t="s">
        <v>86</v>
      </c>
      <c r="B761" s="3" t="str">
        <f>INDEX(State_Region!$B$2:$B$26,MATCH(TRIM(A761),State_Region!$A$2:$A$26,0))</f>
        <v>North</v>
      </c>
      <c r="C761" s="3" t="s">
        <v>106</v>
      </c>
      <c r="D761" s="3" t="str">
        <f>INDEX(Port_Type!$B$2:$B$227,MATCH(TRIM(C761),Port_Type!$A$2:$A$227,0))</f>
        <v>Inland ICD / CFS</v>
      </c>
      <c r="E761" s="3" t="s">
        <v>54</v>
      </c>
      <c r="F761" s="3" t="str">
        <f>INDEX(Product_Category!$B$2:$B$45,MATCH(TRIM(E761),Product_Category!$A$2:$A$45,0))</f>
        <v>Processed Foods</v>
      </c>
      <c r="G761" s="4">
        <v>1.55</v>
      </c>
      <c r="H761" s="4">
        <v>1.68</v>
      </c>
      <c r="I761" s="4">
        <v>0.34</v>
      </c>
      <c r="J761" s="4">
        <v>419.44</v>
      </c>
      <c r="K761" s="4">
        <v>402.72</v>
      </c>
      <c r="L761" s="4">
        <v>75.989999999999995</v>
      </c>
      <c r="M761" s="4">
        <f t="shared" si="33"/>
        <v>0.12999999999999989</v>
      </c>
      <c r="N761" s="4">
        <f t="shared" si="34"/>
        <v>-16.71999999999997</v>
      </c>
      <c r="O761" s="4">
        <f t="shared" si="35"/>
        <v>-1.3399999999999999</v>
      </c>
      <c r="P761" s="3" t="s">
        <v>19</v>
      </c>
    </row>
    <row r="762" spans="1:16" x14ac:dyDescent="0.35">
      <c r="A762" s="3" t="s">
        <v>20</v>
      </c>
      <c r="B762" s="3" t="str">
        <f>INDEX(State_Region!$B$2:$B$26,MATCH(TRIM(A762),State_Region!$A$2:$A$26,0))</f>
        <v>West</v>
      </c>
      <c r="C762" s="3" t="s">
        <v>156</v>
      </c>
      <c r="D762" s="3" t="str">
        <f>INDEX(Port_Type!$B$2:$B$227,MATCH(TRIM(C762),Port_Type!$A$2:$A$227,0))</f>
        <v>Sea Port</v>
      </c>
      <c r="E762" s="3" t="s">
        <v>65</v>
      </c>
      <c r="F762" s="3" t="str">
        <f>INDEX(Product_Category!$B$2:$B$45,MATCH(TRIM(E762),Product_Category!$A$2:$A$45,0))</f>
        <v>Cereals &amp; Grains</v>
      </c>
      <c r="G762" s="4">
        <v>0</v>
      </c>
      <c r="H762" s="4">
        <v>0.36</v>
      </c>
      <c r="I762" s="4">
        <v>0.34</v>
      </c>
      <c r="J762" s="4">
        <v>0</v>
      </c>
      <c r="K762" s="4">
        <v>1207.2</v>
      </c>
      <c r="L762" s="4">
        <v>1176</v>
      </c>
      <c r="M762" s="4">
        <f t="shared" si="33"/>
        <v>0.36</v>
      </c>
      <c r="N762" s="4">
        <f t="shared" si="34"/>
        <v>1207.2</v>
      </c>
      <c r="O762" s="4">
        <f t="shared" si="35"/>
        <v>-1.9999999999999962E-2</v>
      </c>
      <c r="P762" s="3" t="s">
        <v>19</v>
      </c>
    </row>
    <row r="763" spans="1:16" x14ac:dyDescent="0.35">
      <c r="A763" s="3" t="s">
        <v>16</v>
      </c>
      <c r="B763" s="3" t="str">
        <f>INDEX(State_Region!$B$2:$B$26,MATCH(TRIM(A763),State_Region!$A$2:$A$26,0))</f>
        <v>West</v>
      </c>
      <c r="C763" s="3" t="s">
        <v>89</v>
      </c>
      <c r="D763" s="3" t="str">
        <f>INDEX(Port_Type!$B$2:$B$227,MATCH(TRIM(C763),Port_Type!$A$2:$A$227,0))</f>
        <v>Inland ICD / CFS</v>
      </c>
      <c r="E763" s="3" t="s">
        <v>144</v>
      </c>
      <c r="F763" s="3" t="str">
        <f>INDEX(Product_Category!$B$2:$B$45,MATCH(TRIM(E763),Product_Category!$A$2:$A$45,0))</f>
        <v>Cereals &amp; Grains</v>
      </c>
      <c r="G763" s="4">
        <v>0.5</v>
      </c>
      <c r="H763" s="4">
        <v>0.54</v>
      </c>
      <c r="I763" s="4">
        <v>0.34</v>
      </c>
      <c r="J763" s="4">
        <v>306.81</v>
      </c>
      <c r="K763" s="4">
        <v>476.4</v>
      </c>
      <c r="L763" s="4">
        <v>294.5</v>
      </c>
      <c r="M763" s="4">
        <f t="shared" si="33"/>
        <v>4.0000000000000036E-2</v>
      </c>
      <c r="N763" s="4">
        <f t="shared" si="34"/>
        <v>169.58999999999997</v>
      </c>
      <c r="O763" s="4">
        <f t="shared" si="35"/>
        <v>-0.2</v>
      </c>
      <c r="P763" s="3" t="s">
        <v>19</v>
      </c>
    </row>
    <row r="764" spans="1:16" x14ac:dyDescent="0.35">
      <c r="A764" s="3" t="s">
        <v>23</v>
      </c>
      <c r="B764" s="3" t="str">
        <f>INDEX(State_Region!$B$2:$B$26,MATCH(TRIM(A764),State_Region!$A$2:$A$26,0))</f>
        <v>North</v>
      </c>
      <c r="C764" s="3" t="s">
        <v>30</v>
      </c>
      <c r="D764" s="3" t="str">
        <f>INDEX(Port_Type!$B$2:$B$227,MATCH(TRIM(C764),Port_Type!$A$2:$A$227,0))</f>
        <v>Inland ICD / CFS</v>
      </c>
      <c r="E764" s="3" t="s">
        <v>84</v>
      </c>
      <c r="F764" s="3" t="str">
        <f>INDEX(Product_Category!$B$2:$B$45,MATCH(TRIM(E764),Product_Category!$A$2:$A$45,0))</f>
        <v>Nuts &amp; Oilseeds</v>
      </c>
      <c r="G764" s="4">
        <v>0.06</v>
      </c>
      <c r="H764" s="4">
        <v>0.33</v>
      </c>
      <c r="I764" s="4">
        <v>0.34</v>
      </c>
      <c r="J764" s="4">
        <v>8</v>
      </c>
      <c r="K764" s="4">
        <v>34.58</v>
      </c>
      <c r="L764" s="4">
        <v>38.15</v>
      </c>
      <c r="M764" s="4">
        <f t="shared" si="33"/>
        <v>0.27</v>
      </c>
      <c r="N764" s="4">
        <f t="shared" si="34"/>
        <v>26.58</v>
      </c>
      <c r="O764" s="4">
        <f t="shared" si="35"/>
        <v>1.0000000000000009E-2</v>
      </c>
      <c r="P764" s="3" t="s">
        <v>19</v>
      </c>
    </row>
    <row r="765" spans="1:16" x14ac:dyDescent="0.35">
      <c r="A765" s="3" t="s">
        <v>20</v>
      </c>
      <c r="B765" s="3" t="str">
        <f>INDEX(State_Region!$B$2:$B$26,MATCH(TRIM(A765),State_Region!$A$2:$A$26,0))</f>
        <v>West</v>
      </c>
      <c r="C765" s="3" t="s">
        <v>156</v>
      </c>
      <c r="D765" s="3" t="str">
        <f>INDEX(Port_Type!$B$2:$B$227,MATCH(TRIM(C765),Port_Type!$A$2:$A$227,0))</f>
        <v>Sea Port</v>
      </c>
      <c r="E765" s="3" t="s">
        <v>126</v>
      </c>
      <c r="F765" s="3" t="str">
        <f>INDEX(Product_Category!$B$2:$B$45,MATCH(TRIM(E765),Product_Category!$A$2:$A$45,0))</f>
        <v>Cereals &amp; Grains</v>
      </c>
      <c r="G765" s="4">
        <v>0.42</v>
      </c>
      <c r="H765" s="4">
        <v>0.59</v>
      </c>
      <c r="I765" s="4">
        <v>0.33</v>
      </c>
      <c r="J765" s="4">
        <v>783.96</v>
      </c>
      <c r="K765" s="4">
        <v>1369.47</v>
      </c>
      <c r="L765" s="4">
        <v>783</v>
      </c>
      <c r="M765" s="4">
        <f t="shared" si="33"/>
        <v>0.16999999999999998</v>
      </c>
      <c r="N765" s="4">
        <f t="shared" si="34"/>
        <v>585.51</v>
      </c>
      <c r="O765" s="4">
        <f t="shared" si="35"/>
        <v>-0.25999999999999995</v>
      </c>
      <c r="P765" s="3" t="s">
        <v>19</v>
      </c>
    </row>
    <row r="766" spans="1:16" x14ac:dyDescent="0.35">
      <c r="A766" s="3" t="s">
        <v>23</v>
      </c>
      <c r="B766" s="3" t="str">
        <f>INDEX(State_Region!$B$2:$B$26,MATCH(TRIM(A766),State_Region!$A$2:$A$26,0))</f>
        <v>North</v>
      </c>
      <c r="C766" s="3" t="s">
        <v>123</v>
      </c>
      <c r="D766" s="3" t="str">
        <f>INDEX(Port_Type!$B$2:$B$227,MATCH(TRIM(C766),Port_Type!$A$2:$A$227,0))</f>
        <v>Land Border / Rail</v>
      </c>
      <c r="E766" s="3" t="s">
        <v>54</v>
      </c>
      <c r="F766" s="3" t="str">
        <f>INDEX(Product_Category!$B$2:$B$45,MATCH(TRIM(E766),Product_Category!$A$2:$A$45,0))</f>
        <v>Processed Foods</v>
      </c>
      <c r="G766" s="4">
        <v>1.73</v>
      </c>
      <c r="H766" s="4">
        <v>1.42</v>
      </c>
      <c r="I766" s="4">
        <v>0.33</v>
      </c>
      <c r="J766" s="4">
        <v>1237.99</v>
      </c>
      <c r="K766" s="4">
        <v>944.72</v>
      </c>
      <c r="L766" s="4">
        <v>146.12</v>
      </c>
      <c r="M766" s="4">
        <f t="shared" si="33"/>
        <v>-0.31000000000000005</v>
      </c>
      <c r="N766" s="4">
        <f t="shared" si="34"/>
        <v>-293.27</v>
      </c>
      <c r="O766" s="4">
        <f t="shared" si="35"/>
        <v>-1.0899999999999999</v>
      </c>
      <c r="P766" s="3" t="s">
        <v>19</v>
      </c>
    </row>
    <row r="767" spans="1:16" x14ac:dyDescent="0.35">
      <c r="A767" s="3" t="s">
        <v>20</v>
      </c>
      <c r="B767" s="3" t="str">
        <f>INDEX(State_Region!$B$2:$B$26,MATCH(TRIM(A767),State_Region!$A$2:$A$26,0))</f>
        <v>West</v>
      </c>
      <c r="C767" s="3" t="s">
        <v>56</v>
      </c>
      <c r="D767" s="3" t="str">
        <f>INDEX(Port_Type!$B$2:$B$227,MATCH(TRIM(C767),Port_Type!$A$2:$A$227,0))</f>
        <v>Inland ICD / CFS</v>
      </c>
      <c r="E767" s="3" t="s">
        <v>72</v>
      </c>
      <c r="F767" s="3" t="str">
        <f>INDEX(Product_Category!$B$2:$B$45,MATCH(TRIM(E767),Product_Category!$A$2:$A$45,0))</f>
        <v>Dairy, Poultry &amp; Honey</v>
      </c>
      <c r="G767" s="4">
        <v>0.66</v>
      </c>
      <c r="H767" s="4">
        <v>2.46</v>
      </c>
      <c r="I767" s="4">
        <v>0.33</v>
      </c>
      <c r="J767" s="4">
        <v>133.24</v>
      </c>
      <c r="K767" s="4">
        <v>503.64</v>
      </c>
      <c r="L767" s="4">
        <v>57.71</v>
      </c>
      <c r="M767" s="4">
        <f t="shared" si="33"/>
        <v>1.7999999999999998</v>
      </c>
      <c r="N767" s="4">
        <f t="shared" si="34"/>
        <v>370.4</v>
      </c>
      <c r="O767" s="4">
        <f t="shared" si="35"/>
        <v>-2.13</v>
      </c>
      <c r="P767" s="3" t="s">
        <v>19</v>
      </c>
    </row>
    <row r="768" spans="1:16" x14ac:dyDescent="0.35">
      <c r="A768" s="3" t="s">
        <v>20</v>
      </c>
      <c r="B768" s="3" t="str">
        <f>INDEX(State_Region!$B$2:$B$26,MATCH(TRIM(A768),State_Region!$A$2:$A$26,0))</f>
        <v>West</v>
      </c>
      <c r="C768" s="3" t="s">
        <v>21</v>
      </c>
      <c r="D768" s="3" t="str">
        <f>INDEX(Port_Type!$B$2:$B$227,MATCH(TRIM(C768),Port_Type!$A$2:$A$227,0))</f>
        <v>Sea Port</v>
      </c>
      <c r="E768" s="3" t="s">
        <v>122</v>
      </c>
      <c r="F768" s="3" t="str">
        <f>INDEX(Product_Category!$B$2:$B$45,MATCH(TRIM(E768),Product_Category!$A$2:$A$45,0))</f>
        <v>Others</v>
      </c>
      <c r="G768" s="4">
        <v>2.37</v>
      </c>
      <c r="H768" s="4">
        <v>1.03</v>
      </c>
      <c r="I768" s="4">
        <v>0.33</v>
      </c>
      <c r="J768" s="4">
        <v>407.87</v>
      </c>
      <c r="K768" s="4">
        <v>424.07</v>
      </c>
      <c r="L768" s="4">
        <v>89.76</v>
      </c>
      <c r="M768" s="4">
        <f t="shared" si="33"/>
        <v>-1.34</v>
      </c>
      <c r="N768" s="4">
        <f t="shared" si="34"/>
        <v>16.199999999999989</v>
      </c>
      <c r="O768" s="4">
        <f t="shared" si="35"/>
        <v>-0.7</v>
      </c>
      <c r="P768" s="3" t="s">
        <v>19</v>
      </c>
    </row>
    <row r="769" spans="1:16" x14ac:dyDescent="0.35">
      <c r="A769" s="3" t="s">
        <v>31</v>
      </c>
      <c r="B769" s="3" t="str">
        <f>INDEX(State_Region!$B$2:$B$26,MATCH(TRIM(A769),State_Region!$A$2:$A$26,0))</f>
        <v>East</v>
      </c>
      <c r="C769" s="3" t="s">
        <v>146</v>
      </c>
      <c r="D769" s="3" t="str">
        <f>INDEX(Port_Type!$B$2:$B$227,MATCH(TRIM(C769),Port_Type!$A$2:$A$227,0))</f>
        <v>Land Border / Rail</v>
      </c>
      <c r="E769" s="3" t="s">
        <v>27</v>
      </c>
      <c r="F769" s="3" t="str">
        <f>INDEX(Product_Category!$B$2:$B$45,MATCH(TRIM(E769),Product_Category!$A$2:$A$45,0))</f>
        <v>Cereals &amp; Grains</v>
      </c>
      <c r="G769" s="4">
        <v>0</v>
      </c>
      <c r="H769" s="4">
        <v>32.200000000000003</v>
      </c>
      <c r="I769" s="4">
        <v>0.33</v>
      </c>
      <c r="J769" s="4">
        <v>0</v>
      </c>
      <c r="K769" s="4">
        <v>83887.64</v>
      </c>
      <c r="L769" s="4">
        <v>769.61</v>
      </c>
      <c r="M769" s="4">
        <f t="shared" si="33"/>
        <v>32.200000000000003</v>
      </c>
      <c r="N769" s="4">
        <f t="shared" si="34"/>
        <v>83887.64</v>
      </c>
      <c r="O769" s="4">
        <f t="shared" si="35"/>
        <v>-31.870000000000005</v>
      </c>
      <c r="P769" s="3" t="s">
        <v>19</v>
      </c>
    </row>
    <row r="770" spans="1:16" x14ac:dyDescent="0.35">
      <c r="A770" s="3" t="s">
        <v>23</v>
      </c>
      <c r="B770" s="3" t="str">
        <f>INDEX(State_Region!$B$2:$B$26,MATCH(TRIM(A770),State_Region!$A$2:$A$26,0))</f>
        <v>North</v>
      </c>
      <c r="C770" s="3" t="s">
        <v>44</v>
      </c>
      <c r="D770" s="3" t="str">
        <f>INDEX(Port_Type!$B$2:$B$227,MATCH(TRIM(C770),Port_Type!$A$2:$A$227,0))</f>
        <v>Inland ICD / CFS</v>
      </c>
      <c r="E770" s="3" t="s">
        <v>33</v>
      </c>
      <c r="F770" s="3" t="str">
        <f>INDEX(Product_Category!$B$2:$B$45,MATCH(TRIM(E770),Product_Category!$A$2:$A$45,0))</f>
        <v>Pulses</v>
      </c>
      <c r="G770" s="4">
        <v>0.69</v>
      </c>
      <c r="H770" s="4">
        <v>0.87</v>
      </c>
      <c r="I770" s="4">
        <v>0.33</v>
      </c>
      <c r="J770" s="4">
        <v>481.2</v>
      </c>
      <c r="K770" s="4">
        <v>626.16999999999996</v>
      </c>
      <c r="L770" s="4">
        <v>249.79</v>
      </c>
      <c r="M770" s="4">
        <f t="shared" ref="M770:M833" si="36">H770-G770</f>
        <v>0.18000000000000005</v>
      </c>
      <c r="N770" s="4">
        <f t="shared" ref="N770:N833" si="37">K770-J770</f>
        <v>144.96999999999997</v>
      </c>
      <c r="O770" s="4">
        <f t="shared" ref="O770:O833" si="38">I770-H770</f>
        <v>-0.54</v>
      </c>
      <c r="P770" s="3" t="s">
        <v>19</v>
      </c>
    </row>
    <row r="771" spans="1:16" x14ac:dyDescent="0.35">
      <c r="A771" s="3" t="s">
        <v>94</v>
      </c>
      <c r="B771" s="3" t="str">
        <f>INDEX(State_Region!$B$2:$B$26,MATCH(TRIM(A771),State_Region!$A$2:$A$26,0))</f>
        <v>East</v>
      </c>
      <c r="C771" s="3" t="s">
        <v>112</v>
      </c>
      <c r="D771" s="3" t="str">
        <f>INDEX(Port_Type!$B$2:$B$227,MATCH(TRIM(C771),Port_Type!$A$2:$A$227,0))</f>
        <v>Land Border / Rail</v>
      </c>
      <c r="E771" s="3" t="s">
        <v>53</v>
      </c>
      <c r="F771" s="3" t="str">
        <f>INDEX(Product_Category!$B$2:$B$45,MATCH(TRIM(E771),Product_Category!$A$2:$A$45,0))</f>
        <v>Processed Foods</v>
      </c>
      <c r="G771" s="4">
        <v>0.98</v>
      </c>
      <c r="H771" s="4">
        <v>0.88</v>
      </c>
      <c r="I771" s="4">
        <v>0.33</v>
      </c>
      <c r="J771" s="4">
        <v>2062.2199999999998</v>
      </c>
      <c r="K771" s="4">
        <v>2222.85</v>
      </c>
      <c r="L771" s="4">
        <v>796.8</v>
      </c>
      <c r="M771" s="4">
        <f t="shared" si="36"/>
        <v>-9.9999999999999978E-2</v>
      </c>
      <c r="N771" s="4">
        <f t="shared" si="37"/>
        <v>160.63000000000011</v>
      </c>
      <c r="O771" s="4">
        <f t="shared" si="38"/>
        <v>-0.55000000000000004</v>
      </c>
      <c r="P771" s="3" t="s">
        <v>19</v>
      </c>
    </row>
    <row r="772" spans="1:16" x14ac:dyDescent="0.35">
      <c r="A772" s="3" t="s">
        <v>40</v>
      </c>
      <c r="B772" s="3" t="str">
        <f>INDEX(State_Region!$B$2:$B$26,MATCH(TRIM(A772),State_Region!$A$2:$A$26,0))</f>
        <v>South</v>
      </c>
      <c r="C772" s="3" t="s">
        <v>85</v>
      </c>
      <c r="D772" s="3" t="str">
        <f>INDEX(Port_Type!$B$2:$B$227,MATCH(TRIM(C772),Port_Type!$A$2:$A$227,0))</f>
        <v>Sea Port</v>
      </c>
      <c r="E772" s="3" t="s">
        <v>69</v>
      </c>
      <c r="F772" s="3" t="str">
        <f>INDEX(Product_Category!$B$2:$B$45,MATCH(TRIM(E772),Product_Category!$A$2:$A$45,0))</f>
        <v>Others</v>
      </c>
      <c r="G772" s="4">
        <v>1.25</v>
      </c>
      <c r="H772" s="4">
        <v>0.1</v>
      </c>
      <c r="I772" s="4">
        <v>0.33</v>
      </c>
      <c r="J772" s="4">
        <v>98.49</v>
      </c>
      <c r="K772" s="4">
        <v>18.72</v>
      </c>
      <c r="L772" s="4">
        <v>22.91</v>
      </c>
      <c r="M772" s="4">
        <f t="shared" si="36"/>
        <v>-1.1499999999999999</v>
      </c>
      <c r="N772" s="4">
        <f t="shared" si="37"/>
        <v>-79.77</v>
      </c>
      <c r="O772" s="4">
        <f t="shared" si="38"/>
        <v>0.23</v>
      </c>
      <c r="P772" s="3" t="s">
        <v>19</v>
      </c>
    </row>
    <row r="773" spans="1:16" x14ac:dyDescent="0.35">
      <c r="A773" s="3" t="s">
        <v>86</v>
      </c>
      <c r="B773" s="3" t="str">
        <f>INDEX(State_Region!$B$2:$B$26,MATCH(TRIM(A773),State_Region!$A$2:$A$26,0))</f>
        <v>North</v>
      </c>
      <c r="C773" s="3" t="s">
        <v>106</v>
      </c>
      <c r="D773" s="3" t="str">
        <f>INDEX(Port_Type!$B$2:$B$227,MATCH(TRIM(C773),Port_Type!$A$2:$A$227,0))</f>
        <v>Inland ICD / CFS</v>
      </c>
      <c r="E773" s="3" t="s">
        <v>69</v>
      </c>
      <c r="F773" s="3" t="str">
        <f>INDEX(Product_Category!$B$2:$B$45,MATCH(TRIM(E773),Product_Category!$A$2:$A$45,0))</f>
        <v>Others</v>
      </c>
      <c r="G773" s="4">
        <v>2.0099999999999998</v>
      </c>
      <c r="H773" s="4">
        <v>2</v>
      </c>
      <c r="I773" s="4">
        <v>0.33</v>
      </c>
      <c r="J773" s="4">
        <v>690.65</v>
      </c>
      <c r="K773" s="4">
        <v>783.96</v>
      </c>
      <c r="L773" s="4">
        <v>123.64</v>
      </c>
      <c r="M773" s="4">
        <f t="shared" si="36"/>
        <v>-9.9999999999997868E-3</v>
      </c>
      <c r="N773" s="4">
        <f t="shared" si="37"/>
        <v>93.310000000000059</v>
      </c>
      <c r="O773" s="4">
        <f t="shared" si="38"/>
        <v>-1.67</v>
      </c>
      <c r="P773" s="3" t="s">
        <v>19</v>
      </c>
    </row>
    <row r="774" spans="1:16" x14ac:dyDescent="0.35">
      <c r="A774" s="3" t="s">
        <v>86</v>
      </c>
      <c r="B774" s="3" t="str">
        <f>INDEX(State_Region!$B$2:$B$26,MATCH(TRIM(A774),State_Region!$A$2:$A$26,0))</f>
        <v>North</v>
      </c>
      <c r="C774" s="3" t="s">
        <v>106</v>
      </c>
      <c r="D774" s="3" t="str">
        <f>INDEX(Port_Type!$B$2:$B$227,MATCH(TRIM(C774),Port_Type!$A$2:$A$227,0))</f>
        <v>Inland ICD / CFS</v>
      </c>
      <c r="E774" s="3" t="s">
        <v>60</v>
      </c>
      <c r="F774" s="3" t="str">
        <f>INDEX(Product_Category!$B$2:$B$45,MATCH(TRIM(E774),Product_Category!$A$2:$A$45,0))</f>
        <v>Processed Foods</v>
      </c>
      <c r="G774" s="4">
        <v>1.8</v>
      </c>
      <c r="H774" s="4">
        <v>3.06</v>
      </c>
      <c r="I774" s="4">
        <v>0.33</v>
      </c>
      <c r="J774" s="4">
        <v>188.88</v>
      </c>
      <c r="K774" s="4">
        <v>181.33</v>
      </c>
      <c r="L774" s="4">
        <v>45.96</v>
      </c>
      <c r="M774" s="4">
        <f t="shared" si="36"/>
        <v>1.26</v>
      </c>
      <c r="N774" s="4">
        <f t="shared" si="37"/>
        <v>-7.5499999999999829</v>
      </c>
      <c r="O774" s="4">
        <f t="shared" si="38"/>
        <v>-2.73</v>
      </c>
      <c r="P774" s="3" t="s">
        <v>19</v>
      </c>
    </row>
    <row r="775" spans="1:16" x14ac:dyDescent="0.35">
      <c r="A775" s="3" t="s">
        <v>23</v>
      </c>
      <c r="B775" s="3" t="str">
        <f>INDEX(State_Region!$B$2:$B$26,MATCH(TRIM(A775),State_Region!$A$2:$A$26,0))</f>
        <v>North</v>
      </c>
      <c r="C775" s="3" t="s">
        <v>30</v>
      </c>
      <c r="D775" s="3" t="str">
        <f>INDEX(Port_Type!$B$2:$B$227,MATCH(TRIM(C775),Port_Type!$A$2:$A$227,0))</f>
        <v>Inland ICD / CFS</v>
      </c>
      <c r="E775" s="3" t="s">
        <v>65</v>
      </c>
      <c r="F775" s="3" t="str">
        <f>INDEX(Product_Category!$B$2:$B$45,MATCH(TRIM(E775),Product_Category!$A$2:$A$45,0))</f>
        <v>Cereals &amp; Grains</v>
      </c>
      <c r="G775" s="4">
        <v>0.05</v>
      </c>
      <c r="H775" s="4">
        <v>0.15</v>
      </c>
      <c r="I775" s="4">
        <v>0.33</v>
      </c>
      <c r="J775" s="4">
        <v>33.369999999999997</v>
      </c>
      <c r="K775" s="4">
        <v>157.16</v>
      </c>
      <c r="L775" s="4">
        <v>406.3</v>
      </c>
      <c r="M775" s="4">
        <f t="shared" si="36"/>
        <v>9.9999999999999992E-2</v>
      </c>
      <c r="N775" s="4">
        <f t="shared" si="37"/>
        <v>123.78999999999999</v>
      </c>
      <c r="O775" s="4">
        <f t="shared" si="38"/>
        <v>0.18000000000000002</v>
      </c>
      <c r="P775" s="3" t="s">
        <v>19</v>
      </c>
    </row>
    <row r="776" spans="1:16" x14ac:dyDescent="0.35">
      <c r="A776" s="3" t="s">
        <v>66</v>
      </c>
      <c r="B776" s="3" t="str">
        <f>INDEX(State_Region!$B$2:$B$26,MATCH(TRIM(A776),State_Region!$A$2:$A$26,0))</f>
        <v>North</v>
      </c>
      <c r="C776" s="3" t="s">
        <v>73</v>
      </c>
      <c r="D776" s="3" t="str">
        <f>INDEX(Port_Type!$B$2:$B$227,MATCH(TRIM(C776),Port_Type!$A$2:$A$227,0))</f>
        <v>Inland ICD / CFS</v>
      </c>
      <c r="E776" s="3" t="s">
        <v>69</v>
      </c>
      <c r="F776" s="3" t="str">
        <f>INDEX(Product_Category!$B$2:$B$45,MATCH(TRIM(E776),Product_Category!$A$2:$A$45,0))</f>
        <v>Others</v>
      </c>
      <c r="G776" s="4">
        <v>0.28999999999999998</v>
      </c>
      <c r="H776" s="4">
        <v>0.42</v>
      </c>
      <c r="I776" s="4">
        <v>0.33</v>
      </c>
      <c r="J776" s="4">
        <v>27.59</v>
      </c>
      <c r="K776" s="4">
        <v>51.12</v>
      </c>
      <c r="L776" s="4">
        <v>18.7</v>
      </c>
      <c r="M776" s="4">
        <f t="shared" si="36"/>
        <v>0.13</v>
      </c>
      <c r="N776" s="4">
        <f t="shared" si="37"/>
        <v>23.529999999999998</v>
      </c>
      <c r="O776" s="4">
        <f t="shared" si="38"/>
        <v>-8.9999999999999969E-2</v>
      </c>
      <c r="P776" s="3" t="s">
        <v>19</v>
      </c>
    </row>
    <row r="777" spans="1:16" x14ac:dyDescent="0.35">
      <c r="A777" s="3" t="s">
        <v>31</v>
      </c>
      <c r="B777" s="3" t="str">
        <f>INDEX(State_Region!$B$2:$B$26,MATCH(TRIM(A777),State_Region!$A$2:$A$26,0))</f>
        <v>East</v>
      </c>
      <c r="C777" s="3" t="s">
        <v>215</v>
      </c>
      <c r="D777" s="3" t="str">
        <f>INDEX(Port_Type!$B$2:$B$227,MATCH(TRIM(C777),Port_Type!$A$2:$A$227,0))</f>
        <v>Land Border / Rail</v>
      </c>
      <c r="E777" s="3" t="s">
        <v>18</v>
      </c>
      <c r="F777" s="3" t="str">
        <f>INDEX(Product_Category!$B$2:$B$45,MATCH(TRIM(E777),Product_Category!$A$2:$A$45,0))</f>
        <v>Cereals &amp; Grains</v>
      </c>
      <c r="G777" s="4">
        <v>0</v>
      </c>
      <c r="H777" s="4">
        <v>0.37</v>
      </c>
      <c r="I777" s="4">
        <v>0.33</v>
      </c>
      <c r="J777" s="4">
        <v>3</v>
      </c>
      <c r="K777" s="4">
        <v>710.39</v>
      </c>
      <c r="L777" s="4">
        <v>569.73</v>
      </c>
      <c r="M777" s="4">
        <f t="shared" si="36"/>
        <v>0.37</v>
      </c>
      <c r="N777" s="4">
        <f t="shared" si="37"/>
        <v>707.39</v>
      </c>
      <c r="O777" s="4">
        <f t="shared" si="38"/>
        <v>-3.999999999999998E-2</v>
      </c>
      <c r="P777" s="3" t="s">
        <v>19</v>
      </c>
    </row>
    <row r="778" spans="1:16" x14ac:dyDescent="0.35">
      <c r="A778" s="3" t="s">
        <v>35</v>
      </c>
      <c r="B778" s="3" t="str">
        <f>INDEX(State_Region!$B$2:$B$26,MATCH(TRIM(A778),State_Region!$A$2:$A$26,0))</f>
        <v>North</v>
      </c>
      <c r="C778" s="3" t="s">
        <v>38</v>
      </c>
      <c r="D778" s="3" t="str">
        <f>INDEX(Port_Type!$B$2:$B$227,MATCH(TRIM(C778),Port_Type!$A$2:$A$227,0))</f>
        <v>Inland ICD / CFS</v>
      </c>
      <c r="E778" s="3" t="s">
        <v>72</v>
      </c>
      <c r="F778" s="3" t="str">
        <f>INDEX(Product_Category!$B$2:$B$45,MATCH(TRIM(E778),Product_Category!$A$2:$A$45,0))</f>
        <v>Dairy, Poultry &amp; Honey</v>
      </c>
      <c r="G778" s="4">
        <v>3.02</v>
      </c>
      <c r="H778" s="4">
        <v>2.04</v>
      </c>
      <c r="I778" s="4">
        <v>0.32</v>
      </c>
      <c r="J778" s="4">
        <v>509.03</v>
      </c>
      <c r="K778" s="4">
        <v>490.94</v>
      </c>
      <c r="L778" s="4">
        <v>44.34</v>
      </c>
      <c r="M778" s="4">
        <f t="shared" si="36"/>
        <v>-0.98</v>
      </c>
      <c r="N778" s="4">
        <f t="shared" si="37"/>
        <v>-18.089999999999975</v>
      </c>
      <c r="O778" s="4">
        <f t="shared" si="38"/>
        <v>-1.72</v>
      </c>
      <c r="P778" s="3" t="s">
        <v>19</v>
      </c>
    </row>
    <row r="779" spans="1:16" x14ac:dyDescent="0.35">
      <c r="A779" s="3" t="s">
        <v>77</v>
      </c>
      <c r="B779" s="3" t="str">
        <f>INDEX(State_Region!$B$2:$B$26,MATCH(TRIM(A779),State_Region!$A$2:$A$26,0))</f>
        <v>South</v>
      </c>
      <c r="C779" s="3" t="s">
        <v>78</v>
      </c>
      <c r="D779" s="3" t="str">
        <f>INDEX(Port_Type!$B$2:$B$227,MATCH(TRIM(C779),Port_Type!$A$2:$A$227,0))</f>
        <v>Sea Port</v>
      </c>
      <c r="E779" s="3" t="s">
        <v>116</v>
      </c>
      <c r="F779" s="3" t="str">
        <f>INDEX(Product_Category!$B$2:$B$45,MATCH(TRIM(E779),Product_Category!$A$2:$A$45,0))</f>
        <v>Others</v>
      </c>
      <c r="G779" s="4">
        <v>0.46</v>
      </c>
      <c r="H779" s="4">
        <v>0.89</v>
      </c>
      <c r="I779" s="4">
        <v>0.32</v>
      </c>
      <c r="J779" s="4">
        <v>991.8</v>
      </c>
      <c r="K779" s="4">
        <v>1555.24</v>
      </c>
      <c r="L779" s="4">
        <v>458.06</v>
      </c>
      <c r="M779" s="4">
        <f t="shared" si="36"/>
        <v>0.43</v>
      </c>
      <c r="N779" s="4">
        <f t="shared" si="37"/>
        <v>563.44000000000005</v>
      </c>
      <c r="O779" s="4">
        <f t="shared" si="38"/>
        <v>-0.57000000000000006</v>
      </c>
      <c r="P779" s="3" t="s">
        <v>19</v>
      </c>
    </row>
    <row r="780" spans="1:16" x14ac:dyDescent="0.35">
      <c r="A780" s="3" t="s">
        <v>66</v>
      </c>
      <c r="B780" s="3" t="str">
        <f>INDEX(State_Region!$B$2:$B$26,MATCH(TRIM(A780),State_Region!$A$2:$A$26,0))</f>
        <v>North</v>
      </c>
      <c r="C780" s="3" t="s">
        <v>100</v>
      </c>
      <c r="D780" s="3" t="str">
        <f>INDEX(Port_Type!$B$2:$B$227,MATCH(TRIM(C780),Port_Type!$A$2:$A$227,0))</f>
        <v>Inland ICD / CFS</v>
      </c>
      <c r="E780" s="3" t="s">
        <v>27</v>
      </c>
      <c r="F780" s="3" t="str">
        <f>INDEX(Product_Category!$B$2:$B$45,MATCH(TRIM(E780),Product_Category!$A$2:$A$45,0))</f>
        <v>Cereals &amp; Grains</v>
      </c>
      <c r="G780" s="4">
        <v>0</v>
      </c>
      <c r="H780" s="4">
        <v>2.06</v>
      </c>
      <c r="I780" s="4">
        <v>0.32</v>
      </c>
      <c r="J780" s="4">
        <v>0</v>
      </c>
      <c r="K780" s="4">
        <v>3625.2</v>
      </c>
      <c r="L780" s="4">
        <v>488.25</v>
      </c>
      <c r="M780" s="4">
        <f t="shared" si="36"/>
        <v>2.06</v>
      </c>
      <c r="N780" s="4">
        <f t="shared" si="37"/>
        <v>3625.2</v>
      </c>
      <c r="O780" s="4">
        <f t="shared" si="38"/>
        <v>-1.74</v>
      </c>
      <c r="P780" s="3" t="s">
        <v>19</v>
      </c>
    </row>
    <row r="781" spans="1:16" x14ac:dyDescent="0.35">
      <c r="A781" s="3" t="s">
        <v>16</v>
      </c>
      <c r="B781" s="3" t="str">
        <f>INDEX(State_Region!$B$2:$B$26,MATCH(TRIM(A781),State_Region!$A$2:$A$26,0))</f>
        <v>West</v>
      </c>
      <c r="C781" s="3" t="s">
        <v>135</v>
      </c>
      <c r="D781" s="3" t="str">
        <f>INDEX(Port_Type!$B$2:$B$227,MATCH(TRIM(C781),Port_Type!$A$2:$A$227,0))</f>
        <v>Air Cargo</v>
      </c>
      <c r="E781" s="3" t="s">
        <v>69</v>
      </c>
      <c r="F781" s="3" t="str">
        <f>INDEX(Product_Category!$B$2:$B$45,MATCH(TRIM(E781),Product_Category!$A$2:$A$45,0))</f>
        <v>Others</v>
      </c>
      <c r="G781" s="4">
        <v>0.56000000000000005</v>
      </c>
      <c r="H781" s="4">
        <v>0.8</v>
      </c>
      <c r="I781" s="4">
        <v>0.32</v>
      </c>
      <c r="J781" s="4">
        <v>16.55</v>
      </c>
      <c r="K781" s="4">
        <v>22.01</v>
      </c>
      <c r="L781" s="4">
        <v>7.47</v>
      </c>
      <c r="M781" s="4">
        <f t="shared" si="36"/>
        <v>0.24</v>
      </c>
      <c r="N781" s="4">
        <f t="shared" si="37"/>
        <v>5.4600000000000009</v>
      </c>
      <c r="O781" s="4">
        <f t="shared" si="38"/>
        <v>-0.48000000000000004</v>
      </c>
      <c r="P781" s="3" t="s">
        <v>19</v>
      </c>
    </row>
    <row r="782" spans="1:16" x14ac:dyDescent="0.35">
      <c r="A782" s="3" t="s">
        <v>31</v>
      </c>
      <c r="B782" s="3" t="str">
        <f>INDEX(State_Region!$B$2:$B$26,MATCH(TRIM(A782),State_Region!$A$2:$A$26,0))</f>
        <v>East</v>
      </c>
      <c r="C782" s="3" t="s">
        <v>131</v>
      </c>
      <c r="D782" s="3" t="str">
        <f>INDEX(Port_Type!$B$2:$B$227,MATCH(TRIM(C782),Port_Type!$A$2:$A$227,0))</f>
        <v>Land Border / Rail</v>
      </c>
      <c r="E782" s="3" t="s">
        <v>42</v>
      </c>
      <c r="F782" s="3" t="str">
        <f>INDEX(Product_Category!$B$2:$B$45,MATCH(TRIM(E782),Product_Category!$A$2:$A$45,0))</f>
        <v>Processed Foods</v>
      </c>
      <c r="G782" s="4">
        <v>1.1299999999999999</v>
      </c>
      <c r="H782" s="4">
        <v>1.03</v>
      </c>
      <c r="I782" s="4">
        <v>0.32</v>
      </c>
      <c r="J782" s="4">
        <v>791.09</v>
      </c>
      <c r="K782" s="4">
        <v>767.43</v>
      </c>
      <c r="L782" s="4">
        <v>265.45999999999998</v>
      </c>
      <c r="M782" s="4">
        <f t="shared" si="36"/>
        <v>-9.9999999999999867E-2</v>
      </c>
      <c r="N782" s="4">
        <f t="shared" si="37"/>
        <v>-23.660000000000082</v>
      </c>
      <c r="O782" s="4">
        <f t="shared" si="38"/>
        <v>-0.71</v>
      </c>
      <c r="P782" s="3" t="s">
        <v>19</v>
      </c>
    </row>
    <row r="783" spans="1:16" x14ac:dyDescent="0.35">
      <c r="A783" s="3" t="s">
        <v>35</v>
      </c>
      <c r="B783" s="3" t="str">
        <f>INDEX(State_Region!$B$2:$B$26,MATCH(TRIM(A783),State_Region!$A$2:$A$26,0))</f>
        <v>North</v>
      </c>
      <c r="C783" s="3" t="s">
        <v>165</v>
      </c>
      <c r="D783" s="3" t="str">
        <f>INDEX(Port_Type!$B$2:$B$227,MATCH(TRIM(C783),Port_Type!$A$2:$A$227,0))</f>
        <v>Inland ICD / CFS</v>
      </c>
      <c r="E783" s="3" t="s">
        <v>46</v>
      </c>
      <c r="F783" s="3" t="str">
        <f>INDEX(Product_Category!$B$2:$B$45,MATCH(TRIM(E783),Product_Category!$A$2:$A$45,0))</f>
        <v>Others</v>
      </c>
      <c r="G783" s="4">
        <v>0</v>
      </c>
      <c r="H783" s="4">
        <v>0.84</v>
      </c>
      <c r="I783" s="4">
        <v>0.32</v>
      </c>
      <c r="J783" s="4">
        <v>0</v>
      </c>
      <c r="K783" s="4">
        <v>587.41</v>
      </c>
      <c r="L783" s="4">
        <v>217.75</v>
      </c>
      <c r="M783" s="4">
        <f t="shared" si="36"/>
        <v>0.84</v>
      </c>
      <c r="N783" s="4">
        <f t="shared" si="37"/>
        <v>587.41</v>
      </c>
      <c r="O783" s="4">
        <f t="shared" si="38"/>
        <v>-0.52</v>
      </c>
      <c r="P783" s="3" t="s">
        <v>19</v>
      </c>
    </row>
    <row r="784" spans="1:16" x14ac:dyDescent="0.35">
      <c r="A784" s="3" t="s">
        <v>16</v>
      </c>
      <c r="B784" s="3" t="str">
        <f>INDEX(State_Region!$B$2:$B$26,MATCH(TRIM(A784),State_Region!$A$2:$A$26,0))</f>
        <v>West</v>
      </c>
      <c r="C784" s="3" t="s">
        <v>143</v>
      </c>
      <c r="D784" s="3" t="str">
        <f>INDEX(Port_Type!$B$2:$B$227,MATCH(TRIM(C784),Port_Type!$A$2:$A$227,0))</f>
        <v>Sea Port</v>
      </c>
      <c r="E784" s="3" t="s">
        <v>144</v>
      </c>
      <c r="F784" s="3" t="str">
        <f>INDEX(Product_Category!$B$2:$B$45,MATCH(TRIM(E784),Product_Category!$A$2:$A$45,0))</f>
        <v>Cereals &amp; Grains</v>
      </c>
      <c r="G784" s="4">
        <v>0.85</v>
      </c>
      <c r="H784" s="4">
        <v>0.53</v>
      </c>
      <c r="I784" s="4">
        <v>0.32</v>
      </c>
      <c r="J784" s="4">
        <v>2653</v>
      </c>
      <c r="K784" s="4">
        <v>1695</v>
      </c>
      <c r="L784" s="4">
        <v>1060</v>
      </c>
      <c r="M784" s="4">
        <f t="shared" si="36"/>
        <v>-0.31999999999999995</v>
      </c>
      <c r="N784" s="4">
        <f t="shared" si="37"/>
        <v>-958</v>
      </c>
      <c r="O784" s="4">
        <f t="shared" si="38"/>
        <v>-0.21000000000000002</v>
      </c>
      <c r="P784" s="3" t="s">
        <v>19</v>
      </c>
    </row>
    <row r="785" spans="1:16" x14ac:dyDescent="0.35">
      <c r="A785" s="3" t="s">
        <v>23</v>
      </c>
      <c r="B785" s="3" t="str">
        <f>INDEX(State_Region!$B$2:$B$26,MATCH(TRIM(A785),State_Region!$A$2:$A$26,0))</f>
        <v>North</v>
      </c>
      <c r="C785" s="3" t="s">
        <v>148</v>
      </c>
      <c r="D785" s="3" t="str">
        <f>INDEX(Port_Type!$B$2:$B$227,MATCH(TRIM(C785),Port_Type!$A$2:$A$227,0))</f>
        <v>Inland ICD / CFS</v>
      </c>
      <c r="E785" s="3" t="s">
        <v>22</v>
      </c>
      <c r="F785" s="3" t="str">
        <f>INDEX(Product_Category!$B$2:$B$45,MATCH(TRIM(E785),Product_Category!$A$2:$A$45,0))</f>
        <v>Meat &amp; Animal Products</v>
      </c>
      <c r="G785" s="4">
        <v>0.71</v>
      </c>
      <c r="H785" s="4">
        <v>39.06</v>
      </c>
      <c r="I785" s="4">
        <v>0.31</v>
      </c>
      <c r="J785" s="4">
        <v>618</v>
      </c>
      <c r="K785" s="4">
        <v>10541.06</v>
      </c>
      <c r="L785" s="4">
        <v>137.01</v>
      </c>
      <c r="M785" s="4">
        <f t="shared" si="36"/>
        <v>38.35</v>
      </c>
      <c r="N785" s="4">
        <f t="shared" si="37"/>
        <v>9923.06</v>
      </c>
      <c r="O785" s="4">
        <f t="shared" si="38"/>
        <v>-38.75</v>
      </c>
      <c r="P785" s="3" t="s">
        <v>19</v>
      </c>
    </row>
    <row r="786" spans="1:16" x14ac:dyDescent="0.35">
      <c r="A786" s="3" t="s">
        <v>94</v>
      </c>
      <c r="B786" s="3" t="str">
        <f>INDEX(State_Region!$B$2:$B$26,MATCH(TRIM(A786),State_Region!$A$2:$A$26,0))</f>
        <v>East</v>
      </c>
      <c r="C786" s="3" t="s">
        <v>112</v>
      </c>
      <c r="D786" s="3" t="str">
        <f>INDEX(Port_Type!$B$2:$B$227,MATCH(TRIM(C786),Port_Type!$A$2:$A$227,0))</f>
        <v>Land Border / Rail</v>
      </c>
      <c r="E786" s="3" t="s">
        <v>33</v>
      </c>
      <c r="F786" s="3" t="str">
        <f>INDEX(Product_Category!$B$2:$B$45,MATCH(TRIM(E786),Product_Category!$A$2:$A$45,0))</f>
        <v>Pulses</v>
      </c>
      <c r="G786" s="4">
        <v>1.41</v>
      </c>
      <c r="H786" s="4">
        <v>1.61</v>
      </c>
      <c r="I786" s="4">
        <v>0.31</v>
      </c>
      <c r="J786" s="4">
        <v>1751</v>
      </c>
      <c r="K786" s="4">
        <v>2309.19</v>
      </c>
      <c r="L786" s="4">
        <v>446.78</v>
      </c>
      <c r="M786" s="4">
        <f t="shared" si="36"/>
        <v>0.20000000000000018</v>
      </c>
      <c r="N786" s="4">
        <f t="shared" si="37"/>
        <v>558.19000000000005</v>
      </c>
      <c r="O786" s="4">
        <f t="shared" si="38"/>
        <v>-1.3</v>
      </c>
      <c r="P786" s="3" t="s">
        <v>19</v>
      </c>
    </row>
    <row r="787" spans="1:16" x14ac:dyDescent="0.35">
      <c r="A787" s="3" t="s">
        <v>35</v>
      </c>
      <c r="B787" s="3" t="str">
        <f>INDEX(State_Region!$B$2:$B$26,MATCH(TRIM(A787),State_Region!$A$2:$A$26,0))</f>
        <v>North</v>
      </c>
      <c r="C787" s="3" t="s">
        <v>38</v>
      </c>
      <c r="D787" s="3" t="str">
        <f>INDEX(Port_Type!$B$2:$B$227,MATCH(TRIM(C787),Port_Type!$A$2:$A$227,0))</f>
        <v>Inland ICD / CFS</v>
      </c>
      <c r="E787" s="3" t="s">
        <v>54</v>
      </c>
      <c r="F787" s="3" t="str">
        <f>INDEX(Product_Category!$B$2:$B$45,MATCH(TRIM(E787),Product_Category!$A$2:$A$45,0))</f>
        <v>Processed Foods</v>
      </c>
      <c r="G787" s="4">
        <v>0.79</v>
      </c>
      <c r="H787" s="4">
        <v>2.0299999999999998</v>
      </c>
      <c r="I787" s="4">
        <v>0.31</v>
      </c>
      <c r="J787" s="4">
        <v>284.43</v>
      </c>
      <c r="K787" s="4">
        <v>881.34</v>
      </c>
      <c r="L787" s="4">
        <v>154.69</v>
      </c>
      <c r="M787" s="4">
        <f t="shared" si="36"/>
        <v>1.2399999999999998</v>
      </c>
      <c r="N787" s="4">
        <f t="shared" si="37"/>
        <v>596.91000000000008</v>
      </c>
      <c r="O787" s="4">
        <f t="shared" si="38"/>
        <v>-1.7199999999999998</v>
      </c>
      <c r="P787" s="3" t="s">
        <v>19</v>
      </c>
    </row>
    <row r="788" spans="1:16" x14ac:dyDescent="0.35">
      <c r="A788" s="3" t="s">
        <v>40</v>
      </c>
      <c r="B788" s="3" t="str">
        <f>INDEX(State_Region!$B$2:$B$26,MATCH(TRIM(A788),State_Region!$A$2:$A$26,0))</f>
        <v>South</v>
      </c>
      <c r="C788" s="3" t="s">
        <v>183</v>
      </c>
      <c r="D788" s="3" t="str">
        <f>INDEX(Port_Type!$B$2:$B$227,MATCH(TRIM(C788),Port_Type!$A$2:$A$227,0))</f>
        <v>Inland ICD / CFS</v>
      </c>
      <c r="E788" s="3" t="s">
        <v>84</v>
      </c>
      <c r="F788" s="3" t="str">
        <f>INDEX(Product_Category!$B$2:$B$45,MATCH(TRIM(E788),Product_Category!$A$2:$A$45,0))</f>
        <v>Nuts &amp; Oilseeds</v>
      </c>
      <c r="G788" s="4">
        <v>0</v>
      </c>
      <c r="H788" s="4">
        <v>0</v>
      </c>
      <c r="I788" s="4">
        <v>0.31</v>
      </c>
      <c r="J788" s="4">
        <v>1.25</v>
      </c>
      <c r="K788" s="4">
        <v>0.05</v>
      </c>
      <c r="L788" s="4">
        <v>32.76</v>
      </c>
      <c r="M788" s="4">
        <f t="shared" si="36"/>
        <v>0</v>
      </c>
      <c r="N788" s="4">
        <f t="shared" si="37"/>
        <v>-1.2</v>
      </c>
      <c r="O788" s="4">
        <f t="shared" si="38"/>
        <v>0.31</v>
      </c>
      <c r="P788" s="3" t="s">
        <v>19</v>
      </c>
    </row>
    <row r="789" spans="1:16" x14ac:dyDescent="0.35">
      <c r="A789" s="3" t="s">
        <v>16</v>
      </c>
      <c r="B789" s="3" t="str">
        <f>INDEX(State_Region!$B$2:$B$26,MATCH(TRIM(A789),State_Region!$A$2:$A$26,0))</f>
        <v>West</v>
      </c>
      <c r="C789" s="3" t="s">
        <v>172</v>
      </c>
      <c r="D789" s="3" t="str">
        <f>INDEX(Port_Type!$B$2:$B$227,MATCH(TRIM(C789),Port_Type!$A$2:$A$227,0))</f>
        <v>Sea Port</v>
      </c>
      <c r="E789" s="3" t="s">
        <v>18</v>
      </c>
      <c r="F789" s="3" t="str">
        <f>INDEX(Product_Category!$B$2:$B$45,MATCH(TRIM(E789),Product_Category!$A$2:$A$45,0))</f>
        <v>Cereals &amp; Grains</v>
      </c>
      <c r="G789" s="4">
        <v>0.38</v>
      </c>
      <c r="H789" s="4">
        <v>2.4</v>
      </c>
      <c r="I789" s="4">
        <v>0.31</v>
      </c>
      <c r="J789" s="4">
        <v>400</v>
      </c>
      <c r="K789" s="4">
        <v>3267.79</v>
      </c>
      <c r="L789" s="4">
        <v>352</v>
      </c>
      <c r="M789" s="4">
        <f t="shared" si="36"/>
        <v>2.02</v>
      </c>
      <c r="N789" s="4">
        <f t="shared" si="37"/>
        <v>2867.79</v>
      </c>
      <c r="O789" s="4">
        <f t="shared" si="38"/>
        <v>-2.09</v>
      </c>
      <c r="P789" s="3" t="s">
        <v>19</v>
      </c>
    </row>
    <row r="790" spans="1:16" x14ac:dyDescent="0.35">
      <c r="A790" s="3" t="s">
        <v>49</v>
      </c>
      <c r="B790" s="3" t="str">
        <f>INDEX(State_Region!$B$2:$B$26,MATCH(TRIM(A790),State_Region!$A$2:$A$26,0))</f>
        <v>North</v>
      </c>
      <c r="C790" s="3" t="s">
        <v>121</v>
      </c>
      <c r="D790" s="3" t="str">
        <f>INDEX(Port_Type!$B$2:$B$227,MATCH(TRIM(C790),Port_Type!$A$2:$A$227,0))</f>
        <v>Inland ICD / CFS</v>
      </c>
      <c r="E790" s="3" t="s">
        <v>33</v>
      </c>
      <c r="F790" s="3" t="str">
        <f>INDEX(Product_Category!$B$2:$B$45,MATCH(TRIM(E790),Product_Category!$A$2:$A$45,0))</f>
        <v>Pulses</v>
      </c>
      <c r="G790" s="4">
        <v>0.51</v>
      </c>
      <c r="H790" s="4">
        <v>1.68</v>
      </c>
      <c r="I790" s="4">
        <v>0.31</v>
      </c>
      <c r="J790" s="4">
        <v>244.62</v>
      </c>
      <c r="K790" s="4">
        <v>1076.28</v>
      </c>
      <c r="L790" s="4">
        <v>193.7</v>
      </c>
      <c r="M790" s="4">
        <f t="shared" si="36"/>
        <v>1.17</v>
      </c>
      <c r="N790" s="4">
        <f t="shared" si="37"/>
        <v>831.66</v>
      </c>
      <c r="O790" s="4">
        <f t="shared" si="38"/>
        <v>-1.3699999999999999</v>
      </c>
      <c r="P790" s="3" t="s">
        <v>19</v>
      </c>
    </row>
    <row r="791" spans="1:16" x14ac:dyDescent="0.35">
      <c r="A791" s="3" t="s">
        <v>77</v>
      </c>
      <c r="B791" s="3" t="str">
        <f>INDEX(State_Region!$B$2:$B$26,MATCH(TRIM(A791),State_Region!$A$2:$A$26,0))</f>
        <v>South</v>
      </c>
      <c r="C791" s="3" t="s">
        <v>216</v>
      </c>
      <c r="D791" s="3" t="str">
        <f>INDEX(Port_Type!$B$2:$B$227,MATCH(TRIM(C791),Port_Type!$A$2:$A$227,0))</f>
        <v>Air Cargo</v>
      </c>
      <c r="E791" s="3" t="s">
        <v>102</v>
      </c>
      <c r="F791" s="3" t="str">
        <f>INDEX(Product_Category!$B$2:$B$45,MATCH(TRIM(E791),Product_Category!$A$2:$A$45,0))</f>
        <v>Fresh Fruits &amp; Vegetables</v>
      </c>
      <c r="G791" s="4">
        <v>1.39</v>
      </c>
      <c r="H791" s="4">
        <v>2.19</v>
      </c>
      <c r="I791" s="4">
        <v>0.3</v>
      </c>
      <c r="J791" s="4">
        <v>1520.61</v>
      </c>
      <c r="K791" s="4">
        <v>2222.02</v>
      </c>
      <c r="L791" s="4">
        <v>278.82</v>
      </c>
      <c r="M791" s="4">
        <f t="shared" si="36"/>
        <v>0.8</v>
      </c>
      <c r="N791" s="4">
        <f t="shared" si="37"/>
        <v>701.41000000000008</v>
      </c>
      <c r="O791" s="4">
        <f t="shared" si="38"/>
        <v>-1.89</v>
      </c>
      <c r="P791" s="3" t="s">
        <v>19</v>
      </c>
    </row>
    <row r="792" spans="1:16" x14ac:dyDescent="0.35">
      <c r="A792" s="3" t="s">
        <v>16</v>
      </c>
      <c r="B792" s="3" t="str">
        <f>INDEX(State_Region!$B$2:$B$26,MATCH(TRIM(A792),State_Region!$A$2:$A$26,0))</f>
        <v>West</v>
      </c>
      <c r="C792" s="3" t="s">
        <v>109</v>
      </c>
      <c r="D792" s="3" t="str">
        <f>INDEX(Port_Type!$B$2:$B$227,MATCH(TRIM(C792),Port_Type!$A$2:$A$227,0))</f>
        <v>SEZ / EPZ</v>
      </c>
      <c r="E792" s="3" t="s">
        <v>65</v>
      </c>
      <c r="F792" s="3" t="str">
        <f>INDEX(Product_Category!$B$2:$B$45,MATCH(TRIM(E792),Product_Category!$A$2:$A$45,0))</f>
        <v>Cereals &amp; Grains</v>
      </c>
      <c r="G792" s="4">
        <v>0.6</v>
      </c>
      <c r="H792" s="4">
        <v>1.08</v>
      </c>
      <c r="I792" s="4">
        <v>0.3</v>
      </c>
      <c r="J792" s="4">
        <v>652.21</v>
      </c>
      <c r="K792" s="4">
        <v>1571.75</v>
      </c>
      <c r="L792" s="4">
        <v>387.55</v>
      </c>
      <c r="M792" s="4">
        <f t="shared" si="36"/>
        <v>0.48000000000000009</v>
      </c>
      <c r="N792" s="4">
        <f t="shared" si="37"/>
        <v>919.54</v>
      </c>
      <c r="O792" s="4">
        <f t="shared" si="38"/>
        <v>-0.78</v>
      </c>
      <c r="P792" s="3" t="s">
        <v>19</v>
      </c>
    </row>
    <row r="793" spans="1:16" x14ac:dyDescent="0.35">
      <c r="A793" s="3" t="s">
        <v>35</v>
      </c>
      <c r="B793" s="3" t="str">
        <f>INDEX(State_Region!$B$2:$B$26,MATCH(TRIM(A793),State_Region!$A$2:$A$26,0))</f>
        <v>North</v>
      </c>
      <c r="C793" s="3" t="s">
        <v>38</v>
      </c>
      <c r="D793" s="3" t="str">
        <f>INDEX(Port_Type!$B$2:$B$227,MATCH(TRIM(C793),Port_Type!$A$2:$A$227,0))</f>
        <v>Inland ICD / CFS</v>
      </c>
      <c r="E793" s="3" t="s">
        <v>53</v>
      </c>
      <c r="F793" s="3" t="str">
        <f>INDEX(Product_Category!$B$2:$B$45,MATCH(TRIM(E793),Product_Category!$A$2:$A$45,0))</f>
        <v>Processed Foods</v>
      </c>
      <c r="G793" s="4">
        <v>2.5099999999999998</v>
      </c>
      <c r="H793" s="4">
        <v>1.78</v>
      </c>
      <c r="I793" s="4">
        <v>0.3</v>
      </c>
      <c r="J793" s="4">
        <v>1729.47</v>
      </c>
      <c r="K793" s="4">
        <v>1348.78</v>
      </c>
      <c r="L793" s="4">
        <v>235.29</v>
      </c>
      <c r="M793" s="4">
        <f t="shared" si="36"/>
        <v>-0.72999999999999976</v>
      </c>
      <c r="N793" s="4">
        <f t="shared" si="37"/>
        <v>-380.69000000000005</v>
      </c>
      <c r="O793" s="4">
        <f t="shared" si="38"/>
        <v>-1.48</v>
      </c>
      <c r="P793" s="3" t="s">
        <v>19</v>
      </c>
    </row>
    <row r="794" spans="1:16" x14ac:dyDescent="0.35">
      <c r="A794" s="3" t="s">
        <v>20</v>
      </c>
      <c r="B794" s="3" t="str">
        <f>INDEX(State_Region!$B$2:$B$26,MATCH(TRIM(A794),State_Region!$A$2:$A$26,0))</f>
        <v>West</v>
      </c>
      <c r="C794" s="3" t="s">
        <v>82</v>
      </c>
      <c r="D794" s="3" t="str">
        <f>INDEX(Port_Type!$B$2:$B$227,MATCH(TRIM(C794),Port_Type!$A$2:$A$227,0))</f>
        <v>Inland ICD / CFS</v>
      </c>
      <c r="E794" s="3" t="s">
        <v>81</v>
      </c>
      <c r="F794" s="3" t="str">
        <f>INDEX(Product_Category!$B$2:$B$45,MATCH(TRIM(E794),Product_Category!$A$2:$A$45,0))</f>
        <v>Processed Foods</v>
      </c>
      <c r="G794" s="4">
        <v>0.14000000000000001</v>
      </c>
      <c r="H794" s="4">
        <v>0.84</v>
      </c>
      <c r="I794" s="4">
        <v>0.3</v>
      </c>
      <c r="J794" s="4">
        <v>153.13999999999999</v>
      </c>
      <c r="K794" s="4">
        <v>1280.29</v>
      </c>
      <c r="L794" s="4">
        <v>415.6</v>
      </c>
      <c r="M794" s="4">
        <f t="shared" si="36"/>
        <v>0.7</v>
      </c>
      <c r="N794" s="4">
        <f t="shared" si="37"/>
        <v>1127.1500000000001</v>
      </c>
      <c r="O794" s="4">
        <f t="shared" si="38"/>
        <v>-0.54</v>
      </c>
      <c r="P794" s="3" t="s">
        <v>19</v>
      </c>
    </row>
    <row r="795" spans="1:16" x14ac:dyDescent="0.35">
      <c r="A795" s="3" t="s">
        <v>40</v>
      </c>
      <c r="B795" s="3" t="str">
        <f>INDEX(State_Region!$B$2:$B$26,MATCH(TRIM(A795),State_Region!$A$2:$A$26,0))</f>
        <v>South</v>
      </c>
      <c r="C795" s="3" t="s">
        <v>183</v>
      </c>
      <c r="D795" s="3" t="str">
        <f>INDEX(Port_Type!$B$2:$B$227,MATCH(TRIM(C795),Port_Type!$A$2:$A$227,0))</f>
        <v>Inland ICD / CFS</v>
      </c>
      <c r="E795" s="3" t="s">
        <v>27</v>
      </c>
      <c r="F795" s="3" t="str">
        <f>INDEX(Product_Category!$B$2:$B$45,MATCH(TRIM(E795),Product_Category!$A$2:$A$45,0))</f>
        <v>Cereals &amp; Grains</v>
      </c>
      <c r="G795" s="4">
        <v>0.03</v>
      </c>
      <c r="H795" s="4">
        <v>0.4</v>
      </c>
      <c r="I795" s="4">
        <v>0.3</v>
      </c>
      <c r="J795" s="4">
        <v>36.26</v>
      </c>
      <c r="K795" s="4">
        <v>683.59</v>
      </c>
      <c r="L795" s="4">
        <v>549.91</v>
      </c>
      <c r="M795" s="4">
        <f t="shared" si="36"/>
        <v>0.37</v>
      </c>
      <c r="N795" s="4">
        <f t="shared" si="37"/>
        <v>647.33000000000004</v>
      </c>
      <c r="O795" s="4">
        <f t="shared" si="38"/>
        <v>-0.10000000000000003</v>
      </c>
      <c r="P795" s="3" t="s">
        <v>19</v>
      </c>
    </row>
    <row r="796" spans="1:16" x14ac:dyDescent="0.35">
      <c r="A796" s="3" t="s">
        <v>23</v>
      </c>
      <c r="B796" s="3" t="str">
        <f>INDEX(State_Region!$B$2:$B$26,MATCH(TRIM(A796),State_Region!$A$2:$A$26,0))</f>
        <v>North</v>
      </c>
      <c r="C796" s="3" t="s">
        <v>34</v>
      </c>
      <c r="D796" s="3" t="str">
        <f>INDEX(Port_Type!$B$2:$B$227,MATCH(TRIM(C796),Port_Type!$A$2:$A$227,0))</f>
        <v>Inland ICD / CFS</v>
      </c>
      <c r="E796" s="3" t="s">
        <v>59</v>
      </c>
      <c r="F796" s="3" t="str">
        <f>INDEX(Product_Category!$B$2:$B$45,MATCH(TRIM(E796),Product_Category!$A$2:$A$45,0))</f>
        <v>Processed Foods</v>
      </c>
      <c r="G796" s="4">
        <v>0</v>
      </c>
      <c r="H796" s="4">
        <v>0.19</v>
      </c>
      <c r="I796" s="4">
        <v>0.28999999999999998</v>
      </c>
      <c r="J796" s="4">
        <v>0</v>
      </c>
      <c r="K796" s="4">
        <v>53.09</v>
      </c>
      <c r="L796" s="4">
        <v>144.79</v>
      </c>
      <c r="M796" s="4">
        <f t="shared" si="36"/>
        <v>0.19</v>
      </c>
      <c r="N796" s="4">
        <f t="shared" si="37"/>
        <v>53.09</v>
      </c>
      <c r="O796" s="4">
        <f t="shared" si="38"/>
        <v>9.9999999999999978E-2</v>
      </c>
      <c r="P796" s="3" t="s">
        <v>19</v>
      </c>
    </row>
    <row r="797" spans="1:16" x14ac:dyDescent="0.35">
      <c r="A797" s="3" t="s">
        <v>16</v>
      </c>
      <c r="B797" s="3" t="str">
        <f>INDEX(State_Region!$B$2:$B$26,MATCH(TRIM(A797),State_Region!$A$2:$A$26,0))</f>
        <v>West</v>
      </c>
      <c r="C797" s="3" t="s">
        <v>105</v>
      </c>
      <c r="D797" s="3" t="str">
        <f>INDEX(Port_Type!$B$2:$B$227,MATCH(TRIM(C797),Port_Type!$A$2:$A$227,0))</f>
        <v>SEZ / EPZ</v>
      </c>
      <c r="E797" s="3" t="s">
        <v>83</v>
      </c>
      <c r="F797" s="3" t="str">
        <f>INDEX(Product_Category!$B$2:$B$45,MATCH(TRIM(E797),Product_Category!$A$2:$A$45,0))</f>
        <v>Fresh Fruits &amp; Vegetables</v>
      </c>
      <c r="G797" s="4">
        <v>0</v>
      </c>
      <c r="H797" s="4">
        <v>0</v>
      </c>
      <c r="I797" s="4">
        <v>0.28000000000000003</v>
      </c>
      <c r="J797" s="4">
        <v>0</v>
      </c>
      <c r="K797" s="4">
        <v>0</v>
      </c>
      <c r="L797" s="4">
        <v>108.77</v>
      </c>
      <c r="M797" s="4">
        <f t="shared" si="36"/>
        <v>0</v>
      </c>
      <c r="N797" s="4">
        <f t="shared" si="37"/>
        <v>0</v>
      </c>
      <c r="O797" s="4">
        <f t="shared" si="38"/>
        <v>0.28000000000000003</v>
      </c>
      <c r="P797" s="3" t="s">
        <v>19</v>
      </c>
    </row>
    <row r="798" spans="1:16" x14ac:dyDescent="0.35">
      <c r="A798" s="3" t="s">
        <v>23</v>
      </c>
      <c r="B798" s="3" t="str">
        <f>INDEX(State_Region!$B$2:$B$26,MATCH(TRIM(A798),State_Region!$A$2:$A$26,0))</f>
        <v>North</v>
      </c>
      <c r="C798" s="3" t="s">
        <v>44</v>
      </c>
      <c r="D798" s="3" t="str">
        <f>INDEX(Port_Type!$B$2:$B$227,MATCH(TRIM(C798),Port_Type!$A$2:$A$227,0))</f>
        <v>Inland ICD / CFS</v>
      </c>
      <c r="E798" s="3" t="s">
        <v>53</v>
      </c>
      <c r="F798" s="3" t="str">
        <f>INDEX(Product_Category!$B$2:$B$45,MATCH(TRIM(E798),Product_Category!$A$2:$A$45,0))</f>
        <v>Processed Foods</v>
      </c>
      <c r="G798" s="4">
        <v>0.7</v>
      </c>
      <c r="H798" s="4">
        <v>2.89</v>
      </c>
      <c r="I798" s="4">
        <v>0.28000000000000003</v>
      </c>
      <c r="J798" s="4">
        <v>376.15</v>
      </c>
      <c r="K798" s="4">
        <v>3625.15</v>
      </c>
      <c r="L798" s="4">
        <v>215.03</v>
      </c>
      <c r="M798" s="4">
        <f t="shared" si="36"/>
        <v>2.1900000000000004</v>
      </c>
      <c r="N798" s="4">
        <f t="shared" si="37"/>
        <v>3249</v>
      </c>
      <c r="O798" s="4">
        <f t="shared" si="38"/>
        <v>-2.6100000000000003</v>
      </c>
      <c r="P798" s="3" t="s">
        <v>19</v>
      </c>
    </row>
    <row r="799" spans="1:16" x14ac:dyDescent="0.35">
      <c r="A799" s="3" t="s">
        <v>86</v>
      </c>
      <c r="B799" s="3" t="str">
        <f>INDEX(State_Region!$B$2:$B$26,MATCH(TRIM(A799),State_Region!$A$2:$A$26,0))</f>
        <v>North</v>
      </c>
      <c r="C799" s="3" t="s">
        <v>87</v>
      </c>
      <c r="D799" s="3" t="str">
        <f>INDEX(Port_Type!$B$2:$B$227,MATCH(TRIM(C799),Port_Type!$A$2:$A$227,0))</f>
        <v>Air Cargo</v>
      </c>
      <c r="E799" s="3" t="s">
        <v>48</v>
      </c>
      <c r="F799" s="3" t="str">
        <f>INDEX(Product_Category!$B$2:$B$45,MATCH(TRIM(E799),Product_Category!$A$2:$A$45,0))</f>
        <v>Processed Foods</v>
      </c>
      <c r="G799" s="4">
        <v>1.08</v>
      </c>
      <c r="H799" s="4">
        <v>0.64</v>
      </c>
      <c r="I799" s="4">
        <v>0.28000000000000003</v>
      </c>
      <c r="J799" s="4">
        <v>396.86</v>
      </c>
      <c r="K799" s="4">
        <v>162.58000000000001</v>
      </c>
      <c r="L799" s="4">
        <v>97.47</v>
      </c>
      <c r="M799" s="4">
        <f t="shared" si="36"/>
        <v>-0.44000000000000006</v>
      </c>
      <c r="N799" s="4">
        <f t="shared" si="37"/>
        <v>-234.28</v>
      </c>
      <c r="O799" s="4">
        <f t="shared" si="38"/>
        <v>-0.36</v>
      </c>
      <c r="P799" s="3" t="s">
        <v>19</v>
      </c>
    </row>
    <row r="800" spans="1:16" x14ac:dyDescent="0.35">
      <c r="A800" s="3" t="s">
        <v>40</v>
      </c>
      <c r="B800" s="3" t="str">
        <f>INDEX(State_Region!$B$2:$B$26,MATCH(TRIM(A800),State_Region!$A$2:$A$26,0))</f>
        <v>South</v>
      </c>
      <c r="C800" s="3" t="s">
        <v>64</v>
      </c>
      <c r="D800" s="3" t="str">
        <f>INDEX(Port_Type!$B$2:$B$227,MATCH(TRIM(C800),Port_Type!$A$2:$A$227,0))</f>
        <v>Inland ICD / CFS</v>
      </c>
      <c r="E800" s="3" t="s">
        <v>48</v>
      </c>
      <c r="F800" s="3" t="str">
        <f>INDEX(Product_Category!$B$2:$B$45,MATCH(TRIM(E800),Product_Category!$A$2:$A$45,0))</f>
        <v>Processed Foods</v>
      </c>
      <c r="G800" s="4">
        <v>0.13</v>
      </c>
      <c r="H800" s="4">
        <v>1.36</v>
      </c>
      <c r="I800" s="4">
        <v>0.28000000000000003</v>
      </c>
      <c r="J800" s="4">
        <v>57.34</v>
      </c>
      <c r="K800" s="4">
        <v>821.93</v>
      </c>
      <c r="L800" s="4">
        <v>184.4</v>
      </c>
      <c r="M800" s="4">
        <f t="shared" si="36"/>
        <v>1.23</v>
      </c>
      <c r="N800" s="4">
        <f t="shared" si="37"/>
        <v>764.58999999999992</v>
      </c>
      <c r="O800" s="4">
        <f t="shared" si="38"/>
        <v>-1.08</v>
      </c>
      <c r="P800" s="3" t="s">
        <v>19</v>
      </c>
    </row>
    <row r="801" spans="1:16" x14ac:dyDescent="0.35">
      <c r="A801" s="3" t="s">
        <v>49</v>
      </c>
      <c r="B801" s="3" t="str">
        <f>INDEX(State_Region!$B$2:$B$26,MATCH(TRIM(A801),State_Region!$A$2:$A$26,0))</f>
        <v>North</v>
      </c>
      <c r="C801" s="3" t="s">
        <v>176</v>
      </c>
      <c r="D801" s="3" t="str">
        <f>INDEX(Port_Type!$B$2:$B$227,MATCH(TRIM(C801),Port_Type!$A$2:$A$227,0))</f>
        <v>Inland ICD / CFS</v>
      </c>
      <c r="E801" s="3" t="s">
        <v>48</v>
      </c>
      <c r="F801" s="3" t="str">
        <f>INDEX(Product_Category!$B$2:$B$45,MATCH(TRIM(E801),Product_Category!$A$2:$A$45,0))</f>
        <v>Processed Foods</v>
      </c>
      <c r="G801" s="4">
        <v>0.42</v>
      </c>
      <c r="H801" s="4">
        <v>0.47</v>
      </c>
      <c r="I801" s="4">
        <v>0.28000000000000003</v>
      </c>
      <c r="J801" s="4">
        <v>357.22</v>
      </c>
      <c r="K801" s="4">
        <v>304.95</v>
      </c>
      <c r="L801" s="4">
        <v>222.63</v>
      </c>
      <c r="M801" s="4">
        <f t="shared" si="36"/>
        <v>4.9999999999999989E-2</v>
      </c>
      <c r="N801" s="4">
        <f t="shared" si="37"/>
        <v>-52.270000000000039</v>
      </c>
      <c r="O801" s="4">
        <f t="shared" si="38"/>
        <v>-0.18999999999999995</v>
      </c>
      <c r="P801" s="3" t="s">
        <v>19</v>
      </c>
    </row>
    <row r="802" spans="1:16" x14ac:dyDescent="0.35">
      <c r="A802" s="3" t="s">
        <v>35</v>
      </c>
      <c r="B802" s="3" t="str">
        <f>INDEX(State_Region!$B$2:$B$26,MATCH(TRIM(A802),State_Region!$A$2:$A$26,0))</f>
        <v>North</v>
      </c>
      <c r="C802" s="3" t="s">
        <v>198</v>
      </c>
      <c r="D802" s="3" t="str">
        <f>INDEX(Port_Type!$B$2:$B$227,MATCH(TRIM(C802),Port_Type!$A$2:$A$227,0))</f>
        <v>Inland ICD / CFS</v>
      </c>
      <c r="E802" s="3" t="s">
        <v>72</v>
      </c>
      <c r="F802" s="3" t="str">
        <f>INDEX(Product_Category!$B$2:$B$45,MATCH(TRIM(E802),Product_Category!$A$2:$A$45,0))</f>
        <v>Dairy, Poultry &amp; Honey</v>
      </c>
      <c r="G802" s="4">
        <v>0.81</v>
      </c>
      <c r="H802" s="4">
        <v>0.7</v>
      </c>
      <c r="I802" s="4">
        <v>0.27</v>
      </c>
      <c r="J802" s="4">
        <v>200</v>
      </c>
      <c r="K802" s="4">
        <v>230.81</v>
      </c>
      <c r="L802" s="4">
        <v>100</v>
      </c>
      <c r="M802" s="4">
        <f t="shared" si="36"/>
        <v>-0.1100000000000001</v>
      </c>
      <c r="N802" s="4">
        <f t="shared" si="37"/>
        <v>30.810000000000002</v>
      </c>
      <c r="O802" s="4">
        <f t="shared" si="38"/>
        <v>-0.42999999999999994</v>
      </c>
      <c r="P802" s="3" t="s">
        <v>19</v>
      </c>
    </row>
    <row r="803" spans="1:16" x14ac:dyDescent="0.35">
      <c r="A803" s="3" t="s">
        <v>31</v>
      </c>
      <c r="B803" s="3" t="str">
        <f>INDEX(State_Region!$B$2:$B$26,MATCH(TRIM(A803),State_Region!$A$2:$A$26,0))</f>
        <v>East</v>
      </c>
      <c r="C803" s="3" t="s">
        <v>146</v>
      </c>
      <c r="D803" s="3" t="str">
        <f>INDEX(Port_Type!$B$2:$B$227,MATCH(TRIM(C803),Port_Type!$A$2:$A$227,0))</f>
        <v>Land Border / Rail</v>
      </c>
      <c r="E803" s="3" t="s">
        <v>53</v>
      </c>
      <c r="F803" s="3" t="str">
        <f>INDEX(Product_Category!$B$2:$B$45,MATCH(TRIM(E803),Product_Category!$A$2:$A$45,0))</f>
        <v>Processed Foods</v>
      </c>
      <c r="G803" s="4">
        <v>0.81</v>
      </c>
      <c r="H803" s="4">
        <v>0.56000000000000005</v>
      </c>
      <c r="I803" s="4">
        <v>0.27</v>
      </c>
      <c r="J803" s="4">
        <v>1399.11</v>
      </c>
      <c r="K803" s="4">
        <v>917.45</v>
      </c>
      <c r="L803" s="4">
        <v>485.23</v>
      </c>
      <c r="M803" s="4">
        <f t="shared" si="36"/>
        <v>-0.25</v>
      </c>
      <c r="N803" s="4">
        <f t="shared" si="37"/>
        <v>-481.65999999999985</v>
      </c>
      <c r="O803" s="4">
        <f t="shared" si="38"/>
        <v>-0.29000000000000004</v>
      </c>
      <c r="P803" s="3" t="s">
        <v>19</v>
      </c>
    </row>
    <row r="804" spans="1:16" x14ac:dyDescent="0.35">
      <c r="A804" s="3" t="s">
        <v>40</v>
      </c>
      <c r="B804" s="3" t="str">
        <f>INDEX(State_Region!$B$2:$B$26,MATCH(TRIM(A804),State_Region!$A$2:$A$26,0))</f>
        <v>South</v>
      </c>
      <c r="C804" s="3" t="s">
        <v>164</v>
      </c>
      <c r="D804" s="3" t="str">
        <f>INDEX(Port_Type!$B$2:$B$227,MATCH(TRIM(C804),Port_Type!$A$2:$A$227,0))</f>
        <v>Air Cargo</v>
      </c>
      <c r="E804" s="3" t="s">
        <v>42</v>
      </c>
      <c r="F804" s="3" t="str">
        <f>INDEX(Product_Category!$B$2:$B$45,MATCH(TRIM(E804),Product_Category!$A$2:$A$45,0))</f>
        <v>Processed Foods</v>
      </c>
      <c r="G804" s="4">
        <v>0.45</v>
      </c>
      <c r="H804" s="4">
        <v>0.26</v>
      </c>
      <c r="I804" s="4">
        <v>0.27</v>
      </c>
      <c r="J804" s="4">
        <v>317.74</v>
      </c>
      <c r="K804" s="4">
        <v>438.83</v>
      </c>
      <c r="L804" s="4">
        <v>208.28</v>
      </c>
      <c r="M804" s="4">
        <f t="shared" si="36"/>
        <v>-0.19</v>
      </c>
      <c r="N804" s="4">
        <f t="shared" si="37"/>
        <v>121.08999999999997</v>
      </c>
      <c r="O804" s="4">
        <f t="shared" si="38"/>
        <v>1.0000000000000009E-2</v>
      </c>
      <c r="P804" s="3" t="s">
        <v>19</v>
      </c>
    </row>
    <row r="805" spans="1:16" x14ac:dyDescent="0.35">
      <c r="A805" s="3" t="s">
        <v>40</v>
      </c>
      <c r="B805" s="3" t="str">
        <f>INDEX(State_Region!$B$2:$B$26,MATCH(TRIM(A805),State_Region!$A$2:$A$26,0))</f>
        <v>South</v>
      </c>
      <c r="C805" s="3" t="s">
        <v>64</v>
      </c>
      <c r="D805" s="3" t="str">
        <f>INDEX(Port_Type!$B$2:$B$227,MATCH(TRIM(C805),Port_Type!$A$2:$A$227,0))</f>
        <v>Inland ICD / CFS</v>
      </c>
      <c r="E805" s="3" t="s">
        <v>39</v>
      </c>
      <c r="F805" s="3" t="str">
        <f>INDEX(Product_Category!$B$2:$B$45,MATCH(TRIM(E805),Product_Category!$A$2:$A$45,0))</f>
        <v>Processed Foods</v>
      </c>
      <c r="G805" s="4">
        <v>0.88</v>
      </c>
      <c r="H805" s="4">
        <v>0.21</v>
      </c>
      <c r="I805" s="4">
        <v>0.27</v>
      </c>
      <c r="J805" s="4">
        <v>430.81</v>
      </c>
      <c r="K805" s="4">
        <v>163.57</v>
      </c>
      <c r="L805" s="4">
        <v>97.61</v>
      </c>
      <c r="M805" s="4">
        <f t="shared" si="36"/>
        <v>-0.67</v>
      </c>
      <c r="N805" s="4">
        <f t="shared" si="37"/>
        <v>-267.24</v>
      </c>
      <c r="O805" s="4">
        <f t="shared" si="38"/>
        <v>6.0000000000000026E-2</v>
      </c>
      <c r="P805" s="3" t="s">
        <v>19</v>
      </c>
    </row>
    <row r="806" spans="1:16" x14ac:dyDescent="0.35">
      <c r="A806" s="3" t="s">
        <v>94</v>
      </c>
      <c r="B806" s="3" t="str">
        <f>INDEX(State_Region!$B$2:$B$26,MATCH(TRIM(A806),State_Region!$A$2:$A$26,0))</f>
        <v>East</v>
      </c>
      <c r="C806" s="3" t="s">
        <v>95</v>
      </c>
      <c r="D806" s="3" t="str">
        <f>INDEX(Port_Type!$B$2:$B$227,MATCH(TRIM(C806),Port_Type!$A$2:$A$227,0))</f>
        <v>Land Border / Rail</v>
      </c>
      <c r="E806" s="3" t="s">
        <v>69</v>
      </c>
      <c r="F806" s="3" t="str">
        <f>INDEX(Product_Category!$B$2:$B$45,MATCH(TRIM(E806),Product_Category!$A$2:$A$45,0))</f>
        <v>Others</v>
      </c>
      <c r="G806" s="4">
        <v>0.78</v>
      </c>
      <c r="H806" s="4">
        <v>0.53</v>
      </c>
      <c r="I806" s="4">
        <v>0.26</v>
      </c>
      <c r="J806" s="4">
        <v>154.74</v>
      </c>
      <c r="K806" s="4">
        <v>251.33</v>
      </c>
      <c r="L806" s="4">
        <v>114.74</v>
      </c>
      <c r="M806" s="4">
        <f t="shared" si="36"/>
        <v>-0.25</v>
      </c>
      <c r="N806" s="4">
        <f t="shared" si="37"/>
        <v>96.59</v>
      </c>
      <c r="O806" s="4">
        <f t="shared" si="38"/>
        <v>-0.27</v>
      </c>
      <c r="P806" s="3" t="s">
        <v>19</v>
      </c>
    </row>
    <row r="807" spans="1:16" x14ac:dyDescent="0.35">
      <c r="A807" s="3" t="s">
        <v>16</v>
      </c>
      <c r="B807" s="3" t="str">
        <f>INDEX(State_Region!$B$2:$B$26,MATCH(TRIM(A807),State_Region!$A$2:$A$26,0))</f>
        <v>West</v>
      </c>
      <c r="C807" s="3" t="s">
        <v>89</v>
      </c>
      <c r="D807" s="3" t="str">
        <f>INDEX(Port_Type!$B$2:$B$227,MATCH(TRIM(C807),Port_Type!$A$2:$A$227,0))</f>
        <v>Inland ICD / CFS</v>
      </c>
      <c r="E807" s="3" t="s">
        <v>27</v>
      </c>
      <c r="F807" s="3" t="str">
        <f>INDEX(Product_Category!$B$2:$B$45,MATCH(TRIM(E807),Product_Category!$A$2:$A$45,0))</f>
        <v>Cereals &amp; Grains</v>
      </c>
      <c r="G807" s="4">
        <v>0.24</v>
      </c>
      <c r="H807" s="4">
        <v>0.08</v>
      </c>
      <c r="I807" s="4">
        <v>0.26</v>
      </c>
      <c r="J807" s="4">
        <v>367.46</v>
      </c>
      <c r="K807" s="4">
        <v>79.45</v>
      </c>
      <c r="L807" s="4">
        <v>582.66999999999996</v>
      </c>
      <c r="M807" s="4">
        <f t="shared" si="36"/>
        <v>-0.15999999999999998</v>
      </c>
      <c r="N807" s="4">
        <f t="shared" si="37"/>
        <v>-288.01</v>
      </c>
      <c r="O807" s="4">
        <f t="shared" si="38"/>
        <v>0.18</v>
      </c>
      <c r="P807" s="3" t="s">
        <v>19</v>
      </c>
    </row>
    <row r="808" spans="1:16" x14ac:dyDescent="0.35">
      <c r="A808" s="3" t="s">
        <v>40</v>
      </c>
      <c r="B808" s="3" t="str">
        <f>INDEX(State_Region!$B$2:$B$26,MATCH(TRIM(A808),State_Region!$A$2:$A$26,0))</f>
        <v>South</v>
      </c>
      <c r="C808" s="3" t="s">
        <v>194</v>
      </c>
      <c r="D808" s="3" t="str">
        <f>INDEX(Port_Type!$B$2:$B$227,MATCH(TRIM(C808),Port_Type!$A$2:$A$227,0))</f>
        <v>Air Cargo</v>
      </c>
      <c r="E808" s="3" t="s">
        <v>45</v>
      </c>
      <c r="F808" s="3" t="str">
        <f>INDEX(Product_Category!$B$2:$B$45,MATCH(TRIM(E808),Product_Category!$A$2:$A$45,0))</f>
        <v>Fresh Fruits &amp; Vegetables</v>
      </c>
      <c r="G808" s="4">
        <v>0.19</v>
      </c>
      <c r="H808" s="4">
        <v>0.47</v>
      </c>
      <c r="I808" s="4">
        <v>0.26</v>
      </c>
      <c r="J808" s="4">
        <v>121.72</v>
      </c>
      <c r="K808" s="4">
        <v>481.75</v>
      </c>
      <c r="L808" s="4">
        <v>234.83</v>
      </c>
      <c r="M808" s="4">
        <f t="shared" si="36"/>
        <v>0.27999999999999997</v>
      </c>
      <c r="N808" s="4">
        <f t="shared" si="37"/>
        <v>360.03</v>
      </c>
      <c r="O808" s="4">
        <f t="shared" si="38"/>
        <v>-0.20999999999999996</v>
      </c>
      <c r="P808" s="3" t="s">
        <v>19</v>
      </c>
    </row>
    <row r="809" spans="1:16" x14ac:dyDescent="0.35">
      <c r="A809" s="3" t="s">
        <v>16</v>
      </c>
      <c r="B809" s="3" t="str">
        <f>INDEX(State_Region!$B$2:$B$26,MATCH(TRIM(A809),State_Region!$A$2:$A$26,0))</f>
        <v>West</v>
      </c>
      <c r="C809" s="3" t="s">
        <v>17</v>
      </c>
      <c r="D809" s="3" t="str">
        <f>INDEX(Port_Type!$B$2:$B$227,MATCH(TRIM(C809),Port_Type!$A$2:$A$227,0))</f>
        <v>Sea Port</v>
      </c>
      <c r="E809" s="3" t="s">
        <v>84</v>
      </c>
      <c r="F809" s="3" t="str">
        <f>INDEX(Product_Category!$B$2:$B$45,MATCH(TRIM(E809),Product_Category!$A$2:$A$45,0))</f>
        <v>Nuts &amp; Oilseeds</v>
      </c>
      <c r="G809" s="4">
        <v>0.35</v>
      </c>
      <c r="H809" s="4">
        <v>0.45</v>
      </c>
      <c r="I809" s="4">
        <v>0.26</v>
      </c>
      <c r="J809" s="4">
        <v>35.99</v>
      </c>
      <c r="K809" s="4">
        <v>47.68</v>
      </c>
      <c r="L809" s="4">
        <v>31.04</v>
      </c>
      <c r="M809" s="4">
        <f t="shared" si="36"/>
        <v>0.10000000000000003</v>
      </c>
      <c r="N809" s="4">
        <f t="shared" si="37"/>
        <v>11.689999999999998</v>
      </c>
      <c r="O809" s="4">
        <f t="shared" si="38"/>
        <v>-0.19</v>
      </c>
      <c r="P809" s="3" t="s">
        <v>19</v>
      </c>
    </row>
    <row r="810" spans="1:16" x14ac:dyDescent="0.35">
      <c r="A810" s="3" t="s">
        <v>20</v>
      </c>
      <c r="B810" s="3" t="str">
        <f>INDEX(State_Region!$B$2:$B$26,MATCH(TRIM(A810),State_Region!$A$2:$A$26,0))</f>
        <v>West</v>
      </c>
      <c r="C810" s="3" t="s">
        <v>156</v>
      </c>
      <c r="D810" s="3" t="str">
        <f>INDEX(Port_Type!$B$2:$B$227,MATCH(TRIM(C810),Port_Type!$A$2:$A$227,0))</f>
        <v>Sea Port</v>
      </c>
      <c r="E810" s="3" t="s">
        <v>144</v>
      </c>
      <c r="F810" s="3" t="str">
        <f>INDEX(Product_Category!$B$2:$B$45,MATCH(TRIM(E810),Product_Category!$A$2:$A$45,0))</f>
        <v>Cereals &amp; Grains</v>
      </c>
      <c r="G810" s="4">
        <v>0</v>
      </c>
      <c r="H810" s="4">
        <v>1.1200000000000001</v>
      </c>
      <c r="I810" s="4">
        <v>0.26</v>
      </c>
      <c r="J810" s="4">
        <v>0</v>
      </c>
      <c r="K810" s="4">
        <v>2874.32</v>
      </c>
      <c r="L810" s="4">
        <v>692</v>
      </c>
      <c r="M810" s="4">
        <f t="shared" si="36"/>
        <v>1.1200000000000001</v>
      </c>
      <c r="N810" s="4">
        <f t="shared" si="37"/>
        <v>2874.32</v>
      </c>
      <c r="O810" s="4">
        <f t="shared" si="38"/>
        <v>-0.8600000000000001</v>
      </c>
      <c r="P810" s="3" t="s">
        <v>19</v>
      </c>
    </row>
    <row r="811" spans="1:16" x14ac:dyDescent="0.35">
      <c r="A811" s="3" t="s">
        <v>23</v>
      </c>
      <c r="B811" s="3" t="str">
        <f>INDEX(State_Region!$B$2:$B$26,MATCH(TRIM(A811),State_Region!$A$2:$A$26,0))</f>
        <v>North</v>
      </c>
      <c r="C811" s="3" t="s">
        <v>30</v>
      </c>
      <c r="D811" s="3" t="str">
        <f>INDEX(Port_Type!$B$2:$B$227,MATCH(TRIM(C811),Port_Type!$A$2:$A$227,0))</f>
        <v>Inland ICD / CFS</v>
      </c>
      <c r="E811" s="3" t="s">
        <v>114</v>
      </c>
      <c r="F811" s="3" t="str">
        <f>INDEX(Product_Category!$B$2:$B$45,MATCH(TRIM(E811),Product_Category!$A$2:$A$45,0))</f>
        <v>Dairy, Poultry &amp; Honey</v>
      </c>
      <c r="G811" s="4">
        <v>0</v>
      </c>
      <c r="H811" s="4">
        <v>0</v>
      </c>
      <c r="I811" s="4">
        <v>0.26</v>
      </c>
      <c r="J811" s="4">
        <v>0</v>
      </c>
      <c r="K811" s="4">
        <v>0</v>
      </c>
      <c r="L811" s="4">
        <v>33</v>
      </c>
      <c r="M811" s="4">
        <f t="shared" si="36"/>
        <v>0</v>
      </c>
      <c r="N811" s="4">
        <f t="shared" si="37"/>
        <v>0</v>
      </c>
      <c r="O811" s="4">
        <f t="shared" si="38"/>
        <v>0.26</v>
      </c>
      <c r="P811" s="3" t="s">
        <v>19</v>
      </c>
    </row>
    <row r="812" spans="1:16" x14ac:dyDescent="0.35">
      <c r="A812" s="3" t="s">
        <v>57</v>
      </c>
      <c r="B812" s="3" t="str">
        <f>INDEX(State_Region!$B$2:$B$26,MATCH(TRIM(A812),State_Region!$A$2:$A$26,0))</f>
        <v>Central</v>
      </c>
      <c r="C812" s="3" t="s">
        <v>161</v>
      </c>
      <c r="D812" s="3" t="str">
        <f>INDEX(Port_Type!$B$2:$B$227,MATCH(TRIM(C812),Port_Type!$A$2:$A$227,0))</f>
        <v>Inland ICD / CFS</v>
      </c>
      <c r="E812" s="3" t="s">
        <v>42</v>
      </c>
      <c r="F812" s="3" t="str">
        <f>INDEX(Product_Category!$B$2:$B$45,MATCH(TRIM(E812),Product_Category!$A$2:$A$45,0))</f>
        <v>Processed Foods</v>
      </c>
      <c r="G812" s="4">
        <v>0.74</v>
      </c>
      <c r="H812" s="4">
        <v>0.65</v>
      </c>
      <c r="I812" s="4">
        <v>0.26</v>
      </c>
      <c r="J812" s="4">
        <v>343.06</v>
      </c>
      <c r="K812" s="4">
        <v>811.89</v>
      </c>
      <c r="L812" s="4">
        <v>280.69</v>
      </c>
      <c r="M812" s="4">
        <f t="shared" si="36"/>
        <v>-8.9999999999999969E-2</v>
      </c>
      <c r="N812" s="4">
        <f t="shared" si="37"/>
        <v>468.83</v>
      </c>
      <c r="O812" s="4">
        <f t="shared" si="38"/>
        <v>-0.39</v>
      </c>
      <c r="P812" s="3" t="s">
        <v>19</v>
      </c>
    </row>
    <row r="813" spans="1:16" x14ac:dyDescent="0.35">
      <c r="A813" s="3" t="s">
        <v>40</v>
      </c>
      <c r="B813" s="3" t="str">
        <f>INDEX(State_Region!$B$2:$B$26,MATCH(TRIM(A813),State_Region!$A$2:$A$26,0))</f>
        <v>South</v>
      </c>
      <c r="C813" s="3" t="s">
        <v>194</v>
      </c>
      <c r="D813" s="3" t="str">
        <f>INDEX(Port_Type!$B$2:$B$227,MATCH(TRIM(C813),Port_Type!$A$2:$A$227,0))</f>
        <v>Air Cargo</v>
      </c>
      <c r="E813" s="3" t="s">
        <v>39</v>
      </c>
      <c r="F813" s="3" t="str">
        <f>INDEX(Product_Category!$B$2:$B$45,MATCH(TRIM(E813),Product_Category!$A$2:$A$45,0))</f>
        <v>Processed Foods</v>
      </c>
      <c r="G813" s="4">
        <v>0.48</v>
      </c>
      <c r="H813" s="4">
        <v>0.99</v>
      </c>
      <c r="I813" s="4">
        <v>0.25</v>
      </c>
      <c r="J813" s="4">
        <v>133.22999999999999</v>
      </c>
      <c r="K813" s="4">
        <v>265.92</v>
      </c>
      <c r="L813" s="4">
        <v>71.12</v>
      </c>
      <c r="M813" s="4">
        <f t="shared" si="36"/>
        <v>0.51</v>
      </c>
      <c r="N813" s="4">
        <f t="shared" si="37"/>
        <v>132.69000000000003</v>
      </c>
      <c r="O813" s="4">
        <f t="shared" si="38"/>
        <v>-0.74</v>
      </c>
      <c r="P813" s="3" t="s">
        <v>19</v>
      </c>
    </row>
    <row r="814" spans="1:16" x14ac:dyDescent="0.35">
      <c r="A814" s="3" t="s">
        <v>31</v>
      </c>
      <c r="B814" s="3" t="str">
        <f>INDEX(State_Region!$B$2:$B$26,MATCH(TRIM(A814),State_Region!$A$2:$A$26,0))</f>
        <v>East</v>
      </c>
      <c r="C814" s="3" t="s">
        <v>192</v>
      </c>
      <c r="D814" s="3" t="str">
        <f>INDEX(Port_Type!$B$2:$B$227,MATCH(TRIM(C814),Port_Type!$A$2:$A$227,0))</f>
        <v>Air Cargo</v>
      </c>
      <c r="E814" s="3" t="s">
        <v>76</v>
      </c>
      <c r="F814" s="3" t="str">
        <f>INDEX(Product_Category!$B$2:$B$45,MATCH(TRIM(E814),Product_Category!$A$2:$A$45,0))</f>
        <v>Fresh Fruits &amp; Vegetables</v>
      </c>
      <c r="G814" s="4">
        <v>0.01</v>
      </c>
      <c r="H814" s="4">
        <v>0.34</v>
      </c>
      <c r="I814" s="4">
        <v>0.25</v>
      </c>
      <c r="J814" s="4">
        <v>12.27</v>
      </c>
      <c r="K814" s="4">
        <v>239.53</v>
      </c>
      <c r="L814" s="4">
        <v>155.63</v>
      </c>
      <c r="M814" s="4">
        <f t="shared" si="36"/>
        <v>0.33</v>
      </c>
      <c r="N814" s="4">
        <f t="shared" si="37"/>
        <v>227.26</v>
      </c>
      <c r="O814" s="4">
        <f t="shared" si="38"/>
        <v>-9.0000000000000024E-2</v>
      </c>
      <c r="P814" s="3" t="s">
        <v>19</v>
      </c>
    </row>
    <row r="815" spans="1:16" x14ac:dyDescent="0.35">
      <c r="A815" s="3" t="s">
        <v>35</v>
      </c>
      <c r="B815" s="3" t="str">
        <f>INDEX(State_Region!$B$2:$B$26,MATCH(TRIM(A815),State_Region!$A$2:$A$26,0))</f>
        <v>North</v>
      </c>
      <c r="C815" s="3" t="s">
        <v>36</v>
      </c>
      <c r="D815" s="3" t="str">
        <f>INDEX(Port_Type!$B$2:$B$227,MATCH(TRIM(C815),Port_Type!$A$2:$A$227,0))</f>
        <v>Inland ICD / CFS</v>
      </c>
      <c r="E815" s="3" t="s">
        <v>60</v>
      </c>
      <c r="F815" s="3" t="str">
        <f>INDEX(Product_Category!$B$2:$B$45,MATCH(TRIM(E815),Product_Category!$A$2:$A$45,0))</f>
        <v>Processed Foods</v>
      </c>
      <c r="G815" s="4">
        <v>0.04</v>
      </c>
      <c r="H815" s="4">
        <v>0.28000000000000003</v>
      </c>
      <c r="I815" s="4">
        <v>0.25</v>
      </c>
      <c r="J815" s="4">
        <v>28.81</v>
      </c>
      <c r="K815" s="4">
        <v>155.58000000000001</v>
      </c>
      <c r="L815" s="4">
        <v>168.22</v>
      </c>
      <c r="M815" s="4">
        <f t="shared" si="36"/>
        <v>0.24000000000000002</v>
      </c>
      <c r="N815" s="4">
        <f t="shared" si="37"/>
        <v>126.77000000000001</v>
      </c>
      <c r="O815" s="4">
        <f t="shared" si="38"/>
        <v>-3.0000000000000027E-2</v>
      </c>
      <c r="P815" s="3" t="s">
        <v>19</v>
      </c>
    </row>
    <row r="816" spans="1:16" x14ac:dyDescent="0.35">
      <c r="A816" s="3" t="s">
        <v>94</v>
      </c>
      <c r="B816" s="3" t="str">
        <f>INDEX(State_Region!$B$2:$B$26,MATCH(TRIM(A816),State_Region!$A$2:$A$26,0))</f>
        <v>East</v>
      </c>
      <c r="C816" s="3" t="s">
        <v>188</v>
      </c>
      <c r="D816" s="3" t="str">
        <f>INDEX(Port_Type!$B$2:$B$227,MATCH(TRIM(C816),Port_Type!$A$2:$A$227,0))</f>
        <v>Land Border / Rail</v>
      </c>
      <c r="E816" s="3" t="s">
        <v>55</v>
      </c>
      <c r="F816" s="3" t="str">
        <f>INDEX(Product_Category!$B$2:$B$45,MATCH(TRIM(E816),Product_Category!$A$2:$A$45,0))</f>
        <v>Fresh Fruits &amp; Vegetables</v>
      </c>
      <c r="G816" s="4">
        <v>0.34</v>
      </c>
      <c r="H816" s="4">
        <v>0.61</v>
      </c>
      <c r="I816" s="4">
        <v>0.25</v>
      </c>
      <c r="J816" s="4">
        <v>1778.42</v>
      </c>
      <c r="K816" s="4">
        <v>3263.67</v>
      </c>
      <c r="L816" s="4">
        <v>1474.66</v>
      </c>
      <c r="M816" s="4">
        <f t="shared" si="36"/>
        <v>0.26999999999999996</v>
      </c>
      <c r="N816" s="4">
        <f t="shared" si="37"/>
        <v>1485.25</v>
      </c>
      <c r="O816" s="4">
        <f t="shared" si="38"/>
        <v>-0.36</v>
      </c>
      <c r="P816" s="3" t="s">
        <v>19</v>
      </c>
    </row>
    <row r="817" spans="1:16" x14ac:dyDescent="0.35">
      <c r="A817" s="3" t="s">
        <v>31</v>
      </c>
      <c r="B817" s="3" t="str">
        <f>INDEX(State_Region!$B$2:$B$26,MATCH(TRIM(A817),State_Region!$A$2:$A$26,0))</f>
        <v>East</v>
      </c>
      <c r="C817" s="3" t="s">
        <v>217</v>
      </c>
      <c r="D817" s="3" t="str">
        <f>INDEX(Port_Type!$B$2:$B$227,MATCH(TRIM(C817),Port_Type!$A$2:$A$227,0))</f>
        <v>SEZ / EPZ</v>
      </c>
      <c r="E817" s="3" t="s">
        <v>39</v>
      </c>
      <c r="F817" s="3" t="str">
        <f>INDEX(Product_Category!$B$2:$B$45,MATCH(TRIM(E817),Product_Category!$A$2:$A$45,0))</f>
        <v>Processed Foods</v>
      </c>
      <c r="G817" s="4">
        <v>0</v>
      </c>
      <c r="H817" s="4">
        <v>0.33</v>
      </c>
      <c r="I817" s="4">
        <v>0.25</v>
      </c>
      <c r="J817" s="4">
        <v>0</v>
      </c>
      <c r="K817" s="4">
        <v>14.63</v>
      </c>
      <c r="L817" s="4">
        <v>12.03</v>
      </c>
      <c r="M817" s="4">
        <f t="shared" si="36"/>
        <v>0.33</v>
      </c>
      <c r="N817" s="4">
        <f t="shared" si="37"/>
        <v>14.63</v>
      </c>
      <c r="O817" s="4">
        <f t="shared" si="38"/>
        <v>-8.0000000000000016E-2</v>
      </c>
      <c r="P817" s="3" t="s">
        <v>19</v>
      </c>
    </row>
    <row r="818" spans="1:16" x14ac:dyDescent="0.35">
      <c r="A818" s="3" t="s">
        <v>35</v>
      </c>
      <c r="B818" s="3" t="str">
        <f>INDEX(State_Region!$B$2:$B$26,MATCH(TRIM(A818),State_Region!$A$2:$A$26,0))</f>
        <v>North</v>
      </c>
      <c r="C818" s="3" t="s">
        <v>165</v>
      </c>
      <c r="D818" s="3" t="str">
        <f>INDEX(Port_Type!$B$2:$B$227,MATCH(TRIM(C818),Port_Type!$A$2:$A$227,0))</f>
        <v>Inland ICD / CFS</v>
      </c>
      <c r="E818" s="3" t="s">
        <v>18</v>
      </c>
      <c r="F818" s="3" t="str">
        <f>INDEX(Product_Category!$B$2:$B$45,MATCH(TRIM(E818),Product_Category!$A$2:$A$45,0))</f>
        <v>Cereals &amp; Grains</v>
      </c>
      <c r="G818" s="4">
        <v>0.08</v>
      </c>
      <c r="H818" s="4">
        <v>1.02</v>
      </c>
      <c r="I818" s="4">
        <v>0.25</v>
      </c>
      <c r="J818" s="4">
        <v>65.94</v>
      </c>
      <c r="K818" s="4">
        <v>963.74</v>
      </c>
      <c r="L818" s="4">
        <v>208.96</v>
      </c>
      <c r="M818" s="4">
        <f t="shared" si="36"/>
        <v>0.94000000000000006</v>
      </c>
      <c r="N818" s="4">
        <f t="shared" si="37"/>
        <v>897.8</v>
      </c>
      <c r="O818" s="4">
        <f t="shared" si="38"/>
        <v>-0.77</v>
      </c>
      <c r="P818" s="3" t="s">
        <v>19</v>
      </c>
    </row>
    <row r="819" spans="1:16" x14ac:dyDescent="0.35">
      <c r="A819" s="3" t="s">
        <v>159</v>
      </c>
      <c r="B819" s="3" t="str">
        <f>INDEX(State_Region!$B$2:$B$26,MATCH(TRIM(A819),State_Region!$A$2:$A$26,0))</f>
        <v>North-East</v>
      </c>
      <c r="C819" s="3" t="s">
        <v>218</v>
      </c>
      <c r="D819" s="3" t="str">
        <f>INDEX(Port_Type!$B$2:$B$227,MATCH(TRIM(C819),Port_Type!$A$2:$A$227,0))</f>
        <v>Land Border / Rail</v>
      </c>
      <c r="E819" s="3" t="s">
        <v>72</v>
      </c>
      <c r="F819" s="3" t="str">
        <f>INDEX(Product_Category!$B$2:$B$45,MATCH(TRIM(E819),Product_Category!$A$2:$A$45,0))</f>
        <v>Dairy, Poultry &amp; Honey</v>
      </c>
      <c r="G819" s="4">
        <v>0.01</v>
      </c>
      <c r="H819" s="4">
        <v>0.17</v>
      </c>
      <c r="I819" s="4">
        <v>0.25</v>
      </c>
      <c r="J819" s="4">
        <v>7.67</v>
      </c>
      <c r="K819" s="4">
        <v>133.47999999999999</v>
      </c>
      <c r="L819" s="4">
        <v>216.8</v>
      </c>
      <c r="M819" s="4">
        <f t="shared" si="36"/>
        <v>0.16</v>
      </c>
      <c r="N819" s="4">
        <f t="shared" si="37"/>
        <v>125.80999999999999</v>
      </c>
      <c r="O819" s="4">
        <f t="shared" si="38"/>
        <v>7.9999999999999988E-2</v>
      </c>
      <c r="P819" s="3" t="s">
        <v>19</v>
      </c>
    </row>
    <row r="820" spans="1:16" x14ac:dyDescent="0.35">
      <c r="A820" s="3" t="s">
        <v>40</v>
      </c>
      <c r="B820" s="3" t="str">
        <f>INDEX(State_Region!$B$2:$B$26,MATCH(TRIM(A820),State_Region!$A$2:$A$26,0))</f>
        <v>South</v>
      </c>
      <c r="C820" s="3" t="s">
        <v>41</v>
      </c>
      <c r="D820" s="3" t="str">
        <f>INDEX(Port_Type!$B$2:$B$227,MATCH(TRIM(C820),Port_Type!$A$2:$A$227,0))</f>
        <v>Sea Port</v>
      </c>
      <c r="E820" s="3" t="s">
        <v>126</v>
      </c>
      <c r="F820" s="3" t="str">
        <f>INDEX(Product_Category!$B$2:$B$45,MATCH(TRIM(E820),Product_Category!$A$2:$A$45,0))</f>
        <v>Cereals &amp; Grains</v>
      </c>
      <c r="G820" s="4">
        <v>0.67</v>
      </c>
      <c r="H820" s="4">
        <v>0.62</v>
      </c>
      <c r="I820" s="4">
        <v>0.25</v>
      </c>
      <c r="J820" s="4">
        <v>415.83</v>
      </c>
      <c r="K820" s="4">
        <v>727.52</v>
      </c>
      <c r="L820" s="4">
        <v>273.39</v>
      </c>
      <c r="M820" s="4">
        <f t="shared" si="36"/>
        <v>-5.0000000000000044E-2</v>
      </c>
      <c r="N820" s="4">
        <f t="shared" si="37"/>
        <v>311.69</v>
      </c>
      <c r="O820" s="4">
        <f t="shared" si="38"/>
        <v>-0.37</v>
      </c>
      <c r="P820" s="3" t="s">
        <v>19</v>
      </c>
    </row>
    <row r="821" spans="1:16" x14ac:dyDescent="0.35">
      <c r="A821" s="3" t="s">
        <v>23</v>
      </c>
      <c r="B821" s="3" t="str">
        <f>INDEX(State_Region!$B$2:$B$26,MATCH(TRIM(A821),State_Region!$A$2:$A$26,0))</f>
        <v>North</v>
      </c>
      <c r="C821" s="3" t="s">
        <v>124</v>
      </c>
      <c r="D821" s="3" t="str">
        <f>INDEX(Port_Type!$B$2:$B$227,MATCH(TRIM(C821),Port_Type!$A$2:$A$227,0))</f>
        <v>Inland ICD / CFS</v>
      </c>
      <c r="E821" s="3" t="s">
        <v>76</v>
      </c>
      <c r="F821" s="3" t="str">
        <f>INDEX(Product_Category!$B$2:$B$45,MATCH(TRIM(E821),Product_Category!$A$2:$A$45,0))</f>
        <v>Fresh Fruits &amp; Vegetables</v>
      </c>
      <c r="G821" s="4">
        <v>0</v>
      </c>
      <c r="H821" s="4">
        <v>0.55000000000000004</v>
      </c>
      <c r="I821" s="4">
        <v>0.25</v>
      </c>
      <c r="J821" s="4">
        <v>0</v>
      </c>
      <c r="K821" s="4">
        <v>1384.73</v>
      </c>
      <c r="L821" s="4">
        <v>845.55</v>
      </c>
      <c r="M821" s="4">
        <f t="shared" si="36"/>
        <v>0.55000000000000004</v>
      </c>
      <c r="N821" s="4">
        <f t="shared" si="37"/>
        <v>1384.73</v>
      </c>
      <c r="O821" s="4">
        <f t="shared" si="38"/>
        <v>-0.30000000000000004</v>
      </c>
      <c r="P821" s="3" t="s">
        <v>19</v>
      </c>
    </row>
    <row r="822" spans="1:16" x14ac:dyDescent="0.35">
      <c r="A822" s="3" t="s">
        <v>40</v>
      </c>
      <c r="B822" s="3" t="str">
        <f>INDEX(State_Region!$B$2:$B$26,MATCH(TRIM(A822),State_Region!$A$2:$A$26,0))</f>
        <v>South</v>
      </c>
      <c r="C822" s="3" t="s">
        <v>117</v>
      </c>
      <c r="D822" s="3" t="str">
        <f>INDEX(Port_Type!$B$2:$B$227,MATCH(TRIM(C822),Port_Type!$A$2:$A$227,0))</f>
        <v>Sea Port</v>
      </c>
      <c r="E822" s="3" t="s">
        <v>45</v>
      </c>
      <c r="F822" s="3" t="str">
        <f>INDEX(Product_Category!$B$2:$B$45,MATCH(TRIM(E822),Product_Category!$A$2:$A$45,0))</f>
        <v>Fresh Fruits &amp; Vegetables</v>
      </c>
      <c r="G822" s="4">
        <v>0.68</v>
      </c>
      <c r="H822" s="4">
        <v>1.91</v>
      </c>
      <c r="I822" s="4">
        <v>0.25</v>
      </c>
      <c r="J822" s="4">
        <v>505.16</v>
      </c>
      <c r="K822" s="4">
        <v>1798.97</v>
      </c>
      <c r="L822" s="4">
        <v>229.72</v>
      </c>
      <c r="M822" s="4">
        <f t="shared" si="36"/>
        <v>1.23</v>
      </c>
      <c r="N822" s="4">
        <f t="shared" si="37"/>
        <v>1293.81</v>
      </c>
      <c r="O822" s="4">
        <f t="shared" si="38"/>
        <v>-1.66</v>
      </c>
      <c r="P822" s="3" t="s">
        <v>19</v>
      </c>
    </row>
    <row r="823" spans="1:16" x14ac:dyDescent="0.35">
      <c r="A823" s="3" t="s">
        <v>74</v>
      </c>
      <c r="B823" s="3" t="str">
        <f>INDEX(State_Region!$B$2:$B$26,MATCH(TRIM(A823),State_Region!$A$2:$A$26,0))</f>
        <v>South</v>
      </c>
      <c r="C823" s="3" t="s">
        <v>75</v>
      </c>
      <c r="D823" s="3" t="str">
        <f>INDEX(Port_Type!$B$2:$B$227,MATCH(TRIM(C823),Port_Type!$A$2:$A$227,0))</f>
        <v>Inland ICD / CFS</v>
      </c>
      <c r="E823" s="3" t="s">
        <v>54</v>
      </c>
      <c r="F823" s="3" t="str">
        <f>INDEX(Product_Category!$B$2:$B$45,MATCH(TRIM(E823),Product_Category!$A$2:$A$45,0))</f>
        <v>Processed Foods</v>
      </c>
      <c r="G823" s="4">
        <v>0.17</v>
      </c>
      <c r="H823" s="4">
        <v>0.53</v>
      </c>
      <c r="I823" s="4">
        <v>0.24</v>
      </c>
      <c r="J823" s="4">
        <v>46.69</v>
      </c>
      <c r="K823" s="4">
        <v>143.30000000000001</v>
      </c>
      <c r="L823" s="4">
        <v>48.38</v>
      </c>
      <c r="M823" s="4">
        <f t="shared" si="36"/>
        <v>0.36</v>
      </c>
      <c r="N823" s="4">
        <f t="shared" si="37"/>
        <v>96.610000000000014</v>
      </c>
      <c r="O823" s="4">
        <f t="shared" si="38"/>
        <v>-0.29000000000000004</v>
      </c>
      <c r="P823" s="3" t="s">
        <v>19</v>
      </c>
    </row>
    <row r="824" spans="1:16" x14ac:dyDescent="0.35">
      <c r="A824" s="3" t="s">
        <v>16</v>
      </c>
      <c r="B824" s="3" t="str">
        <f>INDEX(State_Region!$B$2:$B$26,MATCH(TRIM(A824),State_Region!$A$2:$A$26,0))</f>
        <v>West</v>
      </c>
      <c r="C824" s="3" t="s">
        <v>17</v>
      </c>
      <c r="D824" s="3" t="str">
        <f>INDEX(Port_Type!$B$2:$B$227,MATCH(TRIM(C824),Port_Type!$A$2:$A$227,0))</f>
        <v>Sea Port</v>
      </c>
      <c r="E824" s="3" t="s">
        <v>170</v>
      </c>
      <c r="F824" s="3" t="str">
        <f>INDEX(Product_Category!$B$2:$B$45,MATCH(TRIM(E824),Product_Category!$A$2:$A$45,0))</f>
        <v>Others</v>
      </c>
      <c r="G824" s="4">
        <v>0.66</v>
      </c>
      <c r="H824" s="4">
        <v>0.97</v>
      </c>
      <c r="I824" s="4">
        <v>0.24</v>
      </c>
      <c r="J824" s="4">
        <v>91.45</v>
      </c>
      <c r="K824" s="4">
        <v>113.62</v>
      </c>
      <c r="L824" s="4">
        <v>34.630000000000003</v>
      </c>
      <c r="M824" s="4">
        <f t="shared" si="36"/>
        <v>0.30999999999999994</v>
      </c>
      <c r="N824" s="4">
        <f t="shared" si="37"/>
        <v>22.17</v>
      </c>
      <c r="O824" s="4">
        <f t="shared" si="38"/>
        <v>-0.73</v>
      </c>
      <c r="P824" s="3" t="s">
        <v>19</v>
      </c>
    </row>
    <row r="825" spans="1:16" x14ac:dyDescent="0.35">
      <c r="A825" s="3" t="s">
        <v>129</v>
      </c>
      <c r="B825" s="3" t="str">
        <f>INDEX(State_Region!$B$2:$B$26,MATCH(TRIM(A825),State_Region!$A$2:$A$26,0))</f>
        <v>East</v>
      </c>
      <c r="C825" s="3" t="s">
        <v>147</v>
      </c>
      <c r="D825" s="3" t="str">
        <f>INDEX(Port_Type!$B$2:$B$227,MATCH(TRIM(C825),Port_Type!$A$2:$A$227,0))</f>
        <v>Land Border / Rail</v>
      </c>
      <c r="E825" s="3" t="s">
        <v>53</v>
      </c>
      <c r="F825" s="3" t="str">
        <f>INDEX(Product_Category!$B$2:$B$45,MATCH(TRIM(E825),Product_Category!$A$2:$A$45,0))</f>
        <v>Processed Foods</v>
      </c>
      <c r="G825" s="4">
        <v>0.89</v>
      </c>
      <c r="H825" s="4">
        <v>0.96</v>
      </c>
      <c r="I825" s="4">
        <v>0.24</v>
      </c>
      <c r="J825" s="4">
        <v>1792.87</v>
      </c>
      <c r="K825" s="4">
        <v>2180.8000000000002</v>
      </c>
      <c r="L825" s="4">
        <v>556.62</v>
      </c>
      <c r="M825" s="4">
        <f t="shared" si="36"/>
        <v>6.9999999999999951E-2</v>
      </c>
      <c r="N825" s="4">
        <f t="shared" si="37"/>
        <v>387.93000000000029</v>
      </c>
      <c r="O825" s="4">
        <f t="shared" si="38"/>
        <v>-0.72</v>
      </c>
      <c r="P825" s="3" t="s">
        <v>19</v>
      </c>
    </row>
    <row r="826" spans="1:16" x14ac:dyDescent="0.35">
      <c r="A826" s="3" t="s">
        <v>20</v>
      </c>
      <c r="B826" s="3" t="str">
        <f>INDEX(State_Region!$B$2:$B$26,MATCH(TRIM(A826),State_Region!$A$2:$A$26,0))</f>
        <v>West</v>
      </c>
      <c r="C826" s="3" t="s">
        <v>56</v>
      </c>
      <c r="D826" s="3" t="str">
        <f>INDEX(Port_Type!$B$2:$B$227,MATCH(TRIM(C826),Port_Type!$A$2:$A$227,0))</f>
        <v>Inland ICD / CFS</v>
      </c>
      <c r="E826" s="3" t="s">
        <v>42</v>
      </c>
      <c r="F826" s="3" t="str">
        <f>INDEX(Product_Category!$B$2:$B$45,MATCH(TRIM(E826),Product_Category!$A$2:$A$45,0))</f>
        <v>Processed Foods</v>
      </c>
      <c r="G826" s="4">
        <v>1.49</v>
      </c>
      <c r="H826" s="4">
        <v>1.17</v>
      </c>
      <c r="I826" s="4">
        <v>0.24</v>
      </c>
      <c r="J826" s="4">
        <v>637.45000000000005</v>
      </c>
      <c r="K826" s="4">
        <v>609.61</v>
      </c>
      <c r="L826" s="4">
        <v>52.32</v>
      </c>
      <c r="M826" s="4">
        <f t="shared" si="36"/>
        <v>-0.32000000000000006</v>
      </c>
      <c r="N826" s="4">
        <f t="shared" si="37"/>
        <v>-27.840000000000032</v>
      </c>
      <c r="O826" s="4">
        <f t="shared" si="38"/>
        <v>-0.92999999999999994</v>
      </c>
      <c r="P826" s="3" t="s">
        <v>19</v>
      </c>
    </row>
    <row r="827" spans="1:16" x14ac:dyDescent="0.35">
      <c r="A827" s="3" t="s">
        <v>20</v>
      </c>
      <c r="B827" s="3" t="str">
        <f>INDEX(State_Region!$B$2:$B$26,MATCH(TRIM(A827),State_Region!$A$2:$A$26,0))</f>
        <v>West</v>
      </c>
      <c r="C827" s="3" t="s">
        <v>134</v>
      </c>
      <c r="D827" s="3" t="str">
        <f>INDEX(Port_Type!$B$2:$B$227,MATCH(TRIM(C827),Port_Type!$A$2:$A$227,0))</f>
        <v>Inland ICD / CFS</v>
      </c>
      <c r="E827" s="3" t="s">
        <v>62</v>
      </c>
      <c r="F827" s="3" t="str">
        <f>INDEX(Product_Category!$B$2:$B$45,MATCH(TRIM(E827),Product_Category!$A$2:$A$45,0))</f>
        <v>Cereals &amp; Grains</v>
      </c>
      <c r="G827" s="4">
        <v>0</v>
      </c>
      <c r="H827" s="4">
        <v>0.64</v>
      </c>
      <c r="I827" s="4">
        <v>0.24</v>
      </c>
      <c r="J827" s="4">
        <v>0</v>
      </c>
      <c r="K827" s="4">
        <v>2840.03</v>
      </c>
      <c r="L827" s="4">
        <v>1016.55</v>
      </c>
      <c r="M827" s="4">
        <f t="shared" si="36"/>
        <v>0.64</v>
      </c>
      <c r="N827" s="4">
        <f t="shared" si="37"/>
        <v>2840.03</v>
      </c>
      <c r="O827" s="4">
        <f t="shared" si="38"/>
        <v>-0.4</v>
      </c>
      <c r="P827" s="3" t="s">
        <v>19</v>
      </c>
    </row>
    <row r="828" spans="1:16" x14ac:dyDescent="0.35">
      <c r="A828" s="3" t="s">
        <v>31</v>
      </c>
      <c r="B828" s="3" t="str">
        <f>INDEX(State_Region!$B$2:$B$26,MATCH(TRIM(A828),State_Region!$A$2:$A$26,0))</f>
        <v>East</v>
      </c>
      <c r="C828" s="3" t="s">
        <v>139</v>
      </c>
      <c r="D828" s="3" t="str">
        <f>INDEX(Port_Type!$B$2:$B$227,MATCH(TRIM(C828),Port_Type!$A$2:$A$227,0))</f>
        <v>Land Border / Rail</v>
      </c>
      <c r="E828" s="3" t="s">
        <v>116</v>
      </c>
      <c r="F828" s="3" t="str">
        <f>INDEX(Product_Category!$B$2:$B$45,MATCH(TRIM(E828),Product_Category!$A$2:$A$45,0))</f>
        <v>Others</v>
      </c>
      <c r="G828" s="4">
        <v>0.65</v>
      </c>
      <c r="H828" s="4">
        <v>0.69</v>
      </c>
      <c r="I828" s="4">
        <v>0.24</v>
      </c>
      <c r="J828" s="4">
        <v>3292.07</v>
      </c>
      <c r="K828" s="4">
        <v>4696.34</v>
      </c>
      <c r="L828" s="4">
        <v>1185.03</v>
      </c>
      <c r="M828" s="4">
        <f t="shared" si="36"/>
        <v>3.9999999999999925E-2</v>
      </c>
      <c r="N828" s="4">
        <f t="shared" si="37"/>
        <v>1404.27</v>
      </c>
      <c r="O828" s="4">
        <f t="shared" si="38"/>
        <v>-0.44999999999999996</v>
      </c>
      <c r="P828" s="3" t="s">
        <v>19</v>
      </c>
    </row>
    <row r="829" spans="1:16" x14ac:dyDescent="0.35">
      <c r="A829" s="3" t="s">
        <v>66</v>
      </c>
      <c r="B829" s="3" t="str">
        <f>INDEX(State_Region!$B$2:$B$26,MATCH(TRIM(A829),State_Region!$A$2:$A$26,0))</f>
        <v>North</v>
      </c>
      <c r="C829" s="3" t="s">
        <v>73</v>
      </c>
      <c r="D829" s="3" t="str">
        <f>INDEX(Port_Type!$B$2:$B$227,MATCH(TRIM(C829),Port_Type!$A$2:$A$227,0))</f>
        <v>Inland ICD / CFS</v>
      </c>
      <c r="E829" s="3" t="s">
        <v>27</v>
      </c>
      <c r="F829" s="3" t="str">
        <f>INDEX(Product_Category!$B$2:$B$45,MATCH(TRIM(E829),Product_Category!$A$2:$A$45,0))</f>
        <v>Cereals &amp; Grains</v>
      </c>
      <c r="G829" s="4">
        <v>1.57</v>
      </c>
      <c r="H829" s="4">
        <v>0.96</v>
      </c>
      <c r="I829" s="4">
        <v>0.24</v>
      </c>
      <c r="J829" s="4">
        <v>2602.12</v>
      </c>
      <c r="K829" s="4">
        <v>1183.3599999999999</v>
      </c>
      <c r="L829" s="4">
        <v>255.12</v>
      </c>
      <c r="M829" s="4">
        <f t="shared" si="36"/>
        <v>-0.6100000000000001</v>
      </c>
      <c r="N829" s="4">
        <f t="shared" si="37"/>
        <v>-1418.76</v>
      </c>
      <c r="O829" s="4">
        <f t="shared" si="38"/>
        <v>-0.72</v>
      </c>
      <c r="P829" s="3" t="s">
        <v>19</v>
      </c>
    </row>
    <row r="830" spans="1:16" x14ac:dyDescent="0.35">
      <c r="A830" s="3" t="s">
        <v>31</v>
      </c>
      <c r="B830" s="3" t="str">
        <f>INDEX(State_Region!$B$2:$B$26,MATCH(TRIM(A830),State_Region!$A$2:$A$26,0))</f>
        <v>East</v>
      </c>
      <c r="C830" s="3" t="s">
        <v>171</v>
      </c>
      <c r="D830" s="3" t="str">
        <f>INDEX(Port_Type!$B$2:$B$227,MATCH(TRIM(C830),Port_Type!$A$2:$A$227,0))</f>
        <v>Land Border / Rail</v>
      </c>
      <c r="E830" s="3" t="s">
        <v>83</v>
      </c>
      <c r="F830" s="3" t="str">
        <f>INDEX(Product_Category!$B$2:$B$45,MATCH(TRIM(E830),Product_Category!$A$2:$A$45,0))</f>
        <v>Fresh Fruits &amp; Vegetables</v>
      </c>
      <c r="G830" s="4">
        <v>0.94</v>
      </c>
      <c r="H830" s="4">
        <v>0.77</v>
      </c>
      <c r="I830" s="4">
        <v>0.24</v>
      </c>
      <c r="J830" s="4">
        <v>1862.58</v>
      </c>
      <c r="K830" s="4">
        <v>1554.27</v>
      </c>
      <c r="L830" s="4">
        <v>443.35</v>
      </c>
      <c r="M830" s="4">
        <f t="shared" si="36"/>
        <v>-0.16999999999999993</v>
      </c>
      <c r="N830" s="4">
        <f t="shared" si="37"/>
        <v>-308.30999999999995</v>
      </c>
      <c r="O830" s="4">
        <f t="shared" si="38"/>
        <v>-0.53</v>
      </c>
      <c r="P830" s="3" t="s">
        <v>19</v>
      </c>
    </row>
    <row r="831" spans="1:16" x14ac:dyDescent="0.35">
      <c r="A831" s="3" t="s">
        <v>40</v>
      </c>
      <c r="B831" s="3" t="str">
        <f>INDEX(State_Region!$B$2:$B$26,MATCH(TRIM(A831),State_Region!$A$2:$A$26,0))</f>
        <v>South</v>
      </c>
      <c r="C831" s="3" t="s">
        <v>85</v>
      </c>
      <c r="D831" s="3" t="str">
        <f>INDEX(Port_Type!$B$2:$B$227,MATCH(TRIM(C831),Port_Type!$A$2:$A$227,0))</f>
        <v>Sea Port</v>
      </c>
      <c r="E831" s="3" t="s">
        <v>18</v>
      </c>
      <c r="F831" s="3" t="str">
        <f>INDEX(Product_Category!$B$2:$B$45,MATCH(TRIM(E831),Product_Category!$A$2:$A$45,0))</f>
        <v>Cereals &amp; Grains</v>
      </c>
      <c r="G831" s="4">
        <v>0.56000000000000005</v>
      </c>
      <c r="H831" s="4">
        <v>0.65</v>
      </c>
      <c r="I831" s="4">
        <v>0.23</v>
      </c>
      <c r="J831" s="4">
        <v>302.36</v>
      </c>
      <c r="K831" s="4">
        <v>563.27</v>
      </c>
      <c r="L831" s="4">
        <v>271.44</v>
      </c>
      <c r="M831" s="4">
        <f t="shared" si="36"/>
        <v>8.9999999999999969E-2</v>
      </c>
      <c r="N831" s="4">
        <f t="shared" si="37"/>
        <v>260.90999999999997</v>
      </c>
      <c r="O831" s="4">
        <f t="shared" si="38"/>
        <v>-0.42000000000000004</v>
      </c>
      <c r="P831" s="3" t="s">
        <v>19</v>
      </c>
    </row>
    <row r="832" spans="1:16" x14ac:dyDescent="0.35">
      <c r="A832" s="3" t="s">
        <v>31</v>
      </c>
      <c r="B832" s="3" t="str">
        <f>INDEX(State_Region!$B$2:$B$26,MATCH(TRIM(A832),State_Region!$A$2:$A$26,0))</f>
        <v>East</v>
      </c>
      <c r="C832" s="3" t="s">
        <v>171</v>
      </c>
      <c r="D832" s="3" t="str">
        <f>INDEX(Port_Type!$B$2:$B$227,MATCH(TRIM(C832),Port_Type!$A$2:$A$227,0))</f>
        <v>Land Border / Rail</v>
      </c>
      <c r="E832" s="3" t="s">
        <v>39</v>
      </c>
      <c r="F832" s="3" t="str">
        <f>INDEX(Product_Category!$B$2:$B$45,MATCH(TRIM(E832),Product_Category!$A$2:$A$45,0))</f>
        <v>Processed Foods</v>
      </c>
      <c r="G832" s="4">
        <v>0.34</v>
      </c>
      <c r="H832" s="4">
        <v>0.67</v>
      </c>
      <c r="I832" s="4">
        <v>0.23</v>
      </c>
      <c r="J832" s="4">
        <v>118.52</v>
      </c>
      <c r="K832" s="4">
        <v>320.51</v>
      </c>
      <c r="L832" s="4">
        <v>91.47</v>
      </c>
      <c r="M832" s="4">
        <f t="shared" si="36"/>
        <v>0.33</v>
      </c>
      <c r="N832" s="4">
        <f t="shared" si="37"/>
        <v>201.99</v>
      </c>
      <c r="O832" s="4">
        <f t="shared" si="38"/>
        <v>-0.44000000000000006</v>
      </c>
      <c r="P832" s="3" t="s">
        <v>19</v>
      </c>
    </row>
    <row r="833" spans="1:16" x14ac:dyDescent="0.35">
      <c r="A833" s="3" t="s">
        <v>40</v>
      </c>
      <c r="B833" s="3" t="str">
        <f>INDEX(State_Region!$B$2:$B$26,MATCH(TRIM(A833),State_Region!$A$2:$A$26,0))</f>
        <v>South</v>
      </c>
      <c r="C833" s="3" t="s">
        <v>107</v>
      </c>
      <c r="D833" s="3" t="str">
        <f>INDEX(Port_Type!$B$2:$B$227,MATCH(TRIM(C833),Port_Type!$A$2:$A$227,0))</f>
        <v>Sea Port</v>
      </c>
      <c r="E833" s="3" t="s">
        <v>33</v>
      </c>
      <c r="F833" s="3" t="str">
        <f>INDEX(Product_Category!$B$2:$B$45,MATCH(TRIM(E833),Product_Category!$A$2:$A$45,0))</f>
        <v>Pulses</v>
      </c>
      <c r="G833" s="4">
        <v>0.37</v>
      </c>
      <c r="H833" s="4">
        <v>0.59</v>
      </c>
      <c r="I833" s="4">
        <v>0.23</v>
      </c>
      <c r="J833" s="4">
        <v>200.5</v>
      </c>
      <c r="K833" s="4">
        <v>391.64</v>
      </c>
      <c r="L833" s="4">
        <v>169.16</v>
      </c>
      <c r="M833" s="4">
        <f t="shared" si="36"/>
        <v>0.21999999999999997</v>
      </c>
      <c r="N833" s="4">
        <f t="shared" si="37"/>
        <v>191.14</v>
      </c>
      <c r="O833" s="4">
        <f t="shared" si="38"/>
        <v>-0.36</v>
      </c>
      <c r="P833" s="3" t="s">
        <v>19</v>
      </c>
    </row>
    <row r="834" spans="1:16" x14ac:dyDescent="0.35">
      <c r="A834" s="3" t="s">
        <v>94</v>
      </c>
      <c r="B834" s="3" t="str">
        <f>INDEX(State_Region!$B$2:$B$26,MATCH(TRIM(A834),State_Region!$A$2:$A$26,0))</f>
        <v>East</v>
      </c>
      <c r="C834" s="3" t="s">
        <v>95</v>
      </c>
      <c r="D834" s="3" t="str">
        <f>INDEX(Port_Type!$B$2:$B$227,MATCH(TRIM(C834),Port_Type!$A$2:$A$227,0))</f>
        <v>Land Border / Rail</v>
      </c>
      <c r="E834" s="3" t="s">
        <v>76</v>
      </c>
      <c r="F834" s="3" t="str">
        <f>INDEX(Product_Category!$B$2:$B$45,MATCH(TRIM(E834),Product_Category!$A$2:$A$45,0))</f>
        <v>Fresh Fruits &amp; Vegetables</v>
      </c>
      <c r="G834" s="4">
        <v>0.35</v>
      </c>
      <c r="H834" s="4">
        <v>0.46</v>
      </c>
      <c r="I834" s="4">
        <v>0.23</v>
      </c>
      <c r="J834" s="4">
        <v>1138.95</v>
      </c>
      <c r="K834" s="4">
        <v>1339.66</v>
      </c>
      <c r="L834" s="4">
        <v>717.5</v>
      </c>
      <c r="M834" s="4">
        <f t="shared" ref="M834:M897" si="39">H834-G834</f>
        <v>0.11000000000000004</v>
      </c>
      <c r="N834" s="4">
        <f t="shared" ref="N834:N897" si="40">K834-J834</f>
        <v>200.71000000000004</v>
      </c>
      <c r="O834" s="4">
        <f t="shared" ref="O834:O897" si="41">I834-H834</f>
        <v>-0.23</v>
      </c>
      <c r="P834" s="3" t="s">
        <v>19</v>
      </c>
    </row>
    <row r="835" spans="1:16" x14ac:dyDescent="0.35">
      <c r="A835" s="3" t="s">
        <v>129</v>
      </c>
      <c r="B835" s="3" t="str">
        <f>INDEX(State_Region!$B$2:$B$26,MATCH(TRIM(A835),State_Region!$A$2:$A$26,0))</f>
        <v>East</v>
      </c>
      <c r="C835" s="3" t="s">
        <v>147</v>
      </c>
      <c r="D835" s="3" t="str">
        <f>INDEX(Port_Type!$B$2:$B$227,MATCH(TRIM(C835),Port_Type!$A$2:$A$227,0))</f>
        <v>Land Border / Rail</v>
      </c>
      <c r="E835" s="3" t="s">
        <v>55</v>
      </c>
      <c r="F835" s="3" t="str">
        <f>INDEX(Product_Category!$B$2:$B$45,MATCH(TRIM(E835),Product_Category!$A$2:$A$45,0))</f>
        <v>Fresh Fruits &amp; Vegetables</v>
      </c>
      <c r="G835" s="4">
        <v>0.32</v>
      </c>
      <c r="H835" s="4">
        <v>0.53</v>
      </c>
      <c r="I835" s="4">
        <v>0.23</v>
      </c>
      <c r="J835" s="4">
        <v>1277.4100000000001</v>
      </c>
      <c r="K835" s="4">
        <v>3143.51</v>
      </c>
      <c r="L835" s="4">
        <v>1316.34</v>
      </c>
      <c r="M835" s="4">
        <f t="shared" si="39"/>
        <v>0.21000000000000002</v>
      </c>
      <c r="N835" s="4">
        <f t="shared" si="40"/>
        <v>1866.1000000000001</v>
      </c>
      <c r="O835" s="4">
        <f t="shared" si="41"/>
        <v>-0.30000000000000004</v>
      </c>
      <c r="P835" s="3" t="s">
        <v>19</v>
      </c>
    </row>
    <row r="836" spans="1:16" x14ac:dyDescent="0.35">
      <c r="A836" s="3" t="s">
        <v>66</v>
      </c>
      <c r="B836" s="3" t="str">
        <f>INDEX(State_Region!$B$2:$B$26,MATCH(TRIM(A836),State_Region!$A$2:$A$26,0))</f>
        <v>North</v>
      </c>
      <c r="C836" s="3" t="s">
        <v>73</v>
      </c>
      <c r="D836" s="3" t="str">
        <f>INDEX(Port_Type!$B$2:$B$227,MATCH(TRIM(C836),Port_Type!$A$2:$A$227,0))</f>
        <v>Inland ICD / CFS</v>
      </c>
      <c r="E836" s="3" t="s">
        <v>128</v>
      </c>
      <c r="F836" s="3" t="str">
        <f>INDEX(Product_Category!$B$2:$B$45,MATCH(TRIM(E836),Product_Category!$A$2:$A$45,0))</f>
        <v>Dairy, Poultry &amp; Honey</v>
      </c>
      <c r="G836" s="4">
        <v>0.42</v>
      </c>
      <c r="H836" s="4">
        <v>0.56000000000000005</v>
      </c>
      <c r="I836" s="4">
        <v>0.23</v>
      </c>
      <c r="J836" s="4">
        <v>98.81</v>
      </c>
      <c r="K836" s="4">
        <v>122.8</v>
      </c>
      <c r="L836" s="4">
        <v>40.770000000000003</v>
      </c>
      <c r="M836" s="4">
        <f t="shared" si="39"/>
        <v>0.14000000000000007</v>
      </c>
      <c r="N836" s="4">
        <f t="shared" si="40"/>
        <v>23.989999999999995</v>
      </c>
      <c r="O836" s="4">
        <f t="shared" si="41"/>
        <v>-0.33000000000000007</v>
      </c>
      <c r="P836" s="3" t="s">
        <v>19</v>
      </c>
    </row>
    <row r="837" spans="1:16" x14ac:dyDescent="0.35">
      <c r="A837" s="3" t="s">
        <v>16</v>
      </c>
      <c r="B837" s="3" t="str">
        <f>INDEX(State_Region!$B$2:$B$26,MATCH(TRIM(A837),State_Region!$A$2:$A$26,0))</f>
        <v>West</v>
      </c>
      <c r="C837" s="3" t="s">
        <v>135</v>
      </c>
      <c r="D837" s="3" t="str">
        <f>INDEX(Port_Type!$B$2:$B$227,MATCH(TRIM(C837),Port_Type!$A$2:$A$227,0))</f>
        <v>Air Cargo</v>
      </c>
      <c r="E837" s="3" t="s">
        <v>46</v>
      </c>
      <c r="F837" s="3" t="str">
        <f>INDEX(Product_Category!$B$2:$B$45,MATCH(TRIM(E837),Product_Category!$A$2:$A$45,0))</f>
        <v>Others</v>
      </c>
      <c r="G837" s="4">
        <v>0.15</v>
      </c>
      <c r="H837" s="4">
        <v>0.08</v>
      </c>
      <c r="I837" s="4">
        <v>0.23</v>
      </c>
      <c r="J837" s="4">
        <v>51.87</v>
      </c>
      <c r="K837" s="4">
        <v>26.12</v>
      </c>
      <c r="L837" s="4">
        <v>42.8</v>
      </c>
      <c r="M837" s="4">
        <f t="shared" si="39"/>
        <v>-6.9999999999999993E-2</v>
      </c>
      <c r="N837" s="4">
        <f t="shared" si="40"/>
        <v>-25.749999999999996</v>
      </c>
      <c r="O837" s="4">
        <f t="shared" si="41"/>
        <v>0.15000000000000002</v>
      </c>
      <c r="P837" s="3" t="s">
        <v>19</v>
      </c>
    </row>
    <row r="838" spans="1:16" x14ac:dyDescent="0.35">
      <c r="A838" s="3" t="s">
        <v>20</v>
      </c>
      <c r="B838" s="3" t="str">
        <f>INDEX(State_Region!$B$2:$B$26,MATCH(TRIM(A838),State_Region!$A$2:$A$26,0))</f>
        <v>West</v>
      </c>
      <c r="C838" s="3" t="s">
        <v>173</v>
      </c>
      <c r="D838" s="3" t="str">
        <f>INDEX(Port_Type!$B$2:$B$227,MATCH(TRIM(C838),Port_Type!$A$2:$A$227,0))</f>
        <v>Inland ICD / CFS</v>
      </c>
      <c r="E838" s="3" t="s">
        <v>48</v>
      </c>
      <c r="F838" s="3" t="str">
        <f>INDEX(Product_Category!$B$2:$B$45,MATCH(TRIM(E838),Product_Category!$A$2:$A$45,0))</f>
        <v>Processed Foods</v>
      </c>
      <c r="G838" s="4">
        <v>0.61</v>
      </c>
      <c r="H838" s="4">
        <v>0.47</v>
      </c>
      <c r="I838" s="4">
        <v>0.23</v>
      </c>
      <c r="J838" s="4">
        <v>308.45999999999998</v>
      </c>
      <c r="K838" s="4">
        <v>175.49</v>
      </c>
      <c r="L838" s="4">
        <v>85.45</v>
      </c>
      <c r="M838" s="4">
        <f t="shared" si="39"/>
        <v>-0.14000000000000001</v>
      </c>
      <c r="N838" s="4">
        <f t="shared" si="40"/>
        <v>-132.96999999999997</v>
      </c>
      <c r="O838" s="4">
        <f t="shared" si="41"/>
        <v>-0.23999999999999996</v>
      </c>
      <c r="P838" s="3" t="s">
        <v>19</v>
      </c>
    </row>
    <row r="839" spans="1:16" x14ac:dyDescent="0.35">
      <c r="A839" s="3" t="s">
        <v>40</v>
      </c>
      <c r="B839" s="3" t="str">
        <f>INDEX(State_Region!$B$2:$B$26,MATCH(TRIM(A839),State_Region!$A$2:$A$26,0))</f>
        <v>South</v>
      </c>
      <c r="C839" s="3" t="s">
        <v>164</v>
      </c>
      <c r="D839" s="3" t="str">
        <f>INDEX(Port_Type!$B$2:$B$227,MATCH(TRIM(C839),Port_Type!$A$2:$A$227,0))</f>
        <v>Air Cargo</v>
      </c>
      <c r="E839" s="3" t="s">
        <v>128</v>
      </c>
      <c r="F839" s="3" t="str">
        <f>INDEX(Product_Category!$B$2:$B$45,MATCH(TRIM(E839),Product_Category!$A$2:$A$45,0))</f>
        <v>Dairy, Poultry &amp; Honey</v>
      </c>
      <c r="G839" s="4">
        <v>0.23</v>
      </c>
      <c r="H839" s="4">
        <v>0.11</v>
      </c>
      <c r="I839" s="4">
        <v>0.23</v>
      </c>
      <c r="J839" s="4">
        <v>28.04</v>
      </c>
      <c r="K839" s="4">
        <v>13.03</v>
      </c>
      <c r="L839" s="4">
        <v>61.63</v>
      </c>
      <c r="M839" s="4">
        <f t="shared" si="39"/>
        <v>-0.12000000000000001</v>
      </c>
      <c r="N839" s="4">
        <f t="shared" si="40"/>
        <v>-15.01</v>
      </c>
      <c r="O839" s="4">
        <f t="shared" si="41"/>
        <v>0.12000000000000001</v>
      </c>
      <c r="P839" s="3" t="s">
        <v>19</v>
      </c>
    </row>
    <row r="840" spans="1:16" x14ac:dyDescent="0.35">
      <c r="A840" s="3" t="s">
        <v>31</v>
      </c>
      <c r="B840" s="3" t="str">
        <f>INDEX(State_Region!$B$2:$B$26,MATCH(TRIM(A840),State_Region!$A$2:$A$26,0))</f>
        <v>East</v>
      </c>
      <c r="C840" s="3" t="s">
        <v>141</v>
      </c>
      <c r="D840" s="3" t="str">
        <f>INDEX(Port_Type!$B$2:$B$227,MATCH(TRIM(C840),Port_Type!$A$2:$A$227,0))</f>
        <v>Land Border / Rail</v>
      </c>
      <c r="E840" s="3" t="s">
        <v>144</v>
      </c>
      <c r="F840" s="3" t="str">
        <f>INDEX(Product_Category!$B$2:$B$45,MATCH(TRIM(E840),Product_Category!$A$2:$A$45,0))</f>
        <v>Cereals &amp; Grains</v>
      </c>
      <c r="G840" s="4">
        <v>0.56000000000000005</v>
      </c>
      <c r="H840" s="4">
        <v>0.87</v>
      </c>
      <c r="I840" s="4">
        <v>0.23</v>
      </c>
      <c r="J840" s="4">
        <v>2021.57</v>
      </c>
      <c r="K840" s="4">
        <v>3212.95</v>
      </c>
      <c r="L840" s="4">
        <v>980.91</v>
      </c>
      <c r="M840" s="4">
        <f t="shared" si="39"/>
        <v>0.30999999999999994</v>
      </c>
      <c r="N840" s="4">
        <f t="shared" si="40"/>
        <v>1191.3799999999999</v>
      </c>
      <c r="O840" s="4">
        <f t="shared" si="41"/>
        <v>-0.64</v>
      </c>
      <c r="P840" s="3" t="s">
        <v>19</v>
      </c>
    </row>
    <row r="841" spans="1:16" x14ac:dyDescent="0.35">
      <c r="A841" s="3" t="s">
        <v>40</v>
      </c>
      <c r="B841" s="3" t="str">
        <f>INDEX(State_Region!$B$2:$B$26,MATCH(TRIM(A841),State_Region!$A$2:$A$26,0))</f>
        <v>South</v>
      </c>
      <c r="C841" s="3" t="s">
        <v>64</v>
      </c>
      <c r="D841" s="3" t="str">
        <f>INDEX(Port_Type!$B$2:$B$227,MATCH(TRIM(C841),Port_Type!$A$2:$A$227,0))</f>
        <v>Inland ICD / CFS</v>
      </c>
      <c r="E841" s="3" t="s">
        <v>33</v>
      </c>
      <c r="F841" s="3" t="str">
        <f>INDEX(Product_Category!$B$2:$B$45,MATCH(TRIM(E841),Product_Category!$A$2:$A$45,0))</f>
        <v>Pulses</v>
      </c>
      <c r="G841" s="4">
        <v>2.59</v>
      </c>
      <c r="H841" s="4">
        <v>0.56999999999999995</v>
      </c>
      <c r="I841" s="4">
        <v>0.22</v>
      </c>
      <c r="J841" s="4">
        <v>104.62</v>
      </c>
      <c r="K841" s="4">
        <v>451.03</v>
      </c>
      <c r="L841" s="4">
        <v>182.32</v>
      </c>
      <c r="M841" s="4">
        <f t="shared" si="39"/>
        <v>-2.02</v>
      </c>
      <c r="N841" s="4">
        <f t="shared" si="40"/>
        <v>346.40999999999997</v>
      </c>
      <c r="O841" s="4">
        <f t="shared" si="41"/>
        <v>-0.35</v>
      </c>
      <c r="P841" s="3" t="s">
        <v>19</v>
      </c>
    </row>
    <row r="842" spans="1:16" x14ac:dyDescent="0.35">
      <c r="A842" s="3" t="s">
        <v>40</v>
      </c>
      <c r="B842" s="3" t="str">
        <f>INDEX(State_Region!$B$2:$B$26,MATCH(TRIM(A842),State_Region!$A$2:$A$26,0))</f>
        <v>South</v>
      </c>
      <c r="C842" s="3" t="s">
        <v>117</v>
      </c>
      <c r="D842" s="3" t="str">
        <f>INDEX(Port_Type!$B$2:$B$227,MATCH(TRIM(C842),Port_Type!$A$2:$A$227,0))</f>
        <v>Sea Port</v>
      </c>
      <c r="E842" s="3" t="s">
        <v>174</v>
      </c>
      <c r="F842" s="3" t="str">
        <f>INDEX(Product_Category!$B$2:$B$45,MATCH(TRIM(E842),Product_Category!$A$2:$A$45,0))</f>
        <v>Dairy, Poultry &amp; Honey</v>
      </c>
      <c r="G842" s="4">
        <v>0</v>
      </c>
      <c r="H842" s="4">
        <v>0.1</v>
      </c>
      <c r="I842" s="4">
        <v>0.22</v>
      </c>
      <c r="J842" s="4">
        <v>0</v>
      </c>
      <c r="K842" s="4">
        <v>11</v>
      </c>
      <c r="L842" s="4">
        <v>36</v>
      </c>
      <c r="M842" s="4">
        <f t="shared" si="39"/>
        <v>0.1</v>
      </c>
      <c r="N842" s="4">
        <f t="shared" si="40"/>
        <v>11</v>
      </c>
      <c r="O842" s="4">
        <f t="shared" si="41"/>
        <v>0.12</v>
      </c>
      <c r="P842" s="3" t="s">
        <v>19</v>
      </c>
    </row>
    <row r="843" spans="1:16" x14ac:dyDescent="0.35">
      <c r="A843" s="3" t="s">
        <v>86</v>
      </c>
      <c r="B843" s="3" t="str">
        <f>INDEX(State_Region!$B$2:$B$26,MATCH(TRIM(A843),State_Region!$A$2:$A$26,0))</f>
        <v>North</v>
      </c>
      <c r="C843" s="3" t="s">
        <v>106</v>
      </c>
      <c r="D843" s="3" t="str">
        <f>INDEX(Port_Type!$B$2:$B$227,MATCH(TRIM(C843),Port_Type!$A$2:$A$227,0))</f>
        <v>Inland ICD / CFS</v>
      </c>
      <c r="E843" s="3" t="s">
        <v>118</v>
      </c>
      <c r="F843" s="3" t="str">
        <f>INDEX(Product_Category!$B$2:$B$45,MATCH(TRIM(E843),Product_Category!$A$2:$A$45,0))</f>
        <v>Dairy, Poultry &amp; Honey</v>
      </c>
      <c r="G843" s="4">
        <v>7.35</v>
      </c>
      <c r="H843" s="4">
        <v>0.06</v>
      </c>
      <c r="I843" s="4">
        <v>0.22</v>
      </c>
      <c r="J843" s="4">
        <v>4936.71</v>
      </c>
      <c r="K843" s="4">
        <v>16.170000000000002</v>
      </c>
      <c r="L843" s="4">
        <v>97.76</v>
      </c>
      <c r="M843" s="4">
        <f t="shared" si="39"/>
        <v>-7.29</v>
      </c>
      <c r="N843" s="4">
        <f t="shared" si="40"/>
        <v>-4920.54</v>
      </c>
      <c r="O843" s="4">
        <f t="shared" si="41"/>
        <v>0.16</v>
      </c>
      <c r="P843" s="3" t="s">
        <v>19</v>
      </c>
    </row>
    <row r="844" spans="1:16" x14ac:dyDescent="0.35">
      <c r="A844" s="3" t="s">
        <v>66</v>
      </c>
      <c r="B844" s="3" t="str">
        <f>INDEX(State_Region!$B$2:$B$26,MATCH(TRIM(A844),State_Region!$A$2:$A$26,0))</f>
        <v>North</v>
      </c>
      <c r="C844" s="3" t="s">
        <v>219</v>
      </c>
      <c r="D844" s="3" t="str">
        <f>INDEX(Port_Type!$B$2:$B$227,MATCH(TRIM(C844),Port_Type!$A$2:$A$227,0))</f>
        <v>Air Cargo</v>
      </c>
      <c r="E844" s="3" t="s">
        <v>102</v>
      </c>
      <c r="F844" s="3" t="str">
        <f>INDEX(Product_Category!$B$2:$B$45,MATCH(TRIM(E844),Product_Category!$A$2:$A$45,0))</f>
        <v>Fresh Fruits &amp; Vegetables</v>
      </c>
      <c r="G844" s="4">
        <v>0.11</v>
      </c>
      <c r="H844" s="4">
        <v>0.33</v>
      </c>
      <c r="I844" s="4">
        <v>0.22</v>
      </c>
      <c r="J844" s="4">
        <v>74.010000000000005</v>
      </c>
      <c r="K844" s="4">
        <v>150.41</v>
      </c>
      <c r="L844" s="4">
        <v>100.22</v>
      </c>
      <c r="M844" s="4">
        <f t="shared" si="39"/>
        <v>0.22000000000000003</v>
      </c>
      <c r="N844" s="4">
        <f t="shared" si="40"/>
        <v>76.399999999999991</v>
      </c>
      <c r="O844" s="4">
        <f t="shared" si="41"/>
        <v>-0.11000000000000001</v>
      </c>
      <c r="P844" s="3" t="s">
        <v>19</v>
      </c>
    </row>
    <row r="845" spans="1:16" x14ac:dyDescent="0.35">
      <c r="A845" s="3" t="s">
        <v>20</v>
      </c>
      <c r="B845" s="3" t="str">
        <f>INDEX(State_Region!$B$2:$B$26,MATCH(TRIM(A845),State_Region!$A$2:$A$26,0))</f>
        <v>West</v>
      </c>
      <c r="C845" s="3" t="s">
        <v>173</v>
      </c>
      <c r="D845" s="3" t="str">
        <f>INDEX(Port_Type!$B$2:$B$227,MATCH(TRIM(C845),Port_Type!$A$2:$A$227,0))</f>
        <v>Inland ICD / CFS</v>
      </c>
      <c r="E845" s="3" t="s">
        <v>110</v>
      </c>
      <c r="F845" s="3" t="str">
        <f>INDEX(Product_Category!$B$2:$B$45,MATCH(TRIM(E845),Product_Category!$A$2:$A$45,0))</f>
        <v>Dairy, Poultry &amp; Honey</v>
      </c>
      <c r="G845" s="4">
        <v>0</v>
      </c>
      <c r="H845" s="4">
        <v>2.84</v>
      </c>
      <c r="I845" s="4">
        <v>0.22</v>
      </c>
      <c r="J845" s="4">
        <v>0</v>
      </c>
      <c r="K845" s="4">
        <v>34674</v>
      </c>
      <c r="L845" s="4">
        <v>2833.92</v>
      </c>
      <c r="M845" s="4">
        <f t="shared" si="39"/>
        <v>2.84</v>
      </c>
      <c r="N845" s="4">
        <f t="shared" si="40"/>
        <v>34674</v>
      </c>
      <c r="O845" s="4">
        <f t="shared" si="41"/>
        <v>-2.6199999999999997</v>
      </c>
      <c r="P845" s="3" t="s">
        <v>19</v>
      </c>
    </row>
    <row r="846" spans="1:16" x14ac:dyDescent="0.35">
      <c r="A846" s="3" t="s">
        <v>77</v>
      </c>
      <c r="B846" s="3" t="str">
        <f>INDEX(State_Region!$B$2:$B$26,MATCH(TRIM(A846),State_Region!$A$2:$A$26,0))</f>
        <v>South</v>
      </c>
      <c r="C846" s="3" t="s">
        <v>78</v>
      </c>
      <c r="D846" s="3" t="str">
        <f>INDEX(Port_Type!$B$2:$B$227,MATCH(TRIM(C846),Port_Type!$A$2:$A$227,0))</f>
        <v>Sea Port</v>
      </c>
      <c r="E846" s="3" t="s">
        <v>150</v>
      </c>
      <c r="F846" s="3" t="str">
        <f>INDEX(Product_Category!$B$2:$B$45,MATCH(TRIM(E846),Product_Category!$A$2:$A$45,0))</f>
        <v>Nuts &amp; Oilseeds</v>
      </c>
      <c r="G846" s="4">
        <v>1.8</v>
      </c>
      <c r="H846" s="4">
        <v>2.4300000000000002</v>
      </c>
      <c r="I846" s="4">
        <v>0.22</v>
      </c>
      <c r="J846" s="4">
        <v>176.77</v>
      </c>
      <c r="K846" s="4">
        <v>239.99</v>
      </c>
      <c r="L846" s="4">
        <v>21.63</v>
      </c>
      <c r="M846" s="4">
        <f t="shared" si="39"/>
        <v>0.63000000000000012</v>
      </c>
      <c r="N846" s="4">
        <f t="shared" si="40"/>
        <v>63.22</v>
      </c>
      <c r="O846" s="4">
        <f t="shared" si="41"/>
        <v>-2.21</v>
      </c>
      <c r="P846" s="3" t="s">
        <v>19</v>
      </c>
    </row>
    <row r="847" spans="1:16" x14ac:dyDescent="0.35">
      <c r="A847" s="3" t="s">
        <v>66</v>
      </c>
      <c r="B847" s="3" t="str">
        <f>INDEX(State_Region!$B$2:$B$26,MATCH(TRIM(A847),State_Region!$A$2:$A$26,0))</f>
        <v>North</v>
      </c>
      <c r="C847" s="3" t="s">
        <v>219</v>
      </c>
      <c r="D847" s="3" t="str">
        <f>INDEX(Port_Type!$B$2:$B$227,MATCH(TRIM(C847),Port_Type!$A$2:$A$227,0))</f>
        <v>Air Cargo</v>
      </c>
      <c r="E847" s="3" t="s">
        <v>76</v>
      </c>
      <c r="F847" s="3" t="str">
        <f>INDEX(Product_Category!$B$2:$B$45,MATCH(TRIM(E847),Product_Category!$A$2:$A$45,0))</f>
        <v>Fresh Fruits &amp; Vegetables</v>
      </c>
      <c r="G847" s="4">
        <v>0</v>
      </c>
      <c r="H847" s="4">
        <v>0.16</v>
      </c>
      <c r="I847" s="4">
        <v>0.22</v>
      </c>
      <c r="J847" s="4">
        <v>0</v>
      </c>
      <c r="K847" s="4">
        <v>88.69</v>
      </c>
      <c r="L847" s="4">
        <v>85.36</v>
      </c>
      <c r="M847" s="4">
        <f t="shared" si="39"/>
        <v>0.16</v>
      </c>
      <c r="N847" s="4">
        <f t="shared" si="40"/>
        <v>88.69</v>
      </c>
      <c r="O847" s="4">
        <f t="shared" si="41"/>
        <v>0.06</v>
      </c>
      <c r="P847" s="3" t="s">
        <v>19</v>
      </c>
    </row>
    <row r="848" spans="1:16" x14ac:dyDescent="0.35">
      <c r="A848" s="3" t="s">
        <v>129</v>
      </c>
      <c r="B848" s="3" t="str">
        <f>INDEX(State_Region!$B$2:$B$26,MATCH(TRIM(A848),State_Region!$A$2:$A$26,0))</f>
        <v>East</v>
      </c>
      <c r="C848" s="3" t="s">
        <v>147</v>
      </c>
      <c r="D848" s="3" t="str">
        <f>INDEX(Port_Type!$B$2:$B$227,MATCH(TRIM(C848),Port_Type!$A$2:$A$227,0))</f>
        <v>Land Border / Rail</v>
      </c>
      <c r="E848" s="3" t="s">
        <v>54</v>
      </c>
      <c r="F848" s="3" t="str">
        <f>INDEX(Product_Category!$B$2:$B$45,MATCH(TRIM(E848),Product_Category!$A$2:$A$45,0))</f>
        <v>Processed Foods</v>
      </c>
      <c r="G848" s="4">
        <v>0.37</v>
      </c>
      <c r="H848" s="4">
        <v>0.57999999999999996</v>
      </c>
      <c r="I848" s="4">
        <v>0.22</v>
      </c>
      <c r="J848" s="4">
        <v>1432.56</v>
      </c>
      <c r="K848" s="4">
        <v>1689.41</v>
      </c>
      <c r="L848" s="4">
        <v>863.18</v>
      </c>
      <c r="M848" s="4">
        <f t="shared" si="39"/>
        <v>0.20999999999999996</v>
      </c>
      <c r="N848" s="4">
        <f t="shared" si="40"/>
        <v>256.85000000000014</v>
      </c>
      <c r="O848" s="4">
        <f t="shared" si="41"/>
        <v>-0.36</v>
      </c>
      <c r="P848" s="3" t="s">
        <v>19</v>
      </c>
    </row>
    <row r="849" spans="1:16" x14ac:dyDescent="0.35">
      <c r="A849" s="3" t="s">
        <v>40</v>
      </c>
      <c r="B849" s="3" t="str">
        <f>INDEX(State_Region!$B$2:$B$26,MATCH(TRIM(A849),State_Region!$A$2:$A$26,0))</f>
        <v>South</v>
      </c>
      <c r="C849" s="3" t="s">
        <v>64</v>
      </c>
      <c r="D849" s="3" t="str">
        <f>INDEX(Port_Type!$B$2:$B$227,MATCH(TRIM(C849),Port_Type!$A$2:$A$227,0))</f>
        <v>Inland ICD / CFS</v>
      </c>
      <c r="E849" s="3" t="s">
        <v>42</v>
      </c>
      <c r="F849" s="3" t="str">
        <f>INDEX(Product_Category!$B$2:$B$45,MATCH(TRIM(E849),Product_Category!$A$2:$A$45,0))</f>
        <v>Processed Foods</v>
      </c>
      <c r="G849" s="4">
        <v>2.13</v>
      </c>
      <c r="H849" s="4">
        <v>2.08</v>
      </c>
      <c r="I849" s="4">
        <v>0.22</v>
      </c>
      <c r="J849" s="4">
        <v>1687.25</v>
      </c>
      <c r="K849" s="4">
        <v>1290.25</v>
      </c>
      <c r="L849" s="4">
        <v>132.69</v>
      </c>
      <c r="M849" s="4">
        <f t="shared" si="39"/>
        <v>-4.9999999999999822E-2</v>
      </c>
      <c r="N849" s="4">
        <f t="shared" si="40"/>
        <v>-397</v>
      </c>
      <c r="O849" s="4">
        <f t="shared" si="41"/>
        <v>-1.86</v>
      </c>
      <c r="P849" s="3" t="s">
        <v>19</v>
      </c>
    </row>
    <row r="850" spans="1:16" x14ac:dyDescent="0.35">
      <c r="A850" s="3" t="s">
        <v>20</v>
      </c>
      <c r="B850" s="3" t="str">
        <f>INDEX(State_Region!$B$2:$B$26,MATCH(TRIM(A850),State_Region!$A$2:$A$26,0))</f>
        <v>West</v>
      </c>
      <c r="C850" s="3" t="s">
        <v>21</v>
      </c>
      <c r="D850" s="3" t="str">
        <f>INDEX(Port_Type!$B$2:$B$227,MATCH(TRIM(C850),Port_Type!$A$2:$A$227,0))</f>
        <v>Sea Port</v>
      </c>
      <c r="E850" s="3" t="s">
        <v>174</v>
      </c>
      <c r="F850" s="3" t="str">
        <f>INDEX(Product_Category!$B$2:$B$45,MATCH(TRIM(E850),Product_Category!$A$2:$A$45,0))</f>
        <v>Dairy, Poultry &amp; Honey</v>
      </c>
      <c r="G850" s="4">
        <v>0.04</v>
      </c>
      <c r="H850" s="4">
        <v>0.02</v>
      </c>
      <c r="I850" s="4">
        <v>0.22</v>
      </c>
      <c r="J850" s="4">
        <v>6.7</v>
      </c>
      <c r="K850" s="4">
        <v>2.41</v>
      </c>
      <c r="L850" s="4">
        <v>15.92</v>
      </c>
      <c r="M850" s="4">
        <f t="shared" si="39"/>
        <v>-0.02</v>
      </c>
      <c r="N850" s="4">
        <f t="shared" si="40"/>
        <v>-4.29</v>
      </c>
      <c r="O850" s="4">
        <f t="shared" si="41"/>
        <v>0.2</v>
      </c>
      <c r="P850" s="3" t="s">
        <v>19</v>
      </c>
    </row>
    <row r="851" spans="1:16" x14ac:dyDescent="0.35">
      <c r="A851" s="3" t="s">
        <v>23</v>
      </c>
      <c r="B851" s="3" t="str">
        <f>INDEX(State_Region!$B$2:$B$26,MATCH(TRIM(A851),State_Region!$A$2:$A$26,0))</f>
        <v>North</v>
      </c>
      <c r="C851" s="3" t="s">
        <v>120</v>
      </c>
      <c r="D851" s="3" t="str">
        <f>INDEX(Port_Type!$B$2:$B$227,MATCH(TRIM(C851),Port_Type!$A$2:$A$227,0))</f>
        <v>Inland ICD / CFS</v>
      </c>
      <c r="E851" s="3" t="s">
        <v>53</v>
      </c>
      <c r="F851" s="3" t="str">
        <f>INDEX(Product_Category!$B$2:$B$45,MATCH(TRIM(E851),Product_Category!$A$2:$A$45,0))</f>
        <v>Processed Foods</v>
      </c>
      <c r="G851" s="4">
        <v>0.81</v>
      </c>
      <c r="H851" s="4">
        <v>0.46</v>
      </c>
      <c r="I851" s="4">
        <v>0.22</v>
      </c>
      <c r="J851" s="4">
        <v>1226.06</v>
      </c>
      <c r="K851" s="4">
        <v>844.55</v>
      </c>
      <c r="L851" s="4">
        <v>389.11</v>
      </c>
      <c r="M851" s="4">
        <f t="shared" si="39"/>
        <v>-0.35000000000000003</v>
      </c>
      <c r="N851" s="4">
        <f t="shared" si="40"/>
        <v>-381.51</v>
      </c>
      <c r="O851" s="4">
        <f t="shared" si="41"/>
        <v>-0.24000000000000002</v>
      </c>
      <c r="P851" s="3" t="s">
        <v>19</v>
      </c>
    </row>
    <row r="852" spans="1:16" x14ac:dyDescent="0.35">
      <c r="A852" s="3" t="s">
        <v>66</v>
      </c>
      <c r="B852" s="3" t="str">
        <f>INDEX(State_Region!$B$2:$B$26,MATCH(TRIM(A852),State_Region!$A$2:$A$26,0))</f>
        <v>North</v>
      </c>
      <c r="C852" s="3" t="s">
        <v>100</v>
      </c>
      <c r="D852" s="3" t="str">
        <f>INDEX(Port_Type!$B$2:$B$227,MATCH(TRIM(C852),Port_Type!$A$2:$A$227,0))</f>
        <v>Inland ICD / CFS</v>
      </c>
      <c r="E852" s="3" t="s">
        <v>60</v>
      </c>
      <c r="F852" s="3" t="str">
        <f>INDEX(Product_Category!$B$2:$B$45,MATCH(TRIM(E852),Product_Category!$A$2:$A$45,0))</f>
        <v>Processed Foods</v>
      </c>
      <c r="G852" s="4">
        <v>0</v>
      </c>
      <c r="H852" s="4">
        <v>1.84</v>
      </c>
      <c r="I852" s="4">
        <v>0.21</v>
      </c>
      <c r="J852" s="4">
        <v>0</v>
      </c>
      <c r="K852" s="4">
        <v>1088.1400000000001</v>
      </c>
      <c r="L852" s="4">
        <v>130.38999999999999</v>
      </c>
      <c r="M852" s="4">
        <f t="shared" si="39"/>
        <v>1.84</v>
      </c>
      <c r="N852" s="4">
        <f t="shared" si="40"/>
        <v>1088.1400000000001</v>
      </c>
      <c r="O852" s="4">
        <f t="shared" si="41"/>
        <v>-1.6300000000000001</v>
      </c>
      <c r="P852" s="3" t="s">
        <v>19</v>
      </c>
    </row>
    <row r="853" spans="1:16" x14ac:dyDescent="0.35">
      <c r="A853" s="3" t="s">
        <v>20</v>
      </c>
      <c r="B853" s="3" t="str">
        <f>INDEX(State_Region!$B$2:$B$26,MATCH(TRIM(A853),State_Region!$A$2:$A$26,0))</f>
        <v>West</v>
      </c>
      <c r="C853" s="3" t="s">
        <v>21</v>
      </c>
      <c r="D853" s="3" t="str">
        <f>INDEX(Port_Type!$B$2:$B$227,MATCH(TRIM(C853),Port_Type!$A$2:$A$227,0))</f>
        <v>Sea Port</v>
      </c>
      <c r="E853" s="3" t="s">
        <v>113</v>
      </c>
      <c r="F853" s="3" t="str">
        <f>INDEX(Product_Category!$B$2:$B$45,MATCH(TRIM(E853),Product_Category!$A$2:$A$45,0))</f>
        <v>Cereals &amp; Grains</v>
      </c>
      <c r="G853" s="4">
        <v>0.32</v>
      </c>
      <c r="H853" s="4">
        <v>0.62</v>
      </c>
      <c r="I853" s="4">
        <v>0.21</v>
      </c>
      <c r="J853" s="4">
        <v>485.03</v>
      </c>
      <c r="K853" s="4">
        <v>1281.76</v>
      </c>
      <c r="L853" s="4">
        <v>600</v>
      </c>
      <c r="M853" s="4">
        <f t="shared" si="39"/>
        <v>0.3</v>
      </c>
      <c r="N853" s="4">
        <f t="shared" si="40"/>
        <v>796.73</v>
      </c>
      <c r="O853" s="4">
        <f t="shared" si="41"/>
        <v>-0.41000000000000003</v>
      </c>
      <c r="P853" s="3" t="s">
        <v>19</v>
      </c>
    </row>
    <row r="854" spans="1:16" x14ac:dyDescent="0.35">
      <c r="A854" s="3" t="s">
        <v>77</v>
      </c>
      <c r="B854" s="3" t="str">
        <f>INDEX(State_Region!$B$2:$B$26,MATCH(TRIM(A854),State_Region!$A$2:$A$26,0))</f>
        <v>South</v>
      </c>
      <c r="C854" s="3" t="s">
        <v>214</v>
      </c>
      <c r="D854" s="3" t="str">
        <f>INDEX(Port_Type!$B$2:$B$227,MATCH(TRIM(C854),Port_Type!$A$2:$A$227,0))</f>
        <v>SEZ / EPZ</v>
      </c>
      <c r="E854" s="3" t="s">
        <v>54</v>
      </c>
      <c r="F854" s="3" t="str">
        <f>INDEX(Product_Category!$B$2:$B$45,MATCH(TRIM(E854),Product_Category!$A$2:$A$45,0))</f>
        <v>Processed Foods</v>
      </c>
      <c r="G854" s="4">
        <v>0.01</v>
      </c>
      <c r="H854" s="4">
        <v>0.39</v>
      </c>
      <c r="I854" s="4">
        <v>0.21</v>
      </c>
      <c r="J854" s="4">
        <v>9.01</v>
      </c>
      <c r="K854" s="4">
        <v>94.61</v>
      </c>
      <c r="L854" s="4">
        <v>55.65</v>
      </c>
      <c r="M854" s="4">
        <f t="shared" si="39"/>
        <v>0.38</v>
      </c>
      <c r="N854" s="4">
        <f t="shared" si="40"/>
        <v>85.6</v>
      </c>
      <c r="O854" s="4">
        <f t="shared" si="41"/>
        <v>-0.18000000000000002</v>
      </c>
      <c r="P854" s="3" t="s">
        <v>19</v>
      </c>
    </row>
    <row r="855" spans="1:16" x14ac:dyDescent="0.35">
      <c r="A855" s="3" t="s">
        <v>86</v>
      </c>
      <c r="B855" s="3" t="str">
        <f>INDEX(State_Region!$B$2:$B$26,MATCH(TRIM(A855),State_Region!$A$2:$A$26,0))</f>
        <v>North</v>
      </c>
      <c r="C855" s="3" t="s">
        <v>87</v>
      </c>
      <c r="D855" s="3" t="str">
        <f>INDEX(Port_Type!$B$2:$B$227,MATCH(TRIM(C855),Port_Type!$A$2:$A$227,0))</f>
        <v>Air Cargo</v>
      </c>
      <c r="E855" s="3" t="s">
        <v>53</v>
      </c>
      <c r="F855" s="3" t="str">
        <f>INDEX(Product_Category!$B$2:$B$45,MATCH(TRIM(E855),Product_Category!$A$2:$A$45,0))</f>
        <v>Processed Foods</v>
      </c>
      <c r="G855" s="4">
        <v>0.24</v>
      </c>
      <c r="H855" s="4">
        <v>0.2</v>
      </c>
      <c r="I855" s="4">
        <v>0.21</v>
      </c>
      <c r="J855" s="4">
        <v>45.68</v>
      </c>
      <c r="K855" s="4">
        <v>63.24</v>
      </c>
      <c r="L855" s="4">
        <v>26.88</v>
      </c>
      <c r="M855" s="4">
        <f t="shared" si="39"/>
        <v>-3.999999999999998E-2</v>
      </c>
      <c r="N855" s="4">
        <f t="shared" si="40"/>
        <v>17.560000000000002</v>
      </c>
      <c r="O855" s="4">
        <f t="shared" si="41"/>
        <v>9.9999999999999811E-3</v>
      </c>
      <c r="P855" s="3" t="s">
        <v>19</v>
      </c>
    </row>
    <row r="856" spans="1:16" x14ac:dyDescent="0.35">
      <c r="A856" s="3" t="s">
        <v>23</v>
      </c>
      <c r="B856" s="3" t="str">
        <f>INDEX(State_Region!$B$2:$B$26,MATCH(TRIM(A856),State_Region!$A$2:$A$26,0))</f>
        <v>North</v>
      </c>
      <c r="C856" s="3" t="s">
        <v>34</v>
      </c>
      <c r="D856" s="3" t="str">
        <f>INDEX(Port_Type!$B$2:$B$227,MATCH(TRIM(C856),Port_Type!$A$2:$A$227,0))</f>
        <v>Inland ICD / CFS</v>
      </c>
      <c r="E856" s="3" t="s">
        <v>27</v>
      </c>
      <c r="F856" s="3" t="str">
        <f>INDEX(Product_Category!$B$2:$B$45,MATCH(TRIM(E856),Product_Category!$A$2:$A$45,0))</f>
        <v>Cereals &amp; Grains</v>
      </c>
      <c r="G856" s="4">
        <v>0.44</v>
      </c>
      <c r="H856" s="4">
        <v>1.92</v>
      </c>
      <c r="I856" s="4">
        <v>0.21</v>
      </c>
      <c r="J856" s="4">
        <v>937.2</v>
      </c>
      <c r="K856" s="4">
        <v>4067.71</v>
      </c>
      <c r="L856" s="4">
        <v>486</v>
      </c>
      <c r="M856" s="4">
        <f t="shared" si="39"/>
        <v>1.48</v>
      </c>
      <c r="N856" s="4">
        <f t="shared" si="40"/>
        <v>3130.51</v>
      </c>
      <c r="O856" s="4">
        <f t="shared" si="41"/>
        <v>-1.71</v>
      </c>
      <c r="P856" s="3" t="s">
        <v>19</v>
      </c>
    </row>
    <row r="857" spans="1:16" x14ac:dyDescent="0.35">
      <c r="A857" s="3" t="s">
        <v>16</v>
      </c>
      <c r="B857" s="3" t="str">
        <f>INDEX(State_Region!$B$2:$B$26,MATCH(TRIM(A857),State_Region!$A$2:$A$26,0))</f>
        <v>West</v>
      </c>
      <c r="C857" s="3" t="s">
        <v>52</v>
      </c>
      <c r="D857" s="3" t="str">
        <f>INDEX(Port_Type!$B$2:$B$227,MATCH(TRIM(C857),Port_Type!$A$2:$A$227,0))</f>
        <v>Sea Port</v>
      </c>
      <c r="E857" s="3" t="s">
        <v>48</v>
      </c>
      <c r="F857" s="3" t="str">
        <f>INDEX(Product_Category!$B$2:$B$45,MATCH(TRIM(E857),Product_Category!$A$2:$A$45,0))</f>
        <v>Processed Foods</v>
      </c>
      <c r="G857" s="4">
        <v>0.11</v>
      </c>
      <c r="H857" s="4">
        <v>0.86</v>
      </c>
      <c r="I857" s="4">
        <v>0.21</v>
      </c>
      <c r="J857" s="4">
        <v>44.1</v>
      </c>
      <c r="K857" s="4">
        <v>392.43</v>
      </c>
      <c r="L857" s="4">
        <v>97.55</v>
      </c>
      <c r="M857" s="4">
        <f t="shared" si="39"/>
        <v>0.75</v>
      </c>
      <c r="N857" s="4">
        <f t="shared" si="40"/>
        <v>348.33</v>
      </c>
      <c r="O857" s="4">
        <f t="shared" si="41"/>
        <v>-0.65</v>
      </c>
      <c r="P857" s="3" t="s">
        <v>19</v>
      </c>
    </row>
    <row r="858" spans="1:16" x14ac:dyDescent="0.35">
      <c r="A858" s="3" t="s">
        <v>35</v>
      </c>
      <c r="B858" s="3" t="str">
        <f>INDEX(State_Region!$B$2:$B$26,MATCH(TRIM(A858),State_Region!$A$2:$A$26,0))</f>
        <v>North</v>
      </c>
      <c r="C858" s="3" t="s">
        <v>201</v>
      </c>
      <c r="D858" s="3" t="str">
        <f>INDEX(Port_Type!$B$2:$B$227,MATCH(TRIM(C858),Port_Type!$A$2:$A$227,0))</f>
        <v>Inland ICD / CFS</v>
      </c>
      <c r="E858" s="3" t="s">
        <v>54</v>
      </c>
      <c r="F858" s="3" t="str">
        <f>INDEX(Product_Category!$B$2:$B$45,MATCH(TRIM(E858),Product_Category!$A$2:$A$45,0))</f>
        <v>Processed Foods</v>
      </c>
      <c r="G858" s="4">
        <v>0.09</v>
      </c>
      <c r="H858" s="4">
        <v>0.28999999999999998</v>
      </c>
      <c r="I858" s="4">
        <v>0.21</v>
      </c>
      <c r="J858" s="4">
        <v>12.13</v>
      </c>
      <c r="K858" s="4">
        <v>37.130000000000003</v>
      </c>
      <c r="L858" s="4">
        <v>28.14</v>
      </c>
      <c r="M858" s="4">
        <f t="shared" si="39"/>
        <v>0.19999999999999998</v>
      </c>
      <c r="N858" s="4">
        <f t="shared" si="40"/>
        <v>25</v>
      </c>
      <c r="O858" s="4">
        <f t="shared" si="41"/>
        <v>-7.9999999999999988E-2</v>
      </c>
      <c r="P858" s="3" t="s">
        <v>19</v>
      </c>
    </row>
    <row r="859" spans="1:16" x14ac:dyDescent="0.35">
      <c r="A859" s="3" t="s">
        <v>16</v>
      </c>
      <c r="B859" s="3" t="str">
        <f>INDEX(State_Region!$B$2:$B$26,MATCH(TRIM(A859),State_Region!$A$2:$A$26,0))</f>
        <v>West</v>
      </c>
      <c r="C859" s="3" t="s">
        <v>172</v>
      </c>
      <c r="D859" s="3" t="str">
        <f>INDEX(Port_Type!$B$2:$B$227,MATCH(TRIM(C859),Port_Type!$A$2:$A$227,0))</f>
        <v>Sea Port</v>
      </c>
      <c r="E859" s="3" t="s">
        <v>144</v>
      </c>
      <c r="F859" s="3" t="str">
        <f>INDEX(Product_Category!$B$2:$B$45,MATCH(TRIM(E859),Product_Category!$A$2:$A$45,0))</f>
        <v>Cereals &amp; Grains</v>
      </c>
      <c r="G859" s="4">
        <v>0.25</v>
      </c>
      <c r="H859" s="4">
        <v>0.34</v>
      </c>
      <c r="I859" s="4">
        <v>0.21</v>
      </c>
      <c r="J859" s="4">
        <v>715</v>
      </c>
      <c r="K859" s="4">
        <v>1008</v>
      </c>
      <c r="L859" s="4">
        <v>672</v>
      </c>
      <c r="M859" s="4">
        <f t="shared" si="39"/>
        <v>9.0000000000000024E-2</v>
      </c>
      <c r="N859" s="4">
        <f t="shared" si="40"/>
        <v>293</v>
      </c>
      <c r="O859" s="4">
        <f t="shared" si="41"/>
        <v>-0.13000000000000003</v>
      </c>
      <c r="P859" s="3" t="s">
        <v>19</v>
      </c>
    </row>
    <row r="860" spans="1:16" x14ac:dyDescent="0.35">
      <c r="A860" s="3" t="s">
        <v>79</v>
      </c>
      <c r="B860" s="3" t="str">
        <f>INDEX(State_Region!$B$2:$B$26,MATCH(TRIM(A860),State_Region!$A$2:$A$26,0))</f>
        <v>South</v>
      </c>
      <c r="C860" s="3" t="s">
        <v>92</v>
      </c>
      <c r="D860" s="3" t="str">
        <f>INDEX(Port_Type!$B$2:$B$227,MATCH(TRIM(C860),Port_Type!$A$2:$A$227,0))</f>
        <v>Air Cargo</v>
      </c>
      <c r="E860" s="3" t="s">
        <v>54</v>
      </c>
      <c r="F860" s="3" t="str">
        <f>INDEX(Product_Category!$B$2:$B$45,MATCH(TRIM(E860),Product_Category!$A$2:$A$45,0))</f>
        <v>Processed Foods</v>
      </c>
      <c r="G860" s="4">
        <v>0.45</v>
      </c>
      <c r="H860" s="4">
        <v>0.23</v>
      </c>
      <c r="I860" s="4">
        <v>0.21</v>
      </c>
      <c r="J860" s="4">
        <v>52.28</v>
      </c>
      <c r="K860" s="4">
        <v>60.1</v>
      </c>
      <c r="L860" s="4">
        <v>65.64</v>
      </c>
      <c r="M860" s="4">
        <f t="shared" si="39"/>
        <v>-0.22</v>
      </c>
      <c r="N860" s="4">
        <f t="shared" si="40"/>
        <v>7.82</v>
      </c>
      <c r="O860" s="4">
        <f t="shared" si="41"/>
        <v>-2.0000000000000018E-2</v>
      </c>
      <c r="P860" s="3" t="s">
        <v>19</v>
      </c>
    </row>
    <row r="861" spans="1:16" x14ac:dyDescent="0.35">
      <c r="A861" s="3" t="s">
        <v>31</v>
      </c>
      <c r="B861" s="3" t="str">
        <f>INDEX(State_Region!$B$2:$B$26,MATCH(TRIM(A861),State_Region!$A$2:$A$26,0))</f>
        <v>East</v>
      </c>
      <c r="C861" s="3" t="s">
        <v>139</v>
      </c>
      <c r="D861" s="3" t="str">
        <f>INDEX(Port_Type!$B$2:$B$227,MATCH(TRIM(C861),Port_Type!$A$2:$A$227,0))</f>
        <v>Land Border / Rail</v>
      </c>
      <c r="E861" s="3" t="s">
        <v>84</v>
      </c>
      <c r="F861" s="3" t="str">
        <f>INDEX(Product_Category!$B$2:$B$45,MATCH(TRIM(E861),Product_Category!$A$2:$A$45,0))</f>
        <v>Nuts &amp; Oilseeds</v>
      </c>
      <c r="G861" s="4">
        <v>0.11</v>
      </c>
      <c r="H861" s="4">
        <v>0.2</v>
      </c>
      <c r="I861" s="4">
        <v>0.21</v>
      </c>
      <c r="J861" s="4">
        <v>383.42</v>
      </c>
      <c r="K861" s="4">
        <v>608.37</v>
      </c>
      <c r="L861" s="4">
        <v>683.94</v>
      </c>
      <c r="M861" s="4">
        <f t="shared" si="39"/>
        <v>9.0000000000000011E-2</v>
      </c>
      <c r="N861" s="4">
        <f t="shared" si="40"/>
        <v>224.95</v>
      </c>
      <c r="O861" s="4">
        <f t="shared" si="41"/>
        <v>9.9999999999999811E-3</v>
      </c>
      <c r="P861" s="3" t="s">
        <v>19</v>
      </c>
    </row>
    <row r="862" spans="1:16" x14ac:dyDescent="0.35">
      <c r="A862" s="3" t="s">
        <v>77</v>
      </c>
      <c r="B862" s="3" t="str">
        <f>INDEX(State_Region!$B$2:$B$26,MATCH(TRIM(A862),State_Region!$A$2:$A$26,0))</f>
        <v>South</v>
      </c>
      <c r="C862" s="3" t="s">
        <v>157</v>
      </c>
      <c r="D862" s="3" t="str">
        <f>INDEX(Port_Type!$B$2:$B$227,MATCH(TRIM(C862),Port_Type!$A$2:$A$227,0))</f>
        <v>Air Cargo</v>
      </c>
      <c r="E862" s="3" t="s">
        <v>54</v>
      </c>
      <c r="F862" s="3" t="str">
        <f>INDEX(Product_Category!$B$2:$B$45,MATCH(TRIM(E862),Product_Category!$A$2:$A$45,0))</f>
        <v>Processed Foods</v>
      </c>
      <c r="G862" s="4">
        <v>0.27</v>
      </c>
      <c r="H862" s="4">
        <v>0.28000000000000003</v>
      </c>
      <c r="I862" s="4">
        <v>0.21</v>
      </c>
      <c r="J862" s="4">
        <v>170.7</v>
      </c>
      <c r="K862" s="4">
        <v>199.62</v>
      </c>
      <c r="L862" s="4">
        <v>99</v>
      </c>
      <c r="M862" s="4">
        <f t="shared" si="39"/>
        <v>1.0000000000000009E-2</v>
      </c>
      <c r="N862" s="4">
        <f t="shared" si="40"/>
        <v>28.920000000000016</v>
      </c>
      <c r="O862" s="4">
        <f t="shared" si="41"/>
        <v>-7.0000000000000034E-2</v>
      </c>
      <c r="P862" s="3" t="s">
        <v>19</v>
      </c>
    </row>
    <row r="863" spans="1:16" x14ac:dyDescent="0.35">
      <c r="A863" s="3" t="s">
        <v>79</v>
      </c>
      <c r="B863" s="3" t="str">
        <f>INDEX(State_Region!$B$2:$B$26,MATCH(TRIM(A863),State_Region!$A$2:$A$26,0))</f>
        <v>South</v>
      </c>
      <c r="C863" s="3" t="s">
        <v>92</v>
      </c>
      <c r="D863" s="3" t="str">
        <f>INDEX(Port_Type!$B$2:$B$227,MATCH(TRIM(C863),Port_Type!$A$2:$A$227,0))</f>
        <v>Air Cargo</v>
      </c>
      <c r="E863" s="3" t="s">
        <v>42</v>
      </c>
      <c r="F863" s="3" t="str">
        <f>INDEX(Product_Category!$B$2:$B$45,MATCH(TRIM(E863),Product_Category!$A$2:$A$45,0))</f>
        <v>Processed Foods</v>
      </c>
      <c r="G863" s="4">
        <v>0.69</v>
      </c>
      <c r="H863" s="4">
        <v>0.87</v>
      </c>
      <c r="I863" s="4">
        <v>0.21</v>
      </c>
      <c r="J863" s="4">
        <v>135.41</v>
      </c>
      <c r="K863" s="4">
        <v>168.9</v>
      </c>
      <c r="L863" s="4">
        <v>30.66</v>
      </c>
      <c r="M863" s="4">
        <f t="shared" si="39"/>
        <v>0.18000000000000005</v>
      </c>
      <c r="N863" s="4">
        <f t="shared" si="40"/>
        <v>33.490000000000009</v>
      </c>
      <c r="O863" s="4">
        <f t="shared" si="41"/>
        <v>-0.66</v>
      </c>
      <c r="P863" s="3" t="s">
        <v>19</v>
      </c>
    </row>
    <row r="864" spans="1:16" x14ac:dyDescent="0.35">
      <c r="A864" s="3" t="s">
        <v>31</v>
      </c>
      <c r="B864" s="3" t="str">
        <f>INDEX(State_Region!$B$2:$B$26,MATCH(TRIM(A864),State_Region!$A$2:$A$26,0))</f>
        <v>East</v>
      </c>
      <c r="C864" s="3" t="s">
        <v>146</v>
      </c>
      <c r="D864" s="3" t="str">
        <f>INDEX(Port_Type!$B$2:$B$227,MATCH(TRIM(C864),Port_Type!$A$2:$A$227,0))</f>
        <v>Land Border / Rail</v>
      </c>
      <c r="E864" s="3" t="s">
        <v>45</v>
      </c>
      <c r="F864" s="3" t="str">
        <f>INDEX(Product_Category!$B$2:$B$45,MATCH(TRIM(E864),Product_Category!$A$2:$A$45,0))</f>
        <v>Fresh Fruits &amp; Vegetables</v>
      </c>
      <c r="G864" s="4">
        <v>0</v>
      </c>
      <c r="H864" s="4">
        <v>0.01</v>
      </c>
      <c r="I864" s="4">
        <v>0.21</v>
      </c>
      <c r="J864" s="4">
        <v>0.5</v>
      </c>
      <c r="K864" s="4">
        <v>52.06</v>
      </c>
      <c r="L864" s="4">
        <v>57.86</v>
      </c>
      <c r="M864" s="4">
        <f t="shared" si="39"/>
        <v>0.01</v>
      </c>
      <c r="N864" s="4">
        <f t="shared" si="40"/>
        <v>51.56</v>
      </c>
      <c r="O864" s="4">
        <f t="shared" si="41"/>
        <v>0.19999999999999998</v>
      </c>
      <c r="P864" s="3" t="s">
        <v>19</v>
      </c>
    </row>
    <row r="865" spans="1:16" x14ac:dyDescent="0.35">
      <c r="A865" s="3" t="s">
        <v>20</v>
      </c>
      <c r="B865" s="3" t="str">
        <f>INDEX(State_Region!$B$2:$B$26,MATCH(TRIM(A865),State_Region!$A$2:$A$26,0))</f>
        <v>West</v>
      </c>
      <c r="C865" s="3" t="s">
        <v>68</v>
      </c>
      <c r="D865" s="3" t="str">
        <f>INDEX(Port_Type!$B$2:$B$227,MATCH(TRIM(C865),Port_Type!$A$2:$A$227,0))</f>
        <v>Air Cargo</v>
      </c>
      <c r="E865" s="3" t="s">
        <v>54</v>
      </c>
      <c r="F865" s="3" t="str">
        <f>INDEX(Product_Category!$B$2:$B$45,MATCH(TRIM(E865),Product_Category!$A$2:$A$45,0))</f>
        <v>Processed Foods</v>
      </c>
      <c r="G865" s="4">
        <v>0.82</v>
      </c>
      <c r="H865" s="4">
        <v>0.61</v>
      </c>
      <c r="I865" s="4">
        <v>0.21</v>
      </c>
      <c r="J865" s="4">
        <v>127.91</v>
      </c>
      <c r="K865" s="4">
        <v>105.41</v>
      </c>
      <c r="L865" s="4">
        <v>35.729999999999997</v>
      </c>
      <c r="M865" s="4">
        <f t="shared" si="39"/>
        <v>-0.20999999999999996</v>
      </c>
      <c r="N865" s="4">
        <f t="shared" si="40"/>
        <v>-22.5</v>
      </c>
      <c r="O865" s="4">
        <f t="shared" si="41"/>
        <v>-0.4</v>
      </c>
      <c r="P865" s="3" t="s">
        <v>19</v>
      </c>
    </row>
    <row r="866" spans="1:16" x14ac:dyDescent="0.35">
      <c r="A866" s="3" t="s">
        <v>66</v>
      </c>
      <c r="B866" s="3" t="str">
        <f>INDEX(State_Region!$B$2:$B$26,MATCH(TRIM(A866),State_Region!$A$2:$A$26,0))</f>
        <v>North</v>
      </c>
      <c r="C866" s="3" t="s">
        <v>127</v>
      </c>
      <c r="D866" s="3" t="str">
        <f>INDEX(Port_Type!$B$2:$B$227,MATCH(TRIM(C866),Port_Type!$A$2:$A$227,0))</f>
        <v>Inland ICD / CFS</v>
      </c>
      <c r="E866" s="3" t="s">
        <v>53</v>
      </c>
      <c r="F866" s="3" t="str">
        <f>INDEX(Product_Category!$B$2:$B$45,MATCH(TRIM(E866),Product_Category!$A$2:$A$45,0))</f>
        <v>Processed Foods</v>
      </c>
      <c r="G866" s="4">
        <v>0.74</v>
      </c>
      <c r="H866" s="4">
        <v>0.91</v>
      </c>
      <c r="I866" s="4">
        <v>0.21</v>
      </c>
      <c r="J866" s="4">
        <v>523.63</v>
      </c>
      <c r="K866" s="4">
        <v>651.38</v>
      </c>
      <c r="L866" s="4">
        <v>127.72</v>
      </c>
      <c r="M866" s="4">
        <f t="shared" si="39"/>
        <v>0.17000000000000004</v>
      </c>
      <c r="N866" s="4">
        <f t="shared" si="40"/>
        <v>127.75</v>
      </c>
      <c r="O866" s="4">
        <f t="shared" si="41"/>
        <v>-0.70000000000000007</v>
      </c>
      <c r="P866" s="3" t="s">
        <v>19</v>
      </c>
    </row>
    <row r="867" spans="1:16" x14ac:dyDescent="0.35">
      <c r="A867" s="3" t="s">
        <v>129</v>
      </c>
      <c r="B867" s="3" t="str">
        <f>INDEX(State_Region!$B$2:$B$26,MATCH(TRIM(A867),State_Region!$A$2:$A$26,0))</f>
        <v>East</v>
      </c>
      <c r="C867" s="3" t="s">
        <v>147</v>
      </c>
      <c r="D867" s="3" t="str">
        <f>INDEX(Port_Type!$B$2:$B$227,MATCH(TRIM(C867),Port_Type!$A$2:$A$227,0))</f>
        <v>Land Border / Rail</v>
      </c>
      <c r="E867" s="3" t="s">
        <v>33</v>
      </c>
      <c r="F867" s="3" t="str">
        <f>INDEX(Product_Category!$B$2:$B$45,MATCH(TRIM(E867),Product_Category!$A$2:$A$45,0))</f>
        <v>Pulses</v>
      </c>
      <c r="G867" s="4">
        <v>1.5</v>
      </c>
      <c r="H867" s="4">
        <v>1.02</v>
      </c>
      <c r="I867" s="4">
        <v>0.21</v>
      </c>
      <c r="J867" s="4">
        <v>1808.07</v>
      </c>
      <c r="K867" s="4">
        <v>1429.37</v>
      </c>
      <c r="L867" s="4">
        <v>309.63</v>
      </c>
      <c r="M867" s="4">
        <f t="shared" si="39"/>
        <v>-0.48</v>
      </c>
      <c r="N867" s="4">
        <f t="shared" si="40"/>
        <v>-378.70000000000005</v>
      </c>
      <c r="O867" s="4">
        <f t="shared" si="41"/>
        <v>-0.81</v>
      </c>
      <c r="P867" s="3" t="s">
        <v>19</v>
      </c>
    </row>
    <row r="868" spans="1:16" x14ac:dyDescent="0.35">
      <c r="A868" s="3" t="s">
        <v>189</v>
      </c>
      <c r="B868" s="3" t="str">
        <f>INDEX(State_Region!$B$2:$B$26,MATCH(TRIM(A868),State_Region!$A$2:$A$26,0))</f>
        <v>North</v>
      </c>
      <c r="C868" s="3" t="s">
        <v>193</v>
      </c>
      <c r="D868" s="3" t="str">
        <f>INDEX(Port_Type!$B$2:$B$227,MATCH(TRIM(C868),Port_Type!$A$2:$A$227,0))</f>
        <v>Inland ICD / CFS</v>
      </c>
      <c r="E868" s="3" t="s">
        <v>39</v>
      </c>
      <c r="F868" s="3" t="str">
        <f>INDEX(Product_Category!$B$2:$B$45,MATCH(TRIM(E868),Product_Category!$A$2:$A$45,0))</f>
        <v>Processed Foods</v>
      </c>
      <c r="G868" s="4">
        <v>1.06</v>
      </c>
      <c r="H868" s="4">
        <v>0.82</v>
      </c>
      <c r="I868" s="4">
        <v>0.2</v>
      </c>
      <c r="J868" s="4">
        <v>208.34</v>
      </c>
      <c r="K868" s="4">
        <v>235.92</v>
      </c>
      <c r="L868" s="4">
        <v>41.4</v>
      </c>
      <c r="M868" s="4">
        <f t="shared" si="39"/>
        <v>-0.2400000000000001</v>
      </c>
      <c r="N868" s="4">
        <f t="shared" si="40"/>
        <v>27.579999999999984</v>
      </c>
      <c r="O868" s="4">
        <f t="shared" si="41"/>
        <v>-0.61999999999999988</v>
      </c>
      <c r="P868" s="3" t="s">
        <v>19</v>
      </c>
    </row>
    <row r="869" spans="1:16" x14ac:dyDescent="0.35">
      <c r="A869" s="3" t="s">
        <v>23</v>
      </c>
      <c r="B869" s="3" t="str">
        <f>INDEX(State_Region!$B$2:$B$26,MATCH(TRIM(A869),State_Region!$A$2:$A$26,0))</f>
        <v>North</v>
      </c>
      <c r="C869" s="3" t="s">
        <v>24</v>
      </c>
      <c r="D869" s="3" t="str">
        <f>INDEX(Port_Type!$B$2:$B$227,MATCH(TRIM(C869),Port_Type!$A$2:$A$227,0))</f>
        <v>Inland ICD / CFS</v>
      </c>
      <c r="E869" s="3" t="s">
        <v>42</v>
      </c>
      <c r="F869" s="3" t="str">
        <f>INDEX(Product_Category!$B$2:$B$45,MATCH(TRIM(E869),Product_Category!$A$2:$A$45,0))</f>
        <v>Processed Foods</v>
      </c>
      <c r="G869" s="4">
        <v>0.39</v>
      </c>
      <c r="H869" s="4">
        <v>0.4</v>
      </c>
      <c r="I869" s="4">
        <v>0.2</v>
      </c>
      <c r="J869" s="4">
        <v>180.8</v>
      </c>
      <c r="K869" s="4">
        <v>131.88999999999999</v>
      </c>
      <c r="L869" s="4">
        <v>67.489999999999995</v>
      </c>
      <c r="M869" s="4">
        <f t="shared" si="39"/>
        <v>1.0000000000000009E-2</v>
      </c>
      <c r="N869" s="4">
        <f t="shared" si="40"/>
        <v>-48.910000000000025</v>
      </c>
      <c r="O869" s="4">
        <f t="shared" si="41"/>
        <v>-0.2</v>
      </c>
      <c r="P869" s="3" t="s">
        <v>19</v>
      </c>
    </row>
    <row r="870" spans="1:16" x14ac:dyDescent="0.35">
      <c r="A870" s="3" t="s">
        <v>16</v>
      </c>
      <c r="B870" s="3" t="str">
        <f>INDEX(State_Region!$B$2:$B$26,MATCH(TRIM(A870),State_Region!$A$2:$A$26,0))</f>
        <v>West</v>
      </c>
      <c r="C870" s="3" t="s">
        <v>17</v>
      </c>
      <c r="D870" s="3" t="str">
        <f>INDEX(Port_Type!$B$2:$B$227,MATCH(TRIM(C870),Port_Type!$A$2:$A$227,0))</f>
        <v>Sea Port</v>
      </c>
      <c r="E870" s="3" t="s">
        <v>122</v>
      </c>
      <c r="F870" s="3" t="str">
        <f>INDEX(Product_Category!$B$2:$B$45,MATCH(TRIM(E870),Product_Category!$A$2:$A$45,0))</f>
        <v>Others</v>
      </c>
      <c r="G870" s="4">
        <v>0.34</v>
      </c>
      <c r="H870" s="4">
        <v>0.38</v>
      </c>
      <c r="I870" s="4">
        <v>0.2</v>
      </c>
      <c r="J870" s="4">
        <v>169.25</v>
      </c>
      <c r="K870" s="4">
        <v>110.66</v>
      </c>
      <c r="L870" s="4">
        <v>34.06</v>
      </c>
      <c r="M870" s="4">
        <f t="shared" si="39"/>
        <v>3.999999999999998E-2</v>
      </c>
      <c r="N870" s="4">
        <f t="shared" si="40"/>
        <v>-58.59</v>
      </c>
      <c r="O870" s="4">
        <f t="shared" si="41"/>
        <v>-0.18</v>
      </c>
      <c r="P870" s="3" t="s">
        <v>19</v>
      </c>
    </row>
    <row r="871" spans="1:16" x14ac:dyDescent="0.35">
      <c r="A871" s="3" t="s">
        <v>77</v>
      </c>
      <c r="B871" s="3" t="str">
        <f>INDEX(State_Region!$B$2:$B$26,MATCH(TRIM(A871),State_Region!$A$2:$A$26,0))</f>
        <v>South</v>
      </c>
      <c r="C871" s="3" t="s">
        <v>149</v>
      </c>
      <c r="D871" s="3" t="str">
        <f>INDEX(Port_Type!$B$2:$B$227,MATCH(TRIM(C871),Port_Type!$A$2:$A$227,0))</f>
        <v>SEZ / EPZ</v>
      </c>
      <c r="E871" s="3" t="s">
        <v>48</v>
      </c>
      <c r="F871" s="3" t="str">
        <f>INDEX(Product_Category!$B$2:$B$45,MATCH(TRIM(E871),Product_Category!$A$2:$A$45,0))</f>
        <v>Processed Foods</v>
      </c>
      <c r="G871" s="4">
        <v>0.32</v>
      </c>
      <c r="H871" s="4">
        <v>0.55000000000000004</v>
      </c>
      <c r="I871" s="4">
        <v>0.2</v>
      </c>
      <c r="J871" s="4">
        <v>236.04</v>
      </c>
      <c r="K871" s="4">
        <v>215.17</v>
      </c>
      <c r="L871" s="4">
        <v>72.819999999999993</v>
      </c>
      <c r="M871" s="4">
        <f t="shared" si="39"/>
        <v>0.23000000000000004</v>
      </c>
      <c r="N871" s="4">
        <f t="shared" si="40"/>
        <v>-20.870000000000005</v>
      </c>
      <c r="O871" s="4">
        <f t="shared" si="41"/>
        <v>-0.35000000000000003</v>
      </c>
      <c r="P871" s="3" t="s">
        <v>19</v>
      </c>
    </row>
    <row r="872" spans="1:16" x14ac:dyDescent="0.35">
      <c r="A872" s="3" t="s">
        <v>16</v>
      </c>
      <c r="B872" s="3" t="str">
        <f>INDEX(State_Region!$B$2:$B$26,MATCH(TRIM(A872),State_Region!$A$2:$A$26,0))</f>
        <v>West</v>
      </c>
      <c r="C872" s="3" t="s">
        <v>109</v>
      </c>
      <c r="D872" s="3" t="str">
        <f>INDEX(Port_Type!$B$2:$B$227,MATCH(TRIM(C872),Port_Type!$A$2:$A$227,0))</f>
        <v>SEZ / EPZ</v>
      </c>
      <c r="E872" s="3" t="s">
        <v>18</v>
      </c>
      <c r="F872" s="3" t="str">
        <f>INDEX(Product_Category!$B$2:$B$45,MATCH(TRIM(E872),Product_Category!$A$2:$A$45,0))</f>
        <v>Cereals &amp; Grains</v>
      </c>
      <c r="G872" s="4">
        <v>0.83</v>
      </c>
      <c r="H872" s="4">
        <v>0.62</v>
      </c>
      <c r="I872" s="4">
        <v>0.2</v>
      </c>
      <c r="J872" s="4">
        <v>700.8</v>
      </c>
      <c r="K872" s="4">
        <v>509.7</v>
      </c>
      <c r="L872" s="4">
        <v>175.67</v>
      </c>
      <c r="M872" s="4">
        <f t="shared" si="39"/>
        <v>-0.20999999999999996</v>
      </c>
      <c r="N872" s="4">
        <f t="shared" si="40"/>
        <v>-191.09999999999997</v>
      </c>
      <c r="O872" s="4">
        <f t="shared" si="41"/>
        <v>-0.42</v>
      </c>
      <c r="P872" s="3" t="s">
        <v>19</v>
      </c>
    </row>
    <row r="873" spans="1:16" x14ac:dyDescent="0.35">
      <c r="A873" s="3" t="s">
        <v>20</v>
      </c>
      <c r="B873" s="3" t="str">
        <f>INDEX(State_Region!$B$2:$B$26,MATCH(TRIM(A873),State_Region!$A$2:$A$26,0))</f>
        <v>West</v>
      </c>
      <c r="C873" s="3" t="s">
        <v>82</v>
      </c>
      <c r="D873" s="3" t="str">
        <f>INDEX(Port_Type!$B$2:$B$227,MATCH(TRIM(C873),Port_Type!$A$2:$A$227,0))</f>
        <v>Inland ICD / CFS</v>
      </c>
      <c r="E873" s="3" t="s">
        <v>151</v>
      </c>
      <c r="F873" s="3" t="str">
        <f>INDEX(Product_Category!$B$2:$B$45,MATCH(TRIM(E873),Product_Category!$A$2:$A$45,0))</f>
        <v>Processed Foods</v>
      </c>
      <c r="G873" s="4">
        <v>4.08</v>
      </c>
      <c r="H873" s="4">
        <v>0.4</v>
      </c>
      <c r="I873" s="4">
        <v>0.2</v>
      </c>
      <c r="J873" s="4">
        <v>3215.47</v>
      </c>
      <c r="K873" s="4">
        <v>237.69</v>
      </c>
      <c r="L873" s="4">
        <v>242.94</v>
      </c>
      <c r="M873" s="4">
        <f t="shared" si="39"/>
        <v>-3.68</v>
      </c>
      <c r="N873" s="4">
        <f t="shared" si="40"/>
        <v>-2977.7799999999997</v>
      </c>
      <c r="O873" s="4">
        <f t="shared" si="41"/>
        <v>-0.2</v>
      </c>
      <c r="P873" s="3" t="s">
        <v>19</v>
      </c>
    </row>
    <row r="874" spans="1:16" x14ac:dyDescent="0.35">
      <c r="A874" s="3" t="s">
        <v>57</v>
      </c>
      <c r="B874" s="3" t="str">
        <f>INDEX(State_Region!$B$2:$B$26,MATCH(TRIM(A874),State_Region!$A$2:$A$26,0))</f>
        <v>Central</v>
      </c>
      <c r="C874" s="3" t="s">
        <v>97</v>
      </c>
      <c r="D874" s="3" t="str">
        <f>INDEX(Port_Type!$B$2:$B$227,MATCH(TRIM(C874),Port_Type!$A$2:$A$227,0))</f>
        <v>Inland ICD / CFS</v>
      </c>
      <c r="E874" s="3" t="s">
        <v>59</v>
      </c>
      <c r="F874" s="3" t="str">
        <f>INDEX(Product_Category!$B$2:$B$45,MATCH(TRIM(E874),Product_Category!$A$2:$A$45,0))</f>
        <v>Processed Foods</v>
      </c>
      <c r="G874" s="4">
        <v>0.02</v>
      </c>
      <c r="H874" s="4">
        <v>0.64</v>
      </c>
      <c r="I874" s="4">
        <v>0.2</v>
      </c>
      <c r="J874" s="4">
        <v>12.81</v>
      </c>
      <c r="K874" s="4">
        <v>559.49</v>
      </c>
      <c r="L874" s="4">
        <v>148.88999999999999</v>
      </c>
      <c r="M874" s="4">
        <f t="shared" si="39"/>
        <v>0.62</v>
      </c>
      <c r="N874" s="4">
        <f t="shared" si="40"/>
        <v>546.68000000000006</v>
      </c>
      <c r="O874" s="4">
        <f t="shared" si="41"/>
        <v>-0.44</v>
      </c>
      <c r="P874" s="3" t="s">
        <v>19</v>
      </c>
    </row>
    <row r="875" spans="1:16" x14ac:dyDescent="0.35">
      <c r="A875" s="3" t="s">
        <v>77</v>
      </c>
      <c r="B875" s="3" t="str">
        <f>INDEX(State_Region!$B$2:$B$26,MATCH(TRIM(A875),State_Region!$A$2:$A$26,0))</f>
        <v>South</v>
      </c>
      <c r="C875" s="3" t="s">
        <v>157</v>
      </c>
      <c r="D875" s="3" t="str">
        <f>INDEX(Port_Type!$B$2:$B$227,MATCH(TRIM(C875),Port_Type!$A$2:$A$227,0))</f>
        <v>Air Cargo</v>
      </c>
      <c r="E875" s="3" t="s">
        <v>122</v>
      </c>
      <c r="F875" s="3" t="str">
        <f>INDEX(Product_Category!$B$2:$B$45,MATCH(TRIM(E875),Product_Category!$A$2:$A$45,0))</f>
        <v>Others</v>
      </c>
      <c r="G875" s="4">
        <v>0.24</v>
      </c>
      <c r="H875" s="4">
        <v>0.46</v>
      </c>
      <c r="I875" s="4">
        <v>0.2</v>
      </c>
      <c r="J875" s="4">
        <v>171.34</v>
      </c>
      <c r="K875" s="4">
        <v>348.47</v>
      </c>
      <c r="L875" s="4">
        <v>119.63</v>
      </c>
      <c r="M875" s="4">
        <f t="shared" si="39"/>
        <v>0.22000000000000003</v>
      </c>
      <c r="N875" s="4">
        <f t="shared" si="40"/>
        <v>177.13000000000002</v>
      </c>
      <c r="O875" s="4">
        <f t="shared" si="41"/>
        <v>-0.26</v>
      </c>
      <c r="P875" s="3" t="s">
        <v>19</v>
      </c>
    </row>
    <row r="876" spans="1:16" x14ac:dyDescent="0.35">
      <c r="A876" s="3" t="s">
        <v>16</v>
      </c>
      <c r="B876" s="3" t="str">
        <f>INDEX(State_Region!$B$2:$B$26,MATCH(TRIM(A876),State_Region!$A$2:$A$26,0))</f>
        <v>West</v>
      </c>
      <c r="C876" s="3" t="s">
        <v>109</v>
      </c>
      <c r="D876" s="3" t="str">
        <f>INDEX(Port_Type!$B$2:$B$227,MATCH(TRIM(C876),Port_Type!$A$2:$A$227,0))</f>
        <v>SEZ / EPZ</v>
      </c>
      <c r="E876" s="3" t="s">
        <v>51</v>
      </c>
      <c r="F876" s="3" t="str">
        <f>INDEX(Product_Category!$B$2:$B$45,MATCH(TRIM(E876),Product_Category!$A$2:$A$45,0))</f>
        <v>Nuts &amp; Oilseeds</v>
      </c>
      <c r="G876" s="4">
        <v>4.16</v>
      </c>
      <c r="H876" s="4">
        <v>0.91</v>
      </c>
      <c r="I876" s="4">
        <v>0.2</v>
      </c>
      <c r="J876" s="4">
        <v>3067.85</v>
      </c>
      <c r="K876" s="4">
        <v>772.11</v>
      </c>
      <c r="L876" s="4">
        <v>147.34</v>
      </c>
      <c r="M876" s="4">
        <f t="shared" si="39"/>
        <v>-3.25</v>
      </c>
      <c r="N876" s="4">
        <f t="shared" si="40"/>
        <v>-2295.7399999999998</v>
      </c>
      <c r="O876" s="4">
        <f t="shared" si="41"/>
        <v>-0.71</v>
      </c>
      <c r="P876" s="3" t="s">
        <v>19</v>
      </c>
    </row>
    <row r="877" spans="1:16" x14ac:dyDescent="0.35">
      <c r="A877" s="3" t="s">
        <v>159</v>
      </c>
      <c r="B877" s="3" t="str">
        <f>INDEX(State_Region!$B$2:$B$26,MATCH(TRIM(A877),State_Region!$A$2:$A$26,0))</f>
        <v>North-East</v>
      </c>
      <c r="C877" s="3" t="s">
        <v>218</v>
      </c>
      <c r="D877" s="3" t="str">
        <f>INDEX(Port_Type!$B$2:$B$227,MATCH(TRIM(C877),Port_Type!$A$2:$A$227,0))</f>
        <v>Land Border / Rail</v>
      </c>
      <c r="E877" s="3" t="s">
        <v>27</v>
      </c>
      <c r="F877" s="3" t="str">
        <f>INDEX(Product_Category!$B$2:$B$45,MATCH(TRIM(E877),Product_Category!$A$2:$A$45,0))</f>
        <v>Cereals &amp; Grains</v>
      </c>
      <c r="G877" s="4">
        <v>0</v>
      </c>
      <c r="H877" s="4">
        <v>0.27</v>
      </c>
      <c r="I877" s="4">
        <v>0.2</v>
      </c>
      <c r="J877" s="4">
        <v>0</v>
      </c>
      <c r="K877" s="4">
        <v>662.77</v>
      </c>
      <c r="L877" s="4">
        <v>505.04</v>
      </c>
      <c r="M877" s="4">
        <f t="shared" si="39"/>
        <v>0.27</v>
      </c>
      <c r="N877" s="4">
        <f t="shared" si="40"/>
        <v>662.77</v>
      </c>
      <c r="O877" s="4">
        <f t="shared" si="41"/>
        <v>-7.0000000000000007E-2</v>
      </c>
      <c r="P877" s="3" t="s">
        <v>19</v>
      </c>
    </row>
    <row r="878" spans="1:16" x14ac:dyDescent="0.35">
      <c r="A878" s="3" t="s">
        <v>40</v>
      </c>
      <c r="B878" s="3" t="str">
        <f>INDEX(State_Region!$B$2:$B$26,MATCH(TRIM(A878),State_Region!$A$2:$A$26,0))</f>
        <v>South</v>
      </c>
      <c r="C878" s="3" t="s">
        <v>220</v>
      </c>
      <c r="D878" s="3" t="str">
        <f>INDEX(Port_Type!$B$2:$B$227,MATCH(TRIM(C878),Port_Type!$A$2:$A$227,0))</f>
        <v>Inland ICD / CFS</v>
      </c>
      <c r="E878" s="3" t="s">
        <v>72</v>
      </c>
      <c r="F878" s="3" t="str">
        <f>INDEX(Product_Category!$B$2:$B$45,MATCH(TRIM(E878),Product_Category!$A$2:$A$45,0))</f>
        <v>Dairy, Poultry &amp; Honey</v>
      </c>
      <c r="G878" s="4">
        <v>7.0000000000000007E-2</v>
      </c>
      <c r="H878" s="4">
        <v>0.57999999999999996</v>
      </c>
      <c r="I878" s="4">
        <v>0.2</v>
      </c>
      <c r="J878" s="4">
        <v>8.65</v>
      </c>
      <c r="K878" s="4">
        <v>82.66</v>
      </c>
      <c r="L878" s="4">
        <v>35.65</v>
      </c>
      <c r="M878" s="4">
        <f t="shared" si="39"/>
        <v>0.51</v>
      </c>
      <c r="N878" s="4">
        <f t="shared" si="40"/>
        <v>74.009999999999991</v>
      </c>
      <c r="O878" s="4">
        <f t="shared" si="41"/>
        <v>-0.37999999999999995</v>
      </c>
      <c r="P878" s="3" t="s">
        <v>19</v>
      </c>
    </row>
    <row r="879" spans="1:16" x14ac:dyDescent="0.35">
      <c r="A879" s="3" t="s">
        <v>31</v>
      </c>
      <c r="B879" s="3" t="str">
        <f>INDEX(State_Region!$B$2:$B$26,MATCH(TRIM(A879),State_Region!$A$2:$A$26,0))</f>
        <v>East</v>
      </c>
      <c r="C879" s="3" t="s">
        <v>131</v>
      </c>
      <c r="D879" s="3" t="str">
        <f>INDEX(Port_Type!$B$2:$B$227,MATCH(TRIM(C879),Port_Type!$A$2:$A$227,0))</f>
        <v>Land Border / Rail</v>
      </c>
      <c r="E879" s="3" t="s">
        <v>221</v>
      </c>
      <c r="F879" s="3" t="str">
        <f>INDEX(Product_Category!$B$2:$B$45,MATCH(TRIM(E879),Product_Category!$A$2:$A$45,0))</f>
        <v>Meat &amp; Animal Products</v>
      </c>
      <c r="G879" s="4">
        <v>0.49</v>
      </c>
      <c r="H879" s="4">
        <v>0.55000000000000004</v>
      </c>
      <c r="I879" s="4">
        <v>0.2</v>
      </c>
      <c r="J879" s="4">
        <v>141.44</v>
      </c>
      <c r="K879" s="4">
        <v>173.84</v>
      </c>
      <c r="L879" s="4">
        <v>64.8</v>
      </c>
      <c r="M879" s="4">
        <f t="shared" si="39"/>
        <v>6.0000000000000053E-2</v>
      </c>
      <c r="N879" s="4">
        <f t="shared" si="40"/>
        <v>32.400000000000006</v>
      </c>
      <c r="O879" s="4">
        <f t="shared" si="41"/>
        <v>-0.35000000000000003</v>
      </c>
      <c r="P879" s="3" t="s">
        <v>19</v>
      </c>
    </row>
    <row r="880" spans="1:16" x14ac:dyDescent="0.35">
      <c r="A880" s="3" t="s">
        <v>129</v>
      </c>
      <c r="B880" s="3" t="str">
        <f>INDEX(State_Region!$B$2:$B$26,MATCH(TRIM(A880),State_Region!$A$2:$A$26,0))</f>
        <v>East</v>
      </c>
      <c r="C880" s="3" t="s">
        <v>147</v>
      </c>
      <c r="D880" s="3" t="str">
        <f>INDEX(Port_Type!$B$2:$B$227,MATCH(TRIM(C880),Port_Type!$A$2:$A$227,0))</f>
        <v>Land Border / Rail</v>
      </c>
      <c r="E880" s="3" t="s">
        <v>83</v>
      </c>
      <c r="F880" s="3" t="str">
        <f>INDEX(Product_Category!$B$2:$B$45,MATCH(TRIM(E880),Product_Category!$A$2:$A$45,0))</f>
        <v>Fresh Fruits &amp; Vegetables</v>
      </c>
      <c r="G880" s="4">
        <v>2.08</v>
      </c>
      <c r="H880" s="4">
        <v>1.42</v>
      </c>
      <c r="I880" s="4">
        <v>0.2</v>
      </c>
      <c r="J880" s="4">
        <v>4630.46</v>
      </c>
      <c r="K880" s="4">
        <v>3244.76</v>
      </c>
      <c r="L880" s="4">
        <v>842.12</v>
      </c>
      <c r="M880" s="4">
        <f t="shared" si="39"/>
        <v>-0.66000000000000014</v>
      </c>
      <c r="N880" s="4">
        <f t="shared" si="40"/>
        <v>-1385.6999999999998</v>
      </c>
      <c r="O880" s="4">
        <f t="shared" si="41"/>
        <v>-1.22</v>
      </c>
      <c r="P880" s="3" t="s">
        <v>19</v>
      </c>
    </row>
    <row r="881" spans="1:16" x14ac:dyDescent="0.35">
      <c r="A881" s="3" t="s">
        <v>31</v>
      </c>
      <c r="B881" s="3" t="str">
        <f>INDEX(State_Region!$B$2:$B$26,MATCH(TRIM(A881),State_Region!$A$2:$A$26,0))</f>
        <v>East</v>
      </c>
      <c r="C881" s="3" t="s">
        <v>152</v>
      </c>
      <c r="D881" s="3" t="str">
        <f>INDEX(Port_Type!$B$2:$B$227,MATCH(TRIM(C881),Port_Type!$A$2:$A$227,0))</f>
        <v>Land Border / Rail</v>
      </c>
      <c r="E881" s="3" t="s">
        <v>39</v>
      </c>
      <c r="F881" s="3" t="str">
        <f>INDEX(Product_Category!$B$2:$B$45,MATCH(TRIM(E881),Product_Category!$A$2:$A$45,0))</f>
        <v>Processed Foods</v>
      </c>
      <c r="G881" s="4">
        <v>0</v>
      </c>
      <c r="H881" s="4">
        <v>0.14000000000000001</v>
      </c>
      <c r="I881" s="4">
        <v>0.2</v>
      </c>
      <c r="J881" s="4">
        <v>0</v>
      </c>
      <c r="K881" s="4">
        <v>191.2</v>
      </c>
      <c r="L881" s="4">
        <v>218.93</v>
      </c>
      <c r="M881" s="4">
        <f t="shared" si="39"/>
        <v>0.14000000000000001</v>
      </c>
      <c r="N881" s="4">
        <f t="shared" si="40"/>
        <v>191.2</v>
      </c>
      <c r="O881" s="4">
        <f t="shared" si="41"/>
        <v>0.06</v>
      </c>
      <c r="P881" s="3" t="s">
        <v>19</v>
      </c>
    </row>
    <row r="882" spans="1:16" x14ac:dyDescent="0.35">
      <c r="A882" s="3" t="s">
        <v>86</v>
      </c>
      <c r="B882" s="3" t="str">
        <f>INDEX(State_Region!$B$2:$B$26,MATCH(TRIM(A882),State_Region!$A$2:$A$26,0))</f>
        <v>North</v>
      </c>
      <c r="C882" s="3" t="s">
        <v>106</v>
      </c>
      <c r="D882" s="3" t="str">
        <f>INDEX(Port_Type!$B$2:$B$227,MATCH(TRIM(C882),Port_Type!$A$2:$A$227,0))</f>
        <v>Inland ICD / CFS</v>
      </c>
      <c r="E882" s="3" t="s">
        <v>46</v>
      </c>
      <c r="F882" s="3" t="str">
        <f>INDEX(Product_Category!$B$2:$B$45,MATCH(TRIM(E882),Product_Category!$A$2:$A$45,0))</f>
        <v>Others</v>
      </c>
      <c r="G882" s="4">
        <v>0.41</v>
      </c>
      <c r="H882" s="4">
        <v>0.59</v>
      </c>
      <c r="I882" s="4">
        <v>0.2</v>
      </c>
      <c r="J882" s="4">
        <v>121.79</v>
      </c>
      <c r="K882" s="4">
        <v>195.59</v>
      </c>
      <c r="L882" s="4">
        <v>84.1</v>
      </c>
      <c r="M882" s="4">
        <f t="shared" si="39"/>
        <v>0.18</v>
      </c>
      <c r="N882" s="4">
        <f t="shared" si="40"/>
        <v>73.8</v>
      </c>
      <c r="O882" s="4">
        <f t="shared" si="41"/>
        <v>-0.38999999999999996</v>
      </c>
      <c r="P882" s="3" t="s">
        <v>19</v>
      </c>
    </row>
    <row r="883" spans="1:16" x14ac:dyDescent="0.35">
      <c r="A883" s="3" t="s">
        <v>16</v>
      </c>
      <c r="B883" s="3" t="str">
        <f>INDEX(State_Region!$B$2:$B$26,MATCH(TRIM(A883),State_Region!$A$2:$A$26,0))</f>
        <v>West</v>
      </c>
      <c r="C883" s="3" t="s">
        <v>90</v>
      </c>
      <c r="D883" s="3" t="str">
        <f>INDEX(Port_Type!$B$2:$B$227,MATCH(TRIM(C883),Port_Type!$A$2:$A$227,0))</f>
        <v>Inland ICD / CFS</v>
      </c>
      <c r="E883" s="3" t="s">
        <v>170</v>
      </c>
      <c r="F883" s="3" t="str">
        <f>INDEX(Product_Category!$B$2:$B$45,MATCH(TRIM(E883),Product_Category!$A$2:$A$45,0))</f>
        <v>Others</v>
      </c>
      <c r="G883" s="4">
        <v>0.15</v>
      </c>
      <c r="H883" s="4">
        <v>0.19</v>
      </c>
      <c r="I883" s="4">
        <v>0.19</v>
      </c>
      <c r="J883" s="4">
        <v>27.32</v>
      </c>
      <c r="K883" s="4">
        <v>24.7</v>
      </c>
      <c r="L883" s="4">
        <v>19.68</v>
      </c>
      <c r="M883" s="4">
        <f t="shared" si="39"/>
        <v>4.0000000000000008E-2</v>
      </c>
      <c r="N883" s="4">
        <f t="shared" si="40"/>
        <v>-2.620000000000001</v>
      </c>
      <c r="O883" s="4">
        <f t="shared" si="41"/>
        <v>0</v>
      </c>
      <c r="P883" s="3" t="s">
        <v>19</v>
      </c>
    </row>
    <row r="884" spans="1:16" x14ac:dyDescent="0.35">
      <c r="A884" s="3" t="s">
        <v>23</v>
      </c>
      <c r="B884" s="3" t="str">
        <f>INDEX(State_Region!$B$2:$B$26,MATCH(TRIM(A884),State_Region!$A$2:$A$26,0))</f>
        <v>North</v>
      </c>
      <c r="C884" s="3" t="s">
        <v>191</v>
      </c>
      <c r="D884" s="3" t="str">
        <f>INDEX(Port_Type!$B$2:$B$227,MATCH(TRIM(C884),Port_Type!$A$2:$A$227,0))</f>
        <v>Land Border / Rail</v>
      </c>
      <c r="E884" s="3" t="s">
        <v>33</v>
      </c>
      <c r="F884" s="3" t="str">
        <f>INDEX(Product_Category!$B$2:$B$45,MATCH(TRIM(E884),Product_Category!$A$2:$A$45,0))</f>
        <v>Pulses</v>
      </c>
      <c r="G884" s="4">
        <v>0</v>
      </c>
      <c r="H884" s="4">
        <v>0.73</v>
      </c>
      <c r="I884" s="4">
        <v>0.19</v>
      </c>
      <c r="J884" s="4">
        <v>0</v>
      </c>
      <c r="K884" s="4">
        <v>975.44</v>
      </c>
      <c r="L884" s="4">
        <v>269.33</v>
      </c>
      <c r="M884" s="4">
        <f t="shared" si="39"/>
        <v>0.73</v>
      </c>
      <c r="N884" s="4">
        <f t="shared" si="40"/>
        <v>975.44</v>
      </c>
      <c r="O884" s="4">
        <f t="shared" si="41"/>
        <v>-0.54</v>
      </c>
      <c r="P884" s="3" t="s">
        <v>19</v>
      </c>
    </row>
    <row r="885" spans="1:16" x14ac:dyDescent="0.35">
      <c r="A885" s="3" t="s">
        <v>40</v>
      </c>
      <c r="B885" s="3" t="str">
        <f>INDEX(State_Region!$B$2:$B$26,MATCH(TRIM(A885),State_Region!$A$2:$A$26,0))</f>
        <v>South</v>
      </c>
      <c r="C885" s="3" t="s">
        <v>164</v>
      </c>
      <c r="D885" s="3" t="str">
        <f>INDEX(Port_Type!$B$2:$B$227,MATCH(TRIM(C885),Port_Type!$A$2:$A$227,0))</f>
        <v>Air Cargo</v>
      </c>
      <c r="E885" s="3" t="s">
        <v>170</v>
      </c>
      <c r="F885" s="3" t="str">
        <f>INDEX(Product_Category!$B$2:$B$45,MATCH(TRIM(E885),Product_Category!$A$2:$A$45,0))</f>
        <v>Others</v>
      </c>
      <c r="G885" s="4">
        <v>0.33</v>
      </c>
      <c r="H885" s="4">
        <v>0.57999999999999996</v>
      </c>
      <c r="I885" s="4">
        <v>0.19</v>
      </c>
      <c r="J885" s="4">
        <v>25.41</v>
      </c>
      <c r="K885" s="4">
        <v>47.6</v>
      </c>
      <c r="L885" s="4">
        <v>13.1</v>
      </c>
      <c r="M885" s="4">
        <f t="shared" si="39"/>
        <v>0.24999999999999994</v>
      </c>
      <c r="N885" s="4">
        <f t="shared" si="40"/>
        <v>22.19</v>
      </c>
      <c r="O885" s="4">
        <f t="shared" si="41"/>
        <v>-0.38999999999999996</v>
      </c>
      <c r="P885" s="3" t="s">
        <v>19</v>
      </c>
    </row>
    <row r="886" spans="1:16" x14ac:dyDescent="0.35">
      <c r="A886" s="3" t="s">
        <v>20</v>
      </c>
      <c r="B886" s="3" t="str">
        <f>INDEX(State_Region!$B$2:$B$26,MATCH(TRIM(A886),State_Region!$A$2:$A$26,0))</f>
        <v>West</v>
      </c>
      <c r="C886" s="3" t="s">
        <v>68</v>
      </c>
      <c r="D886" s="3" t="str">
        <f>INDEX(Port_Type!$B$2:$B$227,MATCH(TRIM(C886),Port_Type!$A$2:$A$227,0))</f>
        <v>Air Cargo</v>
      </c>
      <c r="E886" s="3" t="s">
        <v>55</v>
      </c>
      <c r="F886" s="3" t="str">
        <f>INDEX(Product_Category!$B$2:$B$45,MATCH(TRIM(E886),Product_Category!$A$2:$A$45,0))</f>
        <v>Fresh Fruits &amp; Vegetables</v>
      </c>
      <c r="G886" s="4">
        <v>0.34</v>
      </c>
      <c r="H886" s="4">
        <v>0.62</v>
      </c>
      <c r="I886" s="4">
        <v>0.19</v>
      </c>
      <c r="J886" s="4">
        <v>216.71</v>
      </c>
      <c r="K886" s="4">
        <v>342.47</v>
      </c>
      <c r="L886" s="4">
        <v>109.42</v>
      </c>
      <c r="M886" s="4">
        <f t="shared" si="39"/>
        <v>0.27999999999999997</v>
      </c>
      <c r="N886" s="4">
        <f t="shared" si="40"/>
        <v>125.76000000000002</v>
      </c>
      <c r="O886" s="4">
        <f t="shared" si="41"/>
        <v>-0.43</v>
      </c>
      <c r="P886" s="3" t="s">
        <v>19</v>
      </c>
    </row>
    <row r="887" spans="1:16" x14ac:dyDescent="0.35">
      <c r="A887" s="3" t="s">
        <v>79</v>
      </c>
      <c r="B887" s="3" t="str">
        <f>INDEX(State_Region!$B$2:$B$26,MATCH(TRIM(A887),State_Region!$A$2:$A$26,0))</f>
        <v>South</v>
      </c>
      <c r="C887" s="3" t="s">
        <v>91</v>
      </c>
      <c r="D887" s="3" t="str">
        <f>INDEX(Port_Type!$B$2:$B$227,MATCH(TRIM(C887),Port_Type!$A$2:$A$227,0))</f>
        <v>Sea Port</v>
      </c>
      <c r="E887" s="3" t="s">
        <v>142</v>
      </c>
      <c r="F887" s="3" t="str">
        <f>INDEX(Product_Category!$B$2:$B$45,MATCH(TRIM(E887),Product_Category!$A$2:$A$45,0))</f>
        <v>Nuts &amp; Oilseeds</v>
      </c>
      <c r="G887" s="4">
        <v>0.23</v>
      </c>
      <c r="H887" s="4">
        <v>0.13</v>
      </c>
      <c r="I887" s="4">
        <v>0.19</v>
      </c>
      <c r="J887" s="4">
        <v>449.46</v>
      </c>
      <c r="K887" s="4">
        <v>252.48</v>
      </c>
      <c r="L887" s="4">
        <v>279.94</v>
      </c>
      <c r="M887" s="4">
        <f t="shared" si="39"/>
        <v>-0.1</v>
      </c>
      <c r="N887" s="4">
        <f t="shared" si="40"/>
        <v>-196.98</v>
      </c>
      <c r="O887" s="4">
        <f t="shared" si="41"/>
        <v>0.06</v>
      </c>
      <c r="P887" s="3" t="s">
        <v>19</v>
      </c>
    </row>
    <row r="888" spans="1:16" x14ac:dyDescent="0.35">
      <c r="A888" s="3" t="s">
        <v>20</v>
      </c>
      <c r="B888" s="3" t="str">
        <f>INDEX(State_Region!$B$2:$B$26,MATCH(TRIM(A888),State_Region!$A$2:$A$26,0))</f>
        <v>West</v>
      </c>
      <c r="C888" s="3" t="s">
        <v>68</v>
      </c>
      <c r="D888" s="3" t="str">
        <f>INDEX(Port_Type!$B$2:$B$227,MATCH(TRIM(C888),Port_Type!$A$2:$A$227,0))</f>
        <v>Air Cargo</v>
      </c>
      <c r="E888" s="3" t="s">
        <v>53</v>
      </c>
      <c r="F888" s="3" t="str">
        <f>INDEX(Product_Category!$B$2:$B$45,MATCH(TRIM(E888),Product_Category!$A$2:$A$45,0))</f>
        <v>Processed Foods</v>
      </c>
      <c r="G888" s="4">
        <v>0.56000000000000005</v>
      </c>
      <c r="H888" s="4">
        <v>1.71</v>
      </c>
      <c r="I888" s="4">
        <v>0.19</v>
      </c>
      <c r="J888" s="4">
        <v>97.83</v>
      </c>
      <c r="K888" s="4">
        <v>222.31</v>
      </c>
      <c r="L888" s="4">
        <v>33.380000000000003</v>
      </c>
      <c r="M888" s="4">
        <f t="shared" si="39"/>
        <v>1.1499999999999999</v>
      </c>
      <c r="N888" s="4">
        <f t="shared" si="40"/>
        <v>124.48</v>
      </c>
      <c r="O888" s="4">
        <f t="shared" si="41"/>
        <v>-1.52</v>
      </c>
      <c r="P888" s="3" t="s">
        <v>19</v>
      </c>
    </row>
    <row r="889" spans="1:16" x14ac:dyDescent="0.35">
      <c r="A889" s="3" t="s">
        <v>16</v>
      </c>
      <c r="B889" s="3" t="str">
        <f>INDEX(State_Region!$B$2:$B$26,MATCH(TRIM(A889),State_Region!$A$2:$A$26,0))</f>
        <v>West</v>
      </c>
      <c r="C889" s="3" t="s">
        <v>90</v>
      </c>
      <c r="D889" s="3" t="str">
        <f>INDEX(Port_Type!$B$2:$B$227,MATCH(TRIM(C889),Port_Type!$A$2:$A$227,0))</f>
        <v>Inland ICD / CFS</v>
      </c>
      <c r="E889" s="3" t="s">
        <v>18</v>
      </c>
      <c r="F889" s="3" t="str">
        <f>INDEX(Product_Category!$B$2:$B$45,MATCH(TRIM(E889),Product_Category!$A$2:$A$45,0))</f>
        <v>Cereals &amp; Grains</v>
      </c>
      <c r="G889" s="4">
        <v>0.34</v>
      </c>
      <c r="H889" s="4">
        <v>0.83</v>
      </c>
      <c r="I889" s="4">
        <v>0.19</v>
      </c>
      <c r="J889" s="4">
        <v>253.66</v>
      </c>
      <c r="K889" s="4">
        <v>745.53</v>
      </c>
      <c r="L889" s="4">
        <v>174.76</v>
      </c>
      <c r="M889" s="4">
        <f t="shared" si="39"/>
        <v>0.48999999999999994</v>
      </c>
      <c r="N889" s="4">
        <f t="shared" si="40"/>
        <v>491.87</v>
      </c>
      <c r="O889" s="4">
        <f t="shared" si="41"/>
        <v>-0.6399999999999999</v>
      </c>
      <c r="P889" s="3" t="s">
        <v>19</v>
      </c>
    </row>
    <row r="890" spans="1:16" x14ac:dyDescent="0.35">
      <c r="A890" s="3" t="s">
        <v>66</v>
      </c>
      <c r="B890" s="3" t="str">
        <f>INDEX(State_Region!$B$2:$B$26,MATCH(TRIM(A890),State_Region!$A$2:$A$26,0))</f>
        <v>North</v>
      </c>
      <c r="C890" s="3" t="s">
        <v>73</v>
      </c>
      <c r="D890" s="3" t="str">
        <f>INDEX(Port_Type!$B$2:$B$227,MATCH(TRIM(C890),Port_Type!$A$2:$A$227,0))</f>
        <v>Inland ICD / CFS</v>
      </c>
      <c r="E890" s="3" t="s">
        <v>54</v>
      </c>
      <c r="F890" s="3" t="str">
        <f>INDEX(Product_Category!$B$2:$B$45,MATCH(TRIM(E890),Product_Category!$A$2:$A$45,0))</f>
        <v>Processed Foods</v>
      </c>
      <c r="G890" s="4">
        <v>0.28000000000000003</v>
      </c>
      <c r="H890" s="4">
        <v>0.41</v>
      </c>
      <c r="I890" s="4">
        <v>0.19</v>
      </c>
      <c r="J890" s="4">
        <v>83.35</v>
      </c>
      <c r="K890" s="4">
        <v>104.93</v>
      </c>
      <c r="L890" s="4">
        <v>84.48</v>
      </c>
      <c r="M890" s="4">
        <f t="shared" si="39"/>
        <v>0.12999999999999995</v>
      </c>
      <c r="N890" s="4">
        <f t="shared" si="40"/>
        <v>21.580000000000013</v>
      </c>
      <c r="O890" s="4">
        <f t="shared" si="41"/>
        <v>-0.21999999999999997</v>
      </c>
      <c r="P890" s="3" t="s">
        <v>19</v>
      </c>
    </row>
    <row r="891" spans="1:16" x14ac:dyDescent="0.35">
      <c r="A891" s="3" t="s">
        <v>20</v>
      </c>
      <c r="B891" s="3" t="str">
        <f>INDEX(State_Region!$B$2:$B$26,MATCH(TRIM(A891),State_Region!$A$2:$A$26,0))</f>
        <v>West</v>
      </c>
      <c r="C891" s="3" t="s">
        <v>68</v>
      </c>
      <c r="D891" s="3" t="str">
        <f>INDEX(Port_Type!$B$2:$B$227,MATCH(TRIM(C891),Port_Type!$A$2:$A$227,0))</f>
        <v>Air Cargo</v>
      </c>
      <c r="E891" s="3" t="s">
        <v>59</v>
      </c>
      <c r="F891" s="3" t="str">
        <f>INDEX(Product_Category!$B$2:$B$45,MATCH(TRIM(E891),Product_Category!$A$2:$A$45,0))</f>
        <v>Processed Foods</v>
      </c>
      <c r="G891" s="4">
        <v>0.54</v>
      </c>
      <c r="H891" s="4">
        <v>0.3</v>
      </c>
      <c r="I891" s="4">
        <v>0.19</v>
      </c>
      <c r="J891" s="4">
        <v>58.99</v>
      </c>
      <c r="K891" s="4">
        <v>31.22</v>
      </c>
      <c r="L891" s="4">
        <v>34.99</v>
      </c>
      <c r="M891" s="4">
        <f t="shared" si="39"/>
        <v>-0.24000000000000005</v>
      </c>
      <c r="N891" s="4">
        <f t="shared" si="40"/>
        <v>-27.770000000000003</v>
      </c>
      <c r="O891" s="4">
        <f t="shared" si="41"/>
        <v>-0.10999999999999999</v>
      </c>
      <c r="P891" s="3" t="s">
        <v>19</v>
      </c>
    </row>
    <row r="892" spans="1:16" x14ac:dyDescent="0.35">
      <c r="A892" s="3" t="s">
        <v>20</v>
      </c>
      <c r="B892" s="3" t="str">
        <f>INDEX(State_Region!$B$2:$B$26,MATCH(TRIM(A892),State_Region!$A$2:$A$26,0))</f>
        <v>West</v>
      </c>
      <c r="C892" s="3" t="s">
        <v>21</v>
      </c>
      <c r="D892" s="3" t="str">
        <f>INDEX(Port_Type!$B$2:$B$227,MATCH(TRIM(C892),Port_Type!$A$2:$A$227,0))</f>
        <v>Sea Port</v>
      </c>
      <c r="E892" s="3" t="s">
        <v>150</v>
      </c>
      <c r="F892" s="3" t="str">
        <f>INDEX(Product_Category!$B$2:$B$45,MATCH(TRIM(E892),Product_Category!$A$2:$A$45,0))</f>
        <v>Nuts &amp; Oilseeds</v>
      </c>
      <c r="G892" s="4">
        <v>7.0000000000000007E-2</v>
      </c>
      <c r="H892" s="4">
        <v>0.6</v>
      </c>
      <c r="I892" s="4">
        <v>0.19</v>
      </c>
      <c r="J892" s="4">
        <v>7.03</v>
      </c>
      <c r="K892" s="4">
        <v>181.12</v>
      </c>
      <c r="L892" s="4">
        <v>43.35</v>
      </c>
      <c r="M892" s="4">
        <f t="shared" si="39"/>
        <v>0.53</v>
      </c>
      <c r="N892" s="4">
        <f t="shared" si="40"/>
        <v>174.09</v>
      </c>
      <c r="O892" s="4">
        <f t="shared" si="41"/>
        <v>-0.41</v>
      </c>
      <c r="P892" s="3" t="s">
        <v>19</v>
      </c>
    </row>
    <row r="893" spans="1:16" x14ac:dyDescent="0.35">
      <c r="A893" s="3" t="s">
        <v>40</v>
      </c>
      <c r="B893" s="3" t="str">
        <f>INDEX(State_Region!$B$2:$B$26,MATCH(TRIM(A893),State_Region!$A$2:$A$26,0))</f>
        <v>South</v>
      </c>
      <c r="C893" s="3" t="s">
        <v>164</v>
      </c>
      <c r="D893" s="3" t="str">
        <f>INDEX(Port_Type!$B$2:$B$227,MATCH(TRIM(C893),Port_Type!$A$2:$A$227,0))</f>
        <v>Air Cargo</v>
      </c>
      <c r="E893" s="3" t="s">
        <v>48</v>
      </c>
      <c r="F893" s="3" t="str">
        <f>INDEX(Product_Category!$B$2:$B$45,MATCH(TRIM(E893),Product_Category!$A$2:$A$45,0))</f>
        <v>Processed Foods</v>
      </c>
      <c r="G893" s="4">
        <v>0.78</v>
      </c>
      <c r="H893" s="4">
        <v>0.43</v>
      </c>
      <c r="I893" s="4">
        <v>0.19</v>
      </c>
      <c r="J893" s="4">
        <v>156.04</v>
      </c>
      <c r="K893" s="4">
        <v>88.81</v>
      </c>
      <c r="L893" s="4">
        <v>37.39</v>
      </c>
      <c r="M893" s="4">
        <f t="shared" si="39"/>
        <v>-0.35000000000000003</v>
      </c>
      <c r="N893" s="4">
        <f t="shared" si="40"/>
        <v>-67.22999999999999</v>
      </c>
      <c r="O893" s="4">
        <f t="shared" si="41"/>
        <v>-0.24</v>
      </c>
      <c r="P893" s="3" t="s">
        <v>19</v>
      </c>
    </row>
    <row r="894" spans="1:16" x14ac:dyDescent="0.35">
      <c r="A894" s="3" t="s">
        <v>159</v>
      </c>
      <c r="B894" s="3" t="str">
        <f>INDEX(State_Region!$B$2:$B$26,MATCH(TRIM(A894),State_Region!$A$2:$A$26,0))</f>
        <v>North-East</v>
      </c>
      <c r="C894" s="3" t="s">
        <v>160</v>
      </c>
      <c r="D894" s="3" t="str">
        <f>INDEX(Port_Type!$B$2:$B$227,MATCH(TRIM(C894),Port_Type!$A$2:$A$227,0))</f>
        <v>Land Border / Rail</v>
      </c>
      <c r="E894" s="3" t="s">
        <v>39</v>
      </c>
      <c r="F894" s="3" t="str">
        <f>INDEX(Product_Category!$B$2:$B$45,MATCH(TRIM(E894),Product_Category!$A$2:$A$45,0))</f>
        <v>Processed Foods</v>
      </c>
      <c r="G894" s="4">
        <v>0.09</v>
      </c>
      <c r="H894" s="4">
        <v>0.82</v>
      </c>
      <c r="I894" s="4">
        <v>0.19</v>
      </c>
      <c r="J894" s="4">
        <v>41.25</v>
      </c>
      <c r="K894" s="4">
        <v>407.12</v>
      </c>
      <c r="L894" s="4">
        <v>145.96</v>
      </c>
      <c r="M894" s="4">
        <f t="shared" si="39"/>
        <v>0.73</v>
      </c>
      <c r="N894" s="4">
        <f t="shared" si="40"/>
        <v>365.87</v>
      </c>
      <c r="O894" s="4">
        <f t="shared" si="41"/>
        <v>-0.62999999999999989</v>
      </c>
      <c r="P894" s="3" t="s">
        <v>19</v>
      </c>
    </row>
    <row r="895" spans="1:16" x14ac:dyDescent="0.35">
      <c r="A895" s="3" t="s">
        <v>31</v>
      </c>
      <c r="B895" s="3" t="str">
        <f>INDEX(State_Region!$B$2:$B$26,MATCH(TRIM(A895),State_Region!$A$2:$A$26,0))</f>
        <v>East</v>
      </c>
      <c r="C895" s="3" t="s">
        <v>171</v>
      </c>
      <c r="D895" s="3" t="str">
        <f>INDEX(Port_Type!$B$2:$B$227,MATCH(TRIM(C895),Port_Type!$A$2:$A$227,0))</f>
        <v>Land Border / Rail</v>
      </c>
      <c r="E895" s="3" t="s">
        <v>18</v>
      </c>
      <c r="F895" s="3" t="str">
        <f>INDEX(Product_Category!$B$2:$B$45,MATCH(TRIM(E895),Product_Category!$A$2:$A$45,0))</f>
        <v>Cereals &amp; Grains</v>
      </c>
      <c r="G895" s="4">
        <v>0.27</v>
      </c>
      <c r="H895" s="4">
        <v>0.44</v>
      </c>
      <c r="I895" s="4">
        <v>0.19</v>
      </c>
      <c r="J895" s="4">
        <v>252.43</v>
      </c>
      <c r="K895" s="4">
        <v>668.15</v>
      </c>
      <c r="L895" s="4">
        <v>285.02999999999997</v>
      </c>
      <c r="M895" s="4">
        <f t="shared" si="39"/>
        <v>0.16999999999999998</v>
      </c>
      <c r="N895" s="4">
        <f t="shared" si="40"/>
        <v>415.71999999999997</v>
      </c>
      <c r="O895" s="4">
        <f t="shared" si="41"/>
        <v>-0.25</v>
      </c>
      <c r="P895" s="3" t="s">
        <v>19</v>
      </c>
    </row>
    <row r="896" spans="1:16" x14ac:dyDescent="0.35">
      <c r="A896" s="3" t="s">
        <v>16</v>
      </c>
      <c r="B896" s="3" t="str">
        <f>INDEX(State_Region!$B$2:$B$26,MATCH(TRIM(A896),State_Region!$A$2:$A$26,0))</f>
        <v>West</v>
      </c>
      <c r="C896" s="3" t="s">
        <v>105</v>
      </c>
      <c r="D896" s="3" t="str">
        <f>INDEX(Port_Type!$B$2:$B$227,MATCH(TRIM(C896),Port_Type!$A$2:$A$227,0))</f>
        <v>SEZ / EPZ</v>
      </c>
      <c r="E896" s="3" t="s">
        <v>27</v>
      </c>
      <c r="F896" s="3" t="str">
        <f>INDEX(Product_Category!$B$2:$B$45,MATCH(TRIM(E896),Product_Category!$A$2:$A$45,0))</f>
        <v>Cereals &amp; Grains</v>
      </c>
      <c r="G896" s="4">
        <v>0</v>
      </c>
      <c r="H896" s="4">
        <v>0</v>
      </c>
      <c r="I896" s="4">
        <v>0.18</v>
      </c>
      <c r="J896" s="4">
        <v>0</v>
      </c>
      <c r="K896" s="4">
        <v>0</v>
      </c>
      <c r="L896" s="4">
        <v>400</v>
      </c>
      <c r="M896" s="4">
        <f t="shared" si="39"/>
        <v>0</v>
      </c>
      <c r="N896" s="4">
        <f t="shared" si="40"/>
        <v>0</v>
      </c>
      <c r="O896" s="4">
        <f t="shared" si="41"/>
        <v>0.18</v>
      </c>
      <c r="P896" s="3" t="s">
        <v>19</v>
      </c>
    </row>
    <row r="897" spans="1:16" x14ac:dyDescent="0.35">
      <c r="A897" s="3" t="s">
        <v>40</v>
      </c>
      <c r="B897" s="3" t="str">
        <f>INDEX(State_Region!$B$2:$B$26,MATCH(TRIM(A897),State_Region!$A$2:$A$26,0))</f>
        <v>South</v>
      </c>
      <c r="C897" s="3" t="s">
        <v>117</v>
      </c>
      <c r="D897" s="3" t="str">
        <f>INDEX(Port_Type!$B$2:$B$227,MATCH(TRIM(C897),Port_Type!$A$2:$A$227,0))</f>
        <v>Sea Port</v>
      </c>
      <c r="E897" s="3" t="s">
        <v>126</v>
      </c>
      <c r="F897" s="3" t="str">
        <f>INDEX(Product_Category!$B$2:$B$45,MATCH(TRIM(E897),Product_Category!$A$2:$A$45,0))</f>
        <v>Cereals &amp; Grains</v>
      </c>
      <c r="G897" s="4">
        <v>0.06</v>
      </c>
      <c r="H897" s="4">
        <v>0.12</v>
      </c>
      <c r="I897" s="4">
        <v>0.18</v>
      </c>
      <c r="J897" s="4">
        <v>57.53</v>
      </c>
      <c r="K897" s="4">
        <v>171.79</v>
      </c>
      <c r="L897" s="4">
        <v>258.01</v>
      </c>
      <c r="M897" s="4">
        <f t="shared" si="39"/>
        <v>0.06</v>
      </c>
      <c r="N897" s="4">
        <f t="shared" si="40"/>
        <v>114.25999999999999</v>
      </c>
      <c r="O897" s="4">
        <f t="shared" si="41"/>
        <v>0.06</v>
      </c>
      <c r="P897" s="3" t="s">
        <v>19</v>
      </c>
    </row>
    <row r="898" spans="1:16" x14ac:dyDescent="0.35">
      <c r="A898" s="3" t="s">
        <v>16</v>
      </c>
      <c r="B898" s="3" t="str">
        <f>INDEX(State_Region!$B$2:$B$26,MATCH(TRIM(A898),State_Region!$A$2:$A$26,0))</f>
        <v>West</v>
      </c>
      <c r="C898" s="3" t="s">
        <v>115</v>
      </c>
      <c r="D898" s="3" t="str">
        <f>INDEX(Port_Type!$B$2:$B$227,MATCH(TRIM(C898),Port_Type!$A$2:$A$227,0))</f>
        <v>Inland ICD / CFS</v>
      </c>
      <c r="E898" s="3" t="s">
        <v>33</v>
      </c>
      <c r="F898" s="3" t="str">
        <f>INDEX(Product_Category!$B$2:$B$45,MATCH(TRIM(E898),Product_Category!$A$2:$A$45,0))</f>
        <v>Pulses</v>
      </c>
      <c r="G898" s="4">
        <v>0</v>
      </c>
      <c r="H898" s="4">
        <v>0.36</v>
      </c>
      <c r="I898" s="4">
        <v>0.18</v>
      </c>
      <c r="J898" s="4">
        <v>8.9</v>
      </c>
      <c r="K898" s="4">
        <v>272.43</v>
      </c>
      <c r="L898" s="4">
        <v>134.94999999999999</v>
      </c>
      <c r="M898" s="4">
        <f t="shared" ref="M898:M961" si="42">H898-G898</f>
        <v>0.36</v>
      </c>
      <c r="N898" s="4">
        <f t="shared" ref="N898:N961" si="43">K898-J898</f>
        <v>263.53000000000003</v>
      </c>
      <c r="O898" s="4">
        <f t="shared" ref="O898:O961" si="44">I898-H898</f>
        <v>-0.18</v>
      </c>
      <c r="P898" s="3" t="s">
        <v>19</v>
      </c>
    </row>
    <row r="899" spans="1:16" x14ac:dyDescent="0.35">
      <c r="A899" s="3" t="s">
        <v>20</v>
      </c>
      <c r="B899" s="3" t="str">
        <f>INDEX(State_Region!$B$2:$B$26,MATCH(TRIM(A899),State_Region!$A$2:$A$26,0))</f>
        <v>West</v>
      </c>
      <c r="C899" s="3" t="s">
        <v>173</v>
      </c>
      <c r="D899" s="3" t="str">
        <f>INDEX(Port_Type!$B$2:$B$227,MATCH(TRIM(C899),Port_Type!$A$2:$A$227,0))</f>
        <v>Inland ICD / CFS</v>
      </c>
      <c r="E899" s="3" t="s">
        <v>65</v>
      </c>
      <c r="F899" s="3" t="str">
        <f>INDEX(Product_Category!$B$2:$B$45,MATCH(TRIM(E899),Product_Category!$A$2:$A$45,0))</f>
        <v>Cereals &amp; Grains</v>
      </c>
      <c r="G899" s="4">
        <v>0.34</v>
      </c>
      <c r="H899" s="4">
        <v>0.74</v>
      </c>
      <c r="I899" s="4">
        <v>0.18</v>
      </c>
      <c r="J899" s="4">
        <v>301.8</v>
      </c>
      <c r="K899" s="4">
        <v>593.80999999999995</v>
      </c>
      <c r="L899" s="4">
        <v>130.43</v>
      </c>
      <c r="M899" s="4">
        <f t="shared" si="42"/>
        <v>0.39999999999999997</v>
      </c>
      <c r="N899" s="4">
        <f t="shared" si="43"/>
        <v>292.00999999999993</v>
      </c>
      <c r="O899" s="4">
        <f t="shared" si="44"/>
        <v>-0.56000000000000005</v>
      </c>
      <c r="P899" s="3" t="s">
        <v>19</v>
      </c>
    </row>
    <row r="900" spans="1:16" x14ac:dyDescent="0.35">
      <c r="A900" s="3" t="s">
        <v>159</v>
      </c>
      <c r="B900" s="3" t="str">
        <f>INDEX(State_Region!$B$2:$B$26,MATCH(TRIM(A900),State_Region!$A$2:$A$26,0))</f>
        <v>North-East</v>
      </c>
      <c r="C900" s="3" t="s">
        <v>160</v>
      </c>
      <c r="D900" s="3" t="str">
        <f>INDEX(Port_Type!$B$2:$B$227,MATCH(TRIM(C900),Port_Type!$A$2:$A$227,0))</f>
        <v>Land Border / Rail</v>
      </c>
      <c r="E900" s="3" t="s">
        <v>65</v>
      </c>
      <c r="F900" s="3" t="str">
        <f>INDEX(Product_Category!$B$2:$B$45,MATCH(TRIM(E900),Product_Category!$A$2:$A$45,0))</f>
        <v>Cereals &amp; Grains</v>
      </c>
      <c r="G900" s="4">
        <v>0</v>
      </c>
      <c r="H900" s="4">
        <v>0.32</v>
      </c>
      <c r="I900" s="4">
        <v>0.18</v>
      </c>
      <c r="J900" s="4">
        <v>0</v>
      </c>
      <c r="K900" s="4">
        <v>674.8</v>
      </c>
      <c r="L900" s="4">
        <v>381.16</v>
      </c>
      <c r="M900" s="4">
        <f t="shared" si="42"/>
        <v>0.32</v>
      </c>
      <c r="N900" s="4">
        <f t="shared" si="43"/>
        <v>674.8</v>
      </c>
      <c r="O900" s="4">
        <f t="shared" si="44"/>
        <v>-0.14000000000000001</v>
      </c>
      <c r="P900" s="3" t="s">
        <v>19</v>
      </c>
    </row>
    <row r="901" spans="1:16" x14ac:dyDescent="0.35">
      <c r="A901" s="3" t="s">
        <v>31</v>
      </c>
      <c r="B901" s="3" t="str">
        <f>INDEX(State_Region!$B$2:$B$26,MATCH(TRIM(A901),State_Region!$A$2:$A$26,0))</f>
        <v>East</v>
      </c>
      <c r="C901" s="3" t="s">
        <v>131</v>
      </c>
      <c r="D901" s="3" t="str">
        <f>INDEX(Port_Type!$B$2:$B$227,MATCH(TRIM(C901),Port_Type!$A$2:$A$227,0))</f>
        <v>Land Border / Rail</v>
      </c>
      <c r="E901" s="3" t="s">
        <v>113</v>
      </c>
      <c r="F901" s="3" t="str">
        <f>INDEX(Product_Category!$B$2:$B$45,MATCH(TRIM(E901),Product_Category!$A$2:$A$45,0))</f>
        <v>Cereals &amp; Grains</v>
      </c>
      <c r="G901" s="4">
        <v>0.01</v>
      </c>
      <c r="H901" s="4">
        <v>0.26</v>
      </c>
      <c r="I901" s="4">
        <v>0.18</v>
      </c>
      <c r="J901" s="4">
        <v>25</v>
      </c>
      <c r="K901" s="4">
        <v>685.1</v>
      </c>
      <c r="L901" s="4">
        <v>550.01</v>
      </c>
      <c r="M901" s="4">
        <f t="shared" si="42"/>
        <v>0.25</v>
      </c>
      <c r="N901" s="4">
        <f t="shared" si="43"/>
        <v>660.1</v>
      </c>
      <c r="O901" s="4">
        <f t="shared" si="44"/>
        <v>-8.0000000000000016E-2</v>
      </c>
      <c r="P901" s="3" t="s">
        <v>19</v>
      </c>
    </row>
    <row r="902" spans="1:16" x14ac:dyDescent="0.35">
      <c r="A902" s="3" t="s">
        <v>16</v>
      </c>
      <c r="B902" s="3" t="str">
        <f>INDEX(State_Region!$B$2:$B$26,MATCH(TRIM(A902),State_Region!$A$2:$A$26,0))</f>
        <v>West</v>
      </c>
      <c r="C902" s="3" t="s">
        <v>172</v>
      </c>
      <c r="D902" s="3" t="str">
        <f>INDEX(Port_Type!$B$2:$B$227,MATCH(TRIM(C902),Port_Type!$A$2:$A$227,0))</f>
        <v>Sea Port</v>
      </c>
      <c r="E902" s="3" t="s">
        <v>54</v>
      </c>
      <c r="F902" s="3" t="str">
        <f>INDEX(Product_Category!$B$2:$B$45,MATCH(TRIM(E902),Product_Category!$A$2:$A$45,0))</f>
        <v>Processed Foods</v>
      </c>
      <c r="G902" s="4">
        <v>0</v>
      </c>
      <c r="H902" s="4">
        <v>0.12</v>
      </c>
      <c r="I902" s="4">
        <v>0.18</v>
      </c>
      <c r="J902" s="4">
        <v>0</v>
      </c>
      <c r="K902" s="4">
        <v>154.5</v>
      </c>
      <c r="L902" s="4">
        <v>194.27</v>
      </c>
      <c r="M902" s="4">
        <f t="shared" si="42"/>
        <v>0.12</v>
      </c>
      <c r="N902" s="4">
        <f t="shared" si="43"/>
        <v>154.5</v>
      </c>
      <c r="O902" s="4">
        <f t="shared" si="44"/>
        <v>0.06</v>
      </c>
      <c r="P902" s="3" t="s">
        <v>19</v>
      </c>
    </row>
    <row r="903" spans="1:16" x14ac:dyDescent="0.35">
      <c r="A903" s="3" t="s">
        <v>66</v>
      </c>
      <c r="B903" s="3" t="str">
        <f>INDEX(State_Region!$B$2:$B$26,MATCH(TRIM(A903),State_Region!$A$2:$A$26,0))</f>
        <v>North</v>
      </c>
      <c r="C903" s="3" t="s">
        <v>73</v>
      </c>
      <c r="D903" s="3" t="str">
        <f>INDEX(Port_Type!$B$2:$B$227,MATCH(TRIM(C903),Port_Type!$A$2:$A$227,0))</f>
        <v>Inland ICD / CFS</v>
      </c>
      <c r="E903" s="3" t="s">
        <v>53</v>
      </c>
      <c r="F903" s="3" t="str">
        <f>INDEX(Product_Category!$B$2:$B$45,MATCH(TRIM(E903),Product_Category!$A$2:$A$45,0))</f>
        <v>Processed Foods</v>
      </c>
      <c r="G903" s="4">
        <v>1.41</v>
      </c>
      <c r="H903" s="4">
        <v>2.88</v>
      </c>
      <c r="I903" s="4">
        <v>0.18</v>
      </c>
      <c r="J903" s="4">
        <v>388.73</v>
      </c>
      <c r="K903" s="4">
        <v>1269.3</v>
      </c>
      <c r="L903" s="4">
        <v>135.04</v>
      </c>
      <c r="M903" s="4">
        <f t="shared" si="42"/>
        <v>1.47</v>
      </c>
      <c r="N903" s="4">
        <f t="shared" si="43"/>
        <v>880.56999999999994</v>
      </c>
      <c r="O903" s="4">
        <f t="shared" si="44"/>
        <v>-2.6999999999999997</v>
      </c>
      <c r="P903" s="3" t="s">
        <v>19</v>
      </c>
    </row>
    <row r="904" spans="1:16" x14ac:dyDescent="0.35">
      <c r="A904" s="3" t="s">
        <v>77</v>
      </c>
      <c r="B904" s="3" t="str">
        <f>INDEX(State_Region!$B$2:$B$26,MATCH(TRIM(A904),State_Region!$A$2:$A$26,0))</f>
        <v>South</v>
      </c>
      <c r="C904" s="3" t="s">
        <v>157</v>
      </c>
      <c r="D904" s="3" t="str">
        <f>INDEX(Port_Type!$B$2:$B$227,MATCH(TRIM(C904),Port_Type!$A$2:$A$227,0))</f>
        <v>Air Cargo</v>
      </c>
      <c r="E904" s="3" t="s">
        <v>76</v>
      </c>
      <c r="F904" s="3" t="str">
        <f>INDEX(Product_Category!$B$2:$B$45,MATCH(TRIM(E904),Product_Category!$A$2:$A$45,0))</f>
        <v>Fresh Fruits &amp; Vegetables</v>
      </c>
      <c r="G904" s="4">
        <v>0.35</v>
      </c>
      <c r="H904" s="4">
        <v>0.59</v>
      </c>
      <c r="I904" s="4">
        <v>0.18</v>
      </c>
      <c r="J904" s="4">
        <v>193.81</v>
      </c>
      <c r="K904" s="4">
        <v>349.84</v>
      </c>
      <c r="L904" s="4">
        <v>87.68</v>
      </c>
      <c r="M904" s="4">
        <f t="shared" si="42"/>
        <v>0.24</v>
      </c>
      <c r="N904" s="4">
        <f t="shared" si="43"/>
        <v>156.02999999999997</v>
      </c>
      <c r="O904" s="4">
        <f t="shared" si="44"/>
        <v>-0.41</v>
      </c>
      <c r="P904" s="3" t="s">
        <v>19</v>
      </c>
    </row>
    <row r="905" spans="1:16" x14ac:dyDescent="0.35">
      <c r="A905" s="3" t="s">
        <v>31</v>
      </c>
      <c r="B905" s="3" t="str">
        <f>INDEX(State_Region!$B$2:$B$26,MATCH(TRIM(A905),State_Region!$A$2:$A$26,0))</f>
        <v>East</v>
      </c>
      <c r="C905" s="3" t="s">
        <v>169</v>
      </c>
      <c r="D905" s="3" t="str">
        <f>INDEX(Port_Type!$B$2:$B$227,MATCH(TRIM(C905),Port_Type!$A$2:$A$227,0))</f>
        <v>Land Border / Rail</v>
      </c>
      <c r="E905" s="3" t="s">
        <v>69</v>
      </c>
      <c r="F905" s="3" t="str">
        <f>INDEX(Product_Category!$B$2:$B$45,MATCH(TRIM(E905),Product_Category!$A$2:$A$45,0))</f>
        <v>Others</v>
      </c>
      <c r="G905" s="4">
        <v>0.69</v>
      </c>
      <c r="H905" s="4">
        <v>0.42</v>
      </c>
      <c r="I905" s="4">
        <v>0.18</v>
      </c>
      <c r="J905" s="4">
        <v>126.54</v>
      </c>
      <c r="K905" s="4">
        <v>66.900000000000006</v>
      </c>
      <c r="L905" s="4">
        <v>5.0199999999999996</v>
      </c>
      <c r="M905" s="4">
        <f t="shared" si="42"/>
        <v>-0.26999999999999996</v>
      </c>
      <c r="N905" s="4">
        <f t="shared" si="43"/>
        <v>-59.64</v>
      </c>
      <c r="O905" s="4">
        <f t="shared" si="44"/>
        <v>-0.24</v>
      </c>
      <c r="P905" s="3" t="s">
        <v>19</v>
      </c>
    </row>
    <row r="906" spans="1:16" x14ac:dyDescent="0.35">
      <c r="A906" s="3" t="s">
        <v>86</v>
      </c>
      <c r="B906" s="3" t="str">
        <f>INDEX(State_Region!$B$2:$B$26,MATCH(TRIM(A906),State_Region!$A$2:$A$26,0))</f>
        <v>North</v>
      </c>
      <c r="C906" s="3" t="s">
        <v>87</v>
      </c>
      <c r="D906" s="3" t="str">
        <f>INDEX(Port_Type!$B$2:$B$227,MATCH(TRIM(C906),Port_Type!$A$2:$A$227,0))</f>
        <v>Air Cargo</v>
      </c>
      <c r="E906" s="3" t="s">
        <v>128</v>
      </c>
      <c r="F906" s="3" t="str">
        <f>INDEX(Product_Category!$B$2:$B$45,MATCH(TRIM(E906),Product_Category!$A$2:$A$45,0))</f>
        <v>Dairy, Poultry &amp; Honey</v>
      </c>
      <c r="G906" s="4">
        <v>0.46</v>
      </c>
      <c r="H906" s="4">
        <v>0.36</v>
      </c>
      <c r="I906" s="4">
        <v>0.18</v>
      </c>
      <c r="J906" s="4">
        <v>204.47</v>
      </c>
      <c r="K906" s="4">
        <v>154.01</v>
      </c>
      <c r="L906" s="4">
        <v>86.58</v>
      </c>
      <c r="M906" s="4">
        <f t="shared" si="42"/>
        <v>-0.10000000000000003</v>
      </c>
      <c r="N906" s="4">
        <f t="shared" si="43"/>
        <v>-50.460000000000008</v>
      </c>
      <c r="O906" s="4">
        <f t="shared" si="44"/>
        <v>-0.18</v>
      </c>
      <c r="P906" s="3" t="s">
        <v>19</v>
      </c>
    </row>
    <row r="907" spans="1:16" x14ac:dyDescent="0.35">
      <c r="A907" s="3" t="s">
        <v>20</v>
      </c>
      <c r="B907" s="3" t="str">
        <f>INDEX(State_Region!$B$2:$B$26,MATCH(TRIM(A907),State_Region!$A$2:$A$26,0))</f>
        <v>West</v>
      </c>
      <c r="C907" s="3" t="s">
        <v>68</v>
      </c>
      <c r="D907" s="3" t="str">
        <f>INDEX(Port_Type!$B$2:$B$227,MATCH(TRIM(C907),Port_Type!$A$2:$A$227,0))</f>
        <v>Air Cargo</v>
      </c>
      <c r="E907" s="3" t="s">
        <v>125</v>
      </c>
      <c r="F907" s="3" t="str">
        <f>INDEX(Product_Category!$B$2:$B$45,MATCH(TRIM(E907),Product_Category!$A$2:$A$45,0))</f>
        <v>Meat &amp; Animal Products</v>
      </c>
      <c r="G907" s="4">
        <v>0.78</v>
      </c>
      <c r="H907" s="4">
        <v>0.49</v>
      </c>
      <c r="I907" s="4">
        <v>0.18</v>
      </c>
      <c r="J907" s="4">
        <v>76.14</v>
      </c>
      <c r="K907" s="4">
        <v>62.33</v>
      </c>
      <c r="L907" s="4">
        <v>25.29</v>
      </c>
      <c r="M907" s="4">
        <f t="shared" si="42"/>
        <v>-0.29000000000000004</v>
      </c>
      <c r="N907" s="4">
        <f t="shared" si="43"/>
        <v>-13.810000000000002</v>
      </c>
      <c r="O907" s="4">
        <f t="shared" si="44"/>
        <v>-0.31</v>
      </c>
      <c r="P907" s="3" t="s">
        <v>19</v>
      </c>
    </row>
    <row r="908" spans="1:16" x14ac:dyDescent="0.35">
      <c r="A908" s="3" t="s">
        <v>20</v>
      </c>
      <c r="B908" s="3" t="str">
        <f>INDEX(State_Region!$B$2:$B$26,MATCH(TRIM(A908),State_Region!$A$2:$A$26,0))</f>
        <v>West</v>
      </c>
      <c r="C908" s="3" t="s">
        <v>222</v>
      </c>
      <c r="D908" s="3" t="str">
        <f>INDEX(Port_Type!$B$2:$B$227,MATCH(TRIM(C908),Port_Type!$A$2:$A$227,0))</f>
        <v>Air Cargo</v>
      </c>
      <c r="E908" s="3" t="s">
        <v>45</v>
      </c>
      <c r="F908" s="3" t="str">
        <f>INDEX(Product_Category!$B$2:$B$45,MATCH(TRIM(E908),Product_Category!$A$2:$A$45,0))</f>
        <v>Fresh Fruits &amp; Vegetables</v>
      </c>
      <c r="G908" s="4">
        <v>0</v>
      </c>
      <c r="H908" s="4">
        <v>0.32</v>
      </c>
      <c r="I908" s="4">
        <v>0.18</v>
      </c>
      <c r="J908" s="4">
        <v>0.66</v>
      </c>
      <c r="K908" s="4">
        <v>60.13</v>
      </c>
      <c r="L908" s="4">
        <v>31.83</v>
      </c>
      <c r="M908" s="4">
        <f t="shared" si="42"/>
        <v>0.32</v>
      </c>
      <c r="N908" s="4">
        <f t="shared" si="43"/>
        <v>59.470000000000006</v>
      </c>
      <c r="O908" s="4">
        <f t="shared" si="44"/>
        <v>-0.14000000000000001</v>
      </c>
      <c r="P908" s="3" t="s">
        <v>19</v>
      </c>
    </row>
    <row r="909" spans="1:16" x14ac:dyDescent="0.35">
      <c r="A909" s="3" t="s">
        <v>23</v>
      </c>
      <c r="B909" s="3" t="str">
        <f>INDEX(State_Region!$B$2:$B$26,MATCH(TRIM(A909),State_Region!$A$2:$A$26,0))</f>
        <v>North</v>
      </c>
      <c r="C909" s="3" t="s">
        <v>191</v>
      </c>
      <c r="D909" s="3" t="str">
        <f>INDEX(Port_Type!$B$2:$B$227,MATCH(TRIM(C909),Port_Type!$A$2:$A$227,0))</f>
        <v>Land Border / Rail</v>
      </c>
      <c r="E909" s="3" t="s">
        <v>48</v>
      </c>
      <c r="F909" s="3" t="str">
        <f>INDEX(Product_Category!$B$2:$B$45,MATCH(TRIM(E909),Product_Category!$A$2:$A$45,0))</f>
        <v>Processed Foods</v>
      </c>
      <c r="G909" s="4">
        <v>0.14000000000000001</v>
      </c>
      <c r="H909" s="4">
        <v>0.82</v>
      </c>
      <c r="I909" s="4">
        <v>0.18</v>
      </c>
      <c r="J909" s="4">
        <v>75.61</v>
      </c>
      <c r="K909" s="4">
        <v>187.38</v>
      </c>
      <c r="L909" s="4">
        <v>35.35</v>
      </c>
      <c r="M909" s="4">
        <f t="shared" si="42"/>
        <v>0.67999999999999994</v>
      </c>
      <c r="N909" s="4">
        <f t="shared" si="43"/>
        <v>111.77</v>
      </c>
      <c r="O909" s="4">
        <f t="shared" si="44"/>
        <v>-0.6399999999999999</v>
      </c>
      <c r="P909" s="3" t="s">
        <v>19</v>
      </c>
    </row>
    <row r="910" spans="1:16" x14ac:dyDescent="0.35">
      <c r="A910" s="3" t="s">
        <v>16</v>
      </c>
      <c r="B910" s="3" t="str">
        <f>INDEX(State_Region!$B$2:$B$26,MATCH(TRIM(A910),State_Region!$A$2:$A$26,0))</f>
        <v>West</v>
      </c>
      <c r="C910" s="3" t="s">
        <v>172</v>
      </c>
      <c r="D910" s="3" t="str">
        <f>INDEX(Port_Type!$B$2:$B$227,MATCH(TRIM(C910),Port_Type!$A$2:$A$227,0))</f>
        <v>Sea Port</v>
      </c>
      <c r="E910" s="3" t="s">
        <v>62</v>
      </c>
      <c r="F910" s="3" t="str">
        <f>INDEX(Product_Category!$B$2:$B$45,MATCH(TRIM(E910),Product_Category!$A$2:$A$45,0))</f>
        <v>Cereals &amp; Grains</v>
      </c>
      <c r="G910" s="4">
        <v>0.28000000000000003</v>
      </c>
      <c r="H910" s="4">
        <v>0.39</v>
      </c>
      <c r="I910" s="4">
        <v>0.18</v>
      </c>
      <c r="J910" s="4">
        <v>750</v>
      </c>
      <c r="K910" s="4">
        <v>1160</v>
      </c>
      <c r="L910" s="4">
        <v>590</v>
      </c>
      <c r="M910" s="4">
        <f t="shared" si="42"/>
        <v>0.10999999999999999</v>
      </c>
      <c r="N910" s="4">
        <f t="shared" si="43"/>
        <v>410</v>
      </c>
      <c r="O910" s="4">
        <f t="shared" si="44"/>
        <v>-0.21000000000000002</v>
      </c>
      <c r="P910" s="3" t="s">
        <v>19</v>
      </c>
    </row>
    <row r="911" spans="1:16" x14ac:dyDescent="0.35">
      <c r="A911" s="3" t="s">
        <v>16</v>
      </c>
      <c r="B911" s="3" t="str">
        <f>INDEX(State_Region!$B$2:$B$26,MATCH(TRIM(A911),State_Region!$A$2:$A$26,0))</f>
        <v>West</v>
      </c>
      <c r="C911" s="3" t="s">
        <v>90</v>
      </c>
      <c r="D911" s="3" t="str">
        <f>INDEX(Port_Type!$B$2:$B$227,MATCH(TRIM(C911),Port_Type!$A$2:$A$227,0))</f>
        <v>Inland ICD / CFS</v>
      </c>
      <c r="E911" s="3" t="s">
        <v>151</v>
      </c>
      <c r="F911" s="3" t="str">
        <f>INDEX(Product_Category!$B$2:$B$45,MATCH(TRIM(E911),Product_Category!$A$2:$A$45,0))</f>
        <v>Processed Foods</v>
      </c>
      <c r="G911" s="4">
        <v>0.94</v>
      </c>
      <c r="H911" s="4">
        <v>0.76</v>
      </c>
      <c r="I911" s="4">
        <v>0.18</v>
      </c>
      <c r="J911" s="4">
        <v>546.76</v>
      </c>
      <c r="K911" s="4">
        <v>396.3</v>
      </c>
      <c r="L911" s="4">
        <v>116.69</v>
      </c>
      <c r="M911" s="4">
        <f t="shared" si="42"/>
        <v>-0.17999999999999994</v>
      </c>
      <c r="N911" s="4">
        <f t="shared" si="43"/>
        <v>-150.45999999999998</v>
      </c>
      <c r="O911" s="4">
        <f t="shared" si="44"/>
        <v>-0.58000000000000007</v>
      </c>
      <c r="P911" s="3" t="s">
        <v>19</v>
      </c>
    </row>
    <row r="912" spans="1:16" x14ac:dyDescent="0.35">
      <c r="A912" s="3" t="s">
        <v>74</v>
      </c>
      <c r="B912" s="3" t="str">
        <f>INDEX(State_Region!$B$2:$B$26,MATCH(TRIM(A912),State_Region!$A$2:$A$26,0))</f>
        <v>South</v>
      </c>
      <c r="C912" s="3" t="s">
        <v>75</v>
      </c>
      <c r="D912" s="3" t="str">
        <f>INDEX(Port_Type!$B$2:$B$227,MATCH(TRIM(C912),Port_Type!$A$2:$A$227,0))</f>
        <v>Inland ICD / CFS</v>
      </c>
      <c r="E912" s="3" t="s">
        <v>60</v>
      </c>
      <c r="F912" s="3" t="str">
        <f>INDEX(Product_Category!$B$2:$B$45,MATCH(TRIM(E912),Product_Category!$A$2:$A$45,0))</f>
        <v>Processed Foods</v>
      </c>
      <c r="G912" s="4">
        <v>10.23</v>
      </c>
      <c r="H912" s="4">
        <v>1.06</v>
      </c>
      <c r="I912" s="4">
        <v>0.18</v>
      </c>
      <c r="J912" s="4">
        <v>7422.97</v>
      </c>
      <c r="K912" s="4">
        <v>821.7</v>
      </c>
      <c r="L912" s="4">
        <v>103.78</v>
      </c>
      <c r="M912" s="4">
        <f t="shared" si="42"/>
        <v>-9.17</v>
      </c>
      <c r="N912" s="4">
        <f t="shared" si="43"/>
        <v>-6601.27</v>
      </c>
      <c r="O912" s="4">
        <f t="shared" si="44"/>
        <v>-0.88000000000000012</v>
      </c>
      <c r="P912" s="3" t="s">
        <v>19</v>
      </c>
    </row>
    <row r="913" spans="1:16" x14ac:dyDescent="0.35">
      <c r="A913" s="3" t="s">
        <v>40</v>
      </c>
      <c r="B913" s="3" t="str">
        <f>INDEX(State_Region!$B$2:$B$26,MATCH(TRIM(A913),State_Region!$A$2:$A$26,0))</f>
        <v>South</v>
      </c>
      <c r="C913" s="3" t="s">
        <v>164</v>
      </c>
      <c r="D913" s="3" t="str">
        <f>INDEX(Port_Type!$B$2:$B$227,MATCH(TRIM(C913),Port_Type!$A$2:$A$227,0))</f>
        <v>Air Cargo</v>
      </c>
      <c r="E913" s="3" t="s">
        <v>54</v>
      </c>
      <c r="F913" s="3" t="str">
        <f>INDEX(Product_Category!$B$2:$B$45,MATCH(TRIM(E913),Product_Category!$A$2:$A$45,0))</f>
        <v>Processed Foods</v>
      </c>
      <c r="G913" s="4">
        <v>0.22</v>
      </c>
      <c r="H913" s="4">
        <v>7.0000000000000007E-2</v>
      </c>
      <c r="I913" s="4">
        <v>0.18</v>
      </c>
      <c r="J913" s="4">
        <v>130.61000000000001</v>
      </c>
      <c r="K913" s="4">
        <v>19.309999999999999</v>
      </c>
      <c r="L913" s="4">
        <v>80.27</v>
      </c>
      <c r="M913" s="4">
        <f t="shared" si="42"/>
        <v>-0.15</v>
      </c>
      <c r="N913" s="4">
        <f t="shared" si="43"/>
        <v>-111.30000000000001</v>
      </c>
      <c r="O913" s="4">
        <f t="shared" si="44"/>
        <v>0.10999999999999999</v>
      </c>
      <c r="P913" s="3" t="s">
        <v>19</v>
      </c>
    </row>
    <row r="914" spans="1:16" x14ac:dyDescent="0.35">
      <c r="A914" s="3" t="s">
        <v>159</v>
      </c>
      <c r="B914" s="3" t="str">
        <f>INDEX(State_Region!$B$2:$B$26,MATCH(TRIM(A914),State_Region!$A$2:$A$26,0))</f>
        <v>North-East</v>
      </c>
      <c r="C914" s="3" t="s">
        <v>160</v>
      </c>
      <c r="D914" s="3" t="str">
        <f>INDEX(Port_Type!$B$2:$B$227,MATCH(TRIM(C914),Port_Type!$A$2:$A$227,0))</f>
        <v>Land Border / Rail</v>
      </c>
      <c r="E914" s="3" t="s">
        <v>102</v>
      </c>
      <c r="F914" s="3" t="str">
        <f>INDEX(Product_Category!$B$2:$B$45,MATCH(TRIM(E914),Product_Category!$A$2:$A$45,0))</f>
        <v>Fresh Fruits &amp; Vegetables</v>
      </c>
      <c r="G914" s="4">
        <v>0.13</v>
      </c>
      <c r="H914" s="4">
        <v>0.57999999999999996</v>
      </c>
      <c r="I914" s="4">
        <v>0.18</v>
      </c>
      <c r="J914" s="4">
        <v>400.73</v>
      </c>
      <c r="K914" s="4">
        <v>1812.65</v>
      </c>
      <c r="L914" s="4">
        <v>580.86</v>
      </c>
      <c r="M914" s="4">
        <f t="shared" si="42"/>
        <v>0.44999999999999996</v>
      </c>
      <c r="N914" s="4">
        <f t="shared" si="43"/>
        <v>1411.92</v>
      </c>
      <c r="O914" s="4">
        <f t="shared" si="44"/>
        <v>-0.39999999999999997</v>
      </c>
      <c r="P914" s="3" t="s">
        <v>19</v>
      </c>
    </row>
    <row r="915" spans="1:16" x14ac:dyDescent="0.35">
      <c r="A915" s="3" t="s">
        <v>74</v>
      </c>
      <c r="B915" s="3" t="str">
        <f>INDEX(State_Region!$B$2:$B$26,MATCH(TRIM(A915),State_Region!$A$2:$A$26,0))</f>
        <v>South</v>
      </c>
      <c r="C915" s="3" t="s">
        <v>98</v>
      </c>
      <c r="D915" s="3" t="str">
        <f>INDEX(Port_Type!$B$2:$B$227,MATCH(TRIM(C915),Port_Type!$A$2:$A$227,0))</f>
        <v>Inland ICD / CFS</v>
      </c>
      <c r="E915" s="3" t="s">
        <v>65</v>
      </c>
      <c r="F915" s="3" t="str">
        <f>INDEX(Product_Category!$B$2:$B$45,MATCH(TRIM(E915),Product_Category!$A$2:$A$45,0))</f>
        <v>Cereals &amp; Grains</v>
      </c>
      <c r="G915" s="4">
        <v>1.03</v>
      </c>
      <c r="H915" s="4">
        <v>0.37</v>
      </c>
      <c r="I915" s="4">
        <v>0.18</v>
      </c>
      <c r="J915" s="4">
        <v>331.04</v>
      </c>
      <c r="K915" s="4">
        <v>367.88</v>
      </c>
      <c r="L915" s="4">
        <v>200.85</v>
      </c>
      <c r="M915" s="4">
        <f t="shared" si="42"/>
        <v>-0.66</v>
      </c>
      <c r="N915" s="4">
        <f t="shared" si="43"/>
        <v>36.839999999999975</v>
      </c>
      <c r="O915" s="4">
        <f t="shared" si="44"/>
        <v>-0.19</v>
      </c>
      <c r="P915" s="3" t="s">
        <v>19</v>
      </c>
    </row>
    <row r="916" spans="1:16" x14ac:dyDescent="0.35">
      <c r="A916" s="3" t="s">
        <v>77</v>
      </c>
      <c r="B916" s="3" t="str">
        <f>INDEX(State_Region!$B$2:$B$26,MATCH(TRIM(A916),State_Region!$A$2:$A$26,0))</f>
        <v>South</v>
      </c>
      <c r="C916" s="3" t="s">
        <v>78</v>
      </c>
      <c r="D916" s="3" t="str">
        <f>INDEX(Port_Type!$B$2:$B$227,MATCH(TRIM(C916),Port_Type!$A$2:$A$227,0))</f>
        <v>Sea Port</v>
      </c>
      <c r="E916" s="3" t="s">
        <v>55</v>
      </c>
      <c r="F916" s="3" t="str">
        <f>INDEX(Product_Category!$B$2:$B$45,MATCH(TRIM(E916),Product_Category!$A$2:$A$45,0))</f>
        <v>Fresh Fruits &amp; Vegetables</v>
      </c>
      <c r="G916" s="4">
        <v>0.23</v>
      </c>
      <c r="H916" s="4">
        <v>0.23</v>
      </c>
      <c r="I916" s="4">
        <v>0.17</v>
      </c>
      <c r="J916" s="4">
        <v>259.16000000000003</v>
      </c>
      <c r="K916" s="4">
        <v>143.91999999999999</v>
      </c>
      <c r="L916" s="4">
        <v>65.3</v>
      </c>
      <c r="M916" s="4">
        <f t="shared" si="42"/>
        <v>0</v>
      </c>
      <c r="N916" s="4">
        <f t="shared" si="43"/>
        <v>-115.24000000000004</v>
      </c>
      <c r="O916" s="4">
        <f t="shared" si="44"/>
        <v>-0.06</v>
      </c>
      <c r="P916" s="3" t="s">
        <v>19</v>
      </c>
    </row>
    <row r="917" spans="1:16" x14ac:dyDescent="0.35">
      <c r="A917" s="3" t="s">
        <v>94</v>
      </c>
      <c r="B917" s="3" t="str">
        <f>INDEX(State_Region!$B$2:$B$26,MATCH(TRIM(A917),State_Region!$A$2:$A$26,0))</f>
        <v>East</v>
      </c>
      <c r="C917" s="3" t="s">
        <v>112</v>
      </c>
      <c r="D917" s="3" t="str">
        <f>INDEX(Port_Type!$B$2:$B$227,MATCH(TRIM(C917),Port_Type!$A$2:$A$227,0))</f>
        <v>Land Border / Rail</v>
      </c>
      <c r="E917" s="3" t="s">
        <v>69</v>
      </c>
      <c r="F917" s="3" t="str">
        <f>INDEX(Product_Category!$B$2:$B$45,MATCH(TRIM(E917),Product_Category!$A$2:$A$45,0))</f>
        <v>Others</v>
      </c>
      <c r="G917" s="4">
        <v>0.3</v>
      </c>
      <c r="H917" s="4">
        <v>0.56999999999999995</v>
      </c>
      <c r="I917" s="4">
        <v>0.17</v>
      </c>
      <c r="J917" s="4">
        <v>8.7799999999999994</v>
      </c>
      <c r="K917" s="4">
        <v>157.08000000000001</v>
      </c>
      <c r="L917" s="4">
        <v>1.32</v>
      </c>
      <c r="M917" s="4">
        <f t="shared" si="42"/>
        <v>0.26999999999999996</v>
      </c>
      <c r="N917" s="4">
        <f t="shared" si="43"/>
        <v>148.30000000000001</v>
      </c>
      <c r="O917" s="4">
        <f t="shared" si="44"/>
        <v>-0.39999999999999991</v>
      </c>
      <c r="P917" s="3" t="s">
        <v>19</v>
      </c>
    </row>
    <row r="918" spans="1:16" x14ac:dyDescent="0.35">
      <c r="A918" s="3" t="s">
        <v>23</v>
      </c>
      <c r="B918" s="3" t="str">
        <f>INDEX(State_Region!$B$2:$B$26,MATCH(TRIM(A918),State_Region!$A$2:$A$26,0))</f>
        <v>North</v>
      </c>
      <c r="C918" s="3" t="s">
        <v>123</v>
      </c>
      <c r="D918" s="3" t="str">
        <f>INDEX(Port_Type!$B$2:$B$227,MATCH(TRIM(C918),Port_Type!$A$2:$A$227,0))</f>
        <v>Land Border / Rail</v>
      </c>
      <c r="E918" s="3" t="s">
        <v>60</v>
      </c>
      <c r="F918" s="3" t="str">
        <f>INDEX(Product_Category!$B$2:$B$45,MATCH(TRIM(E918),Product_Category!$A$2:$A$45,0))</f>
        <v>Processed Foods</v>
      </c>
      <c r="G918" s="4">
        <v>0.19</v>
      </c>
      <c r="H918" s="4">
        <v>0.14000000000000001</v>
      </c>
      <c r="I918" s="4">
        <v>0.17</v>
      </c>
      <c r="J918" s="4">
        <v>76.38</v>
      </c>
      <c r="K918" s="4">
        <v>76.47</v>
      </c>
      <c r="L918" s="4">
        <v>23.19</v>
      </c>
      <c r="M918" s="4">
        <f t="shared" si="42"/>
        <v>-4.9999999999999989E-2</v>
      </c>
      <c r="N918" s="4">
        <f t="shared" si="43"/>
        <v>9.0000000000003411E-2</v>
      </c>
      <c r="O918" s="4">
        <f t="shared" si="44"/>
        <v>0.03</v>
      </c>
      <c r="P918" s="3" t="s">
        <v>19</v>
      </c>
    </row>
    <row r="919" spans="1:16" x14ac:dyDescent="0.35">
      <c r="A919" s="3" t="s">
        <v>20</v>
      </c>
      <c r="B919" s="3" t="str">
        <f>INDEX(State_Region!$B$2:$B$26,MATCH(TRIM(A919),State_Region!$A$2:$A$26,0))</f>
        <v>West</v>
      </c>
      <c r="C919" s="3" t="s">
        <v>156</v>
      </c>
      <c r="D919" s="3" t="str">
        <f>INDEX(Port_Type!$B$2:$B$227,MATCH(TRIM(C919),Port_Type!$A$2:$A$227,0))</f>
        <v>Sea Port</v>
      </c>
      <c r="E919" s="3" t="s">
        <v>60</v>
      </c>
      <c r="F919" s="3" t="str">
        <f>INDEX(Product_Category!$B$2:$B$45,MATCH(TRIM(E919),Product_Category!$A$2:$A$45,0))</f>
        <v>Processed Foods</v>
      </c>
      <c r="G919" s="4">
        <v>2.37</v>
      </c>
      <c r="H919" s="4">
        <v>2.3199999999999998</v>
      </c>
      <c r="I919" s="4">
        <v>0.17</v>
      </c>
      <c r="J919" s="4">
        <v>148.41999999999999</v>
      </c>
      <c r="K919" s="4">
        <v>182.65</v>
      </c>
      <c r="L919" s="4">
        <v>36.21</v>
      </c>
      <c r="M919" s="4">
        <f t="shared" si="42"/>
        <v>-5.0000000000000266E-2</v>
      </c>
      <c r="N919" s="4">
        <f t="shared" si="43"/>
        <v>34.230000000000018</v>
      </c>
      <c r="O919" s="4">
        <f t="shared" si="44"/>
        <v>-2.15</v>
      </c>
      <c r="P919" s="3" t="s">
        <v>19</v>
      </c>
    </row>
    <row r="920" spans="1:16" x14ac:dyDescent="0.35">
      <c r="A920" s="3" t="s">
        <v>20</v>
      </c>
      <c r="B920" s="3" t="str">
        <f>INDEX(State_Region!$B$2:$B$26,MATCH(TRIM(A920),State_Region!$A$2:$A$26,0))</f>
        <v>West</v>
      </c>
      <c r="C920" s="3" t="s">
        <v>119</v>
      </c>
      <c r="D920" s="3" t="str">
        <f>INDEX(Port_Type!$B$2:$B$227,MATCH(TRIM(C920),Port_Type!$A$2:$A$227,0))</f>
        <v>SEZ / EPZ</v>
      </c>
      <c r="E920" s="3" t="s">
        <v>48</v>
      </c>
      <c r="F920" s="3" t="str">
        <f>INDEX(Product_Category!$B$2:$B$45,MATCH(TRIM(E920),Product_Category!$A$2:$A$45,0))</f>
        <v>Processed Foods</v>
      </c>
      <c r="G920" s="4">
        <v>0</v>
      </c>
      <c r="H920" s="4">
        <v>0.38</v>
      </c>
      <c r="I920" s="4">
        <v>0.17</v>
      </c>
      <c r="J920" s="4">
        <v>0</v>
      </c>
      <c r="K920" s="4">
        <v>100.8</v>
      </c>
      <c r="L920" s="4">
        <v>45.6</v>
      </c>
      <c r="M920" s="4">
        <f t="shared" si="42"/>
        <v>0.38</v>
      </c>
      <c r="N920" s="4">
        <f t="shared" si="43"/>
        <v>100.8</v>
      </c>
      <c r="O920" s="4">
        <f t="shared" si="44"/>
        <v>-0.21</v>
      </c>
      <c r="P920" s="3" t="s">
        <v>19</v>
      </c>
    </row>
    <row r="921" spans="1:16" x14ac:dyDescent="0.35">
      <c r="A921" s="3" t="s">
        <v>16</v>
      </c>
      <c r="B921" s="3" t="str">
        <f>INDEX(State_Region!$B$2:$B$26,MATCH(TRIM(A921),State_Region!$A$2:$A$26,0))</f>
        <v>West</v>
      </c>
      <c r="C921" s="3" t="s">
        <v>90</v>
      </c>
      <c r="D921" s="3" t="str">
        <f>INDEX(Port_Type!$B$2:$B$227,MATCH(TRIM(C921),Port_Type!$A$2:$A$227,0))</f>
        <v>Inland ICD / CFS</v>
      </c>
      <c r="E921" s="3" t="s">
        <v>27</v>
      </c>
      <c r="F921" s="3" t="str">
        <f>INDEX(Product_Category!$B$2:$B$45,MATCH(TRIM(E921),Product_Category!$A$2:$A$45,0))</f>
        <v>Cereals &amp; Grains</v>
      </c>
      <c r="G921" s="4">
        <v>0.21</v>
      </c>
      <c r="H921" s="4">
        <v>0.34</v>
      </c>
      <c r="I921" s="4">
        <v>0.17</v>
      </c>
      <c r="J921" s="4">
        <v>379.82</v>
      </c>
      <c r="K921" s="4">
        <v>396.22</v>
      </c>
      <c r="L921" s="4">
        <v>171.18</v>
      </c>
      <c r="M921" s="4">
        <f t="shared" si="42"/>
        <v>0.13000000000000003</v>
      </c>
      <c r="N921" s="4">
        <f t="shared" si="43"/>
        <v>16.400000000000034</v>
      </c>
      <c r="O921" s="4">
        <f t="shared" si="44"/>
        <v>-0.17</v>
      </c>
      <c r="P921" s="3" t="s">
        <v>19</v>
      </c>
    </row>
    <row r="922" spans="1:16" x14ac:dyDescent="0.35">
      <c r="A922" s="3" t="s">
        <v>31</v>
      </c>
      <c r="B922" s="3" t="str">
        <f>INDEX(State_Region!$B$2:$B$26,MATCH(TRIM(A922),State_Region!$A$2:$A$26,0))</f>
        <v>East</v>
      </c>
      <c r="C922" s="3" t="s">
        <v>101</v>
      </c>
      <c r="D922" s="3" t="str">
        <f>INDEX(Port_Type!$B$2:$B$227,MATCH(TRIM(C922),Port_Type!$A$2:$A$227,0))</f>
        <v>Land Border / Rail</v>
      </c>
      <c r="E922" s="3" t="s">
        <v>144</v>
      </c>
      <c r="F922" s="3" t="str">
        <f>INDEX(Product_Category!$B$2:$B$45,MATCH(TRIM(E922),Product_Category!$A$2:$A$45,0))</f>
        <v>Cereals &amp; Grains</v>
      </c>
      <c r="G922" s="4">
        <v>1.1100000000000001</v>
      </c>
      <c r="H922" s="4">
        <v>1.07</v>
      </c>
      <c r="I922" s="4">
        <v>0.17</v>
      </c>
      <c r="J922" s="4">
        <v>4021.85</v>
      </c>
      <c r="K922" s="4">
        <v>3419.18</v>
      </c>
      <c r="L922" s="4">
        <v>553</v>
      </c>
      <c r="M922" s="4">
        <f t="shared" si="42"/>
        <v>-4.0000000000000036E-2</v>
      </c>
      <c r="N922" s="4">
        <f t="shared" si="43"/>
        <v>-602.67000000000007</v>
      </c>
      <c r="O922" s="4">
        <f t="shared" si="44"/>
        <v>-0.9</v>
      </c>
      <c r="P922" s="3" t="s">
        <v>19</v>
      </c>
    </row>
    <row r="923" spans="1:16" x14ac:dyDescent="0.35">
      <c r="A923" s="3" t="s">
        <v>66</v>
      </c>
      <c r="B923" s="3" t="str">
        <f>INDEX(State_Region!$B$2:$B$26,MATCH(TRIM(A923),State_Region!$A$2:$A$26,0))</f>
        <v>North</v>
      </c>
      <c r="C923" s="3" t="s">
        <v>127</v>
      </c>
      <c r="D923" s="3" t="str">
        <f>INDEX(Port_Type!$B$2:$B$227,MATCH(TRIM(C923),Port_Type!$A$2:$A$227,0))</f>
        <v>Inland ICD / CFS</v>
      </c>
      <c r="E923" s="3" t="s">
        <v>69</v>
      </c>
      <c r="F923" s="3" t="str">
        <f>INDEX(Product_Category!$B$2:$B$45,MATCH(TRIM(E923),Product_Category!$A$2:$A$45,0))</f>
        <v>Others</v>
      </c>
      <c r="G923" s="4">
        <v>1.78</v>
      </c>
      <c r="H923" s="4">
        <v>1.02</v>
      </c>
      <c r="I923" s="4">
        <v>0.17</v>
      </c>
      <c r="J923" s="4">
        <v>199.57</v>
      </c>
      <c r="K923" s="4">
        <v>76.88</v>
      </c>
      <c r="L923" s="4">
        <v>13.08</v>
      </c>
      <c r="M923" s="4">
        <f t="shared" si="42"/>
        <v>-0.76</v>
      </c>
      <c r="N923" s="4">
        <f t="shared" si="43"/>
        <v>-122.69</v>
      </c>
      <c r="O923" s="4">
        <f t="shared" si="44"/>
        <v>-0.85</v>
      </c>
      <c r="P923" s="3" t="s">
        <v>19</v>
      </c>
    </row>
    <row r="924" spans="1:16" x14ac:dyDescent="0.35">
      <c r="A924" s="3" t="s">
        <v>35</v>
      </c>
      <c r="B924" s="3" t="str">
        <f>INDEX(State_Region!$B$2:$B$26,MATCH(TRIM(A924),State_Region!$A$2:$A$26,0))</f>
        <v>North</v>
      </c>
      <c r="C924" s="3" t="s">
        <v>47</v>
      </c>
      <c r="D924" s="3" t="str">
        <f>INDEX(Port_Type!$B$2:$B$227,MATCH(TRIM(C924),Port_Type!$A$2:$A$227,0))</f>
        <v>Inland ICD / CFS</v>
      </c>
      <c r="E924" s="3" t="s">
        <v>53</v>
      </c>
      <c r="F924" s="3" t="str">
        <f>INDEX(Product_Category!$B$2:$B$45,MATCH(TRIM(E924),Product_Category!$A$2:$A$45,0))</f>
        <v>Processed Foods</v>
      </c>
      <c r="G924" s="4">
        <v>0.9</v>
      </c>
      <c r="H924" s="4">
        <v>0.47</v>
      </c>
      <c r="I924" s="4">
        <v>0.17</v>
      </c>
      <c r="J924" s="4">
        <v>471.12</v>
      </c>
      <c r="K924" s="4">
        <v>249.31</v>
      </c>
      <c r="L924" s="4">
        <v>108.27</v>
      </c>
      <c r="M924" s="4">
        <f t="shared" si="42"/>
        <v>-0.43000000000000005</v>
      </c>
      <c r="N924" s="4">
        <f t="shared" si="43"/>
        <v>-221.81</v>
      </c>
      <c r="O924" s="4">
        <f t="shared" si="44"/>
        <v>-0.29999999999999993</v>
      </c>
      <c r="P924" s="3" t="s">
        <v>19</v>
      </c>
    </row>
    <row r="925" spans="1:16" x14ac:dyDescent="0.35">
      <c r="A925" s="3" t="s">
        <v>94</v>
      </c>
      <c r="B925" s="3" t="str">
        <f>INDEX(State_Region!$B$2:$B$26,MATCH(TRIM(A925),State_Region!$A$2:$A$26,0))</f>
        <v>East</v>
      </c>
      <c r="C925" s="3" t="s">
        <v>95</v>
      </c>
      <c r="D925" s="3" t="str">
        <f>INDEX(Port_Type!$B$2:$B$227,MATCH(TRIM(C925),Port_Type!$A$2:$A$227,0))</f>
        <v>Land Border / Rail</v>
      </c>
      <c r="E925" s="3" t="s">
        <v>118</v>
      </c>
      <c r="F925" s="3" t="str">
        <f>INDEX(Product_Category!$B$2:$B$45,MATCH(TRIM(E925),Product_Category!$A$2:$A$45,0))</f>
        <v>Dairy, Poultry &amp; Honey</v>
      </c>
      <c r="G925" s="4">
        <v>0.73</v>
      </c>
      <c r="H925" s="4">
        <v>1.1499999999999999</v>
      </c>
      <c r="I925" s="4">
        <v>0.17</v>
      </c>
      <c r="J925" s="4">
        <v>550.76</v>
      </c>
      <c r="K925" s="4">
        <v>680.16</v>
      </c>
      <c r="L925" s="4">
        <v>124.54</v>
      </c>
      <c r="M925" s="4">
        <f t="shared" si="42"/>
        <v>0.41999999999999993</v>
      </c>
      <c r="N925" s="4">
        <f t="shared" si="43"/>
        <v>129.39999999999998</v>
      </c>
      <c r="O925" s="4">
        <f t="shared" si="44"/>
        <v>-0.97999999999999987</v>
      </c>
      <c r="P925" s="3" t="s">
        <v>19</v>
      </c>
    </row>
    <row r="926" spans="1:16" x14ac:dyDescent="0.35">
      <c r="A926" s="3" t="s">
        <v>20</v>
      </c>
      <c r="B926" s="3" t="str">
        <f>INDEX(State_Region!$B$2:$B$26,MATCH(TRIM(A926),State_Region!$A$2:$A$26,0))</f>
        <v>West</v>
      </c>
      <c r="C926" s="3" t="s">
        <v>145</v>
      </c>
      <c r="D926" s="3" t="str">
        <f>INDEX(Port_Type!$B$2:$B$227,MATCH(TRIM(C926),Port_Type!$A$2:$A$227,0))</f>
        <v>Inland ICD / CFS</v>
      </c>
      <c r="E926" s="3" t="s">
        <v>33</v>
      </c>
      <c r="F926" s="3" t="str">
        <f>INDEX(Product_Category!$B$2:$B$45,MATCH(TRIM(E926),Product_Category!$A$2:$A$45,0))</f>
        <v>Pulses</v>
      </c>
      <c r="G926" s="4">
        <v>0</v>
      </c>
      <c r="H926" s="4">
        <v>0.15</v>
      </c>
      <c r="I926" s="4">
        <v>0.16</v>
      </c>
      <c r="J926" s="4">
        <v>0</v>
      </c>
      <c r="K926" s="4">
        <v>103.97</v>
      </c>
      <c r="L926" s="4">
        <v>129.01</v>
      </c>
      <c r="M926" s="4">
        <f t="shared" si="42"/>
        <v>0.15</v>
      </c>
      <c r="N926" s="4">
        <f t="shared" si="43"/>
        <v>103.97</v>
      </c>
      <c r="O926" s="4">
        <f t="shared" si="44"/>
        <v>1.0000000000000009E-2</v>
      </c>
      <c r="P926" s="3" t="s">
        <v>19</v>
      </c>
    </row>
    <row r="927" spans="1:16" x14ac:dyDescent="0.35">
      <c r="A927" s="3" t="s">
        <v>23</v>
      </c>
      <c r="B927" s="3" t="str">
        <f>INDEX(State_Region!$B$2:$B$26,MATCH(TRIM(A927),State_Region!$A$2:$A$26,0))</f>
        <v>North</v>
      </c>
      <c r="C927" s="3" t="s">
        <v>191</v>
      </c>
      <c r="D927" s="3" t="str">
        <f>INDEX(Port_Type!$B$2:$B$227,MATCH(TRIM(C927),Port_Type!$A$2:$A$227,0))</f>
        <v>Land Border / Rail</v>
      </c>
      <c r="E927" s="3" t="s">
        <v>54</v>
      </c>
      <c r="F927" s="3" t="str">
        <f>INDEX(Product_Category!$B$2:$B$45,MATCH(TRIM(E927),Product_Category!$A$2:$A$45,0))</f>
        <v>Processed Foods</v>
      </c>
      <c r="G927" s="4">
        <v>0.02</v>
      </c>
      <c r="H927" s="4">
        <v>0.17</v>
      </c>
      <c r="I927" s="4">
        <v>0.16</v>
      </c>
      <c r="J927" s="4">
        <v>8.64</v>
      </c>
      <c r="K927" s="4">
        <v>8.99</v>
      </c>
      <c r="L927" s="4">
        <v>0.3</v>
      </c>
      <c r="M927" s="4">
        <f t="shared" si="42"/>
        <v>0.15000000000000002</v>
      </c>
      <c r="N927" s="4">
        <f t="shared" si="43"/>
        <v>0.34999999999999964</v>
      </c>
      <c r="O927" s="4">
        <f t="shared" si="44"/>
        <v>-1.0000000000000009E-2</v>
      </c>
      <c r="P927" s="3" t="s">
        <v>19</v>
      </c>
    </row>
    <row r="928" spans="1:16" x14ac:dyDescent="0.35">
      <c r="A928" s="3" t="s">
        <v>94</v>
      </c>
      <c r="B928" s="3" t="str">
        <f>INDEX(State_Region!$B$2:$B$26,MATCH(TRIM(A928),State_Region!$A$2:$A$26,0))</f>
        <v>East</v>
      </c>
      <c r="C928" s="3" t="s">
        <v>112</v>
      </c>
      <c r="D928" s="3" t="str">
        <f>INDEX(Port_Type!$B$2:$B$227,MATCH(TRIM(C928),Port_Type!$A$2:$A$227,0))</f>
        <v>Land Border / Rail</v>
      </c>
      <c r="E928" s="3" t="s">
        <v>144</v>
      </c>
      <c r="F928" s="3" t="str">
        <f>INDEX(Product_Category!$B$2:$B$45,MATCH(TRIM(E928),Product_Category!$A$2:$A$45,0))</f>
        <v>Cereals &amp; Grains</v>
      </c>
      <c r="G928" s="4">
        <v>0.6</v>
      </c>
      <c r="H928" s="4">
        <v>0.6</v>
      </c>
      <c r="I928" s="4">
        <v>0.16</v>
      </c>
      <c r="J928" s="4">
        <v>1680.13</v>
      </c>
      <c r="K928" s="4">
        <v>1674.48</v>
      </c>
      <c r="L928" s="4">
        <v>503</v>
      </c>
      <c r="M928" s="4">
        <f t="shared" si="42"/>
        <v>0</v>
      </c>
      <c r="N928" s="4">
        <f t="shared" si="43"/>
        <v>-5.6500000000000909</v>
      </c>
      <c r="O928" s="4">
        <f t="shared" si="44"/>
        <v>-0.43999999999999995</v>
      </c>
      <c r="P928" s="3" t="s">
        <v>19</v>
      </c>
    </row>
    <row r="929" spans="1:16" x14ac:dyDescent="0.35">
      <c r="A929" s="3" t="s">
        <v>74</v>
      </c>
      <c r="B929" s="3" t="str">
        <f>INDEX(State_Region!$B$2:$B$26,MATCH(TRIM(A929),State_Region!$A$2:$A$26,0))</f>
        <v>South</v>
      </c>
      <c r="C929" s="3" t="s">
        <v>137</v>
      </c>
      <c r="D929" s="3" t="str">
        <f>INDEX(Port_Type!$B$2:$B$227,MATCH(TRIM(C929),Port_Type!$A$2:$A$227,0))</f>
        <v>Air Cargo</v>
      </c>
      <c r="E929" s="3" t="s">
        <v>27</v>
      </c>
      <c r="F929" s="3" t="str">
        <f>INDEX(Product_Category!$B$2:$B$45,MATCH(TRIM(E929),Product_Category!$A$2:$A$45,0))</f>
        <v>Cereals &amp; Grains</v>
      </c>
      <c r="G929" s="4">
        <v>0</v>
      </c>
      <c r="H929" s="4">
        <v>0.08</v>
      </c>
      <c r="I929" s="4">
        <v>0.16</v>
      </c>
      <c r="J929" s="4">
        <v>1.21</v>
      </c>
      <c r="K929" s="4">
        <v>16.87</v>
      </c>
      <c r="L929" s="4">
        <v>155.53</v>
      </c>
      <c r="M929" s="4">
        <f t="shared" si="42"/>
        <v>0.08</v>
      </c>
      <c r="N929" s="4">
        <f t="shared" si="43"/>
        <v>15.66</v>
      </c>
      <c r="O929" s="4">
        <f t="shared" si="44"/>
        <v>0.08</v>
      </c>
      <c r="P929" s="3" t="s">
        <v>19</v>
      </c>
    </row>
    <row r="930" spans="1:16" x14ac:dyDescent="0.35">
      <c r="A930" s="3" t="s">
        <v>77</v>
      </c>
      <c r="B930" s="3" t="str">
        <f>INDEX(State_Region!$B$2:$B$26,MATCH(TRIM(A930),State_Region!$A$2:$A$26,0))</f>
        <v>South</v>
      </c>
      <c r="C930" s="3" t="s">
        <v>132</v>
      </c>
      <c r="D930" s="3" t="str">
        <f>INDEX(Port_Type!$B$2:$B$227,MATCH(TRIM(C930),Port_Type!$A$2:$A$227,0))</f>
        <v>Air Cargo</v>
      </c>
      <c r="E930" s="3" t="s">
        <v>110</v>
      </c>
      <c r="F930" s="3" t="str">
        <f>INDEX(Product_Category!$B$2:$B$45,MATCH(TRIM(E930),Product_Category!$A$2:$A$45,0))</f>
        <v>Dairy, Poultry &amp; Honey</v>
      </c>
      <c r="G930" s="4">
        <v>0.68</v>
      </c>
      <c r="H930" s="4">
        <v>0.01</v>
      </c>
      <c r="I930" s="4">
        <v>0.16</v>
      </c>
      <c r="J930" s="4">
        <v>2466.54</v>
      </c>
      <c r="K930" s="4">
        <v>37.979999999999997</v>
      </c>
      <c r="L930" s="4">
        <v>577.79999999999995</v>
      </c>
      <c r="M930" s="4">
        <f t="shared" si="42"/>
        <v>-0.67</v>
      </c>
      <c r="N930" s="4">
        <f t="shared" si="43"/>
        <v>-2428.56</v>
      </c>
      <c r="O930" s="4">
        <f t="shared" si="44"/>
        <v>0.15</v>
      </c>
      <c r="P930" s="3" t="s">
        <v>19</v>
      </c>
    </row>
    <row r="931" spans="1:16" x14ac:dyDescent="0.35">
      <c r="A931" s="3" t="s">
        <v>86</v>
      </c>
      <c r="B931" s="3" t="str">
        <f>INDEX(State_Region!$B$2:$B$26,MATCH(TRIM(A931),State_Region!$A$2:$A$26,0))</f>
        <v>North</v>
      </c>
      <c r="C931" s="3" t="s">
        <v>106</v>
      </c>
      <c r="D931" s="3" t="str">
        <f>INDEX(Port_Type!$B$2:$B$227,MATCH(TRIM(C931),Port_Type!$A$2:$A$227,0))</f>
        <v>Inland ICD / CFS</v>
      </c>
      <c r="E931" s="3" t="s">
        <v>170</v>
      </c>
      <c r="F931" s="3" t="str">
        <f>INDEX(Product_Category!$B$2:$B$45,MATCH(TRIM(E931),Product_Category!$A$2:$A$45,0))</f>
        <v>Others</v>
      </c>
      <c r="G931" s="4">
        <v>0.36</v>
      </c>
      <c r="H931" s="4">
        <v>0.12</v>
      </c>
      <c r="I931" s="4">
        <v>0.16</v>
      </c>
      <c r="J931" s="4">
        <v>81.38</v>
      </c>
      <c r="K931" s="4">
        <v>13.78</v>
      </c>
      <c r="L931" s="4">
        <v>19.59</v>
      </c>
      <c r="M931" s="4">
        <f t="shared" si="42"/>
        <v>-0.24</v>
      </c>
      <c r="N931" s="4">
        <f t="shared" si="43"/>
        <v>-67.599999999999994</v>
      </c>
      <c r="O931" s="4">
        <f t="shared" si="44"/>
        <v>4.0000000000000008E-2</v>
      </c>
      <c r="P931" s="3" t="s">
        <v>19</v>
      </c>
    </row>
    <row r="932" spans="1:16" x14ac:dyDescent="0.35">
      <c r="A932" s="3" t="s">
        <v>20</v>
      </c>
      <c r="B932" s="3" t="str">
        <f>INDEX(State_Region!$B$2:$B$26,MATCH(TRIM(A932),State_Region!$A$2:$A$26,0))</f>
        <v>West</v>
      </c>
      <c r="C932" s="3" t="s">
        <v>134</v>
      </c>
      <c r="D932" s="3" t="str">
        <f>INDEX(Port_Type!$B$2:$B$227,MATCH(TRIM(C932),Port_Type!$A$2:$A$227,0))</f>
        <v>Inland ICD / CFS</v>
      </c>
      <c r="E932" s="3" t="s">
        <v>151</v>
      </c>
      <c r="F932" s="3" t="str">
        <f>INDEX(Product_Category!$B$2:$B$45,MATCH(TRIM(E932),Product_Category!$A$2:$A$45,0))</f>
        <v>Processed Foods</v>
      </c>
      <c r="G932" s="4">
        <v>0</v>
      </c>
      <c r="H932" s="4">
        <v>0.03</v>
      </c>
      <c r="I932" s="4">
        <v>0.16</v>
      </c>
      <c r="J932" s="4">
        <v>0</v>
      </c>
      <c r="K932" s="4">
        <v>17.14</v>
      </c>
      <c r="L932" s="4">
        <v>89.61</v>
      </c>
      <c r="M932" s="4">
        <f t="shared" si="42"/>
        <v>0.03</v>
      </c>
      <c r="N932" s="4">
        <f t="shared" si="43"/>
        <v>17.14</v>
      </c>
      <c r="O932" s="4">
        <f t="shared" si="44"/>
        <v>0.13</v>
      </c>
      <c r="P932" s="3" t="s">
        <v>19</v>
      </c>
    </row>
    <row r="933" spans="1:16" x14ac:dyDescent="0.35">
      <c r="A933" s="3" t="s">
        <v>35</v>
      </c>
      <c r="B933" s="3" t="str">
        <f>INDEX(State_Region!$B$2:$B$26,MATCH(TRIM(A933),State_Region!$A$2:$A$26,0))</f>
        <v>North</v>
      </c>
      <c r="C933" s="3" t="s">
        <v>38</v>
      </c>
      <c r="D933" s="3" t="str">
        <f>INDEX(Port_Type!$B$2:$B$227,MATCH(TRIM(C933),Port_Type!$A$2:$A$227,0))</f>
        <v>Inland ICD / CFS</v>
      </c>
      <c r="E933" s="3" t="s">
        <v>144</v>
      </c>
      <c r="F933" s="3" t="str">
        <f>INDEX(Product_Category!$B$2:$B$45,MATCH(TRIM(E933),Product_Category!$A$2:$A$45,0))</f>
        <v>Cereals &amp; Grains</v>
      </c>
      <c r="G933" s="4">
        <v>0.11</v>
      </c>
      <c r="H933" s="4">
        <v>0.33</v>
      </c>
      <c r="I933" s="4">
        <v>0.16</v>
      </c>
      <c r="J933" s="4">
        <v>132.47</v>
      </c>
      <c r="K933" s="4">
        <v>274.10000000000002</v>
      </c>
      <c r="L933" s="4">
        <v>156.52000000000001</v>
      </c>
      <c r="M933" s="4">
        <f t="shared" si="42"/>
        <v>0.22000000000000003</v>
      </c>
      <c r="N933" s="4">
        <f t="shared" si="43"/>
        <v>141.63000000000002</v>
      </c>
      <c r="O933" s="4">
        <f t="shared" si="44"/>
        <v>-0.17</v>
      </c>
      <c r="P933" s="3" t="s">
        <v>19</v>
      </c>
    </row>
    <row r="934" spans="1:16" x14ac:dyDescent="0.35">
      <c r="A934" s="3" t="s">
        <v>79</v>
      </c>
      <c r="B934" s="3" t="str">
        <f>INDEX(State_Region!$B$2:$B$26,MATCH(TRIM(A934),State_Region!$A$2:$A$26,0))</f>
        <v>South</v>
      </c>
      <c r="C934" s="3" t="s">
        <v>92</v>
      </c>
      <c r="D934" s="3" t="str">
        <f>INDEX(Port_Type!$B$2:$B$227,MATCH(TRIM(C934),Port_Type!$A$2:$A$227,0))</f>
        <v>Air Cargo</v>
      </c>
      <c r="E934" s="3" t="s">
        <v>48</v>
      </c>
      <c r="F934" s="3" t="str">
        <f>INDEX(Product_Category!$B$2:$B$45,MATCH(TRIM(E934),Product_Category!$A$2:$A$45,0))</f>
        <v>Processed Foods</v>
      </c>
      <c r="G934" s="4">
        <v>0.06</v>
      </c>
      <c r="H934" s="4">
        <v>0.36</v>
      </c>
      <c r="I934" s="4">
        <v>0.16</v>
      </c>
      <c r="J934" s="4">
        <v>13.55</v>
      </c>
      <c r="K934" s="4">
        <v>44.53</v>
      </c>
      <c r="L934" s="4">
        <v>20.91</v>
      </c>
      <c r="M934" s="4">
        <f t="shared" si="42"/>
        <v>0.3</v>
      </c>
      <c r="N934" s="4">
        <f t="shared" si="43"/>
        <v>30.98</v>
      </c>
      <c r="O934" s="4">
        <f t="shared" si="44"/>
        <v>-0.19999999999999998</v>
      </c>
      <c r="P934" s="3" t="s">
        <v>19</v>
      </c>
    </row>
    <row r="935" spans="1:16" x14ac:dyDescent="0.35">
      <c r="A935" s="3" t="s">
        <v>66</v>
      </c>
      <c r="B935" s="3" t="str">
        <f>INDEX(State_Region!$B$2:$B$26,MATCH(TRIM(A935),State_Region!$A$2:$A$26,0))</f>
        <v>North</v>
      </c>
      <c r="C935" s="3" t="s">
        <v>108</v>
      </c>
      <c r="D935" s="3" t="str">
        <f>INDEX(Port_Type!$B$2:$B$227,MATCH(TRIM(C935),Port_Type!$A$2:$A$227,0))</f>
        <v>Inland ICD / CFS</v>
      </c>
      <c r="E935" s="3" t="s">
        <v>27</v>
      </c>
      <c r="F935" s="3" t="str">
        <f>INDEX(Product_Category!$B$2:$B$45,MATCH(TRIM(E935),Product_Category!$A$2:$A$45,0))</f>
        <v>Cereals &amp; Grains</v>
      </c>
      <c r="G935" s="4">
        <v>2.2400000000000002</v>
      </c>
      <c r="H935" s="4">
        <v>1.98</v>
      </c>
      <c r="I935" s="4">
        <v>0.16</v>
      </c>
      <c r="J935" s="4">
        <v>3539.36</v>
      </c>
      <c r="K935" s="4">
        <v>3172.95</v>
      </c>
      <c r="L935" s="4">
        <v>228.84</v>
      </c>
      <c r="M935" s="4">
        <f t="shared" si="42"/>
        <v>-0.26000000000000023</v>
      </c>
      <c r="N935" s="4">
        <f t="shared" si="43"/>
        <v>-366.41000000000031</v>
      </c>
      <c r="O935" s="4">
        <f t="shared" si="44"/>
        <v>-1.82</v>
      </c>
      <c r="P935" s="3" t="s">
        <v>19</v>
      </c>
    </row>
    <row r="936" spans="1:16" x14ac:dyDescent="0.35">
      <c r="A936" s="3" t="s">
        <v>31</v>
      </c>
      <c r="B936" s="3" t="str">
        <f>INDEX(State_Region!$B$2:$B$26,MATCH(TRIM(A936),State_Region!$A$2:$A$26,0))</f>
        <v>East</v>
      </c>
      <c r="C936" s="3" t="s">
        <v>131</v>
      </c>
      <c r="D936" s="3" t="str">
        <f>INDEX(Port_Type!$B$2:$B$227,MATCH(TRIM(C936),Port_Type!$A$2:$A$227,0))</f>
        <v>Land Border / Rail</v>
      </c>
      <c r="E936" s="3" t="s">
        <v>60</v>
      </c>
      <c r="F936" s="3" t="str">
        <f>INDEX(Product_Category!$B$2:$B$45,MATCH(TRIM(E936),Product_Category!$A$2:$A$45,0))</f>
        <v>Processed Foods</v>
      </c>
      <c r="G936" s="4">
        <v>0.57999999999999996</v>
      </c>
      <c r="H936" s="4">
        <v>0.67</v>
      </c>
      <c r="I936" s="4">
        <v>0.15</v>
      </c>
      <c r="J936" s="4">
        <v>353.45</v>
      </c>
      <c r="K936" s="4">
        <v>171.02</v>
      </c>
      <c r="L936" s="4">
        <v>125.63</v>
      </c>
      <c r="M936" s="4">
        <f t="shared" si="42"/>
        <v>9.000000000000008E-2</v>
      </c>
      <c r="N936" s="4">
        <f t="shared" si="43"/>
        <v>-182.42999999999998</v>
      </c>
      <c r="O936" s="4">
        <f t="shared" si="44"/>
        <v>-0.52</v>
      </c>
      <c r="P936" s="3" t="s">
        <v>19</v>
      </c>
    </row>
    <row r="937" spans="1:16" x14ac:dyDescent="0.35">
      <c r="A937" s="3" t="s">
        <v>23</v>
      </c>
      <c r="B937" s="3" t="str">
        <f>INDEX(State_Region!$B$2:$B$26,MATCH(TRIM(A937),State_Region!$A$2:$A$26,0))</f>
        <v>North</v>
      </c>
      <c r="C937" s="3" t="s">
        <v>34</v>
      </c>
      <c r="D937" s="3" t="str">
        <f>INDEX(Port_Type!$B$2:$B$227,MATCH(TRIM(C937),Port_Type!$A$2:$A$227,0))</f>
        <v>Inland ICD / CFS</v>
      </c>
      <c r="E937" s="3" t="s">
        <v>54</v>
      </c>
      <c r="F937" s="3" t="str">
        <f>INDEX(Product_Category!$B$2:$B$45,MATCH(TRIM(E937),Product_Category!$A$2:$A$45,0))</f>
        <v>Processed Foods</v>
      </c>
      <c r="G937" s="4">
        <v>0.69</v>
      </c>
      <c r="H937" s="4">
        <v>0.15</v>
      </c>
      <c r="I937" s="4">
        <v>0.15</v>
      </c>
      <c r="J937" s="4">
        <v>109.26</v>
      </c>
      <c r="K937" s="4">
        <v>40.15</v>
      </c>
      <c r="L937" s="4">
        <v>27.66</v>
      </c>
      <c r="M937" s="4">
        <f t="shared" si="42"/>
        <v>-0.53999999999999992</v>
      </c>
      <c r="N937" s="4">
        <f t="shared" si="43"/>
        <v>-69.110000000000014</v>
      </c>
      <c r="O937" s="4">
        <f t="shared" si="44"/>
        <v>0</v>
      </c>
      <c r="P937" s="3" t="s">
        <v>19</v>
      </c>
    </row>
    <row r="938" spans="1:16" x14ac:dyDescent="0.35">
      <c r="A938" s="3" t="s">
        <v>31</v>
      </c>
      <c r="B938" s="3" t="str">
        <f>INDEX(State_Region!$B$2:$B$26,MATCH(TRIM(A938),State_Region!$A$2:$A$26,0))</f>
        <v>East</v>
      </c>
      <c r="C938" s="3" t="s">
        <v>146</v>
      </c>
      <c r="D938" s="3" t="str">
        <f>INDEX(Port_Type!$B$2:$B$227,MATCH(TRIM(C938),Port_Type!$A$2:$A$227,0))</f>
        <v>Land Border / Rail</v>
      </c>
      <c r="E938" s="3" t="s">
        <v>42</v>
      </c>
      <c r="F938" s="3" t="str">
        <f>INDEX(Product_Category!$B$2:$B$45,MATCH(TRIM(E938),Product_Category!$A$2:$A$45,0))</f>
        <v>Processed Foods</v>
      </c>
      <c r="G938" s="4">
        <v>1.67</v>
      </c>
      <c r="H938" s="4">
        <v>0.03</v>
      </c>
      <c r="I938" s="4">
        <v>0.15</v>
      </c>
      <c r="J938" s="4">
        <v>10336.59</v>
      </c>
      <c r="K938" s="4">
        <v>34.369999999999997</v>
      </c>
      <c r="L938" s="4">
        <v>234.06</v>
      </c>
      <c r="M938" s="4">
        <f t="shared" si="42"/>
        <v>-1.64</v>
      </c>
      <c r="N938" s="4">
        <f t="shared" si="43"/>
        <v>-10302.219999999999</v>
      </c>
      <c r="O938" s="4">
        <f t="shared" si="44"/>
        <v>0.12</v>
      </c>
      <c r="P938" s="3" t="s">
        <v>19</v>
      </c>
    </row>
    <row r="939" spans="1:16" x14ac:dyDescent="0.35">
      <c r="A939" s="3" t="s">
        <v>79</v>
      </c>
      <c r="B939" s="3" t="str">
        <f>INDEX(State_Region!$B$2:$B$26,MATCH(TRIM(A939),State_Region!$A$2:$A$26,0))</f>
        <v>South</v>
      </c>
      <c r="C939" s="3" t="s">
        <v>223</v>
      </c>
      <c r="D939" s="3" t="str">
        <f>INDEX(Port_Type!$B$2:$B$227,MATCH(TRIM(C939),Port_Type!$A$2:$A$227,0))</f>
        <v>Inland ICD / CFS</v>
      </c>
      <c r="E939" s="3" t="s">
        <v>81</v>
      </c>
      <c r="F939" s="3" t="str">
        <f>INDEX(Product_Category!$B$2:$B$45,MATCH(TRIM(E939),Product_Category!$A$2:$A$45,0))</f>
        <v>Processed Foods</v>
      </c>
      <c r="G939" s="4">
        <v>0</v>
      </c>
      <c r="H939" s="4">
        <v>0</v>
      </c>
      <c r="I939" s="4">
        <v>0.15</v>
      </c>
      <c r="J939" s="4">
        <v>0</v>
      </c>
      <c r="K939" s="4">
        <v>0</v>
      </c>
      <c r="L939" s="4">
        <v>137.79</v>
      </c>
      <c r="M939" s="4">
        <f t="shared" si="42"/>
        <v>0</v>
      </c>
      <c r="N939" s="4">
        <f t="shared" si="43"/>
        <v>0</v>
      </c>
      <c r="O939" s="4">
        <f t="shared" si="44"/>
        <v>0.15</v>
      </c>
      <c r="P939" s="3" t="s">
        <v>19</v>
      </c>
    </row>
    <row r="940" spans="1:16" x14ac:dyDescent="0.35">
      <c r="A940" s="3" t="s">
        <v>40</v>
      </c>
      <c r="B940" s="3" t="str">
        <f>INDEX(State_Region!$B$2:$B$26,MATCH(TRIM(A940),State_Region!$A$2:$A$26,0))</f>
        <v>South</v>
      </c>
      <c r="C940" s="3" t="s">
        <v>85</v>
      </c>
      <c r="D940" s="3" t="str">
        <f>INDEX(Port_Type!$B$2:$B$227,MATCH(TRIM(C940),Port_Type!$A$2:$A$227,0))</f>
        <v>Sea Port</v>
      </c>
      <c r="E940" s="3" t="s">
        <v>150</v>
      </c>
      <c r="F940" s="3" t="str">
        <f>INDEX(Product_Category!$B$2:$B$45,MATCH(TRIM(E940),Product_Category!$A$2:$A$45,0))</f>
        <v>Nuts &amp; Oilseeds</v>
      </c>
      <c r="G940" s="4">
        <v>0.35</v>
      </c>
      <c r="H940" s="4">
        <v>0.67</v>
      </c>
      <c r="I940" s="4">
        <v>0.15</v>
      </c>
      <c r="J940" s="4">
        <v>66.27</v>
      </c>
      <c r="K940" s="4">
        <v>74.69</v>
      </c>
      <c r="L940" s="4">
        <v>17.28</v>
      </c>
      <c r="M940" s="4">
        <f t="shared" si="42"/>
        <v>0.32000000000000006</v>
      </c>
      <c r="N940" s="4">
        <f t="shared" si="43"/>
        <v>8.4200000000000017</v>
      </c>
      <c r="O940" s="4">
        <f t="shared" si="44"/>
        <v>-0.52</v>
      </c>
      <c r="P940" s="3" t="s">
        <v>19</v>
      </c>
    </row>
    <row r="941" spans="1:16" x14ac:dyDescent="0.35">
      <c r="A941" s="3" t="s">
        <v>16</v>
      </c>
      <c r="B941" s="3" t="str">
        <f>INDEX(State_Region!$B$2:$B$26,MATCH(TRIM(A941),State_Region!$A$2:$A$26,0))</f>
        <v>West</v>
      </c>
      <c r="C941" s="3" t="s">
        <v>28</v>
      </c>
      <c r="D941" s="3" t="str">
        <f>INDEX(Port_Type!$B$2:$B$227,MATCH(TRIM(C941),Port_Type!$A$2:$A$227,0))</f>
        <v>Sea Port</v>
      </c>
      <c r="E941" s="3" t="s">
        <v>39</v>
      </c>
      <c r="F941" s="3" t="str">
        <f>INDEX(Product_Category!$B$2:$B$45,MATCH(TRIM(E941),Product_Category!$A$2:$A$45,0))</f>
        <v>Processed Foods</v>
      </c>
      <c r="G941" s="4">
        <v>0.54</v>
      </c>
      <c r="H941" s="4">
        <v>4.2300000000000004</v>
      </c>
      <c r="I941" s="4">
        <v>0.15</v>
      </c>
      <c r="J941" s="4">
        <v>816.18</v>
      </c>
      <c r="K941" s="4">
        <v>2143.19</v>
      </c>
      <c r="L941" s="4">
        <v>313.93</v>
      </c>
      <c r="M941" s="4">
        <f t="shared" si="42"/>
        <v>3.6900000000000004</v>
      </c>
      <c r="N941" s="4">
        <f t="shared" si="43"/>
        <v>1327.0100000000002</v>
      </c>
      <c r="O941" s="4">
        <f t="shared" si="44"/>
        <v>-4.08</v>
      </c>
      <c r="P941" s="3" t="s">
        <v>19</v>
      </c>
    </row>
    <row r="942" spans="1:16" x14ac:dyDescent="0.35">
      <c r="A942" s="3" t="s">
        <v>23</v>
      </c>
      <c r="B942" s="3" t="str">
        <f>INDEX(State_Region!$B$2:$B$26,MATCH(TRIM(A942),State_Region!$A$2:$A$26,0))</f>
        <v>North</v>
      </c>
      <c r="C942" s="3" t="s">
        <v>30</v>
      </c>
      <c r="D942" s="3" t="str">
        <f>INDEX(Port_Type!$B$2:$B$227,MATCH(TRIM(C942),Port_Type!$A$2:$A$227,0))</f>
        <v>Inland ICD / CFS</v>
      </c>
      <c r="E942" s="3" t="s">
        <v>54</v>
      </c>
      <c r="F942" s="3" t="str">
        <f>INDEX(Product_Category!$B$2:$B$45,MATCH(TRIM(E942),Product_Category!$A$2:$A$45,0))</f>
        <v>Processed Foods</v>
      </c>
      <c r="G942" s="4">
        <v>0.27</v>
      </c>
      <c r="H942" s="4">
        <v>0.63</v>
      </c>
      <c r="I942" s="4">
        <v>0.15</v>
      </c>
      <c r="J942" s="4">
        <v>68.44</v>
      </c>
      <c r="K942" s="4">
        <v>192.63</v>
      </c>
      <c r="L942" s="4">
        <v>50.3</v>
      </c>
      <c r="M942" s="4">
        <f t="shared" si="42"/>
        <v>0.36</v>
      </c>
      <c r="N942" s="4">
        <f t="shared" si="43"/>
        <v>124.19</v>
      </c>
      <c r="O942" s="4">
        <f t="shared" si="44"/>
        <v>-0.48</v>
      </c>
      <c r="P942" s="3" t="s">
        <v>19</v>
      </c>
    </row>
    <row r="943" spans="1:16" x14ac:dyDescent="0.35">
      <c r="A943" s="3" t="s">
        <v>23</v>
      </c>
      <c r="B943" s="3" t="str">
        <f>INDEX(State_Region!$B$2:$B$26,MATCH(TRIM(A943),State_Region!$A$2:$A$26,0))</f>
        <v>North</v>
      </c>
      <c r="C943" s="3" t="s">
        <v>24</v>
      </c>
      <c r="D943" s="3" t="str">
        <f>INDEX(Port_Type!$B$2:$B$227,MATCH(TRIM(C943),Port_Type!$A$2:$A$227,0))</f>
        <v>Inland ICD / CFS</v>
      </c>
      <c r="E943" s="3" t="s">
        <v>54</v>
      </c>
      <c r="F943" s="3" t="str">
        <f>INDEX(Product_Category!$B$2:$B$45,MATCH(TRIM(E943),Product_Category!$A$2:$A$45,0))</f>
        <v>Processed Foods</v>
      </c>
      <c r="G943" s="4">
        <v>0.19</v>
      </c>
      <c r="H943" s="4">
        <v>0.61</v>
      </c>
      <c r="I943" s="4">
        <v>0.15</v>
      </c>
      <c r="J943" s="4">
        <v>85.54</v>
      </c>
      <c r="K943" s="4">
        <v>176.04</v>
      </c>
      <c r="L943" s="4">
        <v>37.86</v>
      </c>
      <c r="M943" s="4">
        <f t="shared" si="42"/>
        <v>0.42</v>
      </c>
      <c r="N943" s="4">
        <f t="shared" si="43"/>
        <v>90.499999999999986</v>
      </c>
      <c r="O943" s="4">
        <f t="shared" si="44"/>
        <v>-0.45999999999999996</v>
      </c>
      <c r="P943" s="3" t="s">
        <v>19</v>
      </c>
    </row>
    <row r="944" spans="1:16" x14ac:dyDescent="0.35">
      <c r="A944" s="3" t="s">
        <v>20</v>
      </c>
      <c r="B944" s="3" t="str">
        <f>INDEX(State_Region!$B$2:$B$26,MATCH(TRIM(A944),State_Region!$A$2:$A$26,0))</f>
        <v>West</v>
      </c>
      <c r="C944" s="3" t="s">
        <v>21</v>
      </c>
      <c r="D944" s="3" t="str">
        <f>INDEX(Port_Type!$B$2:$B$227,MATCH(TRIM(C944),Port_Type!$A$2:$A$227,0))</f>
        <v>Sea Port</v>
      </c>
      <c r="E944" s="3" t="s">
        <v>179</v>
      </c>
      <c r="F944" s="3" t="str">
        <f>INDEX(Product_Category!$B$2:$B$45,MATCH(TRIM(E944),Product_Category!$A$2:$A$45,0))</f>
        <v>Nuts &amp; Oilseeds</v>
      </c>
      <c r="G944" s="4">
        <v>0.27</v>
      </c>
      <c r="H944" s="4">
        <v>0.24</v>
      </c>
      <c r="I944" s="4">
        <v>0.15</v>
      </c>
      <c r="J944" s="4">
        <v>29.9</v>
      </c>
      <c r="K944" s="4">
        <v>18.47</v>
      </c>
      <c r="L944" s="4">
        <v>11.79</v>
      </c>
      <c r="M944" s="4">
        <f t="shared" si="42"/>
        <v>-3.0000000000000027E-2</v>
      </c>
      <c r="N944" s="4">
        <f t="shared" si="43"/>
        <v>-11.43</v>
      </c>
      <c r="O944" s="4">
        <f t="shared" si="44"/>
        <v>-0.09</v>
      </c>
      <c r="P944" s="3" t="s">
        <v>19</v>
      </c>
    </row>
    <row r="945" spans="1:16" x14ac:dyDescent="0.35">
      <c r="A945" s="3" t="s">
        <v>166</v>
      </c>
      <c r="B945" s="3" t="str">
        <f>INDEX(State_Region!$B$2:$B$26,MATCH(TRIM(A945),State_Region!$A$2:$A$26,0))</f>
        <v>West</v>
      </c>
      <c r="C945" s="3" t="s">
        <v>167</v>
      </c>
      <c r="D945" s="3" t="str">
        <f>INDEX(Port_Type!$B$2:$B$227,MATCH(TRIM(C945),Port_Type!$A$2:$A$227,0))</f>
        <v>Inland ICD / CFS</v>
      </c>
      <c r="E945" s="3" t="s">
        <v>39</v>
      </c>
      <c r="F945" s="3" t="str">
        <f>INDEX(Product_Category!$B$2:$B$45,MATCH(TRIM(E945),Product_Category!$A$2:$A$45,0))</f>
        <v>Processed Foods</v>
      </c>
      <c r="G945" s="4">
        <v>0</v>
      </c>
      <c r="H945" s="4">
        <v>0</v>
      </c>
      <c r="I945" s="4">
        <v>0.15</v>
      </c>
      <c r="J945" s="4">
        <v>1.63</v>
      </c>
      <c r="K945" s="4">
        <v>0</v>
      </c>
      <c r="L945" s="4">
        <v>112.19</v>
      </c>
      <c r="M945" s="4">
        <f t="shared" si="42"/>
        <v>0</v>
      </c>
      <c r="N945" s="4">
        <f t="shared" si="43"/>
        <v>-1.63</v>
      </c>
      <c r="O945" s="4">
        <f t="shared" si="44"/>
        <v>0.15</v>
      </c>
      <c r="P945" s="3" t="s">
        <v>19</v>
      </c>
    </row>
    <row r="946" spans="1:16" x14ac:dyDescent="0.35">
      <c r="A946" s="3" t="s">
        <v>49</v>
      </c>
      <c r="B946" s="3" t="str">
        <f>INDEX(State_Region!$B$2:$B$26,MATCH(TRIM(A946),State_Region!$A$2:$A$26,0))</f>
        <v>North</v>
      </c>
      <c r="C946" s="3" t="s">
        <v>176</v>
      </c>
      <c r="D946" s="3" t="str">
        <f>INDEX(Port_Type!$B$2:$B$227,MATCH(TRIM(C946),Port_Type!$A$2:$A$227,0))</f>
        <v>Inland ICD / CFS</v>
      </c>
      <c r="E946" s="3" t="s">
        <v>33</v>
      </c>
      <c r="F946" s="3" t="str">
        <f>INDEX(Product_Category!$B$2:$B$45,MATCH(TRIM(E946),Product_Category!$A$2:$A$45,0))</f>
        <v>Pulses</v>
      </c>
      <c r="G946" s="4">
        <v>0.4</v>
      </c>
      <c r="H946" s="4">
        <v>0.63</v>
      </c>
      <c r="I946" s="4">
        <v>0.15</v>
      </c>
      <c r="J946" s="4">
        <v>257.81</v>
      </c>
      <c r="K946" s="4">
        <v>607.42999999999995</v>
      </c>
      <c r="L946" s="4">
        <v>121.3</v>
      </c>
      <c r="M946" s="4">
        <f t="shared" si="42"/>
        <v>0.22999999999999998</v>
      </c>
      <c r="N946" s="4">
        <f t="shared" si="43"/>
        <v>349.61999999999995</v>
      </c>
      <c r="O946" s="4">
        <f t="shared" si="44"/>
        <v>-0.48</v>
      </c>
      <c r="P946" s="3" t="s">
        <v>19</v>
      </c>
    </row>
    <row r="947" spans="1:16" x14ac:dyDescent="0.35">
      <c r="A947" s="3" t="s">
        <v>94</v>
      </c>
      <c r="B947" s="3" t="str">
        <f>INDEX(State_Region!$B$2:$B$26,MATCH(TRIM(A947),State_Region!$A$2:$A$26,0))</f>
        <v>East</v>
      </c>
      <c r="C947" s="3" t="s">
        <v>184</v>
      </c>
      <c r="D947" s="3" t="str">
        <f>INDEX(Port_Type!$B$2:$B$227,MATCH(TRIM(C947),Port_Type!$A$2:$A$227,0))</f>
        <v>Land Border / Rail</v>
      </c>
      <c r="E947" s="3" t="s">
        <v>113</v>
      </c>
      <c r="F947" s="3" t="str">
        <f>INDEX(Product_Category!$B$2:$B$45,MATCH(TRIM(E947),Product_Category!$A$2:$A$45,0))</f>
        <v>Cereals &amp; Grains</v>
      </c>
      <c r="G947" s="4">
        <v>0.15</v>
      </c>
      <c r="H947" s="4">
        <v>0</v>
      </c>
      <c r="I947" s="4">
        <v>0.15</v>
      </c>
      <c r="J947" s="4">
        <v>500.99</v>
      </c>
      <c r="K947" s="4">
        <v>0</v>
      </c>
      <c r="L947" s="4">
        <v>578.92999999999995</v>
      </c>
      <c r="M947" s="4">
        <f t="shared" si="42"/>
        <v>-0.15</v>
      </c>
      <c r="N947" s="4">
        <f t="shared" si="43"/>
        <v>-500.99</v>
      </c>
      <c r="O947" s="4">
        <f t="shared" si="44"/>
        <v>0.15</v>
      </c>
      <c r="P947" s="3" t="s">
        <v>19</v>
      </c>
    </row>
    <row r="948" spans="1:16" x14ac:dyDescent="0.35">
      <c r="A948" s="3" t="s">
        <v>94</v>
      </c>
      <c r="B948" s="3" t="str">
        <f>INDEX(State_Region!$B$2:$B$26,MATCH(TRIM(A948),State_Region!$A$2:$A$26,0))</f>
        <v>East</v>
      </c>
      <c r="C948" s="3" t="s">
        <v>188</v>
      </c>
      <c r="D948" s="3" t="str">
        <f>INDEX(Port_Type!$B$2:$B$227,MATCH(TRIM(C948),Port_Type!$A$2:$A$227,0))</f>
        <v>Land Border / Rail</v>
      </c>
      <c r="E948" s="3" t="s">
        <v>54</v>
      </c>
      <c r="F948" s="3" t="str">
        <f>INDEX(Product_Category!$B$2:$B$45,MATCH(TRIM(E948),Product_Category!$A$2:$A$45,0))</f>
        <v>Processed Foods</v>
      </c>
      <c r="G948" s="4">
        <v>0.25</v>
      </c>
      <c r="H948" s="4">
        <v>0.27</v>
      </c>
      <c r="I948" s="4">
        <v>0.15</v>
      </c>
      <c r="J948" s="4">
        <v>281.19</v>
      </c>
      <c r="K948" s="4">
        <v>534.84</v>
      </c>
      <c r="L948" s="4">
        <v>267.52</v>
      </c>
      <c r="M948" s="4">
        <f t="shared" si="42"/>
        <v>2.0000000000000018E-2</v>
      </c>
      <c r="N948" s="4">
        <f t="shared" si="43"/>
        <v>253.65000000000003</v>
      </c>
      <c r="O948" s="4">
        <f t="shared" si="44"/>
        <v>-0.12000000000000002</v>
      </c>
      <c r="P948" s="3" t="s">
        <v>19</v>
      </c>
    </row>
    <row r="949" spans="1:16" x14ac:dyDescent="0.35">
      <c r="A949" s="3" t="s">
        <v>66</v>
      </c>
      <c r="B949" s="3" t="str">
        <f>INDEX(State_Region!$B$2:$B$26,MATCH(TRIM(A949),State_Region!$A$2:$A$26,0))</f>
        <v>North</v>
      </c>
      <c r="C949" s="3" t="s">
        <v>224</v>
      </c>
      <c r="D949" s="3" t="str">
        <f>INDEX(Port_Type!$B$2:$B$227,MATCH(TRIM(C949),Port_Type!$A$2:$A$227,0))</f>
        <v>Inland ICD / CFS</v>
      </c>
      <c r="E949" s="3" t="s">
        <v>18</v>
      </c>
      <c r="F949" s="3" t="str">
        <f>INDEX(Product_Category!$B$2:$B$45,MATCH(TRIM(E949),Product_Category!$A$2:$A$45,0))</f>
        <v>Cereals &amp; Grains</v>
      </c>
      <c r="G949" s="4">
        <v>14.92</v>
      </c>
      <c r="H949" s="4">
        <v>7.78</v>
      </c>
      <c r="I949" s="4">
        <v>0.15</v>
      </c>
      <c r="J949" s="4">
        <v>11488.11</v>
      </c>
      <c r="K949" s="4">
        <v>7220.83</v>
      </c>
      <c r="L949" s="4">
        <v>133.24</v>
      </c>
      <c r="M949" s="4">
        <f t="shared" si="42"/>
        <v>-7.14</v>
      </c>
      <c r="N949" s="4">
        <f t="shared" si="43"/>
        <v>-4267.2800000000007</v>
      </c>
      <c r="O949" s="4">
        <f t="shared" si="44"/>
        <v>-7.63</v>
      </c>
      <c r="P949" s="3" t="s">
        <v>19</v>
      </c>
    </row>
    <row r="950" spans="1:16" x14ac:dyDescent="0.35">
      <c r="A950" s="3" t="s">
        <v>86</v>
      </c>
      <c r="B950" s="3" t="str">
        <f>INDEX(State_Region!$B$2:$B$26,MATCH(TRIM(A950),State_Region!$A$2:$A$26,0))</f>
        <v>North</v>
      </c>
      <c r="C950" s="3" t="s">
        <v>106</v>
      </c>
      <c r="D950" s="3" t="str">
        <f>INDEX(Port_Type!$B$2:$B$227,MATCH(TRIM(C950),Port_Type!$A$2:$A$227,0))</f>
        <v>Inland ICD / CFS</v>
      </c>
      <c r="E950" s="3" t="s">
        <v>33</v>
      </c>
      <c r="F950" s="3" t="str">
        <f>INDEX(Product_Category!$B$2:$B$45,MATCH(TRIM(E950),Product_Category!$A$2:$A$45,0))</f>
        <v>Pulses</v>
      </c>
      <c r="G950" s="4">
        <v>0.62</v>
      </c>
      <c r="H950" s="4">
        <v>0.23</v>
      </c>
      <c r="I950" s="4">
        <v>0.15</v>
      </c>
      <c r="J950" s="4">
        <v>383.11</v>
      </c>
      <c r="K950" s="4">
        <v>161.03</v>
      </c>
      <c r="L950" s="4">
        <v>97.01</v>
      </c>
      <c r="M950" s="4">
        <f t="shared" si="42"/>
        <v>-0.39</v>
      </c>
      <c r="N950" s="4">
        <f t="shared" si="43"/>
        <v>-222.08</v>
      </c>
      <c r="O950" s="4">
        <f t="shared" si="44"/>
        <v>-8.0000000000000016E-2</v>
      </c>
      <c r="P950" s="3" t="s">
        <v>19</v>
      </c>
    </row>
    <row r="951" spans="1:16" x14ac:dyDescent="0.35">
      <c r="A951" s="3" t="s">
        <v>159</v>
      </c>
      <c r="B951" s="3" t="str">
        <f>INDEX(State_Region!$B$2:$B$26,MATCH(TRIM(A951),State_Region!$A$2:$A$26,0))</f>
        <v>North-East</v>
      </c>
      <c r="C951" s="3" t="s">
        <v>186</v>
      </c>
      <c r="D951" s="3" t="str">
        <f>INDEX(Port_Type!$B$2:$B$227,MATCH(TRIM(C951),Port_Type!$A$2:$A$227,0))</f>
        <v>Land Border / Rail</v>
      </c>
      <c r="E951" s="3" t="s">
        <v>18</v>
      </c>
      <c r="F951" s="3" t="str">
        <f>INDEX(Product_Category!$B$2:$B$45,MATCH(TRIM(E951),Product_Category!$A$2:$A$45,0))</f>
        <v>Cereals &amp; Grains</v>
      </c>
      <c r="G951" s="4">
        <v>0.91</v>
      </c>
      <c r="H951" s="4">
        <v>0.36</v>
      </c>
      <c r="I951" s="4">
        <v>0.14000000000000001</v>
      </c>
      <c r="J951" s="4">
        <v>1215.57</v>
      </c>
      <c r="K951" s="4">
        <v>489.33</v>
      </c>
      <c r="L951" s="4">
        <v>235.27</v>
      </c>
      <c r="M951" s="4">
        <f t="shared" si="42"/>
        <v>-0.55000000000000004</v>
      </c>
      <c r="N951" s="4">
        <f t="shared" si="43"/>
        <v>-726.24</v>
      </c>
      <c r="O951" s="4">
        <f t="shared" si="44"/>
        <v>-0.21999999999999997</v>
      </c>
      <c r="P951" s="3" t="s">
        <v>19</v>
      </c>
    </row>
    <row r="952" spans="1:16" x14ac:dyDescent="0.35">
      <c r="A952" s="3" t="s">
        <v>20</v>
      </c>
      <c r="B952" s="3" t="str">
        <f>INDEX(State_Region!$B$2:$B$26,MATCH(TRIM(A952),State_Region!$A$2:$A$26,0))</f>
        <v>West</v>
      </c>
      <c r="C952" s="3" t="s">
        <v>56</v>
      </c>
      <c r="D952" s="3" t="str">
        <f>INDEX(Port_Type!$B$2:$B$227,MATCH(TRIM(C952),Port_Type!$A$2:$A$227,0))</f>
        <v>Inland ICD / CFS</v>
      </c>
      <c r="E952" s="3" t="s">
        <v>53</v>
      </c>
      <c r="F952" s="3" t="str">
        <f>INDEX(Product_Category!$B$2:$B$45,MATCH(TRIM(E952),Product_Category!$A$2:$A$45,0))</f>
        <v>Processed Foods</v>
      </c>
      <c r="G952" s="4">
        <v>0.17</v>
      </c>
      <c r="H952" s="4">
        <v>0.37</v>
      </c>
      <c r="I952" s="4">
        <v>0.14000000000000001</v>
      </c>
      <c r="J952" s="4">
        <v>59.47</v>
      </c>
      <c r="K952" s="4">
        <v>41.36</v>
      </c>
      <c r="L952" s="4">
        <v>29.59</v>
      </c>
      <c r="M952" s="4">
        <f t="shared" si="42"/>
        <v>0.19999999999999998</v>
      </c>
      <c r="N952" s="4">
        <f t="shared" si="43"/>
        <v>-18.11</v>
      </c>
      <c r="O952" s="4">
        <f t="shared" si="44"/>
        <v>-0.22999999999999998</v>
      </c>
      <c r="P952" s="3" t="s">
        <v>19</v>
      </c>
    </row>
    <row r="953" spans="1:16" x14ac:dyDescent="0.35">
      <c r="A953" s="3" t="s">
        <v>31</v>
      </c>
      <c r="B953" s="3" t="str">
        <f>INDEX(State_Region!$B$2:$B$26,MATCH(TRIM(A953),State_Region!$A$2:$A$26,0))</f>
        <v>East</v>
      </c>
      <c r="C953" s="3" t="s">
        <v>133</v>
      </c>
      <c r="D953" s="3" t="str">
        <f>INDEX(Port_Type!$B$2:$B$227,MATCH(TRIM(C953),Port_Type!$A$2:$A$227,0))</f>
        <v>Inland ICD / CFS</v>
      </c>
      <c r="E953" s="3" t="s">
        <v>116</v>
      </c>
      <c r="F953" s="3" t="str">
        <f>INDEX(Product_Category!$B$2:$B$45,MATCH(TRIM(E953),Product_Category!$A$2:$A$45,0))</f>
        <v>Others</v>
      </c>
      <c r="G953" s="4">
        <v>0.87</v>
      </c>
      <c r="H953" s="4">
        <v>0</v>
      </c>
      <c r="I953" s="4">
        <v>0.14000000000000001</v>
      </c>
      <c r="J953" s="4">
        <v>4173.83</v>
      </c>
      <c r="K953" s="4">
        <v>0</v>
      </c>
      <c r="L953" s="4">
        <v>910.5</v>
      </c>
      <c r="M953" s="4">
        <f t="shared" si="42"/>
        <v>-0.87</v>
      </c>
      <c r="N953" s="4">
        <f t="shared" si="43"/>
        <v>-4173.83</v>
      </c>
      <c r="O953" s="4">
        <f t="shared" si="44"/>
        <v>0.14000000000000001</v>
      </c>
      <c r="P953" s="3" t="s">
        <v>19</v>
      </c>
    </row>
    <row r="954" spans="1:16" x14ac:dyDescent="0.35">
      <c r="A954" s="3" t="s">
        <v>40</v>
      </c>
      <c r="B954" s="3" t="str">
        <f>INDEX(State_Region!$B$2:$B$26,MATCH(TRIM(A954),State_Region!$A$2:$A$26,0))</f>
        <v>South</v>
      </c>
      <c r="C954" s="3" t="s">
        <v>117</v>
      </c>
      <c r="D954" s="3" t="str">
        <f>INDEX(Port_Type!$B$2:$B$227,MATCH(TRIM(C954),Port_Type!$A$2:$A$227,0))</f>
        <v>Sea Port</v>
      </c>
      <c r="E954" s="3" t="s">
        <v>144</v>
      </c>
      <c r="F954" s="3" t="str">
        <f>INDEX(Product_Category!$B$2:$B$45,MATCH(TRIM(E954),Product_Category!$A$2:$A$45,0))</f>
        <v>Cereals &amp; Grains</v>
      </c>
      <c r="G954" s="4">
        <v>0.16</v>
      </c>
      <c r="H954" s="4">
        <v>0.16</v>
      </c>
      <c r="I954" s="4">
        <v>0.14000000000000001</v>
      </c>
      <c r="J954" s="4">
        <v>207.74</v>
      </c>
      <c r="K954" s="4">
        <v>256.47000000000003</v>
      </c>
      <c r="L954" s="4">
        <v>264.14999999999998</v>
      </c>
      <c r="M954" s="4">
        <f t="shared" si="42"/>
        <v>0</v>
      </c>
      <c r="N954" s="4">
        <f t="shared" si="43"/>
        <v>48.730000000000018</v>
      </c>
      <c r="O954" s="4">
        <f t="shared" si="44"/>
        <v>-1.999999999999999E-2</v>
      </c>
      <c r="P954" s="3" t="s">
        <v>19</v>
      </c>
    </row>
    <row r="955" spans="1:16" x14ac:dyDescent="0.35">
      <c r="A955" s="3" t="s">
        <v>77</v>
      </c>
      <c r="B955" s="3" t="str">
        <f>INDEX(State_Region!$B$2:$B$26,MATCH(TRIM(A955),State_Region!$A$2:$A$26,0))</f>
        <v>South</v>
      </c>
      <c r="C955" s="3" t="s">
        <v>216</v>
      </c>
      <c r="D955" s="3" t="str">
        <f>INDEX(Port_Type!$B$2:$B$227,MATCH(TRIM(C955),Port_Type!$A$2:$A$227,0))</f>
        <v>Air Cargo</v>
      </c>
      <c r="E955" s="3" t="s">
        <v>45</v>
      </c>
      <c r="F955" s="3" t="str">
        <f>INDEX(Product_Category!$B$2:$B$45,MATCH(TRIM(E955),Product_Category!$A$2:$A$45,0))</f>
        <v>Fresh Fruits &amp; Vegetables</v>
      </c>
      <c r="G955" s="4">
        <v>0.45</v>
      </c>
      <c r="H955" s="4">
        <v>0.61</v>
      </c>
      <c r="I955" s="4">
        <v>0.14000000000000001</v>
      </c>
      <c r="J955" s="4">
        <v>484.58</v>
      </c>
      <c r="K955" s="4">
        <v>620.32000000000005</v>
      </c>
      <c r="L955" s="4">
        <v>126.35</v>
      </c>
      <c r="M955" s="4">
        <f t="shared" si="42"/>
        <v>0.15999999999999998</v>
      </c>
      <c r="N955" s="4">
        <f t="shared" si="43"/>
        <v>135.74000000000007</v>
      </c>
      <c r="O955" s="4">
        <f t="shared" si="44"/>
        <v>-0.47</v>
      </c>
      <c r="P955" s="3" t="s">
        <v>19</v>
      </c>
    </row>
    <row r="956" spans="1:16" x14ac:dyDescent="0.35">
      <c r="A956" s="3" t="s">
        <v>86</v>
      </c>
      <c r="B956" s="3" t="str">
        <f>INDEX(State_Region!$B$2:$B$26,MATCH(TRIM(A956),State_Region!$A$2:$A$26,0))</f>
        <v>North</v>
      </c>
      <c r="C956" s="3" t="s">
        <v>87</v>
      </c>
      <c r="D956" s="3" t="str">
        <f>INDEX(Port_Type!$B$2:$B$227,MATCH(TRIM(C956),Port_Type!$A$2:$A$227,0))</f>
        <v>Air Cargo</v>
      </c>
      <c r="E956" s="3" t="s">
        <v>59</v>
      </c>
      <c r="F956" s="3" t="str">
        <f>INDEX(Product_Category!$B$2:$B$45,MATCH(TRIM(E956),Product_Category!$A$2:$A$45,0))</f>
        <v>Processed Foods</v>
      </c>
      <c r="G956" s="4">
        <v>0.35</v>
      </c>
      <c r="H956" s="4">
        <v>0.34</v>
      </c>
      <c r="I956" s="4">
        <v>0.14000000000000001</v>
      </c>
      <c r="J956" s="4">
        <v>23.88</v>
      </c>
      <c r="K956" s="4">
        <v>27.16</v>
      </c>
      <c r="L956" s="4">
        <v>12.65</v>
      </c>
      <c r="M956" s="4">
        <f t="shared" si="42"/>
        <v>-9.9999999999999534E-3</v>
      </c>
      <c r="N956" s="4">
        <f t="shared" si="43"/>
        <v>3.2800000000000011</v>
      </c>
      <c r="O956" s="4">
        <f t="shared" si="44"/>
        <v>-0.2</v>
      </c>
      <c r="P956" s="3" t="s">
        <v>19</v>
      </c>
    </row>
    <row r="957" spans="1:16" x14ac:dyDescent="0.35">
      <c r="A957" s="3" t="s">
        <v>31</v>
      </c>
      <c r="B957" s="3" t="str">
        <f>INDEX(State_Region!$B$2:$B$26,MATCH(TRIM(A957),State_Region!$A$2:$A$26,0))</f>
        <v>East</v>
      </c>
      <c r="C957" s="3" t="s">
        <v>139</v>
      </c>
      <c r="D957" s="3" t="str">
        <f>INDEX(Port_Type!$B$2:$B$227,MATCH(TRIM(C957),Port_Type!$A$2:$A$227,0))</f>
        <v>Land Border / Rail</v>
      </c>
      <c r="E957" s="3" t="s">
        <v>42</v>
      </c>
      <c r="F957" s="3" t="str">
        <f>INDEX(Product_Category!$B$2:$B$45,MATCH(TRIM(E957),Product_Category!$A$2:$A$45,0))</f>
        <v>Processed Foods</v>
      </c>
      <c r="G957" s="4">
        <v>0.84</v>
      </c>
      <c r="H957" s="4">
        <v>0.33</v>
      </c>
      <c r="I957" s="4">
        <v>0.14000000000000001</v>
      </c>
      <c r="J957" s="4">
        <v>1030.68</v>
      </c>
      <c r="K957" s="4">
        <v>347.38</v>
      </c>
      <c r="L957" s="4">
        <v>108.09</v>
      </c>
      <c r="M957" s="4">
        <f t="shared" si="42"/>
        <v>-0.51</v>
      </c>
      <c r="N957" s="4">
        <f t="shared" si="43"/>
        <v>-683.30000000000007</v>
      </c>
      <c r="O957" s="4">
        <f t="shared" si="44"/>
        <v>-0.19</v>
      </c>
      <c r="P957" s="3" t="s">
        <v>19</v>
      </c>
    </row>
    <row r="958" spans="1:16" x14ac:dyDescent="0.35">
      <c r="A958" s="3" t="s">
        <v>40</v>
      </c>
      <c r="B958" s="3" t="str">
        <f>INDEX(State_Region!$B$2:$B$26,MATCH(TRIM(A958),State_Region!$A$2:$A$26,0))</f>
        <v>South</v>
      </c>
      <c r="C958" s="3" t="s">
        <v>164</v>
      </c>
      <c r="D958" s="3" t="str">
        <f>INDEX(Port_Type!$B$2:$B$227,MATCH(TRIM(C958),Port_Type!$A$2:$A$227,0))</f>
        <v>Air Cargo</v>
      </c>
      <c r="E958" s="3" t="s">
        <v>76</v>
      </c>
      <c r="F958" s="3" t="str">
        <f>INDEX(Product_Category!$B$2:$B$45,MATCH(TRIM(E958),Product_Category!$A$2:$A$45,0))</f>
        <v>Fresh Fruits &amp; Vegetables</v>
      </c>
      <c r="G958" s="4">
        <v>0.32</v>
      </c>
      <c r="H958" s="4">
        <v>0.45</v>
      </c>
      <c r="I958" s="4">
        <v>0.14000000000000001</v>
      </c>
      <c r="J958" s="4">
        <v>105.29</v>
      </c>
      <c r="K958" s="4">
        <v>242.43</v>
      </c>
      <c r="L958" s="4">
        <v>38.71</v>
      </c>
      <c r="M958" s="4">
        <f t="shared" si="42"/>
        <v>0.13</v>
      </c>
      <c r="N958" s="4">
        <f t="shared" si="43"/>
        <v>137.13999999999999</v>
      </c>
      <c r="O958" s="4">
        <f t="shared" si="44"/>
        <v>-0.31</v>
      </c>
      <c r="P958" s="3" t="s">
        <v>19</v>
      </c>
    </row>
    <row r="959" spans="1:16" x14ac:dyDescent="0.35">
      <c r="A959" s="3" t="s">
        <v>40</v>
      </c>
      <c r="B959" s="3" t="str">
        <f>INDEX(State_Region!$B$2:$B$26,MATCH(TRIM(A959),State_Region!$A$2:$A$26,0))</f>
        <v>South</v>
      </c>
      <c r="C959" s="3" t="s">
        <v>211</v>
      </c>
      <c r="D959" s="3" t="str">
        <f>INDEX(Port_Type!$B$2:$B$227,MATCH(TRIM(C959),Port_Type!$A$2:$A$227,0))</f>
        <v>Air Cargo</v>
      </c>
      <c r="E959" s="3" t="s">
        <v>122</v>
      </c>
      <c r="F959" s="3" t="str">
        <f>INDEX(Product_Category!$B$2:$B$45,MATCH(TRIM(E959),Product_Category!$A$2:$A$45,0))</f>
        <v>Others</v>
      </c>
      <c r="G959" s="4">
        <v>0.22</v>
      </c>
      <c r="H959" s="4">
        <v>0.5</v>
      </c>
      <c r="I959" s="4">
        <v>0.14000000000000001</v>
      </c>
      <c r="J959" s="4">
        <v>97.16</v>
      </c>
      <c r="K959" s="4">
        <v>135.55000000000001</v>
      </c>
      <c r="L959" s="4">
        <v>43.51</v>
      </c>
      <c r="M959" s="4">
        <f t="shared" si="42"/>
        <v>0.28000000000000003</v>
      </c>
      <c r="N959" s="4">
        <f t="shared" si="43"/>
        <v>38.390000000000015</v>
      </c>
      <c r="O959" s="4">
        <f t="shared" si="44"/>
        <v>-0.36</v>
      </c>
      <c r="P959" s="3" t="s">
        <v>19</v>
      </c>
    </row>
    <row r="960" spans="1:16" x14ac:dyDescent="0.35">
      <c r="A960" s="3" t="s">
        <v>86</v>
      </c>
      <c r="B960" s="3" t="str">
        <f>INDEX(State_Region!$B$2:$B$26,MATCH(TRIM(A960),State_Region!$A$2:$A$26,0))</f>
        <v>North</v>
      </c>
      <c r="C960" s="3" t="s">
        <v>87</v>
      </c>
      <c r="D960" s="3" t="str">
        <f>INDEX(Port_Type!$B$2:$B$227,MATCH(TRIM(C960),Port_Type!$A$2:$A$227,0))</f>
        <v>Air Cargo</v>
      </c>
      <c r="E960" s="3" t="s">
        <v>45</v>
      </c>
      <c r="F960" s="3" t="str">
        <f>INDEX(Product_Category!$B$2:$B$45,MATCH(TRIM(E960),Product_Category!$A$2:$A$45,0))</f>
        <v>Fresh Fruits &amp; Vegetables</v>
      </c>
      <c r="G960" s="4">
        <v>0.43</v>
      </c>
      <c r="H960" s="4">
        <v>0.2</v>
      </c>
      <c r="I960" s="4">
        <v>0.14000000000000001</v>
      </c>
      <c r="J960" s="4">
        <v>126.14</v>
      </c>
      <c r="K960" s="4">
        <v>61.88</v>
      </c>
      <c r="L960" s="4">
        <v>34.090000000000003</v>
      </c>
      <c r="M960" s="4">
        <f t="shared" si="42"/>
        <v>-0.22999999999999998</v>
      </c>
      <c r="N960" s="4">
        <f t="shared" si="43"/>
        <v>-64.259999999999991</v>
      </c>
      <c r="O960" s="4">
        <f t="shared" si="44"/>
        <v>-0.06</v>
      </c>
      <c r="P960" s="3" t="s">
        <v>19</v>
      </c>
    </row>
    <row r="961" spans="1:16" x14ac:dyDescent="0.35">
      <c r="A961" s="3" t="s">
        <v>20</v>
      </c>
      <c r="B961" s="3" t="str">
        <f>INDEX(State_Region!$B$2:$B$26,MATCH(TRIM(A961),State_Region!$A$2:$A$26,0))</f>
        <v>West</v>
      </c>
      <c r="C961" s="3" t="s">
        <v>134</v>
      </c>
      <c r="D961" s="3" t="str">
        <f>INDEX(Port_Type!$B$2:$B$227,MATCH(TRIM(C961),Port_Type!$A$2:$A$227,0))</f>
        <v>Inland ICD / CFS</v>
      </c>
      <c r="E961" s="3" t="s">
        <v>39</v>
      </c>
      <c r="F961" s="3" t="str">
        <f>INDEX(Product_Category!$B$2:$B$45,MATCH(TRIM(E961),Product_Category!$A$2:$A$45,0))</f>
        <v>Processed Foods</v>
      </c>
      <c r="G961" s="4">
        <v>0</v>
      </c>
      <c r="H961" s="4">
        <v>0.16</v>
      </c>
      <c r="I961" s="4">
        <v>0.14000000000000001</v>
      </c>
      <c r="J961" s="4">
        <v>0</v>
      </c>
      <c r="K961" s="4">
        <v>56.63</v>
      </c>
      <c r="L961" s="4">
        <v>68.540000000000006</v>
      </c>
      <c r="M961" s="4">
        <f t="shared" si="42"/>
        <v>0.16</v>
      </c>
      <c r="N961" s="4">
        <f t="shared" si="43"/>
        <v>56.63</v>
      </c>
      <c r="O961" s="4">
        <f t="shared" si="44"/>
        <v>-1.999999999999999E-2</v>
      </c>
      <c r="P961" s="3" t="s">
        <v>19</v>
      </c>
    </row>
    <row r="962" spans="1:16" x14ac:dyDescent="0.35">
      <c r="A962" s="3" t="s">
        <v>20</v>
      </c>
      <c r="B962" s="3" t="str">
        <f>INDEX(State_Region!$B$2:$B$26,MATCH(TRIM(A962),State_Region!$A$2:$A$26,0))</f>
        <v>West</v>
      </c>
      <c r="C962" s="3" t="s">
        <v>173</v>
      </c>
      <c r="D962" s="3" t="str">
        <f>INDEX(Port_Type!$B$2:$B$227,MATCH(TRIM(C962),Port_Type!$A$2:$A$227,0))</f>
        <v>Inland ICD / CFS</v>
      </c>
      <c r="E962" s="3" t="s">
        <v>53</v>
      </c>
      <c r="F962" s="3" t="str">
        <f>INDEX(Product_Category!$B$2:$B$45,MATCH(TRIM(E962),Product_Category!$A$2:$A$45,0))</f>
        <v>Processed Foods</v>
      </c>
      <c r="G962" s="4">
        <v>0.05</v>
      </c>
      <c r="H962" s="4">
        <v>0.09</v>
      </c>
      <c r="I962" s="4">
        <v>0.14000000000000001</v>
      </c>
      <c r="J962" s="4">
        <v>30.2</v>
      </c>
      <c r="K962" s="4">
        <v>50.48</v>
      </c>
      <c r="L962" s="4">
        <v>61.52</v>
      </c>
      <c r="M962" s="4">
        <f t="shared" ref="M962:M1025" si="45">H962-G962</f>
        <v>3.9999999999999994E-2</v>
      </c>
      <c r="N962" s="4">
        <f t="shared" ref="N962:N1025" si="46">K962-J962</f>
        <v>20.279999999999998</v>
      </c>
      <c r="O962" s="4">
        <f t="shared" ref="O962:O1025" si="47">I962-H962</f>
        <v>5.0000000000000017E-2</v>
      </c>
      <c r="P962" s="3" t="s">
        <v>19</v>
      </c>
    </row>
    <row r="963" spans="1:16" x14ac:dyDescent="0.35">
      <c r="A963" s="3" t="s">
        <v>159</v>
      </c>
      <c r="B963" s="3" t="str">
        <f>INDEX(State_Region!$B$2:$B$26,MATCH(TRIM(A963),State_Region!$A$2:$A$26,0))</f>
        <v>North-East</v>
      </c>
      <c r="C963" s="3" t="s">
        <v>186</v>
      </c>
      <c r="D963" s="3" t="str">
        <f>INDEX(Port_Type!$B$2:$B$227,MATCH(TRIM(C963),Port_Type!$A$2:$A$227,0))</f>
        <v>Land Border / Rail</v>
      </c>
      <c r="E963" s="3" t="s">
        <v>33</v>
      </c>
      <c r="F963" s="3" t="str">
        <f>INDEX(Product_Category!$B$2:$B$45,MATCH(TRIM(E963),Product_Category!$A$2:$A$45,0))</f>
        <v>Pulses</v>
      </c>
      <c r="G963" s="4">
        <v>0.37</v>
      </c>
      <c r="H963" s="4">
        <v>0.27</v>
      </c>
      <c r="I963" s="4">
        <v>0.14000000000000001</v>
      </c>
      <c r="J963" s="4">
        <v>418.56</v>
      </c>
      <c r="K963" s="4">
        <v>322.02999999999997</v>
      </c>
      <c r="L963" s="4">
        <v>181.59</v>
      </c>
      <c r="M963" s="4">
        <f t="shared" si="45"/>
        <v>-9.9999999999999978E-2</v>
      </c>
      <c r="N963" s="4">
        <f t="shared" si="46"/>
        <v>-96.53000000000003</v>
      </c>
      <c r="O963" s="4">
        <f t="shared" si="47"/>
        <v>-0.13</v>
      </c>
      <c r="P963" s="3" t="s">
        <v>19</v>
      </c>
    </row>
    <row r="964" spans="1:16" x14ac:dyDescent="0.35">
      <c r="A964" s="3" t="s">
        <v>57</v>
      </c>
      <c r="B964" s="3" t="str">
        <f>INDEX(State_Region!$B$2:$B$26,MATCH(TRIM(A964),State_Region!$A$2:$A$26,0))</f>
        <v>Central</v>
      </c>
      <c r="C964" s="3" t="s">
        <v>162</v>
      </c>
      <c r="D964" s="3" t="str">
        <f>INDEX(Port_Type!$B$2:$B$227,MATCH(TRIM(C964),Port_Type!$A$2:$A$227,0))</f>
        <v>Inland ICD / CFS</v>
      </c>
      <c r="E964" s="3" t="s">
        <v>53</v>
      </c>
      <c r="F964" s="3" t="str">
        <f>INDEX(Product_Category!$B$2:$B$45,MATCH(TRIM(E964),Product_Category!$A$2:$A$45,0))</f>
        <v>Processed Foods</v>
      </c>
      <c r="G964" s="4">
        <v>0.38</v>
      </c>
      <c r="H964" s="4">
        <v>0.24</v>
      </c>
      <c r="I964" s="4">
        <v>0.14000000000000001</v>
      </c>
      <c r="J964" s="4">
        <v>310.31</v>
      </c>
      <c r="K964" s="4">
        <v>201.92</v>
      </c>
      <c r="L964" s="4">
        <v>115.16</v>
      </c>
      <c r="M964" s="4">
        <f t="shared" si="45"/>
        <v>-0.14000000000000001</v>
      </c>
      <c r="N964" s="4">
        <f t="shared" si="46"/>
        <v>-108.39000000000001</v>
      </c>
      <c r="O964" s="4">
        <f t="shared" si="47"/>
        <v>-9.9999999999999978E-2</v>
      </c>
      <c r="P964" s="3" t="s">
        <v>19</v>
      </c>
    </row>
    <row r="965" spans="1:16" x14ac:dyDescent="0.35">
      <c r="A965" s="3" t="s">
        <v>94</v>
      </c>
      <c r="B965" s="3" t="str">
        <f>INDEX(State_Region!$B$2:$B$26,MATCH(TRIM(A965),State_Region!$A$2:$A$26,0))</f>
        <v>East</v>
      </c>
      <c r="C965" s="3" t="s">
        <v>112</v>
      </c>
      <c r="D965" s="3" t="str">
        <f>INDEX(Port_Type!$B$2:$B$227,MATCH(TRIM(C965),Port_Type!$A$2:$A$227,0))</f>
        <v>Land Border / Rail</v>
      </c>
      <c r="E965" s="3" t="s">
        <v>59</v>
      </c>
      <c r="F965" s="3" t="str">
        <f>INDEX(Product_Category!$B$2:$B$45,MATCH(TRIM(E965),Product_Category!$A$2:$A$45,0))</f>
        <v>Processed Foods</v>
      </c>
      <c r="G965" s="4">
        <v>0.18</v>
      </c>
      <c r="H965" s="4">
        <v>0.28000000000000003</v>
      </c>
      <c r="I965" s="4">
        <v>0.14000000000000001</v>
      </c>
      <c r="J965" s="4">
        <v>87.02</v>
      </c>
      <c r="K965" s="4">
        <v>112.11</v>
      </c>
      <c r="L965" s="4">
        <v>52.02</v>
      </c>
      <c r="M965" s="4">
        <f t="shared" si="45"/>
        <v>0.10000000000000003</v>
      </c>
      <c r="N965" s="4">
        <f t="shared" si="46"/>
        <v>25.090000000000003</v>
      </c>
      <c r="O965" s="4">
        <f t="shared" si="47"/>
        <v>-0.14000000000000001</v>
      </c>
      <c r="P965" s="3" t="s">
        <v>19</v>
      </c>
    </row>
    <row r="966" spans="1:16" x14ac:dyDescent="0.35">
      <c r="A966" s="3" t="s">
        <v>25</v>
      </c>
      <c r="B966" s="3" t="str">
        <f>INDEX(State_Region!$B$2:$B$26,MATCH(TRIM(A966),State_Region!$A$2:$A$26,0))</f>
        <v>South</v>
      </c>
      <c r="C966" s="3" t="s">
        <v>195</v>
      </c>
      <c r="D966" s="3" t="str">
        <f>INDEX(Port_Type!$B$2:$B$227,MATCH(TRIM(C966),Port_Type!$A$2:$A$227,0))</f>
        <v>Sea Port</v>
      </c>
      <c r="E966" s="3" t="s">
        <v>39</v>
      </c>
      <c r="F966" s="3" t="str">
        <f>INDEX(Product_Category!$B$2:$B$45,MATCH(TRIM(E966),Product_Category!$A$2:$A$45,0))</f>
        <v>Processed Foods</v>
      </c>
      <c r="G966" s="4">
        <v>0</v>
      </c>
      <c r="H966" s="4">
        <v>0.28000000000000003</v>
      </c>
      <c r="I966" s="4">
        <v>0.14000000000000001</v>
      </c>
      <c r="J966" s="4">
        <v>0</v>
      </c>
      <c r="K966" s="4">
        <v>426.65</v>
      </c>
      <c r="L966" s="4">
        <v>219.35</v>
      </c>
      <c r="M966" s="4">
        <f t="shared" si="45"/>
        <v>0.28000000000000003</v>
      </c>
      <c r="N966" s="4">
        <f t="shared" si="46"/>
        <v>426.65</v>
      </c>
      <c r="O966" s="4">
        <f t="shared" si="47"/>
        <v>-0.14000000000000001</v>
      </c>
      <c r="P966" s="3" t="s">
        <v>19</v>
      </c>
    </row>
    <row r="967" spans="1:16" x14ac:dyDescent="0.35">
      <c r="A967" s="3" t="s">
        <v>20</v>
      </c>
      <c r="B967" s="3" t="str">
        <f>INDEX(State_Region!$B$2:$B$26,MATCH(TRIM(A967),State_Region!$A$2:$A$26,0))</f>
        <v>West</v>
      </c>
      <c r="C967" s="3" t="s">
        <v>68</v>
      </c>
      <c r="D967" s="3" t="str">
        <f>INDEX(Port_Type!$B$2:$B$227,MATCH(TRIM(C967),Port_Type!$A$2:$A$227,0))</f>
        <v>Air Cargo</v>
      </c>
      <c r="E967" s="3" t="s">
        <v>114</v>
      </c>
      <c r="F967" s="3" t="str">
        <f>INDEX(Product_Category!$B$2:$B$45,MATCH(TRIM(E967),Product_Category!$A$2:$A$45,0))</f>
        <v>Dairy, Poultry &amp; Honey</v>
      </c>
      <c r="G967" s="4">
        <v>0.09</v>
      </c>
      <c r="H967" s="4">
        <v>0.26</v>
      </c>
      <c r="I967" s="4">
        <v>0.14000000000000001</v>
      </c>
      <c r="J967" s="4">
        <v>11.48</v>
      </c>
      <c r="K967" s="4">
        <v>4.6900000000000004</v>
      </c>
      <c r="L967" s="4">
        <v>2.09</v>
      </c>
      <c r="M967" s="4">
        <f t="shared" si="45"/>
        <v>0.17</v>
      </c>
      <c r="N967" s="4">
        <f t="shared" si="46"/>
        <v>-6.79</v>
      </c>
      <c r="O967" s="4">
        <f t="shared" si="47"/>
        <v>-0.12</v>
      </c>
      <c r="P967" s="3" t="s">
        <v>19</v>
      </c>
    </row>
    <row r="968" spans="1:16" x14ac:dyDescent="0.35">
      <c r="A968" s="3" t="s">
        <v>35</v>
      </c>
      <c r="B968" s="3" t="str">
        <f>INDEX(State_Region!$B$2:$B$26,MATCH(TRIM(A968),State_Region!$A$2:$A$26,0))</f>
        <v>North</v>
      </c>
      <c r="C968" s="3" t="s">
        <v>165</v>
      </c>
      <c r="D968" s="3" t="str">
        <f>INDEX(Port_Type!$B$2:$B$227,MATCH(TRIM(C968),Port_Type!$A$2:$A$227,0))</f>
        <v>Inland ICD / CFS</v>
      </c>
      <c r="E968" s="3" t="s">
        <v>59</v>
      </c>
      <c r="F968" s="3" t="str">
        <f>INDEX(Product_Category!$B$2:$B$45,MATCH(TRIM(E968),Product_Category!$A$2:$A$45,0))</f>
        <v>Processed Foods</v>
      </c>
      <c r="G968" s="4">
        <v>0.15</v>
      </c>
      <c r="H968" s="4">
        <v>1.52</v>
      </c>
      <c r="I968" s="4">
        <v>0.14000000000000001</v>
      </c>
      <c r="J968" s="4">
        <v>7.18</v>
      </c>
      <c r="K968" s="4">
        <v>75.72</v>
      </c>
      <c r="L968" s="4">
        <v>7.79</v>
      </c>
      <c r="M968" s="4">
        <f t="shared" si="45"/>
        <v>1.37</v>
      </c>
      <c r="N968" s="4">
        <f t="shared" si="46"/>
        <v>68.539999999999992</v>
      </c>
      <c r="O968" s="4">
        <f t="shared" si="47"/>
        <v>-1.38</v>
      </c>
      <c r="P968" s="3" t="s">
        <v>19</v>
      </c>
    </row>
    <row r="969" spans="1:16" x14ac:dyDescent="0.35">
      <c r="A969" s="3" t="s">
        <v>57</v>
      </c>
      <c r="B969" s="3" t="str">
        <f>INDEX(State_Region!$B$2:$B$26,MATCH(TRIM(A969),State_Region!$A$2:$A$26,0))</f>
        <v>Central</v>
      </c>
      <c r="C969" s="3" t="s">
        <v>161</v>
      </c>
      <c r="D969" s="3" t="str">
        <f>INDEX(Port_Type!$B$2:$B$227,MATCH(TRIM(C969),Port_Type!$A$2:$A$227,0))</f>
        <v>Inland ICD / CFS</v>
      </c>
      <c r="E969" s="3" t="s">
        <v>60</v>
      </c>
      <c r="F969" s="3" t="str">
        <f>INDEX(Product_Category!$B$2:$B$45,MATCH(TRIM(E969),Product_Category!$A$2:$A$45,0))</f>
        <v>Processed Foods</v>
      </c>
      <c r="G969" s="4">
        <v>1.1100000000000001</v>
      </c>
      <c r="H969" s="4">
        <v>0.72</v>
      </c>
      <c r="I969" s="4">
        <v>0.14000000000000001</v>
      </c>
      <c r="J969" s="4">
        <v>1087.0899999999999</v>
      </c>
      <c r="K969" s="4">
        <v>660.6</v>
      </c>
      <c r="L969" s="4">
        <v>98.78</v>
      </c>
      <c r="M969" s="4">
        <f t="shared" si="45"/>
        <v>-0.39000000000000012</v>
      </c>
      <c r="N969" s="4">
        <f t="shared" si="46"/>
        <v>-426.4899999999999</v>
      </c>
      <c r="O969" s="4">
        <f t="shared" si="47"/>
        <v>-0.57999999999999996</v>
      </c>
      <c r="P969" s="3" t="s">
        <v>19</v>
      </c>
    </row>
    <row r="970" spans="1:16" x14ac:dyDescent="0.35">
      <c r="A970" s="3" t="s">
        <v>77</v>
      </c>
      <c r="B970" s="3" t="str">
        <f>INDEX(State_Region!$B$2:$B$26,MATCH(TRIM(A970),State_Region!$A$2:$A$26,0))</f>
        <v>South</v>
      </c>
      <c r="C970" s="3" t="s">
        <v>132</v>
      </c>
      <c r="D970" s="3" t="str">
        <f>INDEX(Port_Type!$B$2:$B$227,MATCH(TRIM(C970),Port_Type!$A$2:$A$227,0))</f>
        <v>Air Cargo</v>
      </c>
      <c r="E970" s="3" t="s">
        <v>42</v>
      </c>
      <c r="F970" s="3" t="str">
        <f>INDEX(Product_Category!$B$2:$B$45,MATCH(TRIM(E970),Product_Category!$A$2:$A$45,0))</f>
        <v>Processed Foods</v>
      </c>
      <c r="G970" s="4">
        <v>2</v>
      </c>
      <c r="H970" s="4">
        <v>0.39</v>
      </c>
      <c r="I970" s="4">
        <v>0.14000000000000001</v>
      </c>
      <c r="J970" s="4">
        <v>1729.38</v>
      </c>
      <c r="K970" s="4">
        <v>405.6</v>
      </c>
      <c r="L970" s="4">
        <v>107.56</v>
      </c>
      <c r="M970" s="4">
        <f t="shared" si="45"/>
        <v>-1.6099999999999999</v>
      </c>
      <c r="N970" s="4">
        <f t="shared" si="46"/>
        <v>-1323.7800000000002</v>
      </c>
      <c r="O970" s="4">
        <f t="shared" si="47"/>
        <v>-0.25</v>
      </c>
      <c r="P970" s="3" t="s">
        <v>19</v>
      </c>
    </row>
    <row r="971" spans="1:16" x14ac:dyDescent="0.35">
      <c r="A971" s="3" t="s">
        <v>35</v>
      </c>
      <c r="B971" s="3" t="str">
        <f>INDEX(State_Region!$B$2:$B$26,MATCH(TRIM(A971),State_Region!$A$2:$A$26,0))</f>
        <v>North</v>
      </c>
      <c r="C971" s="3" t="s">
        <v>165</v>
      </c>
      <c r="D971" s="3" t="str">
        <f>INDEX(Port_Type!$B$2:$B$227,MATCH(TRIM(C971),Port_Type!$A$2:$A$227,0))</f>
        <v>Inland ICD / CFS</v>
      </c>
      <c r="E971" s="3" t="s">
        <v>42</v>
      </c>
      <c r="F971" s="3" t="str">
        <f>INDEX(Product_Category!$B$2:$B$45,MATCH(TRIM(E971),Product_Category!$A$2:$A$45,0))</f>
        <v>Processed Foods</v>
      </c>
      <c r="G971" s="4">
        <v>0.01</v>
      </c>
      <c r="H971" s="4">
        <v>0.26</v>
      </c>
      <c r="I971" s="4">
        <v>0.14000000000000001</v>
      </c>
      <c r="J971" s="4">
        <v>8.74</v>
      </c>
      <c r="K971" s="4">
        <v>118.66</v>
      </c>
      <c r="L971" s="4">
        <v>58.49</v>
      </c>
      <c r="M971" s="4">
        <f t="shared" si="45"/>
        <v>0.25</v>
      </c>
      <c r="N971" s="4">
        <f t="shared" si="46"/>
        <v>109.92</v>
      </c>
      <c r="O971" s="4">
        <f t="shared" si="47"/>
        <v>-0.12</v>
      </c>
      <c r="P971" s="3" t="s">
        <v>19</v>
      </c>
    </row>
    <row r="972" spans="1:16" x14ac:dyDescent="0.35">
      <c r="A972" s="3" t="s">
        <v>16</v>
      </c>
      <c r="B972" s="3" t="str">
        <f>INDEX(State_Region!$B$2:$B$26,MATCH(TRIM(A972),State_Region!$A$2:$A$26,0))</f>
        <v>West</v>
      </c>
      <c r="C972" s="3" t="s">
        <v>90</v>
      </c>
      <c r="D972" s="3" t="str">
        <f>INDEX(Port_Type!$B$2:$B$227,MATCH(TRIM(C972),Port_Type!$A$2:$A$227,0))</f>
        <v>Inland ICD / CFS</v>
      </c>
      <c r="E972" s="3" t="s">
        <v>45</v>
      </c>
      <c r="F972" s="3" t="str">
        <f>INDEX(Product_Category!$B$2:$B$45,MATCH(TRIM(E972),Product_Category!$A$2:$A$45,0))</f>
        <v>Fresh Fruits &amp; Vegetables</v>
      </c>
      <c r="G972" s="4">
        <v>0.56999999999999995</v>
      </c>
      <c r="H972" s="4">
        <v>0.54</v>
      </c>
      <c r="I972" s="4">
        <v>0.14000000000000001</v>
      </c>
      <c r="J972" s="4">
        <v>100.99</v>
      </c>
      <c r="K972" s="4">
        <v>118.75</v>
      </c>
      <c r="L972" s="4">
        <v>29.23</v>
      </c>
      <c r="M972" s="4">
        <f t="shared" si="45"/>
        <v>-2.9999999999999916E-2</v>
      </c>
      <c r="N972" s="4">
        <f t="shared" si="46"/>
        <v>17.760000000000005</v>
      </c>
      <c r="O972" s="4">
        <f t="shared" si="47"/>
        <v>-0.4</v>
      </c>
      <c r="P972" s="3" t="s">
        <v>19</v>
      </c>
    </row>
    <row r="973" spans="1:16" x14ac:dyDescent="0.35">
      <c r="A973" s="3" t="s">
        <v>31</v>
      </c>
      <c r="B973" s="3" t="str">
        <f>INDEX(State_Region!$B$2:$B$26,MATCH(TRIM(A973),State_Region!$A$2:$A$26,0))</f>
        <v>East</v>
      </c>
      <c r="C973" s="3" t="s">
        <v>146</v>
      </c>
      <c r="D973" s="3" t="str">
        <f>INDEX(Port_Type!$B$2:$B$227,MATCH(TRIM(C973),Port_Type!$A$2:$A$227,0))</f>
        <v>Land Border / Rail</v>
      </c>
      <c r="E973" s="3" t="s">
        <v>113</v>
      </c>
      <c r="F973" s="3" t="str">
        <f>INDEX(Product_Category!$B$2:$B$45,MATCH(TRIM(E973),Product_Category!$A$2:$A$45,0))</f>
        <v>Cereals &amp; Grains</v>
      </c>
      <c r="G973" s="4">
        <v>0</v>
      </c>
      <c r="H973" s="4">
        <v>0</v>
      </c>
      <c r="I973" s="4">
        <v>0.14000000000000001</v>
      </c>
      <c r="J973" s="4">
        <v>0</v>
      </c>
      <c r="K973" s="4">
        <v>0</v>
      </c>
      <c r="L973" s="4">
        <v>477.6</v>
      </c>
      <c r="M973" s="4">
        <f t="shared" si="45"/>
        <v>0</v>
      </c>
      <c r="N973" s="4">
        <f t="shared" si="46"/>
        <v>0</v>
      </c>
      <c r="O973" s="4">
        <f t="shared" si="47"/>
        <v>0.14000000000000001</v>
      </c>
      <c r="P973" s="3" t="s">
        <v>19</v>
      </c>
    </row>
    <row r="974" spans="1:16" x14ac:dyDescent="0.35">
      <c r="A974" s="3" t="s">
        <v>57</v>
      </c>
      <c r="B974" s="3" t="str">
        <f>INDEX(State_Region!$B$2:$B$26,MATCH(TRIM(A974),State_Region!$A$2:$A$26,0))</f>
        <v>Central</v>
      </c>
      <c r="C974" s="3" t="s">
        <v>225</v>
      </c>
      <c r="D974" s="3" t="str">
        <f>INDEX(Port_Type!$B$2:$B$227,MATCH(TRIM(C974),Port_Type!$A$2:$A$227,0))</f>
        <v>SEZ / EPZ</v>
      </c>
      <c r="E974" s="3" t="s">
        <v>42</v>
      </c>
      <c r="F974" s="3" t="str">
        <f>INDEX(Product_Category!$B$2:$B$45,MATCH(TRIM(E974),Product_Category!$A$2:$A$45,0))</f>
        <v>Processed Foods</v>
      </c>
      <c r="G974" s="4">
        <v>0.3</v>
      </c>
      <c r="H974" s="4">
        <v>0.76</v>
      </c>
      <c r="I974" s="4">
        <v>0.14000000000000001</v>
      </c>
      <c r="J974" s="4">
        <v>70.599999999999994</v>
      </c>
      <c r="K974" s="4">
        <v>176.44</v>
      </c>
      <c r="L974" s="4">
        <v>32.42</v>
      </c>
      <c r="M974" s="4">
        <f t="shared" si="45"/>
        <v>0.46</v>
      </c>
      <c r="N974" s="4">
        <f t="shared" si="46"/>
        <v>105.84</v>
      </c>
      <c r="O974" s="4">
        <f t="shared" si="47"/>
        <v>-0.62</v>
      </c>
      <c r="P974" s="3" t="s">
        <v>19</v>
      </c>
    </row>
    <row r="975" spans="1:16" x14ac:dyDescent="0.35">
      <c r="A975" s="3" t="s">
        <v>94</v>
      </c>
      <c r="B975" s="3" t="str">
        <f>INDEX(State_Region!$B$2:$B$26,MATCH(TRIM(A975),State_Region!$A$2:$A$26,0))</f>
        <v>East</v>
      </c>
      <c r="C975" s="3" t="s">
        <v>188</v>
      </c>
      <c r="D975" s="3" t="str">
        <f>INDEX(Port_Type!$B$2:$B$227,MATCH(TRIM(C975),Port_Type!$A$2:$A$227,0))</f>
        <v>Land Border / Rail</v>
      </c>
      <c r="E975" s="3" t="s">
        <v>33</v>
      </c>
      <c r="F975" s="3" t="str">
        <f>INDEX(Product_Category!$B$2:$B$45,MATCH(TRIM(E975),Product_Category!$A$2:$A$45,0))</f>
        <v>Pulses</v>
      </c>
      <c r="G975" s="4">
        <v>1.27</v>
      </c>
      <c r="H975" s="4">
        <v>0.56000000000000005</v>
      </c>
      <c r="I975" s="4">
        <v>0.14000000000000001</v>
      </c>
      <c r="J975" s="4">
        <v>1584.89</v>
      </c>
      <c r="K975" s="4">
        <v>781.67</v>
      </c>
      <c r="L975" s="4">
        <v>193.7</v>
      </c>
      <c r="M975" s="4">
        <f t="shared" si="45"/>
        <v>-0.71</v>
      </c>
      <c r="N975" s="4">
        <f t="shared" si="46"/>
        <v>-803.22000000000014</v>
      </c>
      <c r="O975" s="4">
        <f t="shared" si="47"/>
        <v>-0.42000000000000004</v>
      </c>
      <c r="P975" s="3" t="s">
        <v>19</v>
      </c>
    </row>
    <row r="976" spans="1:16" x14ac:dyDescent="0.35">
      <c r="A976" s="3" t="s">
        <v>31</v>
      </c>
      <c r="B976" s="3" t="str">
        <f>INDEX(State_Region!$B$2:$B$26,MATCH(TRIM(A976),State_Region!$A$2:$A$26,0))</f>
        <v>East</v>
      </c>
      <c r="C976" s="3" t="s">
        <v>171</v>
      </c>
      <c r="D976" s="3" t="str">
        <f>INDEX(Port_Type!$B$2:$B$227,MATCH(TRIM(C976),Port_Type!$A$2:$A$227,0))</f>
        <v>Land Border / Rail</v>
      </c>
      <c r="E976" s="3" t="s">
        <v>42</v>
      </c>
      <c r="F976" s="3" t="str">
        <f>INDEX(Product_Category!$B$2:$B$45,MATCH(TRIM(E976),Product_Category!$A$2:$A$45,0))</f>
        <v>Processed Foods</v>
      </c>
      <c r="G976" s="4">
        <v>2.68</v>
      </c>
      <c r="H976" s="4">
        <v>3.84</v>
      </c>
      <c r="I976" s="4">
        <v>0.13</v>
      </c>
      <c r="J976" s="4">
        <v>13582.62</v>
      </c>
      <c r="K976" s="4">
        <v>34103.49</v>
      </c>
      <c r="L976" s="4">
        <v>855.03</v>
      </c>
      <c r="M976" s="4">
        <f t="shared" si="45"/>
        <v>1.1599999999999997</v>
      </c>
      <c r="N976" s="4">
        <f t="shared" si="46"/>
        <v>20520.869999999995</v>
      </c>
      <c r="O976" s="4">
        <f t="shared" si="47"/>
        <v>-3.71</v>
      </c>
      <c r="P976" s="3" t="s">
        <v>19</v>
      </c>
    </row>
    <row r="977" spans="1:16" x14ac:dyDescent="0.35">
      <c r="A977" s="3" t="s">
        <v>79</v>
      </c>
      <c r="B977" s="3" t="str">
        <f>INDEX(State_Region!$B$2:$B$26,MATCH(TRIM(A977),State_Region!$A$2:$A$26,0))</f>
        <v>South</v>
      </c>
      <c r="C977" s="3" t="s">
        <v>226</v>
      </c>
      <c r="D977" s="3" t="str">
        <f>INDEX(Port_Type!$B$2:$B$227,MATCH(TRIM(C977),Port_Type!$A$2:$A$227,0))</f>
        <v>Air Cargo</v>
      </c>
      <c r="E977" s="3" t="s">
        <v>102</v>
      </c>
      <c r="F977" s="3" t="str">
        <f>INDEX(Product_Category!$B$2:$B$45,MATCH(TRIM(E977),Product_Category!$A$2:$A$45,0))</f>
        <v>Fresh Fruits &amp; Vegetables</v>
      </c>
      <c r="G977" s="4">
        <v>0.82</v>
      </c>
      <c r="H977" s="4">
        <v>1.17</v>
      </c>
      <c r="I977" s="4">
        <v>0.13</v>
      </c>
      <c r="J977" s="4">
        <v>904.36</v>
      </c>
      <c r="K977" s="4">
        <v>1190.33</v>
      </c>
      <c r="L977" s="4">
        <v>118.08</v>
      </c>
      <c r="M977" s="4">
        <f t="shared" si="45"/>
        <v>0.35</v>
      </c>
      <c r="N977" s="4">
        <f t="shared" si="46"/>
        <v>285.96999999999991</v>
      </c>
      <c r="O977" s="4">
        <f t="shared" si="47"/>
        <v>-1.04</v>
      </c>
      <c r="P977" s="3" t="s">
        <v>19</v>
      </c>
    </row>
    <row r="978" spans="1:16" x14ac:dyDescent="0.35">
      <c r="A978" s="3" t="s">
        <v>77</v>
      </c>
      <c r="B978" s="3" t="str">
        <f>INDEX(State_Region!$B$2:$B$26,MATCH(TRIM(A978),State_Region!$A$2:$A$26,0))</f>
        <v>South</v>
      </c>
      <c r="C978" s="3" t="s">
        <v>149</v>
      </c>
      <c r="D978" s="3" t="str">
        <f>INDEX(Port_Type!$B$2:$B$227,MATCH(TRIM(C978),Port_Type!$A$2:$A$227,0))</f>
        <v>SEZ / EPZ</v>
      </c>
      <c r="E978" s="3" t="s">
        <v>59</v>
      </c>
      <c r="F978" s="3" t="str">
        <f>INDEX(Product_Category!$B$2:$B$45,MATCH(TRIM(E978),Product_Category!$A$2:$A$45,0))</f>
        <v>Processed Foods</v>
      </c>
      <c r="G978" s="4">
        <v>0.24</v>
      </c>
      <c r="H978" s="4">
        <v>0.5</v>
      </c>
      <c r="I978" s="4">
        <v>0.13</v>
      </c>
      <c r="J978" s="4">
        <v>12.38</v>
      </c>
      <c r="K978" s="4">
        <v>17.64</v>
      </c>
      <c r="L978" s="4">
        <v>5.25</v>
      </c>
      <c r="M978" s="4">
        <f t="shared" si="45"/>
        <v>0.26</v>
      </c>
      <c r="N978" s="4">
        <f t="shared" si="46"/>
        <v>5.26</v>
      </c>
      <c r="O978" s="4">
        <f t="shared" si="47"/>
        <v>-0.37</v>
      </c>
      <c r="P978" s="3" t="s">
        <v>19</v>
      </c>
    </row>
    <row r="979" spans="1:16" x14ac:dyDescent="0.35">
      <c r="A979" s="3" t="s">
        <v>86</v>
      </c>
      <c r="B979" s="3" t="str">
        <f>INDEX(State_Region!$B$2:$B$26,MATCH(TRIM(A979),State_Region!$A$2:$A$26,0))</f>
        <v>North</v>
      </c>
      <c r="C979" s="3" t="s">
        <v>87</v>
      </c>
      <c r="D979" s="3" t="str">
        <f>INDEX(Port_Type!$B$2:$B$227,MATCH(TRIM(C979),Port_Type!$A$2:$A$227,0))</f>
        <v>Air Cargo</v>
      </c>
      <c r="E979" s="3" t="s">
        <v>76</v>
      </c>
      <c r="F979" s="3" t="str">
        <f>INDEX(Product_Category!$B$2:$B$45,MATCH(TRIM(E979),Product_Category!$A$2:$A$45,0))</f>
        <v>Fresh Fruits &amp; Vegetables</v>
      </c>
      <c r="G979" s="4">
        <v>0.73</v>
      </c>
      <c r="H979" s="4">
        <v>0.34</v>
      </c>
      <c r="I979" s="4">
        <v>0.13</v>
      </c>
      <c r="J979" s="4">
        <v>206.18</v>
      </c>
      <c r="K979" s="4">
        <v>133.27000000000001</v>
      </c>
      <c r="L979" s="4">
        <v>46.55</v>
      </c>
      <c r="M979" s="4">
        <f t="shared" si="45"/>
        <v>-0.38999999999999996</v>
      </c>
      <c r="N979" s="4">
        <f t="shared" si="46"/>
        <v>-72.91</v>
      </c>
      <c r="O979" s="4">
        <f t="shared" si="47"/>
        <v>-0.21000000000000002</v>
      </c>
      <c r="P979" s="3" t="s">
        <v>19</v>
      </c>
    </row>
    <row r="980" spans="1:16" x14ac:dyDescent="0.35">
      <c r="A980" s="3" t="s">
        <v>49</v>
      </c>
      <c r="B980" s="3" t="str">
        <f>INDEX(State_Region!$B$2:$B$26,MATCH(TRIM(A980),State_Region!$A$2:$A$26,0))</f>
        <v>North</v>
      </c>
      <c r="C980" s="3" t="s">
        <v>176</v>
      </c>
      <c r="D980" s="3" t="str">
        <f>INDEX(Port_Type!$B$2:$B$227,MATCH(TRIM(C980),Port_Type!$A$2:$A$227,0))</f>
        <v>Inland ICD / CFS</v>
      </c>
      <c r="E980" s="3" t="s">
        <v>60</v>
      </c>
      <c r="F980" s="3" t="str">
        <f>INDEX(Product_Category!$B$2:$B$45,MATCH(TRIM(E980),Product_Category!$A$2:$A$45,0))</f>
        <v>Processed Foods</v>
      </c>
      <c r="G980" s="4">
        <v>0</v>
      </c>
      <c r="H980" s="4">
        <v>0.33</v>
      </c>
      <c r="I980" s="4">
        <v>0.13</v>
      </c>
      <c r="J980" s="4">
        <v>0</v>
      </c>
      <c r="K980" s="4">
        <v>168.54</v>
      </c>
      <c r="L980" s="4">
        <v>69.349999999999994</v>
      </c>
      <c r="M980" s="4">
        <f t="shared" si="45"/>
        <v>0.33</v>
      </c>
      <c r="N980" s="4">
        <f t="shared" si="46"/>
        <v>168.54</v>
      </c>
      <c r="O980" s="4">
        <f t="shared" si="47"/>
        <v>-0.2</v>
      </c>
      <c r="P980" s="3" t="s">
        <v>19</v>
      </c>
    </row>
    <row r="981" spans="1:16" x14ac:dyDescent="0.35">
      <c r="A981" s="3" t="s">
        <v>16</v>
      </c>
      <c r="B981" s="3" t="str">
        <f>INDEX(State_Region!$B$2:$B$26,MATCH(TRIM(A981),State_Region!$A$2:$A$26,0))</f>
        <v>West</v>
      </c>
      <c r="C981" s="3" t="s">
        <v>28</v>
      </c>
      <c r="D981" s="3" t="str">
        <f>INDEX(Port_Type!$B$2:$B$227,MATCH(TRIM(C981),Port_Type!$A$2:$A$227,0))</f>
        <v>Sea Port</v>
      </c>
      <c r="E981" s="3" t="s">
        <v>72</v>
      </c>
      <c r="F981" s="3" t="str">
        <f>INDEX(Product_Category!$B$2:$B$45,MATCH(TRIM(E981),Product_Category!$A$2:$A$45,0))</f>
        <v>Dairy, Poultry &amp; Honey</v>
      </c>
      <c r="G981" s="4">
        <v>0.01</v>
      </c>
      <c r="H981" s="4">
        <v>0</v>
      </c>
      <c r="I981" s="4">
        <v>0.13</v>
      </c>
      <c r="J981" s="4">
        <v>1.08</v>
      </c>
      <c r="K981" s="4">
        <v>2.7</v>
      </c>
      <c r="L981" s="4">
        <v>34.86</v>
      </c>
      <c r="M981" s="4">
        <f t="shared" si="45"/>
        <v>-0.01</v>
      </c>
      <c r="N981" s="4">
        <f t="shared" si="46"/>
        <v>1.62</v>
      </c>
      <c r="O981" s="4">
        <f t="shared" si="47"/>
        <v>0.13</v>
      </c>
      <c r="P981" s="3" t="s">
        <v>19</v>
      </c>
    </row>
    <row r="982" spans="1:16" x14ac:dyDescent="0.35">
      <c r="A982" s="3" t="s">
        <v>74</v>
      </c>
      <c r="B982" s="3" t="str">
        <f>INDEX(State_Region!$B$2:$B$26,MATCH(TRIM(A982),State_Region!$A$2:$A$26,0))</f>
        <v>South</v>
      </c>
      <c r="C982" s="3" t="s">
        <v>75</v>
      </c>
      <c r="D982" s="3" t="str">
        <f>INDEX(Port_Type!$B$2:$B$227,MATCH(TRIM(C982),Port_Type!$A$2:$A$227,0))</f>
        <v>Inland ICD / CFS</v>
      </c>
      <c r="E982" s="3" t="s">
        <v>72</v>
      </c>
      <c r="F982" s="3" t="str">
        <f>INDEX(Product_Category!$B$2:$B$45,MATCH(TRIM(E982),Product_Category!$A$2:$A$45,0))</f>
        <v>Dairy, Poultry &amp; Honey</v>
      </c>
      <c r="G982" s="4">
        <v>0.32</v>
      </c>
      <c r="H982" s="4">
        <v>0.28000000000000003</v>
      </c>
      <c r="I982" s="4">
        <v>0.13</v>
      </c>
      <c r="J982" s="4">
        <v>52.85</v>
      </c>
      <c r="K982" s="4">
        <v>67.239999999999995</v>
      </c>
      <c r="L982" s="4">
        <v>43.34</v>
      </c>
      <c r="M982" s="4">
        <f t="shared" si="45"/>
        <v>-3.999999999999998E-2</v>
      </c>
      <c r="N982" s="4">
        <f t="shared" si="46"/>
        <v>14.389999999999993</v>
      </c>
      <c r="O982" s="4">
        <f t="shared" si="47"/>
        <v>-0.15000000000000002</v>
      </c>
      <c r="P982" s="3" t="s">
        <v>19</v>
      </c>
    </row>
    <row r="983" spans="1:16" x14ac:dyDescent="0.35">
      <c r="A983" s="3" t="s">
        <v>189</v>
      </c>
      <c r="B983" s="3" t="str">
        <f>INDEX(State_Region!$B$2:$B$26,MATCH(TRIM(A983),State_Region!$A$2:$A$26,0))</f>
        <v>North</v>
      </c>
      <c r="C983" s="3" t="s">
        <v>227</v>
      </c>
      <c r="D983" s="3" t="str">
        <f>INDEX(Port_Type!$B$2:$B$227,MATCH(TRIM(C983),Port_Type!$A$2:$A$227,0))</f>
        <v>Land Border / Rail</v>
      </c>
      <c r="E983" s="3" t="s">
        <v>39</v>
      </c>
      <c r="F983" s="3" t="str">
        <f>INDEX(Product_Category!$B$2:$B$45,MATCH(TRIM(E983),Product_Category!$A$2:$A$45,0))</f>
        <v>Processed Foods</v>
      </c>
      <c r="G983" s="4">
        <v>0.15</v>
      </c>
      <c r="H983" s="4">
        <v>0.19</v>
      </c>
      <c r="I983" s="4">
        <v>0.13</v>
      </c>
      <c r="J983" s="4">
        <v>20.51</v>
      </c>
      <c r="K983" s="4">
        <v>18.62</v>
      </c>
      <c r="L983" s="4">
        <v>12.61</v>
      </c>
      <c r="M983" s="4">
        <f t="shared" si="45"/>
        <v>4.0000000000000008E-2</v>
      </c>
      <c r="N983" s="4">
        <f t="shared" si="46"/>
        <v>-1.8900000000000006</v>
      </c>
      <c r="O983" s="4">
        <f t="shared" si="47"/>
        <v>-0.06</v>
      </c>
      <c r="P983" s="3" t="s">
        <v>19</v>
      </c>
    </row>
    <row r="984" spans="1:16" x14ac:dyDescent="0.35">
      <c r="A984" s="3" t="s">
        <v>31</v>
      </c>
      <c r="B984" s="3" t="str">
        <f>INDEX(State_Region!$B$2:$B$26,MATCH(TRIM(A984),State_Region!$A$2:$A$26,0))</f>
        <v>East</v>
      </c>
      <c r="C984" s="3" t="s">
        <v>139</v>
      </c>
      <c r="D984" s="3" t="str">
        <f>INDEX(Port_Type!$B$2:$B$227,MATCH(TRIM(C984),Port_Type!$A$2:$A$227,0))</f>
        <v>Land Border / Rail</v>
      </c>
      <c r="E984" s="3" t="s">
        <v>53</v>
      </c>
      <c r="F984" s="3" t="str">
        <f>INDEX(Product_Category!$B$2:$B$45,MATCH(TRIM(E984),Product_Category!$A$2:$A$45,0))</f>
        <v>Processed Foods</v>
      </c>
      <c r="G984" s="4">
        <v>0.3</v>
      </c>
      <c r="H984" s="4">
        <v>0.64</v>
      </c>
      <c r="I984" s="4">
        <v>0.13</v>
      </c>
      <c r="J984" s="4">
        <v>1128.53</v>
      </c>
      <c r="K984" s="4">
        <v>1787.56</v>
      </c>
      <c r="L984" s="4">
        <v>364.38</v>
      </c>
      <c r="M984" s="4">
        <f t="shared" si="45"/>
        <v>0.34</v>
      </c>
      <c r="N984" s="4">
        <f t="shared" si="46"/>
        <v>659.03</v>
      </c>
      <c r="O984" s="4">
        <f t="shared" si="47"/>
        <v>-0.51</v>
      </c>
      <c r="P984" s="3" t="s">
        <v>19</v>
      </c>
    </row>
    <row r="985" spans="1:16" x14ac:dyDescent="0.35">
      <c r="A985" s="3" t="s">
        <v>20</v>
      </c>
      <c r="B985" s="3" t="str">
        <f>INDEX(State_Region!$B$2:$B$26,MATCH(TRIM(A985),State_Region!$A$2:$A$26,0))</f>
        <v>West</v>
      </c>
      <c r="C985" s="3" t="s">
        <v>21</v>
      </c>
      <c r="D985" s="3" t="str">
        <f>INDEX(Port_Type!$B$2:$B$227,MATCH(TRIM(C985),Port_Type!$A$2:$A$227,0))</f>
        <v>Sea Port</v>
      </c>
      <c r="E985" s="3" t="s">
        <v>221</v>
      </c>
      <c r="F985" s="3" t="str">
        <f>INDEX(Product_Category!$B$2:$B$45,MATCH(TRIM(E985),Product_Category!$A$2:$A$45,0))</f>
        <v>Meat &amp; Animal Products</v>
      </c>
      <c r="G985" s="4">
        <v>0.59</v>
      </c>
      <c r="H985" s="4">
        <v>0.36</v>
      </c>
      <c r="I985" s="4">
        <v>0.13</v>
      </c>
      <c r="J985" s="4">
        <v>242.72</v>
      </c>
      <c r="K985" s="4">
        <v>73.94</v>
      </c>
      <c r="L985" s="4">
        <v>28</v>
      </c>
      <c r="M985" s="4">
        <f t="shared" si="45"/>
        <v>-0.22999999999999998</v>
      </c>
      <c r="N985" s="4">
        <f t="shared" si="46"/>
        <v>-168.78</v>
      </c>
      <c r="O985" s="4">
        <f t="shared" si="47"/>
        <v>-0.22999999999999998</v>
      </c>
      <c r="P985" s="3" t="s">
        <v>19</v>
      </c>
    </row>
    <row r="986" spans="1:16" x14ac:dyDescent="0.35">
      <c r="A986" s="3" t="s">
        <v>31</v>
      </c>
      <c r="B986" s="3" t="str">
        <f>INDEX(State_Region!$B$2:$B$26,MATCH(TRIM(A986),State_Region!$A$2:$A$26,0))</f>
        <v>East</v>
      </c>
      <c r="C986" s="3" t="s">
        <v>169</v>
      </c>
      <c r="D986" s="3" t="str">
        <f>INDEX(Port_Type!$B$2:$B$227,MATCH(TRIM(C986),Port_Type!$A$2:$A$227,0))</f>
        <v>Land Border / Rail</v>
      </c>
      <c r="E986" s="3" t="s">
        <v>54</v>
      </c>
      <c r="F986" s="3" t="str">
        <f>INDEX(Product_Category!$B$2:$B$45,MATCH(TRIM(E986),Product_Category!$A$2:$A$45,0))</f>
        <v>Processed Foods</v>
      </c>
      <c r="G986" s="4">
        <v>0.02</v>
      </c>
      <c r="H986" s="4">
        <v>0.24</v>
      </c>
      <c r="I986" s="4">
        <v>0.13</v>
      </c>
      <c r="J986" s="4">
        <v>33.6</v>
      </c>
      <c r="K986" s="4">
        <v>420</v>
      </c>
      <c r="L986" s="4">
        <v>175.4</v>
      </c>
      <c r="M986" s="4">
        <f t="shared" si="45"/>
        <v>0.22</v>
      </c>
      <c r="N986" s="4">
        <f t="shared" si="46"/>
        <v>386.4</v>
      </c>
      <c r="O986" s="4">
        <f t="shared" si="47"/>
        <v>-0.10999999999999999</v>
      </c>
      <c r="P986" s="3" t="s">
        <v>19</v>
      </c>
    </row>
    <row r="987" spans="1:16" x14ac:dyDescent="0.35">
      <c r="A987" s="3" t="s">
        <v>20</v>
      </c>
      <c r="B987" s="3" t="str">
        <f>INDEX(State_Region!$B$2:$B$26,MATCH(TRIM(A987),State_Region!$A$2:$A$26,0))</f>
        <v>West</v>
      </c>
      <c r="C987" s="3" t="s">
        <v>21</v>
      </c>
      <c r="D987" s="3" t="str">
        <f>INDEX(Port_Type!$B$2:$B$227,MATCH(TRIM(C987),Port_Type!$A$2:$A$227,0))</f>
        <v>Sea Port</v>
      </c>
      <c r="E987" s="3" t="s">
        <v>118</v>
      </c>
      <c r="F987" s="3" t="str">
        <f>INDEX(Product_Category!$B$2:$B$45,MATCH(TRIM(E987),Product_Category!$A$2:$A$45,0))</f>
        <v>Dairy, Poultry &amp; Honey</v>
      </c>
      <c r="G987" s="4">
        <v>0.38</v>
      </c>
      <c r="H987" s="4">
        <v>0.27</v>
      </c>
      <c r="I987" s="4">
        <v>0.13</v>
      </c>
      <c r="J987" s="4">
        <v>125.03</v>
      </c>
      <c r="K987" s="4">
        <v>85.17</v>
      </c>
      <c r="L987" s="4">
        <v>53.55</v>
      </c>
      <c r="M987" s="4">
        <f t="shared" si="45"/>
        <v>-0.10999999999999999</v>
      </c>
      <c r="N987" s="4">
        <f t="shared" si="46"/>
        <v>-39.86</v>
      </c>
      <c r="O987" s="4">
        <f t="shared" si="47"/>
        <v>-0.14000000000000001</v>
      </c>
      <c r="P987" s="3" t="s">
        <v>19</v>
      </c>
    </row>
    <row r="988" spans="1:16" x14ac:dyDescent="0.35">
      <c r="A988" s="3" t="s">
        <v>31</v>
      </c>
      <c r="B988" s="3" t="str">
        <f>INDEX(State_Region!$B$2:$B$26,MATCH(TRIM(A988),State_Region!$A$2:$A$26,0))</f>
        <v>East</v>
      </c>
      <c r="C988" s="3" t="s">
        <v>139</v>
      </c>
      <c r="D988" s="3" t="str">
        <f>INDEX(Port_Type!$B$2:$B$227,MATCH(TRIM(C988),Port_Type!$A$2:$A$227,0))</f>
        <v>Land Border / Rail</v>
      </c>
      <c r="E988" s="3" t="s">
        <v>48</v>
      </c>
      <c r="F988" s="3" t="str">
        <f>INDEX(Product_Category!$B$2:$B$45,MATCH(TRIM(E988),Product_Category!$A$2:$A$45,0))</f>
        <v>Processed Foods</v>
      </c>
      <c r="G988" s="4">
        <v>0.21</v>
      </c>
      <c r="H988" s="4">
        <v>0.28000000000000003</v>
      </c>
      <c r="I988" s="4">
        <v>0.13</v>
      </c>
      <c r="J988" s="4">
        <v>176.75</v>
      </c>
      <c r="K988" s="4">
        <v>125.37</v>
      </c>
      <c r="L988" s="4">
        <v>79.08</v>
      </c>
      <c r="M988" s="4">
        <f t="shared" si="45"/>
        <v>7.0000000000000034E-2</v>
      </c>
      <c r="N988" s="4">
        <f t="shared" si="46"/>
        <v>-51.379999999999995</v>
      </c>
      <c r="O988" s="4">
        <f t="shared" si="47"/>
        <v>-0.15000000000000002</v>
      </c>
      <c r="P988" s="3" t="s">
        <v>19</v>
      </c>
    </row>
    <row r="989" spans="1:16" x14ac:dyDescent="0.35">
      <c r="A989" s="3" t="s">
        <v>35</v>
      </c>
      <c r="B989" s="3" t="str">
        <f>INDEX(State_Region!$B$2:$B$26,MATCH(TRIM(A989),State_Region!$A$2:$A$26,0))</f>
        <v>North</v>
      </c>
      <c r="C989" s="3" t="s">
        <v>38</v>
      </c>
      <c r="D989" s="3" t="str">
        <f>INDEX(Port_Type!$B$2:$B$227,MATCH(TRIM(C989),Port_Type!$A$2:$A$227,0))</f>
        <v>Inland ICD / CFS</v>
      </c>
      <c r="E989" s="3" t="s">
        <v>69</v>
      </c>
      <c r="F989" s="3" t="str">
        <f>INDEX(Product_Category!$B$2:$B$45,MATCH(TRIM(E989),Product_Category!$A$2:$A$45,0))</f>
        <v>Others</v>
      </c>
      <c r="G989" s="4">
        <v>0.12</v>
      </c>
      <c r="H989" s="4">
        <v>7.0000000000000007E-2</v>
      </c>
      <c r="I989" s="4">
        <v>0.13</v>
      </c>
      <c r="J989" s="4">
        <v>76.77</v>
      </c>
      <c r="K989" s="4">
        <v>8.11</v>
      </c>
      <c r="L989" s="4">
        <v>79.53</v>
      </c>
      <c r="M989" s="4">
        <f t="shared" si="45"/>
        <v>-4.9999999999999989E-2</v>
      </c>
      <c r="N989" s="4">
        <f t="shared" si="46"/>
        <v>-68.66</v>
      </c>
      <c r="O989" s="4">
        <f t="shared" si="47"/>
        <v>0.06</v>
      </c>
      <c r="P989" s="3" t="s">
        <v>19</v>
      </c>
    </row>
    <row r="990" spans="1:16" x14ac:dyDescent="0.35">
      <c r="A990" s="3" t="s">
        <v>40</v>
      </c>
      <c r="B990" s="3" t="str">
        <f>INDEX(State_Region!$B$2:$B$26,MATCH(TRIM(A990),State_Region!$A$2:$A$26,0))</f>
        <v>South</v>
      </c>
      <c r="C990" s="3" t="s">
        <v>107</v>
      </c>
      <c r="D990" s="3" t="str">
        <f>INDEX(Port_Type!$B$2:$B$227,MATCH(TRIM(C990),Port_Type!$A$2:$A$227,0))</f>
        <v>Sea Port</v>
      </c>
      <c r="E990" s="3" t="s">
        <v>72</v>
      </c>
      <c r="F990" s="3" t="str">
        <f>INDEX(Product_Category!$B$2:$B$45,MATCH(TRIM(E990),Product_Category!$A$2:$A$45,0))</f>
        <v>Dairy, Poultry &amp; Honey</v>
      </c>
      <c r="G990" s="4">
        <v>0.78</v>
      </c>
      <c r="H990" s="4">
        <v>0.18</v>
      </c>
      <c r="I990" s="4">
        <v>0.12</v>
      </c>
      <c r="J990" s="4">
        <v>108.35</v>
      </c>
      <c r="K990" s="4">
        <v>26.14</v>
      </c>
      <c r="L990" s="4">
        <v>14.9</v>
      </c>
      <c r="M990" s="4">
        <f t="shared" si="45"/>
        <v>-0.60000000000000009</v>
      </c>
      <c r="N990" s="4">
        <f t="shared" si="46"/>
        <v>-82.21</v>
      </c>
      <c r="O990" s="4">
        <f t="shared" si="47"/>
        <v>-0.06</v>
      </c>
      <c r="P990" s="3" t="s">
        <v>19</v>
      </c>
    </row>
    <row r="991" spans="1:16" x14ac:dyDescent="0.35">
      <c r="A991" s="3" t="s">
        <v>16</v>
      </c>
      <c r="B991" s="3" t="str">
        <f>INDEX(State_Region!$B$2:$B$26,MATCH(TRIM(A991),State_Region!$A$2:$A$26,0))</f>
        <v>West</v>
      </c>
      <c r="C991" s="3" t="s">
        <v>115</v>
      </c>
      <c r="D991" s="3" t="str">
        <f>INDEX(Port_Type!$B$2:$B$227,MATCH(TRIM(C991),Port_Type!$A$2:$A$227,0))</f>
        <v>Inland ICD / CFS</v>
      </c>
      <c r="E991" s="3" t="s">
        <v>48</v>
      </c>
      <c r="F991" s="3" t="str">
        <f>INDEX(Product_Category!$B$2:$B$45,MATCH(TRIM(E991),Product_Category!$A$2:$A$45,0))</f>
        <v>Processed Foods</v>
      </c>
      <c r="G991" s="4">
        <v>0.06</v>
      </c>
      <c r="H991" s="4">
        <v>0.35</v>
      </c>
      <c r="I991" s="4">
        <v>0.12</v>
      </c>
      <c r="J991" s="4">
        <v>37.06</v>
      </c>
      <c r="K991" s="4">
        <v>277.89999999999998</v>
      </c>
      <c r="L991" s="4">
        <v>119.77</v>
      </c>
      <c r="M991" s="4">
        <f t="shared" si="45"/>
        <v>0.28999999999999998</v>
      </c>
      <c r="N991" s="4">
        <f t="shared" si="46"/>
        <v>240.83999999999997</v>
      </c>
      <c r="O991" s="4">
        <f t="shared" si="47"/>
        <v>-0.22999999999999998</v>
      </c>
      <c r="P991" s="3" t="s">
        <v>19</v>
      </c>
    </row>
    <row r="992" spans="1:16" x14ac:dyDescent="0.35">
      <c r="A992" s="3" t="s">
        <v>23</v>
      </c>
      <c r="B992" s="3" t="str">
        <f>INDEX(State_Region!$B$2:$B$26,MATCH(TRIM(A992),State_Region!$A$2:$A$26,0))</f>
        <v>North</v>
      </c>
      <c r="C992" s="3" t="s">
        <v>228</v>
      </c>
      <c r="D992" s="3" t="str">
        <f>INDEX(Port_Type!$B$2:$B$227,MATCH(TRIM(C992),Port_Type!$A$2:$A$227,0))</f>
        <v>SEZ / EPZ</v>
      </c>
      <c r="E992" s="3" t="s">
        <v>60</v>
      </c>
      <c r="F992" s="3" t="str">
        <f>INDEX(Product_Category!$B$2:$B$45,MATCH(TRIM(E992),Product_Category!$A$2:$A$45,0))</f>
        <v>Processed Foods</v>
      </c>
      <c r="G992" s="4">
        <v>0</v>
      </c>
      <c r="H992" s="4">
        <v>0</v>
      </c>
      <c r="I992" s="4">
        <v>0.12</v>
      </c>
      <c r="J992" s="4">
        <v>0</v>
      </c>
      <c r="K992" s="4">
        <v>0</v>
      </c>
      <c r="L992" s="4">
        <v>12.6</v>
      </c>
      <c r="M992" s="4">
        <f t="shared" si="45"/>
        <v>0</v>
      </c>
      <c r="N992" s="4">
        <f t="shared" si="46"/>
        <v>0</v>
      </c>
      <c r="O992" s="4">
        <f t="shared" si="47"/>
        <v>0.12</v>
      </c>
      <c r="P992" s="3" t="s">
        <v>19</v>
      </c>
    </row>
    <row r="993" spans="1:16" x14ac:dyDescent="0.35">
      <c r="A993" s="3" t="s">
        <v>35</v>
      </c>
      <c r="B993" s="3" t="str">
        <f>INDEX(State_Region!$B$2:$B$26,MATCH(TRIM(A993),State_Region!$A$2:$A$26,0))</f>
        <v>North</v>
      </c>
      <c r="C993" s="3" t="s">
        <v>38</v>
      </c>
      <c r="D993" s="3" t="str">
        <f>INDEX(Port_Type!$B$2:$B$227,MATCH(TRIM(C993),Port_Type!$A$2:$A$227,0))</f>
        <v>Inland ICD / CFS</v>
      </c>
      <c r="E993" s="3" t="s">
        <v>142</v>
      </c>
      <c r="F993" s="3" t="str">
        <f>INDEX(Product_Category!$B$2:$B$45,MATCH(TRIM(E993),Product_Category!$A$2:$A$45,0))</f>
        <v>Nuts &amp; Oilseeds</v>
      </c>
      <c r="G993" s="4">
        <v>0</v>
      </c>
      <c r="H993" s="4">
        <v>0</v>
      </c>
      <c r="I993" s="4">
        <v>0.12</v>
      </c>
      <c r="J993" s="4">
        <v>0</v>
      </c>
      <c r="K993" s="4">
        <v>0</v>
      </c>
      <c r="L993" s="4">
        <v>158.51</v>
      </c>
      <c r="M993" s="4">
        <f t="shared" si="45"/>
        <v>0</v>
      </c>
      <c r="N993" s="4">
        <f t="shared" si="46"/>
        <v>0</v>
      </c>
      <c r="O993" s="4">
        <f t="shared" si="47"/>
        <v>0.12</v>
      </c>
      <c r="P993" s="3" t="s">
        <v>19</v>
      </c>
    </row>
    <row r="994" spans="1:16" x14ac:dyDescent="0.35">
      <c r="A994" s="3" t="s">
        <v>94</v>
      </c>
      <c r="B994" s="3" t="str">
        <f>INDEX(State_Region!$B$2:$B$26,MATCH(TRIM(A994),State_Region!$A$2:$A$26,0))</f>
        <v>East</v>
      </c>
      <c r="C994" s="3" t="s">
        <v>112</v>
      </c>
      <c r="D994" s="3" t="str">
        <f>INDEX(Port_Type!$B$2:$B$227,MATCH(TRIM(C994),Port_Type!$A$2:$A$227,0))</f>
        <v>Land Border / Rail</v>
      </c>
      <c r="E994" s="3" t="s">
        <v>65</v>
      </c>
      <c r="F994" s="3" t="str">
        <f>INDEX(Product_Category!$B$2:$B$45,MATCH(TRIM(E994),Product_Category!$A$2:$A$45,0))</f>
        <v>Cereals &amp; Grains</v>
      </c>
      <c r="G994" s="4">
        <v>0.34</v>
      </c>
      <c r="H994" s="4">
        <v>0.37</v>
      </c>
      <c r="I994" s="4">
        <v>0.12</v>
      </c>
      <c r="J994" s="4">
        <v>939.14</v>
      </c>
      <c r="K994" s="4">
        <v>1107</v>
      </c>
      <c r="L994" s="4">
        <v>410</v>
      </c>
      <c r="M994" s="4">
        <f t="shared" si="45"/>
        <v>2.9999999999999971E-2</v>
      </c>
      <c r="N994" s="4">
        <f t="shared" si="46"/>
        <v>167.86</v>
      </c>
      <c r="O994" s="4">
        <f t="shared" si="47"/>
        <v>-0.25</v>
      </c>
      <c r="P994" s="3" t="s">
        <v>19</v>
      </c>
    </row>
    <row r="995" spans="1:16" x14ac:dyDescent="0.35">
      <c r="A995" s="3" t="s">
        <v>31</v>
      </c>
      <c r="B995" s="3" t="str">
        <f>INDEX(State_Region!$B$2:$B$26,MATCH(TRIM(A995),State_Region!$A$2:$A$26,0))</f>
        <v>East</v>
      </c>
      <c r="C995" s="3" t="s">
        <v>152</v>
      </c>
      <c r="D995" s="3" t="str">
        <f>INDEX(Port_Type!$B$2:$B$227,MATCH(TRIM(C995),Port_Type!$A$2:$A$227,0))</f>
        <v>Land Border / Rail</v>
      </c>
      <c r="E995" s="3" t="s">
        <v>48</v>
      </c>
      <c r="F995" s="3" t="str">
        <f>INDEX(Product_Category!$B$2:$B$45,MATCH(TRIM(E995),Product_Category!$A$2:$A$45,0))</f>
        <v>Processed Foods</v>
      </c>
      <c r="G995" s="4">
        <v>0</v>
      </c>
      <c r="H995" s="4">
        <v>0</v>
      </c>
      <c r="I995" s="4">
        <v>0.12</v>
      </c>
      <c r="J995" s="4">
        <v>0</v>
      </c>
      <c r="K995" s="4">
        <v>0</v>
      </c>
      <c r="L995" s="4">
        <v>210.03</v>
      </c>
      <c r="M995" s="4">
        <f t="shared" si="45"/>
        <v>0</v>
      </c>
      <c r="N995" s="4">
        <f t="shared" si="46"/>
        <v>0</v>
      </c>
      <c r="O995" s="4">
        <f t="shared" si="47"/>
        <v>0.12</v>
      </c>
      <c r="P995" s="3" t="s">
        <v>19</v>
      </c>
    </row>
    <row r="996" spans="1:16" x14ac:dyDescent="0.35">
      <c r="A996" s="3" t="s">
        <v>159</v>
      </c>
      <c r="B996" s="3" t="str">
        <f>INDEX(State_Region!$B$2:$B$26,MATCH(TRIM(A996),State_Region!$A$2:$A$26,0))</f>
        <v>North-East</v>
      </c>
      <c r="C996" s="3" t="s">
        <v>160</v>
      </c>
      <c r="D996" s="3" t="str">
        <f>INDEX(Port_Type!$B$2:$B$227,MATCH(TRIM(C996),Port_Type!$A$2:$A$227,0))</f>
        <v>Land Border / Rail</v>
      </c>
      <c r="E996" s="3" t="s">
        <v>33</v>
      </c>
      <c r="F996" s="3" t="str">
        <f>INDEX(Product_Category!$B$2:$B$45,MATCH(TRIM(E996),Product_Category!$A$2:$A$45,0))</f>
        <v>Pulses</v>
      </c>
      <c r="G996" s="4">
        <v>0</v>
      </c>
      <c r="H996" s="4">
        <v>0.28000000000000003</v>
      </c>
      <c r="I996" s="4">
        <v>0.12</v>
      </c>
      <c r="J996" s="4">
        <v>4.93</v>
      </c>
      <c r="K996" s="4">
        <v>313.48</v>
      </c>
      <c r="L996" s="4">
        <v>154.97</v>
      </c>
      <c r="M996" s="4">
        <f t="shared" si="45"/>
        <v>0.28000000000000003</v>
      </c>
      <c r="N996" s="4">
        <f t="shared" si="46"/>
        <v>308.55</v>
      </c>
      <c r="O996" s="4">
        <f t="shared" si="47"/>
        <v>-0.16000000000000003</v>
      </c>
      <c r="P996" s="3" t="s">
        <v>19</v>
      </c>
    </row>
    <row r="997" spans="1:16" x14ac:dyDescent="0.35">
      <c r="A997" s="3" t="s">
        <v>31</v>
      </c>
      <c r="B997" s="3" t="str">
        <f>INDEX(State_Region!$B$2:$B$26,MATCH(TRIM(A997),State_Region!$A$2:$A$26,0))</f>
        <v>East</v>
      </c>
      <c r="C997" s="3" t="s">
        <v>146</v>
      </c>
      <c r="D997" s="3" t="str">
        <f>INDEX(Port_Type!$B$2:$B$227,MATCH(TRIM(C997),Port_Type!$A$2:$A$227,0))</f>
        <v>Land Border / Rail</v>
      </c>
      <c r="E997" s="3" t="s">
        <v>118</v>
      </c>
      <c r="F997" s="3" t="str">
        <f>INDEX(Product_Category!$B$2:$B$45,MATCH(TRIM(E997),Product_Category!$A$2:$A$45,0))</f>
        <v>Dairy, Poultry &amp; Honey</v>
      </c>
      <c r="G997" s="4">
        <v>0</v>
      </c>
      <c r="H997" s="4">
        <v>0.17</v>
      </c>
      <c r="I997" s="4">
        <v>0.12</v>
      </c>
      <c r="J997" s="4">
        <v>0</v>
      </c>
      <c r="K997" s="4">
        <v>85.2</v>
      </c>
      <c r="L997" s="4">
        <v>60</v>
      </c>
      <c r="M997" s="4">
        <f t="shared" si="45"/>
        <v>0.17</v>
      </c>
      <c r="N997" s="4">
        <f t="shared" si="46"/>
        <v>85.2</v>
      </c>
      <c r="O997" s="4">
        <f t="shared" si="47"/>
        <v>-5.0000000000000017E-2</v>
      </c>
      <c r="P997" s="3" t="s">
        <v>19</v>
      </c>
    </row>
    <row r="998" spans="1:16" x14ac:dyDescent="0.35">
      <c r="A998" s="3" t="s">
        <v>16</v>
      </c>
      <c r="B998" s="3" t="str">
        <f>INDEX(State_Region!$B$2:$B$26,MATCH(TRIM(A998),State_Region!$A$2:$A$26,0))</f>
        <v>West</v>
      </c>
      <c r="C998" s="3" t="s">
        <v>89</v>
      </c>
      <c r="D998" s="3" t="str">
        <f>INDEX(Port_Type!$B$2:$B$227,MATCH(TRIM(C998),Port_Type!$A$2:$A$227,0))</f>
        <v>Inland ICD / CFS</v>
      </c>
      <c r="E998" s="3" t="s">
        <v>18</v>
      </c>
      <c r="F998" s="3" t="str">
        <f>INDEX(Product_Category!$B$2:$B$45,MATCH(TRIM(E998),Product_Category!$A$2:$A$45,0))</f>
        <v>Cereals &amp; Grains</v>
      </c>
      <c r="G998" s="4">
        <v>2.2400000000000002</v>
      </c>
      <c r="H998" s="4">
        <v>1.1499999999999999</v>
      </c>
      <c r="I998" s="4">
        <v>0.12</v>
      </c>
      <c r="J998" s="4">
        <v>1710.76</v>
      </c>
      <c r="K998" s="4">
        <v>1140.83</v>
      </c>
      <c r="L998" s="4">
        <v>90.57</v>
      </c>
      <c r="M998" s="4">
        <f t="shared" si="45"/>
        <v>-1.0900000000000003</v>
      </c>
      <c r="N998" s="4">
        <f t="shared" si="46"/>
        <v>-569.93000000000006</v>
      </c>
      <c r="O998" s="4">
        <f t="shared" si="47"/>
        <v>-1.0299999999999998</v>
      </c>
      <c r="P998" s="3" t="s">
        <v>19</v>
      </c>
    </row>
    <row r="999" spans="1:16" x14ac:dyDescent="0.35">
      <c r="A999" s="3" t="s">
        <v>40</v>
      </c>
      <c r="B999" s="3" t="str">
        <f>INDEX(State_Region!$B$2:$B$26,MATCH(TRIM(A999),State_Region!$A$2:$A$26,0))</f>
        <v>South</v>
      </c>
      <c r="C999" s="3" t="s">
        <v>205</v>
      </c>
      <c r="D999" s="3" t="str">
        <f>INDEX(Port_Type!$B$2:$B$227,MATCH(TRIM(C999),Port_Type!$A$2:$A$227,0))</f>
        <v>Inland ICD / CFS</v>
      </c>
      <c r="E999" s="3" t="s">
        <v>45</v>
      </c>
      <c r="F999" s="3" t="str">
        <f>INDEX(Product_Category!$B$2:$B$45,MATCH(TRIM(E999),Product_Category!$A$2:$A$45,0))</f>
        <v>Fresh Fruits &amp; Vegetables</v>
      </c>
      <c r="G999" s="4">
        <v>0</v>
      </c>
      <c r="H999" s="4">
        <v>1.19</v>
      </c>
      <c r="I999" s="4">
        <v>0.12</v>
      </c>
      <c r="J999" s="4">
        <v>0.02</v>
      </c>
      <c r="K999" s="4">
        <v>1327.49</v>
      </c>
      <c r="L999" s="4">
        <v>183.19</v>
      </c>
      <c r="M999" s="4">
        <f t="shared" si="45"/>
        <v>1.19</v>
      </c>
      <c r="N999" s="4">
        <f t="shared" si="46"/>
        <v>1327.47</v>
      </c>
      <c r="O999" s="4">
        <f t="shared" si="47"/>
        <v>-1.0699999999999998</v>
      </c>
      <c r="P999" s="3" t="s">
        <v>19</v>
      </c>
    </row>
    <row r="1000" spans="1:16" x14ac:dyDescent="0.35">
      <c r="A1000" s="3" t="s">
        <v>16</v>
      </c>
      <c r="B1000" s="3" t="str">
        <f>INDEX(State_Region!$B$2:$B$26,MATCH(TRIM(A1000),State_Region!$A$2:$A$26,0))</f>
        <v>West</v>
      </c>
      <c r="C1000" s="3" t="s">
        <v>90</v>
      </c>
      <c r="D1000" s="3" t="str">
        <f>INDEX(Port_Type!$B$2:$B$227,MATCH(TRIM(C1000),Port_Type!$A$2:$A$227,0))</f>
        <v>Inland ICD / CFS</v>
      </c>
      <c r="E1000" s="3" t="s">
        <v>126</v>
      </c>
      <c r="F1000" s="3" t="str">
        <f>INDEX(Product_Category!$B$2:$B$45,MATCH(TRIM(E1000),Product_Category!$A$2:$A$45,0))</f>
        <v>Cereals &amp; Grains</v>
      </c>
      <c r="G1000" s="4">
        <v>0.39</v>
      </c>
      <c r="H1000" s="4">
        <v>0.31</v>
      </c>
      <c r="I1000" s="4">
        <v>0.12</v>
      </c>
      <c r="J1000" s="4">
        <v>208.51</v>
      </c>
      <c r="K1000" s="4">
        <v>271.77999999999997</v>
      </c>
      <c r="L1000" s="4">
        <v>89.91</v>
      </c>
      <c r="M1000" s="4">
        <f t="shared" si="45"/>
        <v>-8.0000000000000016E-2</v>
      </c>
      <c r="N1000" s="4">
        <f t="shared" si="46"/>
        <v>63.269999999999982</v>
      </c>
      <c r="O1000" s="4">
        <f t="shared" si="47"/>
        <v>-0.19</v>
      </c>
      <c r="P1000" s="3" t="s">
        <v>19</v>
      </c>
    </row>
    <row r="1001" spans="1:16" x14ac:dyDescent="0.35">
      <c r="A1001" s="3" t="s">
        <v>94</v>
      </c>
      <c r="B1001" s="3" t="str">
        <f>INDEX(State_Region!$B$2:$B$26,MATCH(TRIM(A1001),State_Region!$A$2:$A$26,0))</f>
        <v>East</v>
      </c>
      <c r="C1001" s="3" t="s">
        <v>112</v>
      </c>
      <c r="D1001" s="3" t="str">
        <f>INDEX(Port_Type!$B$2:$B$227,MATCH(TRIM(C1001),Port_Type!$A$2:$A$227,0))</f>
        <v>Land Border / Rail</v>
      </c>
      <c r="E1001" s="3" t="s">
        <v>54</v>
      </c>
      <c r="F1001" s="3" t="str">
        <f>INDEX(Product_Category!$B$2:$B$45,MATCH(TRIM(E1001),Product_Category!$A$2:$A$45,0))</f>
        <v>Processed Foods</v>
      </c>
      <c r="G1001" s="4">
        <v>0.55000000000000004</v>
      </c>
      <c r="H1001" s="4">
        <v>0.57999999999999996</v>
      </c>
      <c r="I1001" s="4">
        <v>0.12</v>
      </c>
      <c r="J1001" s="4">
        <v>507.37</v>
      </c>
      <c r="K1001" s="4">
        <v>433.23</v>
      </c>
      <c r="L1001" s="4">
        <v>167.61</v>
      </c>
      <c r="M1001" s="4">
        <f t="shared" si="45"/>
        <v>2.9999999999999916E-2</v>
      </c>
      <c r="N1001" s="4">
        <f t="shared" si="46"/>
        <v>-74.139999999999986</v>
      </c>
      <c r="O1001" s="4">
        <f t="shared" si="47"/>
        <v>-0.45999999999999996</v>
      </c>
      <c r="P1001" s="3" t="s">
        <v>19</v>
      </c>
    </row>
    <row r="1002" spans="1:16" x14ac:dyDescent="0.35">
      <c r="A1002" s="3" t="s">
        <v>79</v>
      </c>
      <c r="B1002" s="3" t="str">
        <f>INDEX(State_Region!$B$2:$B$26,MATCH(TRIM(A1002),State_Region!$A$2:$A$26,0))</f>
        <v>South</v>
      </c>
      <c r="C1002" s="3" t="s">
        <v>91</v>
      </c>
      <c r="D1002" s="3" t="str">
        <f>INDEX(Port_Type!$B$2:$B$227,MATCH(TRIM(C1002),Port_Type!$A$2:$A$227,0))</f>
        <v>Sea Port</v>
      </c>
      <c r="E1002" s="3" t="s">
        <v>62</v>
      </c>
      <c r="F1002" s="3" t="str">
        <f>INDEX(Product_Category!$B$2:$B$45,MATCH(TRIM(E1002),Product_Category!$A$2:$A$45,0))</f>
        <v>Cereals &amp; Grains</v>
      </c>
      <c r="G1002" s="4">
        <v>0</v>
      </c>
      <c r="H1002" s="4">
        <v>0.15</v>
      </c>
      <c r="I1002" s="4">
        <v>0.12</v>
      </c>
      <c r="J1002" s="4">
        <v>0</v>
      </c>
      <c r="K1002" s="4">
        <v>556.5</v>
      </c>
      <c r="L1002" s="4">
        <v>443.5</v>
      </c>
      <c r="M1002" s="4">
        <f t="shared" si="45"/>
        <v>0.15</v>
      </c>
      <c r="N1002" s="4">
        <f t="shared" si="46"/>
        <v>556.5</v>
      </c>
      <c r="O1002" s="4">
        <f t="shared" si="47"/>
        <v>-0.03</v>
      </c>
      <c r="P1002" s="3" t="s">
        <v>19</v>
      </c>
    </row>
    <row r="1003" spans="1:16" x14ac:dyDescent="0.35">
      <c r="A1003" s="3" t="s">
        <v>66</v>
      </c>
      <c r="B1003" s="3" t="str">
        <f>INDEX(State_Region!$B$2:$B$26,MATCH(TRIM(A1003),State_Region!$A$2:$A$26,0))</f>
        <v>North</v>
      </c>
      <c r="C1003" s="3" t="s">
        <v>127</v>
      </c>
      <c r="D1003" s="3" t="str">
        <f>INDEX(Port_Type!$B$2:$B$227,MATCH(TRIM(C1003),Port_Type!$A$2:$A$227,0))</f>
        <v>Inland ICD / CFS</v>
      </c>
      <c r="E1003" s="3" t="s">
        <v>54</v>
      </c>
      <c r="F1003" s="3" t="str">
        <f>INDEX(Product_Category!$B$2:$B$45,MATCH(TRIM(E1003),Product_Category!$A$2:$A$45,0))</f>
        <v>Processed Foods</v>
      </c>
      <c r="G1003" s="4">
        <v>0.16</v>
      </c>
      <c r="H1003" s="4">
        <v>0.28000000000000003</v>
      </c>
      <c r="I1003" s="4">
        <v>0.12</v>
      </c>
      <c r="J1003" s="4">
        <v>68.23</v>
      </c>
      <c r="K1003" s="4">
        <v>128.25</v>
      </c>
      <c r="L1003" s="4">
        <v>47.99</v>
      </c>
      <c r="M1003" s="4">
        <f t="shared" si="45"/>
        <v>0.12000000000000002</v>
      </c>
      <c r="N1003" s="4">
        <f t="shared" si="46"/>
        <v>60.019999999999996</v>
      </c>
      <c r="O1003" s="4">
        <f t="shared" si="47"/>
        <v>-0.16000000000000003</v>
      </c>
      <c r="P1003" s="3" t="s">
        <v>19</v>
      </c>
    </row>
    <row r="1004" spans="1:16" x14ac:dyDescent="0.35">
      <c r="A1004" s="3" t="s">
        <v>20</v>
      </c>
      <c r="B1004" s="3" t="str">
        <f>INDEX(State_Region!$B$2:$B$26,MATCH(TRIM(A1004),State_Region!$A$2:$A$26,0))</f>
        <v>West</v>
      </c>
      <c r="C1004" s="3" t="s">
        <v>68</v>
      </c>
      <c r="D1004" s="3" t="str">
        <f>INDEX(Port_Type!$B$2:$B$227,MATCH(TRIM(C1004),Port_Type!$A$2:$A$227,0))</f>
        <v>Air Cargo</v>
      </c>
      <c r="E1004" s="3" t="s">
        <v>48</v>
      </c>
      <c r="F1004" s="3" t="str">
        <f>INDEX(Product_Category!$B$2:$B$45,MATCH(TRIM(E1004),Product_Category!$A$2:$A$45,0))</f>
        <v>Processed Foods</v>
      </c>
      <c r="G1004" s="4">
        <v>0.32</v>
      </c>
      <c r="H1004" s="4">
        <v>1.31</v>
      </c>
      <c r="I1004" s="4">
        <v>0.12</v>
      </c>
      <c r="J1004" s="4">
        <v>53.97</v>
      </c>
      <c r="K1004" s="4">
        <v>293.29000000000002</v>
      </c>
      <c r="L1004" s="4">
        <v>34.340000000000003</v>
      </c>
      <c r="M1004" s="4">
        <f t="shared" si="45"/>
        <v>0.99</v>
      </c>
      <c r="N1004" s="4">
        <f t="shared" si="46"/>
        <v>239.32000000000002</v>
      </c>
      <c r="O1004" s="4">
        <f t="shared" si="47"/>
        <v>-1.19</v>
      </c>
      <c r="P1004" s="3" t="s">
        <v>19</v>
      </c>
    </row>
    <row r="1005" spans="1:16" x14ac:dyDescent="0.35">
      <c r="A1005" s="3" t="s">
        <v>35</v>
      </c>
      <c r="B1005" s="3" t="str">
        <f>INDEX(State_Region!$B$2:$B$26,MATCH(TRIM(A1005),State_Region!$A$2:$A$26,0))</f>
        <v>North</v>
      </c>
      <c r="C1005" s="3" t="s">
        <v>37</v>
      </c>
      <c r="D1005" s="3" t="str">
        <f>INDEX(Port_Type!$B$2:$B$227,MATCH(TRIM(C1005),Port_Type!$A$2:$A$227,0))</f>
        <v>Inland ICD / CFS</v>
      </c>
      <c r="E1005" s="3" t="s">
        <v>125</v>
      </c>
      <c r="F1005" s="3" t="str">
        <f>INDEX(Product_Category!$B$2:$B$45,MATCH(TRIM(E1005),Product_Category!$A$2:$A$45,0))</f>
        <v>Meat &amp; Animal Products</v>
      </c>
      <c r="G1005" s="4">
        <v>0.06</v>
      </c>
      <c r="H1005" s="4">
        <v>2.4500000000000002</v>
      </c>
      <c r="I1005" s="4">
        <v>0.12</v>
      </c>
      <c r="J1005" s="4">
        <v>35.4</v>
      </c>
      <c r="K1005" s="4">
        <v>514</v>
      </c>
      <c r="L1005" s="4">
        <v>54</v>
      </c>
      <c r="M1005" s="4">
        <f t="shared" si="45"/>
        <v>2.39</v>
      </c>
      <c r="N1005" s="4">
        <f t="shared" si="46"/>
        <v>478.6</v>
      </c>
      <c r="O1005" s="4">
        <f t="shared" si="47"/>
        <v>-2.33</v>
      </c>
      <c r="P1005" s="3" t="s">
        <v>19</v>
      </c>
    </row>
    <row r="1006" spans="1:16" x14ac:dyDescent="0.35">
      <c r="A1006" s="3" t="s">
        <v>23</v>
      </c>
      <c r="B1006" s="3" t="str">
        <f>INDEX(State_Region!$B$2:$B$26,MATCH(TRIM(A1006),State_Region!$A$2:$A$26,0))</f>
        <v>North</v>
      </c>
      <c r="C1006" s="3" t="s">
        <v>124</v>
      </c>
      <c r="D1006" s="3" t="str">
        <f>INDEX(Port_Type!$B$2:$B$227,MATCH(TRIM(C1006),Port_Type!$A$2:$A$227,0))</f>
        <v>Inland ICD / CFS</v>
      </c>
      <c r="E1006" s="3" t="s">
        <v>53</v>
      </c>
      <c r="F1006" s="3" t="str">
        <f>INDEX(Product_Category!$B$2:$B$45,MATCH(TRIM(E1006),Product_Category!$A$2:$A$45,0))</f>
        <v>Processed Foods</v>
      </c>
      <c r="G1006" s="4">
        <v>0</v>
      </c>
      <c r="H1006" s="4">
        <v>0.54</v>
      </c>
      <c r="I1006" s="4">
        <v>0.12</v>
      </c>
      <c r="J1006" s="4">
        <v>0</v>
      </c>
      <c r="K1006" s="4">
        <v>1893.96</v>
      </c>
      <c r="L1006" s="4">
        <v>440.28</v>
      </c>
      <c r="M1006" s="4">
        <f t="shared" si="45"/>
        <v>0.54</v>
      </c>
      <c r="N1006" s="4">
        <f t="shared" si="46"/>
        <v>1893.96</v>
      </c>
      <c r="O1006" s="4">
        <f t="shared" si="47"/>
        <v>-0.42000000000000004</v>
      </c>
      <c r="P1006" s="3" t="s">
        <v>19</v>
      </c>
    </row>
    <row r="1007" spans="1:16" x14ac:dyDescent="0.35">
      <c r="A1007" s="3" t="s">
        <v>23</v>
      </c>
      <c r="B1007" s="3" t="str">
        <f>INDEX(State_Region!$B$2:$B$26,MATCH(TRIM(A1007),State_Region!$A$2:$A$26,0))</f>
        <v>North</v>
      </c>
      <c r="C1007" s="3" t="s">
        <v>34</v>
      </c>
      <c r="D1007" s="3" t="str">
        <f>INDEX(Port_Type!$B$2:$B$227,MATCH(TRIM(C1007),Port_Type!$A$2:$A$227,0))</f>
        <v>Inland ICD / CFS</v>
      </c>
      <c r="E1007" s="3" t="s">
        <v>53</v>
      </c>
      <c r="F1007" s="3" t="str">
        <f>INDEX(Product_Category!$B$2:$B$45,MATCH(TRIM(E1007),Product_Category!$A$2:$A$45,0))</f>
        <v>Processed Foods</v>
      </c>
      <c r="G1007" s="4">
        <v>0.01</v>
      </c>
      <c r="H1007" s="4">
        <v>0.59</v>
      </c>
      <c r="I1007" s="4">
        <v>0.12</v>
      </c>
      <c r="J1007" s="4">
        <v>28.73</v>
      </c>
      <c r="K1007" s="4">
        <v>1210.94</v>
      </c>
      <c r="L1007" s="4">
        <v>268.93</v>
      </c>
      <c r="M1007" s="4">
        <f t="shared" si="45"/>
        <v>0.57999999999999996</v>
      </c>
      <c r="N1007" s="4">
        <f t="shared" si="46"/>
        <v>1182.21</v>
      </c>
      <c r="O1007" s="4">
        <f t="shared" si="47"/>
        <v>-0.47</v>
      </c>
      <c r="P1007" s="3" t="s">
        <v>19</v>
      </c>
    </row>
    <row r="1008" spans="1:16" x14ac:dyDescent="0.35">
      <c r="A1008" s="3" t="s">
        <v>31</v>
      </c>
      <c r="B1008" s="3" t="str">
        <f>INDEX(State_Region!$B$2:$B$26,MATCH(TRIM(A1008),State_Region!$A$2:$A$26,0))</f>
        <v>East</v>
      </c>
      <c r="C1008" s="3" t="s">
        <v>32</v>
      </c>
      <c r="D1008" s="3" t="str">
        <f>INDEX(Port_Type!$B$2:$B$227,MATCH(TRIM(C1008),Port_Type!$A$2:$A$227,0))</f>
        <v>Sea Port</v>
      </c>
      <c r="E1008" s="3" t="s">
        <v>18</v>
      </c>
      <c r="F1008" s="3" t="str">
        <f>INDEX(Product_Category!$B$2:$B$45,MATCH(TRIM(E1008),Product_Category!$A$2:$A$45,0))</f>
        <v>Cereals &amp; Grains</v>
      </c>
      <c r="G1008" s="4">
        <v>0.06</v>
      </c>
      <c r="H1008" s="4">
        <v>0.6</v>
      </c>
      <c r="I1008" s="4">
        <v>0.12</v>
      </c>
      <c r="J1008" s="4">
        <v>59.27</v>
      </c>
      <c r="K1008" s="4">
        <v>452.54</v>
      </c>
      <c r="L1008" s="4">
        <v>91.37</v>
      </c>
      <c r="M1008" s="4">
        <f t="shared" si="45"/>
        <v>0.54</v>
      </c>
      <c r="N1008" s="4">
        <f t="shared" si="46"/>
        <v>393.27000000000004</v>
      </c>
      <c r="O1008" s="4">
        <f t="shared" si="47"/>
        <v>-0.48</v>
      </c>
      <c r="P1008" s="3" t="s">
        <v>19</v>
      </c>
    </row>
    <row r="1009" spans="1:16" x14ac:dyDescent="0.35">
      <c r="A1009" s="3" t="s">
        <v>94</v>
      </c>
      <c r="B1009" s="3" t="str">
        <f>INDEX(State_Region!$B$2:$B$26,MATCH(TRIM(A1009),State_Region!$A$2:$A$26,0))</f>
        <v>East</v>
      </c>
      <c r="C1009" s="3" t="s">
        <v>188</v>
      </c>
      <c r="D1009" s="3" t="str">
        <f>INDEX(Port_Type!$B$2:$B$227,MATCH(TRIM(C1009),Port_Type!$A$2:$A$227,0))</f>
        <v>Land Border / Rail</v>
      </c>
      <c r="E1009" s="3" t="s">
        <v>53</v>
      </c>
      <c r="F1009" s="3" t="str">
        <f>INDEX(Product_Category!$B$2:$B$45,MATCH(TRIM(E1009),Product_Category!$A$2:$A$45,0))</f>
        <v>Processed Foods</v>
      </c>
      <c r="G1009" s="4">
        <v>0.34</v>
      </c>
      <c r="H1009" s="4">
        <v>0.4</v>
      </c>
      <c r="I1009" s="4">
        <v>0.12</v>
      </c>
      <c r="J1009" s="4">
        <v>436.75</v>
      </c>
      <c r="K1009" s="4">
        <v>642.07000000000005</v>
      </c>
      <c r="L1009" s="4">
        <v>175.5</v>
      </c>
      <c r="M1009" s="4">
        <f t="shared" si="45"/>
        <v>0.06</v>
      </c>
      <c r="N1009" s="4">
        <f t="shared" si="46"/>
        <v>205.32000000000005</v>
      </c>
      <c r="O1009" s="4">
        <f t="shared" si="47"/>
        <v>-0.28000000000000003</v>
      </c>
      <c r="P1009" s="3" t="s">
        <v>19</v>
      </c>
    </row>
    <row r="1010" spans="1:16" x14ac:dyDescent="0.35">
      <c r="A1010" s="3" t="s">
        <v>35</v>
      </c>
      <c r="B1010" s="3" t="str">
        <f>INDEX(State_Region!$B$2:$B$26,MATCH(TRIM(A1010),State_Region!$A$2:$A$26,0))</f>
        <v>North</v>
      </c>
      <c r="C1010" s="3" t="s">
        <v>165</v>
      </c>
      <c r="D1010" s="3" t="str">
        <f>INDEX(Port_Type!$B$2:$B$227,MATCH(TRIM(C1010),Port_Type!$A$2:$A$227,0))</f>
        <v>Inland ICD / CFS</v>
      </c>
      <c r="E1010" s="3" t="s">
        <v>53</v>
      </c>
      <c r="F1010" s="3" t="str">
        <f>INDEX(Product_Category!$B$2:$B$45,MATCH(TRIM(E1010),Product_Category!$A$2:$A$45,0))</f>
        <v>Processed Foods</v>
      </c>
      <c r="G1010" s="4">
        <v>0.01</v>
      </c>
      <c r="H1010" s="4">
        <v>0.45</v>
      </c>
      <c r="I1010" s="4">
        <v>0.12</v>
      </c>
      <c r="J1010" s="4">
        <v>7.05</v>
      </c>
      <c r="K1010" s="4">
        <v>334.15</v>
      </c>
      <c r="L1010" s="4">
        <v>77.67</v>
      </c>
      <c r="M1010" s="4">
        <f t="shared" si="45"/>
        <v>0.44</v>
      </c>
      <c r="N1010" s="4">
        <f t="shared" si="46"/>
        <v>327.09999999999997</v>
      </c>
      <c r="O1010" s="4">
        <f t="shared" si="47"/>
        <v>-0.33</v>
      </c>
      <c r="P1010" s="3" t="s">
        <v>19</v>
      </c>
    </row>
    <row r="1011" spans="1:16" x14ac:dyDescent="0.35">
      <c r="A1011" s="3" t="s">
        <v>57</v>
      </c>
      <c r="B1011" s="3" t="str">
        <f>INDEX(State_Region!$B$2:$B$26,MATCH(TRIM(A1011),State_Region!$A$2:$A$26,0))</f>
        <v>Central</v>
      </c>
      <c r="C1011" s="3" t="s">
        <v>175</v>
      </c>
      <c r="D1011" s="3" t="str">
        <f>INDEX(Port_Type!$B$2:$B$227,MATCH(TRIM(C1011),Port_Type!$A$2:$A$227,0))</f>
        <v>Inland ICD / CFS</v>
      </c>
      <c r="E1011" s="3" t="s">
        <v>42</v>
      </c>
      <c r="F1011" s="3" t="str">
        <f>INDEX(Product_Category!$B$2:$B$45,MATCH(TRIM(E1011),Product_Category!$A$2:$A$45,0))</f>
        <v>Processed Foods</v>
      </c>
      <c r="G1011" s="4">
        <v>0.04</v>
      </c>
      <c r="H1011" s="4">
        <v>0.43</v>
      </c>
      <c r="I1011" s="4">
        <v>0.12</v>
      </c>
      <c r="J1011" s="4">
        <v>12.16</v>
      </c>
      <c r="K1011" s="4">
        <v>122.72</v>
      </c>
      <c r="L1011" s="4">
        <v>33.94</v>
      </c>
      <c r="M1011" s="4">
        <f t="shared" si="45"/>
        <v>0.39</v>
      </c>
      <c r="N1011" s="4">
        <f t="shared" si="46"/>
        <v>110.56</v>
      </c>
      <c r="O1011" s="4">
        <f t="shared" si="47"/>
        <v>-0.31</v>
      </c>
      <c r="P1011" s="3" t="s">
        <v>19</v>
      </c>
    </row>
    <row r="1012" spans="1:16" x14ac:dyDescent="0.35">
      <c r="A1012" s="3" t="s">
        <v>94</v>
      </c>
      <c r="B1012" s="3" t="str">
        <f>INDEX(State_Region!$B$2:$B$26,MATCH(TRIM(A1012),State_Region!$A$2:$A$26,0))</f>
        <v>East</v>
      </c>
      <c r="C1012" s="3" t="s">
        <v>188</v>
      </c>
      <c r="D1012" s="3" t="str">
        <f>INDEX(Port_Type!$B$2:$B$227,MATCH(TRIM(C1012),Port_Type!$A$2:$A$227,0))</f>
        <v>Land Border / Rail</v>
      </c>
      <c r="E1012" s="3" t="s">
        <v>83</v>
      </c>
      <c r="F1012" s="3" t="str">
        <f>INDEX(Product_Category!$B$2:$B$45,MATCH(TRIM(E1012),Product_Category!$A$2:$A$45,0))</f>
        <v>Fresh Fruits &amp; Vegetables</v>
      </c>
      <c r="G1012" s="4">
        <v>0.27</v>
      </c>
      <c r="H1012" s="4">
        <v>0.17</v>
      </c>
      <c r="I1012" s="4">
        <v>0.12</v>
      </c>
      <c r="J1012" s="4">
        <v>345.16</v>
      </c>
      <c r="K1012" s="4">
        <v>318.77</v>
      </c>
      <c r="L1012" s="4">
        <v>239.8</v>
      </c>
      <c r="M1012" s="4">
        <f t="shared" si="45"/>
        <v>-0.1</v>
      </c>
      <c r="N1012" s="4">
        <f t="shared" si="46"/>
        <v>-26.390000000000043</v>
      </c>
      <c r="O1012" s="4">
        <f t="shared" si="47"/>
        <v>-5.0000000000000017E-2</v>
      </c>
      <c r="P1012" s="3" t="s">
        <v>19</v>
      </c>
    </row>
    <row r="1013" spans="1:16" x14ac:dyDescent="0.35">
      <c r="A1013" s="3" t="s">
        <v>159</v>
      </c>
      <c r="B1013" s="3" t="str">
        <f>INDEX(State_Region!$B$2:$B$26,MATCH(TRIM(A1013),State_Region!$A$2:$A$26,0))</f>
        <v>North-East</v>
      </c>
      <c r="C1013" s="3" t="s">
        <v>160</v>
      </c>
      <c r="D1013" s="3" t="str">
        <f>INDEX(Port_Type!$B$2:$B$227,MATCH(TRIM(C1013),Port_Type!$A$2:$A$227,0))</f>
        <v>Land Border / Rail</v>
      </c>
      <c r="E1013" s="3" t="s">
        <v>45</v>
      </c>
      <c r="F1013" s="3" t="str">
        <f>INDEX(Product_Category!$B$2:$B$45,MATCH(TRIM(E1013),Product_Category!$A$2:$A$45,0))</f>
        <v>Fresh Fruits &amp; Vegetables</v>
      </c>
      <c r="G1013" s="4">
        <v>0.04</v>
      </c>
      <c r="H1013" s="4">
        <v>0.35</v>
      </c>
      <c r="I1013" s="4">
        <v>0.11</v>
      </c>
      <c r="J1013" s="4">
        <v>49.88</v>
      </c>
      <c r="K1013" s="4">
        <v>498.06</v>
      </c>
      <c r="L1013" s="4">
        <v>190.1</v>
      </c>
      <c r="M1013" s="4">
        <f t="shared" si="45"/>
        <v>0.31</v>
      </c>
      <c r="N1013" s="4">
        <f t="shared" si="46"/>
        <v>448.18</v>
      </c>
      <c r="O1013" s="4">
        <f t="shared" si="47"/>
        <v>-0.24</v>
      </c>
      <c r="P1013" s="3" t="s">
        <v>19</v>
      </c>
    </row>
    <row r="1014" spans="1:16" x14ac:dyDescent="0.35">
      <c r="A1014" s="3" t="s">
        <v>31</v>
      </c>
      <c r="B1014" s="3" t="str">
        <f>INDEX(State_Region!$B$2:$B$26,MATCH(TRIM(A1014),State_Region!$A$2:$A$26,0))</f>
        <v>East</v>
      </c>
      <c r="C1014" s="3" t="s">
        <v>215</v>
      </c>
      <c r="D1014" s="3" t="str">
        <f>INDEX(Port_Type!$B$2:$B$227,MATCH(TRIM(C1014),Port_Type!$A$2:$A$227,0))</f>
        <v>Land Border / Rail</v>
      </c>
      <c r="E1014" s="3" t="s">
        <v>62</v>
      </c>
      <c r="F1014" s="3" t="str">
        <f>INDEX(Product_Category!$B$2:$B$45,MATCH(TRIM(E1014),Product_Category!$A$2:$A$45,0))</f>
        <v>Cereals &amp; Grains</v>
      </c>
      <c r="G1014" s="4">
        <v>0.47</v>
      </c>
      <c r="H1014" s="4">
        <v>0.24</v>
      </c>
      <c r="I1014" s="4">
        <v>0.11</v>
      </c>
      <c r="J1014" s="4">
        <v>1368.84</v>
      </c>
      <c r="K1014" s="4">
        <v>926.13</v>
      </c>
      <c r="L1014" s="4">
        <v>451.86</v>
      </c>
      <c r="M1014" s="4">
        <f t="shared" si="45"/>
        <v>-0.22999999999999998</v>
      </c>
      <c r="N1014" s="4">
        <f t="shared" si="46"/>
        <v>-442.70999999999992</v>
      </c>
      <c r="O1014" s="4">
        <f t="shared" si="47"/>
        <v>-0.13</v>
      </c>
      <c r="P1014" s="3" t="s">
        <v>19</v>
      </c>
    </row>
    <row r="1015" spans="1:16" x14ac:dyDescent="0.35">
      <c r="A1015" s="3" t="s">
        <v>79</v>
      </c>
      <c r="B1015" s="3" t="str">
        <f>INDEX(State_Region!$B$2:$B$26,MATCH(TRIM(A1015),State_Region!$A$2:$A$26,0))</f>
        <v>South</v>
      </c>
      <c r="C1015" s="3" t="s">
        <v>210</v>
      </c>
      <c r="D1015" s="3" t="str">
        <f>INDEX(Port_Type!$B$2:$B$227,MATCH(TRIM(C1015),Port_Type!$A$2:$A$227,0))</f>
        <v>Inland ICD / CFS</v>
      </c>
      <c r="E1015" s="3" t="s">
        <v>54</v>
      </c>
      <c r="F1015" s="3" t="str">
        <f>INDEX(Product_Category!$B$2:$B$45,MATCH(TRIM(E1015),Product_Category!$A$2:$A$45,0))</f>
        <v>Processed Foods</v>
      </c>
      <c r="G1015" s="4">
        <v>0</v>
      </c>
      <c r="H1015" s="4">
        <v>2.92</v>
      </c>
      <c r="I1015" s="4">
        <v>0.11</v>
      </c>
      <c r="J1015" s="4">
        <v>0</v>
      </c>
      <c r="K1015" s="4">
        <v>2940.6</v>
      </c>
      <c r="L1015" s="4">
        <v>69.64</v>
      </c>
      <c r="M1015" s="4">
        <f t="shared" si="45"/>
        <v>2.92</v>
      </c>
      <c r="N1015" s="4">
        <f t="shared" si="46"/>
        <v>2940.6</v>
      </c>
      <c r="O1015" s="4">
        <f t="shared" si="47"/>
        <v>-2.81</v>
      </c>
      <c r="P1015" s="3" t="s">
        <v>19</v>
      </c>
    </row>
    <row r="1016" spans="1:16" x14ac:dyDescent="0.35">
      <c r="A1016" s="3" t="s">
        <v>20</v>
      </c>
      <c r="B1016" s="3" t="str">
        <f>INDEX(State_Region!$B$2:$B$26,MATCH(TRIM(A1016),State_Region!$A$2:$A$26,0))</f>
        <v>West</v>
      </c>
      <c r="C1016" s="3" t="s">
        <v>145</v>
      </c>
      <c r="D1016" s="3" t="str">
        <f>INDEX(Port_Type!$B$2:$B$227,MATCH(TRIM(C1016),Port_Type!$A$2:$A$227,0))</f>
        <v>Inland ICD / CFS</v>
      </c>
      <c r="E1016" s="3" t="s">
        <v>76</v>
      </c>
      <c r="F1016" s="3" t="str">
        <f>INDEX(Product_Category!$B$2:$B$45,MATCH(TRIM(E1016),Product_Category!$A$2:$A$45,0))</f>
        <v>Fresh Fruits &amp; Vegetables</v>
      </c>
      <c r="G1016" s="4">
        <v>0</v>
      </c>
      <c r="H1016" s="4">
        <v>0.22</v>
      </c>
      <c r="I1016" s="4">
        <v>0.11</v>
      </c>
      <c r="J1016" s="4">
        <v>0</v>
      </c>
      <c r="K1016" s="4">
        <v>169.84</v>
      </c>
      <c r="L1016" s="4">
        <v>100.63</v>
      </c>
      <c r="M1016" s="4">
        <f t="shared" si="45"/>
        <v>0.22</v>
      </c>
      <c r="N1016" s="4">
        <f t="shared" si="46"/>
        <v>169.84</v>
      </c>
      <c r="O1016" s="4">
        <f t="shared" si="47"/>
        <v>-0.11</v>
      </c>
      <c r="P1016" s="3" t="s">
        <v>19</v>
      </c>
    </row>
    <row r="1017" spans="1:16" x14ac:dyDescent="0.35">
      <c r="A1017" s="3" t="s">
        <v>189</v>
      </c>
      <c r="B1017" s="3" t="str">
        <f>INDEX(State_Region!$B$2:$B$26,MATCH(TRIM(A1017),State_Region!$A$2:$A$26,0))</f>
        <v>North</v>
      </c>
      <c r="C1017" s="3" t="s">
        <v>193</v>
      </c>
      <c r="D1017" s="3" t="str">
        <f>INDEX(Port_Type!$B$2:$B$227,MATCH(TRIM(C1017),Port_Type!$A$2:$A$227,0))</f>
        <v>Inland ICD / CFS</v>
      </c>
      <c r="E1017" s="3" t="s">
        <v>72</v>
      </c>
      <c r="F1017" s="3" t="str">
        <f>INDEX(Product_Category!$B$2:$B$45,MATCH(TRIM(E1017),Product_Category!$A$2:$A$45,0))</f>
        <v>Dairy, Poultry &amp; Honey</v>
      </c>
      <c r="G1017" s="4">
        <v>0</v>
      </c>
      <c r="H1017" s="4">
        <v>0.05</v>
      </c>
      <c r="I1017" s="4">
        <v>0.11</v>
      </c>
      <c r="J1017" s="4">
        <v>0.05</v>
      </c>
      <c r="K1017" s="4">
        <v>7.54</v>
      </c>
      <c r="L1017" s="4">
        <v>14.71</v>
      </c>
      <c r="M1017" s="4">
        <f t="shared" si="45"/>
        <v>0.05</v>
      </c>
      <c r="N1017" s="4">
        <f t="shared" si="46"/>
        <v>7.49</v>
      </c>
      <c r="O1017" s="4">
        <f t="shared" si="47"/>
        <v>0.06</v>
      </c>
      <c r="P1017" s="3" t="s">
        <v>19</v>
      </c>
    </row>
    <row r="1018" spans="1:16" x14ac:dyDescent="0.35">
      <c r="A1018" s="3" t="s">
        <v>166</v>
      </c>
      <c r="B1018" s="3" t="str">
        <f>INDEX(State_Region!$B$2:$B$26,MATCH(TRIM(A1018),State_Region!$A$2:$A$26,0))</f>
        <v>West</v>
      </c>
      <c r="C1018" s="3" t="s">
        <v>200</v>
      </c>
      <c r="D1018" s="3" t="str">
        <f>INDEX(Port_Type!$B$2:$B$227,MATCH(TRIM(C1018),Port_Type!$A$2:$A$227,0))</f>
        <v>Air Cargo</v>
      </c>
      <c r="E1018" s="3" t="s">
        <v>76</v>
      </c>
      <c r="F1018" s="3" t="str">
        <f>INDEX(Product_Category!$B$2:$B$45,MATCH(TRIM(E1018),Product_Category!$A$2:$A$45,0))</f>
        <v>Fresh Fruits &amp; Vegetables</v>
      </c>
      <c r="G1018" s="4">
        <v>0</v>
      </c>
      <c r="H1018" s="4">
        <v>0.06</v>
      </c>
      <c r="I1018" s="4">
        <v>0.11</v>
      </c>
      <c r="J1018" s="4">
        <v>0</v>
      </c>
      <c r="K1018" s="4">
        <v>22.52</v>
      </c>
      <c r="L1018" s="4">
        <v>50.15</v>
      </c>
      <c r="M1018" s="4">
        <f t="shared" si="45"/>
        <v>0.06</v>
      </c>
      <c r="N1018" s="4">
        <f t="shared" si="46"/>
        <v>22.52</v>
      </c>
      <c r="O1018" s="4">
        <f t="shared" si="47"/>
        <v>0.05</v>
      </c>
      <c r="P1018" s="3" t="s">
        <v>19</v>
      </c>
    </row>
    <row r="1019" spans="1:16" x14ac:dyDescent="0.35">
      <c r="A1019" s="3" t="s">
        <v>35</v>
      </c>
      <c r="B1019" s="3" t="str">
        <f>INDEX(State_Region!$B$2:$B$26,MATCH(TRIM(A1019),State_Region!$A$2:$A$26,0))</f>
        <v>North</v>
      </c>
      <c r="C1019" s="3" t="s">
        <v>165</v>
      </c>
      <c r="D1019" s="3" t="str">
        <f>INDEX(Port_Type!$B$2:$B$227,MATCH(TRIM(C1019),Port_Type!$A$2:$A$227,0))</f>
        <v>Inland ICD / CFS</v>
      </c>
      <c r="E1019" s="3" t="s">
        <v>65</v>
      </c>
      <c r="F1019" s="3" t="str">
        <f>INDEX(Product_Category!$B$2:$B$45,MATCH(TRIM(E1019),Product_Category!$A$2:$A$45,0))</f>
        <v>Cereals &amp; Grains</v>
      </c>
      <c r="G1019" s="4">
        <v>0.02</v>
      </c>
      <c r="H1019" s="4">
        <v>0.17</v>
      </c>
      <c r="I1019" s="4">
        <v>0.11</v>
      </c>
      <c r="J1019" s="4">
        <v>12.95</v>
      </c>
      <c r="K1019" s="4">
        <v>190.62</v>
      </c>
      <c r="L1019" s="4">
        <v>165.48</v>
      </c>
      <c r="M1019" s="4">
        <f t="shared" si="45"/>
        <v>0.15000000000000002</v>
      </c>
      <c r="N1019" s="4">
        <f t="shared" si="46"/>
        <v>177.67000000000002</v>
      </c>
      <c r="O1019" s="4">
        <f t="shared" si="47"/>
        <v>-6.0000000000000012E-2</v>
      </c>
      <c r="P1019" s="3" t="s">
        <v>19</v>
      </c>
    </row>
    <row r="1020" spans="1:16" x14ac:dyDescent="0.35">
      <c r="A1020" s="3" t="s">
        <v>189</v>
      </c>
      <c r="B1020" s="3" t="str">
        <f>INDEX(State_Region!$B$2:$B$26,MATCH(TRIM(A1020),State_Region!$A$2:$A$26,0))</f>
        <v>North</v>
      </c>
      <c r="C1020" s="3" t="s">
        <v>227</v>
      </c>
      <c r="D1020" s="3" t="str">
        <f>INDEX(Port_Type!$B$2:$B$227,MATCH(TRIM(C1020),Port_Type!$A$2:$A$227,0))</f>
        <v>Land Border / Rail</v>
      </c>
      <c r="E1020" s="3" t="s">
        <v>33</v>
      </c>
      <c r="F1020" s="3" t="str">
        <f>INDEX(Product_Category!$B$2:$B$45,MATCH(TRIM(E1020),Product_Category!$A$2:$A$45,0))</f>
        <v>Pulses</v>
      </c>
      <c r="G1020" s="4">
        <v>0.16</v>
      </c>
      <c r="H1020" s="4">
        <v>0.15</v>
      </c>
      <c r="I1020" s="4">
        <v>0.11</v>
      </c>
      <c r="J1020" s="4">
        <v>192.38</v>
      </c>
      <c r="K1020" s="4">
        <v>200.82</v>
      </c>
      <c r="L1020" s="4">
        <v>193.02</v>
      </c>
      <c r="M1020" s="4">
        <f t="shared" si="45"/>
        <v>-1.0000000000000009E-2</v>
      </c>
      <c r="N1020" s="4">
        <f t="shared" si="46"/>
        <v>8.4399999999999977</v>
      </c>
      <c r="O1020" s="4">
        <f t="shared" si="47"/>
        <v>-3.9999999999999994E-2</v>
      </c>
      <c r="P1020" s="3" t="s">
        <v>19</v>
      </c>
    </row>
    <row r="1021" spans="1:16" x14ac:dyDescent="0.35">
      <c r="A1021" s="3" t="s">
        <v>23</v>
      </c>
      <c r="B1021" s="3" t="str">
        <f>INDEX(State_Region!$B$2:$B$26,MATCH(TRIM(A1021),State_Region!$A$2:$A$26,0))</f>
        <v>North</v>
      </c>
      <c r="C1021" s="3" t="s">
        <v>124</v>
      </c>
      <c r="D1021" s="3" t="str">
        <f>INDEX(Port_Type!$B$2:$B$227,MATCH(TRIM(C1021),Port_Type!$A$2:$A$227,0))</f>
        <v>Inland ICD / CFS</v>
      </c>
      <c r="E1021" s="3" t="s">
        <v>83</v>
      </c>
      <c r="F1021" s="3" t="str">
        <f>INDEX(Product_Category!$B$2:$B$45,MATCH(TRIM(E1021),Product_Category!$A$2:$A$45,0))</f>
        <v>Fresh Fruits &amp; Vegetables</v>
      </c>
      <c r="G1021" s="4">
        <v>0</v>
      </c>
      <c r="H1021" s="4">
        <v>0.45</v>
      </c>
      <c r="I1021" s="4">
        <v>0.11</v>
      </c>
      <c r="J1021" s="4">
        <v>0</v>
      </c>
      <c r="K1021" s="4">
        <v>829.44</v>
      </c>
      <c r="L1021" s="4">
        <v>256.67</v>
      </c>
      <c r="M1021" s="4">
        <f t="shared" si="45"/>
        <v>0.45</v>
      </c>
      <c r="N1021" s="4">
        <f t="shared" si="46"/>
        <v>829.44</v>
      </c>
      <c r="O1021" s="4">
        <f t="shared" si="47"/>
        <v>-0.34</v>
      </c>
      <c r="P1021" s="3" t="s">
        <v>19</v>
      </c>
    </row>
    <row r="1022" spans="1:16" x14ac:dyDescent="0.35">
      <c r="A1022" s="3" t="s">
        <v>66</v>
      </c>
      <c r="B1022" s="3" t="str">
        <f>INDEX(State_Region!$B$2:$B$26,MATCH(TRIM(A1022),State_Region!$A$2:$A$26,0))</f>
        <v>North</v>
      </c>
      <c r="C1022" s="3" t="s">
        <v>219</v>
      </c>
      <c r="D1022" s="3" t="str">
        <f>INDEX(Port_Type!$B$2:$B$227,MATCH(TRIM(C1022),Port_Type!$A$2:$A$227,0))</f>
        <v>Air Cargo</v>
      </c>
      <c r="E1022" s="3" t="s">
        <v>42</v>
      </c>
      <c r="F1022" s="3" t="str">
        <f>INDEX(Product_Category!$B$2:$B$45,MATCH(TRIM(E1022),Product_Category!$A$2:$A$45,0))</f>
        <v>Processed Foods</v>
      </c>
      <c r="G1022" s="4">
        <v>1.04</v>
      </c>
      <c r="H1022" s="4">
        <v>0.56999999999999995</v>
      </c>
      <c r="I1022" s="4">
        <v>0.11</v>
      </c>
      <c r="J1022" s="4">
        <v>8.07</v>
      </c>
      <c r="K1022" s="4">
        <v>5.82</v>
      </c>
      <c r="L1022" s="4">
        <v>1.1399999999999999</v>
      </c>
      <c r="M1022" s="4">
        <f t="shared" si="45"/>
        <v>-0.47000000000000008</v>
      </c>
      <c r="N1022" s="4">
        <f t="shared" si="46"/>
        <v>-2.25</v>
      </c>
      <c r="O1022" s="4">
        <f t="shared" si="47"/>
        <v>-0.45999999999999996</v>
      </c>
      <c r="P1022" s="3" t="s">
        <v>19</v>
      </c>
    </row>
    <row r="1023" spans="1:16" x14ac:dyDescent="0.35">
      <c r="A1023" s="3" t="s">
        <v>16</v>
      </c>
      <c r="B1023" s="3" t="str">
        <f>INDEX(State_Region!$B$2:$B$26,MATCH(TRIM(A1023),State_Region!$A$2:$A$26,0))</f>
        <v>West</v>
      </c>
      <c r="C1023" s="3" t="s">
        <v>109</v>
      </c>
      <c r="D1023" s="3" t="str">
        <f>INDEX(Port_Type!$B$2:$B$227,MATCH(TRIM(C1023),Port_Type!$A$2:$A$227,0))</f>
        <v>SEZ / EPZ</v>
      </c>
      <c r="E1023" s="3" t="s">
        <v>144</v>
      </c>
      <c r="F1023" s="3" t="str">
        <f>INDEX(Product_Category!$B$2:$B$45,MATCH(TRIM(E1023),Product_Category!$A$2:$A$45,0))</f>
        <v>Cereals &amp; Grains</v>
      </c>
      <c r="G1023" s="4">
        <v>0.48</v>
      </c>
      <c r="H1023" s="4">
        <v>1.77</v>
      </c>
      <c r="I1023" s="4">
        <v>0.11</v>
      </c>
      <c r="J1023" s="4">
        <v>1034.67</v>
      </c>
      <c r="K1023" s="4">
        <v>4864.76</v>
      </c>
      <c r="L1023" s="4">
        <v>257.36</v>
      </c>
      <c r="M1023" s="4">
        <f t="shared" si="45"/>
        <v>1.29</v>
      </c>
      <c r="N1023" s="4">
        <f t="shared" si="46"/>
        <v>3830.09</v>
      </c>
      <c r="O1023" s="4">
        <f t="shared" si="47"/>
        <v>-1.66</v>
      </c>
      <c r="P1023" s="3" t="s">
        <v>19</v>
      </c>
    </row>
    <row r="1024" spans="1:16" x14ac:dyDescent="0.35">
      <c r="A1024" s="3" t="s">
        <v>20</v>
      </c>
      <c r="B1024" s="3" t="str">
        <f>INDEX(State_Region!$B$2:$B$26,MATCH(TRIM(A1024),State_Region!$A$2:$A$26,0))</f>
        <v>West</v>
      </c>
      <c r="C1024" s="3" t="s">
        <v>222</v>
      </c>
      <c r="D1024" s="3" t="str">
        <f>INDEX(Port_Type!$B$2:$B$227,MATCH(TRIM(C1024),Port_Type!$A$2:$A$227,0))</f>
        <v>Air Cargo</v>
      </c>
      <c r="E1024" s="3" t="s">
        <v>102</v>
      </c>
      <c r="F1024" s="3" t="str">
        <f>INDEX(Product_Category!$B$2:$B$45,MATCH(TRIM(E1024),Product_Category!$A$2:$A$45,0))</f>
        <v>Fresh Fruits &amp; Vegetables</v>
      </c>
      <c r="G1024" s="4">
        <v>0.01</v>
      </c>
      <c r="H1024" s="4">
        <v>7.0000000000000007E-2</v>
      </c>
      <c r="I1024" s="4">
        <v>0.11</v>
      </c>
      <c r="J1024" s="4">
        <v>5.99</v>
      </c>
      <c r="K1024" s="4">
        <v>28.72</v>
      </c>
      <c r="L1024" s="4">
        <v>38.76</v>
      </c>
      <c r="M1024" s="4">
        <f t="shared" si="45"/>
        <v>6.0000000000000005E-2</v>
      </c>
      <c r="N1024" s="4">
        <f t="shared" si="46"/>
        <v>22.729999999999997</v>
      </c>
      <c r="O1024" s="4">
        <f t="shared" si="47"/>
        <v>3.9999999999999994E-2</v>
      </c>
      <c r="P1024" s="3" t="s">
        <v>19</v>
      </c>
    </row>
    <row r="1025" spans="1:16" x14ac:dyDescent="0.35">
      <c r="A1025" s="3" t="s">
        <v>16</v>
      </c>
      <c r="B1025" s="3" t="str">
        <f>INDEX(State_Region!$B$2:$B$26,MATCH(TRIM(A1025),State_Region!$A$2:$A$26,0))</f>
        <v>West</v>
      </c>
      <c r="C1025" s="3" t="s">
        <v>153</v>
      </c>
      <c r="D1025" s="3" t="str">
        <f>INDEX(Port_Type!$B$2:$B$227,MATCH(TRIM(C1025),Port_Type!$A$2:$A$227,0))</f>
        <v>Inland ICD / CFS</v>
      </c>
      <c r="E1025" s="3" t="s">
        <v>53</v>
      </c>
      <c r="F1025" s="3" t="str">
        <f>INDEX(Product_Category!$B$2:$B$45,MATCH(TRIM(E1025),Product_Category!$A$2:$A$45,0))</f>
        <v>Processed Foods</v>
      </c>
      <c r="G1025" s="4">
        <v>0</v>
      </c>
      <c r="H1025" s="4">
        <v>0</v>
      </c>
      <c r="I1025" s="4">
        <v>0.11</v>
      </c>
      <c r="J1025" s="4">
        <v>0</v>
      </c>
      <c r="K1025" s="4">
        <v>0</v>
      </c>
      <c r="L1025" s="4">
        <v>19.5</v>
      </c>
      <c r="M1025" s="4">
        <f t="shared" si="45"/>
        <v>0</v>
      </c>
      <c r="N1025" s="4">
        <f t="shared" si="46"/>
        <v>0</v>
      </c>
      <c r="O1025" s="4">
        <f t="shared" si="47"/>
        <v>0.11</v>
      </c>
      <c r="P1025" s="3" t="s">
        <v>19</v>
      </c>
    </row>
    <row r="1026" spans="1:16" x14ac:dyDescent="0.35">
      <c r="A1026" s="3" t="s">
        <v>86</v>
      </c>
      <c r="B1026" s="3" t="str">
        <f>INDEX(State_Region!$B$2:$B$26,MATCH(TRIM(A1026),State_Region!$A$2:$A$26,0))</f>
        <v>North</v>
      </c>
      <c r="C1026" s="3" t="s">
        <v>87</v>
      </c>
      <c r="D1026" s="3" t="str">
        <f>INDEX(Port_Type!$B$2:$B$227,MATCH(TRIM(C1026),Port_Type!$A$2:$A$227,0))</f>
        <v>Air Cargo</v>
      </c>
      <c r="E1026" s="3" t="s">
        <v>60</v>
      </c>
      <c r="F1026" s="3" t="str">
        <f>INDEX(Product_Category!$B$2:$B$45,MATCH(TRIM(E1026),Product_Category!$A$2:$A$45,0))</f>
        <v>Processed Foods</v>
      </c>
      <c r="G1026" s="4">
        <v>0.13</v>
      </c>
      <c r="H1026" s="4">
        <v>0.08</v>
      </c>
      <c r="I1026" s="4">
        <v>0.11</v>
      </c>
      <c r="J1026" s="4">
        <v>8.7100000000000009</v>
      </c>
      <c r="K1026" s="4">
        <v>3.08</v>
      </c>
      <c r="L1026" s="4">
        <v>1.87</v>
      </c>
      <c r="M1026" s="4">
        <f t="shared" ref="M1026:M1089" si="48">H1026-G1026</f>
        <v>-0.05</v>
      </c>
      <c r="N1026" s="4">
        <f t="shared" ref="N1026:N1089" si="49">K1026-J1026</f>
        <v>-5.6300000000000008</v>
      </c>
      <c r="O1026" s="4">
        <f t="shared" ref="O1026:O1089" si="50">I1026-H1026</f>
        <v>0.03</v>
      </c>
      <c r="P1026" s="3" t="s">
        <v>19</v>
      </c>
    </row>
    <row r="1027" spans="1:16" x14ac:dyDescent="0.35">
      <c r="A1027" s="3" t="s">
        <v>23</v>
      </c>
      <c r="B1027" s="3" t="str">
        <f>INDEX(State_Region!$B$2:$B$26,MATCH(TRIM(A1027),State_Region!$A$2:$A$26,0))</f>
        <v>North</v>
      </c>
      <c r="C1027" s="3" t="s">
        <v>191</v>
      </c>
      <c r="D1027" s="3" t="str">
        <f>INDEX(Port_Type!$B$2:$B$227,MATCH(TRIM(C1027),Port_Type!$A$2:$A$227,0))</f>
        <v>Land Border / Rail</v>
      </c>
      <c r="E1027" s="3" t="s">
        <v>18</v>
      </c>
      <c r="F1027" s="3" t="str">
        <f>INDEX(Product_Category!$B$2:$B$45,MATCH(TRIM(E1027),Product_Category!$A$2:$A$45,0))</f>
        <v>Cereals &amp; Grains</v>
      </c>
      <c r="G1027" s="4">
        <v>0</v>
      </c>
      <c r="H1027" s="4">
        <v>0.5</v>
      </c>
      <c r="I1027" s="4">
        <v>0.11</v>
      </c>
      <c r="J1027" s="4">
        <v>0</v>
      </c>
      <c r="K1027" s="4">
        <v>613.5</v>
      </c>
      <c r="L1027" s="4">
        <v>100</v>
      </c>
      <c r="M1027" s="4">
        <f t="shared" si="48"/>
        <v>0.5</v>
      </c>
      <c r="N1027" s="4">
        <f t="shared" si="49"/>
        <v>613.5</v>
      </c>
      <c r="O1027" s="4">
        <f t="shared" si="50"/>
        <v>-0.39</v>
      </c>
      <c r="P1027" s="3" t="s">
        <v>19</v>
      </c>
    </row>
    <row r="1028" spans="1:16" x14ac:dyDescent="0.35">
      <c r="A1028" s="3" t="s">
        <v>77</v>
      </c>
      <c r="B1028" s="3" t="str">
        <f>INDEX(State_Region!$B$2:$B$26,MATCH(TRIM(A1028),State_Region!$A$2:$A$26,0))</f>
        <v>South</v>
      </c>
      <c r="C1028" s="3" t="s">
        <v>78</v>
      </c>
      <c r="D1028" s="3" t="str">
        <f>INDEX(Port_Type!$B$2:$B$227,MATCH(TRIM(C1028),Port_Type!$A$2:$A$227,0))</f>
        <v>Sea Port</v>
      </c>
      <c r="E1028" s="3" t="s">
        <v>144</v>
      </c>
      <c r="F1028" s="3" t="str">
        <f>INDEX(Product_Category!$B$2:$B$45,MATCH(TRIM(E1028),Product_Category!$A$2:$A$45,0))</f>
        <v>Cereals &amp; Grains</v>
      </c>
      <c r="G1028" s="4">
        <v>0.38</v>
      </c>
      <c r="H1028" s="4">
        <v>0.41</v>
      </c>
      <c r="I1028" s="4">
        <v>0.11</v>
      </c>
      <c r="J1028" s="4">
        <v>414.29</v>
      </c>
      <c r="K1028" s="4">
        <v>385.01</v>
      </c>
      <c r="L1028" s="4">
        <v>133.72999999999999</v>
      </c>
      <c r="M1028" s="4">
        <f t="shared" si="48"/>
        <v>2.9999999999999971E-2</v>
      </c>
      <c r="N1028" s="4">
        <f t="shared" si="49"/>
        <v>-29.28000000000003</v>
      </c>
      <c r="O1028" s="4">
        <f t="shared" si="50"/>
        <v>-0.3</v>
      </c>
      <c r="P1028" s="3" t="s">
        <v>19</v>
      </c>
    </row>
    <row r="1029" spans="1:16" x14ac:dyDescent="0.35">
      <c r="A1029" s="3" t="s">
        <v>40</v>
      </c>
      <c r="B1029" s="3" t="str">
        <f>INDEX(State_Region!$B$2:$B$26,MATCH(TRIM(A1029),State_Region!$A$2:$A$26,0))</f>
        <v>South</v>
      </c>
      <c r="C1029" s="3" t="s">
        <v>229</v>
      </c>
      <c r="D1029" s="3" t="str">
        <f>INDEX(Port_Type!$B$2:$B$227,MATCH(TRIM(C1029),Port_Type!$A$2:$A$227,0))</f>
        <v>Inland ICD / CFS</v>
      </c>
      <c r="E1029" s="3" t="s">
        <v>39</v>
      </c>
      <c r="F1029" s="3" t="str">
        <f>INDEX(Product_Category!$B$2:$B$45,MATCH(TRIM(E1029),Product_Category!$A$2:$A$45,0))</f>
        <v>Processed Foods</v>
      </c>
      <c r="G1029" s="4">
        <v>7.0000000000000007E-2</v>
      </c>
      <c r="H1029" s="4">
        <v>0.96</v>
      </c>
      <c r="I1029" s="4">
        <v>0.11</v>
      </c>
      <c r="J1029" s="4">
        <v>33.799999999999997</v>
      </c>
      <c r="K1029" s="4">
        <v>315.58</v>
      </c>
      <c r="L1029" s="4">
        <v>7.45</v>
      </c>
      <c r="M1029" s="4">
        <f t="shared" si="48"/>
        <v>0.8899999999999999</v>
      </c>
      <c r="N1029" s="4">
        <f t="shared" si="49"/>
        <v>281.77999999999997</v>
      </c>
      <c r="O1029" s="4">
        <f t="shared" si="50"/>
        <v>-0.85</v>
      </c>
      <c r="P1029" s="3" t="s">
        <v>19</v>
      </c>
    </row>
    <row r="1030" spans="1:16" x14ac:dyDescent="0.35">
      <c r="A1030" s="3" t="s">
        <v>20</v>
      </c>
      <c r="B1030" s="3" t="str">
        <f>INDEX(State_Region!$B$2:$B$26,MATCH(TRIM(A1030),State_Region!$A$2:$A$26,0))</f>
        <v>West</v>
      </c>
      <c r="C1030" s="3" t="s">
        <v>145</v>
      </c>
      <c r="D1030" s="3" t="str">
        <f>INDEX(Port_Type!$B$2:$B$227,MATCH(TRIM(C1030),Port_Type!$A$2:$A$227,0))</f>
        <v>Inland ICD / CFS</v>
      </c>
      <c r="E1030" s="3" t="s">
        <v>54</v>
      </c>
      <c r="F1030" s="3" t="str">
        <f>INDEX(Product_Category!$B$2:$B$45,MATCH(TRIM(E1030),Product_Category!$A$2:$A$45,0))</f>
        <v>Processed Foods</v>
      </c>
      <c r="G1030" s="4">
        <v>0</v>
      </c>
      <c r="H1030" s="4">
        <v>2.4500000000000002</v>
      </c>
      <c r="I1030" s="4">
        <v>0.11</v>
      </c>
      <c r="J1030" s="4">
        <v>0</v>
      </c>
      <c r="K1030" s="4">
        <v>2404.9699999999998</v>
      </c>
      <c r="L1030" s="4">
        <v>54.59</v>
      </c>
      <c r="M1030" s="4">
        <f t="shared" si="48"/>
        <v>2.4500000000000002</v>
      </c>
      <c r="N1030" s="4">
        <f t="shared" si="49"/>
        <v>2404.9699999999998</v>
      </c>
      <c r="O1030" s="4">
        <f t="shared" si="50"/>
        <v>-2.3400000000000003</v>
      </c>
      <c r="P1030" s="3" t="s">
        <v>19</v>
      </c>
    </row>
    <row r="1031" spans="1:16" x14ac:dyDescent="0.35">
      <c r="A1031" s="3" t="s">
        <v>16</v>
      </c>
      <c r="B1031" s="3" t="str">
        <f>INDEX(State_Region!$B$2:$B$26,MATCH(TRIM(A1031),State_Region!$A$2:$A$26,0))</f>
        <v>West</v>
      </c>
      <c r="C1031" s="3" t="s">
        <v>28</v>
      </c>
      <c r="D1031" s="3" t="str">
        <f>INDEX(Port_Type!$B$2:$B$227,MATCH(TRIM(C1031),Port_Type!$A$2:$A$227,0))</f>
        <v>Sea Port</v>
      </c>
      <c r="E1031" s="3" t="s">
        <v>144</v>
      </c>
      <c r="F1031" s="3" t="str">
        <f>INDEX(Product_Category!$B$2:$B$45,MATCH(TRIM(E1031),Product_Category!$A$2:$A$45,0))</f>
        <v>Cereals &amp; Grains</v>
      </c>
      <c r="G1031" s="4">
        <v>0.25</v>
      </c>
      <c r="H1031" s="4">
        <v>0.7</v>
      </c>
      <c r="I1031" s="4">
        <v>0.1</v>
      </c>
      <c r="J1031" s="4">
        <v>746.05</v>
      </c>
      <c r="K1031" s="4">
        <v>2073.6999999999998</v>
      </c>
      <c r="L1031" s="4">
        <v>311.69</v>
      </c>
      <c r="M1031" s="4">
        <f t="shared" si="48"/>
        <v>0.44999999999999996</v>
      </c>
      <c r="N1031" s="4">
        <f t="shared" si="49"/>
        <v>1327.6499999999999</v>
      </c>
      <c r="O1031" s="4">
        <f t="shared" si="50"/>
        <v>-0.6</v>
      </c>
      <c r="P1031" s="3" t="s">
        <v>19</v>
      </c>
    </row>
    <row r="1032" spans="1:16" x14ac:dyDescent="0.35">
      <c r="A1032" s="3" t="s">
        <v>23</v>
      </c>
      <c r="B1032" s="3" t="str">
        <f>INDEX(State_Region!$B$2:$B$26,MATCH(TRIM(A1032),State_Region!$A$2:$A$26,0))</f>
        <v>North</v>
      </c>
      <c r="C1032" s="3" t="s">
        <v>230</v>
      </c>
      <c r="D1032" s="3" t="str">
        <f>INDEX(Port_Type!$B$2:$B$227,MATCH(TRIM(C1032),Port_Type!$A$2:$A$227,0))</f>
        <v>Air Cargo</v>
      </c>
      <c r="E1032" s="3" t="s">
        <v>102</v>
      </c>
      <c r="F1032" s="3" t="str">
        <f>INDEX(Product_Category!$B$2:$B$45,MATCH(TRIM(E1032),Product_Category!$A$2:$A$45,0))</f>
        <v>Fresh Fruits &amp; Vegetables</v>
      </c>
      <c r="G1032" s="4">
        <v>0.42</v>
      </c>
      <c r="H1032" s="4">
        <v>0.38</v>
      </c>
      <c r="I1032" s="4">
        <v>0.1</v>
      </c>
      <c r="J1032" s="4">
        <v>654.05999999999995</v>
      </c>
      <c r="K1032" s="4">
        <v>938.38</v>
      </c>
      <c r="L1032" s="4">
        <v>242.15</v>
      </c>
      <c r="M1032" s="4">
        <f t="shared" si="48"/>
        <v>-3.999999999999998E-2</v>
      </c>
      <c r="N1032" s="4">
        <f t="shared" si="49"/>
        <v>284.32000000000005</v>
      </c>
      <c r="O1032" s="4">
        <f t="shared" si="50"/>
        <v>-0.28000000000000003</v>
      </c>
      <c r="P1032" s="3" t="s">
        <v>19</v>
      </c>
    </row>
    <row r="1033" spans="1:16" x14ac:dyDescent="0.35">
      <c r="A1033" s="3" t="s">
        <v>20</v>
      </c>
      <c r="B1033" s="3" t="str">
        <f>INDEX(State_Region!$B$2:$B$26,MATCH(TRIM(A1033),State_Region!$A$2:$A$26,0))</f>
        <v>West</v>
      </c>
      <c r="C1033" s="3" t="s">
        <v>154</v>
      </c>
      <c r="D1033" s="3" t="str">
        <f>INDEX(Port_Type!$B$2:$B$227,MATCH(TRIM(C1033),Port_Type!$A$2:$A$227,0))</f>
        <v>Inland ICD / CFS</v>
      </c>
      <c r="E1033" s="3" t="s">
        <v>22</v>
      </c>
      <c r="F1033" s="3" t="str">
        <f>INDEX(Product_Category!$B$2:$B$45,MATCH(TRIM(E1033),Product_Category!$A$2:$A$45,0))</f>
        <v>Meat &amp; Animal Products</v>
      </c>
      <c r="G1033" s="4">
        <v>0</v>
      </c>
      <c r="H1033" s="4">
        <v>0.12</v>
      </c>
      <c r="I1033" s="4">
        <v>0.1</v>
      </c>
      <c r="J1033" s="4">
        <v>0</v>
      </c>
      <c r="K1033" s="4">
        <v>28.5</v>
      </c>
      <c r="L1033" s="4">
        <v>28.49</v>
      </c>
      <c r="M1033" s="4">
        <f t="shared" si="48"/>
        <v>0.12</v>
      </c>
      <c r="N1033" s="4">
        <f t="shared" si="49"/>
        <v>28.5</v>
      </c>
      <c r="O1033" s="4">
        <f t="shared" si="50"/>
        <v>-1.999999999999999E-2</v>
      </c>
      <c r="P1033" s="3" t="s">
        <v>19</v>
      </c>
    </row>
    <row r="1034" spans="1:16" x14ac:dyDescent="0.35">
      <c r="A1034" s="3" t="s">
        <v>16</v>
      </c>
      <c r="B1034" s="3" t="str">
        <f>INDEX(State_Region!$B$2:$B$26,MATCH(TRIM(A1034),State_Region!$A$2:$A$26,0))</f>
        <v>West</v>
      </c>
      <c r="C1034" s="3" t="s">
        <v>17</v>
      </c>
      <c r="D1034" s="3" t="str">
        <f>INDEX(Port_Type!$B$2:$B$227,MATCH(TRIM(C1034),Port_Type!$A$2:$A$227,0))</f>
        <v>Sea Port</v>
      </c>
      <c r="E1034" s="3" t="s">
        <v>179</v>
      </c>
      <c r="F1034" s="3" t="str">
        <f>INDEX(Product_Category!$B$2:$B$45,MATCH(TRIM(E1034),Product_Category!$A$2:$A$45,0))</f>
        <v>Nuts &amp; Oilseeds</v>
      </c>
      <c r="G1034" s="4">
        <v>0.18</v>
      </c>
      <c r="H1034" s="4">
        <v>0.67</v>
      </c>
      <c r="I1034" s="4">
        <v>0.1</v>
      </c>
      <c r="J1034" s="4">
        <v>24.66</v>
      </c>
      <c r="K1034" s="4">
        <v>317.88</v>
      </c>
      <c r="L1034" s="4">
        <v>7.46</v>
      </c>
      <c r="M1034" s="4">
        <f t="shared" si="48"/>
        <v>0.49000000000000005</v>
      </c>
      <c r="N1034" s="4">
        <f t="shared" si="49"/>
        <v>293.21999999999997</v>
      </c>
      <c r="O1034" s="4">
        <f t="shared" si="50"/>
        <v>-0.57000000000000006</v>
      </c>
      <c r="P1034" s="3" t="s">
        <v>19</v>
      </c>
    </row>
    <row r="1035" spans="1:16" x14ac:dyDescent="0.35">
      <c r="A1035" s="3" t="s">
        <v>16</v>
      </c>
      <c r="B1035" s="3" t="str">
        <f>INDEX(State_Region!$B$2:$B$26,MATCH(TRIM(A1035),State_Region!$A$2:$A$26,0))</f>
        <v>West</v>
      </c>
      <c r="C1035" s="3" t="s">
        <v>28</v>
      </c>
      <c r="D1035" s="3" t="str">
        <f>INDEX(Port_Type!$B$2:$B$227,MATCH(TRIM(C1035),Port_Type!$A$2:$A$227,0))</f>
        <v>Sea Port</v>
      </c>
      <c r="E1035" s="3" t="s">
        <v>102</v>
      </c>
      <c r="F1035" s="3" t="str">
        <f>INDEX(Product_Category!$B$2:$B$45,MATCH(TRIM(E1035),Product_Category!$A$2:$A$45,0))</f>
        <v>Fresh Fruits &amp; Vegetables</v>
      </c>
      <c r="G1035" s="4">
        <v>2.71</v>
      </c>
      <c r="H1035" s="4">
        <v>3.34</v>
      </c>
      <c r="I1035" s="4">
        <v>0.1</v>
      </c>
      <c r="J1035" s="4">
        <v>8415.9</v>
      </c>
      <c r="K1035" s="4">
        <v>11833</v>
      </c>
      <c r="L1035" s="4">
        <v>493</v>
      </c>
      <c r="M1035" s="4">
        <f t="shared" si="48"/>
        <v>0.62999999999999989</v>
      </c>
      <c r="N1035" s="4">
        <f t="shared" si="49"/>
        <v>3417.1000000000004</v>
      </c>
      <c r="O1035" s="4">
        <f t="shared" si="50"/>
        <v>-3.2399999999999998</v>
      </c>
      <c r="P1035" s="3" t="s">
        <v>19</v>
      </c>
    </row>
    <row r="1036" spans="1:16" x14ac:dyDescent="0.35">
      <c r="A1036" s="3" t="s">
        <v>23</v>
      </c>
      <c r="B1036" s="3" t="str">
        <f>INDEX(State_Region!$B$2:$B$26,MATCH(TRIM(A1036),State_Region!$A$2:$A$26,0))</f>
        <v>North</v>
      </c>
      <c r="C1036" s="3" t="s">
        <v>44</v>
      </c>
      <c r="D1036" s="3" t="str">
        <f>INDEX(Port_Type!$B$2:$B$227,MATCH(TRIM(C1036),Port_Type!$A$2:$A$227,0))</f>
        <v>Inland ICD / CFS</v>
      </c>
      <c r="E1036" s="3" t="s">
        <v>54</v>
      </c>
      <c r="F1036" s="3" t="str">
        <f>INDEX(Product_Category!$B$2:$B$45,MATCH(TRIM(E1036),Product_Category!$A$2:$A$45,0))</f>
        <v>Processed Foods</v>
      </c>
      <c r="G1036" s="4">
        <v>0.77</v>
      </c>
      <c r="H1036" s="4">
        <v>0.76</v>
      </c>
      <c r="I1036" s="4">
        <v>0.1</v>
      </c>
      <c r="J1036" s="4">
        <v>251.07</v>
      </c>
      <c r="K1036" s="4">
        <v>186.84</v>
      </c>
      <c r="L1036" s="4">
        <v>23.98</v>
      </c>
      <c r="M1036" s="4">
        <f t="shared" si="48"/>
        <v>-1.0000000000000009E-2</v>
      </c>
      <c r="N1036" s="4">
        <f t="shared" si="49"/>
        <v>-64.22999999999999</v>
      </c>
      <c r="O1036" s="4">
        <f t="shared" si="50"/>
        <v>-0.66</v>
      </c>
      <c r="P1036" s="3" t="s">
        <v>19</v>
      </c>
    </row>
    <row r="1037" spans="1:16" x14ac:dyDescent="0.35">
      <c r="A1037" s="3" t="s">
        <v>23</v>
      </c>
      <c r="B1037" s="3" t="str">
        <f>INDEX(State_Region!$B$2:$B$26,MATCH(TRIM(A1037),State_Region!$A$2:$A$26,0))</f>
        <v>North</v>
      </c>
      <c r="C1037" s="3" t="s">
        <v>123</v>
      </c>
      <c r="D1037" s="3" t="str">
        <f>INDEX(Port_Type!$B$2:$B$227,MATCH(TRIM(C1037),Port_Type!$A$2:$A$227,0))</f>
        <v>Land Border / Rail</v>
      </c>
      <c r="E1037" s="3" t="s">
        <v>84</v>
      </c>
      <c r="F1037" s="3" t="str">
        <f>INDEX(Product_Category!$B$2:$B$45,MATCH(TRIM(E1037),Product_Category!$A$2:$A$45,0))</f>
        <v>Nuts &amp; Oilseeds</v>
      </c>
      <c r="G1037" s="4">
        <v>0</v>
      </c>
      <c r="H1037" s="4">
        <v>0.01</v>
      </c>
      <c r="I1037" s="4">
        <v>0.1</v>
      </c>
      <c r="J1037" s="4">
        <v>3.15</v>
      </c>
      <c r="K1037" s="4">
        <v>2.1800000000000002</v>
      </c>
      <c r="L1037" s="4">
        <v>177.5</v>
      </c>
      <c r="M1037" s="4">
        <f t="shared" si="48"/>
        <v>0.01</v>
      </c>
      <c r="N1037" s="4">
        <f t="shared" si="49"/>
        <v>-0.96999999999999975</v>
      </c>
      <c r="O1037" s="4">
        <f t="shared" si="50"/>
        <v>9.0000000000000011E-2</v>
      </c>
      <c r="P1037" s="3" t="s">
        <v>19</v>
      </c>
    </row>
    <row r="1038" spans="1:16" x14ac:dyDescent="0.35">
      <c r="A1038" s="3" t="s">
        <v>20</v>
      </c>
      <c r="B1038" s="3" t="str">
        <f>INDEX(State_Region!$B$2:$B$26,MATCH(TRIM(A1038),State_Region!$A$2:$A$26,0))</f>
        <v>West</v>
      </c>
      <c r="C1038" s="3" t="s">
        <v>119</v>
      </c>
      <c r="D1038" s="3" t="str">
        <f>INDEX(Port_Type!$B$2:$B$227,MATCH(TRIM(C1038),Port_Type!$A$2:$A$227,0))</f>
        <v>SEZ / EPZ</v>
      </c>
      <c r="E1038" s="3" t="s">
        <v>59</v>
      </c>
      <c r="F1038" s="3" t="str">
        <f>INDEX(Product_Category!$B$2:$B$45,MATCH(TRIM(E1038),Product_Category!$A$2:$A$45,0))</f>
        <v>Processed Foods</v>
      </c>
      <c r="G1038" s="4">
        <v>0</v>
      </c>
      <c r="H1038" s="4">
        <v>0</v>
      </c>
      <c r="I1038" s="4">
        <v>0.1</v>
      </c>
      <c r="J1038" s="4">
        <v>0</v>
      </c>
      <c r="K1038" s="4">
        <v>0</v>
      </c>
      <c r="L1038" s="4">
        <v>46.89</v>
      </c>
      <c r="M1038" s="4">
        <f t="shared" si="48"/>
        <v>0</v>
      </c>
      <c r="N1038" s="4">
        <f t="shared" si="49"/>
        <v>0</v>
      </c>
      <c r="O1038" s="4">
        <f t="shared" si="50"/>
        <v>0.1</v>
      </c>
      <c r="P1038" s="3" t="s">
        <v>19</v>
      </c>
    </row>
    <row r="1039" spans="1:16" x14ac:dyDescent="0.35">
      <c r="A1039" s="3" t="s">
        <v>66</v>
      </c>
      <c r="B1039" s="3" t="str">
        <f>INDEX(State_Region!$B$2:$B$26,MATCH(TRIM(A1039),State_Region!$A$2:$A$26,0))</f>
        <v>North</v>
      </c>
      <c r="C1039" s="3" t="s">
        <v>108</v>
      </c>
      <c r="D1039" s="3" t="str">
        <f>INDEX(Port_Type!$B$2:$B$227,MATCH(TRIM(C1039),Port_Type!$A$2:$A$227,0))</f>
        <v>Inland ICD / CFS</v>
      </c>
      <c r="E1039" s="3" t="s">
        <v>72</v>
      </c>
      <c r="F1039" s="3" t="str">
        <f>INDEX(Product_Category!$B$2:$B$45,MATCH(TRIM(E1039),Product_Category!$A$2:$A$45,0))</f>
        <v>Dairy, Poultry &amp; Honey</v>
      </c>
      <c r="G1039" s="4">
        <v>0.22</v>
      </c>
      <c r="H1039" s="4">
        <v>0.13</v>
      </c>
      <c r="I1039" s="4">
        <v>0.1</v>
      </c>
      <c r="J1039" s="4">
        <v>30.7</v>
      </c>
      <c r="K1039" s="4">
        <v>16.760000000000002</v>
      </c>
      <c r="L1039" s="4">
        <v>16.46</v>
      </c>
      <c r="M1039" s="4">
        <f t="shared" si="48"/>
        <v>-0.09</v>
      </c>
      <c r="N1039" s="4">
        <f t="shared" si="49"/>
        <v>-13.939999999999998</v>
      </c>
      <c r="O1039" s="4">
        <f t="shared" si="50"/>
        <v>-0.03</v>
      </c>
      <c r="P1039" s="3" t="s">
        <v>19</v>
      </c>
    </row>
    <row r="1040" spans="1:16" x14ac:dyDescent="0.35">
      <c r="A1040" s="3" t="s">
        <v>231</v>
      </c>
      <c r="B1040" s="3" t="str">
        <f>INDEX(State_Region!$B$2:$B$26,MATCH(TRIM(A1040),State_Region!$A$2:$A$26,0))</f>
        <v>North-East</v>
      </c>
      <c r="C1040" s="3" t="s">
        <v>232</v>
      </c>
      <c r="D1040" s="3" t="str">
        <f>INDEX(Port_Type!$B$2:$B$227,MATCH(TRIM(C1040),Port_Type!$A$2:$A$227,0))</f>
        <v>Land Border / Rail</v>
      </c>
      <c r="E1040" s="3" t="s">
        <v>62</v>
      </c>
      <c r="F1040" s="3" t="str">
        <f>INDEX(Product_Category!$B$2:$B$45,MATCH(TRIM(E1040),Product_Category!$A$2:$A$45,0))</f>
        <v>Cereals &amp; Grains</v>
      </c>
      <c r="G1040" s="4">
        <v>0.21</v>
      </c>
      <c r="H1040" s="4">
        <v>0.21</v>
      </c>
      <c r="I1040" s="4">
        <v>0.1</v>
      </c>
      <c r="J1040" s="4">
        <v>740.1</v>
      </c>
      <c r="K1040" s="4">
        <v>785.95</v>
      </c>
      <c r="L1040" s="4">
        <v>399.7</v>
      </c>
      <c r="M1040" s="4">
        <f t="shared" si="48"/>
        <v>0</v>
      </c>
      <c r="N1040" s="4">
        <f t="shared" si="49"/>
        <v>45.850000000000023</v>
      </c>
      <c r="O1040" s="4">
        <f t="shared" si="50"/>
        <v>-0.10999999999999999</v>
      </c>
      <c r="P1040" s="3" t="s">
        <v>19</v>
      </c>
    </row>
    <row r="1041" spans="1:16" x14ac:dyDescent="0.35">
      <c r="A1041" s="3" t="s">
        <v>49</v>
      </c>
      <c r="B1041" s="3" t="str">
        <f>INDEX(State_Region!$B$2:$B$26,MATCH(TRIM(A1041),State_Region!$A$2:$A$26,0))</f>
        <v>North</v>
      </c>
      <c r="C1041" s="3" t="s">
        <v>233</v>
      </c>
      <c r="D1041" s="3" t="str">
        <f>INDEX(Port_Type!$B$2:$B$227,MATCH(TRIM(C1041),Port_Type!$A$2:$A$227,0))</f>
        <v>Inland ICD / CFS</v>
      </c>
      <c r="E1041" s="3" t="s">
        <v>42</v>
      </c>
      <c r="F1041" s="3" t="str">
        <f>INDEX(Product_Category!$B$2:$B$45,MATCH(TRIM(E1041),Product_Category!$A$2:$A$45,0))</f>
        <v>Processed Foods</v>
      </c>
      <c r="G1041" s="4">
        <v>2.19</v>
      </c>
      <c r="H1041" s="4">
        <v>0.1</v>
      </c>
      <c r="I1041" s="4">
        <v>0.1</v>
      </c>
      <c r="J1041" s="4">
        <v>1036.49</v>
      </c>
      <c r="K1041" s="4">
        <v>46.15</v>
      </c>
      <c r="L1041" s="4">
        <v>54.9</v>
      </c>
      <c r="M1041" s="4">
        <f t="shared" si="48"/>
        <v>-2.09</v>
      </c>
      <c r="N1041" s="4">
        <f t="shared" si="49"/>
        <v>-990.34</v>
      </c>
      <c r="O1041" s="4">
        <f t="shared" si="50"/>
        <v>0</v>
      </c>
      <c r="P1041" s="3" t="s">
        <v>19</v>
      </c>
    </row>
    <row r="1042" spans="1:16" x14ac:dyDescent="0.35">
      <c r="A1042" s="3" t="s">
        <v>20</v>
      </c>
      <c r="B1042" s="3" t="str">
        <f>INDEX(State_Region!$B$2:$B$26,MATCH(TRIM(A1042),State_Region!$A$2:$A$26,0))</f>
        <v>West</v>
      </c>
      <c r="C1042" s="3" t="s">
        <v>145</v>
      </c>
      <c r="D1042" s="3" t="str">
        <f>INDEX(Port_Type!$B$2:$B$227,MATCH(TRIM(C1042),Port_Type!$A$2:$A$227,0))</f>
        <v>Inland ICD / CFS</v>
      </c>
      <c r="E1042" s="3" t="s">
        <v>39</v>
      </c>
      <c r="F1042" s="3" t="str">
        <f>INDEX(Product_Category!$B$2:$B$45,MATCH(TRIM(E1042),Product_Category!$A$2:$A$45,0))</f>
        <v>Processed Foods</v>
      </c>
      <c r="G1042" s="4">
        <v>0</v>
      </c>
      <c r="H1042" s="4">
        <v>1.95</v>
      </c>
      <c r="I1042" s="4">
        <v>0.1</v>
      </c>
      <c r="J1042" s="4">
        <v>0</v>
      </c>
      <c r="K1042" s="4">
        <v>569.13</v>
      </c>
      <c r="L1042" s="4">
        <v>34.86</v>
      </c>
      <c r="M1042" s="4">
        <f t="shared" si="48"/>
        <v>1.95</v>
      </c>
      <c r="N1042" s="4">
        <f t="shared" si="49"/>
        <v>569.13</v>
      </c>
      <c r="O1042" s="4">
        <f t="shared" si="50"/>
        <v>-1.8499999999999999</v>
      </c>
      <c r="P1042" s="3" t="s">
        <v>19</v>
      </c>
    </row>
    <row r="1043" spans="1:16" x14ac:dyDescent="0.35">
      <c r="A1043" s="3" t="s">
        <v>31</v>
      </c>
      <c r="B1043" s="3" t="str">
        <f>INDEX(State_Region!$B$2:$B$26,MATCH(TRIM(A1043),State_Region!$A$2:$A$26,0))</f>
        <v>East</v>
      </c>
      <c r="C1043" s="3" t="s">
        <v>139</v>
      </c>
      <c r="D1043" s="3" t="str">
        <f>INDEX(Port_Type!$B$2:$B$227,MATCH(TRIM(C1043),Port_Type!$A$2:$A$227,0))</f>
        <v>Land Border / Rail</v>
      </c>
      <c r="E1043" s="3" t="s">
        <v>76</v>
      </c>
      <c r="F1043" s="3" t="str">
        <f>INDEX(Product_Category!$B$2:$B$45,MATCH(TRIM(E1043),Product_Category!$A$2:$A$45,0))</f>
        <v>Fresh Fruits &amp; Vegetables</v>
      </c>
      <c r="G1043" s="4">
        <v>0.31</v>
      </c>
      <c r="H1043" s="4">
        <v>0.31</v>
      </c>
      <c r="I1043" s="4">
        <v>0.1</v>
      </c>
      <c r="J1043" s="4">
        <v>773.28</v>
      </c>
      <c r="K1043" s="4">
        <v>588.07000000000005</v>
      </c>
      <c r="L1043" s="4">
        <v>232.21</v>
      </c>
      <c r="M1043" s="4">
        <f t="shared" si="48"/>
        <v>0</v>
      </c>
      <c r="N1043" s="4">
        <f t="shared" si="49"/>
        <v>-185.20999999999992</v>
      </c>
      <c r="O1043" s="4">
        <f t="shared" si="50"/>
        <v>-0.21</v>
      </c>
      <c r="P1043" s="3" t="s">
        <v>19</v>
      </c>
    </row>
    <row r="1044" spans="1:16" x14ac:dyDescent="0.35">
      <c r="A1044" s="3" t="s">
        <v>23</v>
      </c>
      <c r="B1044" s="3" t="str">
        <f>INDEX(State_Region!$B$2:$B$26,MATCH(TRIM(A1044),State_Region!$A$2:$A$26,0))</f>
        <v>North</v>
      </c>
      <c r="C1044" s="3" t="s">
        <v>138</v>
      </c>
      <c r="D1044" s="3" t="str">
        <f>INDEX(Port_Type!$B$2:$B$227,MATCH(TRIM(C1044),Port_Type!$A$2:$A$227,0))</f>
        <v>Inland ICD / CFS</v>
      </c>
      <c r="E1044" s="3" t="s">
        <v>27</v>
      </c>
      <c r="F1044" s="3" t="str">
        <f>INDEX(Product_Category!$B$2:$B$45,MATCH(TRIM(E1044),Product_Category!$A$2:$A$45,0))</f>
        <v>Cereals &amp; Grains</v>
      </c>
      <c r="G1044" s="4">
        <v>0</v>
      </c>
      <c r="H1044" s="4">
        <v>0.61</v>
      </c>
      <c r="I1044" s="4">
        <v>0.1</v>
      </c>
      <c r="J1044" s="4">
        <v>0</v>
      </c>
      <c r="K1044" s="4">
        <v>1196</v>
      </c>
      <c r="L1044" s="4">
        <v>174.02</v>
      </c>
      <c r="M1044" s="4">
        <f t="shared" si="48"/>
        <v>0.61</v>
      </c>
      <c r="N1044" s="4">
        <f t="shared" si="49"/>
        <v>1196</v>
      </c>
      <c r="O1044" s="4">
        <f t="shared" si="50"/>
        <v>-0.51</v>
      </c>
      <c r="P1044" s="3" t="s">
        <v>19</v>
      </c>
    </row>
    <row r="1045" spans="1:16" x14ac:dyDescent="0.35">
      <c r="A1045" s="3" t="s">
        <v>86</v>
      </c>
      <c r="B1045" s="3" t="str">
        <f>INDEX(State_Region!$B$2:$B$26,MATCH(TRIM(A1045),State_Region!$A$2:$A$26,0))</f>
        <v>North</v>
      </c>
      <c r="C1045" s="3" t="s">
        <v>207</v>
      </c>
      <c r="D1045" s="3" t="str">
        <f>INDEX(Port_Type!$B$2:$B$227,MATCH(TRIM(C1045),Port_Type!$A$2:$A$227,0))</f>
        <v>Inland ICD / CFS</v>
      </c>
      <c r="E1045" s="3" t="s">
        <v>48</v>
      </c>
      <c r="F1045" s="3" t="str">
        <f>INDEX(Product_Category!$B$2:$B$45,MATCH(TRIM(E1045),Product_Category!$A$2:$A$45,0))</f>
        <v>Processed Foods</v>
      </c>
      <c r="G1045" s="4">
        <v>0.65</v>
      </c>
      <c r="H1045" s="4">
        <v>1.1599999999999999</v>
      </c>
      <c r="I1045" s="4">
        <v>0.1</v>
      </c>
      <c r="J1045" s="4">
        <v>112.55</v>
      </c>
      <c r="K1045" s="4">
        <v>322.45</v>
      </c>
      <c r="L1045" s="4">
        <v>38.24</v>
      </c>
      <c r="M1045" s="4">
        <f t="shared" si="48"/>
        <v>0.5099999999999999</v>
      </c>
      <c r="N1045" s="4">
        <f t="shared" si="49"/>
        <v>209.89999999999998</v>
      </c>
      <c r="O1045" s="4">
        <f t="shared" si="50"/>
        <v>-1.0599999999999998</v>
      </c>
      <c r="P1045" s="3" t="s">
        <v>19</v>
      </c>
    </row>
    <row r="1046" spans="1:16" x14ac:dyDescent="0.35">
      <c r="A1046" s="3" t="s">
        <v>16</v>
      </c>
      <c r="B1046" s="3" t="str">
        <f>INDEX(State_Region!$B$2:$B$26,MATCH(TRIM(A1046),State_Region!$A$2:$A$26,0))</f>
        <v>West</v>
      </c>
      <c r="C1046" s="3" t="s">
        <v>17</v>
      </c>
      <c r="D1046" s="3" t="str">
        <f>INDEX(Port_Type!$B$2:$B$227,MATCH(TRIM(C1046),Port_Type!$A$2:$A$227,0))</f>
        <v>Sea Port</v>
      </c>
      <c r="E1046" s="3" t="s">
        <v>142</v>
      </c>
      <c r="F1046" s="3" t="str">
        <f>INDEX(Product_Category!$B$2:$B$45,MATCH(TRIM(E1046),Product_Category!$A$2:$A$45,0))</f>
        <v>Nuts &amp; Oilseeds</v>
      </c>
      <c r="G1046" s="4">
        <v>0</v>
      </c>
      <c r="H1046" s="4">
        <v>0</v>
      </c>
      <c r="I1046" s="4">
        <v>0.1</v>
      </c>
      <c r="J1046" s="4">
        <v>0</v>
      </c>
      <c r="K1046" s="4">
        <v>0</v>
      </c>
      <c r="L1046" s="4">
        <v>115.12</v>
      </c>
      <c r="M1046" s="4">
        <f t="shared" si="48"/>
        <v>0</v>
      </c>
      <c r="N1046" s="4">
        <f t="shared" si="49"/>
        <v>0</v>
      </c>
      <c r="O1046" s="4">
        <f t="shared" si="50"/>
        <v>0.1</v>
      </c>
      <c r="P1046" s="3" t="s">
        <v>19</v>
      </c>
    </row>
    <row r="1047" spans="1:16" x14ac:dyDescent="0.35">
      <c r="A1047" s="3" t="s">
        <v>23</v>
      </c>
      <c r="B1047" s="3" t="str">
        <f>INDEX(State_Region!$B$2:$B$26,MATCH(TRIM(A1047),State_Region!$A$2:$A$26,0))</f>
        <v>North</v>
      </c>
      <c r="C1047" s="3" t="s">
        <v>44</v>
      </c>
      <c r="D1047" s="3" t="str">
        <f>INDEX(Port_Type!$B$2:$B$227,MATCH(TRIM(C1047),Port_Type!$A$2:$A$227,0))</f>
        <v>Inland ICD / CFS</v>
      </c>
      <c r="E1047" s="3" t="s">
        <v>59</v>
      </c>
      <c r="F1047" s="3" t="str">
        <f>INDEX(Product_Category!$B$2:$B$45,MATCH(TRIM(E1047),Product_Category!$A$2:$A$45,0))</f>
        <v>Processed Foods</v>
      </c>
      <c r="G1047" s="4">
        <v>0.2</v>
      </c>
      <c r="H1047" s="4">
        <v>0.83</v>
      </c>
      <c r="I1047" s="4">
        <v>0.1</v>
      </c>
      <c r="J1047" s="4">
        <v>34.75</v>
      </c>
      <c r="K1047" s="4">
        <v>264.10000000000002</v>
      </c>
      <c r="L1047" s="4">
        <v>42.72</v>
      </c>
      <c r="M1047" s="4">
        <f t="shared" si="48"/>
        <v>0.62999999999999989</v>
      </c>
      <c r="N1047" s="4">
        <f t="shared" si="49"/>
        <v>229.35000000000002</v>
      </c>
      <c r="O1047" s="4">
        <f t="shared" si="50"/>
        <v>-0.73</v>
      </c>
      <c r="P1047" s="3" t="s">
        <v>19</v>
      </c>
    </row>
    <row r="1048" spans="1:16" x14ac:dyDescent="0.35">
      <c r="A1048" s="3" t="s">
        <v>31</v>
      </c>
      <c r="B1048" s="3" t="str">
        <f>INDEX(State_Region!$B$2:$B$26,MATCH(TRIM(A1048),State_Region!$A$2:$A$26,0))</f>
        <v>East</v>
      </c>
      <c r="C1048" s="3" t="s">
        <v>131</v>
      </c>
      <c r="D1048" s="3" t="str">
        <f>INDEX(Port_Type!$B$2:$B$227,MATCH(TRIM(C1048),Port_Type!$A$2:$A$227,0))</f>
        <v>Land Border / Rail</v>
      </c>
      <c r="E1048" s="3" t="s">
        <v>83</v>
      </c>
      <c r="F1048" s="3" t="str">
        <f>INDEX(Product_Category!$B$2:$B$45,MATCH(TRIM(E1048),Product_Category!$A$2:$A$45,0))</f>
        <v>Fresh Fruits &amp; Vegetables</v>
      </c>
      <c r="G1048" s="4">
        <v>0.46</v>
      </c>
      <c r="H1048" s="4">
        <v>0.41</v>
      </c>
      <c r="I1048" s="4">
        <v>0.1</v>
      </c>
      <c r="J1048" s="4">
        <v>279.94</v>
      </c>
      <c r="K1048" s="4">
        <v>298.64</v>
      </c>
      <c r="L1048" s="4">
        <v>91.86</v>
      </c>
      <c r="M1048" s="4">
        <f t="shared" si="48"/>
        <v>-5.0000000000000044E-2</v>
      </c>
      <c r="N1048" s="4">
        <f t="shared" si="49"/>
        <v>18.699999999999989</v>
      </c>
      <c r="O1048" s="4">
        <f t="shared" si="50"/>
        <v>-0.30999999999999994</v>
      </c>
      <c r="P1048" s="3" t="s">
        <v>19</v>
      </c>
    </row>
    <row r="1049" spans="1:16" x14ac:dyDescent="0.35">
      <c r="A1049" s="3" t="s">
        <v>40</v>
      </c>
      <c r="B1049" s="3" t="str">
        <f>INDEX(State_Region!$B$2:$B$26,MATCH(TRIM(A1049),State_Region!$A$2:$A$26,0))</f>
        <v>South</v>
      </c>
      <c r="C1049" s="3" t="s">
        <v>205</v>
      </c>
      <c r="D1049" s="3" t="str">
        <f>INDEX(Port_Type!$B$2:$B$227,MATCH(TRIM(C1049),Port_Type!$A$2:$A$227,0))</f>
        <v>Inland ICD / CFS</v>
      </c>
      <c r="E1049" s="3" t="s">
        <v>54</v>
      </c>
      <c r="F1049" s="3" t="str">
        <f>INDEX(Product_Category!$B$2:$B$45,MATCH(TRIM(E1049),Product_Category!$A$2:$A$45,0))</f>
        <v>Processed Foods</v>
      </c>
      <c r="G1049" s="4">
        <v>0</v>
      </c>
      <c r="H1049" s="4">
        <v>1.5</v>
      </c>
      <c r="I1049" s="4">
        <v>0.1</v>
      </c>
      <c r="J1049" s="4">
        <v>0</v>
      </c>
      <c r="K1049" s="4">
        <v>1181.1099999999999</v>
      </c>
      <c r="L1049" s="4">
        <v>68.09</v>
      </c>
      <c r="M1049" s="4">
        <f t="shared" si="48"/>
        <v>1.5</v>
      </c>
      <c r="N1049" s="4">
        <f t="shared" si="49"/>
        <v>1181.1099999999999</v>
      </c>
      <c r="O1049" s="4">
        <f t="shared" si="50"/>
        <v>-1.4</v>
      </c>
      <c r="P1049" s="3" t="s">
        <v>19</v>
      </c>
    </row>
    <row r="1050" spans="1:16" x14ac:dyDescent="0.35">
      <c r="A1050" s="3" t="s">
        <v>49</v>
      </c>
      <c r="B1050" s="3" t="str">
        <f>INDEX(State_Region!$B$2:$B$26,MATCH(TRIM(A1050),State_Region!$A$2:$A$26,0))</f>
        <v>North</v>
      </c>
      <c r="C1050" s="3" t="s">
        <v>234</v>
      </c>
      <c r="D1050" s="3" t="str">
        <f>INDEX(Port_Type!$B$2:$B$227,MATCH(TRIM(C1050),Port_Type!$A$2:$A$227,0))</f>
        <v>SEZ / EPZ</v>
      </c>
      <c r="E1050" s="3" t="s">
        <v>39</v>
      </c>
      <c r="F1050" s="3" t="str">
        <f>INDEX(Product_Category!$B$2:$B$45,MATCH(TRIM(E1050),Product_Category!$A$2:$A$45,0))</f>
        <v>Processed Foods</v>
      </c>
      <c r="G1050" s="4">
        <v>0.02</v>
      </c>
      <c r="H1050" s="4">
        <v>0.16</v>
      </c>
      <c r="I1050" s="4">
        <v>0.1</v>
      </c>
      <c r="J1050" s="4">
        <v>45</v>
      </c>
      <c r="K1050" s="4">
        <v>36.07</v>
      </c>
      <c r="L1050" s="4">
        <v>31.21</v>
      </c>
      <c r="M1050" s="4">
        <f t="shared" si="48"/>
        <v>0.14000000000000001</v>
      </c>
      <c r="N1050" s="4">
        <f t="shared" si="49"/>
        <v>-8.93</v>
      </c>
      <c r="O1050" s="4">
        <f t="shared" si="50"/>
        <v>-0.06</v>
      </c>
      <c r="P1050" s="3" t="s">
        <v>19</v>
      </c>
    </row>
    <row r="1051" spans="1:16" x14ac:dyDescent="0.35">
      <c r="A1051" s="3" t="s">
        <v>31</v>
      </c>
      <c r="B1051" s="3" t="str">
        <f>INDEX(State_Region!$B$2:$B$26,MATCH(TRIM(A1051),State_Region!$A$2:$A$26,0))</f>
        <v>East</v>
      </c>
      <c r="C1051" s="3" t="s">
        <v>171</v>
      </c>
      <c r="D1051" s="3" t="str">
        <f>INDEX(Port_Type!$B$2:$B$227,MATCH(TRIM(C1051),Port_Type!$A$2:$A$227,0))</f>
        <v>Land Border / Rail</v>
      </c>
      <c r="E1051" s="3" t="s">
        <v>48</v>
      </c>
      <c r="F1051" s="3" t="str">
        <f>INDEX(Product_Category!$B$2:$B$45,MATCH(TRIM(E1051),Product_Category!$A$2:$A$45,0))</f>
        <v>Processed Foods</v>
      </c>
      <c r="G1051" s="4">
        <v>0.06</v>
      </c>
      <c r="H1051" s="4">
        <v>0.23</v>
      </c>
      <c r="I1051" s="4">
        <v>0.09</v>
      </c>
      <c r="J1051" s="4">
        <v>201.15</v>
      </c>
      <c r="K1051" s="4">
        <v>341.74</v>
      </c>
      <c r="L1051" s="4">
        <v>120.7</v>
      </c>
      <c r="M1051" s="4">
        <f t="shared" si="48"/>
        <v>0.17</v>
      </c>
      <c r="N1051" s="4">
        <f t="shared" si="49"/>
        <v>140.59</v>
      </c>
      <c r="O1051" s="4">
        <f t="shared" si="50"/>
        <v>-0.14000000000000001</v>
      </c>
      <c r="P1051" s="3" t="s">
        <v>19</v>
      </c>
    </row>
    <row r="1052" spans="1:16" x14ac:dyDescent="0.35">
      <c r="A1052" s="3" t="s">
        <v>20</v>
      </c>
      <c r="B1052" s="3" t="str">
        <f>INDEX(State_Region!$B$2:$B$26,MATCH(TRIM(A1052),State_Region!$A$2:$A$26,0))</f>
        <v>West</v>
      </c>
      <c r="C1052" s="3" t="s">
        <v>119</v>
      </c>
      <c r="D1052" s="3" t="str">
        <f>INDEX(Port_Type!$B$2:$B$227,MATCH(TRIM(C1052),Port_Type!$A$2:$A$227,0))</f>
        <v>SEZ / EPZ</v>
      </c>
      <c r="E1052" s="3" t="s">
        <v>45</v>
      </c>
      <c r="F1052" s="3" t="str">
        <f>INDEX(Product_Category!$B$2:$B$45,MATCH(TRIM(E1052),Product_Category!$A$2:$A$45,0))</f>
        <v>Fresh Fruits &amp; Vegetables</v>
      </c>
      <c r="G1052" s="4">
        <v>0</v>
      </c>
      <c r="H1052" s="4">
        <v>0</v>
      </c>
      <c r="I1052" s="4">
        <v>0.09</v>
      </c>
      <c r="J1052" s="4">
        <v>0</v>
      </c>
      <c r="K1052" s="4">
        <v>0</v>
      </c>
      <c r="L1052" s="4">
        <v>73.84</v>
      </c>
      <c r="M1052" s="4">
        <f t="shared" si="48"/>
        <v>0</v>
      </c>
      <c r="N1052" s="4">
        <f t="shared" si="49"/>
        <v>0</v>
      </c>
      <c r="O1052" s="4">
        <f t="shared" si="50"/>
        <v>0.09</v>
      </c>
      <c r="P1052" s="3" t="s">
        <v>19</v>
      </c>
    </row>
    <row r="1053" spans="1:16" x14ac:dyDescent="0.35">
      <c r="A1053" s="3" t="s">
        <v>20</v>
      </c>
      <c r="B1053" s="3" t="str">
        <f>INDEX(State_Region!$B$2:$B$26,MATCH(TRIM(A1053),State_Region!$A$2:$A$26,0))</f>
        <v>West</v>
      </c>
      <c r="C1053" s="3" t="s">
        <v>82</v>
      </c>
      <c r="D1053" s="3" t="str">
        <f>INDEX(Port_Type!$B$2:$B$227,MATCH(TRIM(C1053),Port_Type!$A$2:$A$227,0))</f>
        <v>Inland ICD / CFS</v>
      </c>
      <c r="E1053" s="3" t="s">
        <v>62</v>
      </c>
      <c r="F1053" s="3" t="str">
        <f>INDEX(Product_Category!$B$2:$B$45,MATCH(TRIM(E1053),Product_Category!$A$2:$A$45,0))</f>
        <v>Cereals &amp; Grains</v>
      </c>
      <c r="G1053" s="4">
        <v>0</v>
      </c>
      <c r="H1053" s="4">
        <v>0.35</v>
      </c>
      <c r="I1053" s="4">
        <v>0.09</v>
      </c>
      <c r="J1053" s="4">
        <v>22</v>
      </c>
      <c r="K1053" s="4">
        <v>1484.09</v>
      </c>
      <c r="L1053" s="4">
        <v>394.32</v>
      </c>
      <c r="M1053" s="4">
        <f t="shared" si="48"/>
        <v>0.35</v>
      </c>
      <c r="N1053" s="4">
        <f t="shared" si="49"/>
        <v>1462.09</v>
      </c>
      <c r="O1053" s="4">
        <f t="shared" si="50"/>
        <v>-0.26</v>
      </c>
      <c r="P1053" s="3" t="s">
        <v>19</v>
      </c>
    </row>
    <row r="1054" spans="1:16" x14ac:dyDescent="0.35">
      <c r="A1054" s="3" t="s">
        <v>57</v>
      </c>
      <c r="B1054" s="3" t="str">
        <f>INDEX(State_Region!$B$2:$B$26,MATCH(TRIM(A1054),State_Region!$A$2:$A$26,0))</f>
        <v>Central</v>
      </c>
      <c r="C1054" s="3" t="s">
        <v>162</v>
      </c>
      <c r="D1054" s="3" t="str">
        <f>INDEX(Port_Type!$B$2:$B$227,MATCH(TRIM(C1054),Port_Type!$A$2:$A$227,0))</f>
        <v>Inland ICD / CFS</v>
      </c>
      <c r="E1054" s="3" t="s">
        <v>59</v>
      </c>
      <c r="F1054" s="3" t="str">
        <f>INDEX(Product_Category!$B$2:$B$45,MATCH(TRIM(E1054),Product_Category!$A$2:$A$45,0))</f>
        <v>Processed Foods</v>
      </c>
      <c r="G1054" s="4">
        <v>0.19</v>
      </c>
      <c r="H1054" s="4">
        <v>0.21</v>
      </c>
      <c r="I1054" s="4">
        <v>0.09</v>
      </c>
      <c r="J1054" s="4">
        <v>150.47</v>
      </c>
      <c r="K1054" s="4">
        <v>148.09</v>
      </c>
      <c r="L1054" s="4">
        <v>60.1</v>
      </c>
      <c r="M1054" s="4">
        <f t="shared" si="48"/>
        <v>1.999999999999999E-2</v>
      </c>
      <c r="N1054" s="4">
        <f t="shared" si="49"/>
        <v>-2.3799999999999955</v>
      </c>
      <c r="O1054" s="4">
        <f t="shared" si="50"/>
        <v>-0.12</v>
      </c>
      <c r="P1054" s="3" t="s">
        <v>19</v>
      </c>
    </row>
    <row r="1055" spans="1:16" x14ac:dyDescent="0.35">
      <c r="A1055" s="3" t="s">
        <v>23</v>
      </c>
      <c r="B1055" s="3" t="str">
        <f>INDEX(State_Region!$B$2:$B$26,MATCH(TRIM(A1055),State_Region!$A$2:$A$26,0))</f>
        <v>North</v>
      </c>
      <c r="C1055" s="3" t="s">
        <v>148</v>
      </c>
      <c r="D1055" s="3" t="str">
        <f>INDEX(Port_Type!$B$2:$B$227,MATCH(TRIM(C1055),Port_Type!$A$2:$A$227,0))</f>
        <v>Inland ICD / CFS</v>
      </c>
      <c r="E1055" s="3" t="s">
        <v>53</v>
      </c>
      <c r="F1055" s="3" t="str">
        <f>INDEX(Product_Category!$B$2:$B$45,MATCH(TRIM(E1055),Product_Category!$A$2:$A$45,0))</f>
        <v>Processed Foods</v>
      </c>
      <c r="G1055" s="4">
        <v>0.03</v>
      </c>
      <c r="H1055" s="4">
        <v>0</v>
      </c>
      <c r="I1055" s="4">
        <v>0.09</v>
      </c>
      <c r="J1055" s="4">
        <v>13.15</v>
      </c>
      <c r="K1055" s="4">
        <v>0</v>
      </c>
      <c r="L1055" s="4">
        <v>56.47</v>
      </c>
      <c r="M1055" s="4">
        <f t="shared" si="48"/>
        <v>-0.03</v>
      </c>
      <c r="N1055" s="4">
        <f t="shared" si="49"/>
        <v>-13.15</v>
      </c>
      <c r="O1055" s="4">
        <f t="shared" si="50"/>
        <v>0.09</v>
      </c>
      <c r="P1055" s="3" t="s">
        <v>19</v>
      </c>
    </row>
    <row r="1056" spans="1:16" x14ac:dyDescent="0.35">
      <c r="A1056" s="3" t="s">
        <v>49</v>
      </c>
      <c r="B1056" s="3" t="str">
        <f>INDEX(State_Region!$B$2:$B$26,MATCH(TRIM(A1056),State_Region!$A$2:$A$26,0))</f>
        <v>North</v>
      </c>
      <c r="C1056" s="3" t="s">
        <v>176</v>
      </c>
      <c r="D1056" s="3" t="str">
        <f>INDEX(Port_Type!$B$2:$B$227,MATCH(TRIM(C1056),Port_Type!$A$2:$A$227,0))</f>
        <v>Inland ICD / CFS</v>
      </c>
      <c r="E1056" s="3" t="s">
        <v>54</v>
      </c>
      <c r="F1056" s="3" t="str">
        <f>INDEX(Product_Category!$B$2:$B$45,MATCH(TRIM(E1056),Product_Category!$A$2:$A$45,0))</f>
        <v>Processed Foods</v>
      </c>
      <c r="G1056" s="4">
        <v>0.49</v>
      </c>
      <c r="H1056" s="4">
        <v>0.5</v>
      </c>
      <c r="I1056" s="4">
        <v>0.09</v>
      </c>
      <c r="J1056" s="4">
        <v>192.06</v>
      </c>
      <c r="K1056" s="4">
        <v>177.83</v>
      </c>
      <c r="L1056" s="4">
        <v>31.82</v>
      </c>
      <c r="M1056" s="4">
        <f t="shared" si="48"/>
        <v>1.0000000000000009E-2</v>
      </c>
      <c r="N1056" s="4">
        <f t="shared" si="49"/>
        <v>-14.22999999999999</v>
      </c>
      <c r="O1056" s="4">
        <f t="shared" si="50"/>
        <v>-0.41000000000000003</v>
      </c>
      <c r="P1056" s="3" t="s">
        <v>19</v>
      </c>
    </row>
    <row r="1057" spans="1:16" x14ac:dyDescent="0.35">
      <c r="A1057" s="3" t="s">
        <v>159</v>
      </c>
      <c r="B1057" s="3" t="str">
        <f>INDEX(State_Region!$B$2:$B$26,MATCH(TRIM(A1057),State_Region!$A$2:$A$26,0))</f>
        <v>North-East</v>
      </c>
      <c r="C1057" s="3" t="s">
        <v>218</v>
      </c>
      <c r="D1057" s="3" t="str">
        <f>INDEX(Port_Type!$B$2:$B$227,MATCH(TRIM(C1057),Port_Type!$A$2:$A$227,0))</f>
        <v>Land Border / Rail</v>
      </c>
      <c r="E1057" s="3" t="s">
        <v>48</v>
      </c>
      <c r="F1057" s="3" t="str">
        <f>INDEX(Product_Category!$B$2:$B$45,MATCH(TRIM(E1057),Product_Category!$A$2:$A$45,0))</f>
        <v>Processed Foods</v>
      </c>
      <c r="G1057" s="4">
        <v>0.02</v>
      </c>
      <c r="H1057" s="4">
        <v>0.1</v>
      </c>
      <c r="I1057" s="4">
        <v>0.09</v>
      </c>
      <c r="J1057" s="4">
        <v>9.6999999999999993</v>
      </c>
      <c r="K1057" s="4">
        <v>61.15</v>
      </c>
      <c r="L1057" s="4">
        <v>62.05</v>
      </c>
      <c r="M1057" s="4">
        <f t="shared" si="48"/>
        <v>0.08</v>
      </c>
      <c r="N1057" s="4">
        <f t="shared" si="49"/>
        <v>51.45</v>
      </c>
      <c r="O1057" s="4">
        <f t="shared" si="50"/>
        <v>-1.0000000000000009E-2</v>
      </c>
      <c r="P1057" s="3" t="s">
        <v>19</v>
      </c>
    </row>
    <row r="1058" spans="1:16" x14ac:dyDescent="0.35">
      <c r="A1058" s="3" t="s">
        <v>66</v>
      </c>
      <c r="B1058" s="3" t="str">
        <f>INDEX(State_Region!$B$2:$B$26,MATCH(TRIM(A1058),State_Region!$A$2:$A$26,0))</f>
        <v>North</v>
      </c>
      <c r="C1058" s="3" t="s">
        <v>127</v>
      </c>
      <c r="D1058" s="3" t="str">
        <f>INDEX(Port_Type!$B$2:$B$227,MATCH(TRIM(C1058),Port_Type!$A$2:$A$227,0))</f>
        <v>Inland ICD / CFS</v>
      </c>
      <c r="E1058" s="3" t="s">
        <v>42</v>
      </c>
      <c r="F1058" s="3" t="str">
        <f>INDEX(Product_Category!$B$2:$B$45,MATCH(TRIM(E1058),Product_Category!$A$2:$A$45,0))</f>
        <v>Processed Foods</v>
      </c>
      <c r="G1058" s="4">
        <v>0.37</v>
      </c>
      <c r="H1058" s="4">
        <v>0.49</v>
      </c>
      <c r="I1058" s="4">
        <v>0.09</v>
      </c>
      <c r="J1058" s="4">
        <v>223.01</v>
      </c>
      <c r="K1058" s="4">
        <v>313.06</v>
      </c>
      <c r="L1058" s="4">
        <v>59.14</v>
      </c>
      <c r="M1058" s="4">
        <f t="shared" si="48"/>
        <v>0.12</v>
      </c>
      <c r="N1058" s="4">
        <f t="shared" si="49"/>
        <v>90.050000000000011</v>
      </c>
      <c r="O1058" s="4">
        <f t="shared" si="50"/>
        <v>-0.4</v>
      </c>
      <c r="P1058" s="3" t="s">
        <v>19</v>
      </c>
    </row>
    <row r="1059" spans="1:16" x14ac:dyDescent="0.35">
      <c r="A1059" s="3" t="s">
        <v>20</v>
      </c>
      <c r="B1059" s="3" t="str">
        <f>INDEX(State_Region!$B$2:$B$26,MATCH(TRIM(A1059),State_Region!$A$2:$A$26,0))</f>
        <v>West</v>
      </c>
      <c r="C1059" s="3" t="s">
        <v>156</v>
      </c>
      <c r="D1059" s="3" t="str">
        <f>INDEX(Port_Type!$B$2:$B$227,MATCH(TRIM(C1059),Port_Type!$A$2:$A$227,0))</f>
        <v>Sea Port</v>
      </c>
      <c r="E1059" s="3" t="s">
        <v>48</v>
      </c>
      <c r="F1059" s="3" t="str">
        <f>INDEX(Product_Category!$B$2:$B$45,MATCH(TRIM(E1059),Product_Category!$A$2:$A$45,0))</f>
        <v>Processed Foods</v>
      </c>
      <c r="G1059" s="4">
        <v>0.1</v>
      </c>
      <c r="H1059" s="4">
        <v>0.01</v>
      </c>
      <c r="I1059" s="4">
        <v>0.09</v>
      </c>
      <c r="J1059" s="4">
        <v>107.62</v>
      </c>
      <c r="K1059" s="4">
        <v>20</v>
      </c>
      <c r="L1059" s="4">
        <v>15.35</v>
      </c>
      <c r="M1059" s="4">
        <f t="shared" si="48"/>
        <v>-9.0000000000000011E-2</v>
      </c>
      <c r="N1059" s="4">
        <f t="shared" si="49"/>
        <v>-87.62</v>
      </c>
      <c r="O1059" s="4">
        <f t="shared" si="50"/>
        <v>0.08</v>
      </c>
      <c r="P1059" s="3" t="s">
        <v>19</v>
      </c>
    </row>
    <row r="1060" spans="1:16" x14ac:dyDescent="0.35">
      <c r="A1060" s="3" t="s">
        <v>35</v>
      </c>
      <c r="B1060" s="3" t="str">
        <f>INDEX(State_Region!$B$2:$B$26,MATCH(TRIM(A1060),State_Region!$A$2:$A$26,0))</f>
        <v>North</v>
      </c>
      <c r="C1060" s="3" t="s">
        <v>198</v>
      </c>
      <c r="D1060" s="3" t="str">
        <f>INDEX(Port_Type!$B$2:$B$227,MATCH(TRIM(C1060),Port_Type!$A$2:$A$227,0))</f>
        <v>Inland ICD / CFS</v>
      </c>
      <c r="E1060" s="3" t="s">
        <v>53</v>
      </c>
      <c r="F1060" s="3" t="str">
        <f>INDEX(Product_Category!$B$2:$B$45,MATCH(TRIM(E1060),Product_Category!$A$2:$A$45,0))</f>
        <v>Processed Foods</v>
      </c>
      <c r="G1060" s="4">
        <v>0</v>
      </c>
      <c r="H1060" s="4">
        <v>0</v>
      </c>
      <c r="I1060" s="4">
        <v>0.09</v>
      </c>
      <c r="J1060" s="4">
        <v>0</v>
      </c>
      <c r="K1060" s="4">
        <v>0.11</v>
      </c>
      <c r="L1060" s="4">
        <v>150</v>
      </c>
      <c r="M1060" s="4">
        <f t="shared" si="48"/>
        <v>0</v>
      </c>
      <c r="N1060" s="4">
        <f t="shared" si="49"/>
        <v>0.11</v>
      </c>
      <c r="O1060" s="4">
        <f t="shared" si="50"/>
        <v>0.09</v>
      </c>
      <c r="P1060" s="3" t="s">
        <v>19</v>
      </c>
    </row>
    <row r="1061" spans="1:16" x14ac:dyDescent="0.35">
      <c r="A1061" s="3" t="s">
        <v>20</v>
      </c>
      <c r="B1061" s="3" t="str">
        <f>INDEX(State_Region!$B$2:$B$26,MATCH(TRIM(A1061),State_Region!$A$2:$A$26,0))</f>
        <v>West</v>
      </c>
      <c r="C1061" s="3" t="s">
        <v>235</v>
      </c>
      <c r="D1061" s="3" t="str">
        <f>INDEX(Port_Type!$B$2:$B$227,MATCH(TRIM(C1061),Port_Type!$A$2:$A$227,0))</f>
        <v>Inland ICD / CFS</v>
      </c>
      <c r="E1061" s="3" t="s">
        <v>53</v>
      </c>
      <c r="F1061" s="3" t="str">
        <f>INDEX(Product_Category!$B$2:$B$45,MATCH(TRIM(E1061),Product_Category!$A$2:$A$45,0))</f>
        <v>Processed Foods</v>
      </c>
      <c r="G1061" s="4">
        <v>7.0000000000000007E-2</v>
      </c>
      <c r="H1061" s="4">
        <v>0.04</v>
      </c>
      <c r="I1061" s="4">
        <v>0.09</v>
      </c>
      <c r="J1061" s="4">
        <v>40</v>
      </c>
      <c r="K1061" s="4">
        <v>20.99</v>
      </c>
      <c r="L1061" s="4">
        <v>41.23</v>
      </c>
      <c r="M1061" s="4">
        <f t="shared" si="48"/>
        <v>-3.0000000000000006E-2</v>
      </c>
      <c r="N1061" s="4">
        <f t="shared" si="49"/>
        <v>-19.010000000000002</v>
      </c>
      <c r="O1061" s="4">
        <f t="shared" si="50"/>
        <v>4.9999999999999996E-2</v>
      </c>
      <c r="P1061" s="3" t="s">
        <v>19</v>
      </c>
    </row>
    <row r="1062" spans="1:16" x14ac:dyDescent="0.35">
      <c r="A1062" s="3" t="s">
        <v>40</v>
      </c>
      <c r="B1062" s="3" t="str">
        <f>INDEX(State_Region!$B$2:$B$26,MATCH(TRIM(A1062),State_Region!$A$2:$A$26,0))</f>
        <v>South</v>
      </c>
      <c r="C1062" s="3" t="s">
        <v>107</v>
      </c>
      <c r="D1062" s="3" t="str">
        <f>INDEX(Port_Type!$B$2:$B$227,MATCH(TRIM(C1062),Port_Type!$A$2:$A$227,0))</f>
        <v>Sea Port</v>
      </c>
      <c r="E1062" s="3" t="s">
        <v>126</v>
      </c>
      <c r="F1062" s="3" t="str">
        <f>INDEX(Product_Category!$B$2:$B$45,MATCH(TRIM(E1062),Product_Category!$A$2:$A$45,0))</f>
        <v>Cereals &amp; Grains</v>
      </c>
      <c r="G1062" s="4">
        <v>0.21</v>
      </c>
      <c r="H1062" s="4">
        <v>0.09</v>
      </c>
      <c r="I1062" s="4">
        <v>0.09</v>
      </c>
      <c r="J1062" s="4">
        <v>135.96</v>
      </c>
      <c r="K1062" s="4">
        <v>69.2</v>
      </c>
      <c r="L1062" s="4">
        <v>63.3</v>
      </c>
      <c r="M1062" s="4">
        <f t="shared" si="48"/>
        <v>-0.12</v>
      </c>
      <c r="N1062" s="4">
        <f t="shared" si="49"/>
        <v>-66.760000000000005</v>
      </c>
      <c r="O1062" s="4">
        <f t="shared" si="50"/>
        <v>0</v>
      </c>
      <c r="P1062" s="3" t="s">
        <v>19</v>
      </c>
    </row>
    <row r="1063" spans="1:16" x14ac:dyDescent="0.35">
      <c r="A1063" s="3" t="s">
        <v>35</v>
      </c>
      <c r="B1063" s="3" t="str">
        <f>INDEX(State_Region!$B$2:$B$26,MATCH(TRIM(A1063),State_Region!$A$2:$A$26,0))</f>
        <v>North</v>
      </c>
      <c r="C1063" s="3" t="s">
        <v>47</v>
      </c>
      <c r="D1063" s="3" t="str">
        <f>INDEX(Port_Type!$B$2:$B$227,MATCH(TRIM(C1063),Port_Type!$A$2:$A$227,0))</f>
        <v>Inland ICD / CFS</v>
      </c>
      <c r="E1063" s="3" t="s">
        <v>59</v>
      </c>
      <c r="F1063" s="3" t="str">
        <f>INDEX(Product_Category!$B$2:$B$45,MATCH(TRIM(E1063),Product_Category!$A$2:$A$45,0))</f>
        <v>Processed Foods</v>
      </c>
      <c r="G1063" s="4">
        <v>0.12</v>
      </c>
      <c r="H1063" s="4">
        <v>0.34</v>
      </c>
      <c r="I1063" s="4">
        <v>0.09</v>
      </c>
      <c r="J1063" s="4">
        <v>59.4</v>
      </c>
      <c r="K1063" s="4">
        <v>119.28</v>
      </c>
      <c r="L1063" s="4">
        <v>39.520000000000003</v>
      </c>
      <c r="M1063" s="4">
        <f t="shared" si="48"/>
        <v>0.22000000000000003</v>
      </c>
      <c r="N1063" s="4">
        <f t="shared" si="49"/>
        <v>59.88</v>
      </c>
      <c r="O1063" s="4">
        <f t="shared" si="50"/>
        <v>-0.25</v>
      </c>
      <c r="P1063" s="3" t="s">
        <v>19</v>
      </c>
    </row>
    <row r="1064" spans="1:16" x14ac:dyDescent="0.35">
      <c r="A1064" s="3" t="s">
        <v>25</v>
      </c>
      <c r="B1064" s="3" t="str">
        <f>INDEX(State_Region!$B$2:$B$26,MATCH(TRIM(A1064),State_Region!$A$2:$A$26,0))</f>
        <v>South</v>
      </c>
      <c r="C1064" s="3" t="s">
        <v>29</v>
      </c>
      <c r="D1064" s="3" t="str">
        <f>INDEX(Port_Type!$B$2:$B$227,MATCH(TRIM(C1064),Port_Type!$A$2:$A$227,0))</f>
        <v>Sea Port</v>
      </c>
      <c r="E1064" s="3" t="s">
        <v>48</v>
      </c>
      <c r="F1064" s="3" t="str">
        <f>INDEX(Product_Category!$B$2:$B$45,MATCH(TRIM(E1064),Product_Category!$A$2:$A$45,0))</f>
        <v>Processed Foods</v>
      </c>
      <c r="G1064" s="4">
        <v>0.08</v>
      </c>
      <c r="H1064" s="4">
        <v>0.3</v>
      </c>
      <c r="I1064" s="4">
        <v>0.09</v>
      </c>
      <c r="J1064" s="4">
        <v>194.86</v>
      </c>
      <c r="K1064" s="4">
        <v>232.64</v>
      </c>
      <c r="L1064" s="4">
        <v>84.22</v>
      </c>
      <c r="M1064" s="4">
        <f t="shared" si="48"/>
        <v>0.21999999999999997</v>
      </c>
      <c r="N1064" s="4">
        <f t="shared" si="49"/>
        <v>37.779999999999973</v>
      </c>
      <c r="O1064" s="4">
        <f t="shared" si="50"/>
        <v>-0.21</v>
      </c>
      <c r="P1064" s="3" t="s">
        <v>19</v>
      </c>
    </row>
    <row r="1065" spans="1:16" x14ac:dyDescent="0.35">
      <c r="A1065" s="3" t="s">
        <v>77</v>
      </c>
      <c r="B1065" s="3" t="str">
        <f>INDEX(State_Region!$B$2:$B$26,MATCH(TRIM(A1065),State_Region!$A$2:$A$26,0))</f>
        <v>South</v>
      </c>
      <c r="C1065" s="3" t="s">
        <v>214</v>
      </c>
      <c r="D1065" s="3" t="str">
        <f>INDEX(Port_Type!$B$2:$B$227,MATCH(TRIM(C1065),Port_Type!$A$2:$A$227,0))</f>
        <v>SEZ / EPZ</v>
      </c>
      <c r="E1065" s="3" t="s">
        <v>53</v>
      </c>
      <c r="F1065" s="3" t="str">
        <f>INDEX(Product_Category!$B$2:$B$45,MATCH(TRIM(E1065),Product_Category!$A$2:$A$45,0))</f>
        <v>Processed Foods</v>
      </c>
      <c r="G1065" s="4">
        <v>0</v>
      </c>
      <c r="H1065" s="4">
        <v>0.11</v>
      </c>
      <c r="I1065" s="4">
        <v>0.09</v>
      </c>
      <c r="J1065" s="4">
        <v>0</v>
      </c>
      <c r="K1065" s="4">
        <v>52.67</v>
      </c>
      <c r="L1065" s="4">
        <v>37.950000000000003</v>
      </c>
      <c r="M1065" s="4">
        <f t="shared" si="48"/>
        <v>0.11</v>
      </c>
      <c r="N1065" s="4">
        <f t="shared" si="49"/>
        <v>52.67</v>
      </c>
      <c r="O1065" s="4">
        <f t="shared" si="50"/>
        <v>-2.0000000000000004E-2</v>
      </c>
      <c r="P1065" s="3" t="s">
        <v>19</v>
      </c>
    </row>
    <row r="1066" spans="1:16" x14ac:dyDescent="0.35">
      <c r="A1066" s="3" t="s">
        <v>35</v>
      </c>
      <c r="B1066" s="3" t="str">
        <f>INDEX(State_Region!$B$2:$B$26,MATCH(TRIM(A1066),State_Region!$A$2:$A$26,0))</f>
        <v>North</v>
      </c>
      <c r="C1066" s="3" t="s">
        <v>165</v>
      </c>
      <c r="D1066" s="3" t="str">
        <f>INDEX(Port_Type!$B$2:$B$227,MATCH(TRIM(C1066),Port_Type!$A$2:$A$227,0))</f>
        <v>Inland ICD / CFS</v>
      </c>
      <c r="E1066" s="3" t="s">
        <v>33</v>
      </c>
      <c r="F1066" s="3" t="str">
        <f>INDEX(Product_Category!$B$2:$B$45,MATCH(TRIM(E1066),Product_Category!$A$2:$A$45,0))</f>
        <v>Pulses</v>
      </c>
      <c r="G1066" s="4">
        <v>0.04</v>
      </c>
      <c r="H1066" s="4">
        <v>0.21</v>
      </c>
      <c r="I1066" s="4">
        <v>0.09</v>
      </c>
      <c r="J1066" s="4">
        <v>24.88</v>
      </c>
      <c r="K1066" s="4">
        <v>153.01</v>
      </c>
      <c r="L1066" s="4">
        <v>61.45</v>
      </c>
      <c r="M1066" s="4">
        <f t="shared" si="48"/>
        <v>0.16999999999999998</v>
      </c>
      <c r="N1066" s="4">
        <f t="shared" si="49"/>
        <v>128.13</v>
      </c>
      <c r="O1066" s="4">
        <f t="shared" si="50"/>
        <v>-0.12</v>
      </c>
      <c r="P1066" s="3" t="s">
        <v>19</v>
      </c>
    </row>
    <row r="1067" spans="1:16" x14ac:dyDescent="0.35">
      <c r="A1067" s="3" t="s">
        <v>16</v>
      </c>
      <c r="B1067" s="3" t="str">
        <f>INDEX(State_Region!$B$2:$B$26,MATCH(TRIM(A1067),State_Region!$A$2:$A$26,0))</f>
        <v>West</v>
      </c>
      <c r="C1067" s="3" t="s">
        <v>135</v>
      </c>
      <c r="D1067" s="3" t="str">
        <f>INDEX(Port_Type!$B$2:$B$227,MATCH(TRIM(C1067),Port_Type!$A$2:$A$227,0))</f>
        <v>Air Cargo</v>
      </c>
      <c r="E1067" s="3" t="s">
        <v>72</v>
      </c>
      <c r="F1067" s="3" t="str">
        <f>INDEX(Product_Category!$B$2:$B$45,MATCH(TRIM(E1067),Product_Category!$A$2:$A$45,0))</f>
        <v>Dairy, Poultry &amp; Honey</v>
      </c>
      <c r="G1067" s="4">
        <v>0.13</v>
      </c>
      <c r="H1067" s="4">
        <v>0.61</v>
      </c>
      <c r="I1067" s="4">
        <v>0.09</v>
      </c>
      <c r="J1067" s="4">
        <v>23.06</v>
      </c>
      <c r="K1067" s="4">
        <v>41.91</v>
      </c>
      <c r="L1067" s="4">
        <v>7.27</v>
      </c>
      <c r="M1067" s="4">
        <f t="shared" si="48"/>
        <v>0.48</v>
      </c>
      <c r="N1067" s="4">
        <f t="shared" si="49"/>
        <v>18.849999999999998</v>
      </c>
      <c r="O1067" s="4">
        <f t="shared" si="50"/>
        <v>-0.52</v>
      </c>
      <c r="P1067" s="3" t="s">
        <v>19</v>
      </c>
    </row>
    <row r="1068" spans="1:16" x14ac:dyDescent="0.35">
      <c r="A1068" s="3" t="s">
        <v>86</v>
      </c>
      <c r="B1068" s="3" t="str">
        <f>INDEX(State_Region!$B$2:$B$26,MATCH(TRIM(A1068),State_Region!$A$2:$A$26,0))</f>
        <v>North</v>
      </c>
      <c r="C1068" s="3" t="s">
        <v>87</v>
      </c>
      <c r="D1068" s="3" t="str">
        <f>INDEX(Port_Type!$B$2:$B$227,MATCH(TRIM(C1068),Port_Type!$A$2:$A$227,0))</f>
        <v>Air Cargo</v>
      </c>
      <c r="E1068" s="3" t="s">
        <v>18</v>
      </c>
      <c r="F1068" s="3" t="str">
        <f>INDEX(Product_Category!$B$2:$B$45,MATCH(TRIM(E1068),Product_Category!$A$2:$A$45,0))</f>
        <v>Cereals &amp; Grains</v>
      </c>
      <c r="G1068" s="4">
        <v>0.67</v>
      </c>
      <c r="H1068" s="4">
        <v>0.48</v>
      </c>
      <c r="I1068" s="4">
        <v>0.09</v>
      </c>
      <c r="J1068" s="4">
        <v>654.29</v>
      </c>
      <c r="K1068" s="4">
        <v>558.80999999999995</v>
      </c>
      <c r="L1068" s="4">
        <v>105.12</v>
      </c>
      <c r="M1068" s="4">
        <f t="shared" si="48"/>
        <v>-0.19000000000000006</v>
      </c>
      <c r="N1068" s="4">
        <f t="shared" si="49"/>
        <v>-95.480000000000018</v>
      </c>
      <c r="O1068" s="4">
        <f t="shared" si="50"/>
        <v>-0.39</v>
      </c>
      <c r="P1068" s="3" t="s">
        <v>19</v>
      </c>
    </row>
    <row r="1069" spans="1:16" x14ac:dyDescent="0.35">
      <c r="A1069" s="3" t="s">
        <v>23</v>
      </c>
      <c r="B1069" s="3" t="str">
        <f>INDEX(State_Region!$B$2:$B$26,MATCH(TRIM(A1069),State_Region!$A$2:$A$26,0))</f>
        <v>North</v>
      </c>
      <c r="C1069" s="3" t="s">
        <v>228</v>
      </c>
      <c r="D1069" s="3" t="str">
        <f>INDEX(Port_Type!$B$2:$B$227,MATCH(TRIM(C1069),Port_Type!$A$2:$A$227,0))</f>
        <v>SEZ / EPZ</v>
      </c>
      <c r="E1069" s="3" t="s">
        <v>39</v>
      </c>
      <c r="F1069" s="3" t="str">
        <f>INDEX(Product_Category!$B$2:$B$45,MATCH(TRIM(E1069),Product_Category!$A$2:$A$45,0))</f>
        <v>Processed Foods</v>
      </c>
      <c r="G1069" s="4">
        <v>0.06</v>
      </c>
      <c r="H1069" s="4">
        <v>0.35</v>
      </c>
      <c r="I1069" s="4">
        <v>0.09</v>
      </c>
      <c r="J1069" s="4">
        <v>6.47</v>
      </c>
      <c r="K1069" s="4">
        <v>241.04</v>
      </c>
      <c r="L1069" s="4">
        <v>56.13</v>
      </c>
      <c r="M1069" s="4">
        <f t="shared" si="48"/>
        <v>0.28999999999999998</v>
      </c>
      <c r="N1069" s="4">
        <f t="shared" si="49"/>
        <v>234.57</v>
      </c>
      <c r="O1069" s="4">
        <f t="shared" si="50"/>
        <v>-0.26</v>
      </c>
      <c r="P1069" s="3" t="s">
        <v>19</v>
      </c>
    </row>
    <row r="1070" spans="1:16" x14ac:dyDescent="0.35">
      <c r="A1070" s="3" t="s">
        <v>31</v>
      </c>
      <c r="B1070" s="3" t="str">
        <f>INDEX(State_Region!$B$2:$B$26,MATCH(TRIM(A1070),State_Region!$A$2:$A$26,0))</f>
        <v>East</v>
      </c>
      <c r="C1070" s="3" t="s">
        <v>215</v>
      </c>
      <c r="D1070" s="3" t="str">
        <f>INDEX(Port_Type!$B$2:$B$227,MATCH(TRIM(C1070),Port_Type!$A$2:$A$227,0))</f>
        <v>Land Border / Rail</v>
      </c>
      <c r="E1070" s="3" t="s">
        <v>27</v>
      </c>
      <c r="F1070" s="3" t="str">
        <f>INDEX(Product_Category!$B$2:$B$45,MATCH(TRIM(E1070),Product_Category!$A$2:$A$45,0))</f>
        <v>Cereals &amp; Grains</v>
      </c>
      <c r="G1070" s="4">
        <v>0.18</v>
      </c>
      <c r="H1070" s="4">
        <v>0.26</v>
      </c>
      <c r="I1070" s="4">
        <v>0.09</v>
      </c>
      <c r="J1070" s="4">
        <v>423.87</v>
      </c>
      <c r="K1070" s="4">
        <v>555.08000000000004</v>
      </c>
      <c r="L1070" s="4">
        <v>203.05</v>
      </c>
      <c r="M1070" s="4">
        <f t="shared" si="48"/>
        <v>8.0000000000000016E-2</v>
      </c>
      <c r="N1070" s="4">
        <f t="shared" si="49"/>
        <v>131.21000000000004</v>
      </c>
      <c r="O1070" s="4">
        <f t="shared" si="50"/>
        <v>-0.17</v>
      </c>
      <c r="P1070" s="3" t="s">
        <v>19</v>
      </c>
    </row>
    <row r="1071" spans="1:16" x14ac:dyDescent="0.35">
      <c r="A1071" s="3" t="s">
        <v>49</v>
      </c>
      <c r="B1071" s="3" t="str">
        <f>INDEX(State_Region!$B$2:$B$26,MATCH(TRIM(A1071),State_Region!$A$2:$A$26,0))</f>
        <v>North</v>
      </c>
      <c r="C1071" s="3" t="s">
        <v>233</v>
      </c>
      <c r="D1071" s="3" t="str">
        <f>INDEX(Port_Type!$B$2:$B$227,MATCH(TRIM(C1071),Port_Type!$A$2:$A$227,0))</f>
        <v>Inland ICD / CFS</v>
      </c>
      <c r="E1071" s="3" t="s">
        <v>39</v>
      </c>
      <c r="F1071" s="3" t="str">
        <f>INDEX(Product_Category!$B$2:$B$45,MATCH(TRIM(E1071),Product_Category!$A$2:$A$45,0))</f>
        <v>Processed Foods</v>
      </c>
      <c r="G1071" s="4">
        <v>0.09</v>
      </c>
      <c r="H1071" s="4">
        <v>0</v>
      </c>
      <c r="I1071" s="4">
        <v>0.09</v>
      </c>
      <c r="J1071" s="4">
        <v>31.02</v>
      </c>
      <c r="K1071" s="4">
        <v>1.1499999999999999</v>
      </c>
      <c r="L1071" s="4">
        <v>45.45</v>
      </c>
      <c r="M1071" s="4">
        <f t="shared" si="48"/>
        <v>-0.09</v>
      </c>
      <c r="N1071" s="4">
        <f t="shared" si="49"/>
        <v>-29.87</v>
      </c>
      <c r="O1071" s="4">
        <f t="shared" si="50"/>
        <v>0.09</v>
      </c>
      <c r="P1071" s="3" t="s">
        <v>19</v>
      </c>
    </row>
    <row r="1072" spans="1:16" x14ac:dyDescent="0.35">
      <c r="A1072" s="3" t="s">
        <v>31</v>
      </c>
      <c r="B1072" s="3" t="str">
        <f>INDEX(State_Region!$B$2:$B$26,MATCH(TRIM(A1072),State_Region!$A$2:$A$26,0))</f>
        <v>East</v>
      </c>
      <c r="C1072" s="3" t="s">
        <v>131</v>
      </c>
      <c r="D1072" s="3" t="str">
        <f>INDEX(Port_Type!$B$2:$B$227,MATCH(TRIM(C1072),Port_Type!$A$2:$A$227,0))</f>
        <v>Land Border / Rail</v>
      </c>
      <c r="E1072" s="3" t="s">
        <v>84</v>
      </c>
      <c r="F1072" s="3" t="str">
        <f>INDEX(Product_Category!$B$2:$B$45,MATCH(TRIM(E1072),Product_Category!$A$2:$A$45,0))</f>
        <v>Nuts &amp; Oilseeds</v>
      </c>
      <c r="G1072" s="4">
        <v>0.13</v>
      </c>
      <c r="H1072" s="4">
        <v>0.21</v>
      </c>
      <c r="I1072" s="4">
        <v>0.09</v>
      </c>
      <c r="J1072" s="4">
        <v>14.79</v>
      </c>
      <c r="K1072" s="4">
        <v>21.7</v>
      </c>
      <c r="L1072" s="4">
        <v>9.35</v>
      </c>
      <c r="M1072" s="4">
        <f t="shared" si="48"/>
        <v>7.9999999999999988E-2</v>
      </c>
      <c r="N1072" s="4">
        <f t="shared" si="49"/>
        <v>6.91</v>
      </c>
      <c r="O1072" s="4">
        <f t="shared" si="50"/>
        <v>-0.12</v>
      </c>
      <c r="P1072" s="3" t="s">
        <v>19</v>
      </c>
    </row>
    <row r="1073" spans="1:16" x14ac:dyDescent="0.35">
      <c r="A1073" s="3" t="s">
        <v>77</v>
      </c>
      <c r="B1073" s="3" t="str">
        <f>INDEX(State_Region!$B$2:$B$26,MATCH(TRIM(A1073),State_Region!$A$2:$A$26,0))</f>
        <v>South</v>
      </c>
      <c r="C1073" s="3" t="s">
        <v>216</v>
      </c>
      <c r="D1073" s="3" t="str">
        <f>INDEX(Port_Type!$B$2:$B$227,MATCH(TRIM(C1073),Port_Type!$A$2:$A$227,0))</f>
        <v>Air Cargo</v>
      </c>
      <c r="E1073" s="3" t="s">
        <v>122</v>
      </c>
      <c r="F1073" s="3" t="str">
        <f>INDEX(Product_Category!$B$2:$B$45,MATCH(TRIM(E1073),Product_Category!$A$2:$A$45,0))</f>
        <v>Others</v>
      </c>
      <c r="G1073" s="4">
        <v>0.74</v>
      </c>
      <c r="H1073" s="4">
        <v>0.12</v>
      </c>
      <c r="I1073" s="4">
        <v>0.09</v>
      </c>
      <c r="J1073" s="4">
        <v>494.66</v>
      </c>
      <c r="K1073" s="4">
        <v>60.47</v>
      </c>
      <c r="L1073" s="4">
        <v>31.55</v>
      </c>
      <c r="M1073" s="4">
        <f t="shared" si="48"/>
        <v>-0.62</v>
      </c>
      <c r="N1073" s="4">
        <f t="shared" si="49"/>
        <v>-434.19000000000005</v>
      </c>
      <c r="O1073" s="4">
        <f t="shared" si="50"/>
        <v>-0.03</v>
      </c>
      <c r="P1073" s="3" t="s">
        <v>19</v>
      </c>
    </row>
    <row r="1074" spans="1:16" x14ac:dyDescent="0.35">
      <c r="A1074" s="3" t="s">
        <v>20</v>
      </c>
      <c r="B1074" s="3" t="str">
        <f>INDEX(State_Region!$B$2:$B$26,MATCH(TRIM(A1074),State_Region!$A$2:$A$26,0))</f>
        <v>West</v>
      </c>
      <c r="C1074" s="3" t="s">
        <v>145</v>
      </c>
      <c r="D1074" s="3" t="str">
        <f>INDEX(Port_Type!$B$2:$B$227,MATCH(TRIM(C1074),Port_Type!$A$2:$A$227,0))</f>
        <v>Inland ICD / CFS</v>
      </c>
      <c r="E1074" s="3" t="s">
        <v>48</v>
      </c>
      <c r="F1074" s="3" t="str">
        <f>INDEX(Product_Category!$B$2:$B$45,MATCH(TRIM(E1074),Product_Category!$A$2:$A$45,0))</f>
        <v>Processed Foods</v>
      </c>
      <c r="G1074" s="4">
        <v>0</v>
      </c>
      <c r="H1074" s="4">
        <v>0.01</v>
      </c>
      <c r="I1074" s="4">
        <v>0.09</v>
      </c>
      <c r="J1074" s="4">
        <v>0</v>
      </c>
      <c r="K1074" s="4">
        <v>3.61</v>
      </c>
      <c r="L1074" s="4">
        <v>36.97</v>
      </c>
      <c r="M1074" s="4">
        <f t="shared" si="48"/>
        <v>0.01</v>
      </c>
      <c r="N1074" s="4">
        <f t="shared" si="49"/>
        <v>3.61</v>
      </c>
      <c r="O1074" s="4">
        <f t="shared" si="50"/>
        <v>0.08</v>
      </c>
      <c r="P1074" s="3" t="s">
        <v>19</v>
      </c>
    </row>
    <row r="1075" spans="1:16" x14ac:dyDescent="0.35">
      <c r="A1075" s="3" t="s">
        <v>25</v>
      </c>
      <c r="B1075" s="3" t="str">
        <f>INDEX(State_Region!$B$2:$B$26,MATCH(TRIM(A1075),State_Region!$A$2:$A$26,0))</f>
        <v>South</v>
      </c>
      <c r="C1075" s="3" t="s">
        <v>29</v>
      </c>
      <c r="D1075" s="3" t="str">
        <f>INDEX(Port_Type!$B$2:$B$227,MATCH(TRIM(C1075),Port_Type!$A$2:$A$227,0))</f>
        <v>Sea Port</v>
      </c>
      <c r="E1075" s="3" t="s">
        <v>122</v>
      </c>
      <c r="F1075" s="3" t="str">
        <f>INDEX(Product_Category!$B$2:$B$45,MATCH(TRIM(E1075),Product_Category!$A$2:$A$45,0))</f>
        <v>Others</v>
      </c>
      <c r="G1075" s="4">
        <v>0.14000000000000001</v>
      </c>
      <c r="H1075" s="4">
        <v>0.1</v>
      </c>
      <c r="I1075" s="4">
        <v>0.08</v>
      </c>
      <c r="J1075" s="4">
        <v>53.36</v>
      </c>
      <c r="K1075" s="4">
        <v>237.15</v>
      </c>
      <c r="L1075" s="4">
        <v>194.01</v>
      </c>
      <c r="M1075" s="4">
        <f t="shared" si="48"/>
        <v>-4.0000000000000008E-2</v>
      </c>
      <c r="N1075" s="4">
        <f t="shared" si="49"/>
        <v>183.79000000000002</v>
      </c>
      <c r="O1075" s="4">
        <f t="shared" si="50"/>
        <v>-2.0000000000000004E-2</v>
      </c>
      <c r="P1075" s="3" t="s">
        <v>19</v>
      </c>
    </row>
    <row r="1076" spans="1:16" x14ac:dyDescent="0.35">
      <c r="A1076" s="3" t="s">
        <v>35</v>
      </c>
      <c r="B1076" s="3" t="str">
        <f>INDEX(State_Region!$B$2:$B$26,MATCH(TRIM(A1076),State_Region!$A$2:$A$26,0))</f>
        <v>North</v>
      </c>
      <c r="C1076" s="3" t="s">
        <v>37</v>
      </c>
      <c r="D1076" s="3" t="str">
        <f>INDEX(Port_Type!$B$2:$B$227,MATCH(TRIM(C1076),Port_Type!$A$2:$A$227,0))</f>
        <v>Inland ICD / CFS</v>
      </c>
      <c r="E1076" s="3" t="s">
        <v>59</v>
      </c>
      <c r="F1076" s="3" t="str">
        <f>INDEX(Product_Category!$B$2:$B$45,MATCH(TRIM(E1076),Product_Category!$A$2:$A$45,0))</f>
        <v>Processed Foods</v>
      </c>
      <c r="G1076" s="4">
        <v>0.04</v>
      </c>
      <c r="H1076" s="4">
        <v>0.14000000000000001</v>
      </c>
      <c r="I1076" s="4">
        <v>0.08</v>
      </c>
      <c r="J1076" s="4">
        <v>5.92</v>
      </c>
      <c r="K1076" s="4">
        <v>11.93</v>
      </c>
      <c r="L1076" s="4">
        <v>8.19</v>
      </c>
      <c r="M1076" s="4">
        <f t="shared" si="48"/>
        <v>0.1</v>
      </c>
      <c r="N1076" s="4">
        <f t="shared" si="49"/>
        <v>6.01</v>
      </c>
      <c r="O1076" s="4">
        <f t="shared" si="50"/>
        <v>-6.0000000000000012E-2</v>
      </c>
      <c r="P1076" s="3" t="s">
        <v>19</v>
      </c>
    </row>
    <row r="1077" spans="1:16" x14ac:dyDescent="0.35">
      <c r="A1077" s="3" t="s">
        <v>49</v>
      </c>
      <c r="B1077" s="3" t="str">
        <f>INDEX(State_Region!$B$2:$B$26,MATCH(TRIM(A1077),State_Region!$A$2:$A$26,0))</f>
        <v>North</v>
      </c>
      <c r="C1077" s="3" t="s">
        <v>121</v>
      </c>
      <c r="D1077" s="3" t="str">
        <f>INDEX(Port_Type!$B$2:$B$227,MATCH(TRIM(C1077),Port_Type!$A$2:$A$227,0))</f>
        <v>Inland ICD / CFS</v>
      </c>
      <c r="E1077" s="3" t="s">
        <v>54</v>
      </c>
      <c r="F1077" s="3" t="str">
        <f>INDEX(Product_Category!$B$2:$B$45,MATCH(TRIM(E1077),Product_Category!$A$2:$A$45,0))</f>
        <v>Processed Foods</v>
      </c>
      <c r="G1077" s="4">
        <v>0.17</v>
      </c>
      <c r="H1077" s="4">
        <v>0.18</v>
      </c>
      <c r="I1077" s="4">
        <v>0.08</v>
      </c>
      <c r="J1077" s="4">
        <v>35.51</v>
      </c>
      <c r="K1077" s="4">
        <v>32.869999999999997</v>
      </c>
      <c r="L1077" s="4">
        <v>13.44</v>
      </c>
      <c r="M1077" s="4">
        <f t="shared" si="48"/>
        <v>9.9999999999999811E-3</v>
      </c>
      <c r="N1077" s="4">
        <f t="shared" si="49"/>
        <v>-2.6400000000000006</v>
      </c>
      <c r="O1077" s="4">
        <f t="shared" si="50"/>
        <v>-9.9999999999999992E-2</v>
      </c>
      <c r="P1077" s="3" t="s">
        <v>19</v>
      </c>
    </row>
    <row r="1078" spans="1:16" x14ac:dyDescent="0.35">
      <c r="A1078" s="3" t="s">
        <v>23</v>
      </c>
      <c r="B1078" s="3" t="str">
        <f>INDEX(State_Region!$B$2:$B$26,MATCH(TRIM(A1078),State_Region!$A$2:$A$26,0))</f>
        <v>North</v>
      </c>
      <c r="C1078" s="3" t="s">
        <v>191</v>
      </c>
      <c r="D1078" s="3" t="str">
        <f>INDEX(Port_Type!$B$2:$B$227,MATCH(TRIM(C1078),Port_Type!$A$2:$A$227,0))</f>
        <v>Land Border / Rail</v>
      </c>
      <c r="E1078" s="3" t="s">
        <v>62</v>
      </c>
      <c r="F1078" s="3" t="str">
        <f>INDEX(Product_Category!$B$2:$B$45,MATCH(TRIM(E1078),Product_Category!$A$2:$A$45,0))</f>
        <v>Cereals &amp; Grains</v>
      </c>
      <c r="G1078" s="4">
        <v>0</v>
      </c>
      <c r="H1078" s="4">
        <v>1.05</v>
      </c>
      <c r="I1078" s="4">
        <v>0.08</v>
      </c>
      <c r="J1078" s="4">
        <v>0</v>
      </c>
      <c r="K1078" s="4">
        <v>4314.07</v>
      </c>
      <c r="L1078" s="4">
        <v>361.5</v>
      </c>
      <c r="M1078" s="4">
        <f t="shared" si="48"/>
        <v>1.05</v>
      </c>
      <c r="N1078" s="4">
        <f t="shared" si="49"/>
        <v>4314.07</v>
      </c>
      <c r="O1078" s="4">
        <f t="shared" si="50"/>
        <v>-0.97000000000000008</v>
      </c>
      <c r="P1078" s="3" t="s">
        <v>19</v>
      </c>
    </row>
    <row r="1079" spans="1:16" x14ac:dyDescent="0.35">
      <c r="A1079" s="3" t="s">
        <v>20</v>
      </c>
      <c r="B1079" s="3" t="str">
        <f>INDEX(State_Region!$B$2:$B$26,MATCH(TRIM(A1079),State_Region!$A$2:$A$26,0))</f>
        <v>West</v>
      </c>
      <c r="C1079" s="3" t="s">
        <v>173</v>
      </c>
      <c r="D1079" s="3" t="str">
        <f>INDEX(Port_Type!$B$2:$B$227,MATCH(TRIM(C1079),Port_Type!$A$2:$A$227,0))</f>
        <v>Inland ICD / CFS</v>
      </c>
      <c r="E1079" s="3" t="s">
        <v>27</v>
      </c>
      <c r="F1079" s="3" t="str">
        <f>INDEX(Product_Category!$B$2:$B$45,MATCH(TRIM(E1079),Product_Category!$A$2:$A$45,0))</f>
        <v>Cereals &amp; Grains</v>
      </c>
      <c r="G1079" s="4">
        <v>7.0000000000000007E-2</v>
      </c>
      <c r="H1079" s="4">
        <v>0.2</v>
      </c>
      <c r="I1079" s="4">
        <v>0.08</v>
      </c>
      <c r="J1079" s="4">
        <v>75.64</v>
      </c>
      <c r="K1079" s="4">
        <v>156.43</v>
      </c>
      <c r="L1079" s="4">
        <v>67.62</v>
      </c>
      <c r="M1079" s="4">
        <f t="shared" si="48"/>
        <v>0.13</v>
      </c>
      <c r="N1079" s="4">
        <f t="shared" si="49"/>
        <v>80.790000000000006</v>
      </c>
      <c r="O1079" s="4">
        <f t="shared" si="50"/>
        <v>-0.12000000000000001</v>
      </c>
      <c r="P1079" s="3" t="s">
        <v>19</v>
      </c>
    </row>
    <row r="1080" spans="1:16" x14ac:dyDescent="0.35">
      <c r="A1080" s="3" t="s">
        <v>231</v>
      </c>
      <c r="B1080" s="3" t="str">
        <f>INDEX(State_Region!$B$2:$B$26,MATCH(TRIM(A1080),State_Region!$A$2:$A$26,0))</f>
        <v>North-East</v>
      </c>
      <c r="C1080" s="3" t="s">
        <v>236</v>
      </c>
      <c r="D1080" s="3" t="str">
        <f>INDEX(Port_Type!$B$2:$B$227,MATCH(TRIM(C1080),Port_Type!$A$2:$A$227,0))</f>
        <v>Land Border / Rail</v>
      </c>
      <c r="E1080" s="3" t="s">
        <v>62</v>
      </c>
      <c r="F1080" s="3" t="str">
        <f>INDEX(Product_Category!$B$2:$B$45,MATCH(TRIM(E1080),Product_Category!$A$2:$A$45,0))</f>
        <v>Cereals &amp; Grains</v>
      </c>
      <c r="G1080" s="4">
        <v>0.01</v>
      </c>
      <c r="H1080" s="4">
        <v>0.27</v>
      </c>
      <c r="I1080" s="4">
        <v>0.08</v>
      </c>
      <c r="J1080" s="4">
        <v>45.96</v>
      </c>
      <c r="K1080" s="4">
        <v>1074.1400000000001</v>
      </c>
      <c r="L1080" s="4">
        <v>372.57</v>
      </c>
      <c r="M1080" s="4">
        <f t="shared" si="48"/>
        <v>0.26</v>
      </c>
      <c r="N1080" s="4">
        <f t="shared" si="49"/>
        <v>1028.18</v>
      </c>
      <c r="O1080" s="4">
        <f t="shared" si="50"/>
        <v>-0.19</v>
      </c>
      <c r="P1080" s="3" t="s">
        <v>19</v>
      </c>
    </row>
    <row r="1081" spans="1:16" x14ac:dyDescent="0.35">
      <c r="A1081" s="3" t="s">
        <v>86</v>
      </c>
      <c r="B1081" s="3" t="str">
        <f>INDEX(State_Region!$B$2:$B$26,MATCH(TRIM(A1081),State_Region!$A$2:$A$26,0))</f>
        <v>North</v>
      </c>
      <c r="C1081" s="3" t="s">
        <v>207</v>
      </c>
      <c r="D1081" s="3" t="str">
        <f>INDEX(Port_Type!$B$2:$B$227,MATCH(TRIM(C1081),Port_Type!$A$2:$A$227,0))</f>
        <v>Inland ICD / CFS</v>
      </c>
      <c r="E1081" s="3" t="s">
        <v>72</v>
      </c>
      <c r="F1081" s="3" t="str">
        <f>INDEX(Product_Category!$B$2:$B$45,MATCH(TRIM(E1081),Product_Category!$A$2:$A$45,0))</f>
        <v>Dairy, Poultry &amp; Honey</v>
      </c>
      <c r="G1081" s="4">
        <v>0.1</v>
      </c>
      <c r="H1081" s="4">
        <v>0.24</v>
      </c>
      <c r="I1081" s="4">
        <v>0.08</v>
      </c>
      <c r="J1081" s="4">
        <v>9.83</v>
      </c>
      <c r="K1081" s="4">
        <v>69.08</v>
      </c>
      <c r="L1081" s="4">
        <v>36.21</v>
      </c>
      <c r="M1081" s="4">
        <f t="shared" si="48"/>
        <v>0.13999999999999999</v>
      </c>
      <c r="N1081" s="4">
        <f t="shared" si="49"/>
        <v>59.25</v>
      </c>
      <c r="O1081" s="4">
        <f t="shared" si="50"/>
        <v>-0.15999999999999998</v>
      </c>
      <c r="P1081" s="3" t="s">
        <v>19</v>
      </c>
    </row>
    <row r="1082" spans="1:16" x14ac:dyDescent="0.35">
      <c r="A1082" s="3" t="s">
        <v>86</v>
      </c>
      <c r="B1082" s="3" t="str">
        <f>INDEX(State_Region!$B$2:$B$26,MATCH(TRIM(A1082),State_Region!$A$2:$A$26,0))</f>
        <v>North</v>
      </c>
      <c r="C1082" s="3" t="s">
        <v>207</v>
      </c>
      <c r="D1082" s="3" t="str">
        <f>INDEX(Port_Type!$B$2:$B$227,MATCH(TRIM(C1082),Port_Type!$A$2:$A$227,0))</f>
        <v>Inland ICD / CFS</v>
      </c>
      <c r="E1082" s="3" t="s">
        <v>53</v>
      </c>
      <c r="F1082" s="3" t="str">
        <f>INDEX(Product_Category!$B$2:$B$45,MATCH(TRIM(E1082),Product_Category!$A$2:$A$45,0))</f>
        <v>Processed Foods</v>
      </c>
      <c r="G1082" s="4">
        <v>0.08</v>
      </c>
      <c r="H1082" s="4">
        <v>0.17</v>
      </c>
      <c r="I1082" s="4">
        <v>0.08</v>
      </c>
      <c r="J1082" s="4">
        <v>52.99</v>
      </c>
      <c r="K1082" s="4">
        <v>68.23</v>
      </c>
      <c r="L1082" s="4">
        <v>11.73</v>
      </c>
      <c r="M1082" s="4">
        <f t="shared" si="48"/>
        <v>9.0000000000000011E-2</v>
      </c>
      <c r="N1082" s="4">
        <f t="shared" si="49"/>
        <v>15.240000000000002</v>
      </c>
      <c r="O1082" s="4">
        <f t="shared" si="50"/>
        <v>-9.0000000000000011E-2</v>
      </c>
      <c r="P1082" s="3" t="s">
        <v>19</v>
      </c>
    </row>
    <row r="1083" spans="1:16" x14ac:dyDescent="0.35">
      <c r="A1083" s="3" t="s">
        <v>74</v>
      </c>
      <c r="B1083" s="3" t="str">
        <f>INDEX(State_Region!$B$2:$B$26,MATCH(TRIM(A1083),State_Region!$A$2:$A$26,0))</f>
        <v>South</v>
      </c>
      <c r="C1083" s="3" t="s">
        <v>137</v>
      </c>
      <c r="D1083" s="3" t="str">
        <f>INDEX(Port_Type!$B$2:$B$227,MATCH(TRIM(C1083),Port_Type!$A$2:$A$227,0))</f>
        <v>Air Cargo</v>
      </c>
      <c r="E1083" s="3" t="s">
        <v>122</v>
      </c>
      <c r="F1083" s="3" t="str">
        <f>INDEX(Product_Category!$B$2:$B$45,MATCH(TRIM(E1083),Product_Category!$A$2:$A$45,0))</f>
        <v>Others</v>
      </c>
      <c r="G1083" s="4">
        <v>0.19</v>
      </c>
      <c r="H1083" s="4">
        <v>0.19</v>
      </c>
      <c r="I1083" s="4">
        <v>0.08</v>
      </c>
      <c r="J1083" s="4">
        <v>54.18</v>
      </c>
      <c r="K1083" s="4">
        <v>58.35</v>
      </c>
      <c r="L1083" s="4">
        <v>18.97</v>
      </c>
      <c r="M1083" s="4">
        <f t="shared" si="48"/>
        <v>0</v>
      </c>
      <c r="N1083" s="4">
        <f t="shared" si="49"/>
        <v>4.1700000000000017</v>
      </c>
      <c r="O1083" s="4">
        <f t="shared" si="50"/>
        <v>-0.11</v>
      </c>
      <c r="P1083" s="3" t="s">
        <v>19</v>
      </c>
    </row>
    <row r="1084" spans="1:16" x14ac:dyDescent="0.35">
      <c r="A1084" s="3" t="s">
        <v>16</v>
      </c>
      <c r="B1084" s="3" t="str">
        <f>INDEX(State_Region!$B$2:$B$26,MATCH(TRIM(A1084),State_Region!$A$2:$A$26,0))</f>
        <v>West</v>
      </c>
      <c r="C1084" s="3" t="s">
        <v>28</v>
      </c>
      <c r="D1084" s="3" t="str">
        <f>INDEX(Port_Type!$B$2:$B$227,MATCH(TRIM(C1084),Port_Type!$A$2:$A$227,0))</f>
        <v>Sea Port</v>
      </c>
      <c r="E1084" s="3" t="s">
        <v>60</v>
      </c>
      <c r="F1084" s="3" t="str">
        <f>INDEX(Product_Category!$B$2:$B$45,MATCH(TRIM(E1084),Product_Category!$A$2:$A$45,0))</f>
        <v>Processed Foods</v>
      </c>
      <c r="G1084" s="4">
        <v>0</v>
      </c>
      <c r="H1084" s="4">
        <v>0</v>
      </c>
      <c r="I1084" s="4">
        <v>0.08</v>
      </c>
      <c r="J1084" s="4">
        <v>0</v>
      </c>
      <c r="K1084" s="4">
        <v>0</v>
      </c>
      <c r="L1084" s="4">
        <v>99</v>
      </c>
      <c r="M1084" s="4">
        <f t="shared" si="48"/>
        <v>0</v>
      </c>
      <c r="N1084" s="4">
        <f t="shared" si="49"/>
        <v>0</v>
      </c>
      <c r="O1084" s="4">
        <f t="shared" si="50"/>
        <v>0.08</v>
      </c>
      <c r="P1084" s="3" t="s">
        <v>19</v>
      </c>
    </row>
    <row r="1085" spans="1:16" x14ac:dyDescent="0.35">
      <c r="A1085" s="3" t="s">
        <v>129</v>
      </c>
      <c r="B1085" s="3" t="str">
        <f>INDEX(State_Region!$B$2:$B$26,MATCH(TRIM(A1085),State_Region!$A$2:$A$26,0))</f>
        <v>East</v>
      </c>
      <c r="C1085" s="3" t="s">
        <v>147</v>
      </c>
      <c r="D1085" s="3" t="str">
        <f>INDEX(Port_Type!$B$2:$B$227,MATCH(TRIM(C1085),Port_Type!$A$2:$A$227,0))</f>
        <v>Land Border / Rail</v>
      </c>
      <c r="E1085" s="3" t="s">
        <v>116</v>
      </c>
      <c r="F1085" s="3" t="str">
        <f>INDEX(Product_Category!$B$2:$B$45,MATCH(TRIM(E1085),Product_Category!$A$2:$A$45,0))</f>
        <v>Others</v>
      </c>
      <c r="G1085" s="4">
        <v>0</v>
      </c>
      <c r="H1085" s="4">
        <v>0</v>
      </c>
      <c r="I1085" s="4">
        <v>0.08</v>
      </c>
      <c r="J1085" s="4">
        <v>0</v>
      </c>
      <c r="K1085" s="4">
        <v>0</v>
      </c>
      <c r="L1085" s="4">
        <v>556.98</v>
      </c>
      <c r="M1085" s="4">
        <f t="shared" si="48"/>
        <v>0</v>
      </c>
      <c r="N1085" s="4">
        <f t="shared" si="49"/>
        <v>0</v>
      </c>
      <c r="O1085" s="4">
        <f t="shared" si="50"/>
        <v>0.08</v>
      </c>
      <c r="P1085" s="3" t="s">
        <v>19</v>
      </c>
    </row>
    <row r="1086" spans="1:16" x14ac:dyDescent="0.35">
      <c r="A1086" s="3" t="s">
        <v>16</v>
      </c>
      <c r="B1086" s="3" t="str">
        <f>INDEX(State_Region!$B$2:$B$26,MATCH(TRIM(A1086),State_Region!$A$2:$A$26,0))</f>
        <v>West</v>
      </c>
      <c r="C1086" s="3" t="s">
        <v>140</v>
      </c>
      <c r="D1086" s="3" t="str">
        <f>INDEX(Port_Type!$B$2:$B$227,MATCH(TRIM(C1086),Port_Type!$A$2:$A$227,0))</f>
        <v>SEZ / EPZ</v>
      </c>
      <c r="E1086" s="3" t="s">
        <v>60</v>
      </c>
      <c r="F1086" s="3" t="str">
        <f>INDEX(Product_Category!$B$2:$B$45,MATCH(TRIM(E1086),Product_Category!$A$2:$A$45,0))</f>
        <v>Processed Foods</v>
      </c>
      <c r="G1086" s="4">
        <v>0.05</v>
      </c>
      <c r="H1086" s="4">
        <v>0.06</v>
      </c>
      <c r="I1086" s="4">
        <v>0.08</v>
      </c>
      <c r="J1086" s="4">
        <v>7.16</v>
      </c>
      <c r="K1086" s="4">
        <v>3.78</v>
      </c>
      <c r="L1086" s="4">
        <v>4.33</v>
      </c>
      <c r="M1086" s="4">
        <f t="shared" si="48"/>
        <v>9.999999999999995E-3</v>
      </c>
      <c r="N1086" s="4">
        <f t="shared" si="49"/>
        <v>-3.3800000000000003</v>
      </c>
      <c r="O1086" s="4">
        <f t="shared" si="50"/>
        <v>2.0000000000000004E-2</v>
      </c>
      <c r="P1086" s="3" t="s">
        <v>19</v>
      </c>
    </row>
    <row r="1087" spans="1:16" x14ac:dyDescent="0.35">
      <c r="A1087" s="3" t="s">
        <v>79</v>
      </c>
      <c r="B1087" s="3" t="str">
        <f>INDEX(State_Region!$B$2:$B$26,MATCH(TRIM(A1087),State_Region!$A$2:$A$26,0))</f>
        <v>South</v>
      </c>
      <c r="C1087" s="3" t="s">
        <v>226</v>
      </c>
      <c r="D1087" s="3" t="str">
        <f>INDEX(Port_Type!$B$2:$B$227,MATCH(TRIM(C1087),Port_Type!$A$2:$A$227,0))</f>
        <v>Air Cargo</v>
      </c>
      <c r="E1087" s="3" t="s">
        <v>76</v>
      </c>
      <c r="F1087" s="3" t="str">
        <f>INDEX(Product_Category!$B$2:$B$45,MATCH(TRIM(E1087),Product_Category!$A$2:$A$45,0))</f>
        <v>Fresh Fruits &amp; Vegetables</v>
      </c>
      <c r="G1087" s="4">
        <v>0.01</v>
      </c>
      <c r="H1087" s="4">
        <v>0.13</v>
      </c>
      <c r="I1087" s="4">
        <v>0.08</v>
      </c>
      <c r="J1087" s="4">
        <v>8.43</v>
      </c>
      <c r="K1087" s="4">
        <v>92.95</v>
      </c>
      <c r="L1087" s="4">
        <v>54.19</v>
      </c>
      <c r="M1087" s="4">
        <f t="shared" si="48"/>
        <v>0.12000000000000001</v>
      </c>
      <c r="N1087" s="4">
        <f t="shared" si="49"/>
        <v>84.52000000000001</v>
      </c>
      <c r="O1087" s="4">
        <f t="shared" si="50"/>
        <v>-0.05</v>
      </c>
      <c r="P1087" s="3" t="s">
        <v>19</v>
      </c>
    </row>
    <row r="1088" spans="1:16" x14ac:dyDescent="0.35">
      <c r="A1088" s="3" t="s">
        <v>16</v>
      </c>
      <c r="B1088" s="3" t="str">
        <f>INDEX(State_Region!$B$2:$B$26,MATCH(TRIM(A1088),State_Region!$A$2:$A$26,0))</f>
        <v>West</v>
      </c>
      <c r="C1088" s="3" t="s">
        <v>135</v>
      </c>
      <c r="D1088" s="3" t="str">
        <f>INDEX(Port_Type!$B$2:$B$227,MATCH(TRIM(C1088),Port_Type!$A$2:$A$227,0))</f>
        <v>Air Cargo</v>
      </c>
      <c r="E1088" s="3" t="s">
        <v>48</v>
      </c>
      <c r="F1088" s="3" t="str">
        <f>INDEX(Product_Category!$B$2:$B$45,MATCH(TRIM(E1088),Product_Category!$A$2:$A$45,0))</f>
        <v>Processed Foods</v>
      </c>
      <c r="G1088" s="4">
        <v>0.24</v>
      </c>
      <c r="H1088" s="4">
        <v>0.21</v>
      </c>
      <c r="I1088" s="4">
        <v>0.08</v>
      </c>
      <c r="J1088" s="4">
        <v>45.89</v>
      </c>
      <c r="K1088" s="4">
        <v>34.42</v>
      </c>
      <c r="L1088" s="4">
        <v>14.72</v>
      </c>
      <c r="M1088" s="4">
        <f t="shared" si="48"/>
        <v>-0.03</v>
      </c>
      <c r="N1088" s="4">
        <f t="shared" si="49"/>
        <v>-11.469999999999999</v>
      </c>
      <c r="O1088" s="4">
        <f t="shared" si="50"/>
        <v>-0.13</v>
      </c>
      <c r="P1088" s="3" t="s">
        <v>19</v>
      </c>
    </row>
    <row r="1089" spans="1:16" x14ac:dyDescent="0.35">
      <c r="A1089" s="3" t="s">
        <v>79</v>
      </c>
      <c r="B1089" s="3" t="str">
        <f>INDEX(State_Region!$B$2:$B$26,MATCH(TRIM(A1089),State_Region!$A$2:$A$26,0))</f>
        <v>South</v>
      </c>
      <c r="C1089" s="3" t="s">
        <v>80</v>
      </c>
      <c r="D1089" s="3" t="str">
        <f>INDEX(Port_Type!$B$2:$B$227,MATCH(TRIM(C1089),Port_Type!$A$2:$A$227,0))</f>
        <v>Inland ICD / CFS</v>
      </c>
      <c r="E1089" s="3" t="s">
        <v>45</v>
      </c>
      <c r="F1089" s="3" t="str">
        <f>INDEX(Product_Category!$B$2:$B$45,MATCH(TRIM(E1089),Product_Category!$A$2:$A$45,0))</f>
        <v>Fresh Fruits &amp; Vegetables</v>
      </c>
      <c r="G1089" s="4">
        <v>0.37</v>
      </c>
      <c r="H1089" s="4">
        <v>0.28999999999999998</v>
      </c>
      <c r="I1089" s="4">
        <v>0.08</v>
      </c>
      <c r="J1089" s="4">
        <v>60.25</v>
      </c>
      <c r="K1089" s="4">
        <v>36.659999999999997</v>
      </c>
      <c r="L1089" s="4">
        <v>25.23</v>
      </c>
      <c r="M1089" s="4">
        <f t="shared" si="48"/>
        <v>-8.0000000000000016E-2</v>
      </c>
      <c r="N1089" s="4">
        <f t="shared" si="49"/>
        <v>-23.590000000000003</v>
      </c>
      <c r="O1089" s="4">
        <f t="shared" si="50"/>
        <v>-0.20999999999999996</v>
      </c>
      <c r="P1089" s="3" t="s">
        <v>19</v>
      </c>
    </row>
    <row r="1090" spans="1:16" x14ac:dyDescent="0.35">
      <c r="A1090" s="3" t="s">
        <v>31</v>
      </c>
      <c r="B1090" s="3" t="str">
        <f>INDEX(State_Region!$B$2:$B$26,MATCH(TRIM(A1090),State_Region!$A$2:$A$26,0))</f>
        <v>East</v>
      </c>
      <c r="C1090" s="3" t="s">
        <v>146</v>
      </c>
      <c r="D1090" s="3" t="str">
        <f>INDEX(Port_Type!$B$2:$B$227,MATCH(TRIM(C1090),Port_Type!$A$2:$A$227,0))</f>
        <v>Land Border / Rail</v>
      </c>
      <c r="E1090" s="3" t="s">
        <v>126</v>
      </c>
      <c r="F1090" s="3" t="str">
        <f>INDEX(Product_Category!$B$2:$B$45,MATCH(TRIM(E1090),Product_Category!$A$2:$A$45,0))</f>
        <v>Cereals &amp; Grains</v>
      </c>
      <c r="G1090" s="4">
        <v>0.73</v>
      </c>
      <c r="H1090" s="4">
        <v>0.28999999999999998</v>
      </c>
      <c r="I1090" s="4">
        <v>0.08</v>
      </c>
      <c r="J1090" s="4">
        <v>2336.02</v>
      </c>
      <c r="K1090" s="4">
        <v>927.09</v>
      </c>
      <c r="L1090" s="4">
        <v>272.22000000000003</v>
      </c>
      <c r="M1090" s="4">
        <f t="shared" ref="M1090:M1153" si="51">H1090-G1090</f>
        <v>-0.44</v>
      </c>
      <c r="N1090" s="4">
        <f t="shared" ref="N1090:N1153" si="52">K1090-J1090</f>
        <v>-1408.9299999999998</v>
      </c>
      <c r="O1090" s="4">
        <f t="shared" ref="O1090:O1153" si="53">I1090-H1090</f>
        <v>-0.20999999999999996</v>
      </c>
      <c r="P1090" s="3" t="s">
        <v>19</v>
      </c>
    </row>
    <row r="1091" spans="1:16" x14ac:dyDescent="0.35">
      <c r="A1091" s="3" t="s">
        <v>23</v>
      </c>
      <c r="B1091" s="3" t="str">
        <f>INDEX(State_Region!$B$2:$B$26,MATCH(TRIM(A1091),State_Region!$A$2:$A$26,0))</f>
        <v>North</v>
      </c>
      <c r="C1091" s="3" t="s">
        <v>136</v>
      </c>
      <c r="D1091" s="3" t="str">
        <f>INDEX(Port_Type!$B$2:$B$227,MATCH(TRIM(C1091),Port_Type!$A$2:$A$227,0))</f>
        <v>Inland ICD / CFS</v>
      </c>
      <c r="E1091" s="3" t="s">
        <v>18</v>
      </c>
      <c r="F1091" s="3" t="str">
        <f>INDEX(Product_Category!$B$2:$B$45,MATCH(TRIM(E1091),Product_Category!$A$2:$A$45,0))</f>
        <v>Cereals &amp; Grains</v>
      </c>
      <c r="G1091" s="4">
        <v>0.05</v>
      </c>
      <c r="H1091" s="4">
        <v>0.04</v>
      </c>
      <c r="I1091" s="4">
        <v>0.08</v>
      </c>
      <c r="J1091" s="4">
        <v>37.380000000000003</v>
      </c>
      <c r="K1091" s="4">
        <v>16.75</v>
      </c>
      <c r="L1091" s="4">
        <v>77.67</v>
      </c>
      <c r="M1091" s="4">
        <f t="shared" si="51"/>
        <v>-1.0000000000000002E-2</v>
      </c>
      <c r="N1091" s="4">
        <f t="shared" si="52"/>
        <v>-20.630000000000003</v>
      </c>
      <c r="O1091" s="4">
        <f t="shared" si="53"/>
        <v>0.04</v>
      </c>
      <c r="P1091" s="3" t="s">
        <v>19</v>
      </c>
    </row>
    <row r="1092" spans="1:16" x14ac:dyDescent="0.35">
      <c r="A1092" s="3" t="s">
        <v>77</v>
      </c>
      <c r="B1092" s="3" t="str">
        <f>INDEX(State_Region!$B$2:$B$26,MATCH(TRIM(A1092),State_Region!$A$2:$A$26,0))</f>
        <v>South</v>
      </c>
      <c r="C1092" s="3" t="s">
        <v>149</v>
      </c>
      <c r="D1092" s="3" t="str">
        <f>INDEX(Port_Type!$B$2:$B$227,MATCH(TRIM(C1092),Port_Type!$A$2:$A$227,0))</f>
        <v>SEZ / EPZ</v>
      </c>
      <c r="E1092" s="3" t="s">
        <v>102</v>
      </c>
      <c r="F1092" s="3" t="str">
        <f>INDEX(Product_Category!$B$2:$B$45,MATCH(TRIM(E1092),Product_Category!$A$2:$A$45,0))</f>
        <v>Fresh Fruits &amp; Vegetables</v>
      </c>
      <c r="G1092" s="4">
        <v>0.18</v>
      </c>
      <c r="H1092" s="4">
        <v>0.2</v>
      </c>
      <c r="I1092" s="4">
        <v>0.08</v>
      </c>
      <c r="J1092" s="4">
        <v>203.22</v>
      </c>
      <c r="K1092" s="4">
        <v>233.94</v>
      </c>
      <c r="L1092" s="4">
        <v>94.05</v>
      </c>
      <c r="M1092" s="4">
        <f t="shared" si="51"/>
        <v>2.0000000000000018E-2</v>
      </c>
      <c r="N1092" s="4">
        <f t="shared" si="52"/>
        <v>30.72</v>
      </c>
      <c r="O1092" s="4">
        <f t="shared" si="53"/>
        <v>-0.12000000000000001</v>
      </c>
      <c r="P1092" s="3" t="s">
        <v>19</v>
      </c>
    </row>
    <row r="1093" spans="1:16" x14ac:dyDescent="0.35">
      <c r="A1093" s="3" t="s">
        <v>23</v>
      </c>
      <c r="B1093" s="3" t="str">
        <f>INDEX(State_Region!$B$2:$B$26,MATCH(TRIM(A1093),State_Region!$A$2:$A$26,0))</f>
        <v>North</v>
      </c>
      <c r="C1093" s="3" t="s">
        <v>44</v>
      </c>
      <c r="D1093" s="3" t="str">
        <f>INDEX(Port_Type!$B$2:$B$227,MATCH(TRIM(C1093),Port_Type!$A$2:$A$227,0))</f>
        <v>Inland ICD / CFS</v>
      </c>
      <c r="E1093" s="3" t="s">
        <v>221</v>
      </c>
      <c r="F1093" s="3" t="str">
        <f>INDEX(Product_Category!$B$2:$B$45,MATCH(TRIM(E1093),Product_Category!$A$2:$A$45,0))</f>
        <v>Meat &amp; Animal Products</v>
      </c>
      <c r="G1093" s="4">
        <v>0.24</v>
      </c>
      <c r="H1093" s="4">
        <v>7.0000000000000007E-2</v>
      </c>
      <c r="I1093" s="4">
        <v>0.08</v>
      </c>
      <c r="J1093" s="4">
        <v>55.28</v>
      </c>
      <c r="K1093" s="4">
        <v>13.45</v>
      </c>
      <c r="L1093" s="4">
        <v>18.84</v>
      </c>
      <c r="M1093" s="4">
        <f t="shared" si="51"/>
        <v>-0.16999999999999998</v>
      </c>
      <c r="N1093" s="4">
        <f t="shared" si="52"/>
        <v>-41.83</v>
      </c>
      <c r="O1093" s="4">
        <f t="shared" si="53"/>
        <v>9.999999999999995E-3</v>
      </c>
      <c r="P1093" s="3" t="s">
        <v>19</v>
      </c>
    </row>
    <row r="1094" spans="1:16" x14ac:dyDescent="0.35">
      <c r="A1094" s="3" t="s">
        <v>20</v>
      </c>
      <c r="B1094" s="3" t="str">
        <f>INDEX(State_Region!$B$2:$B$26,MATCH(TRIM(A1094),State_Region!$A$2:$A$26,0))</f>
        <v>West</v>
      </c>
      <c r="C1094" s="3" t="s">
        <v>154</v>
      </c>
      <c r="D1094" s="3" t="str">
        <f>INDEX(Port_Type!$B$2:$B$227,MATCH(TRIM(C1094),Port_Type!$A$2:$A$227,0))</f>
        <v>Inland ICD / CFS</v>
      </c>
      <c r="E1094" s="3" t="s">
        <v>39</v>
      </c>
      <c r="F1094" s="3" t="str">
        <f>INDEX(Product_Category!$B$2:$B$45,MATCH(TRIM(E1094),Product_Category!$A$2:$A$45,0))</f>
        <v>Processed Foods</v>
      </c>
      <c r="G1094" s="4">
        <v>0.3</v>
      </c>
      <c r="H1094" s="4">
        <v>0.86</v>
      </c>
      <c r="I1094" s="4">
        <v>0.08</v>
      </c>
      <c r="J1094" s="4">
        <v>92.4</v>
      </c>
      <c r="K1094" s="4">
        <v>226.9</v>
      </c>
      <c r="L1094" s="4">
        <v>21.6</v>
      </c>
      <c r="M1094" s="4">
        <f t="shared" si="51"/>
        <v>0.56000000000000005</v>
      </c>
      <c r="N1094" s="4">
        <f t="shared" si="52"/>
        <v>134.5</v>
      </c>
      <c r="O1094" s="4">
        <f t="shared" si="53"/>
        <v>-0.78</v>
      </c>
      <c r="P1094" s="3" t="s">
        <v>19</v>
      </c>
    </row>
    <row r="1095" spans="1:16" x14ac:dyDescent="0.35">
      <c r="A1095" s="3" t="s">
        <v>23</v>
      </c>
      <c r="B1095" s="3" t="str">
        <f>INDEX(State_Region!$B$2:$B$26,MATCH(TRIM(A1095),State_Region!$A$2:$A$26,0))</f>
        <v>North</v>
      </c>
      <c r="C1095" s="3" t="s">
        <v>182</v>
      </c>
      <c r="D1095" s="3" t="str">
        <f>INDEX(Port_Type!$B$2:$B$227,MATCH(TRIM(C1095),Port_Type!$A$2:$A$227,0))</f>
        <v>Air Cargo</v>
      </c>
      <c r="E1095" s="3" t="s">
        <v>76</v>
      </c>
      <c r="F1095" s="3" t="str">
        <f>INDEX(Product_Category!$B$2:$B$45,MATCH(TRIM(E1095),Product_Category!$A$2:$A$45,0))</f>
        <v>Fresh Fruits &amp; Vegetables</v>
      </c>
      <c r="G1095" s="4">
        <v>7.0000000000000007E-2</v>
      </c>
      <c r="H1095" s="4">
        <v>0.19</v>
      </c>
      <c r="I1095" s="4">
        <v>0.08</v>
      </c>
      <c r="J1095" s="4">
        <v>50.71</v>
      </c>
      <c r="K1095" s="4">
        <v>136.22999999999999</v>
      </c>
      <c r="L1095" s="4">
        <v>49.02</v>
      </c>
      <c r="M1095" s="4">
        <f t="shared" si="51"/>
        <v>0.12</v>
      </c>
      <c r="N1095" s="4">
        <f t="shared" si="52"/>
        <v>85.519999999999982</v>
      </c>
      <c r="O1095" s="4">
        <f t="shared" si="53"/>
        <v>-0.11</v>
      </c>
      <c r="P1095" s="3" t="s">
        <v>19</v>
      </c>
    </row>
    <row r="1096" spans="1:16" x14ac:dyDescent="0.35">
      <c r="A1096" s="3" t="s">
        <v>40</v>
      </c>
      <c r="B1096" s="3" t="str">
        <f>INDEX(State_Region!$B$2:$B$26,MATCH(TRIM(A1096),State_Region!$A$2:$A$26,0))</f>
        <v>South</v>
      </c>
      <c r="C1096" s="3" t="s">
        <v>229</v>
      </c>
      <c r="D1096" s="3" t="str">
        <f>INDEX(Port_Type!$B$2:$B$227,MATCH(TRIM(C1096),Port_Type!$A$2:$A$227,0))</f>
        <v>Inland ICD / CFS</v>
      </c>
      <c r="E1096" s="3" t="s">
        <v>72</v>
      </c>
      <c r="F1096" s="3" t="str">
        <f>INDEX(Product_Category!$B$2:$B$45,MATCH(TRIM(E1096),Product_Category!$A$2:$A$45,0))</f>
        <v>Dairy, Poultry &amp; Honey</v>
      </c>
      <c r="G1096" s="4">
        <v>0</v>
      </c>
      <c r="H1096" s="4">
        <v>2.13</v>
      </c>
      <c r="I1096" s="4">
        <v>0.08</v>
      </c>
      <c r="J1096" s="4">
        <v>0</v>
      </c>
      <c r="K1096" s="4">
        <v>246.01</v>
      </c>
      <c r="L1096" s="4">
        <v>9.25</v>
      </c>
      <c r="M1096" s="4">
        <f t="shared" si="51"/>
        <v>2.13</v>
      </c>
      <c r="N1096" s="4">
        <f t="shared" si="52"/>
        <v>246.01</v>
      </c>
      <c r="O1096" s="4">
        <f t="shared" si="53"/>
        <v>-2.0499999999999998</v>
      </c>
      <c r="P1096" s="3" t="s">
        <v>19</v>
      </c>
    </row>
    <row r="1097" spans="1:16" x14ac:dyDescent="0.35">
      <c r="A1097" s="3" t="s">
        <v>16</v>
      </c>
      <c r="B1097" s="3" t="str">
        <f>INDEX(State_Region!$B$2:$B$26,MATCH(TRIM(A1097),State_Region!$A$2:$A$26,0))</f>
        <v>West</v>
      </c>
      <c r="C1097" s="3" t="s">
        <v>135</v>
      </c>
      <c r="D1097" s="3" t="str">
        <f>INDEX(Port_Type!$B$2:$B$227,MATCH(TRIM(C1097),Port_Type!$A$2:$A$227,0))</f>
        <v>Air Cargo</v>
      </c>
      <c r="E1097" s="3" t="s">
        <v>122</v>
      </c>
      <c r="F1097" s="3" t="str">
        <f>INDEX(Product_Category!$B$2:$B$45,MATCH(TRIM(E1097),Product_Category!$A$2:$A$45,0))</f>
        <v>Others</v>
      </c>
      <c r="G1097" s="4">
        <v>0.09</v>
      </c>
      <c r="H1097" s="4">
        <v>0.22</v>
      </c>
      <c r="I1097" s="4">
        <v>0.08</v>
      </c>
      <c r="J1097" s="4">
        <v>3.42</v>
      </c>
      <c r="K1097" s="4">
        <v>9.34</v>
      </c>
      <c r="L1097" s="4">
        <v>2.2200000000000002</v>
      </c>
      <c r="M1097" s="4">
        <f t="shared" si="51"/>
        <v>0.13</v>
      </c>
      <c r="N1097" s="4">
        <f t="shared" si="52"/>
        <v>5.92</v>
      </c>
      <c r="O1097" s="4">
        <f t="shared" si="53"/>
        <v>-0.14000000000000001</v>
      </c>
      <c r="P1097" s="3" t="s">
        <v>19</v>
      </c>
    </row>
    <row r="1098" spans="1:16" x14ac:dyDescent="0.35">
      <c r="A1098" s="3" t="s">
        <v>40</v>
      </c>
      <c r="B1098" s="3" t="str">
        <f>INDEX(State_Region!$B$2:$B$26,MATCH(TRIM(A1098),State_Region!$A$2:$A$26,0))</f>
        <v>South</v>
      </c>
      <c r="C1098" s="3" t="s">
        <v>107</v>
      </c>
      <c r="D1098" s="3" t="str">
        <f>INDEX(Port_Type!$B$2:$B$227,MATCH(TRIM(C1098),Port_Type!$A$2:$A$227,0))</f>
        <v>Sea Port</v>
      </c>
      <c r="E1098" s="3" t="s">
        <v>142</v>
      </c>
      <c r="F1098" s="3" t="str">
        <f>INDEX(Product_Category!$B$2:$B$45,MATCH(TRIM(E1098),Product_Category!$A$2:$A$45,0))</f>
        <v>Nuts &amp; Oilseeds</v>
      </c>
      <c r="G1098" s="4">
        <v>1.02</v>
      </c>
      <c r="H1098" s="4">
        <v>1.04</v>
      </c>
      <c r="I1098" s="4">
        <v>0.08</v>
      </c>
      <c r="J1098" s="4">
        <v>1635.82</v>
      </c>
      <c r="K1098" s="4">
        <v>1281.77</v>
      </c>
      <c r="L1098" s="4">
        <v>93.02</v>
      </c>
      <c r="M1098" s="4">
        <f t="shared" si="51"/>
        <v>2.0000000000000018E-2</v>
      </c>
      <c r="N1098" s="4">
        <f t="shared" si="52"/>
        <v>-354.04999999999995</v>
      </c>
      <c r="O1098" s="4">
        <f t="shared" si="53"/>
        <v>-0.96000000000000008</v>
      </c>
      <c r="P1098" s="3" t="s">
        <v>19</v>
      </c>
    </row>
    <row r="1099" spans="1:16" x14ac:dyDescent="0.35">
      <c r="A1099" s="3" t="s">
        <v>35</v>
      </c>
      <c r="B1099" s="3" t="str">
        <f>INDEX(State_Region!$B$2:$B$26,MATCH(TRIM(A1099),State_Region!$A$2:$A$26,0))</f>
        <v>North</v>
      </c>
      <c r="C1099" s="3" t="s">
        <v>165</v>
      </c>
      <c r="D1099" s="3" t="str">
        <f>INDEX(Port_Type!$B$2:$B$227,MATCH(TRIM(C1099),Port_Type!$A$2:$A$227,0))</f>
        <v>Inland ICD / CFS</v>
      </c>
      <c r="E1099" s="3" t="s">
        <v>54</v>
      </c>
      <c r="F1099" s="3" t="str">
        <f>INDEX(Product_Category!$B$2:$B$45,MATCH(TRIM(E1099),Product_Category!$A$2:$A$45,0))</f>
        <v>Processed Foods</v>
      </c>
      <c r="G1099" s="4">
        <v>0</v>
      </c>
      <c r="H1099" s="4">
        <v>0.34</v>
      </c>
      <c r="I1099" s="4">
        <v>0.08</v>
      </c>
      <c r="J1099" s="4">
        <v>0.37</v>
      </c>
      <c r="K1099" s="4">
        <v>67.319999999999993</v>
      </c>
      <c r="L1099" s="4">
        <v>20.5</v>
      </c>
      <c r="M1099" s="4">
        <f t="shared" si="51"/>
        <v>0.34</v>
      </c>
      <c r="N1099" s="4">
        <f t="shared" si="52"/>
        <v>66.949999999999989</v>
      </c>
      <c r="O1099" s="4">
        <f t="shared" si="53"/>
        <v>-0.26</v>
      </c>
      <c r="P1099" s="3" t="s">
        <v>19</v>
      </c>
    </row>
    <row r="1100" spans="1:16" x14ac:dyDescent="0.35">
      <c r="A1100" s="3" t="s">
        <v>23</v>
      </c>
      <c r="B1100" s="3" t="str">
        <f>INDEX(State_Region!$B$2:$B$26,MATCH(TRIM(A1100),State_Region!$A$2:$A$26,0))</f>
        <v>North</v>
      </c>
      <c r="C1100" s="3" t="s">
        <v>123</v>
      </c>
      <c r="D1100" s="3" t="str">
        <f>INDEX(Port_Type!$B$2:$B$227,MATCH(TRIM(C1100),Port_Type!$A$2:$A$227,0))</f>
        <v>Land Border / Rail</v>
      </c>
      <c r="E1100" s="3" t="s">
        <v>33</v>
      </c>
      <c r="F1100" s="3" t="str">
        <f>INDEX(Product_Category!$B$2:$B$45,MATCH(TRIM(E1100),Product_Category!$A$2:$A$45,0))</f>
        <v>Pulses</v>
      </c>
      <c r="G1100" s="4">
        <v>0.83</v>
      </c>
      <c r="H1100" s="4">
        <v>0.83</v>
      </c>
      <c r="I1100" s="4">
        <v>0.08</v>
      </c>
      <c r="J1100" s="4">
        <v>1007.43</v>
      </c>
      <c r="K1100" s="4">
        <v>1049.1500000000001</v>
      </c>
      <c r="L1100" s="4">
        <v>76.52</v>
      </c>
      <c r="M1100" s="4">
        <f t="shared" si="51"/>
        <v>0</v>
      </c>
      <c r="N1100" s="4">
        <f t="shared" si="52"/>
        <v>41.720000000000141</v>
      </c>
      <c r="O1100" s="4">
        <f t="shared" si="53"/>
        <v>-0.75</v>
      </c>
      <c r="P1100" s="3" t="s">
        <v>19</v>
      </c>
    </row>
    <row r="1101" spans="1:16" x14ac:dyDescent="0.35">
      <c r="A1101" s="3" t="s">
        <v>86</v>
      </c>
      <c r="B1101" s="3" t="str">
        <f>INDEX(State_Region!$B$2:$B$26,MATCH(TRIM(A1101),State_Region!$A$2:$A$26,0))</f>
        <v>North</v>
      </c>
      <c r="C1101" s="3" t="s">
        <v>106</v>
      </c>
      <c r="D1101" s="3" t="str">
        <f>INDEX(Port_Type!$B$2:$B$227,MATCH(TRIM(C1101),Port_Type!$A$2:$A$227,0))</f>
        <v>Inland ICD / CFS</v>
      </c>
      <c r="E1101" s="3" t="s">
        <v>27</v>
      </c>
      <c r="F1101" s="3" t="str">
        <f>INDEX(Product_Category!$B$2:$B$45,MATCH(TRIM(E1101),Product_Category!$A$2:$A$45,0))</f>
        <v>Cereals &amp; Grains</v>
      </c>
      <c r="G1101" s="4">
        <v>0.05</v>
      </c>
      <c r="H1101" s="4">
        <v>0.12</v>
      </c>
      <c r="I1101" s="4">
        <v>0.08</v>
      </c>
      <c r="J1101" s="4">
        <v>74.8</v>
      </c>
      <c r="K1101" s="4">
        <v>129.03</v>
      </c>
      <c r="L1101" s="4">
        <v>111.14</v>
      </c>
      <c r="M1101" s="4">
        <f t="shared" si="51"/>
        <v>6.9999999999999993E-2</v>
      </c>
      <c r="N1101" s="4">
        <f t="shared" si="52"/>
        <v>54.230000000000004</v>
      </c>
      <c r="O1101" s="4">
        <f t="shared" si="53"/>
        <v>-3.9999999999999994E-2</v>
      </c>
      <c r="P1101" s="3" t="s">
        <v>19</v>
      </c>
    </row>
    <row r="1102" spans="1:16" x14ac:dyDescent="0.35">
      <c r="A1102" s="3" t="s">
        <v>20</v>
      </c>
      <c r="B1102" s="3" t="str">
        <f>INDEX(State_Region!$B$2:$B$26,MATCH(TRIM(A1102),State_Region!$A$2:$A$26,0))</f>
        <v>West</v>
      </c>
      <c r="C1102" s="3" t="s">
        <v>56</v>
      </c>
      <c r="D1102" s="3" t="str">
        <f>INDEX(Port_Type!$B$2:$B$227,MATCH(TRIM(C1102),Port_Type!$A$2:$A$227,0))</f>
        <v>Inland ICD / CFS</v>
      </c>
      <c r="E1102" s="3" t="s">
        <v>62</v>
      </c>
      <c r="F1102" s="3" t="str">
        <f>INDEX(Product_Category!$B$2:$B$45,MATCH(TRIM(E1102),Product_Category!$A$2:$A$45,0))</f>
        <v>Cereals &amp; Grains</v>
      </c>
      <c r="G1102" s="4">
        <v>0</v>
      </c>
      <c r="H1102" s="4">
        <v>0</v>
      </c>
      <c r="I1102" s="4">
        <v>0.08</v>
      </c>
      <c r="J1102" s="4">
        <v>0</v>
      </c>
      <c r="K1102" s="4">
        <v>0</v>
      </c>
      <c r="L1102" s="4">
        <v>200</v>
      </c>
      <c r="M1102" s="4">
        <f t="shared" si="51"/>
        <v>0</v>
      </c>
      <c r="N1102" s="4">
        <f t="shared" si="52"/>
        <v>0</v>
      </c>
      <c r="O1102" s="4">
        <f t="shared" si="53"/>
        <v>0.08</v>
      </c>
      <c r="P1102" s="3" t="s">
        <v>19</v>
      </c>
    </row>
    <row r="1103" spans="1:16" x14ac:dyDescent="0.35">
      <c r="A1103" s="3" t="s">
        <v>35</v>
      </c>
      <c r="B1103" s="3" t="str">
        <f>INDEX(State_Region!$B$2:$B$26,MATCH(TRIM(A1103),State_Region!$A$2:$A$26,0))</f>
        <v>North</v>
      </c>
      <c r="C1103" s="3" t="s">
        <v>36</v>
      </c>
      <c r="D1103" s="3" t="str">
        <f>INDEX(Port_Type!$B$2:$B$227,MATCH(TRIM(C1103),Port_Type!$A$2:$A$227,0))</f>
        <v>Inland ICD / CFS</v>
      </c>
      <c r="E1103" s="3" t="s">
        <v>42</v>
      </c>
      <c r="F1103" s="3" t="str">
        <f>INDEX(Product_Category!$B$2:$B$45,MATCH(TRIM(E1103),Product_Category!$A$2:$A$45,0))</f>
        <v>Processed Foods</v>
      </c>
      <c r="G1103" s="4">
        <v>0.35</v>
      </c>
      <c r="H1103" s="4">
        <v>0.22</v>
      </c>
      <c r="I1103" s="4">
        <v>7.0000000000000007E-2</v>
      </c>
      <c r="J1103" s="4">
        <v>211.97</v>
      </c>
      <c r="K1103" s="4">
        <v>115.1</v>
      </c>
      <c r="L1103" s="4">
        <v>53.44</v>
      </c>
      <c r="M1103" s="4">
        <f t="shared" si="51"/>
        <v>-0.12999999999999998</v>
      </c>
      <c r="N1103" s="4">
        <f t="shared" si="52"/>
        <v>-96.87</v>
      </c>
      <c r="O1103" s="4">
        <f t="shared" si="53"/>
        <v>-0.15</v>
      </c>
      <c r="P1103" s="3" t="s">
        <v>19</v>
      </c>
    </row>
    <row r="1104" spans="1:16" x14ac:dyDescent="0.35">
      <c r="A1104" s="3" t="s">
        <v>16</v>
      </c>
      <c r="B1104" s="3" t="str">
        <f>INDEX(State_Region!$B$2:$B$26,MATCH(TRIM(A1104),State_Region!$A$2:$A$26,0))</f>
        <v>West</v>
      </c>
      <c r="C1104" s="3" t="s">
        <v>89</v>
      </c>
      <c r="D1104" s="3" t="str">
        <f>INDEX(Port_Type!$B$2:$B$227,MATCH(TRIM(C1104),Port_Type!$A$2:$A$227,0))</f>
        <v>Inland ICD / CFS</v>
      </c>
      <c r="E1104" s="3" t="s">
        <v>102</v>
      </c>
      <c r="F1104" s="3" t="str">
        <f>INDEX(Product_Category!$B$2:$B$45,MATCH(TRIM(E1104),Product_Category!$A$2:$A$45,0))</f>
        <v>Fresh Fruits &amp; Vegetables</v>
      </c>
      <c r="G1104" s="4">
        <v>1.03</v>
      </c>
      <c r="H1104" s="4">
        <v>0.62</v>
      </c>
      <c r="I1104" s="4">
        <v>7.0000000000000007E-2</v>
      </c>
      <c r="J1104" s="4">
        <v>462.19</v>
      </c>
      <c r="K1104" s="4">
        <v>328.54</v>
      </c>
      <c r="L1104" s="4">
        <v>45.79</v>
      </c>
      <c r="M1104" s="4">
        <f t="shared" si="51"/>
        <v>-0.41000000000000003</v>
      </c>
      <c r="N1104" s="4">
        <f t="shared" si="52"/>
        <v>-133.64999999999998</v>
      </c>
      <c r="O1104" s="4">
        <f t="shared" si="53"/>
        <v>-0.55000000000000004</v>
      </c>
      <c r="P1104" s="3" t="s">
        <v>19</v>
      </c>
    </row>
    <row r="1105" spans="1:16" x14ac:dyDescent="0.35">
      <c r="A1105" s="3" t="s">
        <v>23</v>
      </c>
      <c r="B1105" s="3" t="str">
        <f>INDEX(State_Region!$B$2:$B$26,MATCH(TRIM(A1105),State_Region!$A$2:$A$26,0))</f>
        <v>North</v>
      </c>
      <c r="C1105" s="3" t="s">
        <v>30</v>
      </c>
      <c r="D1105" s="3" t="str">
        <f>INDEX(Port_Type!$B$2:$B$227,MATCH(TRIM(C1105),Port_Type!$A$2:$A$227,0))</f>
        <v>Inland ICD / CFS</v>
      </c>
      <c r="E1105" s="3" t="s">
        <v>69</v>
      </c>
      <c r="F1105" s="3" t="str">
        <f>INDEX(Product_Category!$B$2:$B$45,MATCH(TRIM(E1105),Product_Category!$A$2:$A$45,0))</f>
        <v>Others</v>
      </c>
      <c r="G1105" s="4">
        <v>0</v>
      </c>
      <c r="H1105" s="4">
        <v>0</v>
      </c>
      <c r="I1105" s="4">
        <v>7.0000000000000007E-2</v>
      </c>
      <c r="J1105" s="4">
        <v>0</v>
      </c>
      <c r="K1105" s="4">
        <v>0</v>
      </c>
      <c r="L1105" s="4">
        <v>8.51</v>
      </c>
      <c r="M1105" s="4">
        <f t="shared" si="51"/>
        <v>0</v>
      </c>
      <c r="N1105" s="4">
        <f t="shared" si="52"/>
        <v>0</v>
      </c>
      <c r="O1105" s="4">
        <f t="shared" si="53"/>
        <v>7.0000000000000007E-2</v>
      </c>
      <c r="P1105" s="3" t="s">
        <v>19</v>
      </c>
    </row>
    <row r="1106" spans="1:16" x14ac:dyDescent="0.35">
      <c r="A1106" s="3" t="s">
        <v>66</v>
      </c>
      <c r="B1106" s="3" t="str">
        <f>INDEX(State_Region!$B$2:$B$26,MATCH(TRIM(A1106),State_Region!$A$2:$A$26,0))</f>
        <v>North</v>
      </c>
      <c r="C1106" s="3" t="s">
        <v>127</v>
      </c>
      <c r="D1106" s="3" t="str">
        <f>INDEX(Port_Type!$B$2:$B$227,MATCH(TRIM(C1106),Port_Type!$A$2:$A$227,0))</f>
        <v>Inland ICD / CFS</v>
      </c>
      <c r="E1106" s="3" t="s">
        <v>33</v>
      </c>
      <c r="F1106" s="3" t="str">
        <f>INDEX(Product_Category!$B$2:$B$45,MATCH(TRIM(E1106),Product_Category!$A$2:$A$45,0))</f>
        <v>Pulses</v>
      </c>
      <c r="G1106" s="4">
        <v>0.1</v>
      </c>
      <c r="H1106" s="4">
        <v>0.13</v>
      </c>
      <c r="I1106" s="4">
        <v>7.0000000000000007E-2</v>
      </c>
      <c r="J1106" s="4">
        <v>85.33</v>
      </c>
      <c r="K1106" s="4">
        <v>98.56</v>
      </c>
      <c r="L1106" s="4">
        <v>65.12</v>
      </c>
      <c r="M1106" s="4">
        <f t="shared" si="51"/>
        <v>0.03</v>
      </c>
      <c r="N1106" s="4">
        <f t="shared" si="52"/>
        <v>13.230000000000004</v>
      </c>
      <c r="O1106" s="4">
        <f t="shared" si="53"/>
        <v>-0.06</v>
      </c>
      <c r="P1106" s="3" t="s">
        <v>19</v>
      </c>
    </row>
    <row r="1107" spans="1:16" x14ac:dyDescent="0.35">
      <c r="A1107" s="3" t="s">
        <v>16</v>
      </c>
      <c r="B1107" s="3" t="str">
        <f>INDEX(State_Region!$B$2:$B$26,MATCH(TRIM(A1107),State_Region!$A$2:$A$26,0))</f>
        <v>West</v>
      </c>
      <c r="C1107" s="3" t="s">
        <v>109</v>
      </c>
      <c r="D1107" s="3" t="str">
        <f>INDEX(Port_Type!$B$2:$B$227,MATCH(TRIM(C1107),Port_Type!$A$2:$A$227,0))</f>
        <v>SEZ / EPZ</v>
      </c>
      <c r="E1107" s="3" t="s">
        <v>45</v>
      </c>
      <c r="F1107" s="3" t="str">
        <f>INDEX(Product_Category!$B$2:$B$45,MATCH(TRIM(E1107),Product_Category!$A$2:$A$45,0))</f>
        <v>Fresh Fruits &amp; Vegetables</v>
      </c>
      <c r="G1107" s="4">
        <v>0.24</v>
      </c>
      <c r="H1107" s="4">
        <v>0.1</v>
      </c>
      <c r="I1107" s="4">
        <v>7.0000000000000007E-2</v>
      </c>
      <c r="J1107" s="4">
        <v>266.39</v>
      </c>
      <c r="K1107" s="4">
        <v>13.95</v>
      </c>
      <c r="L1107" s="4">
        <v>24.61</v>
      </c>
      <c r="M1107" s="4">
        <f t="shared" si="51"/>
        <v>-0.13999999999999999</v>
      </c>
      <c r="N1107" s="4">
        <f t="shared" si="52"/>
        <v>-252.44</v>
      </c>
      <c r="O1107" s="4">
        <f t="shared" si="53"/>
        <v>-0.03</v>
      </c>
      <c r="P1107" s="3" t="s">
        <v>19</v>
      </c>
    </row>
    <row r="1108" spans="1:16" x14ac:dyDescent="0.35">
      <c r="A1108" s="3" t="s">
        <v>189</v>
      </c>
      <c r="B1108" s="3" t="str">
        <f>INDEX(State_Region!$B$2:$B$26,MATCH(TRIM(A1108),State_Region!$A$2:$A$26,0))</f>
        <v>North</v>
      </c>
      <c r="C1108" s="3" t="s">
        <v>227</v>
      </c>
      <c r="D1108" s="3" t="str">
        <f>INDEX(Port_Type!$B$2:$B$227,MATCH(TRIM(C1108),Port_Type!$A$2:$A$227,0))</f>
        <v>Land Border / Rail</v>
      </c>
      <c r="E1108" s="3" t="s">
        <v>27</v>
      </c>
      <c r="F1108" s="3" t="str">
        <f>INDEX(Product_Category!$B$2:$B$45,MATCH(TRIM(E1108),Product_Category!$A$2:$A$45,0))</f>
        <v>Cereals &amp; Grains</v>
      </c>
      <c r="G1108" s="4">
        <v>0</v>
      </c>
      <c r="H1108" s="4">
        <v>0.04</v>
      </c>
      <c r="I1108" s="4">
        <v>7.0000000000000007E-2</v>
      </c>
      <c r="J1108" s="4">
        <v>0</v>
      </c>
      <c r="K1108" s="4">
        <v>97.08</v>
      </c>
      <c r="L1108" s="4">
        <v>186</v>
      </c>
      <c r="M1108" s="4">
        <f t="shared" si="51"/>
        <v>0.04</v>
      </c>
      <c r="N1108" s="4">
        <f t="shared" si="52"/>
        <v>97.08</v>
      </c>
      <c r="O1108" s="4">
        <f t="shared" si="53"/>
        <v>3.0000000000000006E-2</v>
      </c>
      <c r="P1108" s="3" t="s">
        <v>19</v>
      </c>
    </row>
    <row r="1109" spans="1:16" x14ac:dyDescent="0.35">
      <c r="A1109" s="3" t="s">
        <v>49</v>
      </c>
      <c r="B1109" s="3" t="str">
        <f>INDEX(State_Region!$B$2:$B$26,MATCH(TRIM(A1109),State_Region!$A$2:$A$26,0))</f>
        <v>North</v>
      </c>
      <c r="C1109" s="3" t="s">
        <v>237</v>
      </c>
      <c r="D1109" s="3" t="str">
        <f>INDEX(Port_Type!$B$2:$B$227,MATCH(TRIM(C1109),Port_Type!$A$2:$A$227,0))</f>
        <v>Air Cargo</v>
      </c>
      <c r="E1109" s="3" t="s">
        <v>102</v>
      </c>
      <c r="F1109" s="3" t="str">
        <f>INDEX(Product_Category!$B$2:$B$45,MATCH(TRIM(E1109),Product_Category!$A$2:$A$45,0))</f>
        <v>Fresh Fruits &amp; Vegetables</v>
      </c>
      <c r="G1109" s="4">
        <v>0.36</v>
      </c>
      <c r="H1109" s="4">
        <v>0.86</v>
      </c>
      <c r="I1109" s="4">
        <v>7.0000000000000007E-2</v>
      </c>
      <c r="J1109" s="4">
        <v>676.09</v>
      </c>
      <c r="K1109" s="4">
        <v>891.34</v>
      </c>
      <c r="L1109" s="4">
        <v>101.59</v>
      </c>
      <c r="M1109" s="4">
        <f t="shared" si="51"/>
        <v>0.5</v>
      </c>
      <c r="N1109" s="4">
        <f t="shared" si="52"/>
        <v>215.25</v>
      </c>
      <c r="O1109" s="4">
        <f t="shared" si="53"/>
        <v>-0.79</v>
      </c>
      <c r="P1109" s="3" t="s">
        <v>19</v>
      </c>
    </row>
    <row r="1110" spans="1:16" x14ac:dyDescent="0.35">
      <c r="A1110" s="3" t="s">
        <v>23</v>
      </c>
      <c r="B1110" s="3" t="str">
        <f>INDEX(State_Region!$B$2:$B$26,MATCH(TRIM(A1110),State_Region!$A$2:$A$26,0))</f>
        <v>North</v>
      </c>
      <c r="C1110" s="3" t="s">
        <v>123</v>
      </c>
      <c r="D1110" s="3" t="str">
        <f>INDEX(Port_Type!$B$2:$B$227,MATCH(TRIM(C1110),Port_Type!$A$2:$A$227,0))</f>
        <v>Land Border / Rail</v>
      </c>
      <c r="E1110" s="3" t="s">
        <v>142</v>
      </c>
      <c r="F1110" s="3" t="str">
        <f>INDEX(Product_Category!$B$2:$B$45,MATCH(TRIM(E1110),Product_Category!$A$2:$A$45,0))</f>
        <v>Nuts &amp; Oilseeds</v>
      </c>
      <c r="G1110" s="4">
        <v>0.18</v>
      </c>
      <c r="H1110" s="4">
        <v>0.11</v>
      </c>
      <c r="I1110" s="4">
        <v>7.0000000000000007E-2</v>
      </c>
      <c r="J1110" s="4">
        <v>265.93</v>
      </c>
      <c r="K1110" s="4">
        <v>171.24</v>
      </c>
      <c r="L1110" s="4">
        <v>83.99</v>
      </c>
      <c r="M1110" s="4">
        <f t="shared" si="51"/>
        <v>-6.9999999999999993E-2</v>
      </c>
      <c r="N1110" s="4">
        <f t="shared" si="52"/>
        <v>-94.69</v>
      </c>
      <c r="O1110" s="4">
        <f t="shared" si="53"/>
        <v>-3.9999999999999994E-2</v>
      </c>
      <c r="P1110" s="3" t="s">
        <v>19</v>
      </c>
    </row>
    <row r="1111" spans="1:16" x14ac:dyDescent="0.35">
      <c r="A1111" s="3" t="s">
        <v>23</v>
      </c>
      <c r="B1111" s="3" t="str">
        <f>INDEX(State_Region!$B$2:$B$26,MATCH(TRIM(A1111),State_Region!$A$2:$A$26,0))</f>
        <v>North</v>
      </c>
      <c r="C1111" s="3" t="s">
        <v>191</v>
      </c>
      <c r="D1111" s="3" t="str">
        <f>INDEX(Port_Type!$B$2:$B$227,MATCH(TRIM(C1111),Port_Type!$A$2:$A$227,0))</f>
        <v>Land Border / Rail</v>
      </c>
      <c r="E1111" s="3" t="s">
        <v>116</v>
      </c>
      <c r="F1111" s="3" t="str">
        <f>INDEX(Product_Category!$B$2:$B$45,MATCH(TRIM(E1111),Product_Category!$A$2:$A$45,0))</f>
        <v>Others</v>
      </c>
      <c r="G1111" s="4">
        <v>0</v>
      </c>
      <c r="H1111" s="4">
        <v>0.03</v>
      </c>
      <c r="I1111" s="4">
        <v>7.0000000000000007E-2</v>
      </c>
      <c r="J1111" s="4">
        <v>0</v>
      </c>
      <c r="K1111" s="4">
        <v>223.82</v>
      </c>
      <c r="L1111" s="4">
        <v>352.54</v>
      </c>
      <c r="M1111" s="4">
        <f t="shared" si="51"/>
        <v>0.03</v>
      </c>
      <c r="N1111" s="4">
        <f t="shared" si="52"/>
        <v>223.82</v>
      </c>
      <c r="O1111" s="4">
        <f t="shared" si="53"/>
        <v>4.0000000000000008E-2</v>
      </c>
      <c r="P1111" s="3" t="s">
        <v>19</v>
      </c>
    </row>
    <row r="1112" spans="1:16" x14ac:dyDescent="0.35">
      <c r="A1112" s="3" t="s">
        <v>16</v>
      </c>
      <c r="B1112" s="3" t="str">
        <f>INDEX(State_Region!$B$2:$B$26,MATCH(TRIM(A1112),State_Region!$A$2:$A$26,0))</f>
        <v>West</v>
      </c>
      <c r="C1112" s="3" t="s">
        <v>115</v>
      </c>
      <c r="D1112" s="3" t="str">
        <f>INDEX(Port_Type!$B$2:$B$227,MATCH(TRIM(C1112),Port_Type!$A$2:$A$227,0))</f>
        <v>Inland ICD / CFS</v>
      </c>
      <c r="E1112" s="3" t="s">
        <v>27</v>
      </c>
      <c r="F1112" s="3" t="str">
        <f>INDEX(Product_Category!$B$2:$B$45,MATCH(TRIM(E1112),Product_Category!$A$2:$A$45,0))</f>
        <v>Cereals &amp; Grains</v>
      </c>
      <c r="G1112" s="4">
        <v>0</v>
      </c>
      <c r="H1112" s="4">
        <v>0.18</v>
      </c>
      <c r="I1112" s="4">
        <v>7.0000000000000007E-2</v>
      </c>
      <c r="J1112" s="4">
        <v>0</v>
      </c>
      <c r="K1112" s="4">
        <v>219.39</v>
      </c>
      <c r="L1112" s="4">
        <v>92.9</v>
      </c>
      <c r="M1112" s="4">
        <f t="shared" si="51"/>
        <v>0.18</v>
      </c>
      <c r="N1112" s="4">
        <f t="shared" si="52"/>
        <v>219.39</v>
      </c>
      <c r="O1112" s="4">
        <f t="shared" si="53"/>
        <v>-0.10999999999999999</v>
      </c>
      <c r="P1112" s="3" t="s">
        <v>19</v>
      </c>
    </row>
    <row r="1113" spans="1:16" x14ac:dyDescent="0.35">
      <c r="A1113" s="3" t="s">
        <v>74</v>
      </c>
      <c r="B1113" s="3" t="str">
        <f>INDEX(State_Region!$B$2:$B$26,MATCH(TRIM(A1113),State_Region!$A$2:$A$26,0))</f>
        <v>South</v>
      </c>
      <c r="C1113" s="3" t="s">
        <v>137</v>
      </c>
      <c r="D1113" s="3" t="str">
        <f>INDEX(Port_Type!$B$2:$B$227,MATCH(TRIM(C1113),Port_Type!$A$2:$A$227,0))</f>
        <v>Air Cargo</v>
      </c>
      <c r="E1113" s="3" t="s">
        <v>48</v>
      </c>
      <c r="F1113" s="3" t="str">
        <f>INDEX(Product_Category!$B$2:$B$45,MATCH(TRIM(E1113),Product_Category!$A$2:$A$45,0))</f>
        <v>Processed Foods</v>
      </c>
      <c r="G1113" s="4">
        <v>0.03</v>
      </c>
      <c r="H1113" s="4">
        <v>0.04</v>
      </c>
      <c r="I1113" s="4">
        <v>7.0000000000000007E-2</v>
      </c>
      <c r="J1113" s="4">
        <v>4.4000000000000004</v>
      </c>
      <c r="K1113" s="4">
        <v>10.69</v>
      </c>
      <c r="L1113" s="4">
        <v>25.9</v>
      </c>
      <c r="M1113" s="4">
        <f t="shared" si="51"/>
        <v>1.0000000000000002E-2</v>
      </c>
      <c r="N1113" s="4">
        <f t="shared" si="52"/>
        <v>6.2899999999999991</v>
      </c>
      <c r="O1113" s="4">
        <f t="shared" si="53"/>
        <v>3.0000000000000006E-2</v>
      </c>
      <c r="P1113" s="3" t="s">
        <v>19</v>
      </c>
    </row>
    <row r="1114" spans="1:16" x14ac:dyDescent="0.35">
      <c r="A1114" s="3" t="s">
        <v>35</v>
      </c>
      <c r="B1114" s="3" t="str">
        <f>INDEX(State_Region!$B$2:$B$26,MATCH(TRIM(A1114),State_Region!$A$2:$A$26,0))</f>
        <v>North</v>
      </c>
      <c r="C1114" s="3" t="s">
        <v>165</v>
      </c>
      <c r="D1114" s="3" t="str">
        <f>INDEX(Port_Type!$B$2:$B$227,MATCH(TRIM(C1114),Port_Type!$A$2:$A$227,0))</f>
        <v>Inland ICD / CFS</v>
      </c>
      <c r="E1114" s="3" t="s">
        <v>72</v>
      </c>
      <c r="F1114" s="3" t="str">
        <f>INDEX(Product_Category!$B$2:$B$45,MATCH(TRIM(E1114),Product_Category!$A$2:$A$45,0))</f>
        <v>Dairy, Poultry &amp; Honey</v>
      </c>
      <c r="G1114" s="4">
        <v>0.46</v>
      </c>
      <c r="H1114" s="4">
        <v>0.36</v>
      </c>
      <c r="I1114" s="4">
        <v>7.0000000000000007E-2</v>
      </c>
      <c r="J1114" s="4">
        <v>65.75</v>
      </c>
      <c r="K1114" s="4">
        <v>68.59</v>
      </c>
      <c r="L1114" s="4">
        <v>20.52</v>
      </c>
      <c r="M1114" s="4">
        <f t="shared" si="51"/>
        <v>-0.10000000000000003</v>
      </c>
      <c r="N1114" s="4">
        <f t="shared" si="52"/>
        <v>2.8400000000000034</v>
      </c>
      <c r="O1114" s="4">
        <f t="shared" si="53"/>
        <v>-0.28999999999999998</v>
      </c>
      <c r="P1114" s="3" t="s">
        <v>19</v>
      </c>
    </row>
    <row r="1115" spans="1:16" x14ac:dyDescent="0.35">
      <c r="A1115" s="3" t="s">
        <v>31</v>
      </c>
      <c r="B1115" s="3" t="str">
        <f>INDEX(State_Region!$B$2:$B$26,MATCH(TRIM(A1115),State_Region!$A$2:$A$26,0))</f>
        <v>East</v>
      </c>
      <c r="C1115" s="3" t="s">
        <v>192</v>
      </c>
      <c r="D1115" s="3" t="str">
        <f>INDEX(Port_Type!$B$2:$B$227,MATCH(TRIM(C1115),Port_Type!$A$2:$A$227,0))</f>
        <v>Air Cargo</v>
      </c>
      <c r="E1115" s="3" t="s">
        <v>39</v>
      </c>
      <c r="F1115" s="3" t="str">
        <f>INDEX(Product_Category!$B$2:$B$45,MATCH(TRIM(E1115),Product_Category!$A$2:$A$45,0))</f>
        <v>Processed Foods</v>
      </c>
      <c r="G1115" s="4">
        <v>0.14000000000000001</v>
      </c>
      <c r="H1115" s="4">
        <v>0.24</v>
      </c>
      <c r="I1115" s="4">
        <v>7.0000000000000007E-2</v>
      </c>
      <c r="J1115" s="4">
        <v>11.73</v>
      </c>
      <c r="K1115" s="4">
        <v>50.47</v>
      </c>
      <c r="L1115" s="4">
        <v>12.73</v>
      </c>
      <c r="M1115" s="4">
        <f t="shared" si="51"/>
        <v>9.9999999999999978E-2</v>
      </c>
      <c r="N1115" s="4">
        <f t="shared" si="52"/>
        <v>38.739999999999995</v>
      </c>
      <c r="O1115" s="4">
        <f t="shared" si="53"/>
        <v>-0.16999999999999998</v>
      </c>
      <c r="P1115" s="3" t="s">
        <v>19</v>
      </c>
    </row>
    <row r="1116" spans="1:16" x14ac:dyDescent="0.35">
      <c r="A1116" s="3" t="s">
        <v>20</v>
      </c>
      <c r="B1116" s="3" t="str">
        <f>INDEX(State_Region!$B$2:$B$26,MATCH(TRIM(A1116),State_Region!$A$2:$A$26,0))</f>
        <v>West</v>
      </c>
      <c r="C1116" s="3" t="s">
        <v>82</v>
      </c>
      <c r="D1116" s="3" t="str">
        <f>INDEX(Port_Type!$B$2:$B$227,MATCH(TRIM(C1116),Port_Type!$A$2:$A$227,0))</f>
        <v>Inland ICD / CFS</v>
      </c>
      <c r="E1116" s="3" t="s">
        <v>39</v>
      </c>
      <c r="F1116" s="3" t="str">
        <f>INDEX(Product_Category!$B$2:$B$45,MATCH(TRIM(E1116),Product_Category!$A$2:$A$45,0))</f>
        <v>Processed Foods</v>
      </c>
      <c r="G1116" s="4">
        <v>0.46</v>
      </c>
      <c r="H1116" s="4">
        <v>0.43</v>
      </c>
      <c r="I1116" s="4">
        <v>7.0000000000000007E-2</v>
      </c>
      <c r="J1116" s="4">
        <v>234.51</v>
      </c>
      <c r="K1116" s="4">
        <v>239.16</v>
      </c>
      <c r="L1116" s="4">
        <v>36.880000000000003</v>
      </c>
      <c r="M1116" s="4">
        <f t="shared" si="51"/>
        <v>-3.0000000000000027E-2</v>
      </c>
      <c r="N1116" s="4">
        <f t="shared" si="52"/>
        <v>4.6500000000000057</v>
      </c>
      <c r="O1116" s="4">
        <f t="shared" si="53"/>
        <v>-0.36</v>
      </c>
      <c r="P1116" s="3" t="s">
        <v>19</v>
      </c>
    </row>
    <row r="1117" spans="1:16" x14ac:dyDescent="0.35">
      <c r="A1117" s="3" t="s">
        <v>66</v>
      </c>
      <c r="B1117" s="3" t="str">
        <f>INDEX(State_Region!$B$2:$B$26,MATCH(TRIM(A1117),State_Region!$A$2:$A$26,0))</f>
        <v>North</v>
      </c>
      <c r="C1117" s="3" t="s">
        <v>108</v>
      </c>
      <c r="D1117" s="3" t="str">
        <f>INDEX(Port_Type!$B$2:$B$227,MATCH(TRIM(C1117),Port_Type!$A$2:$A$227,0))</f>
        <v>Inland ICD / CFS</v>
      </c>
      <c r="E1117" s="3" t="s">
        <v>54</v>
      </c>
      <c r="F1117" s="3" t="str">
        <f>INDEX(Product_Category!$B$2:$B$45,MATCH(TRIM(E1117),Product_Category!$A$2:$A$45,0))</f>
        <v>Processed Foods</v>
      </c>
      <c r="G1117" s="4">
        <v>0.15</v>
      </c>
      <c r="H1117" s="4">
        <v>0.23</v>
      </c>
      <c r="I1117" s="4">
        <v>7.0000000000000007E-2</v>
      </c>
      <c r="J1117" s="4">
        <v>64.38</v>
      </c>
      <c r="K1117" s="4">
        <v>87.59</v>
      </c>
      <c r="L1117" s="4">
        <v>28.68</v>
      </c>
      <c r="M1117" s="4">
        <f t="shared" si="51"/>
        <v>8.0000000000000016E-2</v>
      </c>
      <c r="N1117" s="4">
        <f t="shared" si="52"/>
        <v>23.210000000000008</v>
      </c>
      <c r="O1117" s="4">
        <f t="shared" si="53"/>
        <v>-0.16</v>
      </c>
      <c r="P1117" s="3" t="s">
        <v>19</v>
      </c>
    </row>
    <row r="1118" spans="1:16" x14ac:dyDescent="0.35">
      <c r="A1118" s="3" t="s">
        <v>35</v>
      </c>
      <c r="B1118" s="3" t="str">
        <f>INDEX(State_Region!$B$2:$B$26,MATCH(TRIM(A1118),State_Region!$A$2:$A$26,0))</f>
        <v>North</v>
      </c>
      <c r="C1118" s="3" t="s">
        <v>36</v>
      </c>
      <c r="D1118" s="3" t="str">
        <f>INDEX(Port_Type!$B$2:$B$227,MATCH(TRIM(C1118),Port_Type!$A$2:$A$227,0))</f>
        <v>Inland ICD / CFS</v>
      </c>
      <c r="E1118" s="3" t="s">
        <v>54</v>
      </c>
      <c r="F1118" s="3" t="str">
        <f>INDEX(Product_Category!$B$2:$B$45,MATCH(TRIM(E1118),Product_Category!$A$2:$A$45,0))</f>
        <v>Processed Foods</v>
      </c>
      <c r="G1118" s="4">
        <v>0.15</v>
      </c>
      <c r="H1118" s="4">
        <v>0.16</v>
      </c>
      <c r="I1118" s="4">
        <v>7.0000000000000007E-2</v>
      </c>
      <c r="J1118" s="4">
        <v>131.62</v>
      </c>
      <c r="K1118" s="4">
        <v>52.31</v>
      </c>
      <c r="L1118" s="4">
        <v>29.66</v>
      </c>
      <c r="M1118" s="4">
        <f t="shared" si="51"/>
        <v>1.0000000000000009E-2</v>
      </c>
      <c r="N1118" s="4">
        <f t="shared" si="52"/>
        <v>-79.31</v>
      </c>
      <c r="O1118" s="4">
        <f t="shared" si="53"/>
        <v>-0.09</v>
      </c>
      <c r="P1118" s="3" t="s">
        <v>19</v>
      </c>
    </row>
    <row r="1119" spans="1:16" x14ac:dyDescent="0.35">
      <c r="A1119" s="3" t="s">
        <v>57</v>
      </c>
      <c r="B1119" s="3" t="str">
        <f>INDEX(State_Region!$B$2:$B$26,MATCH(TRIM(A1119),State_Region!$A$2:$A$26,0))</f>
        <v>Central</v>
      </c>
      <c r="C1119" s="3" t="s">
        <v>175</v>
      </c>
      <c r="D1119" s="3" t="str">
        <f>INDEX(Port_Type!$B$2:$B$227,MATCH(TRIM(C1119),Port_Type!$A$2:$A$227,0))</f>
        <v>Inland ICD / CFS</v>
      </c>
      <c r="E1119" s="3" t="s">
        <v>65</v>
      </c>
      <c r="F1119" s="3" t="str">
        <f>INDEX(Product_Category!$B$2:$B$45,MATCH(TRIM(E1119),Product_Category!$A$2:$A$45,0))</f>
        <v>Cereals &amp; Grains</v>
      </c>
      <c r="G1119" s="4">
        <v>0</v>
      </c>
      <c r="H1119" s="4">
        <v>0.01</v>
      </c>
      <c r="I1119" s="4">
        <v>7.0000000000000007E-2</v>
      </c>
      <c r="J1119" s="4">
        <v>0</v>
      </c>
      <c r="K1119" s="4">
        <v>17</v>
      </c>
      <c r="L1119" s="4">
        <v>134.49</v>
      </c>
      <c r="M1119" s="4">
        <f t="shared" si="51"/>
        <v>0.01</v>
      </c>
      <c r="N1119" s="4">
        <f t="shared" si="52"/>
        <v>17</v>
      </c>
      <c r="O1119" s="4">
        <f t="shared" si="53"/>
        <v>6.0000000000000005E-2</v>
      </c>
      <c r="P1119" s="3" t="s">
        <v>19</v>
      </c>
    </row>
    <row r="1120" spans="1:16" x14ac:dyDescent="0.35">
      <c r="A1120" s="3" t="s">
        <v>40</v>
      </c>
      <c r="B1120" s="3" t="str">
        <f>INDEX(State_Region!$B$2:$B$26,MATCH(TRIM(A1120),State_Region!$A$2:$A$26,0))</f>
        <v>South</v>
      </c>
      <c r="C1120" s="3" t="s">
        <v>41</v>
      </c>
      <c r="D1120" s="3" t="str">
        <f>INDEX(Port_Type!$B$2:$B$227,MATCH(TRIM(C1120),Port_Type!$A$2:$A$227,0))</f>
        <v>Sea Port</v>
      </c>
      <c r="E1120" s="3" t="s">
        <v>118</v>
      </c>
      <c r="F1120" s="3" t="str">
        <f>INDEX(Product_Category!$B$2:$B$45,MATCH(TRIM(E1120),Product_Category!$A$2:$A$45,0))</f>
        <v>Dairy, Poultry &amp; Honey</v>
      </c>
      <c r="G1120" s="4">
        <v>0.15</v>
      </c>
      <c r="H1120" s="4">
        <v>0.15</v>
      </c>
      <c r="I1120" s="4">
        <v>7.0000000000000007E-2</v>
      </c>
      <c r="J1120" s="4">
        <v>31.53</v>
      </c>
      <c r="K1120" s="4">
        <v>35.17</v>
      </c>
      <c r="L1120" s="4">
        <v>19.75</v>
      </c>
      <c r="M1120" s="4">
        <f t="shared" si="51"/>
        <v>0</v>
      </c>
      <c r="N1120" s="4">
        <f t="shared" si="52"/>
        <v>3.6400000000000006</v>
      </c>
      <c r="O1120" s="4">
        <f t="shared" si="53"/>
        <v>-7.9999999999999988E-2</v>
      </c>
      <c r="P1120" s="3" t="s">
        <v>19</v>
      </c>
    </row>
    <row r="1121" spans="1:16" x14ac:dyDescent="0.35">
      <c r="A1121" s="3" t="s">
        <v>16</v>
      </c>
      <c r="B1121" s="3" t="str">
        <f>INDEX(State_Region!$B$2:$B$26,MATCH(TRIM(A1121),State_Region!$A$2:$A$26,0))</f>
        <v>West</v>
      </c>
      <c r="C1121" s="3" t="s">
        <v>109</v>
      </c>
      <c r="D1121" s="3" t="str">
        <f>INDEX(Port_Type!$B$2:$B$227,MATCH(TRIM(C1121),Port_Type!$A$2:$A$227,0))</f>
        <v>SEZ / EPZ</v>
      </c>
      <c r="E1121" s="3" t="s">
        <v>72</v>
      </c>
      <c r="F1121" s="3" t="str">
        <f>INDEX(Product_Category!$B$2:$B$45,MATCH(TRIM(E1121),Product_Category!$A$2:$A$45,0))</f>
        <v>Dairy, Poultry &amp; Honey</v>
      </c>
      <c r="G1121" s="4">
        <v>0.25</v>
      </c>
      <c r="H1121" s="4">
        <v>0.55000000000000004</v>
      </c>
      <c r="I1121" s="4">
        <v>7.0000000000000007E-2</v>
      </c>
      <c r="J1121" s="4">
        <v>51.08</v>
      </c>
      <c r="K1121" s="4">
        <v>121.78</v>
      </c>
      <c r="L1121" s="4">
        <v>13.3</v>
      </c>
      <c r="M1121" s="4">
        <f t="shared" si="51"/>
        <v>0.30000000000000004</v>
      </c>
      <c r="N1121" s="4">
        <f t="shared" si="52"/>
        <v>70.7</v>
      </c>
      <c r="O1121" s="4">
        <f t="shared" si="53"/>
        <v>-0.48000000000000004</v>
      </c>
      <c r="P1121" s="3" t="s">
        <v>19</v>
      </c>
    </row>
    <row r="1122" spans="1:16" x14ac:dyDescent="0.35">
      <c r="A1122" s="3" t="s">
        <v>86</v>
      </c>
      <c r="B1122" s="3" t="str">
        <f>INDEX(State_Region!$B$2:$B$26,MATCH(TRIM(A1122),State_Region!$A$2:$A$26,0))</f>
        <v>North</v>
      </c>
      <c r="C1122" s="3" t="s">
        <v>87</v>
      </c>
      <c r="D1122" s="3" t="str">
        <f>INDEX(Port_Type!$B$2:$B$227,MATCH(TRIM(C1122),Port_Type!$A$2:$A$227,0))</f>
        <v>Air Cargo</v>
      </c>
      <c r="E1122" s="3" t="s">
        <v>125</v>
      </c>
      <c r="F1122" s="3" t="str">
        <f>INDEX(Product_Category!$B$2:$B$45,MATCH(TRIM(E1122),Product_Category!$A$2:$A$45,0))</f>
        <v>Meat &amp; Animal Products</v>
      </c>
      <c r="G1122" s="4">
        <v>0.13</v>
      </c>
      <c r="H1122" s="4">
        <v>0.18</v>
      </c>
      <c r="I1122" s="4">
        <v>7.0000000000000007E-2</v>
      </c>
      <c r="J1122" s="4">
        <v>35.159999999999997</v>
      </c>
      <c r="K1122" s="4">
        <v>27.1</v>
      </c>
      <c r="L1122" s="4">
        <v>10.42</v>
      </c>
      <c r="M1122" s="4">
        <f t="shared" si="51"/>
        <v>4.9999999999999989E-2</v>
      </c>
      <c r="N1122" s="4">
        <f t="shared" si="52"/>
        <v>-8.0599999999999952</v>
      </c>
      <c r="O1122" s="4">
        <f t="shared" si="53"/>
        <v>-0.10999999999999999</v>
      </c>
      <c r="P1122" s="3" t="s">
        <v>19</v>
      </c>
    </row>
    <row r="1123" spans="1:16" x14ac:dyDescent="0.35">
      <c r="A1123" s="3" t="s">
        <v>57</v>
      </c>
      <c r="B1123" s="3" t="str">
        <f>INDEX(State_Region!$B$2:$B$26,MATCH(TRIM(A1123),State_Region!$A$2:$A$26,0))</f>
        <v>Central</v>
      </c>
      <c r="C1123" s="3" t="s">
        <v>225</v>
      </c>
      <c r="D1123" s="3" t="str">
        <f>INDEX(Port_Type!$B$2:$B$227,MATCH(TRIM(C1123),Port_Type!$A$2:$A$227,0))</f>
        <v>SEZ / EPZ</v>
      </c>
      <c r="E1123" s="3" t="s">
        <v>126</v>
      </c>
      <c r="F1123" s="3" t="str">
        <f>INDEX(Product_Category!$B$2:$B$45,MATCH(TRIM(E1123),Product_Category!$A$2:$A$45,0))</f>
        <v>Cereals &amp; Grains</v>
      </c>
      <c r="G1123" s="4">
        <v>0</v>
      </c>
      <c r="H1123" s="4">
        <v>0</v>
      </c>
      <c r="I1123" s="4">
        <v>7.0000000000000007E-2</v>
      </c>
      <c r="J1123" s="4">
        <v>0</v>
      </c>
      <c r="K1123" s="4">
        <v>0</v>
      </c>
      <c r="L1123" s="4">
        <v>42.69</v>
      </c>
      <c r="M1123" s="4">
        <f t="shared" si="51"/>
        <v>0</v>
      </c>
      <c r="N1123" s="4">
        <f t="shared" si="52"/>
        <v>0</v>
      </c>
      <c r="O1123" s="4">
        <f t="shared" si="53"/>
        <v>7.0000000000000007E-2</v>
      </c>
      <c r="P1123" s="3" t="s">
        <v>19</v>
      </c>
    </row>
    <row r="1124" spans="1:16" x14ac:dyDescent="0.35">
      <c r="A1124" s="3" t="s">
        <v>23</v>
      </c>
      <c r="B1124" s="3" t="str">
        <f>INDEX(State_Region!$B$2:$B$26,MATCH(TRIM(A1124),State_Region!$A$2:$A$26,0))</f>
        <v>North</v>
      </c>
      <c r="C1124" s="3" t="s">
        <v>136</v>
      </c>
      <c r="D1124" s="3" t="str">
        <f>INDEX(Port_Type!$B$2:$B$227,MATCH(TRIM(C1124),Port_Type!$A$2:$A$227,0))</f>
        <v>Inland ICD / CFS</v>
      </c>
      <c r="E1124" s="3" t="s">
        <v>48</v>
      </c>
      <c r="F1124" s="3" t="str">
        <f>INDEX(Product_Category!$B$2:$B$45,MATCH(TRIM(E1124),Product_Category!$A$2:$A$45,0))</f>
        <v>Processed Foods</v>
      </c>
      <c r="G1124" s="4">
        <v>0.08</v>
      </c>
      <c r="H1124" s="4">
        <v>0.31</v>
      </c>
      <c r="I1124" s="4">
        <v>7.0000000000000007E-2</v>
      </c>
      <c r="J1124" s="4">
        <v>35.36</v>
      </c>
      <c r="K1124" s="4">
        <v>124.4</v>
      </c>
      <c r="L1124" s="4">
        <v>34.770000000000003</v>
      </c>
      <c r="M1124" s="4">
        <f t="shared" si="51"/>
        <v>0.22999999999999998</v>
      </c>
      <c r="N1124" s="4">
        <f t="shared" si="52"/>
        <v>89.04</v>
      </c>
      <c r="O1124" s="4">
        <f t="shared" si="53"/>
        <v>-0.24</v>
      </c>
      <c r="P1124" s="3" t="s">
        <v>19</v>
      </c>
    </row>
    <row r="1125" spans="1:16" x14ac:dyDescent="0.35">
      <c r="A1125" s="3" t="s">
        <v>77</v>
      </c>
      <c r="B1125" s="3" t="str">
        <f>INDEX(State_Region!$B$2:$B$26,MATCH(TRIM(A1125),State_Region!$A$2:$A$26,0))</f>
        <v>South</v>
      </c>
      <c r="C1125" s="3" t="s">
        <v>132</v>
      </c>
      <c r="D1125" s="3" t="str">
        <f>INDEX(Port_Type!$B$2:$B$227,MATCH(TRIM(C1125),Port_Type!$A$2:$A$227,0))</f>
        <v>Air Cargo</v>
      </c>
      <c r="E1125" s="3" t="s">
        <v>72</v>
      </c>
      <c r="F1125" s="3" t="str">
        <f>INDEX(Product_Category!$B$2:$B$45,MATCH(TRIM(E1125),Product_Category!$A$2:$A$45,0))</f>
        <v>Dairy, Poultry &amp; Honey</v>
      </c>
      <c r="G1125" s="4">
        <v>0</v>
      </c>
      <c r="H1125" s="4">
        <v>0.17</v>
      </c>
      <c r="I1125" s="4">
        <v>7.0000000000000007E-2</v>
      </c>
      <c r="J1125" s="4">
        <v>0</v>
      </c>
      <c r="K1125" s="4">
        <v>60.82</v>
      </c>
      <c r="L1125" s="4">
        <v>28.07</v>
      </c>
      <c r="M1125" s="4">
        <f t="shared" si="51"/>
        <v>0.17</v>
      </c>
      <c r="N1125" s="4">
        <f t="shared" si="52"/>
        <v>60.82</v>
      </c>
      <c r="O1125" s="4">
        <f t="shared" si="53"/>
        <v>-0.1</v>
      </c>
      <c r="P1125" s="3" t="s">
        <v>19</v>
      </c>
    </row>
    <row r="1126" spans="1:16" x14ac:dyDescent="0.35">
      <c r="A1126" s="3" t="s">
        <v>79</v>
      </c>
      <c r="B1126" s="3" t="str">
        <f>INDEX(State_Region!$B$2:$B$26,MATCH(TRIM(A1126),State_Region!$A$2:$A$26,0))</f>
        <v>South</v>
      </c>
      <c r="C1126" s="3" t="s">
        <v>80</v>
      </c>
      <c r="D1126" s="3" t="str">
        <f>INDEX(Port_Type!$B$2:$B$227,MATCH(TRIM(C1126),Port_Type!$A$2:$A$227,0))</f>
        <v>Inland ICD / CFS</v>
      </c>
      <c r="E1126" s="3" t="s">
        <v>84</v>
      </c>
      <c r="F1126" s="3" t="str">
        <f>INDEX(Product_Category!$B$2:$B$45,MATCH(TRIM(E1126),Product_Category!$A$2:$A$45,0))</f>
        <v>Nuts &amp; Oilseeds</v>
      </c>
      <c r="G1126" s="4">
        <v>0.23</v>
      </c>
      <c r="H1126" s="4">
        <v>0.25</v>
      </c>
      <c r="I1126" s="4">
        <v>7.0000000000000007E-2</v>
      </c>
      <c r="J1126" s="4">
        <v>18.95</v>
      </c>
      <c r="K1126" s="4">
        <v>20.28</v>
      </c>
      <c r="L1126" s="4">
        <v>5.4</v>
      </c>
      <c r="M1126" s="4">
        <f t="shared" si="51"/>
        <v>1.999999999999999E-2</v>
      </c>
      <c r="N1126" s="4">
        <f t="shared" si="52"/>
        <v>1.3300000000000018</v>
      </c>
      <c r="O1126" s="4">
        <f t="shared" si="53"/>
        <v>-0.18</v>
      </c>
      <c r="P1126" s="3" t="s">
        <v>19</v>
      </c>
    </row>
    <row r="1127" spans="1:16" x14ac:dyDescent="0.35">
      <c r="A1127" s="3" t="s">
        <v>23</v>
      </c>
      <c r="B1127" s="3" t="str">
        <f>INDEX(State_Region!$B$2:$B$26,MATCH(TRIM(A1127),State_Region!$A$2:$A$26,0))</f>
        <v>North</v>
      </c>
      <c r="C1127" s="3" t="s">
        <v>136</v>
      </c>
      <c r="D1127" s="3" t="str">
        <f>INDEX(Port_Type!$B$2:$B$227,MATCH(TRIM(C1127),Port_Type!$A$2:$A$227,0))</f>
        <v>Inland ICD / CFS</v>
      </c>
      <c r="E1127" s="3" t="s">
        <v>33</v>
      </c>
      <c r="F1127" s="3" t="str">
        <f>INDEX(Product_Category!$B$2:$B$45,MATCH(TRIM(E1127),Product_Category!$A$2:$A$45,0))</f>
        <v>Pulses</v>
      </c>
      <c r="G1127" s="4">
        <v>0.09</v>
      </c>
      <c r="H1127" s="4">
        <v>0.16</v>
      </c>
      <c r="I1127" s="4">
        <v>7.0000000000000007E-2</v>
      </c>
      <c r="J1127" s="4">
        <v>37.35</v>
      </c>
      <c r="K1127" s="4">
        <v>70.2</v>
      </c>
      <c r="L1127" s="4">
        <v>38.200000000000003</v>
      </c>
      <c r="M1127" s="4">
        <f t="shared" si="51"/>
        <v>7.0000000000000007E-2</v>
      </c>
      <c r="N1127" s="4">
        <f t="shared" si="52"/>
        <v>32.85</v>
      </c>
      <c r="O1127" s="4">
        <f t="shared" si="53"/>
        <v>-0.09</v>
      </c>
      <c r="P1127" s="3" t="s">
        <v>19</v>
      </c>
    </row>
    <row r="1128" spans="1:16" x14ac:dyDescent="0.35">
      <c r="A1128" s="3" t="s">
        <v>40</v>
      </c>
      <c r="B1128" s="3" t="str">
        <f>INDEX(State_Region!$B$2:$B$26,MATCH(TRIM(A1128),State_Region!$A$2:$A$26,0))</f>
        <v>South</v>
      </c>
      <c r="C1128" s="3" t="s">
        <v>220</v>
      </c>
      <c r="D1128" s="3" t="str">
        <f>INDEX(Port_Type!$B$2:$B$227,MATCH(TRIM(C1128),Port_Type!$A$2:$A$227,0))</f>
        <v>Inland ICD / CFS</v>
      </c>
      <c r="E1128" s="3" t="s">
        <v>39</v>
      </c>
      <c r="F1128" s="3" t="str">
        <f>INDEX(Product_Category!$B$2:$B$45,MATCH(TRIM(E1128),Product_Category!$A$2:$A$45,0))</f>
        <v>Processed Foods</v>
      </c>
      <c r="G1128" s="4">
        <v>0.01</v>
      </c>
      <c r="H1128" s="4">
        <v>0.17</v>
      </c>
      <c r="I1128" s="4">
        <v>7.0000000000000007E-2</v>
      </c>
      <c r="J1128" s="4">
        <v>1.62</v>
      </c>
      <c r="K1128" s="4">
        <v>88.8</v>
      </c>
      <c r="L1128" s="4">
        <v>37.369999999999997</v>
      </c>
      <c r="M1128" s="4">
        <f t="shared" si="51"/>
        <v>0.16</v>
      </c>
      <c r="N1128" s="4">
        <f t="shared" si="52"/>
        <v>87.179999999999993</v>
      </c>
      <c r="O1128" s="4">
        <f t="shared" si="53"/>
        <v>-0.1</v>
      </c>
      <c r="P1128" s="3" t="s">
        <v>19</v>
      </c>
    </row>
    <row r="1129" spans="1:16" x14ac:dyDescent="0.35">
      <c r="A1129" s="3" t="s">
        <v>20</v>
      </c>
      <c r="B1129" s="3" t="str">
        <f>INDEX(State_Region!$B$2:$B$26,MATCH(TRIM(A1129),State_Region!$A$2:$A$26,0))</f>
        <v>West</v>
      </c>
      <c r="C1129" s="3" t="s">
        <v>222</v>
      </c>
      <c r="D1129" s="3" t="str">
        <f>INDEX(Port_Type!$B$2:$B$227,MATCH(TRIM(C1129),Port_Type!$A$2:$A$227,0))</f>
        <v>Air Cargo</v>
      </c>
      <c r="E1129" s="3" t="s">
        <v>76</v>
      </c>
      <c r="F1129" s="3" t="str">
        <f>INDEX(Product_Category!$B$2:$B$45,MATCH(TRIM(E1129),Product_Category!$A$2:$A$45,0))</f>
        <v>Fresh Fruits &amp; Vegetables</v>
      </c>
      <c r="G1129" s="4">
        <v>0</v>
      </c>
      <c r="H1129" s="4">
        <v>0.09</v>
      </c>
      <c r="I1129" s="4">
        <v>7.0000000000000007E-2</v>
      </c>
      <c r="J1129" s="4">
        <v>0</v>
      </c>
      <c r="K1129" s="4">
        <v>21.4</v>
      </c>
      <c r="L1129" s="4">
        <v>16.43</v>
      </c>
      <c r="M1129" s="4">
        <f t="shared" si="51"/>
        <v>0.09</v>
      </c>
      <c r="N1129" s="4">
        <f t="shared" si="52"/>
        <v>21.4</v>
      </c>
      <c r="O1129" s="4">
        <f t="shared" si="53"/>
        <v>-1.999999999999999E-2</v>
      </c>
      <c r="P1129" s="3" t="s">
        <v>19</v>
      </c>
    </row>
    <row r="1130" spans="1:16" x14ac:dyDescent="0.35">
      <c r="A1130" s="3" t="s">
        <v>31</v>
      </c>
      <c r="B1130" s="3" t="str">
        <f>INDEX(State_Region!$B$2:$B$26,MATCH(TRIM(A1130),State_Region!$A$2:$A$26,0))</f>
        <v>East</v>
      </c>
      <c r="C1130" s="3" t="s">
        <v>141</v>
      </c>
      <c r="D1130" s="3" t="str">
        <f>INDEX(Port_Type!$B$2:$B$227,MATCH(TRIM(C1130),Port_Type!$A$2:$A$227,0))</f>
        <v>Land Border / Rail</v>
      </c>
      <c r="E1130" s="3" t="s">
        <v>122</v>
      </c>
      <c r="F1130" s="3" t="str">
        <f>INDEX(Product_Category!$B$2:$B$45,MATCH(TRIM(E1130),Product_Category!$A$2:$A$45,0))</f>
        <v>Others</v>
      </c>
      <c r="G1130" s="4">
        <v>0.5</v>
      </c>
      <c r="H1130" s="4">
        <v>0.28999999999999998</v>
      </c>
      <c r="I1130" s="4">
        <v>7.0000000000000007E-2</v>
      </c>
      <c r="J1130" s="4">
        <v>1241.68</v>
      </c>
      <c r="K1130" s="4">
        <v>842.03</v>
      </c>
      <c r="L1130" s="4">
        <v>220.09</v>
      </c>
      <c r="M1130" s="4">
        <f t="shared" si="51"/>
        <v>-0.21000000000000002</v>
      </c>
      <c r="N1130" s="4">
        <f t="shared" si="52"/>
        <v>-399.65000000000009</v>
      </c>
      <c r="O1130" s="4">
        <f t="shared" si="53"/>
        <v>-0.21999999999999997</v>
      </c>
      <c r="P1130" s="3" t="s">
        <v>19</v>
      </c>
    </row>
    <row r="1131" spans="1:16" x14ac:dyDescent="0.35">
      <c r="A1131" s="3" t="s">
        <v>31</v>
      </c>
      <c r="B1131" s="3" t="str">
        <f>INDEX(State_Region!$B$2:$B$26,MATCH(TRIM(A1131),State_Region!$A$2:$A$26,0))</f>
        <v>East</v>
      </c>
      <c r="C1131" s="3" t="s">
        <v>152</v>
      </c>
      <c r="D1131" s="3" t="str">
        <f>INDEX(Port_Type!$B$2:$B$227,MATCH(TRIM(C1131),Port_Type!$A$2:$A$227,0))</f>
        <v>Land Border / Rail</v>
      </c>
      <c r="E1131" s="3" t="s">
        <v>83</v>
      </c>
      <c r="F1131" s="3" t="str">
        <f>INDEX(Product_Category!$B$2:$B$45,MATCH(TRIM(E1131),Product_Category!$A$2:$A$45,0))</f>
        <v>Fresh Fruits &amp; Vegetables</v>
      </c>
      <c r="G1131" s="4">
        <v>3.79</v>
      </c>
      <c r="H1131" s="4">
        <v>2.41</v>
      </c>
      <c r="I1131" s="4">
        <v>7.0000000000000007E-2</v>
      </c>
      <c r="J1131" s="4">
        <v>9995.4500000000007</v>
      </c>
      <c r="K1131" s="4">
        <v>5912.37</v>
      </c>
      <c r="L1131" s="4">
        <v>189.3</v>
      </c>
      <c r="M1131" s="4">
        <f t="shared" si="51"/>
        <v>-1.38</v>
      </c>
      <c r="N1131" s="4">
        <f t="shared" si="52"/>
        <v>-4083.0800000000008</v>
      </c>
      <c r="O1131" s="4">
        <f t="shared" si="53"/>
        <v>-2.3400000000000003</v>
      </c>
      <c r="P1131" s="3" t="s">
        <v>19</v>
      </c>
    </row>
    <row r="1132" spans="1:16" x14ac:dyDescent="0.35">
      <c r="A1132" s="3" t="s">
        <v>86</v>
      </c>
      <c r="B1132" s="3" t="str">
        <f>INDEX(State_Region!$B$2:$B$26,MATCH(TRIM(A1132),State_Region!$A$2:$A$26,0))</f>
        <v>North</v>
      </c>
      <c r="C1132" s="3" t="s">
        <v>207</v>
      </c>
      <c r="D1132" s="3" t="str">
        <f>INDEX(Port_Type!$B$2:$B$227,MATCH(TRIM(C1132),Port_Type!$A$2:$A$227,0))</f>
        <v>Inland ICD / CFS</v>
      </c>
      <c r="E1132" s="3" t="s">
        <v>18</v>
      </c>
      <c r="F1132" s="3" t="str">
        <f>INDEX(Product_Category!$B$2:$B$45,MATCH(TRIM(E1132),Product_Category!$A$2:$A$45,0))</f>
        <v>Cereals &amp; Grains</v>
      </c>
      <c r="G1132" s="4">
        <v>0</v>
      </c>
      <c r="H1132" s="4">
        <v>0.26</v>
      </c>
      <c r="I1132" s="4">
        <v>7.0000000000000007E-2</v>
      </c>
      <c r="J1132" s="4">
        <v>0</v>
      </c>
      <c r="K1132" s="4">
        <v>212.9</v>
      </c>
      <c r="L1132" s="4">
        <v>45.15</v>
      </c>
      <c r="M1132" s="4">
        <f t="shared" si="51"/>
        <v>0.26</v>
      </c>
      <c r="N1132" s="4">
        <f t="shared" si="52"/>
        <v>212.9</v>
      </c>
      <c r="O1132" s="4">
        <f t="shared" si="53"/>
        <v>-0.19</v>
      </c>
      <c r="P1132" s="3" t="s">
        <v>19</v>
      </c>
    </row>
    <row r="1133" spans="1:16" x14ac:dyDescent="0.35">
      <c r="A1133" s="3" t="s">
        <v>23</v>
      </c>
      <c r="B1133" s="3" t="str">
        <f>INDEX(State_Region!$B$2:$B$26,MATCH(TRIM(A1133),State_Region!$A$2:$A$26,0))</f>
        <v>North</v>
      </c>
      <c r="C1133" s="3" t="s">
        <v>44</v>
      </c>
      <c r="D1133" s="3" t="str">
        <f>INDEX(Port_Type!$B$2:$B$227,MATCH(TRIM(C1133),Port_Type!$A$2:$A$227,0))</f>
        <v>Inland ICD / CFS</v>
      </c>
      <c r="E1133" s="3" t="s">
        <v>46</v>
      </c>
      <c r="F1133" s="3" t="str">
        <f>INDEX(Product_Category!$B$2:$B$45,MATCH(TRIM(E1133),Product_Category!$A$2:$A$45,0))</f>
        <v>Others</v>
      </c>
      <c r="G1133" s="4">
        <v>0.03</v>
      </c>
      <c r="H1133" s="4">
        <v>0.03</v>
      </c>
      <c r="I1133" s="4">
        <v>7.0000000000000007E-2</v>
      </c>
      <c r="J1133" s="4">
        <v>6.97</v>
      </c>
      <c r="K1133" s="4">
        <v>10.84</v>
      </c>
      <c r="L1133" s="4">
        <v>18.82</v>
      </c>
      <c r="M1133" s="4">
        <f t="shared" si="51"/>
        <v>0</v>
      </c>
      <c r="N1133" s="4">
        <f t="shared" si="52"/>
        <v>3.87</v>
      </c>
      <c r="O1133" s="4">
        <f t="shared" si="53"/>
        <v>4.0000000000000008E-2</v>
      </c>
      <c r="P1133" s="3" t="s">
        <v>19</v>
      </c>
    </row>
    <row r="1134" spans="1:16" x14ac:dyDescent="0.35">
      <c r="A1134" s="3" t="s">
        <v>31</v>
      </c>
      <c r="B1134" s="3" t="str">
        <f>INDEX(State_Region!$B$2:$B$26,MATCH(TRIM(A1134),State_Region!$A$2:$A$26,0))</f>
        <v>East</v>
      </c>
      <c r="C1134" s="3" t="s">
        <v>192</v>
      </c>
      <c r="D1134" s="3" t="str">
        <f>INDEX(Port_Type!$B$2:$B$227,MATCH(TRIM(C1134),Port_Type!$A$2:$A$227,0))</f>
        <v>Air Cargo</v>
      </c>
      <c r="E1134" s="3" t="s">
        <v>122</v>
      </c>
      <c r="F1134" s="3" t="str">
        <f>INDEX(Product_Category!$B$2:$B$45,MATCH(TRIM(E1134),Product_Category!$A$2:$A$45,0))</f>
        <v>Others</v>
      </c>
      <c r="G1134" s="4">
        <v>0.53</v>
      </c>
      <c r="H1134" s="4">
        <v>0.42</v>
      </c>
      <c r="I1134" s="4">
        <v>7.0000000000000007E-2</v>
      </c>
      <c r="J1134" s="4">
        <v>44.12</v>
      </c>
      <c r="K1134" s="4">
        <v>36.590000000000003</v>
      </c>
      <c r="L1134" s="4">
        <v>5.51</v>
      </c>
      <c r="M1134" s="4">
        <f t="shared" si="51"/>
        <v>-0.11000000000000004</v>
      </c>
      <c r="N1134" s="4">
        <f t="shared" si="52"/>
        <v>-7.529999999999994</v>
      </c>
      <c r="O1134" s="4">
        <f t="shared" si="53"/>
        <v>-0.35</v>
      </c>
      <c r="P1134" s="3" t="s">
        <v>19</v>
      </c>
    </row>
    <row r="1135" spans="1:16" x14ac:dyDescent="0.35">
      <c r="A1135" s="3" t="s">
        <v>74</v>
      </c>
      <c r="B1135" s="3" t="str">
        <f>INDEX(State_Region!$B$2:$B$26,MATCH(TRIM(A1135),State_Region!$A$2:$A$26,0))</f>
        <v>South</v>
      </c>
      <c r="C1135" s="3" t="s">
        <v>137</v>
      </c>
      <c r="D1135" s="3" t="str">
        <f>INDEX(Port_Type!$B$2:$B$227,MATCH(TRIM(C1135),Port_Type!$A$2:$A$227,0))</f>
        <v>Air Cargo</v>
      </c>
      <c r="E1135" s="3" t="s">
        <v>128</v>
      </c>
      <c r="F1135" s="3" t="str">
        <f>INDEX(Product_Category!$B$2:$B$45,MATCH(TRIM(E1135),Product_Category!$A$2:$A$45,0))</f>
        <v>Dairy, Poultry &amp; Honey</v>
      </c>
      <c r="G1135" s="4">
        <v>0.16</v>
      </c>
      <c r="H1135" s="4">
        <v>0.11</v>
      </c>
      <c r="I1135" s="4">
        <v>7.0000000000000007E-2</v>
      </c>
      <c r="J1135" s="4">
        <v>15.86</v>
      </c>
      <c r="K1135" s="4">
        <v>10.210000000000001</v>
      </c>
      <c r="L1135" s="4">
        <v>7.14</v>
      </c>
      <c r="M1135" s="4">
        <f t="shared" si="51"/>
        <v>-0.05</v>
      </c>
      <c r="N1135" s="4">
        <f t="shared" si="52"/>
        <v>-5.6499999999999986</v>
      </c>
      <c r="O1135" s="4">
        <f t="shared" si="53"/>
        <v>-3.9999999999999994E-2</v>
      </c>
      <c r="P1135" s="3" t="s">
        <v>19</v>
      </c>
    </row>
    <row r="1136" spans="1:16" x14ac:dyDescent="0.35">
      <c r="A1136" s="3" t="s">
        <v>31</v>
      </c>
      <c r="B1136" s="3" t="str">
        <f>INDEX(State_Region!$B$2:$B$26,MATCH(TRIM(A1136),State_Region!$A$2:$A$26,0))</f>
        <v>East</v>
      </c>
      <c r="C1136" s="3" t="s">
        <v>32</v>
      </c>
      <c r="D1136" s="3" t="str">
        <f>INDEX(Port_Type!$B$2:$B$227,MATCH(TRIM(C1136),Port_Type!$A$2:$A$227,0))</f>
        <v>Sea Port</v>
      </c>
      <c r="E1136" s="3" t="s">
        <v>72</v>
      </c>
      <c r="F1136" s="3" t="str">
        <f>INDEX(Product_Category!$B$2:$B$45,MATCH(TRIM(E1136),Product_Category!$A$2:$A$45,0))</f>
        <v>Dairy, Poultry &amp; Honey</v>
      </c>
      <c r="G1136" s="4">
        <v>0.22</v>
      </c>
      <c r="H1136" s="4">
        <v>0.28000000000000003</v>
      </c>
      <c r="I1136" s="4">
        <v>0.06</v>
      </c>
      <c r="J1136" s="4">
        <v>90.28</v>
      </c>
      <c r="K1136" s="4">
        <v>90.85</v>
      </c>
      <c r="L1136" s="4">
        <v>23.65</v>
      </c>
      <c r="M1136" s="4">
        <f t="shared" si="51"/>
        <v>6.0000000000000026E-2</v>
      </c>
      <c r="N1136" s="4">
        <f t="shared" si="52"/>
        <v>0.56999999999999318</v>
      </c>
      <c r="O1136" s="4">
        <f t="shared" si="53"/>
        <v>-0.22000000000000003</v>
      </c>
      <c r="P1136" s="3" t="s">
        <v>19</v>
      </c>
    </row>
    <row r="1137" spans="1:16" x14ac:dyDescent="0.35">
      <c r="A1137" s="3" t="s">
        <v>20</v>
      </c>
      <c r="B1137" s="3" t="str">
        <f>INDEX(State_Region!$B$2:$B$26,MATCH(TRIM(A1137),State_Region!$A$2:$A$26,0))</f>
        <v>West</v>
      </c>
      <c r="C1137" s="3" t="s">
        <v>68</v>
      </c>
      <c r="D1137" s="3" t="str">
        <f>INDEX(Port_Type!$B$2:$B$227,MATCH(TRIM(C1137),Port_Type!$A$2:$A$227,0))</f>
        <v>Air Cargo</v>
      </c>
      <c r="E1137" s="3" t="s">
        <v>83</v>
      </c>
      <c r="F1137" s="3" t="str">
        <f>INDEX(Product_Category!$B$2:$B$45,MATCH(TRIM(E1137),Product_Category!$A$2:$A$45,0))</f>
        <v>Fresh Fruits &amp; Vegetables</v>
      </c>
      <c r="G1137" s="4">
        <v>0.15</v>
      </c>
      <c r="H1137" s="4">
        <v>0.35</v>
      </c>
      <c r="I1137" s="4">
        <v>0.06</v>
      </c>
      <c r="J1137" s="4">
        <v>69.819999999999993</v>
      </c>
      <c r="K1137" s="4">
        <v>116.38</v>
      </c>
      <c r="L1137" s="4">
        <v>13.88</v>
      </c>
      <c r="M1137" s="4">
        <f t="shared" si="51"/>
        <v>0.19999999999999998</v>
      </c>
      <c r="N1137" s="4">
        <f t="shared" si="52"/>
        <v>46.56</v>
      </c>
      <c r="O1137" s="4">
        <f t="shared" si="53"/>
        <v>-0.28999999999999998</v>
      </c>
      <c r="P1137" s="3" t="s">
        <v>19</v>
      </c>
    </row>
    <row r="1138" spans="1:16" x14ac:dyDescent="0.35">
      <c r="A1138" s="3" t="s">
        <v>94</v>
      </c>
      <c r="B1138" s="3" t="str">
        <f>INDEX(State_Region!$B$2:$B$26,MATCH(TRIM(A1138),State_Region!$A$2:$A$26,0))</f>
        <v>East</v>
      </c>
      <c r="C1138" s="3" t="s">
        <v>238</v>
      </c>
      <c r="D1138" s="3" t="str">
        <f>INDEX(Port_Type!$B$2:$B$227,MATCH(TRIM(C1138),Port_Type!$A$2:$A$227,0))</f>
        <v>Land Border / Rail</v>
      </c>
      <c r="E1138" s="3" t="s">
        <v>39</v>
      </c>
      <c r="F1138" s="3" t="str">
        <f>INDEX(Product_Category!$B$2:$B$45,MATCH(TRIM(E1138),Product_Category!$A$2:$A$45,0))</f>
        <v>Processed Foods</v>
      </c>
      <c r="G1138" s="4">
        <v>0.08</v>
      </c>
      <c r="H1138" s="4">
        <v>0.27</v>
      </c>
      <c r="I1138" s="4">
        <v>0.06</v>
      </c>
      <c r="J1138" s="4">
        <v>31.4</v>
      </c>
      <c r="K1138" s="4">
        <v>77.260000000000005</v>
      </c>
      <c r="L1138" s="4">
        <v>1.1499999999999999</v>
      </c>
      <c r="M1138" s="4">
        <f t="shared" si="51"/>
        <v>0.19</v>
      </c>
      <c r="N1138" s="4">
        <f t="shared" si="52"/>
        <v>45.860000000000007</v>
      </c>
      <c r="O1138" s="4">
        <f t="shared" si="53"/>
        <v>-0.21000000000000002</v>
      </c>
      <c r="P1138" s="3" t="s">
        <v>19</v>
      </c>
    </row>
    <row r="1139" spans="1:16" x14ac:dyDescent="0.35">
      <c r="A1139" s="3" t="s">
        <v>159</v>
      </c>
      <c r="B1139" s="3" t="str">
        <f>INDEX(State_Region!$B$2:$B$26,MATCH(TRIM(A1139),State_Region!$A$2:$A$26,0))</f>
        <v>North-East</v>
      </c>
      <c r="C1139" s="3" t="s">
        <v>218</v>
      </c>
      <c r="D1139" s="3" t="str">
        <f>INDEX(Port_Type!$B$2:$B$227,MATCH(TRIM(C1139),Port_Type!$A$2:$A$227,0))</f>
        <v>Land Border / Rail</v>
      </c>
      <c r="E1139" s="3" t="s">
        <v>18</v>
      </c>
      <c r="F1139" s="3" t="str">
        <f>INDEX(Product_Category!$B$2:$B$45,MATCH(TRIM(E1139),Product_Category!$A$2:$A$45,0))</f>
        <v>Cereals &amp; Grains</v>
      </c>
      <c r="G1139" s="4">
        <v>0</v>
      </c>
      <c r="H1139" s="4">
        <v>0.12</v>
      </c>
      <c r="I1139" s="4">
        <v>0.06</v>
      </c>
      <c r="J1139" s="4">
        <v>0</v>
      </c>
      <c r="K1139" s="4">
        <v>181.2</v>
      </c>
      <c r="L1139" s="4">
        <v>91</v>
      </c>
      <c r="M1139" s="4">
        <f t="shared" si="51"/>
        <v>0.12</v>
      </c>
      <c r="N1139" s="4">
        <f t="shared" si="52"/>
        <v>181.2</v>
      </c>
      <c r="O1139" s="4">
        <f t="shared" si="53"/>
        <v>-0.06</v>
      </c>
      <c r="P1139" s="3" t="s">
        <v>19</v>
      </c>
    </row>
    <row r="1140" spans="1:16" x14ac:dyDescent="0.35">
      <c r="A1140" s="3" t="s">
        <v>20</v>
      </c>
      <c r="B1140" s="3" t="str">
        <f>INDEX(State_Region!$B$2:$B$26,MATCH(TRIM(A1140),State_Region!$A$2:$A$26,0))</f>
        <v>West</v>
      </c>
      <c r="C1140" s="3" t="s">
        <v>173</v>
      </c>
      <c r="D1140" s="3" t="str">
        <f>INDEX(Port_Type!$B$2:$B$227,MATCH(TRIM(C1140),Port_Type!$A$2:$A$227,0))</f>
        <v>Inland ICD / CFS</v>
      </c>
      <c r="E1140" s="3" t="s">
        <v>54</v>
      </c>
      <c r="F1140" s="3" t="str">
        <f>INDEX(Product_Category!$B$2:$B$45,MATCH(TRIM(E1140),Product_Category!$A$2:$A$45,0))</f>
        <v>Processed Foods</v>
      </c>
      <c r="G1140" s="4">
        <v>0.1</v>
      </c>
      <c r="H1140" s="4">
        <v>0.12</v>
      </c>
      <c r="I1140" s="4">
        <v>0.06</v>
      </c>
      <c r="J1140" s="4">
        <v>33.69</v>
      </c>
      <c r="K1140" s="4">
        <v>39.25</v>
      </c>
      <c r="L1140" s="4">
        <v>15.91</v>
      </c>
      <c r="M1140" s="4">
        <f t="shared" si="51"/>
        <v>1.999999999999999E-2</v>
      </c>
      <c r="N1140" s="4">
        <f t="shared" si="52"/>
        <v>5.5600000000000023</v>
      </c>
      <c r="O1140" s="4">
        <f t="shared" si="53"/>
        <v>-0.06</v>
      </c>
      <c r="P1140" s="3" t="s">
        <v>19</v>
      </c>
    </row>
    <row r="1141" spans="1:16" x14ac:dyDescent="0.35">
      <c r="A1141" s="3" t="s">
        <v>40</v>
      </c>
      <c r="B1141" s="3" t="str">
        <f>INDEX(State_Region!$B$2:$B$26,MATCH(TRIM(A1141),State_Region!$A$2:$A$26,0))</f>
        <v>South</v>
      </c>
      <c r="C1141" s="3" t="s">
        <v>85</v>
      </c>
      <c r="D1141" s="3" t="str">
        <f>INDEX(Port_Type!$B$2:$B$227,MATCH(TRIM(C1141),Port_Type!$A$2:$A$227,0))</f>
        <v>Sea Port</v>
      </c>
      <c r="E1141" s="3" t="s">
        <v>118</v>
      </c>
      <c r="F1141" s="3" t="str">
        <f>INDEX(Product_Category!$B$2:$B$45,MATCH(TRIM(E1141),Product_Category!$A$2:$A$45,0))</f>
        <v>Dairy, Poultry &amp; Honey</v>
      </c>
      <c r="G1141" s="4">
        <v>0.03</v>
      </c>
      <c r="H1141" s="4">
        <v>0.05</v>
      </c>
      <c r="I1141" s="4">
        <v>0.06</v>
      </c>
      <c r="J1141" s="4">
        <v>5.26</v>
      </c>
      <c r="K1141" s="4">
        <v>15.4</v>
      </c>
      <c r="L1141" s="4">
        <v>31.65</v>
      </c>
      <c r="M1141" s="4">
        <f t="shared" si="51"/>
        <v>2.0000000000000004E-2</v>
      </c>
      <c r="N1141" s="4">
        <f t="shared" si="52"/>
        <v>10.14</v>
      </c>
      <c r="O1141" s="4">
        <f t="shared" si="53"/>
        <v>9.999999999999995E-3</v>
      </c>
      <c r="P1141" s="3" t="s">
        <v>19</v>
      </c>
    </row>
    <row r="1142" spans="1:16" x14ac:dyDescent="0.35">
      <c r="A1142" s="3" t="s">
        <v>40</v>
      </c>
      <c r="B1142" s="3" t="str">
        <f>INDEX(State_Region!$B$2:$B$26,MATCH(TRIM(A1142),State_Region!$A$2:$A$26,0))</f>
        <v>South</v>
      </c>
      <c r="C1142" s="3" t="s">
        <v>220</v>
      </c>
      <c r="D1142" s="3" t="str">
        <f>INDEX(Port_Type!$B$2:$B$227,MATCH(TRIM(C1142),Port_Type!$A$2:$A$227,0))</f>
        <v>Inland ICD / CFS</v>
      </c>
      <c r="E1142" s="3" t="s">
        <v>54</v>
      </c>
      <c r="F1142" s="3" t="str">
        <f>INDEX(Product_Category!$B$2:$B$45,MATCH(TRIM(E1142),Product_Category!$A$2:$A$45,0))</f>
        <v>Processed Foods</v>
      </c>
      <c r="G1142" s="4">
        <v>0.02</v>
      </c>
      <c r="H1142" s="4">
        <v>0.12</v>
      </c>
      <c r="I1142" s="4">
        <v>0.06</v>
      </c>
      <c r="J1142" s="4">
        <v>10.199999999999999</v>
      </c>
      <c r="K1142" s="4">
        <v>57.53</v>
      </c>
      <c r="L1142" s="4">
        <v>28.9</v>
      </c>
      <c r="M1142" s="4">
        <f t="shared" si="51"/>
        <v>9.9999999999999992E-2</v>
      </c>
      <c r="N1142" s="4">
        <f t="shared" si="52"/>
        <v>47.33</v>
      </c>
      <c r="O1142" s="4">
        <f t="shared" si="53"/>
        <v>-0.06</v>
      </c>
      <c r="P1142" s="3" t="s">
        <v>19</v>
      </c>
    </row>
    <row r="1143" spans="1:16" x14ac:dyDescent="0.35">
      <c r="A1143" s="3" t="s">
        <v>129</v>
      </c>
      <c r="B1143" s="3" t="str">
        <f>INDEX(State_Region!$B$2:$B$26,MATCH(TRIM(A1143),State_Region!$A$2:$A$26,0))</f>
        <v>East</v>
      </c>
      <c r="C1143" s="3" t="s">
        <v>147</v>
      </c>
      <c r="D1143" s="3" t="str">
        <f>INDEX(Port_Type!$B$2:$B$227,MATCH(TRIM(C1143),Port_Type!$A$2:$A$227,0))</f>
        <v>Land Border / Rail</v>
      </c>
      <c r="E1143" s="3" t="s">
        <v>48</v>
      </c>
      <c r="F1143" s="3" t="str">
        <f>INDEX(Product_Category!$B$2:$B$45,MATCH(TRIM(E1143),Product_Category!$A$2:$A$45,0))</f>
        <v>Processed Foods</v>
      </c>
      <c r="G1143" s="4">
        <v>0.16</v>
      </c>
      <c r="H1143" s="4">
        <v>0.19</v>
      </c>
      <c r="I1143" s="4">
        <v>0.06</v>
      </c>
      <c r="J1143" s="4">
        <v>230.05</v>
      </c>
      <c r="K1143" s="4">
        <v>286.63</v>
      </c>
      <c r="L1143" s="4">
        <v>114.26</v>
      </c>
      <c r="M1143" s="4">
        <f t="shared" si="51"/>
        <v>0.03</v>
      </c>
      <c r="N1143" s="4">
        <f t="shared" si="52"/>
        <v>56.579999999999984</v>
      </c>
      <c r="O1143" s="4">
        <f t="shared" si="53"/>
        <v>-0.13</v>
      </c>
      <c r="P1143" s="3" t="s">
        <v>19</v>
      </c>
    </row>
    <row r="1144" spans="1:16" x14ac:dyDescent="0.35">
      <c r="A1144" s="3" t="s">
        <v>189</v>
      </c>
      <c r="B1144" s="3" t="str">
        <f>INDEX(State_Region!$B$2:$B$26,MATCH(TRIM(A1144),State_Region!$A$2:$A$26,0))</f>
        <v>North</v>
      </c>
      <c r="C1144" s="3" t="s">
        <v>193</v>
      </c>
      <c r="D1144" s="3" t="str">
        <f>INDEX(Port_Type!$B$2:$B$227,MATCH(TRIM(C1144),Port_Type!$A$2:$A$227,0))</f>
        <v>Inland ICD / CFS</v>
      </c>
      <c r="E1144" s="3" t="s">
        <v>59</v>
      </c>
      <c r="F1144" s="3" t="str">
        <f>INDEX(Product_Category!$B$2:$B$45,MATCH(TRIM(E1144),Product_Category!$A$2:$A$45,0))</f>
        <v>Processed Foods</v>
      </c>
      <c r="G1144" s="4">
        <v>0.1</v>
      </c>
      <c r="H1144" s="4">
        <v>0.49</v>
      </c>
      <c r="I1144" s="4">
        <v>0.06</v>
      </c>
      <c r="J1144" s="4">
        <v>53.79</v>
      </c>
      <c r="K1144" s="4">
        <v>218.45</v>
      </c>
      <c r="L1144" s="4">
        <v>31.45</v>
      </c>
      <c r="M1144" s="4">
        <f t="shared" si="51"/>
        <v>0.39</v>
      </c>
      <c r="N1144" s="4">
        <f t="shared" si="52"/>
        <v>164.66</v>
      </c>
      <c r="O1144" s="4">
        <f t="shared" si="53"/>
        <v>-0.43</v>
      </c>
      <c r="P1144" s="3" t="s">
        <v>19</v>
      </c>
    </row>
    <row r="1145" spans="1:16" x14ac:dyDescent="0.35">
      <c r="A1145" s="3" t="s">
        <v>20</v>
      </c>
      <c r="B1145" s="3" t="str">
        <f>INDEX(State_Region!$B$2:$B$26,MATCH(TRIM(A1145),State_Region!$A$2:$A$26,0))</f>
        <v>West</v>
      </c>
      <c r="C1145" s="3" t="s">
        <v>68</v>
      </c>
      <c r="D1145" s="3" t="str">
        <f>INDEX(Port_Type!$B$2:$B$227,MATCH(TRIM(C1145),Port_Type!$A$2:$A$227,0))</f>
        <v>Air Cargo</v>
      </c>
      <c r="E1145" s="3" t="s">
        <v>170</v>
      </c>
      <c r="F1145" s="3" t="str">
        <f>INDEX(Product_Category!$B$2:$B$45,MATCH(TRIM(E1145),Product_Category!$A$2:$A$45,0))</f>
        <v>Others</v>
      </c>
      <c r="G1145" s="4">
        <v>0.21</v>
      </c>
      <c r="H1145" s="4">
        <v>0.24</v>
      </c>
      <c r="I1145" s="4">
        <v>0.06</v>
      </c>
      <c r="J1145" s="4">
        <v>79.180000000000007</v>
      </c>
      <c r="K1145" s="4">
        <v>77.05</v>
      </c>
      <c r="L1145" s="4">
        <v>20.46</v>
      </c>
      <c r="M1145" s="4">
        <f t="shared" si="51"/>
        <v>0.03</v>
      </c>
      <c r="N1145" s="4">
        <f t="shared" si="52"/>
        <v>-2.1300000000000097</v>
      </c>
      <c r="O1145" s="4">
        <f t="shared" si="53"/>
        <v>-0.18</v>
      </c>
      <c r="P1145" s="3" t="s">
        <v>19</v>
      </c>
    </row>
    <row r="1146" spans="1:16" x14ac:dyDescent="0.35">
      <c r="A1146" s="3" t="s">
        <v>20</v>
      </c>
      <c r="B1146" s="3" t="str">
        <f>INDEX(State_Region!$B$2:$B$26,MATCH(TRIM(A1146),State_Region!$A$2:$A$26,0))</f>
        <v>West</v>
      </c>
      <c r="C1146" s="3" t="s">
        <v>56</v>
      </c>
      <c r="D1146" s="3" t="str">
        <f>INDEX(Port_Type!$B$2:$B$227,MATCH(TRIM(C1146),Port_Type!$A$2:$A$227,0))</f>
        <v>Inland ICD / CFS</v>
      </c>
      <c r="E1146" s="3" t="s">
        <v>60</v>
      </c>
      <c r="F1146" s="3" t="str">
        <f>INDEX(Product_Category!$B$2:$B$45,MATCH(TRIM(E1146),Product_Category!$A$2:$A$45,0))</f>
        <v>Processed Foods</v>
      </c>
      <c r="G1146" s="4">
        <v>0</v>
      </c>
      <c r="H1146" s="4">
        <v>0.09</v>
      </c>
      <c r="I1146" s="4">
        <v>0.06</v>
      </c>
      <c r="J1146" s="4">
        <v>0</v>
      </c>
      <c r="K1146" s="4">
        <v>49.41</v>
      </c>
      <c r="L1146" s="4">
        <v>40.799999999999997</v>
      </c>
      <c r="M1146" s="4">
        <f t="shared" si="51"/>
        <v>0.09</v>
      </c>
      <c r="N1146" s="4">
        <f t="shared" si="52"/>
        <v>49.41</v>
      </c>
      <c r="O1146" s="4">
        <f t="shared" si="53"/>
        <v>-0.03</v>
      </c>
      <c r="P1146" s="3" t="s">
        <v>19</v>
      </c>
    </row>
    <row r="1147" spans="1:16" x14ac:dyDescent="0.35">
      <c r="A1147" s="3" t="s">
        <v>40</v>
      </c>
      <c r="B1147" s="3" t="str">
        <f>INDEX(State_Region!$B$2:$B$26,MATCH(TRIM(A1147),State_Region!$A$2:$A$26,0))</f>
        <v>South</v>
      </c>
      <c r="C1147" s="3" t="s">
        <v>117</v>
      </c>
      <c r="D1147" s="3" t="str">
        <f>INDEX(Port_Type!$B$2:$B$227,MATCH(TRIM(C1147),Port_Type!$A$2:$A$227,0))</f>
        <v>Sea Port</v>
      </c>
      <c r="E1147" s="3" t="s">
        <v>122</v>
      </c>
      <c r="F1147" s="3" t="str">
        <f>INDEX(Product_Category!$B$2:$B$45,MATCH(TRIM(E1147),Product_Category!$A$2:$A$45,0))</f>
        <v>Others</v>
      </c>
      <c r="G1147" s="4">
        <v>0.24</v>
      </c>
      <c r="H1147" s="4">
        <v>0.36</v>
      </c>
      <c r="I1147" s="4">
        <v>0.06</v>
      </c>
      <c r="J1147" s="4">
        <v>55.17</v>
      </c>
      <c r="K1147" s="4">
        <v>81.010000000000005</v>
      </c>
      <c r="L1147" s="4">
        <v>12.05</v>
      </c>
      <c r="M1147" s="4">
        <f t="shared" si="51"/>
        <v>0.12</v>
      </c>
      <c r="N1147" s="4">
        <f t="shared" si="52"/>
        <v>25.840000000000003</v>
      </c>
      <c r="O1147" s="4">
        <f t="shared" si="53"/>
        <v>-0.3</v>
      </c>
      <c r="P1147" s="3" t="s">
        <v>19</v>
      </c>
    </row>
    <row r="1148" spans="1:16" x14ac:dyDescent="0.35">
      <c r="A1148" s="3" t="s">
        <v>40</v>
      </c>
      <c r="B1148" s="3" t="str">
        <f>INDEX(State_Region!$B$2:$B$26,MATCH(TRIM(A1148),State_Region!$A$2:$A$26,0))</f>
        <v>South</v>
      </c>
      <c r="C1148" s="3" t="s">
        <v>164</v>
      </c>
      <c r="D1148" s="3" t="str">
        <f>INDEX(Port_Type!$B$2:$B$227,MATCH(TRIM(C1148),Port_Type!$A$2:$A$227,0))</f>
        <v>Air Cargo</v>
      </c>
      <c r="E1148" s="3" t="s">
        <v>72</v>
      </c>
      <c r="F1148" s="3" t="str">
        <f>INDEX(Product_Category!$B$2:$B$45,MATCH(TRIM(E1148),Product_Category!$A$2:$A$45,0))</f>
        <v>Dairy, Poultry &amp; Honey</v>
      </c>
      <c r="G1148" s="4">
        <v>0.2</v>
      </c>
      <c r="H1148" s="4">
        <v>0.24</v>
      </c>
      <c r="I1148" s="4">
        <v>0.06</v>
      </c>
      <c r="J1148" s="4">
        <v>30</v>
      </c>
      <c r="K1148" s="4">
        <v>55.38</v>
      </c>
      <c r="L1148" s="4">
        <v>13.36</v>
      </c>
      <c r="M1148" s="4">
        <f t="shared" si="51"/>
        <v>3.999999999999998E-2</v>
      </c>
      <c r="N1148" s="4">
        <f t="shared" si="52"/>
        <v>25.380000000000003</v>
      </c>
      <c r="O1148" s="4">
        <f t="shared" si="53"/>
        <v>-0.18</v>
      </c>
      <c r="P1148" s="3" t="s">
        <v>19</v>
      </c>
    </row>
    <row r="1149" spans="1:16" x14ac:dyDescent="0.35">
      <c r="A1149" s="3" t="s">
        <v>74</v>
      </c>
      <c r="B1149" s="3" t="str">
        <f>INDEX(State_Region!$B$2:$B$26,MATCH(TRIM(A1149),State_Region!$A$2:$A$26,0))</f>
        <v>South</v>
      </c>
      <c r="C1149" s="3" t="s">
        <v>75</v>
      </c>
      <c r="D1149" s="3" t="str">
        <f>INDEX(Port_Type!$B$2:$B$227,MATCH(TRIM(C1149),Port_Type!$A$2:$A$227,0))</f>
        <v>Inland ICD / CFS</v>
      </c>
      <c r="E1149" s="3" t="s">
        <v>126</v>
      </c>
      <c r="F1149" s="3" t="str">
        <f>INDEX(Product_Category!$B$2:$B$45,MATCH(TRIM(E1149),Product_Category!$A$2:$A$45,0))</f>
        <v>Cereals &amp; Grains</v>
      </c>
      <c r="G1149" s="4">
        <v>0.22</v>
      </c>
      <c r="H1149" s="4">
        <v>0.02</v>
      </c>
      <c r="I1149" s="4">
        <v>0.06</v>
      </c>
      <c r="J1149" s="4">
        <v>100.43</v>
      </c>
      <c r="K1149" s="4">
        <v>10.68</v>
      </c>
      <c r="L1149" s="4">
        <v>29.66</v>
      </c>
      <c r="M1149" s="4">
        <f t="shared" si="51"/>
        <v>-0.2</v>
      </c>
      <c r="N1149" s="4">
        <f t="shared" si="52"/>
        <v>-89.75</v>
      </c>
      <c r="O1149" s="4">
        <f t="shared" si="53"/>
        <v>3.9999999999999994E-2</v>
      </c>
      <c r="P1149" s="3" t="s">
        <v>19</v>
      </c>
    </row>
    <row r="1150" spans="1:16" x14ac:dyDescent="0.35">
      <c r="A1150" s="3" t="s">
        <v>94</v>
      </c>
      <c r="B1150" s="3" t="str">
        <f>INDEX(State_Region!$B$2:$B$26,MATCH(TRIM(A1150),State_Region!$A$2:$A$26,0))</f>
        <v>East</v>
      </c>
      <c r="C1150" s="3" t="s">
        <v>112</v>
      </c>
      <c r="D1150" s="3" t="str">
        <f>INDEX(Port_Type!$B$2:$B$227,MATCH(TRIM(C1150),Port_Type!$A$2:$A$227,0))</f>
        <v>Land Border / Rail</v>
      </c>
      <c r="E1150" s="3" t="s">
        <v>51</v>
      </c>
      <c r="F1150" s="3" t="str">
        <f>INDEX(Product_Category!$B$2:$B$45,MATCH(TRIM(E1150),Product_Category!$A$2:$A$45,0))</f>
        <v>Nuts &amp; Oilseeds</v>
      </c>
      <c r="G1150" s="4">
        <v>0.62</v>
      </c>
      <c r="H1150" s="4">
        <v>0.5</v>
      </c>
      <c r="I1150" s="4">
        <v>0.06</v>
      </c>
      <c r="J1150" s="4">
        <v>691.17</v>
      </c>
      <c r="K1150" s="4">
        <v>560.72</v>
      </c>
      <c r="L1150" s="4">
        <v>62.02</v>
      </c>
      <c r="M1150" s="4">
        <f t="shared" si="51"/>
        <v>-0.12</v>
      </c>
      <c r="N1150" s="4">
        <f t="shared" si="52"/>
        <v>-130.44999999999993</v>
      </c>
      <c r="O1150" s="4">
        <f t="shared" si="53"/>
        <v>-0.44</v>
      </c>
      <c r="P1150" s="3" t="s">
        <v>19</v>
      </c>
    </row>
    <row r="1151" spans="1:16" x14ac:dyDescent="0.35">
      <c r="A1151" s="3" t="s">
        <v>77</v>
      </c>
      <c r="B1151" s="3" t="str">
        <f>INDEX(State_Region!$B$2:$B$26,MATCH(TRIM(A1151),State_Region!$A$2:$A$26,0))</f>
        <v>South</v>
      </c>
      <c r="C1151" s="3" t="s">
        <v>132</v>
      </c>
      <c r="D1151" s="3" t="str">
        <f>INDEX(Port_Type!$B$2:$B$227,MATCH(TRIM(C1151),Port_Type!$A$2:$A$227,0))</f>
        <v>Air Cargo</v>
      </c>
      <c r="E1151" s="3" t="s">
        <v>59</v>
      </c>
      <c r="F1151" s="3" t="str">
        <f>INDEX(Product_Category!$B$2:$B$45,MATCH(TRIM(E1151),Product_Category!$A$2:$A$45,0))</f>
        <v>Processed Foods</v>
      </c>
      <c r="G1151" s="4">
        <v>0.05</v>
      </c>
      <c r="H1151" s="4">
        <v>0.16</v>
      </c>
      <c r="I1151" s="4">
        <v>0.06</v>
      </c>
      <c r="J1151" s="4">
        <v>2.69</v>
      </c>
      <c r="K1151" s="4">
        <v>7.52</v>
      </c>
      <c r="L1151" s="4">
        <v>3.13</v>
      </c>
      <c r="M1151" s="4">
        <f t="shared" si="51"/>
        <v>0.11</v>
      </c>
      <c r="N1151" s="4">
        <f t="shared" si="52"/>
        <v>4.83</v>
      </c>
      <c r="O1151" s="4">
        <f t="shared" si="53"/>
        <v>-0.1</v>
      </c>
      <c r="P1151" s="3" t="s">
        <v>19</v>
      </c>
    </row>
    <row r="1152" spans="1:16" x14ac:dyDescent="0.35">
      <c r="A1152" s="3" t="s">
        <v>231</v>
      </c>
      <c r="B1152" s="3" t="str">
        <f>INDEX(State_Region!$B$2:$B$26,MATCH(TRIM(A1152),State_Region!$A$2:$A$26,0))</f>
        <v>North-East</v>
      </c>
      <c r="C1152" s="3" t="s">
        <v>232</v>
      </c>
      <c r="D1152" s="3" t="str">
        <f>INDEX(Port_Type!$B$2:$B$227,MATCH(TRIM(C1152),Port_Type!$A$2:$A$227,0))</f>
        <v>Land Border / Rail</v>
      </c>
      <c r="E1152" s="3" t="s">
        <v>54</v>
      </c>
      <c r="F1152" s="3" t="str">
        <f>INDEX(Product_Category!$B$2:$B$45,MATCH(TRIM(E1152),Product_Category!$A$2:$A$45,0))</f>
        <v>Processed Foods</v>
      </c>
      <c r="G1152" s="4">
        <v>0.15</v>
      </c>
      <c r="H1152" s="4">
        <v>0.13</v>
      </c>
      <c r="I1152" s="4">
        <v>0.06</v>
      </c>
      <c r="J1152" s="4">
        <v>323.92</v>
      </c>
      <c r="K1152" s="4">
        <v>300.04000000000002</v>
      </c>
      <c r="L1152" s="4">
        <v>175.51</v>
      </c>
      <c r="M1152" s="4">
        <f t="shared" si="51"/>
        <v>-1.999999999999999E-2</v>
      </c>
      <c r="N1152" s="4">
        <f t="shared" si="52"/>
        <v>-23.879999999999995</v>
      </c>
      <c r="O1152" s="4">
        <f t="shared" si="53"/>
        <v>-7.0000000000000007E-2</v>
      </c>
      <c r="P1152" s="3" t="s">
        <v>19</v>
      </c>
    </row>
    <row r="1153" spans="1:16" x14ac:dyDescent="0.35">
      <c r="A1153" s="3" t="s">
        <v>16</v>
      </c>
      <c r="B1153" s="3" t="str">
        <f>INDEX(State_Region!$B$2:$B$26,MATCH(TRIM(A1153),State_Region!$A$2:$A$26,0))</f>
        <v>West</v>
      </c>
      <c r="C1153" s="3" t="s">
        <v>135</v>
      </c>
      <c r="D1153" s="3" t="str">
        <f>INDEX(Port_Type!$B$2:$B$227,MATCH(TRIM(C1153),Port_Type!$A$2:$A$227,0))</f>
        <v>Air Cargo</v>
      </c>
      <c r="E1153" s="3" t="s">
        <v>42</v>
      </c>
      <c r="F1153" s="3" t="str">
        <f>INDEX(Product_Category!$B$2:$B$45,MATCH(TRIM(E1153),Product_Category!$A$2:$A$45,0))</f>
        <v>Processed Foods</v>
      </c>
      <c r="G1153" s="4">
        <v>0.14000000000000001</v>
      </c>
      <c r="H1153" s="4">
        <v>0.16</v>
      </c>
      <c r="I1153" s="4">
        <v>0.06</v>
      </c>
      <c r="J1153" s="4">
        <v>45.06</v>
      </c>
      <c r="K1153" s="4">
        <v>58.37</v>
      </c>
      <c r="L1153" s="4">
        <v>16.32</v>
      </c>
      <c r="M1153" s="4">
        <f t="shared" si="51"/>
        <v>1.999999999999999E-2</v>
      </c>
      <c r="N1153" s="4">
        <f t="shared" si="52"/>
        <v>13.309999999999995</v>
      </c>
      <c r="O1153" s="4">
        <f t="shared" si="53"/>
        <v>-0.1</v>
      </c>
      <c r="P1153" s="3" t="s">
        <v>19</v>
      </c>
    </row>
    <row r="1154" spans="1:16" x14ac:dyDescent="0.35">
      <c r="A1154" s="3" t="s">
        <v>49</v>
      </c>
      <c r="B1154" s="3" t="str">
        <f>INDEX(State_Region!$B$2:$B$26,MATCH(TRIM(A1154),State_Region!$A$2:$A$26,0))</f>
        <v>North</v>
      </c>
      <c r="C1154" s="3" t="s">
        <v>176</v>
      </c>
      <c r="D1154" s="3" t="str">
        <f>INDEX(Port_Type!$B$2:$B$227,MATCH(TRIM(C1154),Port_Type!$A$2:$A$227,0))</f>
        <v>Inland ICD / CFS</v>
      </c>
      <c r="E1154" s="3" t="s">
        <v>53</v>
      </c>
      <c r="F1154" s="3" t="str">
        <f>INDEX(Product_Category!$B$2:$B$45,MATCH(TRIM(E1154),Product_Category!$A$2:$A$45,0))</f>
        <v>Processed Foods</v>
      </c>
      <c r="G1154" s="4">
        <v>0.03</v>
      </c>
      <c r="H1154" s="4">
        <v>0.26</v>
      </c>
      <c r="I1154" s="4">
        <v>0.06</v>
      </c>
      <c r="J1154" s="4">
        <v>27.62</v>
      </c>
      <c r="K1154" s="4">
        <v>201.21</v>
      </c>
      <c r="L1154" s="4">
        <v>52.16</v>
      </c>
      <c r="M1154" s="4">
        <f t="shared" ref="M1154:M1217" si="54">H1154-G1154</f>
        <v>0.23</v>
      </c>
      <c r="N1154" s="4">
        <f t="shared" ref="N1154:N1217" si="55">K1154-J1154</f>
        <v>173.59</v>
      </c>
      <c r="O1154" s="4">
        <f t="shared" ref="O1154:O1217" si="56">I1154-H1154</f>
        <v>-0.2</v>
      </c>
      <c r="P1154" s="3" t="s">
        <v>19</v>
      </c>
    </row>
    <row r="1155" spans="1:16" x14ac:dyDescent="0.35">
      <c r="A1155" s="3" t="s">
        <v>16</v>
      </c>
      <c r="B1155" s="3" t="str">
        <f>INDEX(State_Region!$B$2:$B$26,MATCH(TRIM(A1155),State_Region!$A$2:$A$26,0))</f>
        <v>West</v>
      </c>
      <c r="C1155" s="3" t="s">
        <v>115</v>
      </c>
      <c r="D1155" s="3" t="str">
        <f>INDEX(Port_Type!$B$2:$B$227,MATCH(TRIM(C1155),Port_Type!$A$2:$A$227,0))</f>
        <v>Inland ICD / CFS</v>
      </c>
      <c r="E1155" s="3" t="s">
        <v>65</v>
      </c>
      <c r="F1155" s="3" t="str">
        <f>INDEX(Product_Category!$B$2:$B$45,MATCH(TRIM(E1155),Product_Category!$A$2:$A$45,0))</f>
        <v>Cereals &amp; Grains</v>
      </c>
      <c r="G1155" s="4">
        <v>0.02</v>
      </c>
      <c r="H1155" s="4">
        <v>0.24</v>
      </c>
      <c r="I1155" s="4">
        <v>0.06</v>
      </c>
      <c r="J1155" s="4">
        <v>23.93</v>
      </c>
      <c r="K1155" s="4">
        <v>321.74</v>
      </c>
      <c r="L1155" s="4">
        <v>114.29</v>
      </c>
      <c r="M1155" s="4">
        <f t="shared" si="54"/>
        <v>0.22</v>
      </c>
      <c r="N1155" s="4">
        <f t="shared" si="55"/>
        <v>297.81</v>
      </c>
      <c r="O1155" s="4">
        <f t="shared" si="56"/>
        <v>-0.18</v>
      </c>
      <c r="P1155" s="3" t="s">
        <v>19</v>
      </c>
    </row>
    <row r="1156" spans="1:16" x14ac:dyDescent="0.35">
      <c r="A1156" s="3" t="s">
        <v>20</v>
      </c>
      <c r="B1156" s="3" t="str">
        <f>INDEX(State_Region!$B$2:$B$26,MATCH(TRIM(A1156),State_Region!$A$2:$A$26,0))</f>
        <v>West</v>
      </c>
      <c r="C1156" s="3" t="s">
        <v>235</v>
      </c>
      <c r="D1156" s="3" t="str">
        <f>INDEX(Port_Type!$B$2:$B$227,MATCH(TRIM(C1156),Port_Type!$A$2:$A$227,0))</f>
        <v>Inland ICD / CFS</v>
      </c>
      <c r="E1156" s="3" t="s">
        <v>42</v>
      </c>
      <c r="F1156" s="3" t="str">
        <f>INDEX(Product_Category!$B$2:$B$45,MATCH(TRIM(E1156),Product_Category!$A$2:$A$45,0))</f>
        <v>Processed Foods</v>
      </c>
      <c r="G1156" s="4">
        <v>2.12</v>
      </c>
      <c r="H1156" s="4">
        <v>1.6</v>
      </c>
      <c r="I1156" s="4">
        <v>0.06</v>
      </c>
      <c r="J1156" s="4">
        <v>346.81</v>
      </c>
      <c r="K1156" s="4">
        <v>263.91000000000003</v>
      </c>
      <c r="L1156" s="4">
        <v>7.88</v>
      </c>
      <c r="M1156" s="4">
        <f t="shared" si="54"/>
        <v>-0.52</v>
      </c>
      <c r="N1156" s="4">
        <f t="shared" si="55"/>
        <v>-82.899999999999977</v>
      </c>
      <c r="O1156" s="4">
        <f t="shared" si="56"/>
        <v>-1.54</v>
      </c>
      <c r="P1156" s="3" t="s">
        <v>19</v>
      </c>
    </row>
    <row r="1157" spans="1:16" x14ac:dyDescent="0.35">
      <c r="A1157" s="3" t="s">
        <v>86</v>
      </c>
      <c r="B1157" s="3" t="str">
        <f>INDEX(State_Region!$B$2:$B$26,MATCH(TRIM(A1157),State_Region!$A$2:$A$26,0))</f>
        <v>North</v>
      </c>
      <c r="C1157" s="3" t="s">
        <v>106</v>
      </c>
      <c r="D1157" s="3" t="str">
        <f>INDEX(Port_Type!$B$2:$B$227,MATCH(TRIM(C1157),Port_Type!$A$2:$A$227,0))</f>
        <v>Inland ICD / CFS</v>
      </c>
      <c r="E1157" s="3" t="s">
        <v>65</v>
      </c>
      <c r="F1157" s="3" t="str">
        <f>INDEX(Product_Category!$B$2:$B$45,MATCH(TRIM(E1157),Product_Category!$A$2:$A$45,0))</f>
        <v>Cereals &amp; Grains</v>
      </c>
      <c r="G1157" s="4">
        <v>0.05</v>
      </c>
      <c r="H1157" s="4">
        <v>7.0000000000000007E-2</v>
      </c>
      <c r="I1157" s="4">
        <v>0.06</v>
      </c>
      <c r="J1157" s="4">
        <v>43.1</v>
      </c>
      <c r="K1157" s="4">
        <v>80.459999999999994</v>
      </c>
      <c r="L1157" s="4">
        <v>72.099999999999994</v>
      </c>
      <c r="M1157" s="4">
        <f t="shared" si="54"/>
        <v>2.0000000000000004E-2</v>
      </c>
      <c r="N1157" s="4">
        <f t="shared" si="55"/>
        <v>37.359999999999992</v>
      </c>
      <c r="O1157" s="4">
        <f t="shared" si="56"/>
        <v>-1.0000000000000009E-2</v>
      </c>
      <c r="P1157" s="3" t="s">
        <v>19</v>
      </c>
    </row>
    <row r="1158" spans="1:16" x14ac:dyDescent="0.35">
      <c r="A1158" s="3" t="s">
        <v>79</v>
      </c>
      <c r="B1158" s="3" t="str">
        <f>INDEX(State_Region!$B$2:$B$26,MATCH(TRIM(A1158),State_Region!$A$2:$A$26,0))</f>
        <v>South</v>
      </c>
      <c r="C1158" s="3" t="s">
        <v>80</v>
      </c>
      <c r="D1158" s="3" t="str">
        <f>INDEX(Port_Type!$B$2:$B$227,MATCH(TRIM(C1158),Port_Type!$A$2:$A$227,0))</f>
        <v>Inland ICD / CFS</v>
      </c>
      <c r="E1158" s="3" t="s">
        <v>102</v>
      </c>
      <c r="F1158" s="3" t="str">
        <f>INDEX(Product_Category!$B$2:$B$45,MATCH(TRIM(E1158),Product_Category!$A$2:$A$45,0))</f>
        <v>Fresh Fruits &amp; Vegetables</v>
      </c>
      <c r="G1158" s="4">
        <v>0.05</v>
      </c>
      <c r="H1158" s="4">
        <v>0.24</v>
      </c>
      <c r="I1158" s="4">
        <v>0.06</v>
      </c>
      <c r="J1158" s="4">
        <v>20.91</v>
      </c>
      <c r="K1158" s="4">
        <v>66.540000000000006</v>
      </c>
      <c r="L1158" s="4">
        <v>57.73</v>
      </c>
      <c r="M1158" s="4">
        <f t="shared" si="54"/>
        <v>0.19</v>
      </c>
      <c r="N1158" s="4">
        <f t="shared" si="55"/>
        <v>45.63000000000001</v>
      </c>
      <c r="O1158" s="4">
        <f t="shared" si="56"/>
        <v>-0.18</v>
      </c>
      <c r="P1158" s="3" t="s">
        <v>19</v>
      </c>
    </row>
    <row r="1159" spans="1:16" x14ac:dyDescent="0.35">
      <c r="A1159" s="3" t="s">
        <v>31</v>
      </c>
      <c r="B1159" s="3" t="str">
        <f>INDEX(State_Region!$B$2:$B$26,MATCH(TRIM(A1159),State_Region!$A$2:$A$26,0))</f>
        <v>East</v>
      </c>
      <c r="C1159" s="3" t="s">
        <v>131</v>
      </c>
      <c r="D1159" s="3" t="str">
        <f>INDEX(Port_Type!$B$2:$B$227,MATCH(TRIM(C1159),Port_Type!$A$2:$A$227,0))</f>
        <v>Land Border / Rail</v>
      </c>
      <c r="E1159" s="3" t="s">
        <v>122</v>
      </c>
      <c r="F1159" s="3" t="str">
        <f>INDEX(Product_Category!$B$2:$B$45,MATCH(TRIM(E1159),Product_Category!$A$2:$A$45,0))</f>
        <v>Others</v>
      </c>
      <c r="G1159" s="4">
        <v>0.16</v>
      </c>
      <c r="H1159" s="4">
        <v>0.19</v>
      </c>
      <c r="I1159" s="4">
        <v>0.06</v>
      </c>
      <c r="J1159" s="4">
        <v>12.28</v>
      </c>
      <c r="K1159" s="4">
        <v>35.85</v>
      </c>
      <c r="L1159" s="4">
        <v>6.23</v>
      </c>
      <c r="M1159" s="4">
        <f t="shared" si="54"/>
        <v>0.03</v>
      </c>
      <c r="N1159" s="4">
        <f t="shared" si="55"/>
        <v>23.57</v>
      </c>
      <c r="O1159" s="4">
        <f t="shared" si="56"/>
        <v>-0.13</v>
      </c>
      <c r="P1159" s="3" t="s">
        <v>19</v>
      </c>
    </row>
    <row r="1160" spans="1:16" x14ac:dyDescent="0.35">
      <c r="A1160" s="3" t="s">
        <v>20</v>
      </c>
      <c r="B1160" s="3" t="str">
        <f>INDEX(State_Region!$B$2:$B$26,MATCH(TRIM(A1160),State_Region!$A$2:$A$26,0))</f>
        <v>West</v>
      </c>
      <c r="C1160" s="3" t="s">
        <v>173</v>
      </c>
      <c r="D1160" s="3" t="str">
        <f>INDEX(Port_Type!$B$2:$B$227,MATCH(TRIM(C1160),Port_Type!$A$2:$A$227,0))</f>
        <v>Inland ICD / CFS</v>
      </c>
      <c r="E1160" s="3" t="s">
        <v>151</v>
      </c>
      <c r="F1160" s="3" t="str">
        <f>INDEX(Product_Category!$B$2:$B$45,MATCH(TRIM(E1160),Product_Category!$A$2:$A$45,0))</f>
        <v>Processed Foods</v>
      </c>
      <c r="G1160" s="4">
        <v>0.03</v>
      </c>
      <c r="H1160" s="4">
        <v>0.1</v>
      </c>
      <c r="I1160" s="4">
        <v>0.06</v>
      </c>
      <c r="J1160" s="4">
        <v>10.07</v>
      </c>
      <c r="K1160" s="4">
        <v>55.16</v>
      </c>
      <c r="L1160" s="4">
        <v>24.92</v>
      </c>
      <c r="M1160" s="4">
        <f t="shared" si="54"/>
        <v>7.0000000000000007E-2</v>
      </c>
      <c r="N1160" s="4">
        <f t="shared" si="55"/>
        <v>45.089999999999996</v>
      </c>
      <c r="O1160" s="4">
        <f t="shared" si="56"/>
        <v>-4.0000000000000008E-2</v>
      </c>
      <c r="P1160" s="3" t="s">
        <v>19</v>
      </c>
    </row>
    <row r="1161" spans="1:16" x14ac:dyDescent="0.35">
      <c r="A1161" s="3" t="s">
        <v>25</v>
      </c>
      <c r="B1161" s="3" t="str">
        <f>INDEX(State_Region!$B$2:$B$26,MATCH(TRIM(A1161),State_Region!$A$2:$A$26,0))</f>
        <v>South</v>
      </c>
      <c r="C1161" s="3" t="s">
        <v>206</v>
      </c>
      <c r="D1161" s="3" t="str">
        <f>INDEX(Port_Type!$B$2:$B$227,MATCH(TRIM(C1161),Port_Type!$A$2:$A$227,0))</f>
        <v>Inland ICD / CFS</v>
      </c>
      <c r="E1161" s="3" t="s">
        <v>60</v>
      </c>
      <c r="F1161" s="3" t="str">
        <f>INDEX(Product_Category!$B$2:$B$45,MATCH(TRIM(E1161),Product_Category!$A$2:$A$45,0))</f>
        <v>Processed Foods</v>
      </c>
      <c r="G1161" s="4">
        <v>0.19</v>
      </c>
      <c r="H1161" s="4">
        <v>0.01</v>
      </c>
      <c r="I1161" s="4">
        <v>0.06</v>
      </c>
      <c r="J1161" s="4">
        <v>9.3800000000000008</v>
      </c>
      <c r="K1161" s="4">
        <v>0.1</v>
      </c>
      <c r="L1161" s="4">
        <v>2.1800000000000002</v>
      </c>
      <c r="M1161" s="4">
        <f t="shared" si="54"/>
        <v>-0.18</v>
      </c>
      <c r="N1161" s="4">
        <f t="shared" si="55"/>
        <v>-9.2800000000000011</v>
      </c>
      <c r="O1161" s="4">
        <f t="shared" si="56"/>
        <v>4.9999999999999996E-2</v>
      </c>
      <c r="P1161" s="3" t="s">
        <v>19</v>
      </c>
    </row>
    <row r="1162" spans="1:16" x14ac:dyDescent="0.35">
      <c r="A1162" s="3" t="s">
        <v>40</v>
      </c>
      <c r="B1162" s="3" t="str">
        <f>INDEX(State_Region!$B$2:$B$26,MATCH(TRIM(A1162),State_Region!$A$2:$A$26,0))</f>
        <v>South</v>
      </c>
      <c r="C1162" s="3" t="s">
        <v>85</v>
      </c>
      <c r="D1162" s="3" t="str">
        <f>INDEX(Port_Type!$B$2:$B$227,MATCH(TRIM(C1162),Port_Type!$A$2:$A$227,0))</f>
        <v>Sea Port</v>
      </c>
      <c r="E1162" s="3" t="s">
        <v>114</v>
      </c>
      <c r="F1162" s="3" t="str">
        <f>INDEX(Product_Category!$B$2:$B$45,MATCH(TRIM(E1162),Product_Category!$A$2:$A$45,0))</f>
        <v>Dairy, Poultry &amp; Honey</v>
      </c>
      <c r="G1162" s="4">
        <v>0</v>
      </c>
      <c r="H1162" s="4">
        <v>0</v>
      </c>
      <c r="I1162" s="4">
        <v>0.06</v>
      </c>
      <c r="J1162" s="4">
        <v>0.03</v>
      </c>
      <c r="K1162" s="4">
        <v>0</v>
      </c>
      <c r="L1162" s="4">
        <v>20</v>
      </c>
      <c r="M1162" s="4">
        <f t="shared" si="54"/>
        <v>0</v>
      </c>
      <c r="N1162" s="4">
        <f t="shared" si="55"/>
        <v>-0.03</v>
      </c>
      <c r="O1162" s="4">
        <f t="shared" si="56"/>
        <v>0.06</v>
      </c>
      <c r="P1162" s="3" t="s">
        <v>19</v>
      </c>
    </row>
    <row r="1163" spans="1:16" x14ac:dyDescent="0.35">
      <c r="A1163" s="3" t="s">
        <v>40</v>
      </c>
      <c r="B1163" s="3" t="str">
        <f>INDEX(State_Region!$B$2:$B$26,MATCH(TRIM(A1163),State_Region!$A$2:$A$26,0))</f>
        <v>South</v>
      </c>
      <c r="C1163" s="3" t="s">
        <v>64</v>
      </c>
      <c r="D1163" s="3" t="str">
        <f>INDEX(Port_Type!$B$2:$B$227,MATCH(TRIM(C1163),Port_Type!$A$2:$A$227,0))</f>
        <v>Inland ICD / CFS</v>
      </c>
      <c r="E1163" s="3" t="s">
        <v>55</v>
      </c>
      <c r="F1163" s="3" t="str">
        <f>INDEX(Product_Category!$B$2:$B$45,MATCH(TRIM(E1163),Product_Category!$A$2:$A$45,0))</f>
        <v>Fresh Fruits &amp; Vegetables</v>
      </c>
      <c r="G1163" s="4">
        <v>0.54</v>
      </c>
      <c r="H1163" s="4">
        <v>0.06</v>
      </c>
      <c r="I1163" s="4">
        <v>0.06</v>
      </c>
      <c r="J1163" s="4">
        <v>1147.28</v>
      </c>
      <c r="K1163" s="4">
        <v>128.74</v>
      </c>
      <c r="L1163" s="4">
        <v>94.41</v>
      </c>
      <c r="M1163" s="4">
        <f t="shared" si="54"/>
        <v>-0.48000000000000004</v>
      </c>
      <c r="N1163" s="4">
        <f t="shared" si="55"/>
        <v>-1018.54</v>
      </c>
      <c r="O1163" s="4">
        <f t="shared" si="56"/>
        <v>0</v>
      </c>
      <c r="P1163" s="3" t="s">
        <v>19</v>
      </c>
    </row>
    <row r="1164" spans="1:16" x14ac:dyDescent="0.35">
      <c r="A1164" s="3" t="s">
        <v>129</v>
      </c>
      <c r="B1164" s="3" t="str">
        <f>INDEX(State_Region!$B$2:$B$26,MATCH(TRIM(A1164),State_Region!$A$2:$A$26,0))</f>
        <v>East</v>
      </c>
      <c r="C1164" s="3" t="s">
        <v>147</v>
      </c>
      <c r="D1164" s="3" t="str">
        <f>INDEX(Port_Type!$B$2:$B$227,MATCH(TRIM(C1164),Port_Type!$A$2:$A$227,0))</f>
        <v>Land Border / Rail</v>
      </c>
      <c r="E1164" s="3" t="s">
        <v>76</v>
      </c>
      <c r="F1164" s="3" t="str">
        <f>INDEX(Product_Category!$B$2:$B$45,MATCH(TRIM(E1164),Product_Category!$A$2:$A$45,0))</f>
        <v>Fresh Fruits &amp; Vegetables</v>
      </c>
      <c r="G1164" s="4">
        <v>0</v>
      </c>
      <c r="H1164" s="4">
        <v>0.06</v>
      </c>
      <c r="I1164" s="4">
        <v>0.06</v>
      </c>
      <c r="J1164" s="4">
        <v>0</v>
      </c>
      <c r="K1164" s="4">
        <v>232.47</v>
      </c>
      <c r="L1164" s="4">
        <v>235.5</v>
      </c>
      <c r="M1164" s="4">
        <f t="shared" si="54"/>
        <v>0.06</v>
      </c>
      <c r="N1164" s="4">
        <f t="shared" si="55"/>
        <v>232.47</v>
      </c>
      <c r="O1164" s="4">
        <f t="shared" si="56"/>
        <v>0</v>
      </c>
      <c r="P1164" s="3" t="s">
        <v>19</v>
      </c>
    </row>
    <row r="1165" spans="1:16" x14ac:dyDescent="0.35">
      <c r="A1165" s="3" t="s">
        <v>23</v>
      </c>
      <c r="B1165" s="3" t="str">
        <f>INDEX(State_Region!$B$2:$B$26,MATCH(TRIM(A1165),State_Region!$A$2:$A$26,0))</f>
        <v>North</v>
      </c>
      <c r="C1165" s="3" t="s">
        <v>124</v>
      </c>
      <c r="D1165" s="3" t="str">
        <f>INDEX(Port_Type!$B$2:$B$227,MATCH(TRIM(C1165),Port_Type!$A$2:$A$227,0))</f>
        <v>Inland ICD / CFS</v>
      </c>
      <c r="E1165" s="3" t="s">
        <v>116</v>
      </c>
      <c r="F1165" s="3" t="str">
        <f>INDEX(Product_Category!$B$2:$B$45,MATCH(TRIM(E1165),Product_Category!$A$2:$A$45,0))</f>
        <v>Others</v>
      </c>
      <c r="G1165" s="4">
        <v>0</v>
      </c>
      <c r="H1165" s="4">
        <v>0.75</v>
      </c>
      <c r="I1165" s="4">
        <v>0.06</v>
      </c>
      <c r="J1165" s="4">
        <v>0</v>
      </c>
      <c r="K1165" s="4">
        <v>5156.83</v>
      </c>
      <c r="L1165" s="4">
        <v>305.08</v>
      </c>
      <c r="M1165" s="4">
        <f t="shared" si="54"/>
        <v>0.75</v>
      </c>
      <c r="N1165" s="4">
        <f t="shared" si="55"/>
        <v>5156.83</v>
      </c>
      <c r="O1165" s="4">
        <f t="shared" si="56"/>
        <v>-0.69</v>
      </c>
      <c r="P1165" s="3" t="s">
        <v>19</v>
      </c>
    </row>
    <row r="1166" spans="1:16" x14ac:dyDescent="0.35">
      <c r="A1166" s="3" t="s">
        <v>57</v>
      </c>
      <c r="B1166" s="3" t="str">
        <f>INDEX(State_Region!$B$2:$B$26,MATCH(TRIM(A1166),State_Region!$A$2:$A$26,0))</f>
        <v>Central</v>
      </c>
      <c r="C1166" s="3" t="s">
        <v>161</v>
      </c>
      <c r="D1166" s="3" t="str">
        <f>INDEX(Port_Type!$B$2:$B$227,MATCH(TRIM(C1166),Port_Type!$A$2:$A$227,0))</f>
        <v>Inland ICD / CFS</v>
      </c>
      <c r="E1166" s="3" t="s">
        <v>54</v>
      </c>
      <c r="F1166" s="3" t="str">
        <f>INDEX(Product_Category!$B$2:$B$45,MATCH(TRIM(E1166),Product_Category!$A$2:$A$45,0))</f>
        <v>Processed Foods</v>
      </c>
      <c r="G1166" s="4">
        <v>0.05</v>
      </c>
      <c r="H1166" s="4">
        <v>0.15</v>
      </c>
      <c r="I1166" s="4">
        <v>0.06</v>
      </c>
      <c r="J1166" s="4">
        <v>12.72</v>
      </c>
      <c r="K1166" s="4">
        <v>95.98</v>
      </c>
      <c r="L1166" s="4">
        <v>29.16</v>
      </c>
      <c r="M1166" s="4">
        <f t="shared" si="54"/>
        <v>9.9999999999999992E-2</v>
      </c>
      <c r="N1166" s="4">
        <f t="shared" si="55"/>
        <v>83.26</v>
      </c>
      <c r="O1166" s="4">
        <f t="shared" si="56"/>
        <v>-0.09</v>
      </c>
      <c r="P1166" s="3" t="s">
        <v>19</v>
      </c>
    </row>
    <row r="1167" spans="1:16" x14ac:dyDescent="0.35">
      <c r="A1167" s="3" t="s">
        <v>20</v>
      </c>
      <c r="B1167" s="3" t="str">
        <f>INDEX(State_Region!$B$2:$B$26,MATCH(TRIM(A1167),State_Region!$A$2:$A$26,0))</f>
        <v>West</v>
      </c>
      <c r="C1167" s="3" t="s">
        <v>134</v>
      </c>
      <c r="D1167" s="3" t="str">
        <f>INDEX(Port_Type!$B$2:$B$227,MATCH(TRIM(C1167),Port_Type!$A$2:$A$227,0))</f>
        <v>Inland ICD / CFS</v>
      </c>
      <c r="E1167" s="3" t="s">
        <v>72</v>
      </c>
      <c r="F1167" s="3" t="str">
        <f>INDEX(Product_Category!$B$2:$B$45,MATCH(TRIM(E1167),Product_Category!$A$2:$A$45,0))</f>
        <v>Dairy, Poultry &amp; Honey</v>
      </c>
      <c r="G1167" s="4">
        <v>0</v>
      </c>
      <c r="H1167" s="4">
        <v>1.83</v>
      </c>
      <c r="I1167" s="4">
        <v>0.06</v>
      </c>
      <c r="J1167" s="4">
        <v>0</v>
      </c>
      <c r="K1167" s="4">
        <v>467.01</v>
      </c>
      <c r="L1167" s="4">
        <v>15.54</v>
      </c>
      <c r="M1167" s="4">
        <f t="shared" si="54"/>
        <v>1.83</v>
      </c>
      <c r="N1167" s="4">
        <f t="shared" si="55"/>
        <v>467.01</v>
      </c>
      <c r="O1167" s="4">
        <f t="shared" si="56"/>
        <v>-1.77</v>
      </c>
      <c r="P1167" s="3" t="s">
        <v>19</v>
      </c>
    </row>
    <row r="1168" spans="1:16" x14ac:dyDescent="0.35">
      <c r="A1168" s="3" t="s">
        <v>31</v>
      </c>
      <c r="B1168" s="3" t="str">
        <f>INDEX(State_Region!$B$2:$B$26,MATCH(TRIM(A1168),State_Region!$A$2:$A$26,0))</f>
        <v>East</v>
      </c>
      <c r="C1168" s="3" t="s">
        <v>131</v>
      </c>
      <c r="D1168" s="3" t="str">
        <f>INDEX(Port_Type!$B$2:$B$227,MATCH(TRIM(C1168),Port_Type!$A$2:$A$227,0))</f>
        <v>Land Border / Rail</v>
      </c>
      <c r="E1168" s="3" t="s">
        <v>69</v>
      </c>
      <c r="F1168" s="3" t="str">
        <f>INDEX(Product_Category!$B$2:$B$45,MATCH(TRIM(E1168),Product_Category!$A$2:$A$45,0))</f>
        <v>Others</v>
      </c>
      <c r="G1168" s="4">
        <v>0.15</v>
      </c>
      <c r="H1168" s="4">
        <v>0.12</v>
      </c>
      <c r="I1168" s="4">
        <v>0.06</v>
      </c>
      <c r="J1168" s="4">
        <v>8.8800000000000008</v>
      </c>
      <c r="K1168" s="4">
        <v>4.41</v>
      </c>
      <c r="L1168" s="4">
        <v>1.81</v>
      </c>
      <c r="M1168" s="4">
        <f t="shared" si="54"/>
        <v>-0.03</v>
      </c>
      <c r="N1168" s="4">
        <f t="shared" si="55"/>
        <v>-4.4700000000000006</v>
      </c>
      <c r="O1168" s="4">
        <f t="shared" si="56"/>
        <v>-0.06</v>
      </c>
      <c r="P1168" s="3" t="s">
        <v>19</v>
      </c>
    </row>
    <row r="1169" spans="1:16" x14ac:dyDescent="0.35">
      <c r="A1169" s="3" t="s">
        <v>40</v>
      </c>
      <c r="B1169" s="3" t="str">
        <f>INDEX(State_Region!$B$2:$B$26,MATCH(TRIM(A1169),State_Region!$A$2:$A$26,0))</f>
        <v>South</v>
      </c>
      <c r="C1169" s="3" t="s">
        <v>85</v>
      </c>
      <c r="D1169" s="3" t="str">
        <f>INDEX(Port_Type!$B$2:$B$227,MATCH(TRIM(C1169),Port_Type!$A$2:$A$227,0))</f>
        <v>Sea Port</v>
      </c>
      <c r="E1169" s="3" t="s">
        <v>126</v>
      </c>
      <c r="F1169" s="3" t="str">
        <f>INDEX(Product_Category!$B$2:$B$45,MATCH(TRIM(E1169),Product_Category!$A$2:$A$45,0))</f>
        <v>Cereals &amp; Grains</v>
      </c>
      <c r="G1169" s="4">
        <v>0.55000000000000004</v>
      </c>
      <c r="H1169" s="4">
        <v>0.2</v>
      </c>
      <c r="I1169" s="4">
        <v>0.06</v>
      </c>
      <c r="J1169" s="4">
        <v>386.36</v>
      </c>
      <c r="K1169" s="4">
        <v>194.79</v>
      </c>
      <c r="L1169" s="4">
        <v>64.459999999999994</v>
      </c>
      <c r="M1169" s="4">
        <f t="shared" si="54"/>
        <v>-0.35000000000000003</v>
      </c>
      <c r="N1169" s="4">
        <f t="shared" si="55"/>
        <v>-191.57000000000002</v>
      </c>
      <c r="O1169" s="4">
        <f t="shared" si="56"/>
        <v>-0.14000000000000001</v>
      </c>
      <c r="P1169" s="3" t="s">
        <v>19</v>
      </c>
    </row>
    <row r="1170" spans="1:16" x14ac:dyDescent="0.35">
      <c r="A1170" s="3" t="s">
        <v>231</v>
      </c>
      <c r="B1170" s="3" t="str">
        <f>INDEX(State_Region!$B$2:$B$26,MATCH(TRIM(A1170),State_Region!$A$2:$A$26,0))</f>
        <v>North-East</v>
      </c>
      <c r="C1170" s="3" t="s">
        <v>232</v>
      </c>
      <c r="D1170" s="3" t="str">
        <f>INDEX(Port_Type!$B$2:$B$227,MATCH(TRIM(C1170),Port_Type!$A$2:$A$227,0))</f>
        <v>Land Border / Rail</v>
      </c>
      <c r="E1170" s="3" t="s">
        <v>102</v>
      </c>
      <c r="F1170" s="3" t="str">
        <f>INDEX(Product_Category!$B$2:$B$45,MATCH(TRIM(E1170),Product_Category!$A$2:$A$45,0))</f>
        <v>Fresh Fruits &amp; Vegetables</v>
      </c>
      <c r="G1170" s="4">
        <v>0.19</v>
      </c>
      <c r="H1170" s="4">
        <v>0.22</v>
      </c>
      <c r="I1170" s="4">
        <v>0.05</v>
      </c>
      <c r="J1170" s="4">
        <v>557.07000000000005</v>
      </c>
      <c r="K1170" s="4">
        <v>766.21</v>
      </c>
      <c r="L1170" s="4">
        <v>202.45</v>
      </c>
      <c r="M1170" s="4">
        <f t="shared" si="54"/>
        <v>0.03</v>
      </c>
      <c r="N1170" s="4">
        <f t="shared" si="55"/>
        <v>209.14</v>
      </c>
      <c r="O1170" s="4">
        <f t="shared" si="56"/>
        <v>-0.16999999999999998</v>
      </c>
      <c r="P1170" s="3" t="s">
        <v>19</v>
      </c>
    </row>
    <row r="1171" spans="1:16" x14ac:dyDescent="0.35">
      <c r="A1171" s="3" t="s">
        <v>189</v>
      </c>
      <c r="B1171" s="3" t="str">
        <f>INDEX(State_Region!$B$2:$B$26,MATCH(TRIM(A1171),State_Region!$A$2:$A$26,0))</f>
        <v>North</v>
      </c>
      <c r="C1171" s="3" t="s">
        <v>190</v>
      </c>
      <c r="D1171" s="3" t="str">
        <f>INDEX(Port_Type!$B$2:$B$227,MATCH(TRIM(C1171),Port_Type!$A$2:$A$227,0))</f>
        <v>Inland ICD / CFS</v>
      </c>
      <c r="E1171" s="3" t="s">
        <v>53</v>
      </c>
      <c r="F1171" s="3" t="str">
        <f>INDEX(Product_Category!$B$2:$B$45,MATCH(TRIM(E1171),Product_Category!$A$2:$A$45,0))</f>
        <v>Processed Foods</v>
      </c>
      <c r="G1171" s="4">
        <v>7.63</v>
      </c>
      <c r="H1171" s="4">
        <v>8.52</v>
      </c>
      <c r="I1171" s="4">
        <v>0.05</v>
      </c>
      <c r="J1171" s="4">
        <v>11007.15</v>
      </c>
      <c r="K1171" s="4">
        <v>11842.83</v>
      </c>
      <c r="L1171" s="4">
        <v>66.569999999999993</v>
      </c>
      <c r="M1171" s="4">
        <f t="shared" si="54"/>
        <v>0.88999999999999968</v>
      </c>
      <c r="N1171" s="4">
        <f t="shared" si="55"/>
        <v>835.68000000000029</v>
      </c>
      <c r="O1171" s="4">
        <f t="shared" si="56"/>
        <v>-8.4699999999999989</v>
      </c>
      <c r="P1171" s="3" t="s">
        <v>19</v>
      </c>
    </row>
    <row r="1172" spans="1:16" x14ac:dyDescent="0.35">
      <c r="A1172" s="3" t="s">
        <v>23</v>
      </c>
      <c r="B1172" s="3" t="str">
        <f>INDEX(State_Region!$B$2:$B$26,MATCH(TRIM(A1172),State_Region!$A$2:$A$26,0))</f>
        <v>North</v>
      </c>
      <c r="C1172" s="3" t="s">
        <v>34</v>
      </c>
      <c r="D1172" s="3" t="str">
        <f>INDEX(Port_Type!$B$2:$B$227,MATCH(TRIM(C1172),Port_Type!$A$2:$A$227,0))</f>
        <v>Inland ICD / CFS</v>
      </c>
      <c r="E1172" s="3" t="s">
        <v>45</v>
      </c>
      <c r="F1172" s="3" t="str">
        <f>INDEX(Product_Category!$B$2:$B$45,MATCH(TRIM(E1172),Product_Category!$A$2:$A$45,0))</f>
        <v>Fresh Fruits &amp; Vegetables</v>
      </c>
      <c r="G1172" s="4">
        <v>0</v>
      </c>
      <c r="H1172" s="4">
        <v>0</v>
      </c>
      <c r="I1172" s="4">
        <v>0.05</v>
      </c>
      <c r="J1172" s="4">
        <v>0</v>
      </c>
      <c r="K1172" s="4">
        <v>0</v>
      </c>
      <c r="L1172" s="4">
        <v>23.93</v>
      </c>
      <c r="M1172" s="4">
        <f t="shared" si="54"/>
        <v>0</v>
      </c>
      <c r="N1172" s="4">
        <f t="shared" si="55"/>
        <v>0</v>
      </c>
      <c r="O1172" s="4">
        <f t="shared" si="56"/>
        <v>0.05</v>
      </c>
      <c r="P1172" s="3" t="s">
        <v>19</v>
      </c>
    </row>
    <row r="1173" spans="1:16" x14ac:dyDescent="0.35">
      <c r="A1173" s="3" t="s">
        <v>77</v>
      </c>
      <c r="B1173" s="3" t="str">
        <f>INDEX(State_Region!$B$2:$B$26,MATCH(TRIM(A1173),State_Region!$A$2:$A$26,0))</f>
        <v>South</v>
      </c>
      <c r="C1173" s="3" t="s">
        <v>132</v>
      </c>
      <c r="D1173" s="3" t="str">
        <f>INDEX(Port_Type!$B$2:$B$227,MATCH(TRIM(C1173),Port_Type!$A$2:$A$227,0))</f>
        <v>Air Cargo</v>
      </c>
      <c r="E1173" s="3" t="s">
        <v>27</v>
      </c>
      <c r="F1173" s="3" t="str">
        <f>INDEX(Product_Category!$B$2:$B$45,MATCH(TRIM(E1173),Product_Category!$A$2:$A$45,0))</f>
        <v>Cereals &amp; Grains</v>
      </c>
      <c r="G1173" s="4">
        <v>0</v>
      </c>
      <c r="H1173" s="4">
        <v>0.01</v>
      </c>
      <c r="I1173" s="4">
        <v>0.05</v>
      </c>
      <c r="J1173" s="4">
        <v>0.03</v>
      </c>
      <c r="K1173" s="4">
        <v>20.11</v>
      </c>
      <c r="L1173" s="4">
        <v>44.03</v>
      </c>
      <c r="M1173" s="4">
        <f t="shared" si="54"/>
        <v>0.01</v>
      </c>
      <c r="N1173" s="4">
        <f t="shared" si="55"/>
        <v>20.079999999999998</v>
      </c>
      <c r="O1173" s="4">
        <f t="shared" si="56"/>
        <v>0.04</v>
      </c>
      <c r="P1173" s="3" t="s">
        <v>19</v>
      </c>
    </row>
    <row r="1174" spans="1:16" x14ac:dyDescent="0.35">
      <c r="A1174" s="3" t="s">
        <v>66</v>
      </c>
      <c r="B1174" s="3" t="str">
        <f>INDEX(State_Region!$B$2:$B$26,MATCH(TRIM(A1174),State_Region!$A$2:$A$26,0))</f>
        <v>North</v>
      </c>
      <c r="C1174" s="3" t="s">
        <v>108</v>
      </c>
      <c r="D1174" s="3" t="str">
        <f>INDEX(Port_Type!$B$2:$B$227,MATCH(TRIM(C1174),Port_Type!$A$2:$A$227,0))</f>
        <v>Inland ICD / CFS</v>
      </c>
      <c r="E1174" s="3" t="s">
        <v>33</v>
      </c>
      <c r="F1174" s="3" t="str">
        <f>INDEX(Product_Category!$B$2:$B$45,MATCH(TRIM(E1174),Product_Category!$A$2:$A$45,0))</f>
        <v>Pulses</v>
      </c>
      <c r="G1174" s="4">
        <v>0.06</v>
      </c>
      <c r="H1174" s="4">
        <v>0.05</v>
      </c>
      <c r="I1174" s="4">
        <v>0.05</v>
      </c>
      <c r="J1174" s="4">
        <v>52.82</v>
      </c>
      <c r="K1174" s="4">
        <v>34.700000000000003</v>
      </c>
      <c r="L1174" s="4">
        <v>48.76</v>
      </c>
      <c r="M1174" s="4">
        <f t="shared" si="54"/>
        <v>-9.999999999999995E-3</v>
      </c>
      <c r="N1174" s="4">
        <f t="shared" si="55"/>
        <v>-18.119999999999997</v>
      </c>
      <c r="O1174" s="4">
        <f t="shared" si="56"/>
        <v>0</v>
      </c>
      <c r="P1174" s="3" t="s">
        <v>19</v>
      </c>
    </row>
    <row r="1175" spans="1:16" x14ac:dyDescent="0.35">
      <c r="A1175" s="3" t="s">
        <v>16</v>
      </c>
      <c r="B1175" s="3" t="str">
        <f>INDEX(State_Region!$B$2:$B$26,MATCH(TRIM(A1175),State_Region!$A$2:$A$26,0))</f>
        <v>West</v>
      </c>
      <c r="C1175" s="3" t="s">
        <v>239</v>
      </c>
      <c r="D1175" s="3" t="str">
        <f>INDEX(Port_Type!$B$2:$B$227,MATCH(TRIM(C1175),Port_Type!$A$2:$A$227,0))</f>
        <v>Inland ICD / CFS</v>
      </c>
      <c r="E1175" s="3" t="s">
        <v>51</v>
      </c>
      <c r="F1175" s="3" t="str">
        <f>INDEX(Product_Category!$B$2:$B$45,MATCH(TRIM(E1175),Product_Category!$A$2:$A$45,0))</f>
        <v>Nuts &amp; Oilseeds</v>
      </c>
      <c r="G1175" s="4">
        <v>0.4</v>
      </c>
      <c r="H1175" s="4">
        <v>0.34</v>
      </c>
      <c r="I1175" s="4">
        <v>0.05</v>
      </c>
      <c r="J1175" s="4">
        <v>308.36</v>
      </c>
      <c r="K1175" s="4">
        <v>303</v>
      </c>
      <c r="L1175" s="4">
        <v>42.38</v>
      </c>
      <c r="M1175" s="4">
        <f t="shared" si="54"/>
        <v>-0.06</v>
      </c>
      <c r="N1175" s="4">
        <f t="shared" si="55"/>
        <v>-5.3600000000000136</v>
      </c>
      <c r="O1175" s="4">
        <f t="shared" si="56"/>
        <v>-0.29000000000000004</v>
      </c>
      <c r="P1175" s="3" t="s">
        <v>19</v>
      </c>
    </row>
    <row r="1176" spans="1:16" x14ac:dyDescent="0.35">
      <c r="A1176" s="3" t="s">
        <v>40</v>
      </c>
      <c r="B1176" s="3" t="str">
        <f>INDEX(State_Region!$B$2:$B$26,MATCH(TRIM(A1176),State_Region!$A$2:$A$26,0))</f>
        <v>South</v>
      </c>
      <c r="C1176" s="3" t="s">
        <v>164</v>
      </c>
      <c r="D1176" s="3" t="str">
        <f>INDEX(Port_Type!$B$2:$B$227,MATCH(TRIM(C1176),Port_Type!$A$2:$A$227,0))</f>
        <v>Air Cargo</v>
      </c>
      <c r="E1176" s="3" t="s">
        <v>53</v>
      </c>
      <c r="F1176" s="3" t="str">
        <f>INDEX(Product_Category!$B$2:$B$45,MATCH(TRIM(E1176),Product_Category!$A$2:$A$45,0))</f>
        <v>Processed Foods</v>
      </c>
      <c r="G1176" s="4">
        <v>0.2</v>
      </c>
      <c r="H1176" s="4">
        <v>0.19</v>
      </c>
      <c r="I1176" s="4">
        <v>0.05</v>
      </c>
      <c r="J1176" s="4">
        <v>53.13</v>
      </c>
      <c r="K1176" s="4">
        <v>35.15</v>
      </c>
      <c r="L1176" s="4">
        <v>11.25</v>
      </c>
      <c r="M1176" s="4">
        <f t="shared" si="54"/>
        <v>-1.0000000000000009E-2</v>
      </c>
      <c r="N1176" s="4">
        <f t="shared" si="55"/>
        <v>-17.980000000000004</v>
      </c>
      <c r="O1176" s="4">
        <f t="shared" si="56"/>
        <v>-0.14000000000000001</v>
      </c>
      <c r="P1176" s="3" t="s">
        <v>19</v>
      </c>
    </row>
    <row r="1177" spans="1:16" x14ac:dyDescent="0.35">
      <c r="A1177" s="3" t="s">
        <v>40</v>
      </c>
      <c r="B1177" s="3" t="str">
        <f>INDEX(State_Region!$B$2:$B$26,MATCH(TRIM(A1177),State_Region!$A$2:$A$26,0))</f>
        <v>South</v>
      </c>
      <c r="C1177" s="3" t="s">
        <v>183</v>
      </c>
      <c r="D1177" s="3" t="str">
        <f>INDEX(Port_Type!$B$2:$B$227,MATCH(TRIM(C1177),Port_Type!$A$2:$A$227,0))</f>
        <v>Inland ICD / CFS</v>
      </c>
      <c r="E1177" s="3" t="s">
        <v>48</v>
      </c>
      <c r="F1177" s="3" t="str">
        <f>INDEX(Product_Category!$B$2:$B$45,MATCH(TRIM(E1177),Product_Category!$A$2:$A$45,0))</f>
        <v>Processed Foods</v>
      </c>
      <c r="G1177" s="4">
        <v>0.21</v>
      </c>
      <c r="H1177" s="4">
        <v>0.22</v>
      </c>
      <c r="I1177" s="4">
        <v>0.05</v>
      </c>
      <c r="J1177" s="4">
        <v>103.01</v>
      </c>
      <c r="K1177" s="4">
        <v>101.79</v>
      </c>
      <c r="L1177" s="4">
        <v>18.350000000000001</v>
      </c>
      <c r="M1177" s="4">
        <f t="shared" si="54"/>
        <v>1.0000000000000009E-2</v>
      </c>
      <c r="N1177" s="4">
        <f t="shared" si="55"/>
        <v>-1.2199999999999989</v>
      </c>
      <c r="O1177" s="4">
        <f t="shared" si="56"/>
        <v>-0.16999999999999998</v>
      </c>
      <c r="P1177" s="3" t="s">
        <v>19</v>
      </c>
    </row>
    <row r="1178" spans="1:16" x14ac:dyDescent="0.35">
      <c r="A1178" s="3" t="s">
        <v>16</v>
      </c>
      <c r="B1178" s="3" t="str">
        <f>INDEX(State_Region!$B$2:$B$26,MATCH(TRIM(A1178),State_Region!$A$2:$A$26,0))</f>
        <v>West</v>
      </c>
      <c r="C1178" s="3" t="s">
        <v>89</v>
      </c>
      <c r="D1178" s="3" t="str">
        <f>INDEX(Port_Type!$B$2:$B$227,MATCH(TRIM(C1178),Port_Type!$A$2:$A$227,0))</f>
        <v>Inland ICD / CFS</v>
      </c>
      <c r="E1178" s="3" t="s">
        <v>151</v>
      </c>
      <c r="F1178" s="3" t="str">
        <f>INDEX(Product_Category!$B$2:$B$45,MATCH(TRIM(E1178),Product_Category!$A$2:$A$45,0))</f>
        <v>Processed Foods</v>
      </c>
      <c r="G1178" s="4">
        <v>0.34</v>
      </c>
      <c r="H1178" s="4">
        <v>0.22</v>
      </c>
      <c r="I1178" s="4">
        <v>0.05</v>
      </c>
      <c r="J1178" s="4">
        <v>119.51</v>
      </c>
      <c r="K1178" s="4">
        <v>65.03</v>
      </c>
      <c r="L1178" s="4">
        <v>15.28</v>
      </c>
      <c r="M1178" s="4">
        <f t="shared" si="54"/>
        <v>-0.12000000000000002</v>
      </c>
      <c r="N1178" s="4">
        <f t="shared" si="55"/>
        <v>-54.480000000000004</v>
      </c>
      <c r="O1178" s="4">
        <f t="shared" si="56"/>
        <v>-0.16999999999999998</v>
      </c>
      <c r="P1178" s="3" t="s">
        <v>19</v>
      </c>
    </row>
    <row r="1179" spans="1:16" x14ac:dyDescent="0.35">
      <c r="A1179" s="3" t="s">
        <v>40</v>
      </c>
      <c r="B1179" s="3" t="str">
        <f>INDEX(State_Region!$B$2:$B$26,MATCH(TRIM(A1179),State_Region!$A$2:$A$26,0))</f>
        <v>South</v>
      </c>
      <c r="C1179" s="3" t="s">
        <v>85</v>
      </c>
      <c r="D1179" s="3" t="str">
        <f>INDEX(Port_Type!$B$2:$B$227,MATCH(TRIM(C1179),Port_Type!$A$2:$A$227,0))</f>
        <v>Sea Port</v>
      </c>
      <c r="E1179" s="3" t="s">
        <v>181</v>
      </c>
      <c r="F1179" s="3" t="str">
        <f>INDEX(Product_Category!$B$2:$B$45,MATCH(TRIM(E1179),Product_Category!$A$2:$A$45,0))</f>
        <v>Nuts &amp; Oilseeds</v>
      </c>
      <c r="G1179" s="4">
        <v>0</v>
      </c>
      <c r="H1179" s="4">
        <v>0</v>
      </c>
      <c r="I1179" s="4">
        <v>0.05</v>
      </c>
      <c r="J1179" s="4">
        <v>0.12</v>
      </c>
      <c r="K1179" s="4">
        <v>0.05</v>
      </c>
      <c r="L1179" s="4">
        <v>4.08</v>
      </c>
      <c r="M1179" s="4">
        <f t="shared" si="54"/>
        <v>0</v>
      </c>
      <c r="N1179" s="4">
        <f t="shared" si="55"/>
        <v>-6.9999999999999993E-2</v>
      </c>
      <c r="O1179" s="4">
        <f t="shared" si="56"/>
        <v>0.05</v>
      </c>
      <c r="P1179" s="3" t="s">
        <v>19</v>
      </c>
    </row>
    <row r="1180" spans="1:16" x14ac:dyDescent="0.35">
      <c r="A1180" s="3" t="s">
        <v>31</v>
      </c>
      <c r="B1180" s="3" t="str">
        <f>INDEX(State_Region!$B$2:$B$26,MATCH(TRIM(A1180),State_Region!$A$2:$A$26,0))</f>
        <v>East</v>
      </c>
      <c r="C1180" s="3" t="s">
        <v>141</v>
      </c>
      <c r="D1180" s="3" t="str">
        <f>INDEX(Port_Type!$B$2:$B$227,MATCH(TRIM(C1180),Port_Type!$A$2:$A$227,0))</f>
        <v>Land Border / Rail</v>
      </c>
      <c r="E1180" s="3" t="s">
        <v>46</v>
      </c>
      <c r="F1180" s="3" t="str">
        <f>INDEX(Product_Category!$B$2:$B$45,MATCH(TRIM(E1180),Product_Category!$A$2:$A$45,0))</f>
        <v>Others</v>
      </c>
      <c r="G1180" s="4">
        <v>0.03</v>
      </c>
      <c r="H1180" s="4">
        <v>0.14000000000000001</v>
      </c>
      <c r="I1180" s="4">
        <v>0.05</v>
      </c>
      <c r="J1180" s="4">
        <v>12.1</v>
      </c>
      <c r="K1180" s="4">
        <v>35.380000000000003</v>
      </c>
      <c r="L1180" s="4">
        <v>18.52</v>
      </c>
      <c r="M1180" s="4">
        <f t="shared" si="54"/>
        <v>0.11000000000000001</v>
      </c>
      <c r="N1180" s="4">
        <f t="shared" si="55"/>
        <v>23.28</v>
      </c>
      <c r="O1180" s="4">
        <f t="shared" si="56"/>
        <v>-9.0000000000000011E-2</v>
      </c>
      <c r="P1180" s="3" t="s">
        <v>19</v>
      </c>
    </row>
    <row r="1181" spans="1:16" x14ac:dyDescent="0.35">
      <c r="A1181" s="3" t="s">
        <v>35</v>
      </c>
      <c r="B1181" s="3" t="str">
        <f>INDEX(State_Region!$B$2:$B$26,MATCH(TRIM(A1181),State_Region!$A$2:$A$26,0))</f>
        <v>North</v>
      </c>
      <c r="C1181" s="3" t="s">
        <v>201</v>
      </c>
      <c r="D1181" s="3" t="str">
        <f>INDEX(Port_Type!$B$2:$B$227,MATCH(TRIM(C1181),Port_Type!$A$2:$A$227,0))</f>
        <v>Inland ICD / CFS</v>
      </c>
      <c r="E1181" s="3" t="s">
        <v>48</v>
      </c>
      <c r="F1181" s="3" t="str">
        <f>INDEX(Product_Category!$B$2:$B$45,MATCH(TRIM(E1181),Product_Category!$A$2:$A$45,0))</f>
        <v>Processed Foods</v>
      </c>
      <c r="G1181" s="4">
        <v>0</v>
      </c>
      <c r="H1181" s="4">
        <v>7.0000000000000007E-2</v>
      </c>
      <c r="I1181" s="4">
        <v>0.05</v>
      </c>
      <c r="J1181" s="4">
        <v>0.01</v>
      </c>
      <c r="K1181" s="4">
        <v>16</v>
      </c>
      <c r="L1181" s="4">
        <v>13.31</v>
      </c>
      <c r="M1181" s="4">
        <f t="shared" si="54"/>
        <v>7.0000000000000007E-2</v>
      </c>
      <c r="N1181" s="4">
        <f t="shared" si="55"/>
        <v>15.99</v>
      </c>
      <c r="O1181" s="4">
        <f t="shared" si="56"/>
        <v>-2.0000000000000004E-2</v>
      </c>
      <c r="P1181" s="3" t="s">
        <v>19</v>
      </c>
    </row>
    <row r="1182" spans="1:16" x14ac:dyDescent="0.35">
      <c r="A1182" s="3" t="s">
        <v>31</v>
      </c>
      <c r="B1182" s="3" t="str">
        <f>INDEX(State_Region!$B$2:$B$26,MATCH(TRIM(A1182),State_Region!$A$2:$A$26,0))</f>
        <v>East</v>
      </c>
      <c r="C1182" s="3" t="s">
        <v>152</v>
      </c>
      <c r="D1182" s="3" t="str">
        <f>INDEX(Port_Type!$B$2:$B$227,MATCH(TRIM(C1182),Port_Type!$A$2:$A$227,0))</f>
        <v>Land Border / Rail</v>
      </c>
      <c r="E1182" s="3" t="s">
        <v>113</v>
      </c>
      <c r="F1182" s="3" t="str">
        <f>INDEX(Product_Category!$B$2:$B$45,MATCH(TRIM(E1182),Product_Category!$A$2:$A$45,0))</f>
        <v>Cereals &amp; Grains</v>
      </c>
      <c r="G1182" s="4">
        <v>0</v>
      </c>
      <c r="H1182" s="4">
        <v>0</v>
      </c>
      <c r="I1182" s="4">
        <v>0.05</v>
      </c>
      <c r="J1182" s="4">
        <v>0</v>
      </c>
      <c r="K1182" s="4">
        <v>0</v>
      </c>
      <c r="L1182" s="4">
        <v>200.75</v>
      </c>
      <c r="M1182" s="4">
        <f t="shared" si="54"/>
        <v>0</v>
      </c>
      <c r="N1182" s="4">
        <f t="shared" si="55"/>
        <v>0</v>
      </c>
      <c r="O1182" s="4">
        <f t="shared" si="56"/>
        <v>0.05</v>
      </c>
      <c r="P1182" s="3" t="s">
        <v>19</v>
      </c>
    </row>
    <row r="1183" spans="1:16" x14ac:dyDescent="0.35">
      <c r="A1183" s="3" t="s">
        <v>23</v>
      </c>
      <c r="B1183" s="3" t="str">
        <f>INDEX(State_Region!$B$2:$B$26,MATCH(TRIM(A1183),State_Region!$A$2:$A$26,0))</f>
        <v>North</v>
      </c>
      <c r="C1183" s="3" t="s">
        <v>30</v>
      </c>
      <c r="D1183" s="3" t="str">
        <f>INDEX(Port_Type!$B$2:$B$227,MATCH(TRIM(C1183),Port_Type!$A$2:$A$227,0))</f>
        <v>Inland ICD / CFS</v>
      </c>
      <c r="E1183" s="3" t="s">
        <v>53</v>
      </c>
      <c r="F1183" s="3" t="str">
        <f>INDEX(Product_Category!$B$2:$B$45,MATCH(TRIM(E1183),Product_Category!$A$2:$A$45,0))</f>
        <v>Processed Foods</v>
      </c>
      <c r="G1183" s="4">
        <v>0.35</v>
      </c>
      <c r="H1183" s="4">
        <v>0.32</v>
      </c>
      <c r="I1183" s="4">
        <v>0.05</v>
      </c>
      <c r="J1183" s="4">
        <v>104.39</v>
      </c>
      <c r="K1183" s="4">
        <v>173.22</v>
      </c>
      <c r="L1183" s="4">
        <v>30.43</v>
      </c>
      <c r="M1183" s="4">
        <f t="shared" si="54"/>
        <v>-2.9999999999999971E-2</v>
      </c>
      <c r="N1183" s="4">
        <f t="shared" si="55"/>
        <v>68.83</v>
      </c>
      <c r="O1183" s="4">
        <f t="shared" si="56"/>
        <v>-0.27</v>
      </c>
      <c r="P1183" s="3" t="s">
        <v>19</v>
      </c>
    </row>
    <row r="1184" spans="1:16" x14ac:dyDescent="0.35">
      <c r="A1184" s="3" t="s">
        <v>16</v>
      </c>
      <c r="B1184" s="3" t="str">
        <f>INDEX(State_Region!$B$2:$B$26,MATCH(TRIM(A1184),State_Region!$A$2:$A$26,0))</f>
        <v>West</v>
      </c>
      <c r="C1184" s="3" t="s">
        <v>28</v>
      </c>
      <c r="D1184" s="3" t="str">
        <f>INDEX(Port_Type!$B$2:$B$227,MATCH(TRIM(C1184),Port_Type!$A$2:$A$227,0))</f>
        <v>Sea Port</v>
      </c>
      <c r="E1184" s="3" t="s">
        <v>48</v>
      </c>
      <c r="F1184" s="3" t="str">
        <f>INDEX(Product_Category!$B$2:$B$45,MATCH(TRIM(E1184),Product_Category!$A$2:$A$45,0))</f>
        <v>Processed Foods</v>
      </c>
      <c r="G1184" s="4">
        <v>0.11</v>
      </c>
      <c r="H1184" s="4">
        <v>0.12</v>
      </c>
      <c r="I1184" s="4">
        <v>0.05</v>
      </c>
      <c r="J1184" s="4">
        <v>113.91</v>
      </c>
      <c r="K1184" s="4">
        <v>138.28</v>
      </c>
      <c r="L1184" s="4">
        <v>73.78</v>
      </c>
      <c r="M1184" s="4">
        <f t="shared" si="54"/>
        <v>9.999999999999995E-3</v>
      </c>
      <c r="N1184" s="4">
        <f t="shared" si="55"/>
        <v>24.370000000000005</v>
      </c>
      <c r="O1184" s="4">
        <f t="shared" si="56"/>
        <v>-6.9999999999999993E-2</v>
      </c>
      <c r="P1184" s="3" t="s">
        <v>19</v>
      </c>
    </row>
    <row r="1185" spans="1:16" x14ac:dyDescent="0.35">
      <c r="A1185" s="3" t="s">
        <v>86</v>
      </c>
      <c r="B1185" s="3" t="str">
        <f>INDEX(State_Region!$B$2:$B$26,MATCH(TRIM(A1185),State_Region!$A$2:$A$26,0))</f>
        <v>North</v>
      </c>
      <c r="C1185" s="3" t="s">
        <v>87</v>
      </c>
      <c r="D1185" s="3" t="str">
        <f>INDEX(Port_Type!$B$2:$B$227,MATCH(TRIM(C1185),Port_Type!$A$2:$A$227,0))</f>
        <v>Air Cargo</v>
      </c>
      <c r="E1185" s="3" t="s">
        <v>170</v>
      </c>
      <c r="F1185" s="3" t="str">
        <f>INDEX(Product_Category!$B$2:$B$45,MATCH(TRIM(E1185),Product_Category!$A$2:$A$45,0))</f>
        <v>Others</v>
      </c>
      <c r="G1185" s="4">
        <v>0.04</v>
      </c>
      <c r="H1185" s="4">
        <v>0.11</v>
      </c>
      <c r="I1185" s="4">
        <v>0.05</v>
      </c>
      <c r="J1185" s="4">
        <v>11.05</v>
      </c>
      <c r="K1185" s="4">
        <v>12.88</v>
      </c>
      <c r="L1185" s="4">
        <v>6.04</v>
      </c>
      <c r="M1185" s="4">
        <f t="shared" si="54"/>
        <v>7.0000000000000007E-2</v>
      </c>
      <c r="N1185" s="4">
        <f t="shared" si="55"/>
        <v>1.83</v>
      </c>
      <c r="O1185" s="4">
        <f t="shared" si="56"/>
        <v>-0.06</v>
      </c>
      <c r="P1185" s="3" t="s">
        <v>19</v>
      </c>
    </row>
    <row r="1186" spans="1:16" x14ac:dyDescent="0.35">
      <c r="A1186" s="3" t="s">
        <v>77</v>
      </c>
      <c r="B1186" s="3" t="str">
        <f>INDEX(State_Region!$B$2:$B$26,MATCH(TRIM(A1186),State_Region!$A$2:$A$26,0))</f>
        <v>South</v>
      </c>
      <c r="C1186" s="3" t="s">
        <v>132</v>
      </c>
      <c r="D1186" s="3" t="str">
        <f>INDEX(Port_Type!$B$2:$B$227,MATCH(TRIM(C1186),Port_Type!$A$2:$A$227,0))</f>
        <v>Air Cargo</v>
      </c>
      <c r="E1186" s="3" t="s">
        <v>69</v>
      </c>
      <c r="F1186" s="3" t="str">
        <f>INDEX(Product_Category!$B$2:$B$45,MATCH(TRIM(E1186),Product_Category!$A$2:$A$45,0))</f>
        <v>Others</v>
      </c>
      <c r="G1186" s="4">
        <v>0.32</v>
      </c>
      <c r="H1186" s="4">
        <v>0.27</v>
      </c>
      <c r="I1186" s="4">
        <v>0.05</v>
      </c>
      <c r="J1186" s="4">
        <v>10.5</v>
      </c>
      <c r="K1186" s="4">
        <v>7.73</v>
      </c>
      <c r="L1186" s="4">
        <v>1.41</v>
      </c>
      <c r="M1186" s="4">
        <f t="shared" si="54"/>
        <v>-4.9999999999999989E-2</v>
      </c>
      <c r="N1186" s="4">
        <f t="shared" si="55"/>
        <v>-2.7699999999999996</v>
      </c>
      <c r="O1186" s="4">
        <f t="shared" si="56"/>
        <v>-0.22000000000000003</v>
      </c>
      <c r="P1186" s="3" t="s">
        <v>19</v>
      </c>
    </row>
    <row r="1187" spans="1:16" x14ac:dyDescent="0.35">
      <c r="A1187" s="3" t="s">
        <v>23</v>
      </c>
      <c r="B1187" s="3" t="str">
        <f>INDEX(State_Region!$B$2:$B$26,MATCH(TRIM(A1187),State_Region!$A$2:$A$26,0))</f>
        <v>North</v>
      </c>
      <c r="C1187" s="3" t="s">
        <v>191</v>
      </c>
      <c r="D1187" s="3" t="str">
        <f>INDEX(Port_Type!$B$2:$B$227,MATCH(TRIM(C1187),Port_Type!$A$2:$A$227,0))</f>
        <v>Land Border / Rail</v>
      </c>
      <c r="E1187" s="3" t="s">
        <v>53</v>
      </c>
      <c r="F1187" s="3" t="str">
        <f>INDEX(Product_Category!$B$2:$B$45,MATCH(TRIM(E1187),Product_Category!$A$2:$A$45,0))</f>
        <v>Processed Foods</v>
      </c>
      <c r="G1187" s="4">
        <v>0</v>
      </c>
      <c r="H1187" s="4">
        <v>0.31</v>
      </c>
      <c r="I1187" s="4">
        <v>0.05</v>
      </c>
      <c r="J1187" s="4">
        <v>15</v>
      </c>
      <c r="K1187" s="4">
        <v>1052.79</v>
      </c>
      <c r="L1187" s="4">
        <v>194.28</v>
      </c>
      <c r="M1187" s="4">
        <f t="shared" si="54"/>
        <v>0.31</v>
      </c>
      <c r="N1187" s="4">
        <f t="shared" si="55"/>
        <v>1037.79</v>
      </c>
      <c r="O1187" s="4">
        <f t="shared" si="56"/>
        <v>-0.26</v>
      </c>
      <c r="P1187" s="3" t="s">
        <v>19</v>
      </c>
    </row>
    <row r="1188" spans="1:16" x14ac:dyDescent="0.35">
      <c r="A1188" s="3" t="s">
        <v>189</v>
      </c>
      <c r="B1188" s="3" t="str">
        <f>INDEX(State_Region!$B$2:$B$26,MATCH(TRIM(A1188),State_Region!$A$2:$A$26,0))</f>
        <v>North</v>
      </c>
      <c r="C1188" s="3" t="s">
        <v>227</v>
      </c>
      <c r="D1188" s="3" t="str">
        <f>INDEX(Port_Type!$B$2:$B$227,MATCH(TRIM(C1188),Port_Type!$A$2:$A$227,0))</f>
        <v>Land Border / Rail</v>
      </c>
      <c r="E1188" s="3" t="s">
        <v>102</v>
      </c>
      <c r="F1188" s="3" t="str">
        <f>INDEX(Product_Category!$B$2:$B$45,MATCH(TRIM(E1188),Product_Category!$A$2:$A$45,0))</f>
        <v>Fresh Fruits &amp; Vegetables</v>
      </c>
      <c r="G1188" s="4">
        <v>0.24</v>
      </c>
      <c r="H1188" s="4">
        <v>0.1</v>
      </c>
      <c r="I1188" s="4">
        <v>0.05</v>
      </c>
      <c r="J1188" s="4">
        <v>1244.72</v>
      </c>
      <c r="K1188" s="4">
        <v>595.83000000000004</v>
      </c>
      <c r="L1188" s="4">
        <v>307.79000000000002</v>
      </c>
      <c r="M1188" s="4">
        <f t="shared" si="54"/>
        <v>-0.13999999999999999</v>
      </c>
      <c r="N1188" s="4">
        <f t="shared" si="55"/>
        <v>-648.89</v>
      </c>
      <c r="O1188" s="4">
        <f t="shared" si="56"/>
        <v>-0.05</v>
      </c>
      <c r="P1188" s="3" t="s">
        <v>19</v>
      </c>
    </row>
    <row r="1189" spans="1:16" x14ac:dyDescent="0.35">
      <c r="A1189" s="3" t="s">
        <v>57</v>
      </c>
      <c r="B1189" s="3" t="str">
        <f>INDEX(State_Region!$B$2:$B$26,MATCH(TRIM(A1189),State_Region!$A$2:$A$26,0))</f>
        <v>Central</v>
      </c>
      <c r="C1189" s="3" t="s">
        <v>161</v>
      </c>
      <c r="D1189" s="3" t="str">
        <f>INDEX(Port_Type!$B$2:$B$227,MATCH(TRIM(C1189),Port_Type!$A$2:$A$227,0))</f>
        <v>Inland ICD / CFS</v>
      </c>
      <c r="E1189" s="3" t="s">
        <v>45</v>
      </c>
      <c r="F1189" s="3" t="str">
        <f>INDEX(Product_Category!$B$2:$B$45,MATCH(TRIM(E1189),Product_Category!$A$2:$A$45,0))</f>
        <v>Fresh Fruits &amp; Vegetables</v>
      </c>
      <c r="G1189" s="4">
        <v>0</v>
      </c>
      <c r="H1189" s="4">
        <v>0</v>
      </c>
      <c r="I1189" s="4">
        <v>0.05</v>
      </c>
      <c r="J1189" s="4">
        <v>0.52</v>
      </c>
      <c r="K1189" s="4">
        <v>0.36</v>
      </c>
      <c r="L1189" s="4">
        <v>51.64</v>
      </c>
      <c r="M1189" s="4">
        <f t="shared" si="54"/>
        <v>0</v>
      </c>
      <c r="N1189" s="4">
        <f t="shared" si="55"/>
        <v>-0.16000000000000003</v>
      </c>
      <c r="O1189" s="4">
        <f t="shared" si="56"/>
        <v>0.05</v>
      </c>
      <c r="P1189" s="3" t="s">
        <v>19</v>
      </c>
    </row>
    <row r="1190" spans="1:16" x14ac:dyDescent="0.35">
      <c r="A1190" s="3" t="s">
        <v>23</v>
      </c>
      <c r="B1190" s="3" t="str">
        <f>INDEX(State_Region!$B$2:$B$26,MATCH(TRIM(A1190),State_Region!$A$2:$A$26,0))</f>
        <v>North</v>
      </c>
      <c r="C1190" s="3" t="s">
        <v>123</v>
      </c>
      <c r="D1190" s="3" t="str">
        <f>INDEX(Port_Type!$B$2:$B$227,MATCH(TRIM(C1190),Port_Type!$A$2:$A$227,0))</f>
        <v>Land Border / Rail</v>
      </c>
      <c r="E1190" s="3" t="s">
        <v>51</v>
      </c>
      <c r="F1190" s="3" t="str">
        <f>INDEX(Product_Category!$B$2:$B$45,MATCH(TRIM(E1190),Product_Category!$A$2:$A$45,0))</f>
        <v>Nuts &amp; Oilseeds</v>
      </c>
      <c r="G1190" s="4">
        <v>1.17</v>
      </c>
      <c r="H1190" s="4">
        <v>0.8</v>
      </c>
      <c r="I1190" s="4">
        <v>0.05</v>
      </c>
      <c r="J1190" s="4">
        <v>1411.59</v>
      </c>
      <c r="K1190" s="4">
        <v>1014.19</v>
      </c>
      <c r="L1190" s="4">
        <v>58.04</v>
      </c>
      <c r="M1190" s="4">
        <f t="shared" si="54"/>
        <v>-0.36999999999999988</v>
      </c>
      <c r="N1190" s="4">
        <f t="shared" si="55"/>
        <v>-397.39999999999986</v>
      </c>
      <c r="O1190" s="4">
        <f t="shared" si="56"/>
        <v>-0.75</v>
      </c>
      <c r="P1190" s="3" t="s">
        <v>19</v>
      </c>
    </row>
    <row r="1191" spans="1:16" x14ac:dyDescent="0.35">
      <c r="A1191" s="3" t="s">
        <v>31</v>
      </c>
      <c r="B1191" s="3" t="str">
        <f>INDEX(State_Region!$B$2:$B$26,MATCH(TRIM(A1191),State_Region!$A$2:$A$26,0))</f>
        <v>East</v>
      </c>
      <c r="C1191" s="3" t="s">
        <v>215</v>
      </c>
      <c r="D1191" s="3" t="str">
        <f>INDEX(Port_Type!$B$2:$B$227,MATCH(TRIM(C1191),Port_Type!$A$2:$A$227,0))</f>
        <v>Land Border / Rail</v>
      </c>
      <c r="E1191" s="3" t="s">
        <v>102</v>
      </c>
      <c r="F1191" s="3" t="str">
        <f>INDEX(Product_Category!$B$2:$B$45,MATCH(TRIM(E1191),Product_Category!$A$2:$A$45,0))</f>
        <v>Fresh Fruits &amp; Vegetables</v>
      </c>
      <c r="G1191" s="4">
        <v>0.2</v>
      </c>
      <c r="H1191" s="4">
        <v>0.13</v>
      </c>
      <c r="I1191" s="4">
        <v>0.05</v>
      </c>
      <c r="J1191" s="4">
        <v>495.8</v>
      </c>
      <c r="K1191" s="4">
        <v>364.68</v>
      </c>
      <c r="L1191" s="4">
        <v>150.57</v>
      </c>
      <c r="M1191" s="4">
        <f t="shared" si="54"/>
        <v>-7.0000000000000007E-2</v>
      </c>
      <c r="N1191" s="4">
        <f t="shared" si="55"/>
        <v>-131.12</v>
      </c>
      <c r="O1191" s="4">
        <f t="shared" si="56"/>
        <v>-0.08</v>
      </c>
      <c r="P1191" s="3" t="s">
        <v>19</v>
      </c>
    </row>
    <row r="1192" spans="1:16" x14ac:dyDescent="0.35">
      <c r="A1192" s="3" t="s">
        <v>66</v>
      </c>
      <c r="B1192" s="3" t="str">
        <f>INDEX(State_Region!$B$2:$B$26,MATCH(TRIM(A1192),State_Region!$A$2:$A$26,0))</f>
        <v>North</v>
      </c>
      <c r="C1192" s="3" t="s">
        <v>73</v>
      </c>
      <c r="D1192" s="3" t="str">
        <f>INDEX(Port_Type!$B$2:$B$227,MATCH(TRIM(C1192),Port_Type!$A$2:$A$227,0))</f>
        <v>Inland ICD / CFS</v>
      </c>
      <c r="E1192" s="3" t="s">
        <v>33</v>
      </c>
      <c r="F1192" s="3" t="str">
        <f>INDEX(Product_Category!$B$2:$B$45,MATCH(TRIM(E1192),Product_Category!$A$2:$A$45,0))</f>
        <v>Pulses</v>
      </c>
      <c r="G1192" s="4">
        <v>0.17</v>
      </c>
      <c r="H1192" s="4">
        <v>0.06</v>
      </c>
      <c r="I1192" s="4">
        <v>0.05</v>
      </c>
      <c r="J1192" s="4">
        <v>139.91</v>
      </c>
      <c r="K1192" s="4">
        <v>46.07</v>
      </c>
      <c r="L1192" s="4">
        <v>39.22</v>
      </c>
      <c r="M1192" s="4">
        <f t="shared" si="54"/>
        <v>-0.11000000000000001</v>
      </c>
      <c r="N1192" s="4">
        <f t="shared" si="55"/>
        <v>-93.84</v>
      </c>
      <c r="O1192" s="4">
        <f t="shared" si="56"/>
        <v>-9.999999999999995E-3</v>
      </c>
      <c r="P1192" s="3" t="s">
        <v>19</v>
      </c>
    </row>
    <row r="1193" spans="1:16" x14ac:dyDescent="0.35">
      <c r="A1193" s="3" t="s">
        <v>40</v>
      </c>
      <c r="B1193" s="3" t="str">
        <f>INDEX(State_Region!$B$2:$B$26,MATCH(TRIM(A1193),State_Region!$A$2:$A$26,0))</f>
        <v>South</v>
      </c>
      <c r="C1193" s="3" t="s">
        <v>41</v>
      </c>
      <c r="D1193" s="3" t="str">
        <f>INDEX(Port_Type!$B$2:$B$227,MATCH(TRIM(C1193),Port_Type!$A$2:$A$227,0))</f>
        <v>Sea Port</v>
      </c>
      <c r="E1193" s="3" t="s">
        <v>76</v>
      </c>
      <c r="F1193" s="3" t="str">
        <f>INDEX(Product_Category!$B$2:$B$45,MATCH(TRIM(E1193),Product_Category!$A$2:$A$45,0))</f>
        <v>Fresh Fruits &amp; Vegetables</v>
      </c>
      <c r="G1193" s="4">
        <v>0.01</v>
      </c>
      <c r="H1193" s="4">
        <v>0</v>
      </c>
      <c r="I1193" s="4">
        <v>0.05</v>
      </c>
      <c r="J1193" s="4">
        <v>6.9</v>
      </c>
      <c r="K1193" s="4">
        <v>6.97</v>
      </c>
      <c r="L1193" s="4">
        <v>34.159999999999997</v>
      </c>
      <c r="M1193" s="4">
        <f t="shared" si="54"/>
        <v>-0.01</v>
      </c>
      <c r="N1193" s="4">
        <f t="shared" si="55"/>
        <v>6.9999999999999396E-2</v>
      </c>
      <c r="O1193" s="4">
        <f t="shared" si="56"/>
        <v>0.05</v>
      </c>
      <c r="P1193" s="3" t="s">
        <v>19</v>
      </c>
    </row>
    <row r="1194" spans="1:16" x14ac:dyDescent="0.35">
      <c r="A1194" s="3" t="s">
        <v>66</v>
      </c>
      <c r="B1194" s="3" t="str">
        <f>INDEX(State_Region!$B$2:$B$26,MATCH(TRIM(A1194),State_Region!$A$2:$A$26,0))</f>
        <v>North</v>
      </c>
      <c r="C1194" s="3" t="s">
        <v>127</v>
      </c>
      <c r="D1194" s="3" t="str">
        <f>INDEX(Port_Type!$B$2:$B$227,MATCH(TRIM(C1194),Port_Type!$A$2:$A$227,0))</f>
        <v>Inland ICD / CFS</v>
      </c>
      <c r="E1194" s="3" t="s">
        <v>27</v>
      </c>
      <c r="F1194" s="3" t="str">
        <f>INDEX(Product_Category!$B$2:$B$45,MATCH(TRIM(E1194),Product_Category!$A$2:$A$45,0))</f>
        <v>Cereals &amp; Grains</v>
      </c>
      <c r="G1194" s="4">
        <v>1.27</v>
      </c>
      <c r="H1194" s="4">
        <v>1.34</v>
      </c>
      <c r="I1194" s="4">
        <v>0.05</v>
      </c>
      <c r="J1194" s="4">
        <v>2188.69</v>
      </c>
      <c r="K1194" s="4">
        <v>2298.41</v>
      </c>
      <c r="L1194" s="4">
        <v>47.75</v>
      </c>
      <c r="M1194" s="4">
        <f t="shared" si="54"/>
        <v>7.0000000000000062E-2</v>
      </c>
      <c r="N1194" s="4">
        <f t="shared" si="55"/>
        <v>109.7199999999998</v>
      </c>
      <c r="O1194" s="4">
        <f t="shared" si="56"/>
        <v>-1.29</v>
      </c>
      <c r="P1194" s="3" t="s">
        <v>19</v>
      </c>
    </row>
    <row r="1195" spans="1:16" x14ac:dyDescent="0.35">
      <c r="A1195" s="3" t="s">
        <v>16</v>
      </c>
      <c r="B1195" s="3" t="str">
        <f>INDEX(State_Region!$B$2:$B$26,MATCH(TRIM(A1195),State_Region!$A$2:$A$26,0))</f>
        <v>West</v>
      </c>
      <c r="C1195" s="3" t="s">
        <v>135</v>
      </c>
      <c r="D1195" s="3" t="str">
        <f>INDEX(Port_Type!$B$2:$B$227,MATCH(TRIM(C1195),Port_Type!$A$2:$A$227,0))</f>
        <v>Air Cargo</v>
      </c>
      <c r="E1195" s="3" t="s">
        <v>54</v>
      </c>
      <c r="F1195" s="3" t="str">
        <f>INDEX(Product_Category!$B$2:$B$45,MATCH(TRIM(E1195),Product_Category!$A$2:$A$45,0))</f>
        <v>Processed Foods</v>
      </c>
      <c r="G1195" s="4">
        <v>0.09</v>
      </c>
      <c r="H1195" s="4">
        <v>0.18</v>
      </c>
      <c r="I1195" s="4">
        <v>0.05</v>
      </c>
      <c r="J1195" s="4">
        <v>15.32</v>
      </c>
      <c r="K1195" s="4">
        <v>44.51</v>
      </c>
      <c r="L1195" s="4">
        <v>5.82</v>
      </c>
      <c r="M1195" s="4">
        <f t="shared" si="54"/>
        <v>0.09</v>
      </c>
      <c r="N1195" s="4">
        <f t="shared" si="55"/>
        <v>29.189999999999998</v>
      </c>
      <c r="O1195" s="4">
        <f t="shared" si="56"/>
        <v>-0.13</v>
      </c>
      <c r="P1195" s="3" t="s">
        <v>19</v>
      </c>
    </row>
    <row r="1196" spans="1:16" x14ac:dyDescent="0.35">
      <c r="A1196" s="3" t="s">
        <v>166</v>
      </c>
      <c r="B1196" s="3" t="str">
        <f>INDEX(State_Region!$B$2:$B$26,MATCH(TRIM(A1196),State_Region!$A$2:$A$26,0))</f>
        <v>West</v>
      </c>
      <c r="C1196" s="3" t="s">
        <v>200</v>
      </c>
      <c r="D1196" s="3" t="str">
        <f>INDEX(Port_Type!$B$2:$B$227,MATCH(TRIM(C1196),Port_Type!$A$2:$A$227,0))</f>
        <v>Air Cargo</v>
      </c>
      <c r="E1196" s="3" t="s">
        <v>45</v>
      </c>
      <c r="F1196" s="3" t="str">
        <f>INDEX(Product_Category!$B$2:$B$45,MATCH(TRIM(E1196),Product_Category!$A$2:$A$45,0))</f>
        <v>Fresh Fruits &amp; Vegetables</v>
      </c>
      <c r="G1196" s="4">
        <v>0</v>
      </c>
      <c r="H1196" s="4">
        <v>0.2</v>
      </c>
      <c r="I1196" s="4">
        <v>0.05</v>
      </c>
      <c r="J1196" s="4">
        <v>3.71</v>
      </c>
      <c r="K1196" s="4">
        <v>87.98</v>
      </c>
      <c r="L1196" s="4">
        <v>20.99</v>
      </c>
      <c r="M1196" s="4">
        <f t="shared" si="54"/>
        <v>0.2</v>
      </c>
      <c r="N1196" s="4">
        <f t="shared" si="55"/>
        <v>84.27000000000001</v>
      </c>
      <c r="O1196" s="4">
        <f t="shared" si="56"/>
        <v>-0.15000000000000002</v>
      </c>
      <c r="P1196" s="3" t="s">
        <v>19</v>
      </c>
    </row>
    <row r="1197" spans="1:16" x14ac:dyDescent="0.35">
      <c r="A1197" s="3" t="s">
        <v>16</v>
      </c>
      <c r="B1197" s="3" t="str">
        <f>INDEX(State_Region!$B$2:$B$26,MATCH(TRIM(A1197),State_Region!$A$2:$A$26,0))</f>
        <v>West</v>
      </c>
      <c r="C1197" s="3" t="s">
        <v>90</v>
      </c>
      <c r="D1197" s="3" t="str">
        <f>INDEX(Port_Type!$B$2:$B$227,MATCH(TRIM(C1197),Port_Type!$A$2:$A$227,0))</f>
        <v>Inland ICD / CFS</v>
      </c>
      <c r="E1197" s="3" t="s">
        <v>84</v>
      </c>
      <c r="F1197" s="3" t="str">
        <f>INDEX(Product_Category!$B$2:$B$45,MATCH(TRIM(E1197),Product_Category!$A$2:$A$45,0))</f>
        <v>Nuts &amp; Oilseeds</v>
      </c>
      <c r="G1197" s="4">
        <v>0.04</v>
      </c>
      <c r="H1197" s="4">
        <v>0.23</v>
      </c>
      <c r="I1197" s="4">
        <v>0.05</v>
      </c>
      <c r="J1197" s="4">
        <v>5.36</v>
      </c>
      <c r="K1197" s="4">
        <v>20.52</v>
      </c>
      <c r="L1197" s="4">
        <v>3.18</v>
      </c>
      <c r="M1197" s="4">
        <f t="shared" si="54"/>
        <v>0.19</v>
      </c>
      <c r="N1197" s="4">
        <f t="shared" si="55"/>
        <v>15.16</v>
      </c>
      <c r="O1197" s="4">
        <f t="shared" si="56"/>
        <v>-0.18</v>
      </c>
      <c r="P1197" s="3" t="s">
        <v>19</v>
      </c>
    </row>
    <row r="1198" spans="1:16" x14ac:dyDescent="0.35">
      <c r="A1198" s="3" t="s">
        <v>16</v>
      </c>
      <c r="B1198" s="3" t="str">
        <f>INDEX(State_Region!$B$2:$B$26,MATCH(TRIM(A1198),State_Region!$A$2:$A$26,0))</f>
        <v>West</v>
      </c>
      <c r="C1198" s="3" t="s">
        <v>115</v>
      </c>
      <c r="D1198" s="3" t="str">
        <f>INDEX(Port_Type!$B$2:$B$227,MATCH(TRIM(C1198),Port_Type!$A$2:$A$227,0))</f>
        <v>Inland ICD / CFS</v>
      </c>
      <c r="E1198" s="3" t="s">
        <v>54</v>
      </c>
      <c r="F1198" s="3" t="str">
        <f>INDEX(Product_Category!$B$2:$B$45,MATCH(TRIM(E1198),Product_Category!$A$2:$A$45,0))</f>
        <v>Processed Foods</v>
      </c>
      <c r="G1198" s="4">
        <v>0.01</v>
      </c>
      <c r="H1198" s="4">
        <v>0.14000000000000001</v>
      </c>
      <c r="I1198" s="4">
        <v>0.05</v>
      </c>
      <c r="J1198" s="4">
        <v>3.95</v>
      </c>
      <c r="K1198" s="4">
        <v>31.55</v>
      </c>
      <c r="L1198" s="4">
        <v>23.41</v>
      </c>
      <c r="M1198" s="4">
        <f t="shared" si="54"/>
        <v>0.13</v>
      </c>
      <c r="N1198" s="4">
        <f t="shared" si="55"/>
        <v>27.6</v>
      </c>
      <c r="O1198" s="4">
        <f t="shared" si="56"/>
        <v>-9.0000000000000011E-2</v>
      </c>
      <c r="P1198" s="3" t="s">
        <v>19</v>
      </c>
    </row>
    <row r="1199" spans="1:16" x14ac:dyDescent="0.35">
      <c r="A1199" s="3" t="s">
        <v>23</v>
      </c>
      <c r="B1199" s="3" t="str">
        <f>INDEX(State_Region!$B$2:$B$26,MATCH(TRIM(A1199),State_Region!$A$2:$A$26,0))</f>
        <v>North</v>
      </c>
      <c r="C1199" s="3" t="s">
        <v>44</v>
      </c>
      <c r="D1199" s="3" t="str">
        <f>INDEX(Port_Type!$B$2:$B$227,MATCH(TRIM(C1199),Port_Type!$A$2:$A$227,0))</f>
        <v>Inland ICD / CFS</v>
      </c>
      <c r="E1199" s="3" t="s">
        <v>62</v>
      </c>
      <c r="F1199" s="3" t="str">
        <f>INDEX(Product_Category!$B$2:$B$45,MATCH(TRIM(E1199),Product_Category!$A$2:$A$45,0))</f>
        <v>Cereals &amp; Grains</v>
      </c>
      <c r="G1199" s="4">
        <v>0</v>
      </c>
      <c r="H1199" s="4">
        <v>0</v>
      </c>
      <c r="I1199" s="4">
        <v>0.05</v>
      </c>
      <c r="J1199" s="4">
        <v>0</v>
      </c>
      <c r="K1199" s="4">
        <v>0.78</v>
      </c>
      <c r="L1199" s="4">
        <v>65.89</v>
      </c>
      <c r="M1199" s="4">
        <f t="shared" si="54"/>
        <v>0</v>
      </c>
      <c r="N1199" s="4">
        <f t="shared" si="55"/>
        <v>0.78</v>
      </c>
      <c r="O1199" s="4">
        <f t="shared" si="56"/>
        <v>0.05</v>
      </c>
      <c r="P1199" s="3" t="s">
        <v>19</v>
      </c>
    </row>
    <row r="1200" spans="1:16" x14ac:dyDescent="0.35">
      <c r="A1200" s="3" t="s">
        <v>23</v>
      </c>
      <c r="B1200" s="3" t="str">
        <f>INDEX(State_Region!$B$2:$B$26,MATCH(TRIM(A1200),State_Region!$A$2:$A$26,0))</f>
        <v>North</v>
      </c>
      <c r="C1200" s="3" t="s">
        <v>34</v>
      </c>
      <c r="D1200" s="3" t="str">
        <f>INDEX(Port_Type!$B$2:$B$227,MATCH(TRIM(C1200),Port_Type!$A$2:$A$227,0))</f>
        <v>Inland ICD / CFS</v>
      </c>
      <c r="E1200" s="3" t="s">
        <v>51</v>
      </c>
      <c r="F1200" s="3" t="str">
        <f>INDEX(Product_Category!$B$2:$B$45,MATCH(TRIM(E1200),Product_Category!$A$2:$A$45,0))</f>
        <v>Nuts &amp; Oilseeds</v>
      </c>
      <c r="G1200" s="4">
        <v>0</v>
      </c>
      <c r="H1200" s="4">
        <v>0.39</v>
      </c>
      <c r="I1200" s="4">
        <v>0.05</v>
      </c>
      <c r="J1200" s="4">
        <v>0</v>
      </c>
      <c r="K1200" s="4">
        <v>400</v>
      </c>
      <c r="L1200" s="4">
        <v>40</v>
      </c>
      <c r="M1200" s="4">
        <f t="shared" si="54"/>
        <v>0.39</v>
      </c>
      <c r="N1200" s="4">
        <f t="shared" si="55"/>
        <v>400</v>
      </c>
      <c r="O1200" s="4">
        <f t="shared" si="56"/>
        <v>-0.34</v>
      </c>
      <c r="P1200" s="3" t="s">
        <v>19</v>
      </c>
    </row>
    <row r="1201" spans="1:16" x14ac:dyDescent="0.35">
      <c r="A1201" s="3" t="s">
        <v>23</v>
      </c>
      <c r="B1201" s="3" t="str">
        <f>INDEX(State_Region!$B$2:$B$26,MATCH(TRIM(A1201),State_Region!$A$2:$A$26,0))</f>
        <v>North</v>
      </c>
      <c r="C1201" s="3" t="s">
        <v>123</v>
      </c>
      <c r="D1201" s="3" t="str">
        <f>INDEX(Port_Type!$B$2:$B$227,MATCH(TRIM(C1201),Port_Type!$A$2:$A$227,0))</f>
        <v>Land Border / Rail</v>
      </c>
      <c r="E1201" s="3" t="s">
        <v>65</v>
      </c>
      <c r="F1201" s="3" t="str">
        <f>INDEX(Product_Category!$B$2:$B$45,MATCH(TRIM(E1201),Product_Category!$A$2:$A$45,0))</f>
        <v>Cereals &amp; Grains</v>
      </c>
      <c r="G1201" s="4">
        <v>0.13</v>
      </c>
      <c r="H1201" s="4">
        <v>0.23</v>
      </c>
      <c r="I1201" s="4">
        <v>0.05</v>
      </c>
      <c r="J1201" s="4">
        <v>363.54</v>
      </c>
      <c r="K1201" s="4">
        <v>689.22</v>
      </c>
      <c r="L1201" s="4">
        <v>172.86</v>
      </c>
      <c r="M1201" s="4">
        <f t="shared" si="54"/>
        <v>0.1</v>
      </c>
      <c r="N1201" s="4">
        <f t="shared" si="55"/>
        <v>325.68</v>
      </c>
      <c r="O1201" s="4">
        <f t="shared" si="56"/>
        <v>-0.18</v>
      </c>
      <c r="P1201" s="3" t="s">
        <v>19</v>
      </c>
    </row>
    <row r="1202" spans="1:16" x14ac:dyDescent="0.35">
      <c r="A1202" s="3" t="s">
        <v>23</v>
      </c>
      <c r="B1202" s="3" t="str">
        <f>INDEX(State_Region!$B$2:$B$26,MATCH(TRIM(A1202),State_Region!$A$2:$A$26,0))</f>
        <v>North</v>
      </c>
      <c r="C1202" s="3" t="s">
        <v>43</v>
      </c>
      <c r="D1202" s="3" t="str">
        <f>INDEX(Port_Type!$B$2:$B$227,MATCH(TRIM(C1202),Port_Type!$A$2:$A$227,0))</f>
        <v>Land Border / Rail</v>
      </c>
      <c r="E1202" s="3" t="s">
        <v>39</v>
      </c>
      <c r="F1202" s="3" t="str">
        <f>INDEX(Product_Category!$B$2:$B$45,MATCH(TRIM(E1202),Product_Category!$A$2:$A$45,0))</f>
        <v>Processed Foods</v>
      </c>
      <c r="G1202" s="4">
        <v>0.02</v>
      </c>
      <c r="H1202" s="4">
        <v>0.12</v>
      </c>
      <c r="I1202" s="4">
        <v>0.05</v>
      </c>
      <c r="J1202" s="4">
        <v>57</v>
      </c>
      <c r="K1202" s="4">
        <v>250</v>
      </c>
      <c r="L1202" s="4">
        <v>130.04</v>
      </c>
      <c r="M1202" s="4">
        <f t="shared" si="54"/>
        <v>9.9999999999999992E-2</v>
      </c>
      <c r="N1202" s="4">
        <f t="shared" si="55"/>
        <v>193</v>
      </c>
      <c r="O1202" s="4">
        <f t="shared" si="56"/>
        <v>-6.9999999999999993E-2</v>
      </c>
      <c r="P1202" s="3" t="s">
        <v>19</v>
      </c>
    </row>
    <row r="1203" spans="1:16" x14ac:dyDescent="0.35">
      <c r="A1203" s="3" t="s">
        <v>40</v>
      </c>
      <c r="B1203" s="3" t="str">
        <f>INDEX(State_Region!$B$2:$B$26,MATCH(TRIM(A1203),State_Region!$A$2:$A$26,0))</f>
        <v>South</v>
      </c>
      <c r="C1203" s="3" t="s">
        <v>41</v>
      </c>
      <c r="D1203" s="3" t="str">
        <f>INDEX(Port_Type!$B$2:$B$227,MATCH(TRIM(C1203),Port_Type!$A$2:$A$227,0))</f>
        <v>Sea Port</v>
      </c>
      <c r="E1203" s="3" t="s">
        <v>170</v>
      </c>
      <c r="F1203" s="3" t="str">
        <f>INDEX(Product_Category!$B$2:$B$45,MATCH(TRIM(E1203),Product_Category!$A$2:$A$45,0))</f>
        <v>Others</v>
      </c>
      <c r="G1203" s="4">
        <v>0.15</v>
      </c>
      <c r="H1203" s="4">
        <v>0.34</v>
      </c>
      <c r="I1203" s="4">
        <v>0.05</v>
      </c>
      <c r="J1203" s="4">
        <v>16.73</v>
      </c>
      <c r="K1203" s="4">
        <v>69.05</v>
      </c>
      <c r="L1203" s="4">
        <v>4.88</v>
      </c>
      <c r="M1203" s="4">
        <f t="shared" si="54"/>
        <v>0.19000000000000003</v>
      </c>
      <c r="N1203" s="4">
        <f t="shared" si="55"/>
        <v>52.319999999999993</v>
      </c>
      <c r="O1203" s="4">
        <f t="shared" si="56"/>
        <v>-0.29000000000000004</v>
      </c>
      <c r="P1203" s="3" t="s">
        <v>19</v>
      </c>
    </row>
    <row r="1204" spans="1:16" x14ac:dyDescent="0.35">
      <c r="A1204" s="3" t="s">
        <v>66</v>
      </c>
      <c r="B1204" s="3" t="str">
        <f>INDEX(State_Region!$B$2:$B$26,MATCH(TRIM(A1204),State_Region!$A$2:$A$26,0))</f>
        <v>North</v>
      </c>
      <c r="C1204" s="3" t="s">
        <v>73</v>
      </c>
      <c r="D1204" s="3" t="str">
        <f>INDEX(Port_Type!$B$2:$B$227,MATCH(TRIM(C1204),Port_Type!$A$2:$A$227,0))</f>
        <v>Inland ICD / CFS</v>
      </c>
      <c r="E1204" s="3" t="s">
        <v>65</v>
      </c>
      <c r="F1204" s="3" t="str">
        <f>INDEX(Product_Category!$B$2:$B$45,MATCH(TRIM(E1204),Product_Category!$A$2:$A$45,0))</f>
        <v>Cereals &amp; Grains</v>
      </c>
      <c r="G1204" s="4">
        <v>0.03</v>
      </c>
      <c r="H1204" s="4">
        <v>0.21</v>
      </c>
      <c r="I1204" s="4">
        <v>0.05</v>
      </c>
      <c r="J1204" s="4">
        <v>40.22</v>
      </c>
      <c r="K1204" s="4">
        <v>276.60000000000002</v>
      </c>
      <c r="L1204" s="4">
        <v>57.19</v>
      </c>
      <c r="M1204" s="4">
        <f t="shared" si="54"/>
        <v>0.18</v>
      </c>
      <c r="N1204" s="4">
        <f t="shared" si="55"/>
        <v>236.38000000000002</v>
      </c>
      <c r="O1204" s="4">
        <f t="shared" si="56"/>
        <v>-0.15999999999999998</v>
      </c>
      <c r="P1204" s="3" t="s">
        <v>19</v>
      </c>
    </row>
    <row r="1205" spans="1:16" x14ac:dyDescent="0.35">
      <c r="A1205" s="3" t="s">
        <v>66</v>
      </c>
      <c r="B1205" s="3" t="str">
        <f>INDEX(State_Region!$B$2:$B$26,MATCH(TRIM(A1205),State_Region!$A$2:$A$26,0))</f>
        <v>North</v>
      </c>
      <c r="C1205" s="3" t="s">
        <v>127</v>
      </c>
      <c r="D1205" s="3" t="str">
        <f>INDEX(Port_Type!$B$2:$B$227,MATCH(TRIM(C1205),Port_Type!$A$2:$A$227,0))</f>
        <v>Inland ICD / CFS</v>
      </c>
      <c r="E1205" s="3" t="s">
        <v>72</v>
      </c>
      <c r="F1205" s="3" t="str">
        <f>INDEX(Product_Category!$B$2:$B$45,MATCH(TRIM(E1205),Product_Category!$A$2:$A$45,0))</f>
        <v>Dairy, Poultry &amp; Honey</v>
      </c>
      <c r="G1205" s="4">
        <v>0.56999999999999995</v>
      </c>
      <c r="H1205" s="4">
        <v>0.01</v>
      </c>
      <c r="I1205" s="4">
        <v>0.05</v>
      </c>
      <c r="J1205" s="4">
        <v>85.3</v>
      </c>
      <c r="K1205" s="4">
        <v>1.24</v>
      </c>
      <c r="L1205" s="4">
        <v>8.93</v>
      </c>
      <c r="M1205" s="4">
        <f t="shared" si="54"/>
        <v>-0.55999999999999994</v>
      </c>
      <c r="N1205" s="4">
        <f t="shared" si="55"/>
        <v>-84.06</v>
      </c>
      <c r="O1205" s="4">
        <f t="shared" si="56"/>
        <v>0.04</v>
      </c>
      <c r="P1205" s="3" t="s">
        <v>19</v>
      </c>
    </row>
    <row r="1206" spans="1:16" x14ac:dyDescent="0.35">
      <c r="A1206" s="3" t="s">
        <v>77</v>
      </c>
      <c r="B1206" s="3" t="str">
        <f>INDEX(State_Region!$B$2:$B$26,MATCH(TRIM(A1206),State_Region!$A$2:$A$26,0))</f>
        <v>South</v>
      </c>
      <c r="C1206" s="3" t="s">
        <v>78</v>
      </c>
      <c r="D1206" s="3" t="str">
        <f>INDEX(Port_Type!$B$2:$B$227,MATCH(TRIM(C1206),Port_Type!$A$2:$A$227,0))</f>
        <v>Sea Port</v>
      </c>
      <c r="E1206" s="3" t="s">
        <v>170</v>
      </c>
      <c r="F1206" s="3" t="str">
        <f>INDEX(Product_Category!$B$2:$B$45,MATCH(TRIM(E1206),Product_Category!$A$2:$A$45,0))</f>
        <v>Others</v>
      </c>
      <c r="G1206" s="4">
        <v>7.0000000000000007E-2</v>
      </c>
      <c r="H1206" s="4">
        <v>0.13</v>
      </c>
      <c r="I1206" s="4">
        <v>0.05</v>
      </c>
      <c r="J1206" s="4">
        <v>23.04</v>
      </c>
      <c r="K1206" s="4">
        <v>34.11</v>
      </c>
      <c r="L1206" s="4">
        <v>8.1</v>
      </c>
      <c r="M1206" s="4">
        <f t="shared" si="54"/>
        <v>0.06</v>
      </c>
      <c r="N1206" s="4">
        <f t="shared" si="55"/>
        <v>11.07</v>
      </c>
      <c r="O1206" s="4">
        <f t="shared" si="56"/>
        <v>-0.08</v>
      </c>
      <c r="P1206" s="3" t="s">
        <v>19</v>
      </c>
    </row>
    <row r="1207" spans="1:16" x14ac:dyDescent="0.35">
      <c r="A1207" s="3" t="s">
        <v>35</v>
      </c>
      <c r="B1207" s="3" t="str">
        <f>INDEX(State_Region!$B$2:$B$26,MATCH(TRIM(A1207),State_Region!$A$2:$A$26,0))</f>
        <v>North</v>
      </c>
      <c r="C1207" s="3" t="s">
        <v>36</v>
      </c>
      <c r="D1207" s="3" t="str">
        <f>INDEX(Port_Type!$B$2:$B$227,MATCH(TRIM(C1207),Port_Type!$A$2:$A$227,0))</f>
        <v>Inland ICD / CFS</v>
      </c>
      <c r="E1207" s="3" t="s">
        <v>65</v>
      </c>
      <c r="F1207" s="3" t="str">
        <f>INDEX(Product_Category!$B$2:$B$45,MATCH(TRIM(E1207),Product_Category!$A$2:$A$45,0))</f>
        <v>Cereals &amp; Grains</v>
      </c>
      <c r="G1207" s="4">
        <v>0.03</v>
      </c>
      <c r="H1207" s="4">
        <v>0.01</v>
      </c>
      <c r="I1207" s="4">
        <v>0.05</v>
      </c>
      <c r="J1207" s="4">
        <v>24.81</v>
      </c>
      <c r="K1207" s="4">
        <v>16.29</v>
      </c>
      <c r="L1207" s="4">
        <v>98.23</v>
      </c>
      <c r="M1207" s="4">
        <f t="shared" si="54"/>
        <v>-1.9999999999999997E-2</v>
      </c>
      <c r="N1207" s="4">
        <f t="shared" si="55"/>
        <v>-8.52</v>
      </c>
      <c r="O1207" s="4">
        <f t="shared" si="56"/>
        <v>0.04</v>
      </c>
      <c r="P1207" s="3" t="s">
        <v>19</v>
      </c>
    </row>
    <row r="1208" spans="1:16" x14ac:dyDescent="0.35">
      <c r="A1208" s="3" t="s">
        <v>35</v>
      </c>
      <c r="B1208" s="3" t="str">
        <f>INDEX(State_Region!$B$2:$B$26,MATCH(TRIM(A1208),State_Region!$A$2:$A$26,0))</f>
        <v>North</v>
      </c>
      <c r="C1208" s="3" t="s">
        <v>37</v>
      </c>
      <c r="D1208" s="3" t="str">
        <f>INDEX(Port_Type!$B$2:$B$227,MATCH(TRIM(C1208),Port_Type!$A$2:$A$227,0))</f>
        <v>Inland ICD / CFS</v>
      </c>
      <c r="E1208" s="3" t="s">
        <v>93</v>
      </c>
      <c r="F1208" s="3" t="str">
        <f>INDEX(Product_Category!$B$2:$B$45,MATCH(TRIM(E1208),Product_Category!$A$2:$A$45,0))</f>
        <v>Meat &amp; Animal Products</v>
      </c>
      <c r="G1208" s="4">
        <v>0.01</v>
      </c>
      <c r="H1208" s="4">
        <v>0.44</v>
      </c>
      <c r="I1208" s="4">
        <v>0.05</v>
      </c>
      <c r="J1208" s="4">
        <v>1.8</v>
      </c>
      <c r="K1208" s="4">
        <v>54.58</v>
      </c>
      <c r="L1208" s="4">
        <v>9</v>
      </c>
      <c r="M1208" s="4">
        <f t="shared" si="54"/>
        <v>0.43</v>
      </c>
      <c r="N1208" s="4">
        <f t="shared" si="55"/>
        <v>52.78</v>
      </c>
      <c r="O1208" s="4">
        <f t="shared" si="56"/>
        <v>-0.39</v>
      </c>
      <c r="P1208" s="3" t="s">
        <v>19</v>
      </c>
    </row>
    <row r="1209" spans="1:16" x14ac:dyDescent="0.35">
      <c r="A1209" s="3" t="s">
        <v>16</v>
      </c>
      <c r="B1209" s="3" t="str">
        <f>INDEX(State_Region!$B$2:$B$26,MATCH(TRIM(A1209),State_Region!$A$2:$A$26,0))</f>
        <v>West</v>
      </c>
      <c r="C1209" s="3" t="s">
        <v>90</v>
      </c>
      <c r="D1209" s="3" t="str">
        <f>INDEX(Port_Type!$B$2:$B$227,MATCH(TRIM(C1209),Port_Type!$A$2:$A$227,0))</f>
        <v>Inland ICD / CFS</v>
      </c>
      <c r="E1209" s="3" t="s">
        <v>69</v>
      </c>
      <c r="F1209" s="3" t="str">
        <f>INDEX(Product_Category!$B$2:$B$45,MATCH(TRIM(E1209),Product_Category!$A$2:$A$45,0))</f>
        <v>Others</v>
      </c>
      <c r="G1209" s="4">
        <v>0.24</v>
      </c>
      <c r="H1209" s="4">
        <v>0.3</v>
      </c>
      <c r="I1209" s="4">
        <v>0.05</v>
      </c>
      <c r="J1209" s="4">
        <v>72.55</v>
      </c>
      <c r="K1209" s="4">
        <v>29.42</v>
      </c>
      <c r="L1209" s="4">
        <v>10.66</v>
      </c>
      <c r="M1209" s="4">
        <f t="shared" si="54"/>
        <v>0.06</v>
      </c>
      <c r="N1209" s="4">
        <f t="shared" si="55"/>
        <v>-43.129999999999995</v>
      </c>
      <c r="O1209" s="4">
        <f t="shared" si="56"/>
        <v>-0.25</v>
      </c>
      <c r="P1209" s="3" t="s">
        <v>19</v>
      </c>
    </row>
    <row r="1210" spans="1:16" x14ac:dyDescent="0.35">
      <c r="A1210" s="3" t="s">
        <v>94</v>
      </c>
      <c r="B1210" s="3" t="str">
        <f>INDEX(State_Region!$B$2:$B$26,MATCH(TRIM(A1210),State_Region!$A$2:$A$26,0))</f>
        <v>East</v>
      </c>
      <c r="C1210" s="3" t="s">
        <v>112</v>
      </c>
      <c r="D1210" s="3" t="str">
        <f>INDEX(Port_Type!$B$2:$B$227,MATCH(TRIM(C1210),Port_Type!$A$2:$A$227,0))</f>
        <v>Land Border / Rail</v>
      </c>
      <c r="E1210" s="3" t="s">
        <v>83</v>
      </c>
      <c r="F1210" s="3" t="str">
        <f>INDEX(Product_Category!$B$2:$B$45,MATCH(TRIM(E1210),Product_Category!$A$2:$A$45,0))</f>
        <v>Fresh Fruits &amp; Vegetables</v>
      </c>
      <c r="G1210" s="4">
        <v>0.24</v>
      </c>
      <c r="H1210" s="4">
        <v>0.22</v>
      </c>
      <c r="I1210" s="4">
        <v>0.05</v>
      </c>
      <c r="J1210" s="4">
        <v>440.04</v>
      </c>
      <c r="K1210" s="4">
        <v>387.02</v>
      </c>
      <c r="L1210" s="4">
        <v>87.48</v>
      </c>
      <c r="M1210" s="4">
        <f t="shared" si="54"/>
        <v>-1.999999999999999E-2</v>
      </c>
      <c r="N1210" s="4">
        <f t="shared" si="55"/>
        <v>-53.020000000000039</v>
      </c>
      <c r="O1210" s="4">
        <f t="shared" si="56"/>
        <v>-0.16999999999999998</v>
      </c>
      <c r="P1210" s="3" t="s">
        <v>19</v>
      </c>
    </row>
    <row r="1211" spans="1:16" x14ac:dyDescent="0.35">
      <c r="A1211" s="3" t="s">
        <v>20</v>
      </c>
      <c r="B1211" s="3" t="str">
        <f>INDEX(State_Region!$B$2:$B$26,MATCH(TRIM(A1211),State_Region!$A$2:$A$26,0))</f>
        <v>West</v>
      </c>
      <c r="C1211" s="3" t="s">
        <v>235</v>
      </c>
      <c r="D1211" s="3" t="str">
        <f>INDEX(Port_Type!$B$2:$B$227,MATCH(TRIM(C1211),Port_Type!$A$2:$A$227,0))</f>
        <v>Inland ICD / CFS</v>
      </c>
      <c r="E1211" s="3" t="s">
        <v>48</v>
      </c>
      <c r="F1211" s="3" t="str">
        <f>INDEX(Product_Category!$B$2:$B$45,MATCH(TRIM(E1211),Product_Category!$A$2:$A$45,0))</f>
        <v>Processed Foods</v>
      </c>
      <c r="G1211" s="4">
        <v>0.01</v>
      </c>
      <c r="H1211" s="4">
        <v>0.03</v>
      </c>
      <c r="I1211" s="4">
        <v>0.05</v>
      </c>
      <c r="J1211" s="4">
        <v>3.96</v>
      </c>
      <c r="K1211" s="4">
        <v>12.74</v>
      </c>
      <c r="L1211" s="4">
        <v>41.98</v>
      </c>
      <c r="M1211" s="4">
        <f t="shared" si="54"/>
        <v>1.9999999999999997E-2</v>
      </c>
      <c r="N1211" s="4">
        <f t="shared" si="55"/>
        <v>8.7800000000000011</v>
      </c>
      <c r="O1211" s="4">
        <f t="shared" si="56"/>
        <v>2.0000000000000004E-2</v>
      </c>
      <c r="P1211" s="3" t="s">
        <v>19</v>
      </c>
    </row>
    <row r="1212" spans="1:16" x14ac:dyDescent="0.35">
      <c r="A1212" s="3" t="s">
        <v>23</v>
      </c>
      <c r="B1212" s="3" t="str">
        <f>INDEX(State_Region!$B$2:$B$26,MATCH(TRIM(A1212),State_Region!$A$2:$A$26,0))</f>
        <v>North</v>
      </c>
      <c r="C1212" s="3" t="s">
        <v>44</v>
      </c>
      <c r="D1212" s="3" t="str">
        <f>INDEX(Port_Type!$B$2:$B$227,MATCH(TRIM(C1212),Port_Type!$A$2:$A$227,0))</f>
        <v>Inland ICD / CFS</v>
      </c>
      <c r="E1212" s="3" t="s">
        <v>128</v>
      </c>
      <c r="F1212" s="3" t="str">
        <f>INDEX(Product_Category!$B$2:$B$45,MATCH(TRIM(E1212),Product_Category!$A$2:$A$45,0))</f>
        <v>Dairy, Poultry &amp; Honey</v>
      </c>
      <c r="G1212" s="4">
        <v>0</v>
      </c>
      <c r="H1212" s="4">
        <v>0.14000000000000001</v>
      </c>
      <c r="I1212" s="4">
        <v>0.05</v>
      </c>
      <c r="J1212" s="4">
        <v>0</v>
      </c>
      <c r="K1212" s="4">
        <v>93.2</v>
      </c>
      <c r="L1212" s="4">
        <v>30.72</v>
      </c>
      <c r="M1212" s="4">
        <f t="shared" si="54"/>
        <v>0.14000000000000001</v>
      </c>
      <c r="N1212" s="4">
        <f t="shared" si="55"/>
        <v>93.2</v>
      </c>
      <c r="O1212" s="4">
        <f t="shared" si="56"/>
        <v>-9.0000000000000011E-2</v>
      </c>
      <c r="P1212" s="3" t="s">
        <v>19</v>
      </c>
    </row>
    <row r="1213" spans="1:16" x14ac:dyDescent="0.35">
      <c r="A1213" s="3" t="s">
        <v>40</v>
      </c>
      <c r="B1213" s="3" t="str">
        <f>INDEX(State_Region!$B$2:$B$26,MATCH(TRIM(A1213),State_Region!$A$2:$A$26,0))</f>
        <v>South</v>
      </c>
      <c r="C1213" s="3" t="s">
        <v>64</v>
      </c>
      <c r="D1213" s="3" t="str">
        <f>INDEX(Port_Type!$B$2:$B$227,MATCH(TRIM(C1213),Port_Type!$A$2:$A$227,0))</f>
        <v>Inland ICD / CFS</v>
      </c>
      <c r="E1213" s="3" t="s">
        <v>53</v>
      </c>
      <c r="F1213" s="3" t="str">
        <f>INDEX(Product_Category!$B$2:$B$45,MATCH(TRIM(E1213),Product_Category!$A$2:$A$45,0))</f>
        <v>Processed Foods</v>
      </c>
      <c r="G1213" s="4">
        <v>4.87</v>
      </c>
      <c r="H1213" s="4">
        <v>1.78</v>
      </c>
      <c r="I1213" s="4">
        <v>0.05</v>
      </c>
      <c r="J1213" s="4">
        <v>6704.97</v>
      </c>
      <c r="K1213" s="4">
        <v>2818.77</v>
      </c>
      <c r="L1213" s="4">
        <v>33.83</v>
      </c>
      <c r="M1213" s="4">
        <f t="shared" si="54"/>
        <v>-3.09</v>
      </c>
      <c r="N1213" s="4">
        <f t="shared" si="55"/>
        <v>-3886.2000000000003</v>
      </c>
      <c r="O1213" s="4">
        <f t="shared" si="56"/>
        <v>-1.73</v>
      </c>
      <c r="P1213" s="3" t="s">
        <v>19</v>
      </c>
    </row>
    <row r="1214" spans="1:16" x14ac:dyDescent="0.35">
      <c r="A1214" s="3" t="s">
        <v>231</v>
      </c>
      <c r="B1214" s="3" t="str">
        <f>INDEX(State_Region!$B$2:$B$26,MATCH(TRIM(A1214),State_Region!$A$2:$A$26,0))</f>
        <v>North-East</v>
      </c>
      <c r="C1214" s="3" t="s">
        <v>232</v>
      </c>
      <c r="D1214" s="3" t="str">
        <f>INDEX(Port_Type!$B$2:$B$227,MATCH(TRIM(C1214),Port_Type!$A$2:$A$227,0))</f>
        <v>Land Border / Rail</v>
      </c>
      <c r="E1214" s="3" t="s">
        <v>48</v>
      </c>
      <c r="F1214" s="3" t="str">
        <f>INDEX(Product_Category!$B$2:$B$45,MATCH(TRIM(E1214),Product_Category!$A$2:$A$45,0))</f>
        <v>Processed Foods</v>
      </c>
      <c r="G1214" s="4">
        <v>0.25</v>
      </c>
      <c r="H1214" s="4">
        <v>0.13</v>
      </c>
      <c r="I1214" s="4">
        <v>0.04</v>
      </c>
      <c r="J1214" s="4">
        <v>160.22999999999999</v>
      </c>
      <c r="K1214" s="4">
        <v>108.87</v>
      </c>
      <c r="L1214" s="4">
        <v>41.17</v>
      </c>
      <c r="M1214" s="4">
        <f t="shared" si="54"/>
        <v>-0.12</v>
      </c>
      <c r="N1214" s="4">
        <f t="shared" si="55"/>
        <v>-51.359999999999985</v>
      </c>
      <c r="O1214" s="4">
        <f t="shared" si="56"/>
        <v>-0.09</v>
      </c>
      <c r="P1214" s="3" t="s">
        <v>19</v>
      </c>
    </row>
    <row r="1215" spans="1:16" x14ac:dyDescent="0.35">
      <c r="A1215" s="3" t="s">
        <v>31</v>
      </c>
      <c r="B1215" s="3" t="str">
        <f>INDEX(State_Region!$B$2:$B$26,MATCH(TRIM(A1215),State_Region!$A$2:$A$26,0))</f>
        <v>East</v>
      </c>
      <c r="C1215" s="3" t="s">
        <v>146</v>
      </c>
      <c r="D1215" s="3" t="str">
        <f>INDEX(Port_Type!$B$2:$B$227,MATCH(TRIM(C1215),Port_Type!$A$2:$A$227,0))</f>
        <v>Land Border / Rail</v>
      </c>
      <c r="E1215" s="3" t="s">
        <v>102</v>
      </c>
      <c r="F1215" s="3" t="str">
        <f>INDEX(Product_Category!$B$2:$B$45,MATCH(TRIM(E1215),Product_Category!$A$2:$A$45,0))</f>
        <v>Fresh Fruits &amp; Vegetables</v>
      </c>
      <c r="G1215" s="4">
        <v>8.09</v>
      </c>
      <c r="H1215" s="4">
        <v>2.2400000000000002</v>
      </c>
      <c r="I1215" s="4">
        <v>0.04</v>
      </c>
      <c r="J1215" s="4">
        <v>40630.47</v>
      </c>
      <c r="K1215" s="4">
        <v>6095.47</v>
      </c>
      <c r="L1215" s="4">
        <v>104.1</v>
      </c>
      <c r="M1215" s="4">
        <f t="shared" si="54"/>
        <v>-5.85</v>
      </c>
      <c r="N1215" s="4">
        <f t="shared" si="55"/>
        <v>-34535</v>
      </c>
      <c r="O1215" s="4">
        <f t="shared" si="56"/>
        <v>-2.2000000000000002</v>
      </c>
      <c r="P1215" s="3" t="s">
        <v>19</v>
      </c>
    </row>
    <row r="1216" spans="1:16" x14ac:dyDescent="0.35">
      <c r="A1216" s="3" t="s">
        <v>231</v>
      </c>
      <c r="B1216" s="3" t="str">
        <f>INDEX(State_Region!$B$2:$B$26,MATCH(TRIM(A1216),State_Region!$A$2:$A$26,0))</f>
        <v>North-East</v>
      </c>
      <c r="C1216" s="3" t="s">
        <v>236</v>
      </c>
      <c r="D1216" s="3" t="str">
        <f>INDEX(Port_Type!$B$2:$B$227,MATCH(TRIM(C1216),Port_Type!$A$2:$A$227,0))</f>
        <v>Land Border / Rail</v>
      </c>
      <c r="E1216" s="3" t="s">
        <v>72</v>
      </c>
      <c r="F1216" s="3" t="str">
        <f>INDEX(Product_Category!$B$2:$B$45,MATCH(TRIM(E1216),Product_Category!$A$2:$A$45,0))</f>
        <v>Dairy, Poultry &amp; Honey</v>
      </c>
      <c r="G1216" s="4">
        <v>0</v>
      </c>
      <c r="H1216" s="4">
        <v>0.15</v>
      </c>
      <c r="I1216" s="4">
        <v>0.04</v>
      </c>
      <c r="J1216" s="4">
        <v>0</v>
      </c>
      <c r="K1216" s="4">
        <v>191.34</v>
      </c>
      <c r="L1216" s="4">
        <v>55.87</v>
      </c>
      <c r="M1216" s="4">
        <f t="shared" si="54"/>
        <v>0.15</v>
      </c>
      <c r="N1216" s="4">
        <f t="shared" si="55"/>
        <v>191.34</v>
      </c>
      <c r="O1216" s="4">
        <f t="shared" si="56"/>
        <v>-0.10999999999999999</v>
      </c>
      <c r="P1216" s="3" t="s">
        <v>19</v>
      </c>
    </row>
    <row r="1217" spans="1:16" x14ac:dyDescent="0.35">
      <c r="A1217" s="3" t="s">
        <v>40</v>
      </c>
      <c r="B1217" s="3" t="str">
        <f>INDEX(State_Region!$B$2:$B$26,MATCH(TRIM(A1217),State_Region!$A$2:$A$26,0))</f>
        <v>South</v>
      </c>
      <c r="C1217" s="3" t="s">
        <v>117</v>
      </c>
      <c r="D1217" s="3" t="str">
        <f>INDEX(Port_Type!$B$2:$B$227,MATCH(TRIM(C1217),Port_Type!$A$2:$A$227,0))</f>
        <v>Sea Port</v>
      </c>
      <c r="E1217" s="3" t="s">
        <v>84</v>
      </c>
      <c r="F1217" s="3" t="str">
        <f>INDEX(Product_Category!$B$2:$B$45,MATCH(TRIM(E1217),Product_Category!$A$2:$A$45,0))</f>
        <v>Nuts &amp; Oilseeds</v>
      </c>
      <c r="G1217" s="4">
        <v>7.0000000000000007E-2</v>
      </c>
      <c r="H1217" s="4">
        <v>0.04</v>
      </c>
      <c r="I1217" s="4">
        <v>0.04</v>
      </c>
      <c r="J1217" s="4">
        <v>9.61</v>
      </c>
      <c r="K1217" s="4">
        <v>3.4</v>
      </c>
      <c r="L1217" s="4">
        <v>3.52</v>
      </c>
      <c r="M1217" s="4">
        <f t="shared" si="54"/>
        <v>-3.0000000000000006E-2</v>
      </c>
      <c r="N1217" s="4">
        <f t="shared" si="55"/>
        <v>-6.2099999999999991</v>
      </c>
      <c r="O1217" s="4">
        <f t="shared" si="56"/>
        <v>0</v>
      </c>
      <c r="P1217" s="3" t="s">
        <v>19</v>
      </c>
    </row>
    <row r="1218" spans="1:16" x14ac:dyDescent="0.35">
      <c r="A1218" s="3" t="s">
        <v>49</v>
      </c>
      <c r="B1218" s="3" t="str">
        <f>INDEX(State_Region!$B$2:$B$26,MATCH(TRIM(A1218),State_Region!$A$2:$A$26,0))</f>
        <v>North</v>
      </c>
      <c r="C1218" s="3" t="s">
        <v>121</v>
      </c>
      <c r="D1218" s="3" t="str">
        <f>INDEX(Port_Type!$B$2:$B$227,MATCH(TRIM(C1218),Port_Type!$A$2:$A$227,0))</f>
        <v>Inland ICD / CFS</v>
      </c>
      <c r="E1218" s="3" t="s">
        <v>27</v>
      </c>
      <c r="F1218" s="3" t="str">
        <f>INDEX(Product_Category!$B$2:$B$45,MATCH(TRIM(E1218),Product_Category!$A$2:$A$45,0))</f>
        <v>Cereals &amp; Grains</v>
      </c>
      <c r="G1218" s="4">
        <v>0.26</v>
      </c>
      <c r="H1218" s="4">
        <v>0.08</v>
      </c>
      <c r="I1218" s="4">
        <v>0.04</v>
      </c>
      <c r="J1218" s="4">
        <v>206.68</v>
      </c>
      <c r="K1218" s="4">
        <v>52.96</v>
      </c>
      <c r="L1218" s="4">
        <v>27.35</v>
      </c>
      <c r="M1218" s="4">
        <f t="shared" ref="M1218:M1281" si="57">H1218-G1218</f>
        <v>-0.18</v>
      </c>
      <c r="N1218" s="4">
        <f t="shared" ref="N1218:N1281" si="58">K1218-J1218</f>
        <v>-153.72</v>
      </c>
      <c r="O1218" s="4">
        <f t="shared" ref="O1218:O1281" si="59">I1218-H1218</f>
        <v>-0.04</v>
      </c>
      <c r="P1218" s="3" t="s">
        <v>19</v>
      </c>
    </row>
    <row r="1219" spans="1:16" x14ac:dyDescent="0.35">
      <c r="A1219" s="3" t="s">
        <v>66</v>
      </c>
      <c r="B1219" s="3" t="str">
        <f>INDEX(State_Region!$B$2:$B$26,MATCH(TRIM(A1219),State_Region!$A$2:$A$26,0))</f>
        <v>North</v>
      </c>
      <c r="C1219" s="3" t="s">
        <v>208</v>
      </c>
      <c r="D1219" s="3" t="str">
        <f>INDEX(Port_Type!$B$2:$B$227,MATCH(TRIM(C1219),Port_Type!$A$2:$A$227,0))</f>
        <v>Inland ICD / CFS</v>
      </c>
      <c r="E1219" s="3" t="s">
        <v>48</v>
      </c>
      <c r="F1219" s="3" t="str">
        <f>INDEX(Product_Category!$B$2:$B$45,MATCH(TRIM(E1219),Product_Category!$A$2:$A$45,0))</f>
        <v>Processed Foods</v>
      </c>
      <c r="G1219" s="4">
        <v>0.54</v>
      </c>
      <c r="H1219" s="4">
        <v>0.14000000000000001</v>
      </c>
      <c r="I1219" s="4">
        <v>0.04</v>
      </c>
      <c r="J1219" s="4">
        <v>233.05</v>
      </c>
      <c r="K1219" s="4">
        <v>60.52</v>
      </c>
      <c r="L1219" s="4">
        <v>19.88</v>
      </c>
      <c r="M1219" s="4">
        <f t="shared" si="57"/>
        <v>-0.4</v>
      </c>
      <c r="N1219" s="4">
        <f t="shared" si="58"/>
        <v>-172.53</v>
      </c>
      <c r="O1219" s="4">
        <f t="shared" si="59"/>
        <v>-0.1</v>
      </c>
      <c r="P1219" s="3" t="s">
        <v>19</v>
      </c>
    </row>
    <row r="1220" spans="1:16" x14ac:dyDescent="0.35">
      <c r="A1220" s="3" t="s">
        <v>159</v>
      </c>
      <c r="B1220" s="3" t="str">
        <f>INDEX(State_Region!$B$2:$B$26,MATCH(TRIM(A1220),State_Region!$A$2:$A$26,0))</f>
        <v>North-East</v>
      </c>
      <c r="C1220" s="3" t="s">
        <v>186</v>
      </c>
      <c r="D1220" s="3" t="str">
        <f>INDEX(Port_Type!$B$2:$B$227,MATCH(TRIM(C1220),Port_Type!$A$2:$A$227,0))</f>
        <v>Land Border / Rail</v>
      </c>
      <c r="E1220" s="3" t="s">
        <v>65</v>
      </c>
      <c r="F1220" s="3" t="str">
        <f>INDEX(Product_Category!$B$2:$B$45,MATCH(TRIM(E1220),Product_Category!$A$2:$A$45,0))</f>
        <v>Cereals &amp; Grains</v>
      </c>
      <c r="G1220" s="4">
        <v>0.01</v>
      </c>
      <c r="H1220" s="4">
        <v>7.0000000000000007E-2</v>
      </c>
      <c r="I1220" s="4">
        <v>0.04</v>
      </c>
      <c r="J1220" s="4">
        <v>30.06</v>
      </c>
      <c r="K1220" s="4">
        <v>144.35</v>
      </c>
      <c r="L1220" s="4">
        <v>101.77</v>
      </c>
      <c r="M1220" s="4">
        <f t="shared" si="57"/>
        <v>6.0000000000000005E-2</v>
      </c>
      <c r="N1220" s="4">
        <f t="shared" si="58"/>
        <v>114.28999999999999</v>
      </c>
      <c r="O1220" s="4">
        <f t="shared" si="59"/>
        <v>-3.0000000000000006E-2</v>
      </c>
      <c r="P1220" s="3" t="s">
        <v>19</v>
      </c>
    </row>
    <row r="1221" spans="1:16" x14ac:dyDescent="0.35">
      <c r="A1221" s="3" t="s">
        <v>77</v>
      </c>
      <c r="B1221" s="3" t="str">
        <f>INDEX(State_Region!$B$2:$B$26,MATCH(TRIM(A1221),State_Region!$A$2:$A$26,0))</f>
        <v>South</v>
      </c>
      <c r="C1221" s="3" t="s">
        <v>132</v>
      </c>
      <c r="D1221" s="3" t="str">
        <f>INDEX(Port_Type!$B$2:$B$227,MATCH(TRIM(C1221),Port_Type!$A$2:$A$227,0))</f>
        <v>Air Cargo</v>
      </c>
      <c r="E1221" s="3" t="s">
        <v>84</v>
      </c>
      <c r="F1221" s="3" t="str">
        <f>INDEX(Product_Category!$B$2:$B$45,MATCH(TRIM(E1221),Product_Category!$A$2:$A$45,0))</f>
        <v>Nuts &amp; Oilseeds</v>
      </c>
      <c r="G1221" s="4">
        <v>0.02</v>
      </c>
      <c r="H1221" s="4">
        <v>0.3</v>
      </c>
      <c r="I1221" s="4">
        <v>0.04</v>
      </c>
      <c r="J1221" s="4">
        <v>3.11</v>
      </c>
      <c r="K1221" s="4">
        <v>34.65</v>
      </c>
      <c r="L1221" s="4">
        <v>5.48</v>
      </c>
      <c r="M1221" s="4">
        <f t="shared" si="57"/>
        <v>0.27999999999999997</v>
      </c>
      <c r="N1221" s="4">
        <f t="shared" si="58"/>
        <v>31.54</v>
      </c>
      <c r="O1221" s="4">
        <f t="shared" si="59"/>
        <v>-0.26</v>
      </c>
      <c r="P1221" s="3" t="s">
        <v>19</v>
      </c>
    </row>
    <row r="1222" spans="1:16" x14ac:dyDescent="0.35">
      <c r="A1222" s="3" t="s">
        <v>16</v>
      </c>
      <c r="B1222" s="3" t="str">
        <f>INDEX(State_Region!$B$2:$B$26,MATCH(TRIM(A1222),State_Region!$A$2:$A$26,0))</f>
        <v>West</v>
      </c>
      <c r="C1222" s="3" t="s">
        <v>17</v>
      </c>
      <c r="D1222" s="3" t="str">
        <f>INDEX(Port_Type!$B$2:$B$227,MATCH(TRIM(C1222),Port_Type!$A$2:$A$227,0))</f>
        <v>Sea Port</v>
      </c>
      <c r="E1222" s="3" t="s">
        <v>55</v>
      </c>
      <c r="F1222" s="3" t="str">
        <f>INDEX(Product_Category!$B$2:$B$45,MATCH(TRIM(E1222),Product_Category!$A$2:$A$45,0))</f>
        <v>Fresh Fruits &amp; Vegetables</v>
      </c>
      <c r="G1222" s="4">
        <v>0.27</v>
      </c>
      <c r="H1222" s="4">
        <v>0.83</v>
      </c>
      <c r="I1222" s="4">
        <v>0.04</v>
      </c>
      <c r="J1222" s="4">
        <v>682.02</v>
      </c>
      <c r="K1222" s="4">
        <v>2370.9299999999998</v>
      </c>
      <c r="L1222" s="4">
        <v>114.56</v>
      </c>
      <c r="M1222" s="4">
        <f t="shared" si="57"/>
        <v>0.55999999999999994</v>
      </c>
      <c r="N1222" s="4">
        <f t="shared" si="58"/>
        <v>1688.9099999999999</v>
      </c>
      <c r="O1222" s="4">
        <f t="shared" si="59"/>
        <v>-0.78999999999999992</v>
      </c>
      <c r="P1222" s="3" t="s">
        <v>19</v>
      </c>
    </row>
    <row r="1223" spans="1:16" x14ac:dyDescent="0.35">
      <c r="A1223" s="3" t="s">
        <v>16</v>
      </c>
      <c r="B1223" s="3" t="str">
        <f>INDEX(State_Region!$B$2:$B$26,MATCH(TRIM(A1223),State_Region!$A$2:$A$26,0))</f>
        <v>West</v>
      </c>
      <c r="C1223" s="3" t="s">
        <v>109</v>
      </c>
      <c r="D1223" s="3" t="str">
        <f>INDEX(Port_Type!$B$2:$B$227,MATCH(TRIM(C1223),Port_Type!$A$2:$A$227,0))</f>
        <v>SEZ / EPZ</v>
      </c>
      <c r="E1223" s="3" t="s">
        <v>84</v>
      </c>
      <c r="F1223" s="3" t="str">
        <f>INDEX(Product_Category!$B$2:$B$45,MATCH(TRIM(E1223),Product_Category!$A$2:$A$45,0))</f>
        <v>Nuts &amp; Oilseeds</v>
      </c>
      <c r="G1223" s="4">
        <v>0.02</v>
      </c>
      <c r="H1223" s="4">
        <v>0.04</v>
      </c>
      <c r="I1223" s="4">
        <v>0.04</v>
      </c>
      <c r="J1223" s="4">
        <v>1.66</v>
      </c>
      <c r="K1223" s="4">
        <v>4.1100000000000003</v>
      </c>
      <c r="L1223" s="4">
        <v>7.22</v>
      </c>
      <c r="M1223" s="4">
        <f t="shared" si="57"/>
        <v>0.02</v>
      </c>
      <c r="N1223" s="4">
        <f t="shared" si="58"/>
        <v>2.4500000000000002</v>
      </c>
      <c r="O1223" s="4">
        <f t="shared" si="59"/>
        <v>0</v>
      </c>
      <c r="P1223" s="3" t="s">
        <v>19</v>
      </c>
    </row>
    <row r="1224" spans="1:16" x14ac:dyDescent="0.35">
      <c r="A1224" s="3" t="s">
        <v>20</v>
      </c>
      <c r="B1224" s="3" t="str">
        <f>INDEX(State_Region!$B$2:$B$26,MATCH(TRIM(A1224),State_Region!$A$2:$A$26,0))</f>
        <v>West</v>
      </c>
      <c r="C1224" s="3" t="s">
        <v>156</v>
      </c>
      <c r="D1224" s="3" t="str">
        <f>INDEX(Port_Type!$B$2:$B$227,MATCH(TRIM(C1224),Port_Type!$A$2:$A$227,0))</f>
        <v>Sea Port</v>
      </c>
      <c r="E1224" s="3" t="s">
        <v>39</v>
      </c>
      <c r="F1224" s="3" t="str">
        <f>INDEX(Product_Category!$B$2:$B$45,MATCH(TRIM(E1224),Product_Category!$A$2:$A$45,0))</f>
        <v>Processed Foods</v>
      </c>
      <c r="G1224" s="4">
        <v>0.03</v>
      </c>
      <c r="H1224" s="4">
        <v>0.06</v>
      </c>
      <c r="I1224" s="4">
        <v>0.04</v>
      </c>
      <c r="J1224" s="4">
        <v>12.47</v>
      </c>
      <c r="K1224" s="4">
        <v>22.59</v>
      </c>
      <c r="L1224" s="4">
        <v>28</v>
      </c>
      <c r="M1224" s="4">
        <f t="shared" si="57"/>
        <v>0.03</v>
      </c>
      <c r="N1224" s="4">
        <f t="shared" si="58"/>
        <v>10.119999999999999</v>
      </c>
      <c r="O1224" s="4">
        <f t="shared" si="59"/>
        <v>-1.9999999999999997E-2</v>
      </c>
      <c r="P1224" s="3" t="s">
        <v>19</v>
      </c>
    </row>
    <row r="1225" spans="1:16" x14ac:dyDescent="0.35">
      <c r="A1225" s="3" t="s">
        <v>159</v>
      </c>
      <c r="B1225" s="3" t="str">
        <f>INDEX(State_Region!$B$2:$B$26,MATCH(TRIM(A1225),State_Region!$A$2:$A$26,0))</f>
        <v>North-East</v>
      </c>
      <c r="C1225" s="3" t="s">
        <v>160</v>
      </c>
      <c r="D1225" s="3" t="str">
        <f>INDEX(Port_Type!$B$2:$B$227,MATCH(TRIM(C1225),Port_Type!$A$2:$A$227,0))</f>
        <v>Land Border / Rail</v>
      </c>
      <c r="E1225" s="3" t="s">
        <v>55</v>
      </c>
      <c r="F1225" s="3" t="str">
        <f>INDEX(Product_Category!$B$2:$B$45,MATCH(TRIM(E1225),Product_Category!$A$2:$A$45,0))</f>
        <v>Fresh Fruits &amp; Vegetables</v>
      </c>
      <c r="G1225" s="4">
        <v>0</v>
      </c>
      <c r="H1225" s="4">
        <v>0.18</v>
      </c>
      <c r="I1225" s="4">
        <v>0.04</v>
      </c>
      <c r="J1225" s="4">
        <v>0</v>
      </c>
      <c r="K1225" s="4">
        <v>617.82000000000005</v>
      </c>
      <c r="L1225" s="4">
        <v>200.62</v>
      </c>
      <c r="M1225" s="4">
        <f t="shared" si="57"/>
        <v>0.18</v>
      </c>
      <c r="N1225" s="4">
        <f t="shared" si="58"/>
        <v>617.82000000000005</v>
      </c>
      <c r="O1225" s="4">
        <f t="shared" si="59"/>
        <v>-0.13999999999999999</v>
      </c>
      <c r="P1225" s="3" t="s">
        <v>19</v>
      </c>
    </row>
    <row r="1226" spans="1:16" x14ac:dyDescent="0.35">
      <c r="A1226" s="3" t="s">
        <v>40</v>
      </c>
      <c r="B1226" s="3" t="str">
        <f>INDEX(State_Region!$B$2:$B$26,MATCH(TRIM(A1226),State_Region!$A$2:$A$26,0))</f>
        <v>South</v>
      </c>
      <c r="C1226" s="3" t="s">
        <v>85</v>
      </c>
      <c r="D1226" s="3" t="str">
        <f>INDEX(Port_Type!$B$2:$B$227,MATCH(TRIM(C1226),Port_Type!$A$2:$A$227,0))</f>
        <v>Sea Port</v>
      </c>
      <c r="E1226" s="3" t="s">
        <v>76</v>
      </c>
      <c r="F1226" s="3" t="str">
        <f>INDEX(Product_Category!$B$2:$B$45,MATCH(TRIM(E1226),Product_Category!$A$2:$A$45,0))</f>
        <v>Fresh Fruits &amp; Vegetables</v>
      </c>
      <c r="G1226" s="4">
        <v>0.13</v>
      </c>
      <c r="H1226" s="4">
        <v>0.11</v>
      </c>
      <c r="I1226" s="4">
        <v>0.04</v>
      </c>
      <c r="J1226" s="4">
        <v>68.03</v>
      </c>
      <c r="K1226" s="4">
        <v>56.61</v>
      </c>
      <c r="L1226" s="4">
        <v>26.13</v>
      </c>
      <c r="M1226" s="4">
        <f t="shared" si="57"/>
        <v>-2.0000000000000004E-2</v>
      </c>
      <c r="N1226" s="4">
        <f t="shared" si="58"/>
        <v>-11.420000000000002</v>
      </c>
      <c r="O1226" s="4">
        <f t="shared" si="59"/>
        <v>-7.0000000000000007E-2</v>
      </c>
      <c r="P1226" s="3" t="s">
        <v>19</v>
      </c>
    </row>
    <row r="1227" spans="1:16" x14ac:dyDescent="0.35">
      <c r="A1227" s="3" t="s">
        <v>159</v>
      </c>
      <c r="B1227" s="3" t="str">
        <f>INDEX(State_Region!$B$2:$B$26,MATCH(TRIM(A1227),State_Region!$A$2:$A$26,0))</f>
        <v>North-East</v>
      </c>
      <c r="C1227" s="3" t="s">
        <v>160</v>
      </c>
      <c r="D1227" s="3" t="str">
        <f>INDEX(Port_Type!$B$2:$B$227,MATCH(TRIM(C1227),Port_Type!$A$2:$A$227,0))</f>
        <v>Land Border / Rail</v>
      </c>
      <c r="E1227" s="3" t="s">
        <v>116</v>
      </c>
      <c r="F1227" s="3" t="str">
        <f>INDEX(Product_Category!$B$2:$B$45,MATCH(TRIM(E1227),Product_Category!$A$2:$A$45,0))</f>
        <v>Others</v>
      </c>
      <c r="G1227" s="4">
        <v>0</v>
      </c>
      <c r="H1227" s="4">
        <v>0.05</v>
      </c>
      <c r="I1227" s="4">
        <v>0.04</v>
      </c>
      <c r="J1227" s="4">
        <v>0</v>
      </c>
      <c r="K1227" s="4">
        <v>253.86</v>
      </c>
      <c r="L1227" s="4">
        <v>221.18</v>
      </c>
      <c r="M1227" s="4">
        <f t="shared" si="57"/>
        <v>0.05</v>
      </c>
      <c r="N1227" s="4">
        <f t="shared" si="58"/>
        <v>253.86</v>
      </c>
      <c r="O1227" s="4">
        <f t="shared" si="59"/>
        <v>-1.0000000000000002E-2</v>
      </c>
      <c r="P1227" s="3" t="s">
        <v>19</v>
      </c>
    </row>
    <row r="1228" spans="1:16" x14ac:dyDescent="0.35">
      <c r="A1228" s="3" t="s">
        <v>23</v>
      </c>
      <c r="B1228" s="3" t="str">
        <f>INDEX(State_Region!$B$2:$B$26,MATCH(TRIM(A1228),State_Region!$A$2:$A$26,0))</f>
        <v>North</v>
      </c>
      <c r="C1228" s="3" t="s">
        <v>187</v>
      </c>
      <c r="D1228" s="3" t="str">
        <f>INDEX(Port_Type!$B$2:$B$227,MATCH(TRIM(C1228),Port_Type!$A$2:$A$227,0))</f>
        <v>Land Border / Rail</v>
      </c>
      <c r="E1228" s="3" t="s">
        <v>53</v>
      </c>
      <c r="F1228" s="3" t="str">
        <f>INDEX(Product_Category!$B$2:$B$45,MATCH(TRIM(E1228),Product_Category!$A$2:$A$45,0))</f>
        <v>Processed Foods</v>
      </c>
      <c r="G1228" s="4">
        <v>0.03</v>
      </c>
      <c r="H1228" s="4">
        <v>0.14000000000000001</v>
      </c>
      <c r="I1228" s="4">
        <v>0.04</v>
      </c>
      <c r="J1228" s="4">
        <v>103.74</v>
      </c>
      <c r="K1228" s="4">
        <v>484.14</v>
      </c>
      <c r="L1228" s="4">
        <v>161</v>
      </c>
      <c r="M1228" s="4">
        <f t="shared" si="57"/>
        <v>0.11000000000000001</v>
      </c>
      <c r="N1228" s="4">
        <f t="shared" si="58"/>
        <v>380.4</v>
      </c>
      <c r="O1228" s="4">
        <f t="shared" si="59"/>
        <v>-0.1</v>
      </c>
      <c r="P1228" s="3" t="s">
        <v>19</v>
      </c>
    </row>
    <row r="1229" spans="1:16" x14ac:dyDescent="0.35">
      <c r="A1229" s="3" t="s">
        <v>66</v>
      </c>
      <c r="B1229" s="3" t="str">
        <f>INDEX(State_Region!$B$2:$B$26,MATCH(TRIM(A1229),State_Region!$A$2:$A$26,0))</f>
        <v>North</v>
      </c>
      <c r="C1229" s="3" t="s">
        <v>127</v>
      </c>
      <c r="D1229" s="3" t="str">
        <f>INDEX(Port_Type!$B$2:$B$227,MATCH(TRIM(C1229),Port_Type!$A$2:$A$227,0))</f>
        <v>Inland ICD / CFS</v>
      </c>
      <c r="E1229" s="3" t="s">
        <v>128</v>
      </c>
      <c r="F1229" s="3" t="str">
        <f>INDEX(Product_Category!$B$2:$B$45,MATCH(TRIM(E1229),Product_Category!$A$2:$A$45,0))</f>
        <v>Dairy, Poultry &amp; Honey</v>
      </c>
      <c r="G1229" s="4">
        <v>0.37</v>
      </c>
      <c r="H1229" s="4">
        <v>0.1</v>
      </c>
      <c r="I1229" s="4">
        <v>0.04</v>
      </c>
      <c r="J1229" s="4">
        <v>52.8</v>
      </c>
      <c r="K1229" s="4">
        <v>15.9</v>
      </c>
      <c r="L1229" s="4">
        <v>6.3</v>
      </c>
      <c r="M1229" s="4">
        <f t="shared" si="57"/>
        <v>-0.27</v>
      </c>
      <c r="N1229" s="4">
        <f t="shared" si="58"/>
        <v>-36.9</v>
      </c>
      <c r="O1229" s="4">
        <f t="shared" si="59"/>
        <v>-6.0000000000000005E-2</v>
      </c>
      <c r="P1229" s="3" t="s">
        <v>19</v>
      </c>
    </row>
    <row r="1230" spans="1:16" x14ac:dyDescent="0.35">
      <c r="A1230" s="3" t="s">
        <v>40</v>
      </c>
      <c r="B1230" s="3" t="str">
        <f>INDEX(State_Region!$B$2:$B$26,MATCH(TRIM(A1230),State_Region!$A$2:$A$26,0))</f>
        <v>South</v>
      </c>
      <c r="C1230" s="3" t="s">
        <v>183</v>
      </c>
      <c r="D1230" s="3" t="str">
        <f>INDEX(Port_Type!$B$2:$B$227,MATCH(TRIM(C1230),Port_Type!$A$2:$A$227,0))</f>
        <v>Inland ICD / CFS</v>
      </c>
      <c r="E1230" s="3" t="s">
        <v>33</v>
      </c>
      <c r="F1230" s="3" t="str">
        <f>INDEX(Product_Category!$B$2:$B$45,MATCH(TRIM(E1230),Product_Category!$A$2:$A$45,0))</f>
        <v>Pulses</v>
      </c>
      <c r="G1230" s="4">
        <v>0.03</v>
      </c>
      <c r="H1230" s="4">
        <v>0.16</v>
      </c>
      <c r="I1230" s="4">
        <v>0.04</v>
      </c>
      <c r="J1230" s="4">
        <v>11.7</v>
      </c>
      <c r="K1230" s="4">
        <v>130.84</v>
      </c>
      <c r="L1230" s="4">
        <v>30.58</v>
      </c>
      <c r="M1230" s="4">
        <f t="shared" si="57"/>
        <v>0.13</v>
      </c>
      <c r="N1230" s="4">
        <f t="shared" si="58"/>
        <v>119.14</v>
      </c>
      <c r="O1230" s="4">
        <f t="shared" si="59"/>
        <v>-0.12</v>
      </c>
      <c r="P1230" s="3" t="s">
        <v>19</v>
      </c>
    </row>
    <row r="1231" spans="1:16" x14ac:dyDescent="0.35">
      <c r="A1231" s="3" t="s">
        <v>159</v>
      </c>
      <c r="B1231" s="3" t="str">
        <f>INDEX(State_Region!$B$2:$B$26,MATCH(TRIM(A1231),State_Region!$A$2:$A$26,0))</f>
        <v>North-East</v>
      </c>
      <c r="C1231" s="3" t="s">
        <v>160</v>
      </c>
      <c r="D1231" s="3" t="str">
        <f>INDEX(Port_Type!$B$2:$B$227,MATCH(TRIM(C1231),Port_Type!$A$2:$A$227,0))</f>
        <v>Land Border / Rail</v>
      </c>
      <c r="E1231" s="3" t="s">
        <v>53</v>
      </c>
      <c r="F1231" s="3" t="str">
        <f>INDEX(Product_Category!$B$2:$B$45,MATCH(TRIM(E1231),Product_Category!$A$2:$A$45,0))</f>
        <v>Processed Foods</v>
      </c>
      <c r="G1231" s="4">
        <v>0.02</v>
      </c>
      <c r="H1231" s="4">
        <v>0.13</v>
      </c>
      <c r="I1231" s="4">
        <v>0.04</v>
      </c>
      <c r="J1231" s="4">
        <v>6.46</v>
      </c>
      <c r="K1231" s="4">
        <v>50.57</v>
      </c>
      <c r="L1231" s="4">
        <v>17.02</v>
      </c>
      <c r="M1231" s="4">
        <f t="shared" si="57"/>
        <v>0.11</v>
      </c>
      <c r="N1231" s="4">
        <f t="shared" si="58"/>
        <v>44.11</v>
      </c>
      <c r="O1231" s="4">
        <f t="shared" si="59"/>
        <v>-0.09</v>
      </c>
      <c r="P1231" s="3" t="s">
        <v>19</v>
      </c>
    </row>
    <row r="1232" spans="1:16" x14ac:dyDescent="0.35">
      <c r="A1232" s="3" t="s">
        <v>35</v>
      </c>
      <c r="B1232" s="3" t="str">
        <f>INDEX(State_Region!$B$2:$B$26,MATCH(TRIM(A1232),State_Region!$A$2:$A$26,0))</f>
        <v>North</v>
      </c>
      <c r="C1232" s="3" t="s">
        <v>37</v>
      </c>
      <c r="D1232" s="3" t="str">
        <f>INDEX(Port_Type!$B$2:$B$227,MATCH(TRIM(C1232),Port_Type!$A$2:$A$227,0))</f>
        <v>Inland ICD / CFS</v>
      </c>
      <c r="E1232" s="3" t="s">
        <v>48</v>
      </c>
      <c r="F1232" s="3" t="str">
        <f>INDEX(Product_Category!$B$2:$B$45,MATCH(TRIM(E1232),Product_Category!$A$2:$A$45,0))</f>
        <v>Processed Foods</v>
      </c>
      <c r="G1232" s="4">
        <v>0.35</v>
      </c>
      <c r="H1232" s="4">
        <v>0.27</v>
      </c>
      <c r="I1232" s="4">
        <v>0.04</v>
      </c>
      <c r="J1232" s="4">
        <v>128.6</v>
      </c>
      <c r="K1232" s="4">
        <v>104.21</v>
      </c>
      <c r="L1232" s="4">
        <v>3.07</v>
      </c>
      <c r="M1232" s="4">
        <f t="shared" si="57"/>
        <v>-7.999999999999996E-2</v>
      </c>
      <c r="N1232" s="4">
        <f t="shared" si="58"/>
        <v>-24.39</v>
      </c>
      <c r="O1232" s="4">
        <f t="shared" si="59"/>
        <v>-0.23</v>
      </c>
      <c r="P1232" s="3" t="s">
        <v>19</v>
      </c>
    </row>
    <row r="1233" spans="1:16" x14ac:dyDescent="0.35">
      <c r="A1233" s="3" t="s">
        <v>35</v>
      </c>
      <c r="B1233" s="3" t="str">
        <f>INDEX(State_Region!$B$2:$B$26,MATCH(TRIM(A1233),State_Region!$A$2:$A$26,0))</f>
        <v>North</v>
      </c>
      <c r="C1233" s="3" t="s">
        <v>47</v>
      </c>
      <c r="D1233" s="3" t="str">
        <f>INDEX(Port_Type!$B$2:$B$227,MATCH(TRIM(C1233),Port_Type!$A$2:$A$227,0))</f>
        <v>Inland ICD / CFS</v>
      </c>
      <c r="E1233" s="3" t="s">
        <v>18</v>
      </c>
      <c r="F1233" s="3" t="str">
        <f>INDEX(Product_Category!$B$2:$B$45,MATCH(TRIM(E1233),Product_Category!$A$2:$A$45,0))</f>
        <v>Cereals &amp; Grains</v>
      </c>
      <c r="G1233" s="4">
        <v>1.26</v>
      </c>
      <c r="H1233" s="4">
        <v>0.05</v>
      </c>
      <c r="I1233" s="4">
        <v>0.04</v>
      </c>
      <c r="J1233" s="4">
        <v>1180.54</v>
      </c>
      <c r="K1233" s="4">
        <v>51.42</v>
      </c>
      <c r="L1233" s="4">
        <v>24.5</v>
      </c>
      <c r="M1233" s="4">
        <f t="shared" si="57"/>
        <v>-1.21</v>
      </c>
      <c r="N1233" s="4">
        <f t="shared" si="58"/>
        <v>-1129.1199999999999</v>
      </c>
      <c r="O1233" s="4">
        <f t="shared" si="59"/>
        <v>-1.0000000000000002E-2</v>
      </c>
      <c r="P1233" s="3" t="s">
        <v>19</v>
      </c>
    </row>
    <row r="1234" spans="1:16" x14ac:dyDescent="0.35">
      <c r="A1234" s="3" t="s">
        <v>23</v>
      </c>
      <c r="B1234" s="3" t="str">
        <f>INDEX(State_Region!$B$2:$B$26,MATCH(TRIM(A1234),State_Region!$A$2:$A$26,0))</f>
        <v>North</v>
      </c>
      <c r="C1234" s="3" t="s">
        <v>44</v>
      </c>
      <c r="D1234" s="3" t="str">
        <f>INDEX(Port_Type!$B$2:$B$227,MATCH(TRIM(C1234),Port_Type!$A$2:$A$227,0))</f>
        <v>Inland ICD / CFS</v>
      </c>
      <c r="E1234" s="3" t="s">
        <v>125</v>
      </c>
      <c r="F1234" s="3" t="str">
        <f>INDEX(Product_Category!$B$2:$B$45,MATCH(TRIM(E1234),Product_Category!$A$2:$A$45,0))</f>
        <v>Meat &amp; Animal Products</v>
      </c>
      <c r="G1234" s="4">
        <v>3.81</v>
      </c>
      <c r="H1234" s="4">
        <v>0.59</v>
      </c>
      <c r="I1234" s="4">
        <v>0.04</v>
      </c>
      <c r="J1234" s="4">
        <v>1074.78</v>
      </c>
      <c r="K1234" s="4">
        <v>257.18</v>
      </c>
      <c r="L1234" s="4">
        <v>60</v>
      </c>
      <c r="M1234" s="4">
        <f t="shared" si="57"/>
        <v>-3.22</v>
      </c>
      <c r="N1234" s="4">
        <f t="shared" si="58"/>
        <v>-817.59999999999991</v>
      </c>
      <c r="O1234" s="4">
        <f t="shared" si="59"/>
        <v>-0.54999999999999993</v>
      </c>
      <c r="P1234" s="3" t="s">
        <v>19</v>
      </c>
    </row>
    <row r="1235" spans="1:16" x14ac:dyDescent="0.35">
      <c r="A1235" s="3" t="s">
        <v>20</v>
      </c>
      <c r="B1235" s="3" t="str">
        <f>INDEX(State_Region!$B$2:$B$26,MATCH(TRIM(A1235),State_Region!$A$2:$A$26,0))</f>
        <v>West</v>
      </c>
      <c r="C1235" s="3" t="s">
        <v>235</v>
      </c>
      <c r="D1235" s="3" t="str">
        <f>INDEX(Port_Type!$B$2:$B$227,MATCH(TRIM(C1235),Port_Type!$A$2:$A$227,0))</f>
        <v>Inland ICD / CFS</v>
      </c>
      <c r="E1235" s="3" t="s">
        <v>22</v>
      </c>
      <c r="F1235" s="3" t="str">
        <f>INDEX(Product_Category!$B$2:$B$45,MATCH(TRIM(E1235),Product_Category!$A$2:$A$45,0))</f>
        <v>Meat &amp; Animal Products</v>
      </c>
      <c r="G1235" s="4">
        <v>0.11</v>
      </c>
      <c r="H1235" s="4">
        <v>0.17</v>
      </c>
      <c r="I1235" s="4">
        <v>0.04</v>
      </c>
      <c r="J1235" s="4">
        <v>3.4</v>
      </c>
      <c r="K1235" s="4">
        <v>4.2</v>
      </c>
      <c r="L1235" s="4">
        <v>1</v>
      </c>
      <c r="M1235" s="4">
        <f t="shared" si="57"/>
        <v>6.0000000000000012E-2</v>
      </c>
      <c r="N1235" s="4">
        <f t="shared" si="58"/>
        <v>0.80000000000000027</v>
      </c>
      <c r="O1235" s="4">
        <f t="shared" si="59"/>
        <v>-0.13</v>
      </c>
      <c r="P1235" s="3" t="s">
        <v>19</v>
      </c>
    </row>
    <row r="1236" spans="1:16" x14ac:dyDescent="0.35">
      <c r="A1236" s="3" t="s">
        <v>77</v>
      </c>
      <c r="B1236" s="3" t="str">
        <f>INDEX(State_Region!$B$2:$B$26,MATCH(TRIM(A1236),State_Region!$A$2:$A$26,0))</f>
        <v>South</v>
      </c>
      <c r="C1236" s="3" t="s">
        <v>214</v>
      </c>
      <c r="D1236" s="3" t="str">
        <f>INDEX(Port_Type!$B$2:$B$227,MATCH(TRIM(C1236),Port_Type!$A$2:$A$227,0))</f>
        <v>SEZ / EPZ</v>
      </c>
      <c r="E1236" s="3" t="s">
        <v>42</v>
      </c>
      <c r="F1236" s="3" t="str">
        <f>INDEX(Product_Category!$B$2:$B$45,MATCH(TRIM(E1236),Product_Category!$A$2:$A$45,0))</f>
        <v>Processed Foods</v>
      </c>
      <c r="G1236" s="4">
        <v>0</v>
      </c>
      <c r="H1236" s="4">
        <v>0.1</v>
      </c>
      <c r="I1236" s="4">
        <v>0.04</v>
      </c>
      <c r="J1236" s="4">
        <v>0</v>
      </c>
      <c r="K1236" s="4">
        <v>34.44</v>
      </c>
      <c r="L1236" s="4">
        <v>13.54</v>
      </c>
      <c r="M1236" s="4">
        <f t="shared" si="57"/>
        <v>0.1</v>
      </c>
      <c r="N1236" s="4">
        <f t="shared" si="58"/>
        <v>34.44</v>
      </c>
      <c r="O1236" s="4">
        <f t="shared" si="59"/>
        <v>-6.0000000000000005E-2</v>
      </c>
      <c r="P1236" s="3" t="s">
        <v>19</v>
      </c>
    </row>
    <row r="1237" spans="1:16" x14ac:dyDescent="0.35">
      <c r="A1237" s="3" t="s">
        <v>66</v>
      </c>
      <c r="B1237" s="3" t="str">
        <f>INDEX(State_Region!$B$2:$B$26,MATCH(TRIM(A1237),State_Region!$A$2:$A$26,0))</f>
        <v>North</v>
      </c>
      <c r="C1237" s="3" t="s">
        <v>108</v>
      </c>
      <c r="D1237" s="3" t="str">
        <f>INDEX(Port_Type!$B$2:$B$227,MATCH(TRIM(C1237),Port_Type!$A$2:$A$227,0))</f>
        <v>Inland ICD / CFS</v>
      </c>
      <c r="E1237" s="3" t="s">
        <v>65</v>
      </c>
      <c r="F1237" s="3" t="str">
        <f>INDEX(Product_Category!$B$2:$B$45,MATCH(TRIM(E1237),Product_Category!$A$2:$A$45,0))</f>
        <v>Cereals &amp; Grains</v>
      </c>
      <c r="G1237" s="4">
        <v>0.01</v>
      </c>
      <c r="H1237" s="4">
        <v>0.04</v>
      </c>
      <c r="I1237" s="4">
        <v>0.04</v>
      </c>
      <c r="J1237" s="4">
        <v>3.15</v>
      </c>
      <c r="K1237" s="4">
        <v>42.37</v>
      </c>
      <c r="L1237" s="4">
        <v>46.83</v>
      </c>
      <c r="M1237" s="4">
        <f t="shared" si="57"/>
        <v>0.03</v>
      </c>
      <c r="N1237" s="4">
        <f t="shared" si="58"/>
        <v>39.22</v>
      </c>
      <c r="O1237" s="4">
        <f t="shared" si="59"/>
        <v>0</v>
      </c>
      <c r="P1237" s="3" t="s">
        <v>19</v>
      </c>
    </row>
    <row r="1238" spans="1:16" x14ac:dyDescent="0.35">
      <c r="A1238" s="3" t="s">
        <v>16</v>
      </c>
      <c r="B1238" s="3" t="str">
        <f>INDEX(State_Region!$B$2:$B$26,MATCH(TRIM(A1238),State_Region!$A$2:$A$26,0))</f>
        <v>West</v>
      </c>
      <c r="C1238" s="3" t="s">
        <v>143</v>
      </c>
      <c r="D1238" s="3" t="str">
        <f>INDEX(Port_Type!$B$2:$B$227,MATCH(TRIM(C1238),Port_Type!$A$2:$A$227,0))</f>
        <v>Sea Port</v>
      </c>
      <c r="E1238" s="3" t="s">
        <v>62</v>
      </c>
      <c r="F1238" s="3" t="str">
        <f>INDEX(Product_Category!$B$2:$B$45,MATCH(TRIM(E1238),Product_Category!$A$2:$A$45,0))</f>
        <v>Cereals &amp; Grains</v>
      </c>
      <c r="G1238" s="4">
        <v>0.56000000000000005</v>
      </c>
      <c r="H1238" s="4">
        <v>7.0000000000000007E-2</v>
      </c>
      <c r="I1238" s="4">
        <v>0.04</v>
      </c>
      <c r="J1238" s="4">
        <v>1559</v>
      </c>
      <c r="K1238" s="4">
        <v>260</v>
      </c>
      <c r="L1238" s="4">
        <v>160</v>
      </c>
      <c r="M1238" s="4">
        <f t="shared" si="57"/>
        <v>-0.49000000000000005</v>
      </c>
      <c r="N1238" s="4">
        <f t="shared" si="58"/>
        <v>-1299</v>
      </c>
      <c r="O1238" s="4">
        <f t="shared" si="59"/>
        <v>-3.0000000000000006E-2</v>
      </c>
      <c r="P1238" s="3" t="s">
        <v>19</v>
      </c>
    </row>
    <row r="1239" spans="1:16" x14ac:dyDescent="0.35">
      <c r="A1239" s="3" t="s">
        <v>49</v>
      </c>
      <c r="B1239" s="3" t="str">
        <f>INDEX(State_Region!$B$2:$B$26,MATCH(TRIM(A1239),State_Region!$A$2:$A$26,0))</f>
        <v>North</v>
      </c>
      <c r="C1239" s="3" t="s">
        <v>121</v>
      </c>
      <c r="D1239" s="3" t="str">
        <f>INDEX(Port_Type!$B$2:$B$227,MATCH(TRIM(C1239),Port_Type!$A$2:$A$227,0))</f>
        <v>Inland ICD / CFS</v>
      </c>
      <c r="E1239" s="3" t="s">
        <v>65</v>
      </c>
      <c r="F1239" s="3" t="str">
        <f>INDEX(Product_Category!$B$2:$B$45,MATCH(TRIM(E1239),Product_Category!$A$2:$A$45,0))</f>
        <v>Cereals &amp; Grains</v>
      </c>
      <c r="G1239" s="4">
        <v>0.11</v>
      </c>
      <c r="H1239" s="4">
        <v>0.1</v>
      </c>
      <c r="I1239" s="4">
        <v>0.04</v>
      </c>
      <c r="J1239" s="4">
        <v>54.85</v>
      </c>
      <c r="K1239" s="4">
        <v>77.47</v>
      </c>
      <c r="L1239" s="4">
        <v>28.99</v>
      </c>
      <c r="M1239" s="4">
        <f t="shared" si="57"/>
        <v>-9.999999999999995E-3</v>
      </c>
      <c r="N1239" s="4">
        <f t="shared" si="58"/>
        <v>22.619999999999997</v>
      </c>
      <c r="O1239" s="4">
        <f t="shared" si="59"/>
        <v>-6.0000000000000005E-2</v>
      </c>
      <c r="P1239" s="3" t="s">
        <v>19</v>
      </c>
    </row>
    <row r="1240" spans="1:16" x14ac:dyDescent="0.35">
      <c r="A1240" s="3" t="s">
        <v>23</v>
      </c>
      <c r="B1240" s="3" t="str">
        <f>INDEX(State_Region!$B$2:$B$26,MATCH(TRIM(A1240),State_Region!$A$2:$A$26,0))</f>
        <v>North</v>
      </c>
      <c r="C1240" s="3" t="s">
        <v>30</v>
      </c>
      <c r="D1240" s="3" t="str">
        <f>INDEX(Port_Type!$B$2:$B$227,MATCH(TRIM(C1240),Port_Type!$A$2:$A$227,0))</f>
        <v>Inland ICD / CFS</v>
      </c>
      <c r="E1240" s="3" t="s">
        <v>27</v>
      </c>
      <c r="F1240" s="3" t="str">
        <f>INDEX(Product_Category!$B$2:$B$45,MATCH(TRIM(E1240),Product_Category!$A$2:$A$45,0))</f>
        <v>Cereals &amp; Grains</v>
      </c>
      <c r="G1240" s="4">
        <v>1.35</v>
      </c>
      <c r="H1240" s="4">
        <v>0.98</v>
      </c>
      <c r="I1240" s="4">
        <v>0.04</v>
      </c>
      <c r="J1240" s="4">
        <v>1478.79</v>
      </c>
      <c r="K1240" s="4">
        <v>1033.25</v>
      </c>
      <c r="L1240" s="4">
        <v>42.76</v>
      </c>
      <c r="M1240" s="4">
        <f t="shared" si="57"/>
        <v>-0.37000000000000011</v>
      </c>
      <c r="N1240" s="4">
        <f t="shared" si="58"/>
        <v>-445.53999999999996</v>
      </c>
      <c r="O1240" s="4">
        <f t="shared" si="59"/>
        <v>-0.94</v>
      </c>
      <c r="P1240" s="3" t="s">
        <v>19</v>
      </c>
    </row>
    <row r="1241" spans="1:16" x14ac:dyDescent="0.35">
      <c r="A1241" s="3" t="s">
        <v>49</v>
      </c>
      <c r="B1241" s="3" t="str">
        <f>INDEX(State_Region!$B$2:$B$26,MATCH(TRIM(A1241),State_Region!$A$2:$A$26,0))</f>
        <v>North</v>
      </c>
      <c r="C1241" s="3" t="s">
        <v>176</v>
      </c>
      <c r="D1241" s="3" t="str">
        <f>INDEX(Port_Type!$B$2:$B$227,MATCH(TRIM(C1241),Port_Type!$A$2:$A$227,0))</f>
        <v>Inland ICD / CFS</v>
      </c>
      <c r="E1241" s="3" t="s">
        <v>59</v>
      </c>
      <c r="F1241" s="3" t="str">
        <f>INDEX(Product_Category!$B$2:$B$45,MATCH(TRIM(E1241),Product_Category!$A$2:$A$45,0))</f>
        <v>Processed Foods</v>
      </c>
      <c r="G1241" s="4">
        <v>0.01</v>
      </c>
      <c r="H1241" s="4">
        <v>0.01</v>
      </c>
      <c r="I1241" s="4">
        <v>0.04</v>
      </c>
      <c r="J1241" s="4">
        <v>0.93</v>
      </c>
      <c r="K1241" s="4">
        <v>0.81</v>
      </c>
      <c r="L1241" s="4">
        <v>4.68</v>
      </c>
      <c r="M1241" s="4">
        <f t="shared" si="57"/>
        <v>0</v>
      </c>
      <c r="N1241" s="4">
        <f t="shared" si="58"/>
        <v>-0.12</v>
      </c>
      <c r="O1241" s="4">
        <f t="shared" si="59"/>
        <v>0.03</v>
      </c>
      <c r="P1241" s="3" t="s">
        <v>19</v>
      </c>
    </row>
    <row r="1242" spans="1:16" x14ac:dyDescent="0.35">
      <c r="A1242" s="3" t="s">
        <v>31</v>
      </c>
      <c r="B1242" s="3" t="str">
        <f>INDEX(State_Region!$B$2:$B$26,MATCH(TRIM(A1242),State_Region!$A$2:$A$26,0))</f>
        <v>East</v>
      </c>
      <c r="C1242" s="3" t="s">
        <v>192</v>
      </c>
      <c r="D1242" s="3" t="str">
        <f>INDEX(Port_Type!$B$2:$B$227,MATCH(TRIM(C1242),Port_Type!$A$2:$A$227,0))</f>
        <v>Air Cargo</v>
      </c>
      <c r="E1242" s="3" t="s">
        <v>69</v>
      </c>
      <c r="F1242" s="3" t="str">
        <f>INDEX(Product_Category!$B$2:$B$45,MATCH(TRIM(E1242),Product_Category!$A$2:$A$45,0))</f>
        <v>Others</v>
      </c>
      <c r="G1242" s="4">
        <v>0.1</v>
      </c>
      <c r="H1242" s="4">
        <v>0.06</v>
      </c>
      <c r="I1242" s="4">
        <v>0.04</v>
      </c>
      <c r="J1242" s="4">
        <v>0.73</v>
      </c>
      <c r="K1242" s="4">
        <v>0.78</v>
      </c>
      <c r="L1242" s="4">
        <v>1.28</v>
      </c>
      <c r="M1242" s="4">
        <f t="shared" si="57"/>
        <v>-4.0000000000000008E-2</v>
      </c>
      <c r="N1242" s="4">
        <f t="shared" si="58"/>
        <v>5.0000000000000044E-2</v>
      </c>
      <c r="O1242" s="4">
        <f t="shared" si="59"/>
        <v>-1.9999999999999997E-2</v>
      </c>
      <c r="P1242" s="3" t="s">
        <v>19</v>
      </c>
    </row>
    <row r="1243" spans="1:16" x14ac:dyDescent="0.35">
      <c r="A1243" s="3" t="s">
        <v>86</v>
      </c>
      <c r="B1243" s="3" t="str">
        <f>INDEX(State_Region!$B$2:$B$26,MATCH(TRIM(A1243),State_Region!$A$2:$A$26,0))</f>
        <v>North</v>
      </c>
      <c r="C1243" s="3" t="s">
        <v>106</v>
      </c>
      <c r="D1243" s="3" t="str">
        <f>INDEX(Port_Type!$B$2:$B$227,MATCH(TRIM(C1243),Port_Type!$A$2:$A$227,0))</f>
        <v>Inland ICD / CFS</v>
      </c>
      <c r="E1243" s="3" t="s">
        <v>45</v>
      </c>
      <c r="F1243" s="3" t="str">
        <f>INDEX(Product_Category!$B$2:$B$45,MATCH(TRIM(E1243),Product_Category!$A$2:$A$45,0))</f>
        <v>Fresh Fruits &amp; Vegetables</v>
      </c>
      <c r="G1243" s="4">
        <v>0.13</v>
      </c>
      <c r="H1243" s="4">
        <v>0.13</v>
      </c>
      <c r="I1243" s="4">
        <v>0.04</v>
      </c>
      <c r="J1243" s="4">
        <v>28.88</v>
      </c>
      <c r="K1243" s="4">
        <v>39.020000000000003</v>
      </c>
      <c r="L1243" s="4">
        <v>6.41</v>
      </c>
      <c r="M1243" s="4">
        <f t="shared" si="57"/>
        <v>0</v>
      </c>
      <c r="N1243" s="4">
        <f t="shared" si="58"/>
        <v>10.140000000000004</v>
      </c>
      <c r="O1243" s="4">
        <f t="shared" si="59"/>
        <v>-0.09</v>
      </c>
      <c r="P1243" s="3" t="s">
        <v>19</v>
      </c>
    </row>
    <row r="1244" spans="1:16" x14ac:dyDescent="0.35">
      <c r="A1244" s="3" t="s">
        <v>23</v>
      </c>
      <c r="B1244" s="3" t="str">
        <f>INDEX(State_Region!$B$2:$B$26,MATCH(TRIM(A1244),State_Region!$A$2:$A$26,0))</f>
        <v>North</v>
      </c>
      <c r="C1244" s="3" t="s">
        <v>124</v>
      </c>
      <c r="D1244" s="3" t="str">
        <f>INDEX(Port_Type!$B$2:$B$227,MATCH(TRIM(C1244),Port_Type!$A$2:$A$227,0))</f>
        <v>Inland ICD / CFS</v>
      </c>
      <c r="E1244" s="3" t="s">
        <v>42</v>
      </c>
      <c r="F1244" s="3" t="str">
        <f>INDEX(Product_Category!$B$2:$B$45,MATCH(TRIM(E1244),Product_Category!$A$2:$A$45,0))</f>
        <v>Processed Foods</v>
      </c>
      <c r="G1244" s="4">
        <v>0</v>
      </c>
      <c r="H1244" s="4">
        <v>0.17</v>
      </c>
      <c r="I1244" s="4">
        <v>0.04</v>
      </c>
      <c r="J1244" s="4">
        <v>0</v>
      </c>
      <c r="K1244" s="4">
        <v>285.74</v>
      </c>
      <c r="L1244" s="4">
        <v>79.33</v>
      </c>
      <c r="M1244" s="4">
        <f t="shared" si="57"/>
        <v>0.17</v>
      </c>
      <c r="N1244" s="4">
        <f t="shared" si="58"/>
        <v>285.74</v>
      </c>
      <c r="O1244" s="4">
        <f t="shared" si="59"/>
        <v>-0.13</v>
      </c>
      <c r="P1244" s="3" t="s">
        <v>19</v>
      </c>
    </row>
    <row r="1245" spans="1:16" x14ac:dyDescent="0.35">
      <c r="A1245" s="3" t="s">
        <v>49</v>
      </c>
      <c r="B1245" s="3" t="str">
        <f>INDEX(State_Region!$B$2:$B$26,MATCH(TRIM(A1245),State_Region!$A$2:$A$26,0))</f>
        <v>North</v>
      </c>
      <c r="C1245" s="3" t="s">
        <v>121</v>
      </c>
      <c r="D1245" s="3" t="str">
        <f>INDEX(Port_Type!$B$2:$B$227,MATCH(TRIM(C1245),Port_Type!$A$2:$A$227,0))</f>
        <v>Inland ICD / CFS</v>
      </c>
      <c r="E1245" s="3" t="s">
        <v>18</v>
      </c>
      <c r="F1245" s="3" t="str">
        <f>INDEX(Product_Category!$B$2:$B$45,MATCH(TRIM(E1245),Product_Category!$A$2:$A$45,0))</f>
        <v>Cereals &amp; Grains</v>
      </c>
      <c r="G1245" s="4">
        <v>0.17</v>
      </c>
      <c r="H1245" s="4">
        <v>0.11</v>
      </c>
      <c r="I1245" s="4">
        <v>0.04</v>
      </c>
      <c r="J1245" s="4">
        <v>107.67</v>
      </c>
      <c r="K1245" s="4">
        <v>35.130000000000003</v>
      </c>
      <c r="L1245" s="4">
        <v>17.39</v>
      </c>
      <c r="M1245" s="4">
        <f t="shared" si="57"/>
        <v>-6.0000000000000012E-2</v>
      </c>
      <c r="N1245" s="4">
        <f t="shared" si="58"/>
        <v>-72.539999999999992</v>
      </c>
      <c r="O1245" s="4">
        <f t="shared" si="59"/>
        <v>-7.0000000000000007E-2</v>
      </c>
      <c r="P1245" s="3" t="s">
        <v>19</v>
      </c>
    </row>
    <row r="1246" spans="1:16" x14ac:dyDescent="0.35">
      <c r="A1246" s="3" t="s">
        <v>23</v>
      </c>
      <c r="B1246" s="3" t="str">
        <f>INDEX(State_Region!$B$2:$B$26,MATCH(TRIM(A1246),State_Region!$A$2:$A$26,0))</f>
        <v>North</v>
      </c>
      <c r="C1246" s="3" t="s">
        <v>44</v>
      </c>
      <c r="D1246" s="3" t="str">
        <f>INDEX(Port_Type!$B$2:$B$227,MATCH(TRIM(C1246),Port_Type!$A$2:$A$227,0))</f>
        <v>Inland ICD / CFS</v>
      </c>
      <c r="E1246" s="3" t="s">
        <v>102</v>
      </c>
      <c r="F1246" s="3" t="str">
        <f>INDEX(Product_Category!$B$2:$B$45,MATCH(TRIM(E1246),Product_Category!$A$2:$A$45,0))</f>
        <v>Fresh Fruits &amp; Vegetables</v>
      </c>
      <c r="G1246" s="4">
        <v>0.01</v>
      </c>
      <c r="H1246" s="4">
        <v>0.15</v>
      </c>
      <c r="I1246" s="4">
        <v>0.04</v>
      </c>
      <c r="J1246" s="4">
        <v>27.44</v>
      </c>
      <c r="K1246" s="4">
        <v>336.56</v>
      </c>
      <c r="L1246" s="4">
        <v>56</v>
      </c>
      <c r="M1246" s="4">
        <f t="shared" si="57"/>
        <v>0.13999999999999999</v>
      </c>
      <c r="N1246" s="4">
        <f t="shared" si="58"/>
        <v>309.12</v>
      </c>
      <c r="O1246" s="4">
        <f t="shared" si="59"/>
        <v>-0.10999999999999999</v>
      </c>
      <c r="P1246" s="3" t="s">
        <v>19</v>
      </c>
    </row>
    <row r="1247" spans="1:16" x14ac:dyDescent="0.35">
      <c r="A1247" s="3" t="s">
        <v>23</v>
      </c>
      <c r="B1247" s="3" t="str">
        <f>INDEX(State_Region!$B$2:$B$26,MATCH(TRIM(A1247),State_Region!$A$2:$A$26,0))</f>
        <v>North</v>
      </c>
      <c r="C1247" s="3" t="s">
        <v>43</v>
      </c>
      <c r="D1247" s="3" t="str">
        <f>INDEX(Port_Type!$B$2:$B$227,MATCH(TRIM(C1247),Port_Type!$A$2:$A$227,0))</f>
        <v>Land Border / Rail</v>
      </c>
      <c r="E1247" s="3" t="s">
        <v>53</v>
      </c>
      <c r="F1247" s="3" t="str">
        <f>INDEX(Product_Category!$B$2:$B$45,MATCH(TRIM(E1247),Product_Category!$A$2:$A$45,0))</f>
        <v>Processed Foods</v>
      </c>
      <c r="G1247" s="4">
        <v>0</v>
      </c>
      <c r="H1247" s="4">
        <v>0.01</v>
      </c>
      <c r="I1247" s="4">
        <v>0.04</v>
      </c>
      <c r="J1247" s="4">
        <v>0</v>
      </c>
      <c r="K1247" s="4">
        <v>21.6</v>
      </c>
      <c r="L1247" s="4">
        <v>96</v>
      </c>
      <c r="M1247" s="4">
        <f t="shared" si="57"/>
        <v>0.01</v>
      </c>
      <c r="N1247" s="4">
        <f t="shared" si="58"/>
        <v>21.6</v>
      </c>
      <c r="O1247" s="4">
        <f t="shared" si="59"/>
        <v>0.03</v>
      </c>
      <c r="P1247" s="3" t="s">
        <v>19</v>
      </c>
    </row>
    <row r="1248" spans="1:16" x14ac:dyDescent="0.35">
      <c r="A1248" s="3" t="s">
        <v>94</v>
      </c>
      <c r="B1248" s="3" t="str">
        <f>INDEX(State_Region!$B$2:$B$26,MATCH(TRIM(A1248),State_Region!$A$2:$A$26,0))</f>
        <v>East</v>
      </c>
      <c r="C1248" s="3" t="s">
        <v>95</v>
      </c>
      <c r="D1248" s="3" t="str">
        <f>INDEX(Port_Type!$B$2:$B$227,MATCH(TRIM(C1248),Port_Type!$A$2:$A$227,0))</f>
        <v>Land Border / Rail</v>
      </c>
      <c r="E1248" s="3" t="s">
        <v>65</v>
      </c>
      <c r="F1248" s="3" t="str">
        <f>INDEX(Product_Category!$B$2:$B$45,MATCH(TRIM(E1248),Product_Category!$A$2:$A$45,0))</f>
        <v>Cereals &amp; Grains</v>
      </c>
      <c r="G1248" s="4">
        <v>0.26</v>
      </c>
      <c r="H1248" s="4">
        <v>0.23</v>
      </c>
      <c r="I1248" s="4">
        <v>0.04</v>
      </c>
      <c r="J1248" s="4">
        <v>635.88</v>
      </c>
      <c r="K1248" s="4">
        <v>412.57</v>
      </c>
      <c r="L1248" s="4">
        <v>34.4</v>
      </c>
      <c r="M1248" s="4">
        <f t="shared" si="57"/>
        <v>-0.03</v>
      </c>
      <c r="N1248" s="4">
        <f t="shared" si="58"/>
        <v>-223.31</v>
      </c>
      <c r="O1248" s="4">
        <f t="shared" si="59"/>
        <v>-0.19</v>
      </c>
      <c r="P1248" s="3" t="s">
        <v>19</v>
      </c>
    </row>
    <row r="1249" spans="1:16" x14ac:dyDescent="0.35">
      <c r="A1249" s="3" t="s">
        <v>129</v>
      </c>
      <c r="B1249" s="3" t="str">
        <f>INDEX(State_Region!$B$2:$B$26,MATCH(TRIM(A1249),State_Region!$A$2:$A$26,0))</f>
        <v>East</v>
      </c>
      <c r="C1249" s="3" t="s">
        <v>147</v>
      </c>
      <c r="D1249" s="3" t="str">
        <f>INDEX(Port_Type!$B$2:$B$227,MATCH(TRIM(C1249),Port_Type!$A$2:$A$227,0))</f>
        <v>Land Border / Rail</v>
      </c>
      <c r="E1249" s="3" t="s">
        <v>62</v>
      </c>
      <c r="F1249" s="3" t="str">
        <f>INDEX(Product_Category!$B$2:$B$45,MATCH(TRIM(E1249),Product_Category!$A$2:$A$45,0))</f>
        <v>Cereals &amp; Grains</v>
      </c>
      <c r="G1249" s="4">
        <v>0.88</v>
      </c>
      <c r="H1249" s="4">
        <v>0.36</v>
      </c>
      <c r="I1249" s="4">
        <v>0.04</v>
      </c>
      <c r="J1249" s="4">
        <v>3521.83</v>
      </c>
      <c r="K1249" s="4">
        <v>1399.14</v>
      </c>
      <c r="L1249" s="4">
        <v>170.84</v>
      </c>
      <c r="M1249" s="4">
        <f t="shared" si="57"/>
        <v>-0.52</v>
      </c>
      <c r="N1249" s="4">
        <f t="shared" si="58"/>
        <v>-2122.6899999999996</v>
      </c>
      <c r="O1249" s="4">
        <f t="shared" si="59"/>
        <v>-0.32</v>
      </c>
      <c r="P1249" s="3" t="s">
        <v>19</v>
      </c>
    </row>
    <row r="1250" spans="1:16" x14ac:dyDescent="0.35">
      <c r="A1250" s="3" t="s">
        <v>16</v>
      </c>
      <c r="B1250" s="3" t="str">
        <f>INDEX(State_Region!$B$2:$B$26,MATCH(TRIM(A1250),State_Region!$A$2:$A$26,0))</f>
        <v>West</v>
      </c>
      <c r="C1250" s="3" t="s">
        <v>135</v>
      </c>
      <c r="D1250" s="3" t="str">
        <f>INDEX(Port_Type!$B$2:$B$227,MATCH(TRIM(C1250),Port_Type!$A$2:$A$227,0))</f>
        <v>Air Cargo</v>
      </c>
      <c r="E1250" s="3" t="s">
        <v>53</v>
      </c>
      <c r="F1250" s="3" t="str">
        <f>INDEX(Product_Category!$B$2:$B$45,MATCH(TRIM(E1250),Product_Category!$A$2:$A$45,0))</f>
        <v>Processed Foods</v>
      </c>
      <c r="G1250" s="4">
        <v>0.14000000000000001</v>
      </c>
      <c r="H1250" s="4">
        <v>0.22</v>
      </c>
      <c r="I1250" s="4">
        <v>0.04</v>
      </c>
      <c r="J1250" s="4">
        <v>25.21</v>
      </c>
      <c r="K1250" s="4">
        <v>52</v>
      </c>
      <c r="L1250" s="4">
        <v>7.98</v>
      </c>
      <c r="M1250" s="4">
        <f t="shared" si="57"/>
        <v>7.9999999999999988E-2</v>
      </c>
      <c r="N1250" s="4">
        <f t="shared" si="58"/>
        <v>26.79</v>
      </c>
      <c r="O1250" s="4">
        <f t="shared" si="59"/>
        <v>-0.18</v>
      </c>
      <c r="P1250" s="3" t="s">
        <v>19</v>
      </c>
    </row>
    <row r="1251" spans="1:16" x14ac:dyDescent="0.35">
      <c r="A1251" s="3" t="s">
        <v>31</v>
      </c>
      <c r="B1251" s="3" t="str">
        <f>INDEX(State_Region!$B$2:$B$26,MATCH(TRIM(A1251),State_Region!$A$2:$A$26,0))</f>
        <v>East</v>
      </c>
      <c r="C1251" s="3" t="s">
        <v>101</v>
      </c>
      <c r="D1251" s="3" t="str">
        <f>INDEX(Port_Type!$B$2:$B$227,MATCH(TRIM(C1251),Port_Type!$A$2:$A$227,0))</f>
        <v>Land Border / Rail</v>
      </c>
      <c r="E1251" s="3" t="s">
        <v>102</v>
      </c>
      <c r="F1251" s="3" t="str">
        <f>INDEX(Product_Category!$B$2:$B$45,MATCH(TRIM(E1251),Product_Category!$A$2:$A$45,0))</f>
        <v>Fresh Fruits &amp; Vegetables</v>
      </c>
      <c r="G1251" s="4">
        <v>8.1</v>
      </c>
      <c r="H1251" s="4">
        <v>2.35</v>
      </c>
      <c r="I1251" s="4">
        <v>0.04</v>
      </c>
      <c r="J1251" s="4">
        <v>45168.78</v>
      </c>
      <c r="K1251" s="4">
        <v>8456.58</v>
      </c>
      <c r="L1251" s="4">
        <v>181.8</v>
      </c>
      <c r="M1251" s="4">
        <f t="shared" si="57"/>
        <v>-5.75</v>
      </c>
      <c r="N1251" s="4">
        <f t="shared" si="58"/>
        <v>-36712.199999999997</v>
      </c>
      <c r="O1251" s="4">
        <f t="shared" si="59"/>
        <v>-2.31</v>
      </c>
      <c r="P1251" s="3" t="s">
        <v>19</v>
      </c>
    </row>
    <row r="1252" spans="1:16" x14ac:dyDescent="0.35">
      <c r="A1252" s="3" t="s">
        <v>94</v>
      </c>
      <c r="B1252" s="3" t="str">
        <f>INDEX(State_Region!$B$2:$B$26,MATCH(TRIM(A1252),State_Region!$A$2:$A$26,0))</f>
        <v>East</v>
      </c>
      <c r="C1252" s="3" t="s">
        <v>95</v>
      </c>
      <c r="D1252" s="3" t="str">
        <f>INDEX(Port_Type!$B$2:$B$227,MATCH(TRIM(C1252),Port_Type!$A$2:$A$227,0))</f>
        <v>Land Border / Rail</v>
      </c>
      <c r="E1252" s="3" t="s">
        <v>126</v>
      </c>
      <c r="F1252" s="3" t="str">
        <f>INDEX(Product_Category!$B$2:$B$45,MATCH(TRIM(E1252),Product_Category!$A$2:$A$45,0))</f>
        <v>Cereals &amp; Grains</v>
      </c>
      <c r="G1252" s="4">
        <v>0.06</v>
      </c>
      <c r="H1252" s="4">
        <v>7.0000000000000007E-2</v>
      </c>
      <c r="I1252" s="4">
        <v>0.04</v>
      </c>
      <c r="J1252" s="4">
        <v>37.340000000000003</v>
      </c>
      <c r="K1252" s="4">
        <v>95.08</v>
      </c>
      <c r="L1252" s="4">
        <v>46.89</v>
      </c>
      <c r="M1252" s="4">
        <f t="shared" si="57"/>
        <v>1.0000000000000009E-2</v>
      </c>
      <c r="N1252" s="4">
        <f t="shared" si="58"/>
        <v>57.739999999999995</v>
      </c>
      <c r="O1252" s="4">
        <f t="shared" si="59"/>
        <v>-3.0000000000000006E-2</v>
      </c>
      <c r="P1252" s="3" t="s">
        <v>19</v>
      </c>
    </row>
    <row r="1253" spans="1:16" x14ac:dyDescent="0.35">
      <c r="A1253" s="3" t="s">
        <v>23</v>
      </c>
      <c r="B1253" s="3" t="str">
        <f>INDEX(State_Region!$B$2:$B$26,MATCH(TRIM(A1253),State_Region!$A$2:$A$26,0))</f>
        <v>North</v>
      </c>
      <c r="C1253" s="3" t="s">
        <v>34</v>
      </c>
      <c r="D1253" s="3" t="str">
        <f>INDEX(Port_Type!$B$2:$B$227,MATCH(TRIM(C1253),Port_Type!$A$2:$A$227,0))</f>
        <v>Inland ICD / CFS</v>
      </c>
      <c r="E1253" s="3" t="s">
        <v>93</v>
      </c>
      <c r="F1253" s="3" t="str">
        <f>INDEX(Product_Category!$B$2:$B$45,MATCH(TRIM(E1253),Product_Category!$A$2:$A$45,0))</f>
        <v>Meat &amp; Animal Products</v>
      </c>
      <c r="G1253" s="4">
        <v>0.2</v>
      </c>
      <c r="H1253" s="4">
        <v>0</v>
      </c>
      <c r="I1253" s="4">
        <v>0.04</v>
      </c>
      <c r="J1253" s="4">
        <v>40.380000000000003</v>
      </c>
      <c r="K1253" s="4">
        <v>0</v>
      </c>
      <c r="L1253" s="4">
        <v>5.4</v>
      </c>
      <c r="M1253" s="4">
        <f t="shared" si="57"/>
        <v>-0.2</v>
      </c>
      <c r="N1253" s="4">
        <f t="shared" si="58"/>
        <v>-40.380000000000003</v>
      </c>
      <c r="O1253" s="4">
        <f t="shared" si="59"/>
        <v>0.04</v>
      </c>
      <c r="P1253" s="3" t="s">
        <v>19</v>
      </c>
    </row>
    <row r="1254" spans="1:16" x14ac:dyDescent="0.35">
      <c r="A1254" s="3" t="s">
        <v>16</v>
      </c>
      <c r="B1254" s="3" t="str">
        <f>INDEX(State_Region!$B$2:$B$26,MATCH(TRIM(A1254),State_Region!$A$2:$A$26,0))</f>
        <v>West</v>
      </c>
      <c r="C1254" s="3" t="s">
        <v>143</v>
      </c>
      <c r="D1254" s="3" t="str">
        <f>INDEX(Port_Type!$B$2:$B$227,MATCH(TRIM(C1254),Port_Type!$A$2:$A$227,0))</f>
        <v>Sea Port</v>
      </c>
      <c r="E1254" s="3" t="s">
        <v>54</v>
      </c>
      <c r="F1254" s="3" t="str">
        <f>INDEX(Product_Category!$B$2:$B$45,MATCH(TRIM(E1254),Product_Category!$A$2:$A$45,0))</f>
        <v>Processed Foods</v>
      </c>
      <c r="G1254" s="4">
        <v>0.03</v>
      </c>
      <c r="H1254" s="4">
        <v>0.01</v>
      </c>
      <c r="I1254" s="4">
        <v>0.04</v>
      </c>
      <c r="J1254" s="4">
        <v>40</v>
      </c>
      <c r="K1254" s="4">
        <v>15</v>
      </c>
      <c r="L1254" s="4">
        <v>71</v>
      </c>
      <c r="M1254" s="4">
        <f t="shared" si="57"/>
        <v>-1.9999999999999997E-2</v>
      </c>
      <c r="N1254" s="4">
        <f t="shared" si="58"/>
        <v>-25</v>
      </c>
      <c r="O1254" s="4">
        <f t="shared" si="59"/>
        <v>0.03</v>
      </c>
      <c r="P1254" s="3" t="s">
        <v>19</v>
      </c>
    </row>
    <row r="1255" spans="1:16" x14ac:dyDescent="0.35">
      <c r="A1255" s="3" t="s">
        <v>159</v>
      </c>
      <c r="B1255" s="3" t="str">
        <f>INDEX(State_Region!$B$2:$B$26,MATCH(TRIM(A1255),State_Region!$A$2:$A$26,0))</f>
        <v>North-East</v>
      </c>
      <c r="C1255" s="3" t="s">
        <v>186</v>
      </c>
      <c r="D1255" s="3" t="str">
        <f>INDEX(Port_Type!$B$2:$B$227,MATCH(TRIM(C1255),Port_Type!$A$2:$A$227,0))</f>
        <v>Land Border / Rail</v>
      </c>
      <c r="E1255" s="3" t="s">
        <v>53</v>
      </c>
      <c r="F1255" s="3" t="str">
        <f>INDEX(Product_Category!$B$2:$B$45,MATCH(TRIM(E1255),Product_Category!$A$2:$A$45,0))</f>
        <v>Processed Foods</v>
      </c>
      <c r="G1255" s="4">
        <v>0.17</v>
      </c>
      <c r="H1255" s="4">
        <v>0.11</v>
      </c>
      <c r="I1255" s="4">
        <v>0.04</v>
      </c>
      <c r="J1255" s="4">
        <v>67.569999999999993</v>
      </c>
      <c r="K1255" s="4">
        <v>44.77</v>
      </c>
      <c r="L1255" s="4">
        <v>16.36</v>
      </c>
      <c r="M1255" s="4">
        <f t="shared" si="57"/>
        <v>-6.0000000000000012E-2</v>
      </c>
      <c r="N1255" s="4">
        <f t="shared" si="58"/>
        <v>-22.79999999999999</v>
      </c>
      <c r="O1255" s="4">
        <f t="shared" si="59"/>
        <v>-7.0000000000000007E-2</v>
      </c>
      <c r="P1255" s="3" t="s">
        <v>19</v>
      </c>
    </row>
    <row r="1256" spans="1:16" x14ac:dyDescent="0.35">
      <c r="A1256" s="3" t="s">
        <v>66</v>
      </c>
      <c r="B1256" s="3" t="str">
        <f>INDEX(State_Region!$B$2:$B$26,MATCH(TRIM(A1256),State_Region!$A$2:$A$26,0))</f>
        <v>North</v>
      </c>
      <c r="C1256" s="3" t="s">
        <v>127</v>
      </c>
      <c r="D1256" s="3" t="str">
        <f>INDEX(Port_Type!$B$2:$B$227,MATCH(TRIM(C1256),Port_Type!$A$2:$A$227,0))</f>
        <v>Inland ICD / CFS</v>
      </c>
      <c r="E1256" s="3" t="s">
        <v>65</v>
      </c>
      <c r="F1256" s="3" t="str">
        <f>INDEX(Product_Category!$B$2:$B$45,MATCH(TRIM(E1256),Product_Category!$A$2:$A$45,0))</f>
        <v>Cereals &amp; Grains</v>
      </c>
      <c r="G1256" s="4">
        <v>0.13</v>
      </c>
      <c r="H1256" s="4">
        <v>0.13</v>
      </c>
      <c r="I1256" s="4">
        <v>0.04</v>
      </c>
      <c r="J1256" s="4">
        <v>103.02</v>
      </c>
      <c r="K1256" s="4">
        <v>179.65</v>
      </c>
      <c r="L1256" s="4">
        <v>37.590000000000003</v>
      </c>
      <c r="M1256" s="4">
        <f t="shared" si="57"/>
        <v>0</v>
      </c>
      <c r="N1256" s="4">
        <f t="shared" si="58"/>
        <v>76.63000000000001</v>
      </c>
      <c r="O1256" s="4">
        <f t="shared" si="59"/>
        <v>-0.09</v>
      </c>
      <c r="P1256" s="3" t="s">
        <v>19</v>
      </c>
    </row>
    <row r="1257" spans="1:16" x14ac:dyDescent="0.35">
      <c r="A1257" s="3" t="s">
        <v>189</v>
      </c>
      <c r="B1257" s="3" t="str">
        <f>INDEX(State_Region!$B$2:$B$26,MATCH(TRIM(A1257),State_Region!$A$2:$A$26,0))</f>
        <v>North</v>
      </c>
      <c r="C1257" s="3" t="s">
        <v>227</v>
      </c>
      <c r="D1257" s="3" t="str">
        <f>INDEX(Port_Type!$B$2:$B$227,MATCH(TRIM(C1257),Port_Type!$A$2:$A$227,0))</f>
        <v>Land Border / Rail</v>
      </c>
      <c r="E1257" s="3" t="s">
        <v>53</v>
      </c>
      <c r="F1257" s="3" t="str">
        <f>INDEX(Product_Category!$B$2:$B$45,MATCH(TRIM(E1257),Product_Category!$A$2:$A$45,0))</f>
        <v>Processed Foods</v>
      </c>
      <c r="G1257" s="4">
        <v>0.5</v>
      </c>
      <c r="H1257" s="4">
        <v>0.2</v>
      </c>
      <c r="I1257" s="4">
        <v>0.04</v>
      </c>
      <c r="J1257" s="4">
        <v>2049.0100000000002</v>
      </c>
      <c r="K1257" s="4">
        <v>720.44</v>
      </c>
      <c r="L1257" s="4">
        <v>124.76</v>
      </c>
      <c r="M1257" s="4">
        <f t="shared" si="57"/>
        <v>-0.3</v>
      </c>
      <c r="N1257" s="4">
        <f t="shared" si="58"/>
        <v>-1328.5700000000002</v>
      </c>
      <c r="O1257" s="4">
        <f t="shared" si="59"/>
        <v>-0.16</v>
      </c>
      <c r="P1257" s="3" t="s">
        <v>19</v>
      </c>
    </row>
    <row r="1258" spans="1:16" x14ac:dyDescent="0.35">
      <c r="A1258" s="3" t="s">
        <v>31</v>
      </c>
      <c r="B1258" s="3" t="str">
        <f>INDEX(State_Region!$B$2:$B$26,MATCH(TRIM(A1258),State_Region!$A$2:$A$26,0))</f>
        <v>East</v>
      </c>
      <c r="C1258" s="3" t="s">
        <v>215</v>
      </c>
      <c r="D1258" s="3" t="str">
        <f>INDEX(Port_Type!$B$2:$B$227,MATCH(TRIM(C1258),Port_Type!$A$2:$A$227,0))</f>
        <v>Land Border / Rail</v>
      </c>
      <c r="E1258" s="3" t="s">
        <v>65</v>
      </c>
      <c r="F1258" s="3" t="str">
        <f>INDEX(Product_Category!$B$2:$B$45,MATCH(TRIM(E1258),Product_Category!$A$2:$A$45,0))</f>
        <v>Cereals &amp; Grains</v>
      </c>
      <c r="G1258" s="4">
        <v>0</v>
      </c>
      <c r="H1258" s="4">
        <v>0.05</v>
      </c>
      <c r="I1258" s="4">
        <v>0.04</v>
      </c>
      <c r="J1258" s="4">
        <v>3.26</v>
      </c>
      <c r="K1258" s="4">
        <v>117.87</v>
      </c>
      <c r="L1258" s="4">
        <v>66.89</v>
      </c>
      <c r="M1258" s="4">
        <f t="shared" si="57"/>
        <v>0.05</v>
      </c>
      <c r="N1258" s="4">
        <f t="shared" si="58"/>
        <v>114.61</v>
      </c>
      <c r="O1258" s="4">
        <f t="shared" si="59"/>
        <v>-1.0000000000000002E-2</v>
      </c>
      <c r="P1258" s="3" t="s">
        <v>19</v>
      </c>
    </row>
    <row r="1259" spans="1:16" x14ac:dyDescent="0.35">
      <c r="A1259" s="3" t="s">
        <v>159</v>
      </c>
      <c r="B1259" s="3" t="str">
        <f>INDEX(State_Region!$B$2:$B$26,MATCH(TRIM(A1259),State_Region!$A$2:$A$26,0))</f>
        <v>North-East</v>
      </c>
      <c r="C1259" s="3" t="s">
        <v>160</v>
      </c>
      <c r="D1259" s="3" t="str">
        <f>INDEX(Port_Type!$B$2:$B$227,MATCH(TRIM(C1259),Port_Type!$A$2:$A$227,0))</f>
        <v>Land Border / Rail</v>
      </c>
      <c r="E1259" s="3" t="s">
        <v>128</v>
      </c>
      <c r="F1259" s="3" t="str">
        <f>INDEX(Product_Category!$B$2:$B$45,MATCH(TRIM(E1259),Product_Category!$A$2:$A$45,0))</f>
        <v>Dairy, Poultry &amp; Honey</v>
      </c>
      <c r="G1259" s="4">
        <v>0</v>
      </c>
      <c r="H1259" s="4">
        <v>0</v>
      </c>
      <c r="I1259" s="4">
        <v>0.04</v>
      </c>
      <c r="J1259" s="4">
        <v>0</v>
      </c>
      <c r="K1259" s="4">
        <v>0</v>
      </c>
      <c r="L1259" s="4">
        <v>20</v>
      </c>
      <c r="M1259" s="4">
        <f t="shared" si="57"/>
        <v>0</v>
      </c>
      <c r="N1259" s="4">
        <f t="shared" si="58"/>
        <v>0</v>
      </c>
      <c r="O1259" s="4">
        <f t="shared" si="59"/>
        <v>0.04</v>
      </c>
      <c r="P1259" s="3" t="s">
        <v>19</v>
      </c>
    </row>
    <row r="1260" spans="1:16" x14ac:dyDescent="0.35">
      <c r="A1260" s="3" t="s">
        <v>23</v>
      </c>
      <c r="B1260" s="3" t="str">
        <f>INDEX(State_Region!$B$2:$B$26,MATCH(TRIM(A1260),State_Region!$A$2:$A$26,0))</f>
        <v>North</v>
      </c>
      <c r="C1260" s="3" t="s">
        <v>44</v>
      </c>
      <c r="D1260" s="3" t="str">
        <f>INDEX(Port_Type!$B$2:$B$227,MATCH(TRIM(C1260),Port_Type!$A$2:$A$227,0))</f>
        <v>Inland ICD / CFS</v>
      </c>
      <c r="E1260" s="3" t="s">
        <v>60</v>
      </c>
      <c r="F1260" s="3" t="str">
        <f>INDEX(Product_Category!$B$2:$B$45,MATCH(TRIM(E1260),Product_Category!$A$2:$A$45,0))</f>
        <v>Processed Foods</v>
      </c>
      <c r="G1260" s="4">
        <v>10.51</v>
      </c>
      <c r="H1260" s="4">
        <v>0.39</v>
      </c>
      <c r="I1260" s="4">
        <v>0.04</v>
      </c>
      <c r="J1260" s="4">
        <v>6201.1</v>
      </c>
      <c r="K1260" s="4">
        <v>30.64</v>
      </c>
      <c r="L1260" s="4">
        <v>2.23</v>
      </c>
      <c r="M1260" s="4">
        <f t="shared" si="57"/>
        <v>-10.119999999999999</v>
      </c>
      <c r="N1260" s="4">
        <f t="shared" si="58"/>
        <v>-6170.46</v>
      </c>
      <c r="O1260" s="4">
        <f t="shared" si="59"/>
        <v>-0.35000000000000003</v>
      </c>
      <c r="P1260" s="3" t="s">
        <v>19</v>
      </c>
    </row>
    <row r="1261" spans="1:16" x14ac:dyDescent="0.35">
      <c r="A1261" s="3" t="s">
        <v>94</v>
      </c>
      <c r="B1261" s="3" t="str">
        <f>INDEX(State_Region!$B$2:$B$26,MATCH(TRIM(A1261),State_Region!$A$2:$A$26,0))</f>
        <v>East</v>
      </c>
      <c r="C1261" s="3" t="s">
        <v>188</v>
      </c>
      <c r="D1261" s="3" t="str">
        <f>INDEX(Port_Type!$B$2:$B$227,MATCH(TRIM(C1261),Port_Type!$A$2:$A$227,0))</f>
        <v>Land Border / Rail</v>
      </c>
      <c r="E1261" s="3" t="s">
        <v>39</v>
      </c>
      <c r="F1261" s="3" t="str">
        <f>INDEX(Product_Category!$B$2:$B$45,MATCH(TRIM(E1261),Product_Category!$A$2:$A$45,0))</f>
        <v>Processed Foods</v>
      </c>
      <c r="G1261" s="4">
        <v>0.1</v>
      </c>
      <c r="H1261" s="4">
        <v>0.09</v>
      </c>
      <c r="I1261" s="4">
        <v>0.04</v>
      </c>
      <c r="J1261" s="4">
        <v>39.450000000000003</v>
      </c>
      <c r="K1261" s="4">
        <v>13.74</v>
      </c>
      <c r="L1261" s="4">
        <v>5.69</v>
      </c>
      <c r="M1261" s="4">
        <f t="shared" si="57"/>
        <v>-1.0000000000000009E-2</v>
      </c>
      <c r="N1261" s="4">
        <f t="shared" si="58"/>
        <v>-25.71</v>
      </c>
      <c r="O1261" s="4">
        <f t="shared" si="59"/>
        <v>-4.9999999999999996E-2</v>
      </c>
      <c r="P1261" s="3" t="s">
        <v>19</v>
      </c>
    </row>
    <row r="1262" spans="1:16" x14ac:dyDescent="0.35">
      <c r="A1262" s="3" t="s">
        <v>40</v>
      </c>
      <c r="B1262" s="3" t="str">
        <f>INDEX(State_Region!$B$2:$B$26,MATCH(TRIM(A1262),State_Region!$A$2:$A$26,0))</f>
        <v>South</v>
      </c>
      <c r="C1262" s="3" t="s">
        <v>211</v>
      </c>
      <c r="D1262" s="3" t="str">
        <f>INDEX(Port_Type!$B$2:$B$227,MATCH(TRIM(C1262),Port_Type!$A$2:$A$227,0))</f>
        <v>Air Cargo</v>
      </c>
      <c r="E1262" s="3" t="s">
        <v>39</v>
      </c>
      <c r="F1262" s="3" t="str">
        <f>INDEX(Product_Category!$B$2:$B$45,MATCH(TRIM(E1262),Product_Category!$A$2:$A$45,0))</f>
        <v>Processed Foods</v>
      </c>
      <c r="G1262" s="4">
        <v>0.11</v>
      </c>
      <c r="H1262" s="4">
        <v>0.24</v>
      </c>
      <c r="I1262" s="4">
        <v>0.04</v>
      </c>
      <c r="J1262" s="4">
        <v>44.87</v>
      </c>
      <c r="K1262" s="4">
        <v>49.89</v>
      </c>
      <c r="L1262" s="4">
        <v>8.36</v>
      </c>
      <c r="M1262" s="4">
        <f t="shared" si="57"/>
        <v>0.13</v>
      </c>
      <c r="N1262" s="4">
        <f t="shared" si="58"/>
        <v>5.0200000000000031</v>
      </c>
      <c r="O1262" s="4">
        <f t="shared" si="59"/>
        <v>-0.19999999999999998</v>
      </c>
      <c r="P1262" s="3" t="s">
        <v>19</v>
      </c>
    </row>
    <row r="1263" spans="1:16" x14ac:dyDescent="0.35">
      <c r="A1263" s="3" t="s">
        <v>23</v>
      </c>
      <c r="B1263" s="3" t="str">
        <f>INDEX(State_Region!$B$2:$B$26,MATCH(TRIM(A1263),State_Region!$A$2:$A$26,0))</f>
        <v>North</v>
      </c>
      <c r="C1263" s="3" t="s">
        <v>123</v>
      </c>
      <c r="D1263" s="3" t="str">
        <f>INDEX(Port_Type!$B$2:$B$227,MATCH(TRIM(C1263),Port_Type!$A$2:$A$227,0))</f>
        <v>Land Border / Rail</v>
      </c>
      <c r="E1263" s="3" t="s">
        <v>126</v>
      </c>
      <c r="F1263" s="3" t="str">
        <f>INDEX(Product_Category!$B$2:$B$45,MATCH(TRIM(E1263),Product_Category!$A$2:$A$45,0))</f>
        <v>Cereals &amp; Grains</v>
      </c>
      <c r="G1263" s="4">
        <v>0.09</v>
      </c>
      <c r="H1263" s="4">
        <v>0.23</v>
      </c>
      <c r="I1263" s="4">
        <v>0.04</v>
      </c>
      <c r="J1263" s="4">
        <v>257.94</v>
      </c>
      <c r="K1263" s="4">
        <v>753.72</v>
      </c>
      <c r="L1263" s="4">
        <v>141.04</v>
      </c>
      <c r="M1263" s="4">
        <f t="shared" si="57"/>
        <v>0.14000000000000001</v>
      </c>
      <c r="N1263" s="4">
        <f t="shared" si="58"/>
        <v>495.78000000000003</v>
      </c>
      <c r="O1263" s="4">
        <f t="shared" si="59"/>
        <v>-0.19</v>
      </c>
      <c r="P1263" s="3" t="s">
        <v>19</v>
      </c>
    </row>
    <row r="1264" spans="1:16" x14ac:dyDescent="0.35">
      <c r="A1264" s="3" t="s">
        <v>20</v>
      </c>
      <c r="B1264" s="3" t="str">
        <f>INDEX(State_Region!$B$2:$B$26,MATCH(TRIM(A1264),State_Region!$A$2:$A$26,0))</f>
        <v>West</v>
      </c>
      <c r="C1264" s="3" t="s">
        <v>134</v>
      </c>
      <c r="D1264" s="3" t="str">
        <f>INDEX(Port_Type!$B$2:$B$227,MATCH(TRIM(C1264),Port_Type!$A$2:$A$227,0))</f>
        <v>Inland ICD / CFS</v>
      </c>
      <c r="E1264" s="3" t="s">
        <v>48</v>
      </c>
      <c r="F1264" s="3" t="str">
        <f>INDEX(Product_Category!$B$2:$B$45,MATCH(TRIM(E1264),Product_Category!$A$2:$A$45,0))</f>
        <v>Processed Foods</v>
      </c>
      <c r="G1264" s="4">
        <v>0</v>
      </c>
      <c r="H1264" s="4">
        <v>0.12</v>
      </c>
      <c r="I1264" s="4">
        <v>0.04</v>
      </c>
      <c r="J1264" s="4">
        <v>0</v>
      </c>
      <c r="K1264" s="4">
        <v>79.430000000000007</v>
      </c>
      <c r="L1264" s="4">
        <v>28.75</v>
      </c>
      <c r="M1264" s="4">
        <f t="shared" si="57"/>
        <v>0.12</v>
      </c>
      <c r="N1264" s="4">
        <f t="shared" si="58"/>
        <v>79.430000000000007</v>
      </c>
      <c r="O1264" s="4">
        <f t="shared" si="59"/>
        <v>-7.9999999999999988E-2</v>
      </c>
      <c r="P1264" s="3" t="s">
        <v>19</v>
      </c>
    </row>
    <row r="1265" spans="1:16" x14ac:dyDescent="0.35">
      <c r="A1265" s="3" t="s">
        <v>16</v>
      </c>
      <c r="B1265" s="3" t="str">
        <f>INDEX(State_Region!$B$2:$B$26,MATCH(TRIM(A1265),State_Region!$A$2:$A$26,0))</f>
        <v>West</v>
      </c>
      <c r="C1265" s="3" t="s">
        <v>105</v>
      </c>
      <c r="D1265" s="3" t="str">
        <f>INDEX(Port_Type!$B$2:$B$227,MATCH(TRIM(C1265),Port_Type!$A$2:$A$227,0))</f>
        <v>SEZ / EPZ</v>
      </c>
      <c r="E1265" s="3" t="s">
        <v>102</v>
      </c>
      <c r="F1265" s="3" t="str">
        <f>INDEX(Product_Category!$B$2:$B$45,MATCH(TRIM(E1265),Product_Category!$A$2:$A$45,0))</f>
        <v>Fresh Fruits &amp; Vegetables</v>
      </c>
      <c r="G1265" s="4">
        <v>0.03</v>
      </c>
      <c r="H1265" s="4">
        <v>0</v>
      </c>
      <c r="I1265" s="4">
        <v>0.04</v>
      </c>
      <c r="J1265" s="4">
        <v>104.64</v>
      </c>
      <c r="K1265" s="4">
        <v>0</v>
      </c>
      <c r="L1265" s="4">
        <v>45.19</v>
      </c>
      <c r="M1265" s="4">
        <f t="shared" si="57"/>
        <v>-0.03</v>
      </c>
      <c r="N1265" s="4">
        <f t="shared" si="58"/>
        <v>-104.64</v>
      </c>
      <c r="O1265" s="4">
        <f t="shared" si="59"/>
        <v>0.04</v>
      </c>
      <c r="P1265" s="3" t="s">
        <v>19</v>
      </c>
    </row>
    <row r="1266" spans="1:16" x14ac:dyDescent="0.35">
      <c r="A1266" s="3" t="s">
        <v>77</v>
      </c>
      <c r="B1266" s="3" t="str">
        <f>INDEX(State_Region!$B$2:$B$26,MATCH(TRIM(A1266),State_Region!$A$2:$A$26,0))</f>
        <v>South</v>
      </c>
      <c r="C1266" s="3" t="s">
        <v>78</v>
      </c>
      <c r="D1266" s="3" t="str">
        <f>INDEX(Port_Type!$B$2:$B$227,MATCH(TRIM(C1266),Port_Type!$A$2:$A$227,0))</f>
        <v>Sea Port</v>
      </c>
      <c r="E1266" s="3" t="s">
        <v>18</v>
      </c>
      <c r="F1266" s="3" t="str">
        <f>INDEX(Product_Category!$B$2:$B$45,MATCH(TRIM(E1266),Product_Category!$A$2:$A$45,0))</f>
        <v>Cereals &amp; Grains</v>
      </c>
      <c r="G1266" s="4">
        <v>0.26</v>
      </c>
      <c r="H1266" s="4">
        <v>0.09</v>
      </c>
      <c r="I1266" s="4">
        <v>0.04</v>
      </c>
      <c r="J1266" s="4">
        <v>202.25</v>
      </c>
      <c r="K1266" s="4">
        <v>80.67</v>
      </c>
      <c r="L1266" s="4">
        <v>28.03</v>
      </c>
      <c r="M1266" s="4">
        <f t="shared" si="57"/>
        <v>-0.17</v>
      </c>
      <c r="N1266" s="4">
        <f t="shared" si="58"/>
        <v>-121.58</v>
      </c>
      <c r="O1266" s="4">
        <f t="shared" si="59"/>
        <v>-4.9999999999999996E-2</v>
      </c>
      <c r="P1266" s="3" t="s">
        <v>19</v>
      </c>
    </row>
    <row r="1267" spans="1:16" x14ac:dyDescent="0.35">
      <c r="A1267" s="3" t="s">
        <v>40</v>
      </c>
      <c r="B1267" s="3" t="str">
        <f>INDEX(State_Region!$B$2:$B$26,MATCH(TRIM(A1267),State_Region!$A$2:$A$26,0))</f>
        <v>South</v>
      </c>
      <c r="C1267" s="3" t="s">
        <v>64</v>
      </c>
      <c r="D1267" s="3" t="str">
        <f>INDEX(Port_Type!$B$2:$B$227,MATCH(TRIM(C1267),Port_Type!$A$2:$A$227,0))</f>
        <v>Inland ICD / CFS</v>
      </c>
      <c r="E1267" s="3" t="s">
        <v>65</v>
      </c>
      <c r="F1267" s="3" t="str">
        <f>INDEX(Product_Category!$B$2:$B$45,MATCH(TRIM(E1267),Product_Category!$A$2:$A$45,0))</f>
        <v>Cereals &amp; Grains</v>
      </c>
      <c r="G1267" s="4">
        <v>0.01</v>
      </c>
      <c r="H1267" s="4">
        <v>0.11</v>
      </c>
      <c r="I1267" s="4">
        <v>0.04</v>
      </c>
      <c r="J1267" s="4">
        <v>5.81</v>
      </c>
      <c r="K1267" s="4">
        <v>92.42</v>
      </c>
      <c r="L1267" s="4">
        <v>37.1</v>
      </c>
      <c r="M1267" s="4">
        <f t="shared" si="57"/>
        <v>0.1</v>
      </c>
      <c r="N1267" s="4">
        <f t="shared" si="58"/>
        <v>86.61</v>
      </c>
      <c r="O1267" s="4">
        <f t="shared" si="59"/>
        <v>-7.0000000000000007E-2</v>
      </c>
      <c r="P1267" s="3" t="s">
        <v>19</v>
      </c>
    </row>
    <row r="1268" spans="1:16" x14ac:dyDescent="0.35">
      <c r="A1268" s="3" t="s">
        <v>66</v>
      </c>
      <c r="B1268" s="3" t="str">
        <f>INDEX(State_Region!$B$2:$B$26,MATCH(TRIM(A1268),State_Region!$A$2:$A$26,0))</f>
        <v>North</v>
      </c>
      <c r="C1268" s="3" t="s">
        <v>108</v>
      </c>
      <c r="D1268" s="3" t="str">
        <f>INDEX(Port_Type!$B$2:$B$227,MATCH(TRIM(C1268),Port_Type!$A$2:$A$227,0))</f>
        <v>Inland ICD / CFS</v>
      </c>
      <c r="E1268" s="3" t="s">
        <v>53</v>
      </c>
      <c r="F1268" s="3" t="str">
        <f>INDEX(Product_Category!$B$2:$B$45,MATCH(TRIM(E1268),Product_Category!$A$2:$A$45,0))</f>
        <v>Processed Foods</v>
      </c>
      <c r="G1268" s="4">
        <v>1.22</v>
      </c>
      <c r="H1268" s="4">
        <v>0.6</v>
      </c>
      <c r="I1268" s="4">
        <v>0.04</v>
      </c>
      <c r="J1268" s="4">
        <v>1099.98</v>
      </c>
      <c r="K1268" s="4">
        <v>510.25</v>
      </c>
      <c r="L1268" s="4">
        <v>57.67</v>
      </c>
      <c r="M1268" s="4">
        <f t="shared" si="57"/>
        <v>-0.62</v>
      </c>
      <c r="N1268" s="4">
        <f t="shared" si="58"/>
        <v>-589.73</v>
      </c>
      <c r="O1268" s="4">
        <f t="shared" si="59"/>
        <v>-0.55999999999999994</v>
      </c>
      <c r="P1268" s="3" t="s">
        <v>19</v>
      </c>
    </row>
    <row r="1269" spans="1:16" x14ac:dyDescent="0.35">
      <c r="A1269" s="3" t="s">
        <v>86</v>
      </c>
      <c r="B1269" s="3" t="str">
        <f>INDEX(State_Region!$B$2:$B$26,MATCH(TRIM(A1269),State_Region!$A$2:$A$26,0))</f>
        <v>North</v>
      </c>
      <c r="C1269" s="3" t="s">
        <v>207</v>
      </c>
      <c r="D1269" s="3" t="str">
        <f>INDEX(Port_Type!$B$2:$B$227,MATCH(TRIM(C1269),Port_Type!$A$2:$A$227,0))</f>
        <v>Inland ICD / CFS</v>
      </c>
      <c r="E1269" s="3" t="s">
        <v>27</v>
      </c>
      <c r="F1269" s="3" t="str">
        <f>INDEX(Product_Category!$B$2:$B$45,MATCH(TRIM(E1269),Product_Category!$A$2:$A$45,0))</f>
        <v>Cereals &amp; Grains</v>
      </c>
      <c r="G1269" s="4">
        <v>0</v>
      </c>
      <c r="H1269" s="4">
        <v>0.01</v>
      </c>
      <c r="I1269" s="4">
        <v>0.04</v>
      </c>
      <c r="J1269" s="4">
        <v>0.1</v>
      </c>
      <c r="K1269" s="4">
        <v>5.63</v>
      </c>
      <c r="L1269" s="4">
        <v>30.22</v>
      </c>
      <c r="M1269" s="4">
        <f t="shared" si="57"/>
        <v>0.01</v>
      </c>
      <c r="N1269" s="4">
        <f t="shared" si="58"/>
        <v>5.53</v>
      </c>
      <c r="O1269" s="4">
        <f t="shared" si="59"/>
        <v>0.03</v>
      </c>
      <c r="P1269" s="3" t="s">
        <v>19</v>
      </c>
    </row>
    <row r="1270" spans="1:16" x14ac:dyDescent="0.35">
      <c r="A1270" s="3" t="s">
        <v>189</v>
      </c>
      <c r="B1270" s="3" t="str">
        <f>INDEX(State_Region!$B$2:$B$26,MATCH(TRIM(A1270),State_Region!$A$2:$A$26,0))</f>
        <v>North</v>
      </c>
      <c r="C1270" s="3" t="s">
        <v>190</v>
      </c>
      <c r="D1270" s="3" t="str">
        <f>INDEX(Port_Type!$B$2:$B$227,MATCH(TRIM(C1270),Port_Type!$A$2:$A$227,0))</f>
        <v>Inland ICD / CFS</v>
      </c>
      <c r="E1270" s="3" t="s">
        <v>59</v>
      </c>
      <c r="F1270" s="3" t="str">
        <f>INDEX(Product_Category!$B$2:$B$45,MATCH(TRIM(E1270),Product_Category!$A$2:$A$45,0))</f>
        <v>Processed Foods</v>
      </c>
      <c r="G1270" s="4">
        <v>0.51</v>
      </c>
      <c r="H1270" s="4">
        <v>0.13</v>
      </c>
      <c r="I1270" s="4">
        <v>0.04</v>
      </c>
      <c r="J1270" s="4">
        <v>294.83</v>
      </c>
      <c r="K1270" s="4">
        <v>77.61</v>
      </c>
      <c r="L1270" s="4">
        <v>20.94</v>
      </c>
      <c r="M1270" s="4">
        <f t="shared" si="57"/>
        <v>-0.38</v>
      </c>
      <c r="N1270" s="4">
        <f t="shared" si="58"/>
        <v>-217.21999999999997</v>
      </c>
      <c r="O1270" s="4">
        <f t="shared" si="59"/>
        <v>-0.09</v>
      </c>
      <c r="P1270" s="3" t="s">
        <v>19</v>
      </c>
    </row>
    <row r="1271" spans="1:16" x14ac:dyDescent="0.35">
      <c r="A1271" s="3" t="s">
        <v>77</v>
      </c>
      <c r="B1271" s="3" t="str">
        <f>INDEX(State_Region!$B$2:$B$26,MATCH(TRIM(A1271),State_Region!$A$2:$A$26,0))</f>
        <v>South</v>
      </c>
      <c r="C1271" s="3" t="s">
        <v>149</v>
      </c>
      <c r="D1271" s="3" t="str">
        <f>INDEX(Port_Type!$B$2:$B$227,MATCH(TRIM(C1271),Port_Type!$A$2:$A$227,0))</f>
        <v>SEZ / EPZ</v>
      </c>
      <c r="E1271" s="3" t="s">
        <v>39</v>
      </c>
      <c r="F1271" s="3" t="str">
        <f>INDEX(Product_Category!$B$2:$B$45,MATCH(TRIM(E1271),Product_Category!$A$2:$A$45,0))</f>
        <v>Processed Foods</v>
      </c>
      <c r="G1271" s="4">
        <v>0.14000000000000001</v>
      </c>
      <c r="H1271" s="4">
        <v>0.11</v>
      </c>
      <c r="I1271" s="4">
        <v>0.04</v>
      </c>
      <c r="J1271" s="4">
        <v>44.47</v>
      </c>
      <c r="K1271" s="4">
        <v>38.729999999999997</v>
      </c>
      <c r="L1271" s="4">
        <v>11.14</v>
      </c>
      <c r="M1271" s="4">
        <f t="shared" si="57"/>
        <v>-3.0000000000000013E-2</v>
      </c>
      <c r="N1271" s="4">
        <f t="shared" si="58"/>
        <v>-5.740000000000002</v>
      </c>
      <c r="O1271" s="4">
        <f t="shared" si="59"/>
        <v>-7.0000000000000007E-2</v>
      </c>
      <c r="P1271" s="3" t="s">
        <v>19</v>
      </c>
    </row>
    <row r="1272" spans="1:16" x14ac:dyDescent="0.35">
      <c r="A1272" s="3" t="s">
        <v>40</v>
      </c>
      <c r="B1272" s="3" t="str">
        <f>INDEX(State_Region!$B$2:$B$26,MATCH(TRIM(A1272),State_Region!$A$2:$A$26,0))</f>
        <v>South</v>
      </c>
      <c r="C1272" s="3" t="s">
        <v>41</v>
      </c>
      <c r="D1272" s="3" t="str">
        <f>INDEX(Port_Type!$B$2:$B$227,MATCH(TRIM(C1272),Port_Type!$A$2:$A$227,0))</f>
        <v>Sea Port</v>
      </c>
      <c r="E1272" s="3" t="s">
        <v>179</v>
      </c>
      <c r="F1272" s="3" t="str">
        <f>INDEX(Product_Category!$B$2:$B$45,MATCH(TRIM(E1272),Product_Category!$A$2:$A$45,0))</f>
        <v>Nuts &amp; Oilseeds</v>
      </c>
      <c r="G1272" s="4">
        <v>0.01</v>
      </c>
      <c r="H1272" s="4">
        <v>0.01</v>
      </c>
      <c r="I1272" s="4">
        <v>0.04</v>
      </c>
      <c r="J1272" s="4">
        <v>1.61</v>
      </c>
      <c r="K1272" s="4">
        <v>0.56999999999999995</v>
      </c>
      <c r="L1272" s="4">
        <v>3.74</v>
      </c>
      <c r="M1272" s="4">
        <f t="shared" si="57"/>
        <v>0</v>
      </c>
      <c r="N1272" s="4">
        <f t="shared" si="58"/>
        <v>-1.04</v>
      </c>
      <c r="O1272" s="4">
        <f t="shared" si="59"/>
        <v>0.03</v>
      </c>
      <c r="P1272" s="3" t="s">
        <v>19</v>
      </c>
    </row>
    <row r="1273" spans="1:16" x14ac:dyDescent="0.35">
      <c r="A1273" s="3" t="s">
        <v>31</v>
      </c>
      <c r="B1273" s="3" t="str">
        <f>INDEX(State_Region!$B$2:$B$26,MATCH(TRIM(A1273),State_Region!$A$2:$A$26,0))</f>
        <v>East</v>
      </c>
      <c r="C1273" s="3" t="s">
        <v>215</v>
      </c>
      <c r="D1273" s="3" t="str">
        <f>INDEX(Port_Type!$B$2:$B$227,MATCH(TRIM(C1273),Port_Type!$A$2:$A$227,0))</f>
        <v>Land Border / Rail</v>
      </c>
      <c r="E1273" s="3" t="s">
        <v>48</v>
      </c>
      <c r="F1273" s="3" t="str">
        <f>INDEX(Product_Category!$B$2:$B$45,MATCH(TRIM(E1273),Product_Category!$A$2:$A$45,0))</f>
        <v>Processed Foods</v>
      </c>
      <c r="G1273" s="4">
        <v>0.14000000000000001</v>
      </c>
      <c r="H1273" s="4">
        <v>0.09</v>
      </c>
      <c r="I1273" s="4">
        <v>0.04</v>
      </c>
      <c r="J1273" s="4">
        <v>65.89</v>
      </c>
      <c r="K1273" s="4">
        <v>31.45</v>
      </c>
      <c r="L1273" s="4">
        <v>11.84</v>
      </c>
      <c r="M1273" s="4">
        <f t="shared" si="57"/>
        <v>-5.0000000000000017E-2</v>
      </c>
      <c r="N1273" s="4">
        <f t="shared" si="58"/>
        <v>-34.44</v>
      </c>
      <c r="O1273" s="4">
        <f t="shared" si="59"/>
        <v>-4.9999999999999996E-2</v>
      </c>
      <c r="P1273" s="3" t="s">
        <v>19</v>
      </c>
    </row>
    <row r="1274" spans="1:16" x14ac:dyDescent="0.35">
      <c r="A1274" s="3" t="s">
        <v>16</v>
      </c>
      <c r="B1274" s="3" t="str">
        <f>INDEX(State_Region!$B$2:$B$26,MATCH(TRIM(A1274),State_Region!$A$2:$A$26,0))</f>
        <v>West</v>
      </c>
      <c r="C1274" s="3" t="s">
        <v>52</v>
      </c>
      <c r="D1274" s="3" t="str">
        <f>INDEX(Port_Type!$B$2:$B$227,MATCH(TRIM(C1274),Port_Type!$A$2:$A$227,0))</f>
        <v>Sea Port</v>
      </c>
      <c r="E1274" s="3" t="s">
        <v>126</v>
      </c>
      <c r="F1274" s="3" t="str">
        <f>INDEX(Product_Category!$B$2:$B$45,MATCH(TRIM(E1274),Product_Category!$A$2:$A$45,0))</f>
        <v>Cereals &amp; Grains</v>
      </c>
      <c r="G1274" s="4">
        <v>0.12</v>
      </c>
      <c r="H1274" s="4">
        <v>0.01</v>
      </c>
      <c r="I1274" s="4">
        <v>0.04</v>
      </c>
      <c r="J1274" s="4">
        <v>14.56</v>
      </c>
      <c r="K1274" s="4">
        <v>8</v>
      </c>
      <c r="L1274" s="4">
        <v>16</v>
      </c>
      <c r="M1274" s="4">
        <f t="shared" si="57"/>
        <v>-0.11</v>
      </c>
      <c r="N1274" s="4">
        <f t="shared" si="58"/>
        <v>-6.5600000000000005</v>
      </c>
      <c r="O1274" s="4">
        <f t="shared" si="59"/>
        <v>0.03</v>
      </c>
      <c r="P1274" s="3" t="s">
        <v>19</v>
      </c>
    </row>
    <row r="1275" spans="1:16" x14ac:dyDescent="0.35">
      <c r="A1275" s="3" t="s">
        <v>79</v>
      </c>
      <c r="B1275" s="3" t="str">
        <f>INDEX(State_Region!$B$2:$B$26,MATCH(TRIM(A1275),State_Region!$A$2:$A$26,0))</f>
        <v>South</v>
      </c>
      <c r="C1275" s="3" t="s">
        <v>80</v>
      </c>
      <c r="D1275" s="3" t="str">
        <f>INDEX(Port_Type!$B$2:$B$227,MATCH(TRIM(C1275),Port_Type!$A$2:$A$227,0))</f>
        <v>Inland ICD / CFS</v>
      </c>
      <c r="E1275" s="3" t="s">
        <v>126</v>
      </c>
      <c r="F1275" s="3" t="str">
        <f>INDEX(Product_Category!$B$2:$B$45,MATCH(TRIM(E1275),Product_Category!$A$2:$A$45,0))</f>
        <v>Cereals &amp; Grains</v>
      </c>
      <c r="G1275" s="4">
        <v>1.19</v>
      </c>
      <c r="H1275" s="4">
        <v>0.24</v>
      </c>
      <c r="I1275" s="4">
        <v>0.04</v>
      </c>
      <c r="J1275" s="4">
        <v>1417.3</v>
      </c>
      <c r="K1275" s="4">
        <v>272.08</v>
      </c>
      <c r="L1275" s="4">
        <v>41.67</v>
      </c>
      <c r="M1275" s="4">
        <f t="shared" si="57"/>
        <v>-0.95</v>
      </c>
      <c r="N1275" s="4">
        <f t="shared" si="58"/>
        <v>-1145.22</v>
      </c>
      <c r="O1275" s="4">
        <f t="shared" si="59"/>
        <v>-0.19999999999999998</v>
      </c>
      <c r="P1275" s="3" t="s">
        <v>19</v>
      </c>
    </row>
    <row r="1276" spans="1:16" x14ac:dyDescent="0.35">
      <c r="A1276" s="3" t="s">
        <v>31</v>
      </c>
      <c r="B1276" s="3" t="str">
        <f>INDEX(State_Region!$B$2:$B$26,MATCH(TRIM(A1276),State_Region!$A$2:$A$26,0))</f>
        <v>East</v>
      </c>
      <c r="C1276" s="3" t="s">
        <v>131</v>
      </c>
      <c r="D1276" s="3" t="str">
        <f>INDEX(Port_Type!$B$2:$B$227,MATCH(TRIM(C1276),Port_Type!$A$2:$A$227,0))</f>
        <v>Land Border / Rail</v>
      </c>
      <c r="E1276" s="3" t="s">
        <v>51</v>
      </c>
      <c r="F1276" s="3" t="str">
        <f>INDEX(Product_Category!$B$2:$B$45,MATCH(TRIM(E1276),Product_Category!$A$2:$A$45,0))</f>
        <v>Nuts &amp; Oilseeds</v>
      </c>
      <c r="G1276" s="4">
        <v>0.05</v>
      </c>
      <c r="H1276" s="4">
        <v>0.08</v>
      </c>
      <c r="I1276" s="4">
        <v>0.04</v>
      </c>
      <c r="J1276" s="4">
        <v>34.409999999999997</v>
      </c>
      <c r="K1276" s="4">
        <v>68.84</v>
      </c>
      <c r="L1276" s="4">
        <v>25.54</v>
      </c>
      <c r="M1276" s="4">
        <f t="shared" si="57"/>
        <v>0.03</v>
      </c>
      <c r="N1276" s="4">
        <f t="shared" si="58"/>
        <v>34.430000000000007</v>
      </c>
      <c r="O1276" s="4">
        <f t="shared" si="59"/>
        <v>-0.04</v>
      </c>
      <c r="P1276" s="3" t="s">
        <v>19</v>
      </c>
    </row>
    <row r="1277" spans="1:16" x14ac:dyDescent="0.35">
      <c r="A1277" s="3" t="s">
        <v>86</v>
      </c>
      <c r="B1277" s="3" t="str">
        <f>INDEX(State_Region!$B$2:$B$26,MATCH(TRIM(A1277),State_Region!$A$2:$A$26,0))</f>
        <v>North</v>
      </c>
      <c r="C1277" s="3" t="s">
        <v>87</v>
      </c>
      <c r="D1277" s="3" t="str">
        <f>INDEX(Port_Type!$B$2:$B$227,MATCH(TRIM(C1277),Port_Type!$A$2:$A$227,0))</f>
        <v>Air Cargo</v>
      </c>
      <c r="E1277" s="3" t="s">
        <v>84</v>
      </c>
      <c r="F1277" s="3" t="str">
        <f>INDEX(Product_Category!$B$2:$B$45,MATCH(TRIM(E1277),Product_Category!$A$2:$A$45,0))</f>
        <v>Nuts &amp; Oilseeds</v>
      </c>
      <c r="G1277" s="4">
        <v>0</v>
      </c>
      <c r="H1277" s="4">
        <v>0</v>
      </c>
      <c r="I1277" s="4">
        <v>0.04</v>
      </c>
      <c r="J1277" s="4">
        <v>0.05</v>
      </c>
      <c r="K1277" s="4">
        <v>0.04</v>
      </c>
      <c r="L1277" s="4">
        <v>3.01</v>
      </c>
      <c r="M1277" s="4">
        <f t="shared" si="57"/>
        <v>0</v>
      </c>
      <c r="N1277" s="4">
        <f t="shared" si="58"/>
        <v>-1.0000000000000002E-2</v>
      </c>
      <c r="O1277" s="4">
        <f t="shared" si="59"/>
        <v>0.04</v>
      </c>
      <c r="P1277" s="3" t="s">
        <v>19</v>
      </c>
    </row>
    <row r="1278" spans="1:16" x14ac:dyDescent="0.35">
      <c r="A1278" s="3" t="s">
        <v>129</v>
      </c>
      <c r="B1278" s="3" t="str">
        <f>INDEX(State_Region!$B$2:$B$26,MATCH(TRIM(A1278),State_Region!$A$2:$A$26,0))</f>
        <v>East</v>
      </c>
      <c r="C1278" s="3" t="s">
        <v>147</v>
      </c>
      <c r="D1278" s="3" t="str">
        <f>INDEX(Port_Type!$B$2:$B$227,MATCH(TRIM(C1278),Port_Type!$A$2:$A$227,0))</f>
        <v>Land Border / Rail</v>
      </c>
      <c r="E1278" s="3" t="s">
        <v>126</v>
      </c>
      <c r="F1278" s="3" t="str">
        <f>INDEX(Product_Category!$B$2:$B$45,MATCH(TRIM(E1278),Product_Category!$A$2:$A$45,0))</f>
        <v>Cereals &amp; Grains</v>
      </c>
      <c r="G1278" s="4">
        <v>0.09</v>
      </c>
      <c r="H1278" s="4">
        <v>0.06</v>
      </c>
      <c r="I1278" s="4">
        <v>0.03</v>
      </c>
      <c r="J1278" s="4">
        <v>339.09</v>
      </c>
      <c r="K1278" s="4">
        <v>210.38</v>
      </c>
      <c r="L1278" s="4">
        <v>123</v>
      </c>
      <c r="M1278" s="4">
        <f t="shared" si="57"/>
        <v>-0.03</v>
      </c>
      <c r="N1278" s="4">
        <f t="shared" si="58"/>
        <v>-128.70999999999998</v>
      </c>
      <c r="O1278" s="4">
        <f t="shared" si="59"/>
        <v>-0.03</v>
      </c>
      <c r="P1278" s="3" t="s">
        <v>19</v>
      </c>
    </row>
    <row r="1279" spans="1:16" x14ac:dyDescent="0.35">
      <c r="A1279" s="3" t="s">
        <v>66</v>
      </c>
      <c r="B1279" s="3" t="str">
        <f>INDEX(State_Region!$B$2:$B$26,MATCH(TRIM(A1279),State_Region!$A$2:$A$26,0))</f>
        <v>North</v>
      </c>
      <c r="C1279" s="3" t="s">
        <v>67</v>
      </c>
      <c r="D1279" s="3" t="str">
        <f>INDEX(Port_Type!$B$2:$B$227,MATCH(TRIM(C1279),Port_Type!$A$2:$A$227,0))</f>
        <v>Inland ICD / CFS</v>
      </c>
      <c r="E1279" s="3" t="s">
        <v>42</v>
      </c>
      <c r="F1279" s="3" t="str">
        <f>INDEX(Product_Category!$B$2:$B$45,MATCH(TRIM(E1279),Product_Category!$A$2:$A$45,0))</f>
        <v>Processed Foods</v>
      </c>
      <c r="G1279" s="4">
        <v>0</v>
      </c>
      <c r="H1279" s="4">
        <v>0.59</v>
      </c>
      <c r="I1279" s="4">
        <v>0.03</v>
      </c>
      <c r="J1279" s="4">
        <v>0</v>
      </c>
      <c r="K1279" s="4">
        <v>131.09</v>
      </c>
      <c r="L1279" s="4">
        <v>8</v>
      </c>
      <c r="M1279" s="4">
        <f t="shared" si="57"/>
        <v>0.59</v>
      </c>
      <c r="N1279" s="4">
        <f t="shared" si="58"/>
        <v>131.09</v>
      </c>
      <c r="O1279" s="4">
        <f t="shared" si="59"/>
        <v>-0.55999999999999994</v>
      </c>
      <c r="P1279" s="3" t="s">
        <v>19</v>
      </c>
    </row>
    <row r="1280" spans="1:16" x14ac:dyDescent="0.35">
      <c r="A1280" s="3" t="s">
        <v>49</v>
      </c>
      <c r="B1280" s="3" t="str">
        <f>INDEX(State_Region!$B$2:$B$26,MATCH(TRIM(A1280),State_Region!$A$2:$A$26,0))</f>
        <v>North</v>
      </c>
      <c r="C1280" s="3" t="s">
        <v>163</v>
      </c>
      <c r="D1280" s="3" t="str">
        <f>INDEX(Port_Type!$B$2:$B$227,MATCH(TRIM(C1280),Port_Type!$A$2:$A$227,0))</f>
        <v>Inland ICD / CFS</v>
      </c>
      <c r="E1280" s="3" t="s">
        <v>39</v>
      </c>
      <c r="F1280" s="3" t="str">
        <f>INDEX(Product_Category!$B$2:$B$45,MATCH(TRIM(E1280),Product_Category!$A$2:$A$45,0))</f>
        <v>Processed Foods</v>
      </c>
      <c r="G1280" s="4">
        <v>0</v>
      </c>
      <c r="H1280" s="4">
        <v>0</v>
      </c>
      <c r="I1280" s="4">
        <v>0.03</v>
      </c>
      <c r="J1280" s="4">
        <v>0</v>
      </c>
      <c r="K1280" s="4">
        <v>0</v>
      </c>
      <c r="L1280" s="4">
        <v>19.670000000000002</v>
      </c>
      <c r="M1280" s="4">
        <f t="shared" si="57"/>
        <v>0</v>
      </c>
      <c r="N1280" s="4">
        <f t="shared" si="58"/>
        <v>0</v>
      </c>
      <c r="O1280" s="4">
        <f t="shared" si="59"/>
        <v>0.03</v>
      </c>
      <c r="P1280" s="3" t="s">
        <v>19</v>
      </c>
    </row>
    <row r="1281" spans="1:16" x14ac:dyDescent="0.35">
      <c r="A1281" s="3" t="s">
        <v>20</v>
      </c>
      <c r="B1281" s="3" t="str">
        <f>INDEX(State_Region!$B$2:$B$26,MATCH(TRIM(A1281),State_Region!$A$2:$A$26,0))</f>
        <v>West</v>
      </c>
      <c r="C1281" s="3" t="s">
        <v>134</v>
      </c>
      <c r="D1281" s="3" t="str">
        <f>INDEX(Port_Type!$B$2:$B$227,MATCH(TRIM(C1281),Port_Type!$A$2:$A$227,0))</f>
        <v>Inland ICD / CFS</v>
      </c>
      <c r="E1281" s="3" t="s">
        <v>170</v>
      </c>
      <c r="F1281" s="3" t="str">
        <f>INDEX(Product_Category!$B$2:$B$45,MATCH(TRIM(E1281),Product_Category!$A$2:$A$45,0))</f>
        <v>Others</v>
      </c>
      <c r="G1281" s="4">
        <v>0</v>
      </c>
      <c r="H1281" s="4">
        <v>0.02</v>
      </c>
      <c r="I1281" s="4">
        <v>0.03</v>
      </c>
      <c r="J1281" s="4">
        <v>0</v>
      </c>
      <c r="K1281" s="4">
        <v>2.73</v>
      </c>
      <c r="L1281" s="4">
        <v>3.87</v>
      </c>
      <c r="M1281" s="4">
        <f t="shared" si="57"/>
        <v>0.02</v>
      </c>
      <c r="N1281" s="4">
        <f t="shared" si="58"/>
        <v>2.73</v>
      </c>
      <c r="O1281" s="4">
        <f t="shared" si="59"/>
        <v>9.9999999999999985E-3</v>
      </c>
      <c r="P1281" s="3" t="s">
        <v>19</v>
      </c>
    </row>
    <row r="1282" spans="1:16" x14ac:dyDescent="0.35">
      <c r="A1282" s="3" t="s">
        <v>35</v>
      </c>
      <c r="B1282" s="3" t="str">
        <f>INDEX(State_Region!$B$2:$B$26,MATCH(TRIM(A1282),State_Region!$A$2:$A$26,0))</f>
        <v>North</v>
      </c>
      <c r="C1282" s="3" t="s">
        <v>47</v>
      </c>
      <c r="D1282" s="3" t="str">
        <f>INDEX(Port_Type!$B$2:$B$227,MATCH(TRIM(C1282),Port_Type!$A$2:$A$227,0))</f>
        <v>Inland ICD / CFS</v>
      </c>
      <c r="E1282" s="3" t="s">
        <v>69</v>
      </c>
      <c r="F1282" s="3" t="str">
        <f>INDEX(Product_Category!$B$2:$B$45,MATCH(TRIM(E1282),Product_Category!$A$2:$A$45,0))</f>
        <v>Others</v>
      </c>
      <c r="G1282" s="4">
        <v>0.02</v>
      </c>
      <c r="H1282" s="4">
        <v>0</v>
      </c>
      <c r="I1282" s="4">
        <v>0.03</v>
      </c>
      <c r="J1282" s="4">
        <v>2.91</v>
      </c>
      <c r="K1282" s="4">
        <v>0.01</v>
      </c>
      <c r="L1282" s="4">
        <v>15.06</v>
      </c>
      <c r="M1282" s="4">
        <f t="shared" ref="M1282:M1345" si="60">H1282-G1282</f>
        <v>-0.02</v>
      </c>
      <c r="N1282" s="4">
        <f t="shared" ref="N1282:N1345" si="61">K1282-J1282</f>
        <v>-2.9000000000000004</v>
      </c>
      <c r="O1282" s="4">
        <f t="shared" ref="O1282:O1345" si="62">I1282-H1282</f>
        <v>0.03</v>
      </c>
      <c r="P1282" s="3" t="s">
        <v>19</v>
      </c>
    </row>
    <row r="1283" spans="1:16" x14ac:dyDescent="0.35">
      <c r="A1283" s="3" t="s">
        <v>79</v>
      </c>
      <c r="B1283" s="3" t="str">
        <f>INDEX(State_Region!$B$2:$B$26,MATCH(TRIM(A1283),State_Region!$A$2:$A$26,0))</f>
        <v>South</v>
      </c>
      <c r="C1283" s="3" t="s">
        <v>226</v>
      </c>
      <c r="D1283" s="3" t="str">
        <f>INDEX(Port_Type!$B$2:$B$227,MATCH(TRIM(C1283),Port_Type!$A$2:$A$227,0))</f>
        <v>Air Cargo</v>
      </c>
      <c r="E1283" s="3" t="s">
        <v>45</v>
      </c>
      <c r="F1283" s="3" t="str">
        <f>INDEX(Product_Category!$B$2:$B$45,MATCH(TRIM(E1283),Product_Category!$A$2:$A$45,0))</f>
        <v>Fresh Fruits &amp; Vegetables</v>
      </c>
      <c r="G1283" s="4">
        <v>0.48</v>
      </c>
      <c r="H1283" s="4">
        <v>0.5</v>
      </c>
      <c r="I1283" s="4">
        <v>0.03</v>
      </c>
      <c r="J1283" s="4">
        <v>476.61</v>
      </c>
      <c r="K1283" s="4">
        <v>442.63</v>
      </c>
      <c r="L1283" s="4">
        <v>21.77</v>
      </c>
      <c r="M1283" s="4">
        <f t="shared" si="60"/>
        <v>2.0000000000000018E-2</v>
      </c>
      <c r="N1283" s="4">
        <f t="shared" si="61"/>
        <v>-33.980000000000018</v>
      </c>
      <c r="O1283" s="4">
        <f t="shared" si="62"/>
        <v>-0.47</v>
      </c>
      <c r="P1283" s="3" t="s">
        <v>19</v>
      </c>
    </row>
    <row r="1284" spans="1:16" x14ac:dyDescent="0.35">
      <c r="A1284" s="3" t="s">
        <v>16</v>
      </c>
      <c r="B1284" s="3" t="str">
        <f>INDEX(State_Region!$B$2:$B$26,MATCH(TRIM(A1284),State_Region!$A$2:$A$26,0))</f>
        <v>West</v>
      </c>
      <c r="C1284" s="3" t="s">
        <v>240</v>
      </c>
      <c r="D1284" s="3" t="str">
        <f>INDEX(Port_Type!$B$2:$B$227,MATCH(TRIM(C1284),Port_Type!$A$2:$A$227,0))</f>
        <v>SEZ / EPZ</v>
      </c>
      <c r="E1284" s="3" t="s">
        <v>42</v>
      </c>
      <c r="F1284" s="3" t="str">
        <f>INDEX(Product_Category!$B$2:$B$45,MATCH(TRIM(E1284),Product_Category!$A$2:$A$45,0))</f>
        <v>Processed Foods</v>
      </c>
      <c r="G1284" s="4">
        <v>0</v>
      </c>
      <c r="H1284" s="4">
        <v>0</v>
      </c>
      <c r="I1284" s="4">
        <v>0.03</v>
      </c>
      <c r="J1284" s="4">
        <v>0</v>
      </c>
      <c r="K1284" s="4">
        <v>0</v>
      </c>
      <c r="L1284" s="4">
        <v>5.33</v>
      </c>
      <c r="M1284" s="4">
        <f t="shared" si="60"/>
        <v>0</v>
      </c>
      <c r="N1284" s="4">
        <f t="shared" si="61"/>
        <v>0</v>
      </c>
      <c r="O1284" s="4">
        <f t="shared" si="62"/>
        <v>0.03</v>
      </c>
      <c r="P1284" s="3" t="s">
        <v>19</v>
      </c>
    </row>
    <row r="1285" spans="1:16" x14ac:dyDescent="0.35">
      <c r="A1285" s="3" t="s">
        <v>74</v>
      </c>
      <c r="B1285" s="3" t="str">
        <f>INDEX(State_Region!$B$2:$B$26,MATCH(TRIM(A1285),State_Region!$A$2:$A$26,0))</f>
        <v>South</v>
      </c>
      <c r="C1285" s="3" t="s">
        <v>98</v>
      </c>
      <c r="D1285" s="3" t="str">
        <f>INDEX(Port_Type!$B$2:$B$227,MATCH(TRIM(C1285),Port_Type!$A$2:$A$227,0))</f>
        <v>Inland ICD / CFS</v>
      </c>
      <c r="E1285" s="3" t="s">
        <v>42</v>
      </c>
      <c r="F1285" s="3" t="str">
        <f>INDEX(Product_Category!$B$2:$B$45,MATCH(TRIM(E1285),Product_Category!$A$2:$A$45,0))</f>
        <v>Processed Foods</v>
      </c>
      <c r="G1285" s="4">
        <v>0</v>
      </c>
      <c r="H1285" s="4">
        <v>0.79</v>
      </c>
      <c r="I1285" s="4">
        <v>0.03</v>
      </c>
      <c r="J1285" s="4">
        <v>0</v>
      </c>
      <c r="K1285" s="4">
        <v>519.76</v>
      </c>
      <c r="L1285" s="4">
        <v>17.82</v>
      </c>
      <c r="M1285" s="4">
        <f t="shared" si="60"/>
        <v>0.79</v>
      </c>
      <c r="N1285" s="4">
        <f t="shared" si="61"/>
        <v>519.76</v>
      </c>
      <c r="O1285" s="4">
        <f t="shared" si="62"/>
        <v>-0.76</v>
      </c>
      <c r="P1285" s="3" t="s">
        <v>19</v>
      </c>
    </row>
    <row r="1286" spans="1:16" x14ac:dyDescent="0.35">
      <c r="A1286" s="3" t="s">
        <v>35</v>
      </c>
      <c r="B1286" s="3" t="str">
        <f>INDEX(State_Region!$B$2:$B$26,MATCH(TRIM(A1286),State_Region!$A$2:$A$26,0))</f>
        <v>North</v>
      </c>
      <c r="C1286" s="3" t="s">
        <v>165</v>
      </c>
      <c r="D1286" s="3" t="str">
        <f>INDEX(Port_Type!$B$2:$B$227,MATCH(TRIM(C1286),Port_Type!$A$2:$A$227,0))</f>
        <v>Inland ICD / CFS</v>
      </c>
      <c r="E1286" s="3" t="s">
        <v>27</v>
      </c>
      <c r="F1286" s="3" t="str">
        <f>INDEX(Product_Category!$B$2:$B$45,MATCH(TRIM(E1286),Product_Category!$A$2:$A$45,0))</f>
        <v>Cereals &amp; Grains</v>
      </c>
      <c r="G1286" s="4">
        <v>0</v>
      </c>
      <c r="H1286" s="4">
        <v>0.04</v>
      </c>
      <c r="I1286" s="4">
        <v>0.03</v>
      </c>
      <c r="J1286" s="4">
        <v>0.6</v>
      </c>
      <c r="K1286" s="4">
        <v>40.44</v>
      </c>
      <c r="L1286" s="4">
        <v>31.96</v>
      </c>
      <c r="M1286" s="4">
        <f t="shared" si="60"/>
        <v>0.04</v>
      </c>
      <c r="N1286" s="4">
        <f t="shared" si="61"/>
        <v>39.839999999999996</v>
      </c>
      <c r="O1286" s="4">
        <f t="shared" si="62"/>
        <v>-1.0000000000000002E-2</v>
      </c>
      <c r="P1286" s="3" t="s">
        <v>19</v>
      </c>
    </row>
    <row r="1287" spans="1:16" x14ac:dyDescent="0.35">
      <c r="A1287" s="3" t="s">
        <v>20</v>
      </c>
      <c r="B1287" s="3" t="str">
        <f>INDEX(State_Region!$B$2:$B$26,MATCH(TRIM(A1287),State_Region!$A$2:$A$26,0))</f>
        <v>West</v>
      </c>
      <c r="C1287" s="3" t="s">
        <v>68</v>
      </c>
      <c r="D1287" s="3" t="str">
        <f>INDEX(Port_Type!$B$2:$B$227,MATCH(TRIM(C1287),Port_Type!$A$2:$A$227,0))</f>
        <v>Air Cargo</v>
      </c>
      <c r="E1287" s="3" t="s">
        <v>84</v>
      </c>
      <c r="F1287" s="3" t="str">
        <f>INDEX(Product_Category!$B$2:$B$45,MATCH(TRIM(E1287),Product_Category!$A$2:$A$45,0))</f>
        <v>Nuts &amp; Oilseeds</v>
      </c>
      <c r="G1287" s="4">
        <v>0.03</v>
      </c>
      <c r="H1287" s="4">
        <v>0</v>
      </c>
      <c r="I1287" s="4">
        <v>0.03</v>
      </c>
      <c r="J1287" s="4">
        <v>2.65</v>
      </c>
      <c r="K1287" s="4">
        <v>0.05</v>
      </c>
      <c r="L1287" s="4">
        <v>3.7</v>
      </c>
      <c r="M1287" s="4">
        <f t="shared" si="60"/>
        <v>-0.03</v>
      </c>
      <c r="N1287" s="4">
        <f t="shared" si="61"/>
        <v>-2.6</v>
      </c>
      <c r="O1287" s="4">
        <f t="shared" si="62"/>
        <v>0.03</v>
      </c>
      <c r="P1287" s="3" t="s">
        <v>19</v>
      </c>
    </row>
    <row r="1288" spans="1:16" x14ac:dyDescent="0.35">
      <c r="A1288" s="3" t="s">
        <v>74</v>
      </c>
      <c r="B1288" s="3" t="str">
        <f>INDEX(State_Region!$B$2:$B$26,MATCH(TRIM(A1288),State_Region!$A$2:$A$26,0))</f>
        <v>South</v>
      </c>
      <c r="C1288" s="3" t="s">
        <v>98</v>
      </c>
      <c r="D1288" s="3" t="str">
        <f>INDEX(Port_Type!$B$2:$B$227,MATCH(TRIM(C1288),Port_Type!$A$2:$A$227,0))</f>
        <v>Inland ICD / CFS</v>
      </c>
      <c r="E1288" s="3" t="s">
        <v>18</v>
      </c>
      <c r="F1288" s="3" t="str">
        <f>INDEX(Product_Category!$B$2:$B$45,MATCH(TRIM(E1288),Product_Category!$A$2:$A$45,0))</f>
        <v>Cereals &amp; Grains</v>
      </c>
      <c r="G1288" s="4">
        <v>0</v>
      </c>
      <c r="H1288" s="4">
        <v>0.25</v>
      </c>
      <c r="I1288" s="4">
        <v>0.03</v>
      </c>
      <c r="J1288" s="4">
        <v>0</v>
      </c>
      <c r="K1288" s="4">
        <v>106.65</v>
      </c>
      <c r="L1288" s="4">
        <v>14.99</v>
      </c>
      <c r="M1288" s="4">
        <f t="shared" si="60"/>
        <v>0.25</v>
      </c>
      <c r="N1288" s="4">
        <f t="shared" si="61"/>
        <v>106.65</v>
      </c>
      <c r="O1288" s="4">
        <f t="shared" si="62"/>
        <v>-0.22</v>
      </c>
      <c r="P1288" s="3" t="s">
        <v>19</v>
      </c>
    </row>
    <row r="1289" spans="1:16" x14ac:dyDescent="0.35">
      <c r="A1289" s="3" t="s">
        <v>77</v>
      </c>
      <c r="B1289" s="3" t="str">
        <f>INDEX(State_Region!$B$2:$B$26,MATCH(TRIM(A1289),State_Region!$A$2:$A$26,0))</f>
        <v>South</v>
      </c>
      <c r="C1289" s="3" t="s">
        <v>216</v>
      </c>
      <c r="D1289" s="3" t="str">
        <f>INDEX(Port_Type!$B$2:$B$227,MATCH(TRIM(C1289),Port_Type!$A$2:$A$227,0))</f>
        <v>Air Cargo</v>
      </c>
      <c r="E1289" s="3" t="s">
        <v>76</v>
      </c>
      <c r="F1289" s="3" t="str">
        <f>INDEX(Product_Category!$B$2:$B$45,MATCH(TRIM(E1289),Product_Category!$A$2:$A$45,0))</f>
        <v>Fresh Fruits &amp; Vegetables</v>
      </c>
      <c r="G1289" s="4">
        <v>0.19</v>
      </c>
      <c r="H1289" s="4">
        <v>0.08</v>
      </c>
      <c r="I1289" s="4">
        <v>0.03</v>
      </c>
      <c r="J1289" s="4">
        <v>134.61000000000001</v>
      </c>
      <c r="K1289" s="4">
        <v>52.42</v>
      </c>
      <c r="L1289" s="4">
        <v>20.190000000000001</v>
      </c>
      <c r="M1289" s="4">
        <f t="shared" si="60"/>
        <v>-0.11</v>
      </c>
      <c r="N1289" s="4">
        <f t="shared" si="61"/>
        <v>-82.190000000000012</v>
      </c>
      <c r="O1289" s="4">
        <f t="shared" si="62"/>
        <v>-0.05</v>
      </c>
      <c r="P1289" s="3" t="s">
        <v>19</v>
      </c>
    </row>
    <row r="1290" spans="1:16" x14ac:dyDescent="0.35">
      <c r="A1290" s="3" t="s">
        <v>23</v>
      </c>
      <c r="B1290" s="3" t="str">
        <f>INDEX(State_Region!$B$2:$B$26,MATCH(TRIM(A1290),State_Region!$A$2:$A$26,0))</f>
        <v>North</v>
      </c>
      <c r="C1290" s="3" t="s">
        <v>120</v>
      </c>
      <c r="D1290" s="3" t="str">
        <f>INDEX(Port_Type!$B$2:$B$227,MATCH(TRIM(C1290),Port_Type!$A$2:$A$227,0))</f>
        <v>Inland ICD / CFS</v>
      </c>
      <c r="E1290" s="3" t="s">
        <v>65</v>
      </c>
      <c r="F1290" s="3" t="str">
        <f>INDEX(Product_Category!$B$2:$B$45,MATCH(TRIM(E1290),Product_Category!$A$2:$A$45,0))</f>
        <v>Cereals &amp; Grains</v>
      </c>
      <c r="G1290" s="4">
        <v>0</v>
      </c>
      <c r="H1290" s="4">
        <v>0.01</v>
      </c>
      <c r="I1290" s="4">
        <v>0.03</v>
      </c>
      <c r="J1290" s="4">
        <v>4.3</v>
      </c>
      <c r="K1290" s="4">
        <v>15.32</v>
      </c>
      <c r="L1290" s="4">
        <v>45.72</v>
      </c>
      <c r="M1290" s="4">
        <f t="shared" si="60"/>
        <v>0.01</v>
      </c>
      <c r="N1290" s="4">
        <f t="shared" si="61"/>
        <v>11.02</v>
      </c>
      <c r="O1290" s="4">
        <f t="shared" si="62"/>
        <v>1.9999999999999997E-2</v>
      </c>
      <c r="P1290" s="3" t="s">
        <v>19</v>
      </c>
    </row>
    <row r="1291" spans="1:16" x14ac:dyDescent="0.35">
      <c r="A1291" s="3" t="s">
        <v>49</v>
      </c>
      <c r="B1291" s="3" t="str">
        <f>INDEX(State_Region!$B$2:$B$26,MATCH(TRIM(A1291),State_Region!$A$2:$A$26,0))</f>
        <v>North</v>
      </c>
      <c r="C1291" s="3" t="s">
        <v>121</v>
      </c>
      <c r="D1291" s="3" t="str">
        <f>INDEX(Port_Type!$B$2:$B$227,MATCH(TRIM(C1291),Port_Type!$A$2:$A$227,0))</f>
        <v>Inland ICD / CFS</v>
      </c>
      <c r="E1291" s="3" t="s">
        <v>42</v>
      </c>
      <c r="F1291" s="3" t="str">
        <f>INDEX(Product_Category!$B$2:$B$45,MATCH(TRIM(E1291),Product_Category!$A$2:$A$45,0))</f>
        <v>Processed Foods</v>
      </c>
      <c r="G1291" s="4">
        <v>0.06</v>
      </c>
      <c r="H1291" s="4">
        <v>0.09</v>
      </c>
      <c r="I1291" s="4">
        <v>0.03</v>
      </c>
      <c r="J1291" s="4">
        <v>19.32</v>
      </c>
      <c r="K1291" s="4">
        <v>17.489999999999998</v>
      </c>
      <c r="L1291" s="4">
        <v>6.71</v>
      </c>
      <c r="M1291" s="4">
        <f t="shared" si="60"/>
        <v>0.03</v>
      </c>
      <c r="N1291" s="4">
        <f t="shared" si="61"/>
        <v>-1.8300000000000018</v>
      </c>
      <c r="O1291" s="4">
        <f t="shared" si="62"/>
        <v>-0.06</v>
      </c>
      <c r="P1291" s="3" t="s">
        <v>19</v>
      </c>
    </row>
    <row r="1292" spans="1:16" x14ac:dyDescent="0.35">
      <c r="A1292" s="3" t="s">
        <v>16</v>
      </c>
      <c r="B1292" s="3" t="str">
        <f>INDEX(State_Region!$B$2:$B$26,MATCH(TRIM(A1292),State_Region!$A$2:$A$26,0))</f>
        <v>West</v>
      </c>
      <c r="C1292" s="3" t="s">
        <v>52</v>
      </c>
      <c r="D1292" s="3" t="str">
        <f>INDEX(Port_Type!$B$2:$B$227,MATCH(TRIM(C1292),Port_Type!$A$2:$A$227,0))</f>
        <v>Sea Port</v>
      </c>
      <c r="E1292" s="3" t="s">
        <v>65</v>
      </c>
      <c r="F1292" s="3" t="str">
        <f>INDEX(Product_Category!$B$2:$B$45,MATCH(TRIM(E1292),Product_Category!$A$2:$A$45,0))</f>
        <v>Cereals &amp; Grains</v>
      </c>
      <c r="G1292" s="4">
        <v>0.01</v>
      </c>
      <c r="H1292" s="4">
        <v>0</v>
      </c>
      <c r="I1292" s="4">
        <v>0.03</v>
      </c>
      <c r="J1292" s="4">
        <v>12.79</v>
      </c>
      <c r="K1292" s="4">
        <v>0.14000000000000001</v>
      </c>
      <c r="L1292" s="4">
        <v>47.51</v>
      </c>
      <c r="M1292" s="4">
        <f t="shared" si="60"/>
        <v>-0.01</v>
      </c>
      <c r="N1292" s="4">
        <f t="shared" si="61"/>
        <v>-12.649999999999999</v>
      </c>
      <c r="O1292" s="4">
        <f t="shared" si="62"/>
        <v>0.03</v>
      </c>
      <c r="P1292" s="3" t="s">
        <v>19</v>
      </c>
    </row>
    <row r="1293" spans="1:16" x14ac:dyDescent="0.35">
      <c r="A1293" s="3" t="s">
        <v>159</v>
      </c>
      <c r="B1293" s="3" t="str">
        <f>INDEX(State_Region!$B$2:$B$26,MATCH(TRIM(A1293),State_Region!$A$2:$A$26,0))</f>
        <v>North-East</v>
      </c>
      <c r="C1293" s="3" t="s">
        <v>186</v>
      </c>
      <c r="D1293" s="3" t="str">
        <f>INDEX(Port_Type!$B$2:$B$227,MATCH(TRIM(C1293),Port_Type!$A$2:$A$227,0))</f>
        <v>Land Border / Rail</v>
      </c>
      <c r="E1293" s="3" t="s">
        <v>102</v>
      </c>
      <c r="F1293" s="3" t="str">
        <f>INDEX(Product_Category!$B$2:$B$45,MATCH(TRIM(E1293),Product_Category!$A$2:$A$45,0))</f>
        <v>Fresh Fruits &amp; Vegetables</v>
      </c>
      <c r="G1293" s="4">
        <v>0</v>
      </c>
      <c r="H1293" s="4">
        <v>0</v>
      </c>
      <c r="I1293" s="4">
        <v>0.03</v>
      </c>
      <c r="J1293" s="4">
        <v>0</v>
      </c>
      <c r="K1293" s="4">
        <v>0</v>
      </c>
      <c r="L1293" s="4">
        <v>108.67</v>
      </c>
      <c r="M1293" s="4">
        <f t="shared" si="60"/>
        <v>0</v>
      </c>
      <c r="N1293" s="4">
        <f t="shared" si="61"/>
        <v>0</v>
      </c>
      <c r="O1293" s="4">
        <f t="shared" si="62"/>
        <v>0.03</v>
      </c>
      <c r="P1293" s="3" t="s">
        <v>19</v>
      </c>
    </row>
    <row r="1294" spans="1:16" x14ac:dyDescent="0.35">
      <c r="A1294" s="3" t="s">
        <v>40</v>
      </c>
      <c r="B1294" s="3" t="str">
        <f>INDEX(State_Region!$B$2:$B$26,MATCH(TRIM(A1294),State_Region!$A$2:$A$26,0))</f>
        <v>South</v>
      </c>
      <c r="C1294" s="3" t="s">
        <v>107</v>
      </c>
      <c r="D1294" s="3" t="str">
        <f>INDEX(Port_Type!$B$2:$B$227,MATCH(TRIM(C1294),Port_Type!$A$2:$A$227,0))</f>
        <v>Sea Port</v>
      </c>
      <c r="E1294" s="3" t="s">
        <v>59</v>
      </c>
      <c r="F1294" s="3" t="str">
        <f>INDEX(Product_Category!$B$2:$B$45,MATCH(TRIM(E1294),Product_Category!$A$2:$A$45,0))</f>
        <v>Processed Foods</v>
      </c>
      <c r="G1294" s="4">
        <v>0</v>
      </c>
      <c r="H1294" s="4">
        <v>0.02</v>
      </c>
      <c r="I1294" s="4">
        <v>0.03</v>
      </c>
      <c r="J1294" s="4">
        <v>0</v>
      </c>
      <c r="K1294" s="4">
        <v>1.28</v>
      </c>
      <c r="L1294" s="4">
        <v>13.92</v>
      </c>
      <c r="M1294" s="4">
        <f t="shared" si="60"/>
        <v>0.02</v>
      </c>
      <c r="N1294" s="4">
        <f t="shared" si="61"/>
        <v>1.28</v>
      </c>
      <c r="O1294" s="4">
        <f t="shared" si="62"/>
        <v>9.9999999999999985E-3</v>
      </c>
      <c r="P1294" s="3" t="s">
        <v>19</v>
      </c>
    </row>
    <row r="1295" spans="1:16" x14ac:dyDescent="0.35">
      <c r="A1295" s="3" t="s">
        <v>86</v>
      </c>
      <c r="B1295" s="3" t="str">
        <f>INDEX(State_Region!$B$2:$B$26,MATCH(TRIM(A1295),State_Region!$A$2:$A$26,0))</f>
        <v>North</v>
      </c>
      <c r="C1295" s="3" t="s">
        <v>87</v>
      </c>
      <c r="D1295" s="3" t="str">
        <f>INDEX(Port_Type!$B$2:$B$227,MATCH(TRIM(C1295),Port_Type!$A$2:$A$227,0))</f>
        <v>Air Cargo</v>
      </c>
      <c r="E1295" s="3" t="s">
        <v>118</v>
      </c>
      <c r="F1295" s="3" t="str">
        <f>INDEX(Product_Category!$B$2:$B$45,MATCH(TRIM(E1295),Product_Category!$A$2:$A$45,0))</f>
        <v>Dairy, Poultry &amp; Honey</v>
      </c>
      <c r="G1295" s="4">
        <v>0.09</v>
      </c>
      <c r="H1295" s="4">
        <v>7.0000000000000007E-2</v>
      </c>
      <c r="I1295" s="4">
        <v>0.03</v>
      </c>
      <c r="J1295" s="4">
        <v>7.63</v>
      </c>
      <c r="K1295" s="4">
        <v>14.34</v>
      </c>
      <c r="L1295" s="4">
        <v>3.53</v>
      </c>
      <c r="M1295" s="4">
        <f t="shared" si="60"/>
        <v>-1.999999999999999E-2</v>
      </c>
      <c r="N1295" s="4">
        <f t="shared" si="61"/>
        <v>6.71</v>
      </c>
      <c r="O1295" s="4">
        <f t="shared" si="62"/>
        <v>-4.0000000000000008E-2</v>
      </c>
      <c r="P1295" s="3" t="s">
        <v>19</v>
      </c>
    </row>
    <row r="1296" spans="1:16" x14ac:dyDescent="0.35">
      <c r="A1296" s="3" t="s">
        <v>40</v>
      </c>
      <c r="B1296" s="3" t="str">
        <f>INDEX(State_Region!$B$2:$B$26,MATCH(TRIM(A1296),State_Region!$A$2:$A$26,0))</f>
        <v>South</v>
      </c>
      <c r="C1296" s="3" t="s">
        <v>164</v>
      </c>
      <c r="D1296" s="3" t="str">
        <f>INDEX(Port_Type!$B$2:$B$227,MATCH(TRIM(C1296),Port_Type!$A$2:$A$227,0))</f>
        <v>Air Cargo</v>
      </c>
      <c r="E1296" s="3" t="s">
        <v>59</v>
      </c>
      <c r="F1296" s="3" t="str">
        <f>INDEX(Product_Category!$B$2:$B$45,MATCH(TRIM(E1296),Product_Category!$A$2:$A$45,0))</f>
        <v>Processed Foods</v>
      </c>
      <c r="G1296" s="4">
        <v>0.1</v>
      </c>
      <c r="H1296" s="4">
        <v>0.06</v>
      </c>
      <c r="I1296" s="4">
        <v>0.03</v>
      </c>
      <c r="J1296" s="4">
        <v>10.14</v>
      </c>
      <c r="K1296" s="4">
        <v>7.4</v>
      </c>
      <c r="L1296" s="4">
        <v>2.92</v>
      </c>
      <c r="M1296" s="4">
        <f t="shared" si="60"/>
        <v>-4.0000000000000008E-2</v>
      </c>
      <c r="N1296" s="4">
        <f t="shared" si="61"/>
        <v>-2.74</v>
      </c>
      <c r="O1296" s="4">
        <f t="shared" si="62"/>
        <v>-0.03</v>
      </c>
      <c r="P1296" s="3" t="s">
        <v>19</v>
      </c>
    </row>
    <row r="1297" spans="1:16" x14ac:dyDescent="0.35">
      <c r="A1297" s="3" t="s">
        <v>189</v>
      </c>
      <c r="B1297" s="3" t="str">
        <f>INDEX(State_Region!$B$2:$B$26,MATCH(TRIM(A1297),State_Region!$A$2:$A$26,0))</f>
        <v>North</v>
      </c>
      <c r="C1297" s="3" t="s">
        <v>227</v>
      </c>
      <c r="D1297" s="3" t="str">
        <f>INDEX(Port_Type!$B$2:$B$227,MATCH(TRIM(C1297),Port_Type!$A$2:$A$227,0))</f>
        <v>Land Border / Rail</v>
      </c>
      <c r="E1297" s="3" t="s">
        <v>55</v>
      </c>
      <c r="F1297" s="3" t="str">
        <f>INDEX(Product_Category!$B$2:$B$45,MATCH(TRIM(E1297),Product_Category!$A$2:$A$45,0))</f>
        <v>Fresh Fruits &amp; Vegetables</v>
      </c>
      <c r="G1297" s="4">
        <v>7.0000000000000007E-2</v>
      </c>
      <c r="H1297" s="4">
        <v>0.08</v>
      </c>
      <c r="I1297" s="4">
        <v>0.03</v>
      </c>
      <c r="J1297" s="4">
        <v>243.8</v>
      </c>
      <c r="K1297" s="4">
        <v>292.77999999999997</v>
      </c>
      <c r="L1297" s="4">
        <v>118.66</v>
      </c>
      <c r="M1297" s="4">
        <f t="shared" si="60"/>
        <v>9.999999999999995E-3</v>
      </c>
      <c r="N1297" s="4">
        <f t="shared" si="61"/>
        <v>48.979999999999961</v>
      </c>
      <c r="O1297" s="4">
        <f t="shared" si="62"/>
        <v>-0.05</v>
      </c>
      <c r="P1297" s="3" t="s">
        <v>19</v>
      </c>
    </row>
    <row r="1298" spans="1:16" x14ac:dyDescent="0.35">
      <c r="A1298" s="3" t="s">
        <v>31</v>
      </c>
      <c r="B1298" s="3" t="str">
        <f>INDEX(State_Region!$B$2:$B$26,MATCH(TRIM(A1298),State_Region!$A$2:$A$26,0))</f>
        <v>East</v>
      </c>
      <c r="C1298" s="3" t="s">
        <v>101</v>
      </c>
      <c r="D1298" s="3" t="str">
        <f>INDEX(Port_Type!$B$2:$B$227,MATCH(TRIM(C1298),Port_Type!$A$2:$A$227,0))</f>
        <v>Land Border / Rail</v>
      </c>
      <c r="E1298" s="3" t="s">
        <v>45</v>
      </c>
      <c r="F1298" s="3" t="str">
        <f>INDEX(Product_Category!$B$2:$B$45,MATCH(TRIM(E1298),Product_Category!$A$2:$A$45,0))</f>
        <v>Fresh Fruits &amp; Vegetables</v>
      </c>
      <c r="G1298" s="4">
        <v>0.01</v>
      </c>
      <c r="H1298" s="4">
        <v>0.01</v>
      </c>
      <c r="I1298" s="4">
        <v>0.03</v>
      </c>
      <c r="J1298" s="4">
        <v>37.4</v>
      </c>
      <c r="K1298" s="4">
        <v>25.33</v>
      </c>
      <c r="L1298" s="4">
        <v>4</v>
      </c>
      <c r="M1298" s="4">
        <f t="shared" si="60"/>
        <v>0</v>
      </c>
      <c r="N1298" s="4">
        <f t="shared" si="61"/>
        <v>-12.07</v>
      </c>
      <c r="O1298" s="4">
        <f t="shared" si="62"/>
        <v>1.9999999999999997E-2</v>
      </c>
      <c r="P1298" s="3" t="s">
        <v>19</v>
      </c>
    </row>
    <row r="1299" spans="1:16" x14ac:dyDescent="0.35">
      <c r="A1299" s="3" t="s">
        <v>16</v>
      </c>
      <c r="B1299" s="3" t="str">
        <f>INDEX(State_Region!$B$2:$B$26,MATCH(TRIM(A1299),State_Region!$A$2:$A$26,0))</f>
        <v>West</v>
      </c>
      <c r="C1299" s="3" t="s">
        <v>105</v>
      </c>
      <c r="D1299" s="3" t="str">
        <f>INDEX(Port_Type!$B$2:$B$227,MATCH(TRIM(C1299),Port_Type!$A$2:$A$227,0))</f>
        <v>SEZ / EPZ</v>
      </c>
      <c r="E1299" s="3" t="s">
        <v>53</v>
      </c>
      <c r="F1299" s="3" t="str">
        <f>INDEX(Product_Category!$B$2:$B$45,MATCH(TRIM(E1299),Product_Category!$A$2:$A$45,0))</f>
        <v>Processed Foods</v>
      </c>
      <c r="G1299" s="4">
        <v>0</v>
      </c>
      <c r="H1299" s="4">
        <v>0.11</v>
      </c>
      <c r="I1299" s="4">
        <v>0.03</v>
      </c>
      <c r="J1299" s="4">
        <v>0</v>
      </c>
      <c r="K1299" s="4">
        <v>9.5500000000000007</v>
      </c>
      <c r="L1299" s="4">
        <v>2.84</v>
      </c>
      <c r="M1299" s="4">
        <f t="shared" si="60"/>
        <v>0.11</v>
      </c>
      <c r="N1299" s="4">
        <f t="shared" si="61"/>
        <v>9.5500000000000007</v>
      </c>
      <c r="O1299" s="4">
        <f t="shared" si="62"/>
        <v>-0.08</v>
      </c>
      <c r="P1299" s="3" t="s">
        <v>19</v>
      </c>
    </row>
    <row r="1300" spans="1:16" x14ac:dyDescent="0.35">
      <c r="A1300" s="3" t="s">
        <v>40</v>
      </c>
      <c r="B1300" s="3" t="str">
        <f>INDEX(State_Region!$B$2:$B$26,MATCH(TRIM(A1300),State_Region!$A$2:$A$26,0))</f>
        <v>South</v>
      </c>
      <c r="C1300" s="3" t="s">
        <v>241</v>
      </c>
      <c r="D1300" s="3" t="str">
        <f>INDEX(Port_Type!$B$2:$B$227,MATCH(TRIM(C1300),Port_Type!$A$2:$A$227,0))</f>
        <v>Air Cargo</v>
      </c>
      <c r="E1300" s="3" t="s">
        <v>39</v>
      </c>
      <c r="F1300" s="3" t="str">
        <f>INDEX(Product_Category!$B$2:$B$45,MATCH(TRIM(E1300),Product_Category!$A$2:$A$45,0))</f>
        <v>Processed Foods</v>
      </c>
      <c r="G1300" s="4">
        <v>0.14000000000000001</v>
      </c>
      <c r="H1300" s="4">
        <v>0.1</v>
      </c>
      <c r="I1300" s="4">
        <v>0.03</v>
      </c>
      <c r="J1300" s="4">
        <v>86.06</v>
      </c>
      <c r="K1300" s="4">
        <v>40.69</v>
      </c>
      <c r="L1300" s="4">
        <v>10.99</v>
      </c>
      <c r="M1300" s="4">
        <f t="shared" si="60"/>
        <v>-4.0000000000000008E-2</v>
      </c>
      <c r="N1300" s="4">
        <f t="shared" si="61"/>
        <v>-45.370000000000005</v>
      </c>
      <c r="O1300" s="4">
        <f t="shared" si="62"/>
        <v>-7.0000000000000007E-2</v>
      </c>
      <c r="P1300" s="3" t="s">
        <v>19</v>
      </c>
    </row>
    <row r="1301" spans="1:16" x14ac:dyDescent="0.35">
      <c r="A1301" s="3" t="s">
        <v>31</v>
      </c>
      <c r="B1301" s="3" t="str">
        <f>INDEX(State_Region!$B$2:$B$26,MATCH(TRIM(A1301),State_Region!$A$2:$A$26,0))</f>
        <v>East</v>
      </c>
      <c r="C1301" s="3" t="s">
        <v>32</v>
      </c>
      <c r="D1301" s="3" t="str">
        <f>INDEX(Port_Type!$B$2:$B$227,MATCH(TRIM(C1301),Port_Type!$A$2:$A$227,0))</f>
        <v>Sea Port</v>
      </c>
      <c r="E1301" s="3" t="s">
        <v>59</v>
      </c>
      <c r="F1301" s="3" t="str">
        <f>INDEX(Product_Category!$B$2:$B$45,MATCH(TRIM(E1301),Product_Category!$A$2:$A$45,0))</f>
        <v>Processed Foods</v>
      </c>
      <c r="G1301" s="4">
        <v>0</v>
      </c>
      <c r="H1301" s="4">
        <v>0.06</v>
      </c>
      <c r="I1301" s="4">
        <v>0.03</v>
      </c>
      <c r="J1301" s="4">
        <v>0.06</v>
      </c>
      <c r="K1301" s="4">
        <v>7.13</v>
      </c>
      <c r="L1301" s="4">
        <v>15.03</v>
      </c>
      <c r="M1301" s="4">
        <f t="shared" si="60"/>
        <v>0.06</v>
      </c>
      <c r="N1301" s="4">
        <f t="shared" si="61"/>
        <v>7.07</v>
      </c>
      <c r="O1301" s="4">
        <f t="shared" si="62"/>
        <v>-0.03</v>
      </c>
      <c r="P1301" s="3" t="s">
        <v>19</v>
      </c>
    </row>
    <row r="1302" spans="1:16" x14ac:dyDescent="0.35">
      <c r="A1302" s="3" t="s">
        <v>20</v>
      </c>
      <c r="B1302" s="3" t="str">
        <f>INDEX(State_Region!$B$2:$B$26,MATCH(TRIM(A1302),State_Region!$A$2:$A$26,0))</f>
        <v>West</v>
      </c>
      <c r="C1302" s="3" t="s">
        <v>68</v>
      </c>
      <c r="D1302" s="3" t="str">
        <f>INDEX(Port_Type!$B$2:$B$227,MATCH(TRIM(C1302),Port_Type!$A$2:$A$227,0))</f>
        <v>Air Cargo</v>
      </c>
      <c r="E1302" s="3" t="s">
        <v>72</v>
      </c>
      <c r="F1302" s="3" t="str">
        <f>INDEX(Product_Category!$B$2:$B$45,MATCH(TRIM(E1302),Product_Category!$A$2:$A$45,0))</f>
        <v>Dairy, Poultry &amp; Honey</v>
      </c>
      <c r="G1302" s="4">
        <v>7.0000000000000007E-2</v>
      </c>
      <c r="H1302" s="4">
        <v>1.47</v>
      </c>
      <c r="I1302" s="4">
        <v>0.03</v>
      </c>
      <c r="J1302" s="4">
        <v>8.32</v>
      </c>
      <c r="K1302" s="4">
        <v>132.91999999999999</v>
      </c>
      <c r="L1302" s="4">
        <v>2.12</v>
      </c>
      <c r="M1302" s="4">
        <f t="shared" si="60"/>
        <v>1.4</v>
      </c>
      <c r="N1302" s="4">
        <f t="shared" si="61"/>
        <v>124.6</v>
      </c>
      <c r="O1302" s="4">
        <f t="shared" si="62"/>
        <v>-1.44</v>
      </c>
      <c r="P1302" s="3" t="s">
        <v>19</v>
      </c>
    </row>
    <row r="1303" spans="1:16" x14ac:dyDescent="0.35">
      <c r="A1303" s="3" t="s">
        <v>40</v>
      </c>
      <c r="B1303" s="3" t="str">
        <f>INDEX(State_Region!$B$2:$B$26,MATCH(TRIM(A1303),State_Region!$A$2:$A$26,0))</f>
        <v>South</v>
      </c>
      <c r="C1303" s="3" t="s">
        <v>64</v>
      </c>
      <c r="D1303" s="3" t="str">
        <f>INDEX(Port_Type!$B$2:$B$227,MATCH(TRIM(C1303),Port_Type!$A$2:$A$227,0))</f>
        <v>Inland ICD / CFS</v>
      </c>
      <c r="E1303" s="3" t="s">
        <v>102</v>
      </c>
      <c r="F1303" s="3" t="str">
        <f>INDEX(Product_Category!$B$2:$B$45,MATCH(TRIM(E1303),Product_Category!$A$2:$A$45,0))</f>
        <v>Fresh Fruits &amp; Vegetables</v>
      </c>
      <c r="G1303" s="4">
        <v>0.06</v>
      </c>
      <c r="H1303" s="4">
        <v>0.1</v>
      </c>
      <c r="I1303" s="4">
        <v>0.03</v>
      </c>
      <c r="J1303" s="4">
        <v>101.52</v>
      </c>
      <c r="K1303" s="4">
        <v>88.77</v>
      </c>
      <c r="L1303" s="4">
        <v>18.46</v>
      </c>
      <c r="M1303" s="4">
        <f t="shared" si="60"/>
        <v>4.0000000000000008E-2</v>
      </c>
      <c r="N1303" s="4">
        <f t="shared" si="61"/>
        <v>-12.75</v>
      </c>
      <c r="O1303" s="4">
        <f t="shared" si="62"/>
        <v>-7.0000000000000007E-2</v>
      </c>
      <c r="P1303" s="3" t="s">
        <v>19</v>
      </c>
    </row>
    <row r="1304" spans="1:16" x14ac:dyDescent="0.35">
      <c r="A1304" s="3" t="s">
        <v>16</v>
      </c>
      <c r="B1304" s="3" t="str">
        <f>INDEX(State_Region!$B$2:$B$26,MATCH(TRIM(A1304),State_Region!$A$2:$A$26,0))</f>
        <v>West</v>
      </c>
      <c r="C1304" s="3" t="s">
        <v>239</v>
      </c>
      <c r="D1304" s="3" t="str">
        <f>INDEX(Port_Type!$B$2:$B$227,MATCH(TRIM(C1304),Port_Type!$A$2:$A$227,0))</f>
        <v>Inland ICD / CFS</v>
      </c>
      <c r="E1304" s="3" t="s">
        <v>42</v>
      </c>
      <c r="F1304" s="3" t="str">
        <f>INDEX(Product_Category!$B$2:$B$45,MATCH(TRIM(E1304),Product_Category!$A$2:$A$45,0))</f>
        <v>Processed Foods</v>
      </c>
      <c r="G1304" s="4">
        <v>0</v>
      </c>
      <c r="H1304" s="4">
        <v>0.01</v>
      </c>
      <c r="I1304" s="4">
        <v>0.03</v>
      </c>
      <c r="J1304" s="4">
        <v>0</v>
      </c>
      <c r="K1304" s="4">
        <v>7.04</v>
      </c>
      <c r="L1304" s="4">
        <v>14.3</v>
      </c>
      <c r="M1304" s="4">
        <f t="shared" si="60"/>
        <v>0.01</v>
      </c>
      <c r="N1304" s="4">
        <f t="shared" si="61"/>
        <v>7.04</v>
      </c>
      <c r="O1304" s="4">
        <f t="shared" si="62"/>
        <v>1.9999999999999997E-2</v>
      </c>
      <c r="P1304" s="3" t="s">
        <v>19</v>
      </c>
    </row>
    <row r="1305" spans="1:16" x14ac:dyDescent="0.35">
      <c r="A1305" s="3" t="s">
        <v>49</v>
      </c>
      <c r="B1305" s="3" t="str">
        <f>INDEX(State_Region!$B$2:$B$26,MATCH(TRIM(A1305),State_Region!$A$2:$A$26,0))</f>
        <v>North</v>
      </c>
      <c r="C1305" s="3" t="s">
        <v>70</v>
      </c>
      <c r="D1305" s="3" t="str">
        <f>INDEX(Port_Type!$B$2:$B$227,MATCH(TRIM(C1305),Port_Type!$A$2:$A$227,0))</f>
        <v>Inland ICD / CFS</v>
      </c>
      <c r="E1305" s="3" t="s">
        <v>53</v>
      </c>
      <c r="F1305" s="3" t="str">
        <f>INDEX(Product_Category!$B$2:$B$45,MATCH(TRIM(E1305),Product_Category!$A$2:$A$45,0))</f>
        <v>Processed Foods</v>
      </c>
      <c r="G1305" s="4">
        <v>0</v>
      </c>
      <c r="H1305" s="4">
        <v>0.04</v>
      </c>
      <c r="I1305" s="4">
        <v>0.03</v>
      </c>
      <c r="J1305" s="4">
        <v>0</v>
      </c>
      <c r="K1305" s="4">
        <v>26.25</v>
      </c>
      <c r="L1305" s="4">
        <v>24.84</v>
      </c>
      <c r="M1305" s="4">
        <f t="shared" si="60"/>
        <v>0.04</v>
      </c>
      <c r="N1305" s="4">
        <f t="shared" si="61"/>
        <v>26.25</v>
      </c>
      <c r="O1305" s="4">
        <f t="shared" si="62"/>
        <v>-1.0000000000000002E-2</v>
      </c>
      <c r="P1305" s="3" t="s">
        <v>19</v>
      </c>
    </row>
    <row r="1306" spans="1:16" x14ac:dyDescent="0.35">
      <c r="A1306" s="3" t="s">
        <v>31</v>
      </c>
      <c r="B1306" s="3" t="str">
        <f>INDEX(State_Region!$B$2:$B$26,MATCH(TRIM(A1306),State_Region!$A$2:$A$26,0))</f>
        <v>East</v>
      </c>
      <c r="C1306" s="3" t="s">
        <v>215</v>
      </c>
      <c r="D1306" s="3" t="str">
        <f>INDEX(Port_Type!$B$2:$B$227,MATCH(TRIM(C1306),Port_Type!$A$2:$A$227,0))</f>
        <v>Land Border / Rail</v>
      </c>
      <c r="E1306" s="3" t="s">
        <v>45</v>
      </c>
      <c r="F1306" s="3" t="str">
        <f>INDEX(Product_Category!$B$2:$B$45,MATCH(TRIM(E1306),Product_Category!$A$2:$A$45,0))</f>
        <v>Fresh Fruits &amp; Vegetables</v>
      </c>
      <c r="G1306" s="4">
        <v>0.04</v>
      </c>
      <c r="H1306" s="4">
        <v>0.05</v>
      </c>
      <c r="I1306" s="4">
        <v>0.03</v>
      </c>
      <c r="J1306" s="4">
        <v>41.59</v>
      </c>
      <c r="K1306" s="4">
        <v>57.82</v>
      </c>
      <c r="L1306" s="4">
        <v>40.71</v>
      </c>
      <c r="M1306" s="4">
        <f t="shared" si="60"/>
        <v>1.0000000000000002E-2</v>
      </c>
      <c r="N1306" s="4">
        <f t="shared" si="61"/>
        <v>16.229999999999997</v>
      </c>
      <c r="O1306" s="4">
        <f t="shared" si="62"/>
        <v>-2.0000000000000004E-2</v>
      </c>
      <c r="P1306" s="3" t="s">
        <v>19</v>
      </c>
    </row>
    <row r="1307" spans="1:16" x14ac:dyDescent="0.35">
      <c r="A1307" s="3" t="s">
        <v>94</v>
      </c>
      <c r="B1307" s="3" t="str">
        <f>INDEX(State_Region!$B$2:$B$26,MATCH(TRIM(A1307),State_Region!$A$2:$A$26,0))</f>
        <v>East</v>
      </c>
      <c r="C1307" s="3" t="s">
        <v>95</v>
      </c>
      <c r="D1307" s="3" t="str">
        <f>INDEX(Port_Type!$B$2:$B$227,MATCH(TRIM(C1307),Port_Type!$A$2:$A$227,0))</f>
        <v>Land Border / Rail</v>
      </c>
      <c r="E1307" s="3" t="s">
        <v>122</v>
      </c>
      <c r="F1307" s="3" t="str">
        <f>INDEX(Product_Category!$B$2:$B$45,MATCH(TRIM(E1307),Product_Category!$A$2:$A$45,0))</f>
        <v>Others</v>
      </c>
      <c r="G1307" s="4">
        <v>0.67</v>
      </c>
      <c r="H1307" s="4">
        <v>0.05</v>
      </c>
      <c r="I1307" s="4">
        <v>0.03</v>
      </c>
      <c r="J1307" s="4">
        <v>672.78</v>
      </c>
      <c r="K1307" s="4">
        <v>69.959999999999994</v>
      </c>
      <c r="L1307" s="4">
        <v>54.91</v>
      </c>
      <c r="M1307" s="4">
        <f t="shared" si="60"/>
        <v>-0.62</v>
      </c>
      <c r="N1307" s="4">
        <f t="shared" si="61"/>
        <v>-602.81999999999994</v>
      </c>
      <c r="O1307" s="4">
        <f t="shared" si="62"/>
        <v>-2.0000000000000004E-2</v>
      </c>
      <c r="P1307" s="3" t="s">
        <v>19</v>
      </c>
    </row>
    <row r="1308" spans="1:16" x14ac:dyDescent="0.35">
      <c r="A1308" s="3" t="s">
        <v>23</v>
      </c>
      <c r="B1308" s="3" t="str">
        <f>INDEX(State_Region!$B$2:$B$26,MATCH(TRIM(A1308),State_Region!$A$2:$A$26,0))</f>
        <v>North</v>
      </c>
      <c r="C1308" s="3" t="s">
        <v>138</v>
      </c>
      <c r="D1308" s="3" t="str">
        <f>INDEX(Port_Type!$B$2:$B$227,MATCH(TRIM(C1308),Port_Type!$A$2:$A$227,0))</f>
        <v>Inland ICD / CFS</v>
      </c>
      <c r="E1308" s="3" t="s">
        <v>39</v>
      </c>
      <c r="F1308" s="3" t="str">
        <f>INDEX(Product_Category!$B$2:$B$45,MATCH(TRIM(E1308),Product_Category!$A$2:$A$45,0))</f>
        <v>Processed Foods</v>
      </c>
      <c r="G1308" s="4">
        <v>0</v>
      </c>
      <c r="H1308" s="4">
        <v>0.24</v>
      </c>
      <c r="I1308" s="4">
        <v>0.03</v>
      </c>
      <c r="J1308" s="4">
        <v>0</v>
      </c>
      <c r="K1308" s="4">
        <v>73.05</v>
      </c>
      <c r="L1308" s="4">
        <v>22.02</v>
      </c>
      <c r="M1308" s="4">
        <f t="shared" si="60"/>
        <v>0.24</v>
      </c>
      <c r="N1308" s="4">
        <f t="shared" si="61"/>
        <v>73.05</v>
      </c>
      <c r="O1308" s="4">
        <f t="shared" si="62"/>
        <v>-0.21</v>
      </c>
      <c r="P1308" s="3" t="s">
        <v>19</v>
      </c>
    </row>
    <row r="1309" spans="1:16" x14ac:dyDescent="0.35">
      <c r="A1309" s="3" t="s">
        <v>16</v>
      </c>
      <c r="B1309" s="3" t="str">
        <f>INDEX(State_Region!$B$2:$B$26,MATCH(TRIM(A1309),State_Region!$A$2:$A$26,0))</f>
        <v>West</v>
      </c>
      <c r="C1309" s="3" t="s">
        <v>172</v>
      </c>
      <c r="D1309" s="3" t="str">
        <f>INDEX(Port_Type!$B$2:$B$227,MATCH(TRIM(C1309),Port_Type!$A$2:$A$227,0))</f>
        <v>Sea Port</v>
      </c>
      <c r="E1309" s="3" t="s">
        <v>46</v>
      </c>
      <c r="F1309" s="3" t="str">
        <f>INDEX(Product_Category!$B$2:$B$45,MATCH(TRIM(E1309),Product_Category!$A$2:$A$45,0))</f>
        <v>Others</v>
      </c>
      <c r="G1309" s="4">
        <v>0</v>
      </c>
      <c r="H1309" s="4">
        <v>0</v>
      </c>
      <c r="I1309" s="4">
        <v>0.03</v>
      </c>
      <c r="J1309" s="4">
        <v>0</v>
      </c>
      <c r="K1309" s="4">
        <v>0</v>
      </c>
      <c r="L1309" s="4">
        <v>22</v>
      </c>
      <c r="M1309" s="4">
        <f t="shared" si="60"/>
        <v>0</v>
      </c>
      <c r="N1309" s="4">
        <f t="shared" si="61"/>
        <v>0</v>
      </c>
      <c r="O1309" s="4">
        <f t="shared" si="62"/>
        <v>0.03</v>
      </c>
      <c r="P1309" s="3" t="s">
        <v>19</v>
      </c>
    </row>
    <row r="1310" spans="1:16" x14ac:dyDescent="0.35">
      <c r="A1310" s="3" t="s">
        <v>79</v>
      </c>
      <c r="B1310" s="3" t="str">
        <f>INDEX(State_Region!$B$2:$B$26,MATCH(TRIM(A1310),State_Region!$A$2:$A$26,0))</f>
        <v>South</v>
      </c>
      <c r="C1310" s="3" t="s">
        <v>80</v>
      </c>
      <c r="D1310" s="3" t="str">
        <f>INDEX(Port_Type!$B$2:$B$227,MATCH(TRIM(C1310),Port_Type!$A$2:$A$227,0))</f>
        <v>Inland ICD / CFS</v>
      </c>
      <c r="E1310" s="3" t="s">
        <v>144</v>
      </c>
      <c r="F1310" s="3" t="str">
        <f>INDEX(Product_Category!$B$2:$B$45,MATCH(TRIM(E1310),Product_Category!$A$2:$A$45,0))</f>
        <v>Cereals &amp; Grains</v>
      </c>
      <c r="G1310" s="4">
        <v>0.06</v>
      </c>
      <c r="H1310" s="4">
        <v>0.27</v>
      </c>
      <c r="I1310" s="4">
        <v>0.03</v>
      </c>
      <c r="J1310" s="4">
        <v>70.23</v>
      </c>
      <c r="K1310" s="4">
        <v>206.08</v>
      </c>
      <c r="L1310" s="4">
        <v>25.53</v>
      </c>
      <c r="M1310" s="4">
        <f t="shared" si="60"/>
        <v>0.21000000000000002</v>
      </c>
      <c r="N1310" s="4">
        <f t="shared" si="61"/>
        <v>135.85000000000002</v>
      </c>
      <c r="O1310" s="4">
        <f t="shared" si="62"/>
        <v>-0.24000000000000002</v>
      </c>
      <c r="P1310" s="3" t="s">
        <v>19</v>
      </c>
    </row>
    <row r="1311" spans="1:16" x14ac:dyDescent="0.35">
      <c r="A1311" s="3" t="s">
        <v>66</v>
      </c>
      <c r="B1311" s="3" t="str">
        <f>INDEX(State_Region!$B$2:$B$26,MATCH(TRIM(A1311),State_Region!$A$2:$A$26,0))</f>
        <v>North</v>
      </c>
      <c r="C1311" s="3" t="s">
        <v>73</v>
      </c>
      <c r="D1311" s="3" t="str">
        <f>INDEX(Port_Type!$B$2:$B$227,MATCH(TRIM(C1311),Port_Type!$A$2:$A$227,0))</f>
        <v>Inland ICD / CFS</v>
      </c>
      <c r="E1311" s="3" t="s">
        <v>84</v>
      </c>
      <c r="F1311" s="3" t="str">
        <f>INDEX(Product_Category!$B$2:$B$45,MATCH(TRIM(E1311),Product_Category!$A$2:$A$45,0))</f>
        <v>Nuts &amp; Oilseeds</v>
      </c>
      <c r="G1311" s="4">
        <v>0.02</v>
      </c>
      <c r="H1311" s="4">
        <v>0.03</v>
      </c>
      <c r="I1311" s="4">
        <v>0.03</v>
      </c>
      <c r="J1311" s="4">
        <v>2.61</v>
      </c>
      <c r="K1311" s="4">
        <v>3</v>
      </c>
      <c r="L1311" s="4">
        <v>3.5</v>
      </c>
      <c r="M1311" s="4">
        <f t="shared" si="60"/>
        <v>9.9999999999999985E-3</v>
      </c>
      <c r="N1311" s="4">
        <f t="shared" si="61"/>
        <v>0.39000000000000012</v>
      </c>
      <c r="O1311" s="4">
        <f t="shared" si="62"/>
        <v>0</v>
      </c>
      <c r="P1311" s="3" t="s">
        <v>19</v>
      </c>
    </row>
    <row r="1312" spans="1:16" x14ac:dyDescent="0.35">
      <c r="A1312" s="3" t="s">
        <v>79</v>
      </c>
      <c r="B1312" s="3" t="str">
        <f>INDEX(State_Region!$B$2:$B$26,MATCH(TRIM(A1312),State_Region!$A$2:$A$26,0))</f>
        <v>South</v>
      </c>
      <c r="C1312" s="3" t="s">
        <v>202</v>
      </c>
      <c r="D1312" s="3" t="str">
        <f>INDEX(Port_Type!$B$2:$B$227,MATCH(TRIM(C1312),Port_Type!$A$2:$A$227,0))</f>
        <v>SEZ / EPZ</v>
      </c>
      <c r="E1312" s="3" t="s">
        <v>174</v>
      </c>
      <c r="F1312" s="3" t="str">
        <f>INDEX(Product_Category!$B$2:$B$45,MATCH(TRIM(E1312),Product_Category!$A$2:$A$45,0))</f>
        <v>Dairy, Poultry &amp; Honey</v>
      </c>
      <c r="G1312" s="4">
        <v>0</v>
      </c>
      <c r="H1312" s="4">
        <v>0.11</v>
      </c>
      <c r="I1312" s="4">
        <v>0.03</v>
      </c>
      <c r="J1312" s="4">
        <v>0</v>
      </c>
      <c r="K1312" s="4">
        <v>17.5</v>
      </c>
      <c r="L1312" s="4">
        <v>5</v>
      </c>
      <c r="M1312" s="4">
        <f t="shared" si="60"/>
        <v>0.11</v>
      </c>
      <c r="N1312" s="4">
        <f t="shared" si="61"/>
        <v>17.5</v>
      </c>
      <c r="O1312" s="4">
        <f t="shared" si="62"/>
        <v>-0.08</v>
      </c>
      <c r="P1312" s="3" t="s">
        <v>19</v>
      </c>
    </row>
    <row r="1313" spans="1:16" x14ac:dyDescent="0.35">
      <c r="A1313" s="3" t="s">
        <v>94</v>
      </c>
      <c r="B1313" s="3" t="str">
        <f>INDEX(State_Region!$B$2:$B$26,MATCH(TRIM(A1313),State_Region!$A$2:$A$26,0))</f>
        <v>East</v>
      </c>
      <c r="C1313" s="3" t="s">
        <v>112</v>
      </c>
      <c r="D1313" s="3" t="str">
        <f>INDEX(Port_Type!$B$2:$B$227,MATCH(TRIM(C1313),Port_Type!$A$2:$A$227,0))</f>
        <v>Land Border / Rail</v>
      </c>
      <c r="E1313" s="3" t="s">
        <v>142</v>
      </c>
      <c r="F1313" s="3" t="str">
        <f>INDEX(Product_Category!$B$2:$B$45,MATCH(TRIM(E1313),Product_Category!$A$2:$A$45,0))</f>
        <v>Nuts &amp; Oilseeds</v>
      </c>
      <c r="G1313" s="4">
        <v>0</v>
      </c>
      <c r="H1313" s="4">
        <v>0.1</v>
      </c>
      <c r="I1313" s="4">
        <v>0.03</v>
      </c>
      <c r="J1313" s="4">
        <v>5</v>
      </c>
      <c r="K1313" s="4">
        <v>150.06</v>
      </c>
      <c r="L1313" s="4">
        <v>32.65</v>
      </c>
      <c r="M1313" s="4">
        <f t="shared" si="60"/>
        <v>0.1</v>
      </c>
      <c r="N1313" s="4">
        <f t="shared" si="61"/>
        <v>145.06</v>
      </c>
      <c r="O1313" s="4">
        <f t="shared" si="62"/>
        <v>-7.0000000000000007E-2</v>
      </c>
      <c r="P1313" s="3" t="s">
        <v>19</v>
      </c>
    </row>
    <row r="1314" spans="1:16" x14ac:dyDescent="0.35">
      <c r="A1314" s="3" t="s">
        <v>16</v>
      </c>
      <c r="B1314" s="3" t="str">
        <f>INDEX(State_Region!$B$2:$B$26,MATCH(TRIM(A1314),State_Region!$A$2:$A$26,0))</f>
        <v>West</v>
      </c>
      <c r="C1314" s="3" t="s">
        <v>143</v>
      </c>
      <c r="D1314" s="3" t="str">
        <f>INDEX(Port_Type!$B$2:$B$227,MATCH(TRIM(C1314),Port_Type!$A$2:$A$227,0))</f>
        <v>Sea Port</v>
      </c>
      <c r="E1314" s="3" t="s">
        <v>45</v>
      </c>
      <c r="F1314" s="3" t="str">
        <f>INDEX(Product_Category!$B$2:$B$45,MATCH(TRIM(E1314),Product_Category!$A$2:$A$45,0))</f>
        <v>Fresh Fruits &amp; Vegetables</v>
      </c>
      <c r="G1314" s="4">
        <v>0</v>
      </c>
      <c r="H1314" s="4">
        <v>0</v>
      </c>
      <c r="I1314" s="4">
        <v>0.03</v>
      </c>
      <c r="J1314" s="4">
        <v>0</v>
      </c>
      <c r="K1314" s="4">
        <v>0</v>
      </c>
      <c r="L1314" s="4">
        <v>30</v>
      </c>
      <c r="M1314" s="4">
        <f t="shared" si="60"/>
        <v>0</v>
      </c>
      <c r="N1314" s="4">
        <f t="shared" si="61"/>
        <v>0</v>
      </c>
      <c r="O1314" s="4">
        <f t="shared" si="62"/>
        <v>0.03</v>
      </c>
      <c r="P1314" s="3" t="s">
        <v>19</v>
      </c>
    </row>
    <row r="1315" spans="1:16" x14ac:dyDescent="0.35">
      <c r="A1315" s="3" t="s">
        <v>20</v>
      </c>
      <c r="B1315" s="3" t="str">
        <f>INDEX(State_Region!$B$2:$B$26,MATCH(TRIM(A1315),State_Region!$A$2:$A$26,0))</f>
        <v>West</v>
      </c>
      <c r="C1315" s="3" t="s">
        <v>111</v>
      </c>
      <c r="D1315" s="3" t="str">
        <f>INDEX(Port_Type!$B$2:$B$227,MATCH(TRIM(C1315),Port_Type!$A$2:$A$227,0))</f>
        <v>Inland ICD / CFS</v>
      </c>
      <c r="E1315" s="3" t="s">
        <v>42</v>
      </c>
      <c r="F1315" s="3" t="str">
        <f>INDEX(Product_Category!$B$2:$B$45,MATCH(TRIM(E1315),Product_Category!$A$2:$A$45,0))</f>
        <v>Processed Foods</v>
      </c>
      <c r="G1315" s="4">
        <v>0.09</v>
      </c>
      <c r="H1315" s="4">
        <v>0.3</v>
      </c>
      <c r="I1315" s="4">
        <v>0.03</v>
      </c>
      <c r="J1315" s="4">
        <v>28.17</v>
      </c>
      <c r="K1315" s="4">
        <v>127.02</v>
      </c>
      <c r="L1315" s="4">
        <v>18.54</v>
      </c>
      <c r="M1315" s="4">
        <f t="shared" si="60"/>
        <v>0.21</v>
      </c>
      <c r="N1315" s="4">
        <f t="shared" si="61"/>
        <v>98.85</v>
      </c>
      <c r="O1315" s="4">
        <f t="shared" si="62"/>
        <v>-0.27</v>
      </c>
      <c r="P1315" s="3" t="s">
        <v>19</v>
      </c>
    </row>
    <row r="1316" spans="1:16" x14ac:dyDescent="0.35">
      <c r="A1316" s="3" t="s">
        <v>86</v>
      </c>
      <c r="B1316" s="3" t="str">
        <f>INDEX(State_Region!$B$2:$B$26,MATCH(TRIM(A1316),State_Region!$A$2:$A$26,0))</f>
        <v>North</v>
      </c>
      <c r="C1316" s="3" t="s">
        <v>87</v>
      </c>
      <c r="D1316" s="3" t="str">
        <f>INDEX(Port_Type!$B$2:$B$227,MATCH(TRIM(C1316),Port_Type!$A$2:$A$227,0))</f>
        <v>Air Cargo</v>
      </c>
      <c r="E1316" s="3" t="s">
        <v>122</v>
      </c>
      <c r="F1316" s="3" t="str">
        <f>INDEX(Product_Category!$B$2:$B$45,MATCH(TRIM(E1316),Product_Category!$A$2:$A$45,0))</f>
        <v>Others</v>
      </c>
      <c r="G1316" s="4">
        <v>1.1100000000000001</v>
      </c>
      <c r="H1316" s="4">
        <v>0.93</v>
      </c>
      <c r="I1316" s="4">
        <v>0.03</v>
      </c>
      <c r="J1316" s="4">
        <v>124.7</v>
      </c>
      <c r="K1316" s="4">
        <v>92.15</v>
      </c>
      <c r="L1316" s="4">
        <v>2.4500000000000002</v>
      </c>
      <c r="M1316" s="4">
        <f t="shared" si="60"/>
        <v>-0.18000000000000005</v>
      </c>
      <c r="N1316" s="4">
        <f t="shared" si="61"/>
        <v>-32.549999999999997</v>
      </c>
      <c r="O1316" s="4">
        <f t="shared" si="62"/>
        <v>-0.9</v>
      </c>
      <c r="P1316" s="3" t="s">
        <v>19</v>
      </c>
    </row>
    <row r="1317" spans="1:16" x14ac:dyDescent="0.35">
      <c r="A1317" s="3" t="s">
        <v>16</v>
      </c>
      <c r="B1317" s="3" t="str">
        <f>INDEX(State_Region!$B$2:$B$26,MATCH(TRIM(A1317),State_Region!$A$2:$A$26,0))</f>
        <v>West</v>
      </c>
      <c r="C1317" s="3" t="s">
        <v>109</v>
      </c>
      <c r="D1317" s="3" t="str">
        <f>INDEX(Port_Type!$B$2:$B$227,MATCH(TRIM(C1317),Port_Type!$A$2:$A$227,0))</f>
        <v>SEZ / EPZ</v>
      </c>
      <c r="E1317" s="3" t="s">
        <v>59</v>
      </c>
      <c r="F1317" s="3" t="str">
        <f>INDEX(Product_Category!$B$2:$B$45,MATCH(TRIM(E1317),Product_Category!$A$2:$A$45,0))</f>
        <v>Processed Foods</v>
      </c>
      <c r="G1317" s="4">
        <v>7.0000000000000007E-2</v>
      </c>
      <c r="H1317" s="4">
        <v>0.05</v>
      </c>
      <c r="I1317" s="4">
        <v>0.03</v>
      </c>
      <c r="J1317" s="4">
        <v>13.52</v>
      </c>
      <c r="K1317" s="4">
        <v>7.75</v>
      </c>
      <c r="L1317" s="4">
        <v>8.5399999999999991</v>
      </c>
      <c r="M1317" s="4">
        <f t="shared" si="60"/>
        <v>-2.0000000000000004E-2</v>
      </c>
      <c r="N1317" s="4">
        <f t="shared" si="61"/>
        <v>-5.77</v>
      </c>
      <c r="O1317" s="4">
        <f t="shared" si="62"/>
        <v>-2.0000000000000004E-2</v>
      </c>
      <c r="P1317" s="3" t="s">
        <v>19</v>
      </c>
    </row>
    <row r="1318" spans="1:16" x14ac:dyDescent="0.35">
      <c r="A1318" s="3" t="s">
        <v>74</v>
      </c>
      <c r="B1318" s="3" t="str">
        <f>INDEX(State_Region!$B$2:$B$26,MATCH(TRIM(A1318),State_Region!$A$2:$A$26,0))</f>
        <v>South</v>
      </c>
      <c r="C1318" s="3" t="s">
        <v>75</v>
      </c>
      <c r="D1318" s="3" t="str">
        <f>INDEX(Port_Type!$B$2:$B$227,MATCH(TRIM(C1318),Port_Type!$A$2:$A$227,0))</f>
        <v>Inland ICD / CFS</v>
      </c>
      <c r="E1318" s="3" t="s">
        <v>45</v>
      </c>
      <c r="F1318" s="3" t="str">
        <f>INDEX(Product_Category!$B$2:$B$45,MATCH(TRIM(E1318),Product_Category!$A$2:$A$45,0))</f>
        <v>Fresh Fruits &amp; Vegetables</v>
      </c>
      <c r="G1318" s="4">
        <v>0.01</v>
      </c>
      <c r="H1318" s="4">
        <v>0.06</v>
      </c>
      <c r="I1318" s="4">
        <v>0.03</v>
      </c>
      <c r="J1318" s="4">
        <v>1.87</v>
      </c>
      <c r="K1318" s="4">
        <v>10.99</v>
      </c>
      <c r="L1318" s="4">
        <v>6.84</v>
      </c>
      <c r="M1318" s="4">
        <f t="shared" si="60"/>
        <v>4.9999999999999996E-2</v>
      </c>
      <c r="N1318" s="4">
        <f t="shared" si="61"/>
        <v>9.120000000000001</v>
      </c>
      <c r="O1318" s="4">
        <f t="shared" si="62"/>
        <v>-0.03</v>
      </c>
      <c r="P1318" s="3" t="s">
        <v>19</v>
      </c>
    </row>
    <row r="1319" spans="1:16" x14ac:dyDescent="0.35">
      <c r="A1319" s="3" t="s">
        <v>40</v>
      </c>
      <c r="B1319" s="3" t="str">
        <f>INDEX(State_Region!$B$2:$B$26,MATCH(TRIM(A1319),State_Region!$A$2:$A$26,0))</f>
        <v>South</v>
      </c>
      <c r="C1319" s="3" t="s">
        <v>41</v>
      </c>
      <c r="D1319" s="3" t="str">
        <f>INDEX(Port_Type!$B$2:$B$227,MATCH(TRIM(C1319),Port_Type!$A$2:$A$227,0))</f>
        <v>Sea Port</v>
      </c>
      <c r="E1319" s="3" t="s">
        <v>46</v>
      </c>
      <c r="F1319" s="3" t="str">
        <f>INDEX(Product_Category!$B$2:$B$45,MATCH(TRIM(E1319),Product_Category!$A$2:$A$45,0))</f>
        <v>Others</v>
      </c>
      <c r="G1319" s="4">
        <v>0.04</v>
      </c>
      <c r="H1319" s="4">
        <v>0.02</v>
      </c>
      <c r="I1319" s="4">
        <v>0.03</v>
      </c>
      <c r="J1319" s="4">
        <v>36.22</v>
      </c>
      <c r="K1319" s="4">
        <v>16.46</v>
      </c>
      <c r="L1319" s="4">
        <v>23.07</v>
      </c>
      <c r="M1319" s="4">
        <f t="shared" si="60"/>
        <v>-0.02</v>
      </c>
      <c r="N1319" s="4">
        <f t="shared" si="61"/>
        <v>-19.759999999999998</v>
      </c>
      <c r="O1319" s="4">
        <f t="shared" si="62"/>
        <v>9.9999999999999985E-3</v>
      </c>
      <c r="P1319" s="3" t="s">
        <v>19</v>
      </c>
    </row>
    <row r="1320" spans="1:16" x14ac:dyDescent="0.35">
      <c r="A1320" s="3" t="s">
        <v>31</v>
      </c>
      <c r="B1320" s="3" t="str">
        <f>INDEX(State_Region!$B$2:$B$26,MATCH(TRIM(A1320),State_Region!$A$2:$A$26,0))</f>
        <v>East</v>
      </c>
      <c r="C1320" s="3" t="s">
        <v>215</v>
      </c>
      <c r="D1320" s="3" t="str">
        <f>INDEX(Port_Type!$B$2:$B$227,MATCH(TRIM(C1320),Port_Type!$A$2:$A$227,0))</f>
        <v>Land Border / Rail</v>
      </c>
      <c r="E1320" s="3" t="s">
        <v>39</v>
      </c>
      <c r="F1320" s="3" t="str">
        <f>INDEX(Product_Category!$B$2:$B$45,MATCH(TRIM(E1320),Product_Category!$A$2:$A$45,0))</f>
        <v>Processed Foods</v>
      </c>
      <c r="G1320" s="4">
        <v>0.09</v>
      </c>
      <c r="H1320" s="4">
        <v>0.04</v>
      </c>
      <c r="I1320" s="4">
        <v>0.03</v>
      </c>
      <c r="J1320" s="4">
        <v>37.22</v>
      </c>
      <c r="K1320" s="4">
        <v>22.59</v>
      </c>
      <c r="L1320" s="4">
        <v>18.5</v>
      </c>
      <c r="M1320" s="4">
        <f t="shared" si="60"/>
        <v>-4.9999999999999996E-2</v>
      </c>
      <c r="N1320" s="4">
        <f t="shared" si="61"/>
        <v>-14.629999999999999</v>
      </c>
      <c r="O1320" s="4">
        <f t="shared" si="62"/>
        <v>-1.0000000000000002E-2</v>
      </c>
      <c r="P1320" s="3" t="s">
        <v>19</v>
      </c>
    </row>
    <row r="1321" spans="1:16" x14ac:dyDescent="0.35">
      <c r="A1321" s="3" t="s">
        <v>40</v>
      </c>
      <c r="B1321" s="3" t="str">
        <f>INDEX(State_Region!$B$2:$B$26,MATCH(TRIM(A1321),State_Region!$A$2:$A$26,0))</f>
        <v>South</v>
      </c>
      <c r="C1321" s="3" t="s">
        <v>220</v>
      </c>
      <c r="D1321" s="3" t="str">
        <f>INDEX(Port_Type!$B$2:$B$227,MATCH(TRIM(C1321),Port_Type!$A$2:$A$227,0))</f>
        <v>Inland ICD / CFS</v>
      </c>
      <c r="E1321" s="3" t="s">
        <v>48</v>
      </c>
      <c r="F1321" s="3" t="str">
        <f>INDEX(Product_Category!$B$2:$B$45,MATCH(TRIM(E1321),Product_Category!$A$2:$A$45,0))</f>
        <v>Processed Foods</v>
      </c>
      <c r="G1321" s="4">
        <v>0.03</v>
      </c>
      <c r="H1321" s="4">
        <v>0.13</v>
      </c>
      <c r="I1321" s="4">
        <v>0.03</v>
      </c>
      <c r="J1321" s="4">
        <v>9.07</v>
      </c>
      <c r="K1321" s="4">
        <v>58.35</v>
      </c>
      <c r="L1321" s="4">
        <v>15.32</v>
      </c>
      <c r="M1321" s="4">
        <f t="shared" si="60"/>
        <v>0.1</v>
      </c>
      <c r="N1321" s="4">
        <f t="shared" si="61"/>
        <v>49.28</v>
      </c>
      <c r="O1321" s="4">
        <f t="shared" si="62"/>
        <v>-0.1</v>
      </c>
      <c r="P1321" s="3" t="s">
        <v>19</v>
      </c>
    </row>
    <row r="1322" spans="1:16" x14ac:dyDescent="0.35">
      <c r="A1322" s="3" t="s">
        <v>31</v>
      </c>
      <c r="B1322" s="3" t="str">
        <f>INDEX(State_Region!$B$2:$B$26,MATCH(TRIM(A1322),State_Region!$A$2:$A$26,0))</f>
        <v>East</v>
      </c>
      <c r="C1322" s="3" t="s">
        <v>139</v>
      </c>
      <c r="D1322" s="3" t="str">
        <f>INDEX(Port_Type!$B$2:$B$227,MATCH(TRIM(C1322),Port_Type!$A$2:$A$227,0))</f>
        <v>Land Border / Rail</v>
      </c>
      <c r="E1322" s="3" t="s">
        <v>118</v>
      </c>
      <c r="F1322" s="3" t="str">
        <f>INDEX(Product_Category!$B$2:$B$45,MATCH(TRIM(E1322),Product_Category!$A$2:$A$45,0))</f>
        <v>Dairy, Poultry &amp; Honey</v>
      </c>
      <c r="G1322" s="4">
        <v>0</v>
      </c>
      <c r="H1322" s="4">
        <v>0.06</v>
      </c>
      <c r="I1322" s="4">
        <v>0.03</v>
      </c>
      <c r="J1322" s="4">
        <v>0</v>
      </c>
      <c r="K1322" s="4">
        <v>40</v>
      </c>
      <c r="L1322" s="4">
        <v>20</v>
      </c>
      <c r="M1322" s="4">
        <f t="shared" si="60"/>
        <v>0.06</v>
      </c>
      <c r="N1322" s="4">
        <f t="shared" si="61"/>
        <v>40</v>
      </c>
      <c r="O1322" s="4">
        <f t="shared" si="62"/>
        <v>-0.03</v>
      </c>
      <c r="P1322" s="3" t="s">
        <v>19</v>
      </c>
    </row>
    <row r="1323" spans="1:16" x14ac:dyDescent="0.35">
      <c r="A1323" s="3" t="s">
        <v>35</v>
      </c>
      <c r="B1323" s="3" t="str">
        <f>INDEX(State_Region!$B$2:$B$26,MATCH(TRIM(A1323),State_Region!$A$2:$A$26,0))</f>
        <v>North</v>
      </c>
      <c r="C1323" s="3" t="s">
        <v>88</v>
      </c>
      <c r="D1323" s="3" t="str">
        <f>INDEX(Port_Type!$B$2:$B$227,MATCH(TRIM(C1323),Port_Type!$A$2:$A$227,0))</f>
        <v>Inland ICD / CFS</v>
      </c>
      <c r="E1323" s="3" t="s">
        <v>118</v>
      </c>
      <c r="F1323" s="3" t="str">
        <f>INDEX(Product_Category!$B$2:$B$45,MATCH(TRIM(E1323),Product_Category!$A$2:$A$45,0))</f>
        <v>Dairy, Poultry &amp; Honey</v>
      </c>
      <c r="G1323" s="4">
        <v>0.3</v>
      </c>
      <c r="H1323" s="4">
        <v>0.02</v>
      </c>
      <c r="I1323" s="4">
        <v>0.03</v>
      </c>
      <c r="J1323" s="4">
        <v>99.14</v>
      </c>
      <c r="K1323" s="4">
        <v>7.68</v>
      </c>
      <c r="L1323" s="4">
        <v>18.03</v>
      </c>
      <c r="M1323" s="4">
        <f t="shared" si="60"/>
        <v>-0.27999999999999997</v>
      </c>
      <c r="N1323" s="4">
        <f t="shared" si="61"/>
        <v>-91.460000000000008</v>
      </c>
      <c r="O1323" s="4">
        <f t="shared" si="62"/>
        <v>9.9999999999999985E-3</v>
      </c>
      <c r="P1323" s="3" t="s">
        <v>19</v>
      </c>
    </row>
    <row r="1324" spans="1:16" x14ac:dyDescent="0.35">
      <c r="A1324" s="3" t="s">
        <v>23</v>
      </c>
      <c r="B1324" s="3" t="str">
        <f>INDEX(State_Region!$B$2:$B$26,MATCH(TRIM(A1324),State_Region!$A$2:$A$26,0))</f>
        <v>North</v>
      </c>
      <c r="C1324" s="3" t="s">
        <v>191</v>
      </c>
      <c r="D1324" s="3" t="str">
        <f>INDEX(Port_Type!$B$2:$B$227,MATCH(TRIM(C1324),Port_Type!$A$2:$A$227,0))</f>
        <v>Land Border / Rail</v>
      </c>
      <c r="E1324" s="3" t="s">
        <v>76</v>
      </c>
      <c r="F1324" s="3" t="str">
        <f>INDEX(Product_Category!$B$2:$B$45,MATCH(TRIM(E1324),Product_Category!$A$2:$A$45,0))</f>
        <v>Fresh Fruits &amp; Vegetables</v>
      </c>
      <c r="G1324" s="4">
        <v>0</v>
      </c>
      <c r="H1324" s="4">
        <v>0.23</v>
      </c>
      <c r="I1324" s="4">
        <v>0.03</v>
      </c>
      <c r="J1324" s="4">
        <v>0</v>
      </c>
      <c r="K1324" s="4">
        <v>495.14</v>
      </c>
      <c r="L1324" s="4">
        <v>58.78</v>
      </c>
      <c r="M1324" s="4">
        <f t="shared" si="60"/>
        <v>0.23</v>
      </c>
      <c r="N1324" s="4">
        <f t="shared" si="61"/>
        <v>495.14</v>
      </c>
      <c r="O1324" s="4">
        <f t="shared" si="62"/>
        <v>-0.2</v>
      </c>
      <c r="P1324" s="3" t="s">
        <v>19</v>
      </c>
    </row>
    <row r="1325" spans="1:16" x14ac:dyDescent="0.35">
      <c r="A1325" s="3" t="s">
        <v>77</v>
      </c>
      <c r="B1325" s="3" t="str">
        <f>INDEX(State_Region!$B$2:$B$26,MATCH(TRIM(A1325),State_Region!$A$2:$A$26,0))</f>
        <v>South</v>
      </c>
      <c r="C1325" s="3" t="s">
        <v>132</v>
      </c>
      <c r="D1325" s="3" t="str">
        <f>INDEX(Port_Type!$B$2:$B$227,MATCH(TRIM(C1325),Port_Type!$A$2:$A$227,0))</f>
        <v>Air Cargo</v>
      </c>
      <c r="E1325" s="3" t="s">
        <v>53</v>
      </c>
      <c r="F1325" s="3" t="str">
        <f>INDEX(Product_Category!$B$2:$B$45,MATCH(TRIM(E1325),Product_Category!$A$2:$A$45,0))</f>
        <v>Processed Foods</v>
      </c>
      <c r="G1325" s="4">
        <v>0.02</v>
      </c>
      <c r="H1325" s="4">
        <v>0.02</v>
      </c>
      <c r="I1325" s="4">
        <v>0.03</v>
      </c>
      <c r="J1325" s="4">
        <v>5.08</v>
      </c>
      <c r="K1325" s="4">
        <v>5.15</v>
      </c>
      <c r="L1325" s="4">
        <v>6.93</v>
      </c>
      <c r="M1325" s="4">
        <f t="shared" si="60"/>
        <v>0</v>
      </c>
      <c r="N1325" s="4">
        <f t="shared" si="61"/>
        <v>7.0000000000000284E-2</v>
      </c>
      <c r="O1325" s="4">
        <f t="shared" si="62"/>
        <v>9.9999999999999985E-3</v>
      </c>
      <c r="P1325" s="3" t="s">
        <v>19</v>
      </c>
    </row>
    <row r="1326" spans="1:16" x14ac:dyDescent="0.35">
      <c r="A1326" s="3" t="s">
        <v>79</v>
      </c>
      <c r="B1326" s="3" t="str">
        <f>INDEX(State_Region!$B$2:$B$26,MATCH(TRIM(A1326),State_Region!$A$2:$A$26,0))</f>
        <v>South</v>
      </c>
      <c r="C1326" s="3" t="s">
        <v>92</v>
      </c>
      <c r="D1326" s="3" t="str">
        <f>INDEX(Port_Type!$B$2:$B$227,MATCH(TRIM(C1326),Port_Type!$A$2:$A$227,0))</f>
        <v>Air Cargo</v>
      </c>
      <c r="E1326" s="3" t="s">
        <v>59</v>
      </c>
      <c r="F1326" s="3" t="str">
        <f>INDEX(Product_Category!$B$2:$B$45,MATCH(TRIM(E1326),Product_Category!$A$2:$A$45,0))</f>
        <v>Processed Foods</v>
      </c>
      <c r="G1326" s="4">
        <v>0.02</v>
      </c>
      <c r="H1326" s="4">
        <v>0.08</v>
      </c>
      <c r="I1326" s="4">
        <v>0.03</v>
      </c>
      <c r="J1326" s="4">
        <v>1.41</v>
      </c>
      <c r="K1326" s="4">
        <v>3.27</v>
      </c>
      <c r="L1326" s="4">
        <v>0.82</v>
      </c>
      <c r="M1326" s="4">
        <f t="shared" si="60"/>
        <v>0.06</v>
      </c>
      <c r="N1326" s="4">
        <f t="shared" si="61"/>
        <v>1.86</v>
      </c>
      <c r="O1326" s="4">
        <f t="shared" si="62"/>
        <v>-0.05</v>
      </c>
      <c r="P1326" s="3" t="s">
        <v>19</v>
      </c>
    </row>
    <row r="1327" spans="1:16" x14ac:dyDescent="0.35">
      <c r="A1327" s="3" t="s">
        <v>77</v>
      </c>
      <c r="B1327" s="3" t="str">
        <f>INDEX(State_Region!$B$2:$B$26,MATCH(TRIM(A1327),State_Region!$A$2:$A$26,0))</f>
        <v>South</v>
      </c>
      <c r="C1327" s="3" t="s">
        <v>132</v>
      </c>
      <c r="D1327" s="3" t="str">
        <f>INDEX(Port_Type!$B$2:$B$227,MATCH(TRIM(C1327),Port_Type!$A$2:$A$227,0))</f>
        <v>Air Cargo</v>
      </c>
      <c r="E1327" s="3" t="s">
        <v>150</v>
      </c>
      <c r="F1327" s="3" t="str">
        <f>INDEX(Product_Category!$B$2:$B$45,MATCH(TRIM(E1327),Product_Category!$A$2:$A$45,0))</f>
        <v>Nuts &amp; Oilseeds</v>
      </c>
      <c r="G1327" s="4">
        <v>0.13</v>
      </c>
      <c r="H1327" s="4">
        <v>0.01</v>
      </c>
      <c r="I1327" s="4">
        <v>0.03</v>
      </c>
      <c r="J1327" s="4">
        <v>19.86</v>
      </c>
      <c r="K1327" s="4">
        <v>2.0499999999999998</v>
      </c>
      <c r="L1327" s="4">
        <v>2.9</v>
      </c>
      <c r="M1327" s="4">
        <f t="shared" si="60"/>
        <v>-0.12000000000000001</v>
      </c>
      <c r="N1327" s="4">
        <f t="shared" si="61"/>
        <v>-17.809999999999999</v>
      </c>
      <c r="O1327" s="4">
        <f t="shared" si="62"/>
        <v>1.9999999999999997E-2</v>
      </c>
      <c r="P1327" s="3" t="s">
        <v>19</v>
      </c>
    </row>
    <row r="1328" spans="1:16" x14ac:dyDescent="0.35">
      <c r="A1328" s="3" t="s">
        <v>23</v>
      </c>
      <c r="B1328" s="3" t="str">
        <f>INDEX(State_Region!$B$2:$B$26,MATCH(TRIM(A1328),State_Region!$A$2:$A$26,0))</f>
        <v>North</v>
      </c>
      <c r="C1328" s="3" t="s">
        <v>24</v>
      </c>
      <c r="D1328" s="3" t="str">
        <f>INDEX(Port_Type!$B$2:$B$227,MATCH(TRIM(C1328),Port_Type!$A$2:$A$227,0))</f>
        <v>Inland ICD / CFS</v>
      </c>
      <c r="E1328" s="3" t="s">
        <v>118</v>
      </c>
      <c r="F1328" s="3" t="str">
        <f>INDEX(Product_Category!$B$2:$B$45,MATCH(TRIM(E1328),Product_Category!$A$2:$A$45,0))</f>
        <v>Dairy, Poultry &amp; Honey</v>
      </c>
      <c r="G1328" s="4">
        <v>0</v>
      </c>
      <c r="H1328" s="4">
        <v>0</v>
      </c>
      <c r="I1328" s="4">
        <v>0.03</v>
      </c>
      <c r="J1328" s="4">
        <v>0.12</v>
      </c>
      <c r="K1328" s="4">
        <v>0.36</v>
      </c>
      <c r="L1328" s="4">
        <v>13.06</v>
      </c>
      <c r="M1328" s="4">
        <f t="shared" si="60"/>
        <v>0</v>
      </c>
      <c r="N1328" s="4">
        <f t="shared" si="61"/>
        <v>0.24</v>
      </c>
      <c r="O1328" s="4">
        <f t="shared" si="62"/>
        <v>0.03</v>
      </c>
      <c r="P1328" s="3" t="s">
        <v>19</v>
      </c>
    </row>
    <row r="1329" spans="1:16" x14ac:dyDescent="0.35">
      <c r="A1329" s="3" t="s">
        <v>16</v>
      </c>
      <c r="B1329" s="3" t="str">
        <f>INDEX(State_Region!$B$2:$B$26,MATCH(TRIM(A1329),State_Region!$A$2:$A$26,0))</f>
        <v>West</v>
      </c>
      <c r="C1329" s="3" t="s">
        <v>115</v>
      </c>
      <c r="D1329" s="3" t="str">
        <f>INDEX(Port_Type!$B$2:$B$227,MATCH(TRIM(C1329),Port_Type!$A$2:$A$227,0))</f>
        <v>Inland ICD / CFS</v>
      </c>
      <c r="E1329" s="3" t="s">
        <v>53</v>
      </c>
      <c r="F1329" s="3" t="str">
        <f>INDEX(Product_Category!$B$2:$B$45,MATCH(TRIM(E1329),Product_Category!$A$2:$A$45,0))</f>
        <v>Processed Foods</v>
      </c>
      <c r="G1329" s="4">
        <v>0.01</v>
      </c>
      <c r="H1329" s="4">
        <v>7.0000000000000007E-2</v>
      </c>
      <c r="I1329" s="4">
        <v>0.03</v>
      </c>
      <c r="J1329" s="4">
        <v>12.78</v>
      </c>
      <c r="K1329" s="4">
        <v>72.88</v>
      </c>
      <c r="L1329" s="4">
        <v>31.1</v>
      </c>
      <c r="M1329" s="4">
        <f t="shared" si="60"/>
        <v>6.0000000000000005E-2</v>
      </c>
      <c r="N1329" s="4">
        <f t="shared" si="61"/>
        <v>60.099999999999994</v>
      </c>
      <c r="O1329" s="4">
        <f t="shared" si="62"/>
        <v>-4.0000000000000008E-2</v>
      </c>
      <c r="P1329" s="3" t="s">
        <v>19</v>
      </c>
    </row>
    <row r="1330" spans="1:16" x14ac:dyDescent="0.35">
      <c r="A1330" s="3" t="s">
        <v>74</v>
      </c>
      <c r="B1330" s="3" t="str">
        <f>INDEX(State_Region!$B$2:$B$26,MATCH(TRIM(A1330),State_Region!$A$2:$A$26,0))</f>
        <v>South</v>
      </c>
      <c r="C1330" s="3" t="s">
        <v>137</v>
      </c>
      <c r="D1330" s="3" t="str">
        <f>INDEX(Port_Type!$B$2:$B$227,MATCH(TRIM(C1330),Port_Type!$A$2:$A$227,0))</f>
        <v>Air Cargo</v>
      </c>
      <c r="E1330" s="3" t="s">
        <v>54</v>
      </c>
      <c r="F1330" s="3" t="str">
        <f>INDEX(Product_Category!$B$2:$B$45,MATCH(TRIM(E1330),Product_Category!$A$2:$A$45,0))</f>
        <v>Processed Foods</v>
      </c>
      <c r="G1330" s="4">
        <v>0.06</v>
      </c>
      <c r="H1330" s="4">
        <v>0.06</v>
      </c>
      <c r="I1330" s="4">
        <v>0.03</v>
      </c>
      <c r="J1330" s="4">
        <v>9.8699999999999992</v>
      </c>
      <c r="K1330" s="4">
        <v>1.43</v>
      </c>
      <c r="L1330" s="4">
        <v>3.82</v>
      </c>
      <c r="M1330" s="4">
        <f t="shared" si="60"/>
        <v>0</v>
      </c>
      <c r="N1330" s="4">
        <f t="shared" si="61"/>
        <v>-8.44</v>
      </c>
      <c r="O1330" s="4">
        <f t="shared" si="62"/>
        <v>-0.03</v>
      </c>
      <c r="P1330" s="3" t="s">
        <v>19</v>
      </c>
    </row>
    <row r="1331" spans="1:16" x14ac:dyDescent="0.35">
      <c r="A1331" s="3" t="s">
        <v>16</v>
      </c>
      <c r="B1331" s="3" t="str">
        <f>INDEX(State_Region!$B$2:$B$26,MATCH(TRIM(A1331),State_Region!$A$2:$A$26,0))</f>
        <v>West</v>
      </c>
      <c r="C1331" s="3" t="s">
        <v>135</v>
      </c>
      <c r="D1331" s="3" t="str">
        <f>INDEX(Port_Type!$B$2:$B$227,MATCH(TRIM(C1331),Port_Type!$A$2:$A$227,0))</f>
        <v>Air Cargo</v>
      </c>
      <c r="E1331" s="3" t="s">
        <v>59</v>
      </c>
      <c r="F1331" s="3" t="str">
        <f>INDEX(Product_Category!$B$2:$B$45,MATCH(TRIM(E1331),Product_Category!$A$2:$A$45,0))</f>
        <v>Processed Foods</v>
      </c>
      <c r="G1331" s="4">
        <v>0.16</v>
      </c>
      <c r="H1331" s="4">
        <v>0.1</v>
      </c>
      <c r="I1331" s="4">
        <v>0.03</v>
      </c>
      <c r="J1331" s="4">
        <v>11.17</v>
      </c>
      <c r="K1331" s="4">
        <v>9.61</v>
      </c>
      <c r="L1331" s="4">
        <v>2.4900000000000002</v>
      </c>
      <c r="M1331" s="4">
        <f t="shared" si="60"/>
        <v>-0.06</v>
      </c>
      <c r="N1331" s="4">
        <f t="shared" si="61"/>
        <v>-1.5600000000000005</v>
      </c>
      <c r="O1331" s="4">
        <f t="shared" si="62"/>
        <v>-7.0000000000000007E-2</v>
      </c>
      <c r="P1331" s="3" t="s">
        <v>19</v>
      </c>
    </row>
    <row r="1332" spans="1:16" x14ac:dyDescent="0.35">
      <c r="A1332" s="3" t="s">
        <v>79</v>
      </c>
      <c r="B1332" s="3" t="str">
        <f>INDEX(State_Region!$B$2:$B$26,MATCH(TRIM(A1332),State_Region!$A$2:$A$26,0))</f>
        <v>South</v>
      </c>
      <c r="C1332" s="3" t="s">
        <v>91</v>
      </c>
      <c r="D1332" s="3" t="str">
        <f>INDEX(Port_Type!$B$2:$B$227,MATCH(TRIM(C1332),Port_Type!$A$2:$A$227,0))</f>
        <v>Sea Port</v>
      </c>
      <c r="E1332" s="3" t="s">
        <v>27</v>
      </c>
      <c r="F1332" s="3" t="str">
        <f>INDEX(Product_Category!$B$2:$B$45,MATCH(TRIM(E1332),Product_Category!$A$2:$A$45,0))</f>
        <v>Cereals &amp; Grains</v>
      </c>
      <c r="G1332" s="4">
        <v>0.33</v>
      </c>
      <c r="H1332" s="4">
        <v>7.0000000000000007E-2</v>
      </c>
      <c r="I1332" s="4">
        <v>0.03</v>
      </c>
      <c r="J1332" s="4">
        <v>575.01</v>
      </c>
      <c r="K1332" s="4">
        <v>129.12</v>
      </c>
      <c r="L1332" s="4">
        <v>45.39</v>
      </c>
      <c r="M1332" s="4">
        <f t="shared" si="60"/>
        <v>-0.26</v>
      </c>
      <c r="N1332" s="4">
        <f t="shared" si="61"/>
        <v>-445.89</v>
      </c>
      <c r="O1332" s="4">
        <f t="shared" si="62"/>
        <v>-4.0000000000000008E-2</v>
      </c>
      <c r="P1332" s="3" t="s">
        <v>19</v>
      </c>
    </row>
    <row r="1333" spans="1:16" x14ac:dyDescent="0.35">
      <c r="A1333" s="3" t="s">
        <v>25</v>
      </c>
      <c r="B1333" s="3" t="str">
        <f>INDEX(State_Region!$B$2:$B$26,MATCH(TRIM(A1333),State_Region!$A$2:$A$26,0))</f>
        <v>South</v>
      </c>
      <c r="C1333" s="3" t="s">
        <v>29</v>
      </c>
      <c r="D1333" s="3" t="str">
        <f>INDEX(Port_Type!$B$2:$B$227,MATCH(TRIM(C1333),Port_Type!$A$2:$A$227,0))</f>
        <v>Sea Port</v>
      </c>
      <c r="E1333" s="3" t="s">
        <v>33</v>
      </c>
      <c r="F1333" s="3" t="str">
        <f>INDEX(Product_Category!$B$2:$B$45,MATCH(TRIM(E1333),Product_Category!$A$2:$A$45,0))</f>
        <v>Pulses</v>
      </c>
      <c r="G1333" s="4">
        <v>0.03</v>
      </c>
      <c r="H1333" s="4">
        <v>0.09</v>
      </c>
      <c r="I1333" s="4">
        <v>0.03</v>
      </c>
      <c r="J1333" s="4">
        <v>22.67</v>
      </c>
      <c r="K1333" s="4">
        <v>76.3</v>
      </c>
      <c r="L1333" s="4">
        <v>30.77</v>
      </c>
      <c r="M1333" s="4">
        <f t="shared" si="60"/>
        <v>0.06</v>
      </c>
      <c r="N1333" s="4">
        <f t="shared" si="61"/>
        <v>53.629999999999995</v>
      </c>
      <c r="O1333" s="4">
        <f t="shared" si="62"/>
        <v>-0.06</v>
      </c>
      <c r="P1333" s="3" t="s">
        <v>19</v>
      </c>
    </row>
    <row r="1334" spans="1:16" x14ac:dyDescent="0.35">
      <c r="A1334" s="3" t="s">
        <v>31</v>
      </c>
      <c r="B1334" s="3" t="str">
        <f>INDEX(State_Region!$B$2:$B$26,MATCH(TRIM(A1334),State_Region!$A$2:$A$26,0))</f>
        <v>East</v>
      </c>
      <c r="C1334" s="3" t="s">
        <v>171</v>
      </c>
      <c r="D1334" s="3" t="str">
        <f>INDEX(Port_Type!$B$2:$B$227,MATCH(TRIM(C1334),Port_Type!$A$2:$A$227,0))</f>
        <v>Land Border / Rail</v>
      </c>
      <c r="E1334" s="3" t="s">
        <v>54</v>
      </c>
      <c r="F1334" s="3" t="str">
        <f>INDEX(Product_Category!$B$2:$B$45,MATCH(TRIM(E1334),Product_Category!$A$2:$A$45,0))</f>
        <v>Processed Foods</v>
      </c>
      <c r="G1334" s="4">
        <v>0.14000000000000001</v>
      </c>
      <c r="H1334" s="4">
        <v>0.17</v>
      </c>
      <c r="I1334" s="4">
        <v>0.03</v>
      </c>
      <c r="J1334" s="4">
        <v>417.26</v>
      </c>
      <c r="K1334" s="4">
        <v>447.29</v>
      </c>
      <c r="L1334" s="4">
        <v>70.41</v>
      </c>
      <c r="M1334" s="4">
        <f t="shared" si="60"/>
        <v>0.03</v>
      </c>
      <c r="N1334" s="4">
        <f t="shared" si="61"/>
        <v>30.03000000000003</v>
      </c>
      <c r="O1334" s="4">
        <f t="shared" si="62"/>
        <v>-0.14000000000000001</v>
      </c>
      <c r="P1334" s="3" t="s">
        <v>19</v>
      </c>
    </row>
    <row r="1335" spans="1:16" x14ac:dyDescent="0.35">
      <c r="A1335" s="3" t="s">
        <v>31</v>
      </c>
      <c r="B1335" s="3" t="str">
        <f>INDEX(State_Region!$B$2:$B$26,MATCH(TRIM(A1335),State_Region!$A$2:$A$26,0))</f>
        <v>East</v>
      </c>
      <c r="C1335" s="3" t="s">
        <v>101</v>
      </c>
      <c r="D1335" s="3" t="str">
        <f>INDEX(Port_Type!$B$2:$B$227,MATCH(TRIM(C1335),Port_Type!$A$2:$A$227,0))</f>
        <v>Land Border / Rail</v>
      </c>
      <c r="E1335" s="3" t="s">
        <v>39</v>
      </c>
      <c r="F1335" s="3" t="str">
        <f>INDEX(Product_Category!$B$2:$B$45,MATCH(TRIM(E1335),Product_Category!$A$2:$A$45,0))</f>
        <v>Processed Foods</v>
      </c>
      <c r="G1335" s="4">
        <v>7.0000000000000007E-2</v>
      </c>
      <c r="H1335" s="4">
        <v>0.09</v>
      </c>
      <c r="I1335" s="4">
        <v>0.03</v>
      </c>
      <c r="J1335" s="4">
        <v>78.05</v>
      </c>
      <c r="K1335" s="4">
        <v>88.31</v>
      </c>
      <c r="L1335" s="4">
        <v>27.3</v>
      </c>
      <c r="M1335" s="4">
        <f t="shared" si="60"/>
        <v>1.999999999999999E-2</v>
      </c>
      <c r="N1335" s="4">
        <f t="shared" si="61"/>
        <v>10.260000000000005</v>
      </c>
      <c r="O1335" s="4">
        <f t="shared" si="62"/>
        <v>-0.06</v>
      </c>
      <c r="P1335" s="3" t="s">
        <v>19</v>
      </c>
    </row>
    <row r="1336" spans="1:16" x14ac:dyDescent="0.35">
      <c r="A1336" s="3" t="s">
        <v>23</v>
      </c>
      <c r="B1336" s="3" t="str">
        <f>INDEX(State_Region!$B$2:$B$26,MATCH(TRIM(A1336),State_Region!$A$2:$A$26,0))</f>
        <v>North</v>
      </c>
      <c r="C1336" s="3" t="s">
        <v>123</v>
      </c>
      <c r="D1336" s="3" t="str">
        <f>INDEX(Port_Type!$B$2:$B$227,MATCH(TRIM(C1336),Port_Type!$A$2:$A$227,0))</f>
        <v>Land Border / Rail</v>
      </c>
      <c r="E1336" s="3" t="s">
        <v>122</v>
      </c>
      <c r="F1336" s="3" t="str">
        <f>INDEX(Product_Category!$B$2:$B$45,MATCH(TRIM(E1336),Product_Category!$A$2:$A$45,0))</f>
        <v>Others</v>
      </c>
      <c r="G1336" s="4">
        <v>0.13</v>
      </c>
      <c r="H1336" s="4">
        <v>0.03</v>
      </c>
      <c r="I1336" s="4">
        <v>0.03</v>
      </c>
      <c r="J1336" s="4">
        <v>561.29999999999995</v>
      </c>
      <c r="K1336" s="4">
        <v>37.369999999999997</v>
      </c>
      <c r="L1336" s="4">
        <v>14.37</v>
      </c>
      <c r="M1336" s="4">
        <f t="shared" si="60"/>
        <v>-0.1</v>
      </c>
      <c r="N1336" s="4">
        <f t="shared" si="61"/>
        <v>-523.92999999999995</v>
      </c>
      <c r="O1336" s="4">
        <f t="shared" si="62"/>
        <v>0</v>
      </c>
      <c r="P1336" s="3" t="s">
        <v>19</v>
      </c>
    </row>
    <row r="1337" spans="1:16" x14ac:dyDescent="0.35">
      <c r="A1337" s="3" t="s">
        <v>31</v>
      </c>
      <c r="B1337" s="3" t="str">
        <f>INDEX(State_Region!$B$2:$B$26,MATCH(TRIM(A1337),State_Region!$A$2:$A$26,0))</f>
        <v>East</v>
      </c>
      <c r="C1337" s="3" t="s">
        <v>192</v>
      </c>
      <c r="D1337" s="3" t="str">
        <f>INDEX(Port_Type!$B$2:$B$227,MATCH(TRIM(C1337),Port_Type!$A$2:$A$227,0))</f>
        <v>Air Cargo</v>
      </c>
      <c r="E1337" s="3" t="s">
        <v>128</v>
      </c>
      <c r="F1337" s="3" t="str">
        <f>INDEX(Product_Category!$B$2:$B$45,MATCH(TRIM(E1337),Product_Category!$A$2:$A$45,0))</f>
        <v>Dairy, Poultry &amp; Honey</v>
      </c>
      <c r="G1337" s="4">
        <v>0.06</v>
      </c>
      <c r="H1337" s="4">
        <v>0.01</v>
      </c>
      <c r="I1337" s="4">
        <v>0.03</v>
      </c>
      <c r="J1337" s="4">
        <v>0.63</v>
      </c>
      <c r="K1337" s="4">
        <v>0.09</v>
      </c>
      <c r="L1337" s="4">
        <v>0.23</v>
      </c>
      <c r="M1337" s="4">
        <f t="shared" si="60"/>
        <v>-4.9999999999999996E-2</v>
      </c>
      <c r="N1337" s="4">
        <f t="shared" si="61"/>
        <v>-0.54</v>
      </c>
      <c r="O1337" s="4">
        <f t="shared" si="62"/>
        <v>1.9999999999999997E-2</v>
      </c>
      <c r="P1337" s="3" t="s">
        <v>19</v>
      </c>
    </row>
    <row r="1338" spans="1:16" x14ac:dyDescent="0.35">
      <c r="A1338" s="3" t="s">
        <v>40</v>
      </c>
      <c r="B1338" s="3" t="str">
        <f>INDEX(State_Region!$B$2:$B$26,MATCH(TRIM(A1338),State_Region!$A$2:$A$26,0))</f>
        <v>South</v>
      </c>
      <c r="C1338" s="3" t="s">
        <v>64</v>
      </c>
      <c r="D1338" s="3" t="str">
        <f>INDEX(Port_Type!$B$2:$B$227,MATCH(TRIM(C1338),Port_Type!$A$2:$A$227,0))</f>
        <v>Inland ICD / CFS</v>
      </c>
      <c r="E1338" s="3" t="s">
        <v>45</v>
      </c>
      <c r="F1338" s="3" t="str">
        <f>INDEX(Product_Category!$B$2:$B$45,MATCH(TRIM(E1338),Product_Category!$A$2:$A$45,0))</f>
        <v>Fresh Fruits &amp; Vegetables</v>
      </c>
      <c r="G1338" s="4">
        <v>0</v>
      </c>
      <c r="H1338" s="4">
        <v>0.03</v>
      </c>
      <c r="I1338" s="4">
        <v>0.03</v>
      </c>
      <c r="J1338" s="4">
        <v>2</v>
      </c>
      <c r="K1338" s="4">
        <v>19.8</v>
      </c>
      <c r="L1338" s="4">
        <v>23.73</v>
      </c>
      <c r="M1338" s="4">
        <f t="shared" si="60"/>
        <v>0.03</v>
      </c>
      <c r="N1338" s="4">
        <f t="shared" si="61"/>
        <v>17.8</v>
      </c>
      <c r="O1338" s="4">
        <f t="shared" si="62"/>
        <v>0</v>
      </c>
      <c r="P1338" s="3" t="s">
        <v>19</v>
      </c>
    </row>
    <row r="1339" spans="1:16" x14ac:dyDescent="0.35">
      <c r="A1339" s="3" t="s">
        <v>40</v>
      </c>
      <c r="B1339" s="3" t="str">
        <f>INDEX(State_Region!$B$2:$B$26,MATCH(TRIM(A1339),State_Region!$A$2:$A$26,0))</f>
        <v>South</v>
      </c>
      <c r="C1339" s="3" t="s">
        <v>64</v>
      </c>
      <c r="D1339" s="3" t="str">
        <f>INDEX(Port_Type!$B$2:$B$227,MATCH(TRIM(C1339),Port_Type!$A$2:$A$227,0))</f>
        <v>Inland ICD / CFS</v>
      </c>
      <c r="E1339" s="3" t="s">
        <v>144</v>
      </c>
      <c r="F1339" s="3" t="str">
        <f>INDEX(Product_Category!$B$2:$B$45,MATCH(TRIM(E1339),Product_Category!$A$2:$A$45,0))</f>
        <v>Cereals &amp; Grains</v>
      </c>
      <c r="G1339" s="4">
        <v>0</v>
      </c>
      <c r="H1339" s="4">
        <v>0.01</v>
      </c>
      <c r="I1339" s="4">
        <v>0.03</v>
      </c>
      <c r="J1339" s="4">
        <v>0.91</v>
      </c>
      <c r="K1339" s="4">
        <v>8.6</v>
      </c>
      <c r="L1339" s="4">
        <v>50.46</v>
      </c>
      <c r="M1339" s="4">
        <f t="shared" si="60"/>
        <v>0.01</v>
      </c>
      <c r="N1339" s="4">
        <f t="shared" si="61"/>
        <v>7.6899999999999995</v>
      </c>
      <c r="O1339" s="4">
        <f t="shared" si="62"/>
        <v>1.9999999999999997E-2</v>
      </c>
      <c r="P1339" s="3" t="s">
        <v>19</v>
      </c>
    </row>
    <row r="1340" spans="1:16" x14ac:dyDescent="0.35">
      <c r="A1340" s="3" t="s">
        <v>31</v>
      </c>
      <c r="B1340" s="3" t="str">
        <f>INDEX(State_Region!$B$2:$B$26,MATCH(TRIM(A1340),State_Region!$A$2:$A$26,0))</f>
        <v>East</v>
      </c>
      <c r="C1340" s="3" t="s">
        <v>101</v>
      </c>
      <c r="D1340" s="3" t="str">
        <f>INDEX(Port_Type!$B$2:$B$227,MATCH(TRIM(C1340),Port_Type!$A$2:$A$227,0))</f>
        <v>Land Border / Rail</v>
      </c>
      <c r="E1340" s="3" t="s">
        <v>42</v>
      </c>
      <c r="F1340" s="3" t="str">
        <f>INDEX(Product_Category!$B$2:$B$45,MATCH(TRIM(E1340),Product_Category!$A$2:$A$45,0))</f>
        <v>Processed Foods</v>
      </c>
      <c r="G1340" s="4">
        <v>0.11</v>
      </c>
      <c r="H1340" s="4">
        <v>0.36</v>
      </c>
      <c r="I1340" s="4">
        <v>0.03</v>
      </c>
      <c r="J1340" s="4">
        <v>727.48</v>
      </c>
      <c r="K1340" s="4">
        <v>363.94</v>
      </c>
      <c r="L1340" s="4">
        <v>32.450000000000003</v>
      </c>
      <c r="M1340" s="4">
        <f t="shared" si="60"/>
        <v>0.25</v>
      </c>
      <c r="N1340" s="4">
        <f t="shared" si="61"/>
        <v>-363.54</v>
      </c>
      <c r="O1340" s="4">
        <f t="shared" si="62"/>
        <v>-0.32999999999999996</v>
      </c>
      <c r="P1340" s="3" t="s">
        <v>19</v>
      </c>
    </row>
    <row r="1341" spans="1:16" x14ac:dyDescent="0.35">
      <c r="A1341" s="3" t="s">
        <v>23</v>
      </c>
      <c r="B1341" s="3" t="str">
        <f>INDEX(State_Region!$B$2:$B$26,MATCH(TRIM(A1341),State_Region!$A$2:$A$26,0))</f>
        <v>North</v>
      </c>
      <c r="C1341" s="3" t="s">
        <v>124</v>
      </c>
      <c r="D1341" s="3" t="str">
        <f>INDEX(Port_Type!$B$2:$B$227,MATCH(TRIM(C1341),Port_Type!$A$2:$A$227,0))</f>
        <v>Inland ICD / CFS</v>
      </c>
      <c r="E1341" s="3" t="s">
        <v>62</v>
      </c>
      <c r="F1341" s="3" t="str">
        <f>INDEX(Product_Category!$B$2:$B$45,MATCH(TRIM(E1341),Product_Category!$A$2:$A$45,0))</f>
        <v>Cereals &amp; Grains</v>
      </c>
      <c r="G1341" s="4">
        <v>0</v>
      </c>
      <c r="H1341" s="4">
        <v>0.79</v>
      </c>
      <c r="I1341" s="4">
        <v>0.03</v>
      </c>
      <c r="J1341" s="4">
        <v>0</v>
      </c>
      <c r="K1341" s="4">
        <v>3081.18</v>
      </c>
      <c r="L1341" s="4">
        <v>113.26</v>
      </c>
      <c r="M1341" s="4">
        <f t="shared" si="60"/>
        <v>0.79</v>
      </c>
      <c r="N1341" s="4">
        <f t="shared" si="61"/>
        <v>3081.18</v>
      </c>
      <c r="O1341" s="4">
        <f t="shared" si="62"/>
        <v>-0.76</v>
      </c>
      <c r="P1341" s="3" t="s">
        <v>19</v>
      </c>
    </row>
    <row r="1342" spans="1:16" x14ac:dyDescent="0.35">
      <c r="A1342" s="3" t="s">
        <v>31</v>
      </c>
      <c r="B1342" s="3" t="str">
        <f>INDEX(State_Region!$B$2:$B$26,MATCH(TRIM(A1342),State_Region!$A$2:$A$26,0))</f>
        <v>East</v>
      </c>
      <c r="C1342" s="3" t="s">
        <v>141</v>
      </c>
      <c r="D1342" s="3" t="str">
        <f>INDEX(Port_Type!$B$2:$B$227,MATCH(TRIM(C1342),Port_Type!$A$2:$A$227,0))</f>
        <v>Land Border / Rail</v>
      </c>
      <c r="E1342" s="3" t="s">
        <v>54</v>
      </c>
      <c r="F1342" s="3" t="str">
        <f>INDEX(Product_Category!$B$2:$B$45,MATCH(TRIM(E1342),Product_Category!$A$2:$A$45,0))</f>
        <v>Processed Foods</v>
      </c>
      <c r="G1342" s="4">
        <v>0.19</v>
      </c>
      <c r="H1342" s="4">
        <v>0.09</v>
      </c>
      <c r="I1342" s="4">
        <v>0.03</v>
      </c>
      <c r="J1342" s="4">
        <v>248.04</v>
      </c>
      <c r="K1342" s="4">
        <v>44.72</v>
      </c>
      <c r="L1342" s="4">
        <v>8.86</v>
      </c>
      <c r="M1342" s="4">
        <f t="shared" si="60"/>
        <v>-0.1</v>
      </c>
      <c r="N1342" s="4">
        <f t="shared" si="61"/>
        <v>-203.32</v>
      </c>
      <c r="O1342" s="4">
        <f t="shared" si="62"/>
        <v>-0.06</v>
      </c>
      <c r="P1342" s="3" t="s">
        <v>19</v>
      </c>
    </row>
    <row r="1343" spans="1:16" x14ac:dyDescent="0.35">
      <c r="A1343" s="3" t="s">
        <v>94</v>
      </c>
      <c r="B1343" s="3" t="str">
        <f>INDEX(State_Region!$B$2:$B$26,MATCH(TRIM(A1343),State_Region!$A$2:$A$26,0))</f>
        <v>East</v>
      </c>
      <c r="C1343" s="3" t="s">
        <v>95</v>
      </c>
      <c r="D1343" s="3" t="str">
        <f>INDEX(Port_Type!$B$2:$B$227,MATCH(TRIM(C1343),Port_Type!$A$2:$A$227,0))</f>
        <v>Land Border / Rail</v>
      </c>
      <c r="E1343" s="3" t="s">
        <v>60</v>
      </c>
      <c r="F1343" s="3" t="str">
        <f>INDEX(Product_Category!$B$2:$B$45,MATCH(TRIM(E1343),Product_Category!$A$2:$A$45,0))</f>
        <v>Processed Foods</v>
      </c>
      <c r="G1343" s="4">
        <v>0</v>
      </c>
      <c r="H1343" s="4">
        <v>0</v>
      </c>
      <c r="I1343" s="4">
        <v>0.03</v>
      </c>
      <c r="J1343" s="4">
        <v>0</v>
      </c>
      <c r="K1343" s="4">
        <v>0.5</v>
      </c>
      <c r="L1343" s="4">
        <v>11.1</v>
      </c>
      <c r="M1343" s="4">
        <f t="shared" si="60"/>
        <v>0</v>
      </c>
      <c r="N1343" s="4">
        <f t="shared" si="61"/>
        <v>0.5</v>
      </c>
      <c r="O1343" s="4">
        <f t="shared" si="62"/>
        <v>0.03</v>
      </c>
      <c r="P1343" s="3" t="s">
        <v>19</v>
      </c>
    </row>
    <row r="1344" spans="1:16" x14ac:dyDescent="0.35">
      <c r="A1344" s="3" t="s">
        <v>23</v>
      </c>
      <c r="B1344" s="3" t="str">
        <f>INDEX(State_Region!$B$2:$B$26,MATCH(TRIM(A1344),State_Region!$A$2:$A$26,0))</f>
        <v>North</v>
      </c>
      <c r="C1344" s="3" t="s">
        <v>44</v>
      </c>
      <c r="D1344" s="3" t="str">
        <f>INDEX(Port_Type!$B$2:$B$227,MATCH(TRIM(C1344),Port_Type!$A$2:$A$227,0))</f>
        <v>Inland ICD / CFS</v>
      </c>
      <c r="E1344" s="3" t="s">
        <v>179</v>
      </c>
      <c r="F1344" s="3" t="str">
        <f>INDEX(Product_Category!$B$2:$B$45,MATCH(TRIM(E1344),Product_Category!$A$2:$A$45,0))</f>
        <v>Nuts &amp; Oilseeds</v>
      </c>
      <c r="G1344" s="4">
        <v>0</v>
      </c>
      <c r="H1344" s="4">
        <v>7.0000000000000007E-2</v>
      </c>
      <c r="I1344" s="4">
        <v>0.03</v>
      </c>
      <c r="J1344" s="4">
        <v>0.01</v>
      </c>
      <c r="K1344" s="4">
        <v>4.1900000000000004</v>
      </c>
      <c r="L1344" s="4">
        <v>1.54</v>
      </c>
      <c r="M1344" s="4">
        <f t="shared" si="60"/>
        <v>7.0000000000000007E-2</v>
      </c>
      <c r="N1344" s="4">
        <f t="shared" si="61"/>
        <v>4.1800000000000006</v>
      </c>
      <c r="O1344" s="4">
        <f t="shared" si="62"/>
        <v>-4.0000000000000008E-2</v>
      </c>
      <c r="P1344" s="3" t="s">
        <v>19</v>
      </c>
    </row>
    <row r="1345" spans="1:16" x14ac:dyDescent="0.35">
      <c r="A1345" s="3" t="s">
        <v>16</v>
      </c>
      <c r="B1345" s="3" t="str">
        <f>INDEX(State_Region!$B$2:$B$26,MATCH(TRIM(A1345),State_Region!$A$2:$A$26,0))</f>
        <v>West</v>
      </c>
      <c r="C1345" s="3" t="s">
        <v>115</v>
      </c>
      <c r="D1345" s="3" t="str">
        <f>INDEX(Port_Type!$B$2:$B$227,MATCH(TRIM(C1345),Port_Type!$A$2:$A$227,0))</f>
        <v>Inland ICD / CFS</v>
      </c>
      <c r="E1345" s="3" t="s">
        <v>151</v>
      </c>
      <c r="F1345" s="3" t="str">
        <f>INDEX(Product_Category!$B$2:$B$45,MATCH(TRIM(E1345),Product_Category!$A$2:$A$45,0))</f>
        <v>Processed Foods</v>
      </c>
      <c r="G1345" s="4">
        <v>0</v>
      </c>
      <c r="H1345" s="4">
        <v>0.2</v>
      </c>
      <c r="I1345" s="4">
        <v>0.03</v>
      </c>
      <c r="J1345" s="4">
        <v>0</v>
      </c>
      <c r="K1345" s="4">
        <v>101.38</v>
      </c>
      <c r="L1345" s="4">
        <v>14.78</v>
      </c>
      <c r="M1345" s="4">
        <f t="shared" si="60"/>
        <v>0.2</v>
      </c>
      <c r="N1345" s="4">
        <f t="shared" si="61"/>
        <v>101.38</v>
      </c>
      <c r="O1345" s="4">
        <f t="shared" si="62"/>
        <v>-0.17</v>
      </c>
      <c r="P1345" s="3" t="s">
        <v>19</v>
      </c>
    </row>
    <row r="1346" spans="1:16" x14ac:dyDescent="0.35">
      <c r="A1346" s="3" t="s">
        <v>77</v>
      </c>
      <c r="B1346" s="3" t="str">
        <f>INDEX(State_Region!$B$2:$B$26,MATCH(TRIM(A1346),State_Region!$A$2:$A$26,0))</f>
        <v>South</v>
      </c>
      <c r="C1346" s="3" t="s">
        <v>132</v>
      </c>
      <c r="D1346" s="3" t="str">
        <f>INDEX(Port_Type!$B$2:$B$227,MATCH(TRIM(C1346),Port_Type!$A$2:$A$227,0))</f>
        <v>Air Cargo</v>
      </c>
      <c r="E1346" s="3" t="s">
        <v>48</v>
      </c>
      <c r="F1346" s="3" t="str">
        <f>INDEX(Product_Category!$B$2:$B$45,MATCH(TRIM(E1346),Product_Category!$A$2:$A$45,0))</f>
        <v>Processed Foods</v>
      </c>
      <c r="G1346" s="4">
        <v>0.25</v>
      </c>
      <c r="H1346" s="4">
        <v>0.19</v>
      </c>
      <c r="I1346" s="4">
        <v>0.03</v>
      </c>
      <c r="J1346" s="4">
        <v>50.39</v>
      </c>
      <c r="K1346" s="4">
        <v>36.270000000000003</v>
      </c>
      <c r="L1346" s="4">
        <v>9.6</v>
      </c>
      <c r="M1346" s="4">
        <f t="shared" ref="M1346:M1409" si="63">H1346-G1346</f>
        <v>-0.06</v>
      </c>
      <c r="N1346" s="4">
        <f t="shared" ref="N1346:N1409" si="64">K1346-J1346</f>
        <v>-14.119999999999997</v>
      </c>
      <c r="O1346" s="4">
        <f t="shared" ref="O1346:O1409" si="65">I1346-H1346</f>
        <v>-0.16</v>
      </c>
      <c r="P1346" s="3" t="s">
        <v>19</v>
      </c>
    </row>
    <row r="1347" spans="1:16" x14ac:dyDescent="0.35">
      <c r="A1347" s="3" t="s">
        <v>77</v>
      </c>
      <c r="B1347" s="3" t="str">
        <f>INDEX(State_Region!$B$2:$B$26,MATCH(TRIM(A1347),State_Region!$A$2:$A$26,0))</f>
        <v>South</v>
      </c>
      <c r="C1347" s="3" t="s">
        <v>132</v>
      </c>
      <c r="D1347" s="3" t="str">
        <f>INDEX(Port_Type!$B$2:$B$227,MATCH(TRIM(C1347),Port_Type!$A$2:$A$227,0))</f>
        <v>Air Cargo</v>
      </c>
      <c r="E1347" s="3" t="s">
        <v>22</v>
      </c>
      <c r="F1347" s="3" t="str">
        <f>INDEX(Product_Category!$B$2:$B$45,MATCH(TRIM(E1347),Product_Category!$A$2:$A$45,0))</f>
        <v>Meat &amp; Animal Products</v>
      </c>
      <c r="G1347" s="4">
        <v>0.12</v>
      </c>
      <c r="H1347" s="4">
        <v>0.1</v>
      </c>
      <c r="I1347" s="4">
        <v>0.03</v>
      </c>
      <c r="J1347" s="4">
        <v>4.07</v>
      </c>
      <c r="K1347" s="4">
        <v>4</v>
      </c>
      <c r="L1347" s="4">
        <v>1</v>
      </c>
      <c r="M1347" s="4">
        <f t="shared" si="63"/>
        <v>-1.999999999999999E-2</v>
      </c>
      <c r="N1347" s="4">
        <f t="shared" si="64"/>
        <v>-7.0000000000000284E-2</v>
      </c>
      <c r="O1347" s="4">
        <f t="shared" si="65"/>
        <v>-7.0000000000000007E-2</v>
      </c>
      <c r="P1347" s="3" t="s">
        <v>19</v>
      </c>
    </row>
    <row r="1348" spans="1:16" x14ac:dyDescent="0.35">
      <c r="A1348" s="3" t="s">
        <v>77</v>
      </c>
      <c r="B1348" s="3" t="str">
        <f>INDEX(State_Region!$B$2:$B$26,MATCH(TRIM(A1348),State_Region!$A$2:$A$26,0))</f>
        <v>South</v>
      </c>
      <c r="C1348" s="3" t="s">
        <v>214</v>
      </c>
      <c r="D1348" s="3" t="str">
        <f>INDEX(Port_Type!$B$2:$B$227,MATCH(TRIM(C1348),Port_Type!$A$2:$A$227,0))</f>
        <v>SEZ / EPZ</v>
      </c>
      <c r="E1348" s="3" t="s">
        <v>39</v>
      </c>
      <c r="F1348" s="3" t="str">
        <f>INDEX(Product_Category!$B$2:$B$45,MATCH(TRIM(E1348),Product_Category!$A$2:$A$45,0))</f>
        <v>Processed Foods</v>
      </c>
      <c r="G1348" s="4">
        <v>0</v>
      </c>
      <c r="H1348" s="4">
        <v>0.03</v>
      </c>
      <c r="I1348" s="4">
        <v>0.03</v>
      </c>
      <c r="J1348" s="4">
        <v>0</v>
      </c>
      <c r="K1348" s="4">
        <v>10.039999999999999</v>
      </c>
      <c r="L1348" s="4">
        <v>9.35</v>
      </c>
      <c r="M1348" s="4">
        <f t="shared" si="63"/>
        <v>0.03</v>
      </c>
      <c r="N1348" s="4">
        <f t="shared" si="64"/>
        <v>10.039999999999999</v>
      </c>
      <c r="O1348" s="4">
        <f t="shared" si="65"/>
        <v>0</v>
      </c>
      <c r="P1348" s="3" t="s">
        <v>19</v>
      </c>
    </row>
    <row r="1349" spans="1:16" x14ac:dyDescent="0.35">
      <c r="A1349" s="3" t="s">
        <v>16</v>
      </c>
      <c r="B1349" s="3" t="str">
        <f>INDEX(State_Region!$B$2:$B$26,MATCH(TRIM(A1349),State_Region!$A$2:$A$26,0))</f>
        <v>West</v>
      </c>
      <c r="C1349" s="3" t="s">
        <v>153</v>
      </c>
      <c r="D1349" s="3" t="str">
        <f>INDEX(Port_Type!$B$2:$B$227,MATCH(TRIM(C1349),Port_Type!$A$2:$A$227,0))</f>
        <v>Inland ICD / CFS</v>
      </c>
      <c r="E1349" s="3" t="s">
        <v>39</v>
      </c>
      <c r="F1349" s="3" t="str">
        <f>INDEX(Product_Category!$B$2:$B$45,MATCH(TRIM(E1349),Product_Category!$A$2:$A$45,0))</f>
        <v>Processed Foods</v>
      </c>
      <c r="G1349" s="4">
        <v>0</v>
      </c>
      <c r="H1349" s="4">
        <v>0</v>
      </c>
      <c r="I1349" s="4">
        <v>0.03</v>
      </c>
      <c r="J1349" s="4">
        <v>0</v>
      </c>
      <c r="K1349" s="4">
        <v>0</v>
      </c>
      <c r="L1349" s="4">
        <v>5.49</v>
      </c>
      <c r="M1349" s="4">
        <f t="shared" si="63"/>
        <v>0</v>
      </c>
      <c r="N1349" s="4">
        <f t="shared" si="64"/>
        <v>0</v>
      </c>
      <c r="O1349" s="4">
        <f t="shared" si="65"/>
        <v>0.03</v>
      </c>
      <c r="P1349" s="3" t="s">
        <v>19</v>
      </c>
    </row>
    <row r="1350" spans="1:16" x14ac:dyDescent="0.35">
      <c r="A1350" s="3" t="s">
        <v>16</v>
      </c>
      <c r="B1350" s="3" t="str">
        <f>INDEX(State_Region!$B$2:$B$26,MATCH(TRIM(A1350),State_Region!$A$2:$A$26,0))</f>
        <v>West</v>
      </c>
      <c r="C1350" s="3" t="s">
        <v>89</v>
      </c>
      <c r="D1350" s="3" t="str">
        <f>INDEX(Port_Type!$B$2:$B$227,MATCH(TRIM(C1350),Port_Type!$A$2:$A$227,0))</f>
        <v>Inland ICD / CFS</v>
      </c>
      <c r="E1350" s="3" t="s">
        <v>45</v>
      </c>
      <c r="F1350" s="3" t="str">
        <f>INDEX(Product_Category!$B$2:$B$45,MATCH(TRIM(E1350),Product_Category!$A$2:$A$45,0))</f>
        <v>Fresh Fruits &amp; Vegetables</v>
      </c>
      <c r="G1350" s="4">
        <v>0.28000000000000003</v>
      </c>
      <c r="H1350" s="4">
        <v>0.17</v>
      </c>
      <c r="I1350" s="4">
        <v>0.03</v>
      </c>
      <c r="J1350" s="4">
        <v>166.63</v>
      </c>
      <c r="K1350" s="4">
        <v>53.77</v>
      </c>
      <c r="L1350" s="4">
        <v>9.64</v>
      </c>
      <c r="M1350" s="4">
        <f t="shared" si="63"/>
        <v>-0.11000000000000001</v>
      </c>
      <c r="N1350" s="4">
        <f t="shared" si="64"/>
        <v>-112.85999999999999</v>
      </c>
      <c r="O1350" s="4">
        <f t="shared" si="65"/>
        <v>-0.14000000000000001</v>
      </c>
      <c r="P1350" s="3" t="s">
        <v>19</v>
      </c>
    </row>
    <row r="1351" spans="1:16" x14ac:dyDescent="0.35">
      <c r="A1351" s="3" t="s">
        <v>94</v>
      </c>
      <c r="B1351" s="3" t="str">
        <f>INDEX(State_Region!$B$2:$B$26,MATCH(TRIM(A1351),State_Region!$A$2:$A$26,0))</f>
        <v>East</v>
      </c>
      <c r="C1351" s="3" t="s">
        <v>95</v>
      </c>
      <c r="D1351" s="3" t="str">
        <f>INDEX(Port_Type!$B$2:$B$227,MATCH(TRIM(C1351),Port_Type!$A$2:$A$227,0))</f>
        <v>Land Border / Rail</v>
      </c>
      <c r="E1351" s="3" t="s">
        <v>114</v>
      </c>
      <c r="F1351" s="3" t="str">
        <f>INDEX(Product_Category!$B$2:$B$45,MATCH(TRIM(E1351),Product_Category!$A$2:$A$45,0))</f>
        <v>Dairy, Poultry &amp; Honey</v>
      </c>
      <c r="G1351" s="4">
        <v>0.04</v>
      </c>
      <c r="H1351" s="4">
        <v>0.04</v>
      </c>
      <c r="I1351" s="4">
        <v>0.03</v>
      </c>
      <c r="J1351" s="4">
        <v>14.8</v>
      </c>
      <c r="K1351" s="4">
        <v>4.16</v>
      </c>
      <c r="L1351" s="4">
        <v>3.69</v>
      </c>
      <c r="M1351" s="4">
        <f t="shared" si="63"/>
        <v>0</v>
      </c>
      <c r="N1351" s="4">
        <f t="shared" si="64"/>
        <v>-10.64</v>
      </c>
      <c r="O1351" s="4">
        <f t="shared" si="65"/>
        <v>-1.0000000000000002E-2</v>
      </c>
      <c r="P1351" s="3" t="s">
        <v>19</v>
      </c>
    </row>
    <row r="1352" spans="1:16" x14ac:dyDescent="0.35">
      <c r="A1352" s="3" t="s">
        <v>189</v>
      </c>
      <c r="B1352" s="3" t="str">
        <f>INDEX(State_Region!$B$2:$B$26,MATCH(TRIM(A1352),State_Region!$A$2:$A$26,0))</f>
        <v>North</v>
      </c>
      <c r="C1352" s="3" t="s">
        <v>227</v>
      </c>
      <c r="D1352" s="3" t="str">
        <f>INDEX(Port_Type!$B$2:$B$227,MATCH(TRIM(C1352),Port_Type!$A$2:$A$227,0))</f>
        <v>Land Border / Rail</v>
      </c>
      <c r="E1352" s="3" t="s">
        <v>83</v>
      </c>
      <c r="F1352" s="3" t="str">
        <f>INDEX(Product_Category!$B$2:$B$45,MATCH(TRIM(E1352),Product_Category!$A$2:$A$45,0))</f>
        <v>Fresh Fruits &amp; Vegetables</v>
      </c>
      <c r="G1352" s="4">
        <v>0.22</v>
      </c>
      <c r="H1352" s="4">
        <v>0.05</v>
      </c>
      <c r="I1352" s="4">
        <v>0.03</v>
      </c>
      <c r="J1352" s="4">
        <v>386.66</v>
      </c>
      <c r="K1352" s="4">
        <v>94.16</v>
      </c>
      <c r="L1352" s="4">
        <v>46.86</v>
      </c>
      <c r="M1352" s="4">
        <f t="shared" si="63"/>
        <v>-0.16999999999999998</v>
      </c>
      <c r="N1352" s="4">
        <f t="shared" si="64"/>
        <v>-292.5</v>
      </c>
      <c r="O1352" s="4">
        <f t="shared" si="65"/>
        <v>-2.0000000000000004E-2</v>
      </c>
      <c r="P1352" s="3" t="s">
        <v>19</v>
      </c>
    </row>
    <row r="1353" spans="1:16" x14ac:dyDescent="0.35">
      <c r="A1353" s="3" t="s">
        <v>40</v>
      </c>
      <c r="B1353" s="3" t="str">
        <f>INDEX(State_Region!$B$2:$B$26,MATCH(TRIM(A1353),State_Region!$A$2:$A$26,0))</f>
        <v>South</v>
      </c>
      <c r="C1353" s="3" t="s">
        <v>183</v>
      </c>
      <c r="D1353" s="3" t="str">
        <f>INDEX(Port_Type!$B$2:$B$227,MATCH(TRIM(C1353),Port_Type!$A$2:$A$227,0))</f>
        <v>Inland ICD / CFS</v>
      </c>
      <c r="E1353" s="3" t="s">
        <v>150</v>
      </c>
      <c r="F1353" s="3" t="str">
        <f>INDEX(Product_Category!$B$2:$B$45,MATCH(TRIM(E1353),Product_Category!$A$2:$A$45,0))</f>
        <v>Nuts &amp; Oilseeds</v>
      </c>
      <c r="G1353" s="4">
        <v>0</v>
      </c>
      <c r="H1353" s="4">
        <v>7.0000000000000007E-2</v>
      </c>
      <c r="I1353" s="4">
        <v>0.03</v>
      </c>
      <c r="J1353" s="4">
        <v>0.02</v>
      </c>
      <c r="K1353" s="4">
        <v>30.01</v>
      </c>
      <c r="L1353" s="4">
        <v>9.24</v>
      </c>
      <c r="M1353" s="4">
        <f t="shared" si="63"/>
        <v>7.0000000000000007E-2</v>
      </c>
      <c r="N1353" s="4">
        <f t="shared" si="64"/>
        <v>29.990000000000002</v>
      </c>
      <c r="O1353" s="4">
        <f t="shared" si="65"/>
        <v>-4.0000000000000008E-2</v>
      </c>
      <c r="P1353" s="3" t="s">
        <v>19</v>
      </c>
    </row>
    <row r="1354" spans="1:16" x14ac:dyDescent="0.35">
      <c r="A1354" s="3" t="s">
        <v>23</v>
      </c>
      <c r="B1354" s="3" t="str">
        <f>INDEX(State_Region!$B$2:$B$26,MATCH(TRIM(A1354),State_Region!$A$2:$A$26,0))</f>
        <v>North</v>
      </c>
      <c r="C1354" s="3" t="s">
        <v>136</v>
      </c>
      <c r="D1354" s="3" t="str">
        <f>INDEX(Port_Type!$B$2:$B$227,MATCH(TRIM(C1354),Port_Type!$A$2:$A$227,0))</f>
        <v>Inland ICD / CFS</v>
      </c>
      <c r="E1354" s="3" t="s">
        <v>27</v>
      </c>
      <c r="F1354" s="3" t="str">
        <f>INDEX(Product_Category!$B$2:$B$45,MATCH(TRIM(E1354),Product_Category!$A$2:$A$45,0))</f>
        <v>Cereals &amp; Grains</v>
      </c>
      <c r="G1354" s="4">
        <v>7.0000000000000007E-2</v>
      </c>
      <c r="H1354" s="4">
        <v>0.04</v>
      </c>
      <c r="I1354" s="4">
        <v>0.03</v>
      </c>
      <c r="J1354" s="4">
        <v>57.26</v>
      </c>
      <c r="K1354" s="4">
        <v>23.66</v>
      </c>
      <c r="L1354" s="4">
        <v>16.46</v>
      </c>
      <c r="M1354" s="4">
        <f t="shared" si="63"/>
        <v>-3.0000000000000006E-2</v>
      </c>
      <c r="N1354" s="4">
        <f t="shared" si="64"/>
        <v>-33.599999999999994</v>
      </c>
      <c r="O1354" s="4">
        <f t="shared" si="65"/>
        <v>-1.0000000000000002E-2</v>
      </c>
      <c r="P1354" s="3" t="s">
        <v>19</v>
      </c>
    </row>
    <row r="1355" spans="1:16" x14ac:dyDescent="0.35">
      <c r="A1355" s="3" t="s">
        <v>23</v>
      </c>
      <c r="B1355" s="3" t="str">
        <f>INDEX(State_Region!$B$2:$B$26,MATCH(TRIM(A1355),State_Region!$A$2:$A$26,0))</f>
        <v>North</v>
      </c>
      <c r="C1355" s="3" t="s">
        <v>30</v>
      </c>
      <c r="D1355" s="3" t="str">
        <f>INDEX(Port_Type!$B$2:$B$227,MATCH(TRIM(C1355),Port_Type!$A$2:$A$227,0))</f>
        <v>Inland ICD / CFS</v>
      </c>
      <c r="E1355" s="3" t="s">
        <v>76</v>
      </c>
      <c r="F1355" s="3" t="str">
        <f>INDEX(Product_Category!$B$2:$B$45,MATCH(TRIM(E1355),Product_Category!$A$2:$A$45,0))</f>
        <v>Fresh Fruits &amp; Vegetables</v>
      </c>
      <c r="G1355" s="4">
        <v>0</v>
      </c>
      <c r="H1355" s="4">
        <v>0</v>
      </c>
      <c r="I1355" s="4">
        <v>0.02</v>
      </c>
      <c r="J1355" s="4">
        <v>0</v>
      </c>
      <c r="K1355" s="4">
        <v>0</v>
      </c>
      <c r="L1355" s="4">
        <v>12.56</v>
      </c>
      <c r="M1355" s="4">
        <f t="shared" si="63"/>
        <v>0</v>
      </c>
      <c r="N1355" s="4">
        <f t="shared" si="64"/>
        <v>0</v>
      </c>
      <c r="O1355" s="4">
        <f t="shared" si="65"/>
        <v>0.02</v>
      </c>
      <c r="P1355" s="3" t="s">
        <v>19</v>
      </c>
    </row>
    <row r="1356" spans="1:16" x14ac:dyDescent="0.35">
      <c r="A1356" s="3" t="s">
        <v>57</v>
      </c>
      <c r="B1356" s="3" t="str">
        <f>INDEX(State_Region!$B$2:$B$26,MATCH(TRIM(A1356),State_Region!$A$2:$A$26,0))</f>
        <v>Central</v>
      </c>
      <c r="C1356" s="3" t="s">
        <v>162</v>
      </c>
      <c r="D1356" s="3" t="str">
        <f>INDEX(Port_Type!$B$2:$B$227,MATCH(TRIM(C1356),Port_Type!$A$2:$A$227,0))</f>
        <v>Inland ICD / CFS</v>
      </c>
      <c r="E1356" s="3" t="s">
        <v>54</v>
      </c>
      <c r="F1356" s="3" t="str">
        <f>INDEX(Product_Category!$B$2:$B$45,MATCH(TRIM(E1356),Product_Category!$A$2:$A$45,0))</f>
        <v>Processed Foods</v>
      </c>
      <c r="G1356" s="4">
        <v>0.23</v>
      </c>
      <c r="H1356" s="4">
        <v>0.41</v>
      </c>
      <c r="I1356" s="4">
        <v>0.02</v>
      </c>
      <c r="J1356" s="4">
        <v>16.579999999999998</v>
      </c>
      <c r="K1356" s="4">
        <v>22.17</v>
      </c>
      <c r="L1356" s="4">
        <v>1.19</v>
      </c>
      <c r="M1356" s="4">
        <f t="shared" si="63"/>
        <v>0.17999999999999997</v>
      </c>
      <c r="N1356" s="4">
        <f t="shared" si="64"/>
        <v>5.5900000000000034</v>
      </c>
      <c r="O1356" s="4">
        <f t="shared" si="65"/>
        <v>-0.38999999999999996</v>
      </c>
      <c r="P1356" s="3" t="s">
        <v>19</v>
      </c>
    </row>
    <row r="1357" spans="1:16" x14ac:dyDescent="0.35">
      <c r="A1357" s="3" t="s">
        <v>40</v>
      </c>
      <c r="B1357" s="3" t="str">
        <f>INDEX(State_Region!$B$2:$B$26,MATCH(TRIM(A1357),State_Region!$A$2:$A$26,0))</f>
        <v>South</v>
      </c>
      <c r="C1357" s="3" t="s">
        <v>107</v>
      </c>
      <c r="D1357" s="3" t="str">
        <f>INDEX(Port_Type!$B$2:$B$227,MATCH(TRIM(C1357),Port_Type!$A$2:$A$227,0))</f>
        <v>Sea Port</v>
      </c>
      <c r="E1357" s="3" t="s">
        <v>144</v>
      </c>
      <c r="F1357" s="3" t="str">
        <f>INDEX(Product_Category!$B$2:$B$45,MATCH(TRIM(E1357),Product_Category!$A$2:$A$45,0))</f>
        <v>Cereals &amp; Grains</v>
      </c>
      <c r="G1357" s="4">
        <v>0.04</v>
      </c>
      <c r="H1357" s="4">
        <v>0.23</v>
      </c>
      <c r="I1357" s="4">
        <v>0.02</v>
      </c>
      <c r="J1357" s="4">
        <v>46.46</v>
      </c>
      <c r="K1357" s="4">
        <v>149.29</v>
      </c>
      <c r="L1357" s="4">
        <v>20.399999999999999</v>
      </c>
      <c r="M1357" s="4">
        <f t="shared" si="63"/>
        <v>0.19</v>
      </c>
      <c r="N1357" s="4">
        <f t="shared" si="64"/>
        <v>102.82999999999998</v>
      </c>
      <c r="O1357" s="4">
        <f t="shared" si="65"/>
        <v>-0.21000000000000002</v>
      </c>
      <c r="P1357" s="3" t="s">
        <v>19</v>
      </c>
    </row>
    <row r="1358" spans="1:16" x14ac:dyDescent="0.35">
      <c r="A1358" s="3" t="s">
        <v>31</v>
      </c>
      <c r="B1358" s="3" t="str">
        <f>INDEX(State_Region!$B$2:$B$26,MATCH(TRIM(A1358),State_Region!$A$2:$A$26,0))</f>
        <v>East</v>
      </c>
      <c r="C1358" s="3" t="s">
        <v>131</v>
      </c>
      <c r="D1358" s="3" t="str">
        <f>INDEX(Port_Type!$B$2:$B$227,MATCH(TRIM(C1358),Port_Type!$A$2:$A$227,0))</f>
        <v>Land Border / Rail</v>
      </c>
      <c r="E1358" s="3" t="s">
        <v>81</v>
      </c>
      <c r="F1358" s="3" t="str">
        <f>INDEX(Product_Category!$B$2:$B$45,MATCH(TRIM(E1358),Product_Category!$A$2:$A$45,0))</f>
        <v>Processed Foods</v>
      </c>
      <c r="G1358" s="4">
        <v>7.0000000000000007E-2</v>
      </c>
      <c r="H1358" s="4">
        <v>7.0000000000000007E-2</v>
      </c>
      <c r="I1358" s="4">
        <v>0.02</v>
      </c>
      <c r="J1358" s="4">
        <v>210.62</v>
      </c>
      <c r="K1358" s="4">
        <v>257.7</v>
      </c>
      <c r="L1358" s="4">
        <v>127.12</v>
      </c>
      <c r="M1358" s="4">
        <f t="shared" si="63"/>
        <v>0</v>
      </c>
      <c r="N1358" s="4">
        <f t="shared" si="64"/>
        <v>47.079999999999984</v>
      </c>
      <c r="O1358" s="4">
        <f t="shared" si="65"/>
        <v>-0.05</v>
      </c>
      <c r="P1358" s="3" t="s">
        <v>19</v>
      </c>
    </row>
    <row r="1359" spans="1:16" x14ac:dyDescent="0.35">
      <c r="A1359" s="3" t="s">
        <v>40</v>
      </c>
      <c r="B1359" s="3" t="str">
        <f>INDEX(State_Region!$B$2:$B$26,MATCH(TRIM(A1359),State_Region!$A$2:$A$26,0))</f>
        <v>South</v>
      </c>
      <c r="C1359" s="3" t="s">
        <v>64</v>
      </c>
      <c r="D1359" s="3" t="str">
        <f>INDEX(Port_Type!$B$2:$B$227,MATCH(TRIM(C1359),Port_Type!$A$2:$A$227,0))</f>
        <v>Inland ICD / CFS</v>
      </c>
      <c r="E1359" s="3" t="s">
        <v>18</v>
      </c>
      <c r="F1359" s="3" t="str">
        <f>INDEX(Product_Category!$B$2:$B$45,MATCH(TRIM(E1359),Product_Category!$A$2:$A$45,0))</f>
        <v>Cereals &amp; Grains</v>
      </c>
      <c r="G1359" s="4">
        <v>0.04</v>
      </c>
      <c r="H1359" s="4">
        <v>0.11</v>
      </c>
      <c r="I1359" s="4">
        <v>0.02</v>
      </c>
      <c r="J1359" s="4">
        <v>24.45</v>
      </c>
      <c r="K1359" s="4">
        <v>100.96</v>
      </c>
      <c r="L1359" s="4">
        <v>23.39</v>
      </c>
      <c r="M1359" s="4">
        <f t="shared" si="63"/>
        <v>7.0000000000000007E-2</v>
      </c>
      <c r="N1359" s="4">
        <f t="shared" si="64"/>
        <v>76.509999999999991</v>
      </c>
      <c r="O1359" s="4">
        <f t="shared" si="65"/>
        <v>-0.09</v>
      </c>
      <c r="P1359" s="3" t="s">
        <v>19</v>
      </c>
    </row>
    <row r="1360" spans="1:16" x14ac:dyDescent="0.35">
      <c r="A1360" s="3" t="s">
        <v>86</v>
      </c>
      <c r="B1360" s="3" t="str">
        <f>INDEX(State_Region!$B$2:$B$26,MATCH(TRIM(A1360),State_Region!$A$2:$A$26,0))</f>
        <v>North</v>
      </c>
      <c r="C1360" s="3" t="s">
        <v>106</v>
      </c>
      <c r="D1360" s="3" t="str">
        <f>INDEX(Port_Type!$B$2:$B$227,MATCH(TRIM(C1360),Port_Type!$A$2:$A$227,0))</f>
        <v>Inland ICD / CFS</v>
      </c>
      <c r="E1360" s="3" t="s">
        <v>221</v>
      </c>
      <c r="F1360" s="3" t="str">
        <f>INDEX(Product_Category!$B$2:$B$45,MATCH(TRIM(E1360),Product_Category!$A$2:$A$45,0))</f>
        <v>Meat &amp; Animal Products</v>
      </c>
      <c r="G1360" s="4">
        <v>0</v>
      </c>
      <c r="H1360" s="4">
        <v>0.12</v>
      </c>
      <c r="I1360" s="4">
        <v>0.02</v>
      </c>
      <c r="J1360" s="4">
        <v>0</v>
      </c>
      <c r="K1360" s="4">
        <v>5</v>
      </c>
      <c r="L1360" s="4">
        <v>1</v>
      </c>
      <c r="M1360" s="4">
        <f t="shared" si="63"/>
        <v>0.12</v>
      </c>
      <c r="N1360" s="4">
        <f t="shared" si="64"/>
        <v>5</v>
      </c>
      <c r="O1360" s="4">
        <f t="shared" si="65"/>
        <v>-9.9999999999999992E-2</v>
      </c>
      <c r="P1360" s="3" t="s">
        <v>19</v>
      </c>
    </row>
    <row r="1361" spans="1:16" x14ac:dyDescent="0.35">
      <c r="A1361" s="3" t="s">
        <v>66</v>
      </c>
      <c r="B1361" s="3" t="str">
        <f>INDEX(State_Region!$B$2:$B$26,MATCH(TRIM(A1361),State_Region!$A$2:$A$26,0))</f>
        <v>North</v>
      </c>
      <c r="C1361" s="3" t="s">
        <v>208</v>
      </c>
      <c r="D1361" s="3" t="str">
        <f>INDEX(Port_Type!$B$2:$B$227,MATCH(TRIM(C1361),Port_Type!$A$2:$A$227,0))</f>
        <v>Inland ICD / CFS</v>
      </c>
      <c r="E1361" s="3" t="s">
        <v>65</v>
      </c>
      <c r="F1361" s="3" t="str">
        <f>INDEX(Product_Category!$B$2:$B$45,MATCH(TRIM(E1361),Product_Category!$A$2:$A$45,0))</f>
        <v>Cereals &amp; Grains</v>
      </c>
      <c r="G1361" s="4">
        <v>0.13</v>
      </c>
      <c r="H1361" s="4">
        <v>0.05</v>
      </c>
      <c r="I1361" s="4">
        <v>0.02</v>
      </c>
      <c r="J1361" s="4">
        <v>146.19999999999999</v>
      </c>
      <c r="K1361" s="4">
        <v>59.95</v>
      </c>
      <c r="L1361" s="4">
        <v>26.8</v>
      </c>
      <c r="M1361" s="4">
        <f t="shared" si="63"/>
        <v>-0.08</v>
      </c>
      <c r="N1361" s="4">
        <f t="shared" si="64"/>
        <v>-86.249999999999986</v>
      </c>
      <c r="O1361" s="4">
        <f t="shared" si="65"/>
        <v>-3.0000000000000002E-2</v>
      </c>
      <c r="P1361" s="3" t="s">
        <v>19</v>
      </c>
    </row>
    <row r="1362" spans="1:16" x14ac:dyDescent="0.35">
      <c r="A1362" s="3" t="s">
        <v>20</v>
      </c>
      <c r="B1362" s="3" t="str">
        <f>INDEX(State_Region!$B$2:$B$26,MATCH(TRIM(A1362),State_Region!$A$2:$A$26,0))</f>
        <v>West</v>
      </c>
      <c r="C1362" s="3" t="s">
        <v>235</v>
      </c>
      <c r="D1362" s="3" t="str">
        <f>INDEX(Port_Type!$B$2:$B$227,MATCH(TRIM(C1362),Port_Type!$A$2:$A$227,0))</f>
        <v>Inland ICD / CFS</v>
      </c>
      <c r="E1362" s="3" t="s">
        <v>69</v>
      </c>
      <c r="F1362" s="3" t="str">
        <f>INDEX(Product_Category!$B$2:$B$45,MATCH(TRIM(E1362),Product_Category!$A$2:$A$45,0))</f>
        <v>Others</v>
      </c>
      <c r="G1362" s="4">
        <v>0.02</v>
      </c>
      <c r="H1362" s="4">
        <v>0.05</v>
      </c>
      <c r="I1362" s="4">
        <v>0.02</v>
      </c>
      <c r="J1362" s="4">
        <v>2.38</v>
      </c>
      <c r="K1362" s="4">
        <v>1.89</v>
      </c>
      <c r="L1362" s="4">
        <v>1</v>
      </c>
      <c r="M1362" s="4">
        <f t="shared" si="63"/>
        <v>3.0000000000000002E-2</v>
      </c>
      <c r="N1362" s="4">
        <f t="shared" si="64"/>
        <v>-0.49</v>
      </c>
      <c r="O1362" s="4">
        <f t="shared" si="65"/>
        <v>-3.0000000000000002E-2</v>
      </c>
      <c r="P1362" s="3" t="s">
        <v>19</v>
      </c>
    </row>
    <row r="1363" spans="1:16" x14ac:dyDescent="0.35">
      <c r="A1363" s="3" t="s">
        <v>66</v>
      </c>
      <c r="B1363" s="3" t="str">
        <f>INDEX(State_Region!$B$2:$B$26,MATCH(TRIM(A1363),State_Region!$A$2:$A$26,0))</f>
        <v>North</v>
      </c>
      <c r="C1363" s="3" t="s">
        <v>127</v>
      </c>
      <c r="D1363" s="3" t="str">
        <f>INDEX(Port_Type!$B$2:$B$227,MATCH(TRIM(C1363),Port_Type!$A$2:$A$227,0))</f>
        <v>Inland ICD / CFS</v>
      </c>
      <c r="E1363" s="3" t="s">
        <v>174</v>
      </c>
      <c r="F1363" s="3" t="str">
        <f>INDEX(Product_Category!$B$2:$B$45,MATCH(TRIM(E1363),Product_Category!$A$2:$A$45,0))</f>
        <v>Dairy, Poultry &amp; Honey</v>
      </c>
      <c r="G1363" s="4">
        <v>0</v>
      </c>
      <c r="H1363" s="4">
        <v>0.03</v>
      </c>
      <c r="I1363" s="4">
        <v>0.02</v>
      </c>
      <c r="J1363" s="4">
        <v>0</v>
      </c>
      <c r="K1363" s="4">
        <v>5.7</v>
      </c>
      <c r="L1363" s="4">
        <v>3.77</v>
      </c>
      <c r="M1363" s="4">
        <f t="shared" si="63"/>
        <v>0.03</v>
      </c>
      <c r="N1363" s="4">
        <f t="shared" si="64"/>
        <v>5.7</v>
      </c>
      <c r="O1363" s="4">
        <f t="shared" si="65"/>
        <v>-9.9999999999999985E-3</v>
      </c>
      <c r="P1363" s="3" t="s">
        <v>19</v>
      </c>
    </row>
    <row r="1364" spans="1:16" x14ac:dyDescent="0.35">
      <c r="A1364" s="3" t="s">
        <v>31</v>
      </c>
      <c r="B1364" s="3" t="str">
        <f>INDEX(State_Region!$B$2:$B$26,MATCH(TRIM(A1364),State_Region!$A$2:$A$26,0))</f>
        <v>East</v>
      </c>
      <c r="C1364" s="3" t="s">
        <v>215</v>
      </c>
      <c r="D1364" s="3" t="str">
        <f>INDEX(Port_Type!$B$2:$B$227,MATCH(TRIM(C1364),Port_Type!$A$2:$A$227,0))</f>
        <v>Land Border / Rail</v>
      </c>
      <c r="E1364" s="3" t="s">
        <v>33</v>
      </c>
      <c r="F1364" s="3" t="str">
        <f>INDEX(Product_Category!$B$2:$B$45,MATCH(TRIM(E1364),Product_Category!$A$2:$A$45,0))</f>
        <v>Pulses</v>
      </c>
      <c r="G1364" s="4">
        <v>0.16</v>
      </c>
      <c r="H1364" s="4">
        <v>0.06</v>
      </c>
      <c r="I1364" s="4">
        <v>0.02</v>
      </c>
      <c r="J1364" s="4">
        <v>152.01</v>
      </c>
      <c r="K1364" s="4">
        <v>60.87</v>
      </c>
      <c r="L1364" s="4">
        <v>24.94</v>
      </c>
      <c r="M1364" s="4">
        <f t="shared" si="63"/>
        <v>-0.1</v>
      </c>
      <c r="N1364" s="4">
        <f t="shared" si="64"/>
        <v>-91.139999999999986</v>
      </c>
      <c r="O1364" s="4">
        <f t="shared" si="65"/>
        <v>-3.9999999999999994E-2</v>
      </c>
      <c r="P1364" s="3" t="s">
        <v>19</v>
      </c>
    </row>
    <row r="1365" spans="1:16" x14ac:dyDescent="0.35">
      <c r="A1365" s="3" t="s">
        <v>31</v>
      </c>
      <c r="B1365" s="3" t="str">
        <f>INDEX(State_Region!$B$2:$B$26,MATCH(TRIM(A1365),State_Region!$A$2:$A$26,0))</f>
        <v>East</v>
      </c>
      <c r="C1365" s="3" t="s">
        <v>242</v>
      </c>
      <c r="D1365" s="3" t="str">
        <f>INDEX(Port_Type!$B$2:$B$227,MATCH(TRIM(C1365),Port_Type!$A$2:$A$227,0))</f>
        <v>Land Border / Rail</v>
      </c>
      <c r="E1365" s="3" t="s">
        <v>62</v>
      </c>
      <c r="F1365" s="3" t="str">
        <f>INDEX(Product_Category!$B$2:$B$45,MATCH(TRIM(E1365),Product_Category!$A$2:$A$45,0))</f>
        <v>Cereals &amp; Grains</v>
      </c>
      <c r="G1365" s="4">
        <v>1.18</v>
      </c>
      <c r="H1365" s="4">
        <v>1.1399999999999999</v>
      </c>
      <c r="I1365" s="4">
        <v>0.02</v>
      </c>
      <c r="J1365" s="4">
        <v>4689.68</v>
      </c>
      <c r="K1365" s="4">
        <v>4494.3900000000003</v>
      </c>
      <c r="L1365" s="4">
        <v>105</v>
      </c>
      <c r="M1365" s="4">
        <f t="shared" si="63"/>
        <v>-4.0000000000000036E-2</v>
      </c>
      <c r="N1365" s="4">
        <f t="shared" si="64"/>
        <v>-195.28999999999996</v>
      </c>
      <c r="O1365" s="4">
        <f t="shared" si="65"/>
        <v>-1.1199999999999999</v>
      </c>
      <c r="P1365" s="3" t="s">
        <v>19</v>
      </c>
    </row>
    <row r="1366" spans="1:16" x14ac:dyDescent="0.35">
      <c r="A1366" s="3" t="s">
        <v>23</v>
      </c>
      <c r="B1366" s="3" t="str">
        <f>INDEX(State_Region!$B$2:$B$26,MATCH(TRIM(A1366),State_Region!$A$2:$A$26,0))</f>
        <v>North</v>
      </c>
      <c r="C1366" s="3" t="s">
        <v>123</v>
      </c>
      <c r="D1366" s="3" t="str">
        <f>INDEX(Port_Type!$B$2:$B$227,MATCH(TRIM(C1366),Port_Type!$A$2:$A$227,0))</f>
        <v>Land Border / Rail</v>
      </c>
      <c r="E1366" s="3" t="s">
        <v>72</v>
      </c>
      <c r="F1366" s="3" t="str">
        <f>INDEX(Product_Category!$B$2:$B$45,MATCH(TRIM(E1366),Product_Category!$A$2:$A$45,0))</f>
        <v>Dairy, Poultry &amp; Honey</v>
      </c>
      <c r="G1366" s="4">
        <v>3.31</v>
      </c>
      <c r="H1366" s="4">
        <v>0.06</v>
      </c>
      <c r="I1366" s="4">
        <v>0.02</v>
      </c>
      <c r="J1366" s="4">
        <v>820.09</v>
      </c>
      <c r="K1366" s="4">
        <v>8.36</v>
      </c>
      <c r="L1366" s="4">
        <v>3.7</v>
      </c>
      <c r="M1366" s="4">
        <f t="shared" si="63"/>
        <v>-3.25</v>
      </c>
      <c r="N1366" s="4">
        <f t="shared" si="64"/>
        <v>-811.73</v>
      </c>
      <c r="O1366" s="4">
        <f t="shared" si="65"/>
        <v>-3.9999999999999994E-2</v>
      </c>
      <c r="P1366" s="3" t="s">
        <v>19</v>
      </c>
    </row>
    <row r="1367" spans="1:16" x14ac:dyDescent="0.35">
      <c r="A1367" s="3" t="s">
        <v>31</v>
      </c>
      <c r="B1367" s="3" t="str">
        <f>INDEX(State_Region!$B$2:$B$26,MATCH(TRIM(A1367),State_Region!$A$2:$A$26,0))</f>
        <v>East</v>
      </c>
      <c r="C1367" s="3" t="s">
        <v>139</v>
      </c>
      <c r="D1367" s="3" t="str">
        <f>INDEX(Port_Type!$B$2:$B$227,MATCH(TRIM(C1367),Port_Type!$A$2:$A$227,0))</f>
        <v>Land Border / Rail</v>
      </c>
      <c r="E1367" s="3" t="s">
        <v>54</v>
      </c>
      <c r="F1367" s="3" t="str">
        <f>INDEX(Product_Category!$B$2:$B$45,MATCH(TRIM(E1367),Product_Category!$A$2:$A$45,0))</f>
        <v>Processed Foods</v>
      </c>
      <c r="G1367" s="4">
        <v>0.39</v>
      </c>
      <c r="H1367" s="4">
        <v>7.0000000000000007E-2</v>
      </c>
      <c r="I1367" s="4">
        <v>0.02</v>
      </c>
      <c r="J1367" s="4">
        <v>457.29</v>
      </c>
      <c r="K1367" s="4">
        <v>36.26</v>
      </c>
      <c r="L1367" s="4">
        <v>18.61</v>
      </c>
      <c r="M1367" s="4">
        <f t="shared" si="63"/>
        <v>-0.32</v>
      </c>
      <c r="N1367" s="4">
        <f t="shared" si="64"/>
        <v>-421.03000000000003</v>
      </c>
      <c r="O1367" s="4">
        <f t="shared" si="65"/>
        <v>-0.05</v>
      </c>
      <c r="P1367" s="3" t="s">
        <v>19</v>
      </c>
    </row>
    <row r="1368" spans="1:16" x14ac:dyDescent="0.35">
      <c r="A1368" s="3" t="s">
        <v>159</v>
      </c>
      <c r="B1368" s="3" t="str">
        <f>INDEX(State_Region!$B$2:$B$26,MATCH(TRIM(A1368),State_Region!$A$2:$A$26,0))</f>
        <v>North-East</v>
      </c>
      <c r="C1368" s="3" t="s">
        <v>186</v>
      </c>
      <c r="D1368" s="3" t="str">
        <f>INDEX(Port_Type!$B$2:$B$227,MATCH(TRIM(C1368),Port_Type!$A$2:$A$227,0))</f>
        <v>Land Border / Rail</v>
      </c>
      <c r="E1368" s="3" t="s">
        <v>45</v>
      </c>
      <c r="F1368" s="3" t="str">
        <f>INDEX(Product_Category!$B$2:$B$45,MATCH(TRIM(E1368),Product_Category!$A$2:$A$45,0))</f>
        <v>Fresh Fruits &amp; Vegetables</v>
      </c>
      <c r="G1368" s="4">
        <v>0</v>
      </c>
      <c r="H1368" s="4">
        <v>0</v>
      </c>
      <c r="I1368" s="4">
        <v>0.02</v>
      </c>
      <c r="J1368" s="4">
        <v>0.12</v>
      </c>
      <c r="K1368" s="4">
        <v>0.02</v>
      </c>
      <c r="L1368" s="4">
        <v>65.900000000000006</v>
      </c>
      <c r="M1368" s="4">
        <f t="shared" si="63"/>
        <v>0</v>
      </c>
      <c r="N1368" s="4">
        <f t="shared" si="64"/>
        <v>-9.9999999999999992E-2</v>
      </c>
      <c r="O1368" s="4">
        <f t="shared" si="65"/>
        <v>0.02</v>
      </c>
      <c r="P1368" s="3" t="s">
        <v>19</v>
      </c>
    </row>
    <row r="1369" spans="1:16" x14ac:dyDescent="0.35">
      <c r="A1369" s="3" t="s">
        <v>23</v>
      </c>
      <c r="B1369" s="3" t="str">
        <f>INDEX(State_Region!$B$2:$B$26,MATCH(TRIM(A1369),State_Region!$A$2:$A$26,0))</f>
        <v>North</v>
      </c>
      <c r="C1369" s="3" t="s">
        <v>30</v>
      </c>
      <c r="D1369" s="3" t="str">
        <f>INDEX(Port_Type!$B$2:$B$227,MATCH(TRIM(C1369),Port_Type!$A$2:$A$227,0))</f>
        <v>Inland ICD / CFS</v>
      </c>
      <c r="E1369" s="3" t="s">
        <v>118</v>
      </c>
      <c r="F1369" s="3" t="str">
        <f>INDEX(Product_Category!$B$2:$B$45,MATCH(TRIM(E1369),Product_Category!$A$2:$A$45,0))</f>
        <v>Dairy, Poultry &amp; Honey</v>
      </c>
      <c r="G1369" s="4">
        <v>7.0000000000000007E-2</v>
      </c>
      <c r="H1369" s="4">
        <v>0.21</v>
      </c>
      <c r="I1369" s="4">
        <v>0.02</v>
      </c>
      <c r="J1369" s="4">
        <v>23.42</v>
      </c>
      <c r="K1369" s="4">
        <v>93.14</v>
      </c>
      <c r="L1369" s="4">
        <v>4.22</v>
      </c>
      <c r="M1369" s="4">
        <f t="shared" si="63"/>
        <v>0.13999999999999999</v>
      </c>
      <c r="N1369" s="4">
        <f t="shared" si="64"/>
        <v>69.72</v>
      </c>
      <c r="O1369" s="4">
        <f t="shared" si="65"/>
        <v>-0.19</v>
      </c>
      <c r="P1369" s="3" t="s">
        <v>19</v>
      </c>
    </row>
    <row r="1370" spans="1:16" x14ac:dyDescent="0.35">
      <c r="A1370" s="3" t="s">
        <v>49</v>
      </c>
      <c r="B1370" s="3" t="str">
        <f>INDEX(State_Region!$B$2:$B$26,MATCH(TRIM(A1370),State_Region!$A$2:$A$26,0))</f>
        <v>North</v>
      </c>
      <c r="C1370" s="3" t="s">
        <v>176</v>
      </c>
      <c r="D1370" s="3" t="str">
        <f>INDEX(Port_Type!$B$2:$B$227,MATCH(TRIM(C1370),Port_Type!$A$2:$A$227,0))</f>
        <v>Inland ICD / CFS</v>
      </c>
      <c r="E1370" s="3" t="s">
        <v>18</v>
      </c>
      <c r="F1370" s="3" t="str">
        <f>INDEX(Product_Category!$B$2:$B$45,MATCH(TRIM(E1370),Product_Category!$A$2:$A$45,0))</f>
        <v>Cereals &amp; Grains</v>
      </c>
      <c r="G1370" s="4">
        <v>0.19</v>
      </c>
      <c r="H1370" s="4">
        <v>0.24</v>
      </c>
      <c r="I1370" s="4">
        <v>0.02</v>
      </c>
      <c r="J1370" s="4">
        <v>134.6</v>
      </c>
      <c r="K1370" s="4">
        <v>206.75</v>
      </c>
      <c r="L1370" s="4">
        <v>21.6</v>
      </c>
      <c r="M1370" s="4">
        <f t="shared" si="63"/>
        <v>4.9999999999999989E-2</v>
      </c>
      <c r="N1370" s="4">
        <f t="shared" si="64"/>
        <v>72.150000000000006</v>
      </c>
      <c r="O1370" s="4">
        <f t="shared" si="65"/>
        <v>-0.22</v>
      </c>
      <c r="P1370" s="3" t="s">
        <v>19</v>
      </c>
    </row>
    <row r="1371" spans="1:16" x14ac:dyDescent="0.35">
      <c r="A1371" s="3" t="s">
        <v>243</v>
      </c>
      <c r="B1371" s="3" t="str">
        <f>INDEX(State_Region!$B$2:$B$26,MATCH(TRIM(A1371),State_Region!$A$2:$A$26,0))</f>
        <v>North-East</v>
      </c>
      <c r="C1371" s="3" t="s">
        <v>244</v>
      </c>
      <c r="D1371" s="3" t="str">
        <f>INDEX(Port_Type!$B$2:$B$227,MATCH(TRIM(C1371),Port_Type!$A$2:$A$227,0))</f>
        <v>Land Border / Rail</v>
      </c>
      <c r="E1371" s="3" t="s">
        <v>62</v>
      </c>
      <c r="F1371" s="3" t="str">
        <f>INDEX(Product_Category!$B$2:$B$45,MATCH(TRIM(E1371),Product_Category!$A$2:$A$45,0))</f>
        <v>Cereals &amp; Grains</v>
      </c>
      <c r="G1371" s="4">
        <v>0.14000000000000001</v>
      </c>
      <c r="H1371" s="4">
        <v>0.1</v>
      </c>
      <c r="I1371" s="4">
        <v>0.02</v>
      </c>
      <c r="J1371" s="4">
        <v>599.48</v>
      </c>
      <c r="K1371" s="4">
        <v>449.48</v>
      </c>
      <c r="L1371" s="4">
        <v>99.94</v>
      </c>
      <c r="M1371" s="4">
        <f t="shared" si="63"/>
        <v>-4.0000000000000008E-2</v>
      </c>
      <c r="N1371" s="4">
        <f t="shared" si="64"/>
        <v>-150</v>
      </c>
      <c r="O1371" s="4">
        <f t="shared" si="65"/>
        <v>-0.08</v>
      </c>
      <c r="P1371" s="3" t="s">
        <v>19</v>
      </c>
    </row>
    <row r="1372" spans="1:16" x14ac:dyDescent="0.35">
      <c r="A1372" s="3" t="s">
        <v>189</v>
      </c>
      <c r="B1372" s="3" t="str">
        <f>INDEX(State_Region!$B$2:$B$26,MATCH(TRIM(A1372),State_Region!$A$2:$A$26,0))</f>
        <v>North</v>
      </c>
      <c r="C1372" s="3" t="s">
        <v>227</v>
      </c>
      <c r="D1372" s="3" t="str">
        <f>INDEX(Port_Type!$B$2:$B$227,MATCH(TRIM(C1372),Port_Type!$A$2:$A$227,0))</f>
        <v>Land Border / Rail</v>
      </c>
      <c r="E1372" s="3" t="s">
        <v>42</v>
      </c>
      <c r="F1372" s="3" t="str">
        <f>INDEX(Product_Category!$B$2:$B$45,MATCH(TRIM(E1372),Product_Category!$A$2:$A$45,0))</f>
        <v>Processed Foods</v>
      </c>
      <c r="G1372" s="4">
        <v>0.1</v>
      </c>
      <c r="H1372" s="4">
        <v>0.19</v>
      </c>
      <c r="I1372" s="4">
        <v>0.02</v>
      </c>
      <c r="J1372" s="4">
        <v>563.83000000000004</v>
      </c>
      <c r="K1372" s="4">
        <v>1095.98</v>
      </c>
      <c r="L1372" s="4">
        <v>142.16999999999999</v>
      </c>
      <c r="M1372" s="4">
        <f t="shared" si="63"/>
        <v>0.09</v>
      </c>
      <c r="N1372" s="4">
        <f t="shared" si="64"/>
        <v>532.15</v>
      </c>
      <c r="O1372" s="4">
        <f t="shared" si="65"/>
        <v>-0.17</v>
      </c>
      <c r="P1372" s="3" t="s">
        <v>19</v>
      </c>
    </row>
    <row r="1373" spans="1:16" x14ac:dyDescent="0.35">
      <c r="A1373" s="3" t="s">
        <v>40</v>
      </c>
      <c r="B1373" s="3" t="str">
        <f>INDEX(State_Region!$B$2:$B$26,MATCH(TRIM(A1373),State_Region!$A$2:$A$26,0))</f>
        <v>South</v>
      </c>
      <c r="C1373" s="3" t="s">
        <v>41</v>
      </c>
      <c r="D1373" s="3" t="str">
        <f>INDEX(Port_Type!$B$2:$B$227,MATCH(TRIM(C1373),Port_Type!$A$2:$A$227,0))</f>
        <v>Sea Port</v>
      </c>
      <c r="E1373" s="3" t="s">
        <v>150</v>
      </c>
      <c r="F1373" s="3" t="str">
        <f>INDEX(Product_Category!$B$2:$B$45,MATCH(TRIM(E1373),Product_Category!$A$2:$A$45,0))</f>
        <v>Nuts &amp; Oilseeds</v>
      </c>
      <c r="G1373" s="4">
        <v>0.06</v>
      </c>
      <c r="H1373" s="4">
        <v>0.06</v>
      </c>
      <c r="I1373" s="4">
        <v>0.02</v>
      </c>
      <c r="J1373" s="4">
        <v>9.9600000000000009</v>
      </c>
      <c r="K1373" s="4">
        <v>11.25</v>
      </c>
      <c r="L1373" s="4">
        <v>3.92</v>
      </c>
      <c r="M1373" s="4">
        <f t="shared" si="63"/>
        <v>0</v>
      </c>
      <c r="N1373" s="4">
        <f t="shared" si="64"/>
        <v>1.2899999999999991</v>
      </c>
      <c r="O1373" s="4">
        <f t="shared" si="65"/>
        <v>-3.9999999999999994E-2</v>
      </c>
      <c r="P1373" s="3" t="s">
        <v>19</v>
      </c>
    </row>
    <row r="1374" spans="1:16" x14ac:dyDescent="0.35">
      <c r="A1374" s="3" t="s">
        <v>16</v>
      </c>
      <c r="B1374" s="3" t="str">
        <f>INDEX(State_Region!$B$2:$B$26,MATCH(TRIM(A1374),State_Region!$A$2:$A$26,0))</f>
        <v>West</v>
      </c>
      <c r="C1374" s="3" t="s">
        <v>52</v>
      </c>
      <c r="D1374" s="3" t="str">
        <f>INDEX(Port_Type!$B$2:$B$227,MATCH(TRIM(C1374),Port_Type!$A$2:$A$227,0))</f>
        <v>Sea Port</v>
      </c>
      <c r="E1374" s="3" t="s">
        <v>53</v>
      </c>
      <c r="F1374" s="3" t="str">
        <f>INDEX(Product_Category!$B$2:$B$45,MATCH(TRIM(E1374),Product_Category!$A$2:$A$45,0))</f>
        <v>Processed Foods</v>
      </c>
      <c r="G1374" s="4">
        <v>0.03</v>
      </c>
      <c r="H1374" s="4">
        <v>0.25</v>
      </c>
      <c r="I1374" s="4">
        <v>0.02</v>
      </c>
      <c r="J1374" s="4">
        <v>15.07</v>
      </c>
      <c r="K1374" s="4">
        <v>452.37</v>
      </c>
      <c r="L1374" s="4">
        <v>13.02</v>
      </c>
      <c r="M1374" s="4">
        <f t="shared" si="63"/>
        <v>0.22</v>
      </c>
      <c r="N1374" s="4">
        <f t="shared" si="64"/>
        <v>437.3</v>
      </c>
      <c r="O1374" s="4">
        <f t="shared" si="65"/>
        <v>-0.23</v>
      </c>
      <c r="P1374" s="3" t="s">
        <v>19</v>
      </c>
    </row>
    <row r="1375" spans="1:16" x14ac:dyDescent="0.35">
      <c r="A1375" s="3" t="s">
        <v>16</v>
      </c>
      <c r="B1375" s="3" t="str">
        <f>INDEX(State_Region!$B$2:$B$26,MATCH(TRIM(A1375),State_Region!$A$2:$A$26,0))</f>
        <v>West</v>
      </c>
      <c r="C1375" s="3" t="s">
        <v>153</v>
      </c>
      <c r="D1375" s="3" t="str">
        <f>INDEX(Port_Type!$B$2:$B$227,MATCH(TRIM(C1375),Port_Type!$A$2:$A$227,0))</f>
        <v>Inland ICD / CFS</v>
      </c>
      <c r="E1375" s="3" t="s">
        <v>54</v>
      </c>
      <c r="F1375" s="3" t="str">
        <f>INDEX(Product_Category!$B$2:$B$45,MATCH(TRIM(E1375),Product_Category!$A$2:$A$45,0))</f>
        <v>Processed Foods</v>
      </c>
      <c r="G1375" s="4">
        <v>0</v>
      </c>
      <c r="H1375" s="4">
        <v>0</v>
      </c>
      <c r="I1375" s="4">
        <v>0.02</v>
      </c>
      <c r="J1375" s="4">
        <v>0</v>
      </c>
      <c r="K1375" s="4">
        <v>0</v>
      </c>
      <c r="L1375" s="4">
        <v>3.8</v>
      </c>
      <c r="M1375" s="4">
        <f t="shared" si="63"/>
        <v>0</v>
      </c>
      <c r="N1375" s="4">
        <f t="shared" si="64"/>
        <v>0</v>
      </c>
      <c r="O1375" s="4">
        <f t="shared" si="65"/>
        <v>0.02</v>
      </c>
      <c r="P1375" s="3" t="s">
        <v>19</v>
      </c>
    </row>
    <row r="1376" spans="1:16" x14ac:dyDescent="0.35">
      <c r="A1376" s="3" t="s">
        <v>49</v>
      </c>
      <c r="B1376" s="3" t="str">
        <f>INDEX(State_Region!$B$2:$B$26,MATCH(TRIM(A1376),State_Region!$A$2:$A$26,0))</f>
        <v>North</v>
      </c>
      <c r="C1376" s="3" t="s">
        <v>237</v>
      </c>
      <c r="D1376" s="3" t="str">
        <f>INDEX(Port_Type!$B$2:$B$227,MATCH(TRIM(C1376),Port_Type!$A$2:$A$227,0))</f>
        <v>Air Cargo</v>
      </c>
      <c r="E1376" s="3" t="s">
        <v>45</v>
      </c>
      <c r="F1376" s="3" t="str">
        <f>INDEX(Product_Category!$B$2:$B$45,MATCH(TRIM(E1376),Product_Category!$A$2:$A$45,0))</f>
        <v>Fresh Fruits &amp; Vegetables</v>
      </c>
      <c r="G1376" s="4">
        <v>0.01</v>
      </c>
      <c r="H1376" s="4">
        <v>0.09</v>
      </c>
      <c r="I1376" s="4">
        <v>0.02</v>
      </c>
      <c r="J1376" s="4">
        <v>22.49</v>
      </c>
      <c r="K1376" s="4">
        <v>79.67</v>
      </c>
      <c r="L1376" s="4">
        <v>34.18</v>
      </c>
      <c r="M1376" s="4">
        <f t="shared" si="63"/>
        <v>0.08</v>
      </c>
      <c r="N1376" s="4">
        <f t="shared" si="64"/>
        <v>57.180000000000007</v>
      </c>
      <c r="O1376" s="4">
        <f t="shared" si="65"/>
        <v>-6.9999999999999993E-2</v>
      </c>
      <c r="P1376" s="3" t="s">
        <v>19</v>
      </c>
    </row>
    <row r="1377" spans="1:16" x14ac:dyDescent="0.35">
      <c r="A1377" s="3" t="s">
        <v>40</v>
      </c>
      <c r="B1377" s="3" t="str">
        <f>INDEX(State_Region!$B$2:$B$26,MATCH(TRIM(A1377),State_Region!$A$2:$A$26,0))</f>
        <v>South</v>
      </c>
      <c r="C1377" s="3" t="s">
        <v>64</v>
      </c>
      <c r="D1377" s="3" t="str">
        <f>INDEX(Port_Type!$B$2:$B$227,MATCH(TRIM(C1377),Port_Type!$A$2:$A$227,0))</f>
        <v>Inland ICD / CFS</v>
      </c>
      <c r="E1377" s="3" t="s">
        <v>59</v>
      </c>
      <c r="F1377" s="3" t="str">
        <f>INDEX(Product_Category!$B$2:$B$45,MATCH(TRIM(E1377),Product_Category!$A$2:$A$45,0))</f>
        <v>Processed Foods</v>
      </c>
      <c r="G1377" s="4">
        <v>0.51</v>
      </c>
      <c r="H1377" s="4">
        <v>1.02</v>
      </c>
      <c r="I1377" s="4">
        <v>0.02</v>
      </c>
      <c r="J1377" s="4">
        <v>41.55</v>
      </c>
      <c r="K1377" s="4">
        <v>122.34</v>
      </c>
      <c r="L1377" s="4">
        <v>6.3</v>
      </c>
      <c r="M1377" s="4">
        <f t="shared" si="63"/>
        <v>0.51</v>
      </c>
      <c r="N1377" s="4">
        <f t="shared" si="64"/>
        <v>80.790000000000006</v>
      </c>
      <c r="O1377" s="4">
        <f t="shared" si="65"/>
        <v>-1</v>
      </c>
      <c r="P1377" s="3" t="s">
        <v>19</v>
      </c>
    </row>
    <row r="1378" spans="1:16" x14ac:dyDescent="0.35">
      <c r="A1378" s="3" t="s">
        <v>35</v>
      </c>
      <c r="B1378" s="3" t="str">
        <f>INDEX(State_Region!$B$2:$B$26,MATCH(TRIM(A1378),State_Region!$A$2:$A$26,0))</f>
        <v>North</v>
      </c>
      <c r="C1378" s="3" t="s">
        <v>47</v>
      </c>
      <c r="D1378" s="3" t="str">
        <f>INDEX(Port_Type!$B$2:$B$227,MATCH(TRIM(C1378),Port_Type!$A$2:$A$227,0))</f>
        <v>Inland ICD / CFS</v>
      </c>
      <c r="E1378" s="3" t="s">
        <v>122</v>
      </c>
      <c r="F1378" s="3" t="str">
        <f>INDEX(Product_Category!$B$2:$B$45,MATCH(TRIM(E1378),Product_Category!$A$2:$A$45,0))</f>
        <v>Others</v>
      </c>
      <c r="G1378" s="4">
        <v>0</v>
      </c>
      <c r="H1378" s="4">
        <v>0</v>
      </c>
      <c r="I1378" s="4">
        <v>0.02</v>
      </c>
      <c r="J1378" s="4">
        <v>0.01</v>
      </c>
      <c r="K1378" s="4">
        <v>0.05</v>
      </c>
      <c r="L1378" s="4">
        <v>3.2</v>
      </c>
      <c r="M1378" s="4">
        <f t="shared" si="63"/>
        <v>0</v>
      </c>
      <c r="N1378" s="4">
        <f t="shared" si="64"/>
        <v>0.04</v>
      </c>
      <c r="O1378" s="4">
        <f t="shared" si="65"/>
        <v>0.02</v>
      </c>
      <c r="P1378" s="3" t="s">
        <v>19</v>
      </c>
    </row>
    <row r="1379" spans="1:16" x14ac:dyDescent="0.35">
      <c r="A1379" s="3" t="s">
        <v>166</v>
      </c>
      <c r="B1379" s="3" t="str">
        <f>INDEX(State_Region!$B$2:$B$26,MATCH(TRIM(A1379),State_Region!$A$2:$A$26,0))</f>
        <v>West</v>
      </c>
      <c r="C1379" s="3" t="s">
        <v>200</v>
      </c>
      <c r="D1379" s="3" t="str">
        <f>INDEX(Port_Type!$B$2:$B$227,MATCH(TRIM(C1379),Port_Type!$A$2:$A$227,0))</f>
        <v>Air Cargo</v>
      </c>
      <c r="E1379" s="3" t="s">
        <v>55</v>
      </c>
      <c r="F1379" s="3" t="str">
        <f>INDEX(Product_Category!$B$2:$B$45,MATCH(TRIM(E1379),Product_Category!$A$2:$A$45,0))</f>
        <v>Fresh Fruits &amp; Vegetables</v>
      </c>
      <c r="G1379" s="4">
        <v>0</v>
      </c>
      <c r="H1379" s="4">
        <v>0</v>
      </c>
      <c r="I1379" s="4">
        <v>0.02</v>
      </c>
      <c r="J1379" s="4">
        <v>0</v>
      </c>
      <c r="K1379" s="4">
        <v>0.51</v>
      </c>
      <c r="L1379" s="4">
        <v>8.91</v>
      </c>
      <c r="M1379" s="4">
        <f t="shared" si="63"/>
        <v>0</v>
      </c>
      <c r="N1379" s="4">
        <f t="shared" si="64"/>
        <v>0.51</v>
      </c>
      <c r="O1379" s="4">
        <f t="shared" si="65"/>
        <v>0.02</v>
      </c>
      <c r="P1379" s="3" t="s">
        <v>19</v>
      </c>
    </row>
    <row r="1380" spans="1:16" x14ac:dyDescent="0.35">
      <c r="A1380" s="3" t="s">
        <v>23</v>
      </c>
      <c r="B1380" s="3" t="str">
        <f>INDEX(State_Region!$B$2:$B$26,MATCH(TRIM(A1380),State_Region!$A$2:$A$26,0))</f>
        <v>North</v>
      </c>
      <c r="C1380" s="3" t="s">
        <v>34</v>
      </c>
      <c r="D1380" s="3" t="str">
        <f>INDEX(Port_Type!$B$2:$B$227,MATCH(TRIM(C1380),Port_Type!$A$2:$A$227,0))</f>
        <v>Inland ICD / CFS</v>
      </c>
      <c r="E1380" s="3" t="s">
        <v>118</v>
      </c>
      <c r="F1380" s="3" t="str">
        <f>INDEX(Product_Category!$B$2:$B$45,MATCH(TRIM(E1380),Product_Category!$A$2:$A$45,0))</f>
        <v>Dairy, Poultry &amp; Honey</v>
      </c>
      <c r="G1380" s="4">
        <v>0.21</v>
      </c>
      <c r="H1380" s="4">
        <v>0.39</v>
      </c>
      <c r="I1380" s="4">
        <v>0.02</v>
      </c>
      <c r="J1380" s="4">
        <v>135.57</v>
      </c>
      <c r="K1380" s="4">
        <v>231.42</v>
      </c>
      <c r="L1380" s="4">
        <v>15.54</v>
      </c>
      <c r="M1380" s="4">
        <f t="shared" si="63"/>
        <v>0.18000000000000002</v>
      </c>
      <c r="N1380" s="4">
        <f t="shared" si="64"/>
        <v>95.85</v>
      </c>
      <c r="O1380" s="4">
        <f t="shared" si="65"/>
        <v>-0.37</v>
      </c>
      <c r="P1380" s="3" t="s">
        <v>19</v>
      </c>
    </row>
    <row r="1381" spans="1:16" x14ac:dyDescent="0.35">
      <c r="A1381" s="3" t="s">
        <v>66</v>
      </c>
      <c r="B1381" s="3" t="str">
        <f>INDEX(State_Region!$B$2:$B$26,MATCH(TRIM(A1381),State_Region!$A$2:$A$26,0))</f>
        <v>North</v>
      </c>
      <c r="C1381" s="3" t="s">
        <v>71</v>
      </c>
      <c r="D1381" s="3" t="str">
        <f>INDEX(Port_Type!$B$2:$B$227,MATCH(TRIM(C1381),Port_Type!$A$2:$A$227,0))</f>
        <v>Inland ICD / CFS</v>
      </c>
      <c r="E1381" s="3" t="s">
        <v>126</v>
      </c>
      <c r="F1381" s="3" t="str">
        <f>INDEX(Product_Category!$B$2:$B$45,MATCH(TRIM(E1381),Product_Category!$A$2:$A$45,0))</f>
        <v>Cereals &amp; Grains</v>
      </c>
      <c r="G1381" s="4">
        <v>0.02</v>
      </c>
      <c r="H1381" s="4">
        <v>0.03</v>
      </c>
      <c r="I1381" s="4">
        <v>0.02</v>
      </c>
      <c r="J1381" s="4">
        <v>6.05</v>
      </c>
      <c r="K1381" s="4">
        <v>12.25</v>
      </c>
      <c r="L1381" s="4">
        <v>13</v>
      </c>
      <c r="M1381" s="4">
        <f t="shared" si="63"/>
        <v>9.9999999999999985E-3</v>
      </c>
      <c r="N1381" s="4">
        <f t="shared" si="64"/>
        <v>6.2</v>
      </c>
      <c r="O1381" s="4">
        <f t="shared" si="65"/>
        <v>-9.9999999999999985E-3</v>
      </c>
      <c r="P1381" s="3" t="s">
        <v>19</v>
      </c>
    </row>
    <row r="1382" spans="1:16" x14ac:dyDescent="0.35">
      <c r="A1382" s="3" t="s">
        <v>49</v>
      </c>
      <c r="B1382" s="3" t="str">
        <f>INDEX(State_Region!$B$2:$B$26,MATCH(TRIM(A1382),State_Region!$A$2:$A$26,0))</f>
        <v>North</v>
      </c>
      <c r="C1382" s="3" t="s">
        <v>50</v>
      </c>
      <c r="D1382" s="3" t="str">
        <f>INDEX(Port_Type!$B$2:$B$227,MATCH(TRIM(C1382),Port_Type!$A$2:$A$227,0))</f>
        <v>Inland ICD / CFS</v>
      </c>
      <c r="E1382" s="3" t="s">
        <v>39</v>
      </c>
      <c r="F1382" s="3" t="str">
        <f>INDEX(Product_Category!$B$2:$B$45,MATCH(TRIM(E1382),Product_Category!$A$2:$A$45,0))</f>
        <v>Processed Foods</v>
      </c>
      <c r="G1382" s="4">
        <v>0</v>
      </c>
      <c r="H1382" s="4">
        <v>0</v>
      </c>
      <c r="I1382" s="4">
        <v>0.02</v>
      </c>
      <c r="J1382" s="4">
        <v>0</v>
      </c>
      <c r="K1382" s="4">
        <v>0</v>
      </c>
      <c r="L1382" s="4">
        <v>13.5</v>
      </c>
      <c r="M1382" s="4">
        <f t="shared" si="63"/>
        <v>0</v>
      </c>
      <c r="N1382" s="4">
        <f t="shared" si="64"/>
        <v>0</v>
      </c>
      <c r="O1382" s="4">
        <f t="shared" si="65"/>
        <v>0.02</v>
      </c>
      <c r="P1382" s="3" t="s">
        <v>19</v>
      </c>
    </row>
    <row r="1383" spans="1:16" x14ac:dyDescent="0.35">
      <c r="A1383" s="3" t="s">
        <v>16</v>
      </c>
      <c r="B1383" s="3" t="str">
        <f>INDEX(State_Region!$B$2:$B$26,MATCH(TRIM(A1383),State_Region!$A$2:$A$26,0))</f>
        <v>West</v>
      </c>
      <c r="C1383" s="3" t="s">
        <v>17</v>
      </c>
      <c r="D1383" s="3" t="str">
        <f>INDEX(Port_Type!$B$2:$B$227,MATCH(TRIM(C1383),Port_Type!$A$2:$A$227,0))</f>
        <v>Sea Port</v>
      </c>
      <c r="E1383" s="3" t="s">
        <v>116</v>
      </c>
      <c r="F1383" s="3" t="str">
        <f>INDEX(Product_Category!$B$2:$B$45,MATCH(TRIM(E1383),Product_Category!$A$2:$A$45,0))</f>
        <v>Others</v>
      </c>
      <c r="G1383" s="4">
        <v>0.06</v>
      </c>
      <c r="H1383" s="4">
        <v>0.24</v>
      </c>
      <c r="I1383" s="4">
        <v>0.02</v>
      </c>
      <c r="J1383" s="4">
        <v>282</v>
      </c>
      <c r="K1383" s="4">
        <v>1669</v>
      </c>
      <c r="L1383" s="4">
        <v>168</v>
      </c>
      <c r="M1383" s="4">
        <f t="shared" si="63"/>
        <v>0.18</v>
      </c>
      <c r="N1383" s="4">
        <f t="shared" si="64"/>
        <v>1387</v>
      </c>
      <c r="O1383" s="4">
        <f t="shared" si="65"/>
        <v>-0.22</v>
      </c>
      <c r="P1383" s="3" t="s">
        <v>19</v>
      </c>
    </row>
    <row r="1384" spans="1:16" x14ac:dyDescent="0.35">
      <c r="A1384" s="3" t="s">
        <v>40</v>
      </c>
      <c r="B1384" s="3" t="str">
        <f>INDEX(State_Region!$B$2:$B$26,MATCH(TRIM(A1384),State_Region!$A$2:$A$26,0))</f>
        <v>South</v>
      </c>
      <c r="C1384" s="3" t="s">
        <v>164</v>
      </c>
      <c r="D1384" s="3" t="str">
        <f>INDEX(Port_Type!$B$2:$B$227,MATCH(TRIM(C1384),Port_Type!$A$2:$A$227,0))</f>
        <v>Air Cargo</v>
      </c>
      <c r="E1384" s="3" t="s">
        <v>69</v>
      </c>
      <c r="F1384" s="3" t="str">
        <f>INDEX(Product_Category!$B$2:$B$45,MATCH(TRIM(E1384),Product_Category!$A$2:$A$45,0))</f>
        <v>Others</v>
      </c>
      <c r="G1384" s="4">
        <v>7.0000000000000007E-2</v>
      </c>
      <c r="H1384" s="4">
        <v>0.12</v>
      </c>
      <c r="I1384" s="4">
        <v>0.02</v>
      </c>
      <c r="J1384" s="4">
        <v>1.35</v>
      </c>
      <c r="K1384" s="4">
        <v>11.38</v>
      </c>
      <c r="L1384" s="4">
        <v>8.5399999999999991</v>
      </c>
      <c r="M1384" s="4">
        <f t="shared" si="63"/>
        <v>4.9999999999999989E-2</v>
      </c>
      <c r="N1384" s="4">
        <f t="shared" si="64"/>
        <v>10.030000000000001</v>
      </c>
      <c r="O1384" s="4">
        <f t="shared" si="65"/>
        <v>-9.9999999999999992E-2</v>
      </c>
      <c r="P1384" s="3" t="s">
        <v>19</v>
      </c>
    </row>
    <row r="1385" spans="1:16" x14ac:dyDescent="0.35">
      <c r="A1385" s="3" t="s">
        <v>31</v>
      </c>
      <c r="B1385" s="3" t="str">
        <f>INDEX(State_Region!$B$2:$B$26,MATCH(TRIM(A1385),State_Region!$A$2:$A$26,0))</f>
        <v>East</v>
      </c>
      <c r="C1385" s="3" t="s">
        <v>141</v>
      </c>
      <c r="D1385" s="3" t="str">
        <f>INDEX(Port_Type!$B$2:$B$227,MATCH(TRIM(C1385),Port_Type!$A$2:$A$227,0))</f>
        <v>Land Border / Rail</v>
      </c>
      <c r="E1385" s="3" t="s">
        <v>62</v>
      </c>
      <c r="F1385" s="3" t="str">
        <f>INDEX(Product_Category!$B$2:$B$45,MATCH(TRIM(E1385),Product_Category!$A$2:$A$45,0))</f>
        <v>Cereals &amp; Grains</v>
      </c>
      <c r="G1385" s="4">
        <v>9.41</v>
      </c>
      <c r="H1385" s="4">
        <v>10.93</v>
      </c>
      <c r="I1385" s="4">
        <v>0.02</v>
      </c>
      <c r="J1385" s="4">
        <v>4516.5</v>
      </c>
      <c r="K1385" s="4">
        <v>4529.1099999999997</v>
      </c>
      <c r="L1385" s="4">
        <v>56</v>
      </c>
      <c r="M1385" s="4">
        <f t="shared" si="63"/>
        <v>1.5199999999999996</v>
      </c>
      <c r="N1385" s="4">
        <f t="shared" si="64"/>
        <v>12.609999999999673</v>
      </c>
      <c r="O1385" s="4">
        <f t="shared" si="65"/>
        <v>-10.91</v>
      </c>
      <c r="P1385" s="3" t="s">
        <v>19</v>
      </c>
    </row>
    <row r="1386" spans="1:16" x14ac:dyDescent="0.35">
      <c r="A1386" s="3" t="s">
        <v>77</v>
      </c>
      <c r="B1386" s="3" t="str">
        <f>INDEX(State_Region!$B$2:$B$26,MATCH(TRIM(A1386),State_Region!$A$2:$A$26,0))</f>
        <v>South</v>
      </c>
      <c r="C1386" s="3" t="s">
        <v>168</v>
      </c>
      <c r="D1386" s="3" t="str">
        <f>INDEX(Port_Type!$B$2:$B$227,MATCH(TRIM(C1386),Port_Type!$A$2:$A$227,0))</f>
        <v>Air Cargo</v>
      </c>
      <c r="E1386" s="3" t="s">
        <v>55</v>
      </c>
      <c r="F1386" s="3" t="str">
        <f>INDEX(Product_Category!$B$2:$B$45,MATCH(TRIM(E1386),Product_Category!$A$2:$A$45,0))</f>
        <v>Fresh Fruits &amp; Vegetables</v>
      </c>
      <c r="G1386" s="4">
        <v>0</v>
      </c>
      <c r="H1386" s="4">
        <v>0.05</v>
      </c>
      <c r="I1386" s="4">
        <v>0.02</v>
      </c>
      <c r="J1386" s="4">
        <v>3.59</v>
      </c>
      <c r="K1386" s="4">
        <v>31.84</v>
      </c>
      <c r="L1386" s="4">
        <v>28.71</v>
      </c>
      <c r="M1386" s="4">
        <f t="shared" si="63"/>
        <v>0.05</v>
      </c>
      <c r="N1386" s="4">
        <f t="shared" si="64"/>
        <v>28.25</v>
      </c>
      <c r="O1386" s="4">
        <f t="shared" si="65"/>
        <v>-3.0000000000000002E-2</v>
      </c>
      <c r="P1386" s="3" t="s">
        <v>19</v>
      </c>
    </row>
    <row r="1387" spans="1:16" x14ac:dyDescent="0.35">
      <c r="A1387" s="3" t="s">
        <v>231</v>
      </c>
      <c r="B1387" s="3" t="str">
        <f>INDEX(State_Region!$B$2:$B$26,MATCH(TRIM(A1387),State_Region!$A$2:$A$26,0))</f>
        <v>North-East</v>
      </c>
      <c r="C1387" s="3" t="s">
        <v>232</v>
      </c>
      <c r="D1387" s="3" t="str">
        <f>INDEX(Port_Type!$B$2:$B$227,MATCH(TRIM(C1387),Port_Type!$A$2:$A$227,0))</f>
        <v>Land Border / Rail</v>
      </c>
      <c r="E1387" s="3" t="s">
        <v>33</v>
      </c>
      <c r="F1387" s="3" t="str">
        <f>INDEX(Product_Category!$B$2:$B$45,MATCH(TRIM(E1387),Product_Category!$A$2:$A$45,0))</f>
        <v>Pulses</v>
      </c>
      <c r="G1387" s="4">
        <v>0.04</v>
      </c>
      <c r="H1387" s="4">
        <v>0.01</v>
      </c>
      <c r="I1387" s="4">
        <v>0.02</v>
      </c>
      <c r="J1387" s="4">
        <v>36.17</v>
      </c>
      <c r="K1387" s="4">
        <v>14.55</v>
      </c>
      <c r="L1387" s="4">
        <v>16.399999999999999</v>
      </c>
      <c r="M1387" s="4">
        <f t="shared" si="63"/>
        <v>-0.03</v>
      </c>
      <c r="N1387" s="4">
        <f t="shared" si="64"/>
        <v>-21.62</v>
      </c>
      <c r="O1387" s="4">
        <f t="shared" si="65"/>
        <v>0.01</v>
      </c>
      <c r="P1387" s="3" t="s">
        <v>19</v>
      </c>
    </row>
    <row r="1388" spans="1:16" x14ac:dyDescent="0.35">
      <c r="A1388" s="3" t="s">
        <v>16</v>
      </c>
      <c r="B1388" s="3" t="str">
        <f>INDEX(State_Region!$B$2:$B$26,MATCH(TRIM(A1388),State_Region!$A$2:$A$26,0))</f>
        <v>West</v>
      </c>
      <c r="C1388" s="3" t="s">
        <v>109</v>
      </c>
      <c r="D1388" s="3" t="str">
        <f>INDEX(Port_Type!$B$2:$B$227,MATCH(TRIM(C1388),Port_Type!$A$2:$A$227,0))</f>
        <v>SEZ / EPZ</v>
      </c>
      <c r="E1388" s="3" t="s">
        <v>102</v>
      </c>
      <c r="F1388" s="3" t="str">
        <f>INDEX(Product_Category!$B$2:$B$45,MATCH(TRIM(E1388),Product_Category!$A$2:$A$45,0))</f>
        <v>Fresh Fruits &amp; Vegetables</v>
      </c>
      <c r="G1388" s="4">
        <v>0.27</v>
      </c>
      <c r="H1388" s="4">
        <v>0.04</v>
      </c>
      <c r="I1388" s="4">
        <v>0.02</v>
      </c>
      <c r="J1388" s="4">
        <v>200.89</v>
      </c>
      <c r="K1388" s="4">
        <v>23.73</v>
      </c>
      <c r="L1388" s="4">
        <v>7.42</v>
      </c>
      <c r="M1388" s="4">
        <f t="shared" si="63"/>
        <v>-0.23</v>
      </c>
      <c r="N1388" s="4">
        <f t="shared" si="64"/>
        <v>-177.16</v>
      </c>
      <c r="O1388" s="4">
        <f t="shared" si="65"/>
        <v>-0.02</v>
      </c>
      <c r="P1388" s="3" t="s">
        <v>19</v>
      </c>
    </row>
    <row r="1389" spans="1:16" x14ac:dyDescent="0.35">
      <c r="A1389" s="3" t="s">
        <v>66</v>
      </c>
      <c r="B1389" s="3" t="str">
        <f>INDEX(State_Region!$B$2:$B$26,MATCH(TRIM(A1389),State_Region!$A$2:$A$26,0))</f>
        <v>North</v>
      </c>
      <c r="C1389" s="3" t="s">
        <v>208</v>
      </c>
      <c r="D1389" s="3" t="str">
        <f>INDEX(Port_Type!$B$2:$B$227,MATCH(TRIM(C1389),Port_Type!$A$2:$A$227,0))</f>
        <v>Inland ICD / CFS</v>
      </c>
      <c r="E1389" s="3" t="s">
        <v>53</v>
      </c>
      <c r="F1389" s="3" t="str">
        <f>INDEX(Product_Category!$B$2:$B$45,MATCH(TRIM(E1389),Product_Category!$A$2:$A$45,0))</f>
        <v>Processed Foods</v>
      </c>
      <c r="G1389" s="4">
        <v>0.56000000000000005</v>
      </c>
      <c r="H1389" s="4">
        <v>0.4</v>
      </c>
      <c r="I1389" s="4">
        <v>0.02</v>
      </c>
      <c r="J1389" s="4">
        <v>447.38</v>
      </c>
      <c r="K1389" s="4">
        <v>333.95</v>
      </c>
      <c r="L1389" s="4">
        <v>11.74</v>
      </c>
      <c r="M1389" s="4">
        <f t="shared" si="63"/>
        <v>-0.16000000000000003</v>
      </c>
      <c r="N1389" s="4">
        <f t="shared" si="64"/>
        <v>-113.43</v>
      </c>
      <c r="O1389" s="4">
        <f t="shared" si="65"/>
        <v>-0.38</v>
      </c>
      <c r="P1389" s="3" t="s">
        <v>19</v>
      </c>
    </row>
    <row r="1390" spans="1:16" x14ac:dyDescent="0.35">
      <c r="A1390" s="3" t="s">
        <v>16</v>
      </c>
      <c r="B1390" s="3" t="str">
        <f>INDEX(State_Region!$B$2:$B$26,MATCH(TRIM(A1390),State_Region!$A$2:$A$26,0))</f>
        <v>West</v>
      </c>
      <c r="C1390" s="3" t="s">
        <v>140</v>
      </c>
      <c r="D1390" s="3" t="str">
        <f>INDEX(Port_Type!$B$2:$B$227,MATCH(TRIM(C1390),Port_Type!$A$2:$A$227,0))</f>
        <v>SEZ / EPZ</v>
      </c>
      <c r="E1390" s="3" t="s">
        <v>151</v>
      </c>
      <c r="F1390" s="3" t="str">
        <f>INDEX(Product_Category!$B$2:$B$45,MATCH(TRIM(E1390),Product_Category!$A$2:$A$45,0))</f>
        <v>Processed Foods</v>
      </c>
      <c r="G1390" s="4">
        <v>0</v>
      </c>
      <c r="H1390" s="4">
        <v>0.02</v>
      </c>
      <c r="I1390" s="4">
        <v>0.02</v>
      </c>
      <c r="J1390" s="4">
        <v>0</v>
      </c>
      <c r="K1390" s="4">
        <v>3.1</v>
      </c>
      <c r="L1390" s="4">
        <v>9.15</v>
      </c>
      <c r="M1390" s="4">
        <f t="shared" si="63"/>
        <v>0.02</v>
      </c>
      <c r="N1390" s="4">
        <f t="shared" si="64"/>
        <v>3.1</v>
      </c>
      <c r="O1390" s="4">
        <f t="shared" si="65"/>
        <v>0</v>
      </c>
      <c r="P1390" s="3" t="s">
        <v>19</v>
      </c>
    </row>
    <row r="1391" spans="1:16" x14ac:dyDescent="0.35">
      <c r="A1391" s="3" t="s">
        <v>31</v>
      </c>
      <c r="B1391" s="3" t="str">
        <f>INDEX(State_Region!$B$2:$B$26,MATCH(TRIM(A1391),State_Region!$A$2:$A$26,0))</f>
        <v>East</v>
      </c>
      <c r="C1391" s="3" t="s">
        <v>131</v>
      </c>
      <c r="D1391" s="3" t="str">
        <f>INDEX(Port_Type!$B$2:$B$227,MATCH(TRIM(C1391),Port_Type!$A$2:$A$227,0))</f>
        <v>Land Border / Rail</v>
      </c>
      <c r="E1391" s="3" t="s">
        <v>118</v>
      </c>
      <c r="F1391" s="3" t="str">
        <f>INDEX(Product_Category!$B$2:$B$45,MATCH(TRIM(E1391),Product_Category!$A$2:$A$45,0))</f>
        <v>Dairy, Poultry &amp; Honey</v>
      </c>
      <c r="G1391" s="4">
        <v>0.24</v>
      </c>
      <c r="H1391" s="4">
        <v>0.12</v>
      </c>
      <c r="I1391" s="4">
        <v>0.02</v>
      </c>
      <c r="J1391" s="4">
        <v>50.89</v>
      </c>
      <c r="K1391" s="4">
        <v>32.799999999999997</v>
      </c>
      <c r="L1391" s="4">
        <v>9.4600000000000009</v>
      </c>
      <c r="M1391" s="4">
        <f t="shared" si="63"/>
        <v>-0.12</v>
      </c>
      <c r="N1391" s="4">
        <f t="shared" si="64"/>
        <v>-18.090000000000003</v>
      </c>
      <c r="O1391" s="4">
        <f t="shared" si="65"/>
        <v>-9.9999999999999992E-2</v>
      </c>
      <c r="P1391" s="3" t="s">
        <v>19</v>
      </c>
    </row>
    <row r="1392" spans="1:16" x14ac:dyDescent="0.35">
      <c r="A1392" s="3" t="s">
        <v>159</v>
      </c>
      <c r="B1392" s="3" t="str">
        <f>INDEX(State_Region!$B$2:$B$26,MATCH(TRIM(A1392),State_Region!$A$2:$A$26,0))</f>
        <v>North-East</v>
      </c>
      <c r="C1392" s="3" t="s">
        <v>160</v>
      </c>
      <c r="D1392" s="3" t="str">
        <f>INDEX(Port_Type!$B$2:$B$227,MATCH(TRIM(C1392),Port_Type!$A$2:$A$227,0))</f>
        <v>Land Border / Rail</v>
      </c>
      <c r="E1392" s="3" t="s">
        <v>54</v>
      </c>
      <c r="F1392" s="3" t="str">
        <f>INDEX(Product_Category!$B$2:$B$45,MATCH(TRIM(E1392),Product_Category!$A$2:$A$45,0))</f>
        <v>Processed Foods</v>
      </c>
      <c r="G1392" s="4">
        <v>0.01</v>
      </c>
      <c r="H1392" s="4">
        <v>7.0000000000000007E-2</v>
      </c>
      <c r="I1392" s="4">
        <v>0.02</v>
      </c>
      <c r="J1392" s="4">
        <v>3.65</v>
      </c>
      <c r="K1392" s="4">
        <v>57.63</v>
      </c>
      <c r="L1392" s="4">
        <v>24.99</v>
      </c>
      <c r="M1392" s="4">
        <f t="shared" si="63"/>
        <v>6.0000000000000005E-2</v>
      </c>
      <c r="N1392" s="4">
        <f t="shared" si="64"/>
        <v>53.980000000000004</v>
      </c>
      <c r="O1392" s="4">
        <f t="shared" si="65"/>
        <v>-0.05</v>
      </c>
      <c r="P1392" s="3" t="s">
        <v>19</v>
      </c>
    </row>
    <row r="1393" spans="1:16" x14ac:dyDescent="0.35">
      <c r="A1393" s="3" t="s">
        <v>16</v>
      </c>
      <c r="B1393" s="3" t="str">
        <f>INDEX(State_Region!$B$2:$B$26,MATCH(TRIM(A1393),State_Region!$A$2:$A$26,0))</f>
        <v>West</v>
      </c>
      <c r="C1393" s="3" t="s">
        <v>17</v>
      </c>
      <c r="D1393" s="3" t="str">
        <f>INDEX(Port_Type!$B$2:$B$227,MATCH(TRIM(C1393),Port_Type!$A$2:$A$227,0))</f>
        <v>Sea Port</v>
      </c>
      <c r="E1393" s="3" t="s">
        <v>76</v>
      </c>
      <c r="F1393" s="3" t="str">
        <f>INDEX(Product_Category!$B$2:$B$45,MATCH(TRIM(E1393),Product_Category!$A$2:$A$45,0))</f>
        <v>Fresh Fruits &amp; Vegetables</v>
      </c>
      <c r="G1393" s="4">
        <v>0</v>
      </c>
      <c r="H1393" s="4">
        <v>0.02</v>
      </c>
      <c r="I1393" s="4">
        <v>0.02</v>
      </c>
      <c r="J1393" s="4">
        <v>2.52</v>
      </c>
      <c r="K1393" s="4">
        <v>19.559999999999999</v>
      </c>
      <c r="L1393" s="4">
        <v>19.940000000000001</v>
      </c>
      <c r="M1393" s="4">
        <f t="shared" si="63"/>
        <v>0.02</v>
      </c>
      <c r="N1393" s="4">
        <f t="shared" si="64"/>
        <v>17.04</v>
      </c>
      <c r="O1393" s="4">
        <f t="shared" si="65"/>
        <v>0</v>
      </c>
      <c r="P1393" s="3" t="s">
        <v>19</v>
      </c>
    </row>
    <row r="1394" spans="1:16" x14ac:dyDescent="0.35">
      <c r="A1394" s="3" t="s">
        <v>40</v>
      </c>
      <c r="B1394" s="3" t="str">
        <f>INDEX(State_Region!$B$2:$B$26,MATCH(TRIM(A1394),State_Region!$A$2:$A$26,0))</f>
        <v>South</v>
      </c>
      <c r="C1394" s="3" t="s">
        <v>117</v>
      </c>
      <c r="D1394" s="3" t="str">
        <f>INDEX(Port_Type!$B$2:$B$227,MATCH(TRIM(C1394),Port_Type!$A$2:$A$227,0))</f>
        <v>Sea Port</v>
      </c>
      <c r="E1394" s="3" t="s">
        <v>118</v>
      </c>
      <c r="F1394" s="3" t="str">
        <f>INDEX(Product_Category!$B$2:$B$45,MATCH(TRIM(E1394),Product_Category!$A$2:$A$45,0))</f>
        <v>Dairy, Poultry &amp; Honey</v>
      </c>
      <c r="G1394" s="4">
        <v>0.05</v>
      </c>
      <c r="H1394" s="4">
        <v>0.08</v>
      </c>
      <c r="I1394" s="4">
        <v>0.02</v>
      </c>
      <c r="J1394" s="4">
        <v>20.41</v>
      </c>
      <c r="K1394" s="4">
        <v>33.770000000000003</v>
      </c>
      <c r="L1394" s="4">
        <v>7.45</v>
      </c>
      <c r="M1394" s="4">
        <f t="shared" si="63"/>
        <v>0.03</v>
      </c>
      <c r="N1394" s="4">
        <f t="shared" si="64"/>
        <v>13.360000000000003</v>
      </c>
      <c r="O1394" s="4">
        <f t="shared" si="65"/>
        <v>-0.06</v>
      </c>
      <c r="P1394" s="3" t="s">
        <v>19</v>
      </c>
    </row>
    <row r="1395" spans="1:16" x14ac:dyDescent="0.35">
      <c r="A1395" s="3" t="s">
        <v>16</v>
      </c>
      <c r="B1395" s="3" t="str">
        <f>INDEX(State_Region!$B$2:$B$26,MATCH(TRIM(A1395),State_Region!$A$2:$A$26,0))</f>
        <v>West</v>
      </c>
      <c r="C1395" s="3" t="s">
        <v>90</v>
      </c>
      <c r="D1395" s="3" t="str">
        <f>INDEX(Port_Type!$B$2:$B$227,MATCH(TRIM(C1395),Port_Type!$A$2:$A$227,0))</f>
        <v>Inland ICD / CFS</v>
      </c>
      <c r="E1395" s="3" t="s">
        <v>113</v>
      </c>
      <c r="F1395" s="3" t="str">
        <f>INDEX(Product_Category!$B$2:$B$45,MATCH(TRIM(E1395),Product_Category!$A$2:$A$45,0))</f>
        <v>Cereals &amp; Grains</v>
      </c>
      <c r="G1395" s="4">
        <v>0</v>
      </c>
      <c r="H1395" s="4">
        <v>0</v>
      </c>
      <c r="I1395" s="4">
        <v>0.02</v>
      </c>
      <c r="J1395" s="4">
        <v>0</v>
      </c>
      <c r="K1395" s="4">
        <v>2.4</v>
      </c>
      <c r="L1395" s="4">
        <v>43.09</v>
      </c>
      <c r="M1395" s="4">
        <f t="shared" si="63"/>
        <v>0</v>
      </c>
      <c r="N1395" s="4">
        <f t="shared" si="64"/>
        <v>2.4</v>
      </c>
      <c r="O1395" s="4">
        <f t="shared" si="65"/>
        <v>0.02</v>
      </c>
      <c r="P1395" s="3" t="s">
        <v>19</v>
      </c>
    </row>
    <row r="1396" spans="1:16" x14ac:dyDescent="0.35">
      <c r="A1396" s="3" t="s">
        <v>77</v>
      </c>
      <c r="B1396" s="3" t="str">
        <f>INDEX(State_Region!$B$2:$B$26,MATCH(TRIM(A1396),State_Region!$A$2:$A$26,0))</f>
        <v>South</v>
      </c>
      <c r="C1396" s="3" t="s">
        <v>78</v>
      </c>
      <c r="D1396" s="3" t="str">
        <f>INDEX(Port_Type!$B$2:$B$227,MATCH(TRIM(C1396),Port_Type!$A$2:$A$227,0))</f>
        <v>Sea Port</v>
      </c>
      <c r="E1396" s="3" t="s">
        <v>81</v>
      </c>
      <c r="F1396" s="3" t="str">
        <f>INDEX(Product_Category!$B$2:$B$45,MATCH(TRIM(E1396),Product_Category!$A$2:$A$45,0))</f>
        <v>Processed Foods</v>
      </c>
      <c r="G1396" s="4">
        <v>1.31</v>
      </c>
      <c r="H1396" s="4">
        <v>0.24</v>
      </c>
      <c r="I1396" s="4">
        <v>0.02</v>
      </c>
      <c r="J1396" s="4">
        <v>1230.08</v>
      </c>
      <c r="K1396" s="4">
        <v>293.95999999999998</v>
      </c>
      <c r="L1396" s="4">
        <v>12.91</v>
      </c>
      <c r="M1396" s="4">
        <f t="shared" si="63"/>
        <v>-1.07</v>
      </c>
      <c r="N1396" s="4">
        <f t="shared" si="64"/>
        <v>-936.11999999999989</v>
      </c>
      <c r="O1396" s="4">
        <f t="shared" si="65"/>
        <v>-0.22</v>
      </c>
      <c r="P1396" s="3" t="s">
        <v>19</v>
      </c>
    </row>
    <row r="1397" spans="1:16" x14ac:dyDescent="0.35">
      <c r="A1397" s="3" t="s">
        <v>159</v>
      </c>
      <c r="B1397" s="3" t="str">
        <f>INDEX(State_Region!$B$2:$B$26,MATCH(TRIM(A1397),State_Region!$A$2:$A$26,0))</f>
        <v>North-East</v>
      </c>
      <c r="C1397" s="3" t="s">
        <v>218</v>
      </c>
      <c r="D1397" s="3" t="str">
        <f>INDEX(Port_Type!$B$2:$B$227,MATCH(TRIM(C1397),Port_Type!$A$2:$A$227,0))</f>
        <v>Land Border / Rail</v>
      </c>
      <c r="E1397" s="3" t="s">
        <v>65</v>
      </c>
      <c r="F1397" s="3" t="str">
        <f>INDEX(Product_Category!$B$2:$B$45,MATCH(TRIM(E1397),Product_Category!$A$2:$A$45,0))</f>
        <v>Cereals &amp; Grains</v>
      </c>
      <c r="G1397" s="4">
        <v>0</v>
      </c>
      <c r="H1397" s="4">
        <v>0.04</v>
      </c>
      <c r="I1397" s="4">
        <v>0.02</v>
      </c>
      <c r="J1397" s="4">
        <v>0</v>
      </c>
      <c r="K1397" s="4">
        <v>78.84</v>
      </c>
      <c r="L1397" s="4">
        <v>49.35</v>
      </c>
      <c r="M1397" s="4">
        <f t="shared" si="63"/>
        <v>0.04</v>
      </c>
      <c r="N1397" s="4">
        <f t="shared" si="64"/>
        <v>78.84</v>
      </c>
      <c r="O1397" s="4">
        <f t="shared" si="65"/>
        <v>-0.02</v>
      </c>
      <c r="P1397" s="3" t="s">
        <v>19</v>
      </c>
    </row>
    <row r="1398" spans="1:16" x14ac:dyDescent="0.35">
      <c r="A1398" s="3" t="s">
        <v>23</v>
      </c>
      <c r="B1398" s="3" t="str">
        <f>INDEX(State_Region!$B$2:$B$26,MATCH(TRIM(A1398),State_Region!$A$2:$A$26,0))</f>
        <v>North</v>
      </c>
      <c r="C1398" s="3" t="s">
        <v>34</v>
      </c>
      <c r="D1398" s="3" t="str">
        <f>INDEX(Port_Type!$B$2:$B$227,MATCH(TRIM(C1398),Port_Type!$A$2:$A$227,0))</f>
        <v>Inland ICD / CFS</v>
      </c>
      <c r="E1398" s="3" t="s">
        <v>65</v>
      </c>
      <c r="F1398" s="3" t="str">
        <f>INDEX(Product_Category!$B$2:$B$45,MATCH(TRIM(E1398),Product_Category!$A$2:$A$45,0))</f>
        <v>Cereals &amp; Grains</v>
      </c>
      <c r="G1398" s="4">
        <v>0.01</v>
      </c>
      <c r="H1398" s="4">
        <v>0</v>
      </c>
      <c r="I1398" s="4">
        <v>0.02</v>
      </c>
      <c r="J1398" s="4">
        <v>11</v>
      </c>
      <c r="K1398" s="4">
        <v>0</v>
      </c>
      <c r="L1398" s="4">
        <v>46</v>
      </c>
      <c r="M1398" s="4">
        <f t="shared" si="63"/>
        <v>-0.01</v>
      </c>
      <c r="N1398" s="4">
        <f t="shared" si="64"/>
        <v>-11</v>
      </c>
      <c r="O1398" s="4">
        <f t="shared" si="65"/>
        <v>0.02</v>
      </c>
      <c r="P1398" s="3" t="s">
        <v>19</v>
      </c>
    </row>
    <row r="1399" spans="1:16" x14ac:dyDescent="0.35">
      <c r="A1399" s="3" t="s">
        <v>40</v>
      </c>
      <c r="B1399" s="3" t="str">
        <f>INDEX(State_Region!$B$2:$B$26,MATCH(TRIM(A1399),State_Region!$A$2:$A$26,0))</f>
        <v>South</v>
      </c>
      <c r="C1399" s="3" t="s">
        <v>117</v>
      </c>
      <c r="D1399" s="3" t="str">
        <f>INDEX(Port_Type!$B$2:$B$227,MATCH(TRIM(C1399),Port_Type!$A$2:$A$227,0))</f>
        <v>Sea Port</v>
      </c>
      <c r="E1399" s="3" t="s">
        <v>18</v>
      </c>
      <c r="F1399" s="3" t="str">
        <f>INDEX(Product_Category!$B$2:$B$45,MATCH(TRIM(E1399),Product_Category!$A$2:$A$45,0))</f>
        <v>Cereals &amp; Grains</v>
      </c>
      <c r="G1399" s="4">
        <v>0.05</v>
      </c>
      <c r="H1399" s="4">
        <v>0.02</v>
      </c>
      <c r="I1399" s="4">
        <v>0.02</v>
      </c>
      <c r="J1399" s="4">
        <v>35.75</v>
      </c>
      <c r="K1399" s="4">
        <v>21.81</v>
      </c>
      <c r="L1399" s="4">
        <v>19.420000000000002</v>
      </c>
      <c r="M1399" s="4">
        <f t="shared" si="63"/>
        <v>-3.0000000000000002E-2</v>
      </c>
      <c r="N1399" s="4">
        <f t="shared" si="64"/>
        <v>-13.940000000000001</v>
      </c>
      <c r="O1399" s="4">
        <f t="shared" si="65"/>
        <v>0</v>
      </c>
      <c r="P1399" s="3" t="s">
        <v>19</v>
      </c>
    </row>
    <row r="1400" spans="1:16" x14ac:dyDescent="0.35">
      <c r="A1400" s="3" t="s">
        <v>16</v>
      </c>
      <c r="B1400" s="3" t="str">
        <f>INDEX(State_Region!$B$2:$B$26,MATCH(TRIM(A1400),State_Region!$A$2:$A$26,0))</f>
        <v>West</v>
      </c>
      <c r="C1400" s="3" t="s">
        <v>135</v>
      </c>
      <c r="D1400" s="3" t="str">
        <f>INDEX(Port_Type!$B$2:$B$227,MATCH(TRIM(C1400),Port_Type!$A$2:$A$227,0))</f>
        <v>Air Cargo</v>
      </c>
      <c r="E1400" s="3" t="s">
        <v>45</v>
      </c>
      <c r="F1400" s="3" t="str">
        <f>INDEX(Product_Category!$B$2:$B$45,MATCH(TRIM(E1400),Product_Category!$A$2:$A$45,0))</f>
        <v>Fresh Fruits &amp; Vegetables</v>
      </c>
      <c r="G1400" s="4">
        <v>0.11</v>
      </c>
      <c r="H1400" s="4">
        <v>0.1</v>
      </c>
      <c r="I1400" s="4">
        <v>0.02</v>
      </c>
      <c r="J1400" s="4">
        <v>45.24</v>
      </c>
      <c r="K1400" s="4">
        <v>36.880000000000003</v>
      </c>
      <c r="L1400" s="4">
        <v>5.62</v>
      </c>
      <c r="M1400" s="4">
        <f t="shared" si="63"/>
        <v>-9.999999999999995E-3</v>
      </c>
      <c r="N1400" s="4">
        <f t="shared" si="64"/>
        <v>-8.36</v>
      </c>
      <c r="O1400" s="4">
        <f t="shared" si="65"/>
        <v>-0.08</v>
      </c>
      <c r="P1400" s="3" t="s">
        <v>19</v>
      </c>
    </row>
    <row r="1401" spans="1:16" x14ac:dyDescent="0.35">
      <c r="A1401" s="3" t="s">
        <v>231</v>
      </c>
      <c r="B1401" s="3" t="str">
        <f>INDEX(State_Region!$B$2:$B$26,MATCH(TRIM(A1401),State_Region!$A$2:$A$26,0))</f>
        <v>North-East</v>
      </c>
      <c r="C1401" s="3" t="s">
        <v>236</v>
      </c>
      <c r="D1401" s="3" t="str">
        <f>INDEX(Port_Type!$B$2:$B$227,MATCH(TRIM(C1401),Port_Type!$A$2:$A$227,0))</f>
        <v>Land Border / Rail</v>
      </c>
      <c r="E1401" s="3" t="s">
        <v>102</v>
      </c>
      <c r="F1401" s="3" t="str">
        <f>INDEX(Product_Category!$B$2:$B$45,MATCH(TRIM(E1401),Product_Category!$A$2:$A$45,0))</f>
        <v>Fresh Fruits &amp; Vegetables</v>
      </c>
      <c r="G1401" s="4">
        <v>0.01</v>
      </c>
      <c r="H1401" s="4">
        <v>0.08</v>
      </c>
      <c r="I1401" s="4">
        <v>0.02</v>
      </c>
      <c r="J1401" s="4">
        <v>21.45</v>
      </c>
      <c r="K1401" s="4">
        <v>238.43</v>
      </c>
      <c r="L1401" s="4">
        <v>71.44</v>
      </c>
      <c r="M1401" s="4">
        <f t="shared" si="63"/>
        <v>7.0000000000000007E-2</v>
      </c>
      <c r="N1401" s="4">
        <f t="shared" si="64"/>
        <v>216.98000000000002</v>
      </c>
      <c r="O1401" s="4">
        <f t="shared" si="65"/>
        <v>-0.06</v>
      </c>
      <c r="P1401" s="3" t="s">
        <v>19</v>
      </c>
    </row>
    <row r="1402" spans="1:16" x14ac:dyDescent="0.35">
      <c r="A1402" s="3" t="s">
        <v>49</v>
      </c>
      <c r="B1402" s="3" t="str">
        <f>INDEX(State_Region!$B$2:$B$26,MATCH(TRIM(A1402),State_Region!$A$2:$A$26,0))</f>
        <v>North</v>
      </c>
      <c r="C1402" s="3" t="s">
        <v>121</v>
      </c>
      <c r="D1402" s="3" t="str">
        <f>INDEX(Port_Type!$B$2:$B$227,MATCH(TRIM(C1402),Port_Type!$A$2:$A$227,0))</f>
        <v>Inland ICD / CFS</v>
      </c>
      <c r="E1402" s="3" t="s">
        <v>144</v>
      </c>
      <c r="F1402" s="3" t="str">
        <f>INDEX(Product_Category!$B$2:$B$45,MATCH(TRIM(E1402),Product_Category!$A$2:$A$45,0))</f>
        <v>Cereals &amp; Grains</v>
      </c>
      <c r="G1402" s="4">
        <v>0.04</v>
      </c>
      <c r="H1402" s="4">
        <v>0.03</v>
      </c>
      <c r="I1402" s="4">
        <v>0.02</v>
      </c>
      <c r="J1402" s="4">
        <v>21.84</v>
      </c>
      <c r="K1402" s="4">
        <v>15.46</v>
      </c>
      <c r="L1402" s="4">
        <v>9.81</v>
      </c>
      <c r="M1402" s="4">
        <f t="shared" si="63"/>
        <v>-1.0000000000000002E-2</v>
      </c>
      <c r="N1402" s="4">
        <f t="shared" si="64"/>
        <v>-6.379999999999999</v>
      </c>
      <c r="O1402" s="4">
        <f t="shared" si="65"/>
        <v>-9.9999999999999985E-3</v>
      </c>
      <c r="P1402" s="3" t="s">
        <v>19</v>
      </c>
    </row>
    <row r="1403" spans="1:16" x14ac:dyDescent="0.35">
      <c r="A1403" s="3" t="s">
        <v>231</v>
      </c>
      <c r="B1403" s="3" t="str">
        <f>INDEX(State_Region!$B$2:$B$26,MATCH(TRIM(A1403),State_Region!$A$2:$A$26,0))</f>
        <v>North-East</v>
      </c>
      <c r="C1403" s="3" t="s">
        <v>232</v>
      </c>
      <c r="D1403" s="3" t="str">
        <f>INDEX(Port_Type!$B$2:$B$227,MATCH(TRIM(C1403),Port_Type!$A$2:$A$227,0))</f>
        <v>Land Border / Rail</v>
      </c>
      <c r="E1403" s="3" t="s">
        <v>45</v>
      </c>
      <c r="F1403" s="3" t="str">
        <f>INDEX(Product_Category!$B$2:$B$45,MATCH(TRIM(E1403),Product_Category!$A$2:$A$45,0))</f>
        <v>Fresh Fruits &amp; Vegetables</v>
      </c>
      <c r="G1403" s="4">
        <v>0.06</v>
      </c>
      <c r="H1403" s="4">
        <v>7.0000000000000007E-2</v>
      </c>
      <c r="I1403" s="4">
        <v>0.02</v>
      </c>
      <c r="J1403" s="4">
        <v>151.07</v>
      </c>
      <c r="K1403" s="4">
        <v>184.41</v>
      </c>
      <c r="L1403" s="4">
        <v>36.450000000000003</v>
      </c>
      <c r="M1403" s="4">
        <f t="shared" si="63"/>
        <v>1.0000000000000009E-2</v>
      </c>
      <c r="N1403" s="4">
        <f t="shared" si="64"/>
        <v>33.340000000000003</v>
      </c>
      <c r="O1403" s="4">
        <f t="shared" si="65"/>
        <v>-0.05</v>
      </c>
      <c r="P1403" s="3" t="s">
        <v>19</v>
      </c>
    </row>
    <row r="1404" spans="1:16" x14ac:dyDescent="0.35">
      <c r="A1404" s="3" t="s">
        <v>74</v>
      </c>
      <c r="B1404" s="3" t="str">
        <f>INDEX(State_Region!$B$2:$B$26,MATCH(TRIM(A1404),State_Region!$A$2:$A$26,0))</f>
        <v>South</v>
      </c>
      <c r="C1404" s="3" t="s">
        <v>137</v>
      </c>
      <c r="D1404" s="3" t="str">
        <f>INDEX(Port_Type!$B$2:$B$227,MATCH(TRIM(C1404),Port_Type!$A$2:$A$227,0))</f>
        <v>Air Cargo</v>
      </c>
      <c r="E1404" s="3" t="s">
        <v>42</v>
      </c>
      <c r="F1404" s="3" t="str">
        <f>INDEX(Product_Category!$B$2:$B$45,MATCH(TRIM(E1404),Product_Category!$A$2:$A$45,0))</f>
        <v>Processed Foods</v>
      </c>
      <c r="G1404" s="4">
        <v>0.12</v>
      </c>
      <c r="H1404" s="4">
        <v>0.03</v>
      </c>
      <c r="I1404" s="4">
        <v>0.02</v>
      </c>
      <c r="J1404" s="4">
        <v>7.13</v>
      </c>
      <c r="K1404" s="4">
        <v>2.13</v>
      </c>
      <c r="L1404" s="4">
        <v>1.34</v>
      </c>
      <c r="M1404" s="4">
        <f t="shared" si="63"/>
        <v>-0.09</v>
      </c>
      <c r="N1404" s="4">
        <f t="shared" si="64"/>
        <v>-5</v>
      </c>
      <c r="O1404" s="4">
        <f t="shared" si="65"/>
        <v>-9.9999999999999985E-3</v>
      </c>
      <c r="P1404" s="3" t="s">
        <v>19</v>
      </c>
    </row>
    <row r="1405" spans="1:16" x14ac:dyDescent="0.35">
      <c r="A1405" s="3" t="s">
        <v>94</v>
      </c>
      <c r="B1405" s="3" t="str">
        <f>INDEX(State_Region!$B$2:$B$26,MATCH(TRIM(A1405),State_Region!$A$2:$A$26,0))</f>
        <v>East</v>
      </c>
      <c r="C1405" s="3" t="s">
        <v>112</v>
      </c>
      <c r="D1405" s="3" t="str">
        <f>INDEX(Port_Type!$B$2:$B$227,MATCH(TRIM(C1405),Port_Type!$A$2:$A$227,0))</f>
        <v>Land Border / Rail</v>
      </c>
      <c r="E1405" s="3" t="s">
        <v>170</v>
      </c>
      <c r="F1405" s="3" t="str">
        <f>INDEX(Product_Category!$B$2:$B$45,MATCH(TRIM(E1405),Product_Category!$A$2:$A$45,0))</f>
        <v>Others</v>
      </c>
      <c r="G1405" s="4">
        <v>0.08</v>
      </c>
      <c r="H1405" s="4">
        <v>0.06</v>
      </c>
      <c r="I1405" s="4">
        <v>0.02</v>
      </c>
      <c r="J1405" s="4">
        <v>45.9</v>
      </c>
      <c r="K1405" s="4">
        <v>36.700000000000003</v>
      </c>
      <c r="L1405" s="4">
        <v>11.7</v>
      </c>
      <c r="M1405" s="4">
        <f t="shared" si="63"/>
        <v>-2.0000000000000004E-2</v>
      </c>
      <c r="N1405" s="4">
        <f t="shared" si="64"/>
        <v>-9.1999999999999957</v>
      </c>
      <c r="O1405" s="4">
        <f t="shared" si="65"/>
        <v>-3.9999999999999994E-2</v>
      </c>
      <c r="P1405" s="3" t="s">
        <v>19</v>
      </c>
    </row>
    <row r="1406" spans="1:16" x14ac:dyDescent="0.35">
      <c r="A1406" s="3" t="s">
        <v>77</v>
      </c>
      <c r="B1406" s="3" t="str">
        <f>INDEX(State_Region!$B$2:$B$26,MATCH(TRIM(A1406),State_Region!$A$2:$A$26,0))</f>
        <v>South</v>
      </c>
      <c r="C1406" s="3" t="s">
        <v>157</v>
      </c>
      <c r="D1406" s="3" t="str">
        <f>INDEX(Port_Type!$B$2:$B$227,MATCH(TRIM(C1406),Port_Type!$A$2:$A$227,0))</f>
        <v>Air Cargo</v>
      </c>
      <c r="E1406" s="3" t="s">
        <v>39</v>
      </c>
      <c r="F1406" s="3" t="str">
        <f>INDEX(Product_Category!$B$2:$B$45,MATCH(TRIM(E1406),Product_Category!$A$2:$A$45,0))</f>
        <v>Processed Foods</v>
      </c>
      <c r="G1406" s="4">
        <v>0.01</v>
      </c>
      <c r="H1406" s="4">
        <v>0.06</v>
      </c>
      <c r="I1406" s="4">
        <v>0.02</v>
      </c>
      <c r="J1406" s="4">
        <v>3.17</v>
      </c>
      <c r="K1406" s="4">
        <v>8.66</v>
      </c>
      <c r="L1406" s="4">
        <v>3.65</v>
      </c>
      <c r="M1406" s="4">
        <f t="shared" si="63"/>
        <v>4.9999999999999996E-2</v>
      </c>
      <c r="N1406" s="4">
        <f t="shared" si="64"/>
        <v>5.49</v>
      </c>
      <c r="O1406" s="4">
        <f t="shared" si="65"/>
        <v>-3.9999999999999994E-2</v>
      </c>
      <c r="P1406" s="3" t="s">
        <v>19</v>
      </c>
    </row>
    <row r="1407" spans="1:16" x14ac:dyDescent="0.35">
      <c r="A1407" s="3" t="s">
        <v>20</v>
      </c>
      <c r="B1407" s="3" t="str">
        <f>INDEX(State_Region!$B$2:$B$26,MATCH(TRIM(A1407),State_Region!$A$2:$A$26,0))</f>
        <v>West</v>
      </c>
      <c r="C1407" s="3" t="s">
        <v>68</v>
      </c>
      <c r="D1407" s="3" t="str">
        <f>INDEX(Port_Type!$B$2:$B$227,MATCH(TRIM(C1407),Port_Type!$A$2:$A$227,0))</f>
        <v>Air Cargo</v>
      </c>
      <c r="E1407" s="3" t="s">
        <v>65</v>
      </c>
      <c r="F1407" s="3" t="str">
        <f>INDEX(Product_Category!$B$2:$B$45,MATCH(TRIM(E1407),Product_Category!$A$2:$A$45,0))</f>
        <v>Cereals &amp; Grains</v>
      </c>
      <c r="G1407" s="4">
        <v>0.01</v>
      </c>
      <c r="H1407" s="4">
        <v>0.04</v>
      </c>
      <c r="I1407" s="4">
        <v>0.02</v>
      </c>
      <c r="J1407" s="4">
        <v>5.0199999999999996</v>
      </c>
      <c r="K1407" s="4">
        <v>6.42</v>
      </c>
      <c r="L1407" s="4">
        <v>8.16</v>
      </c>
      <c r="M1407" s="4">
        <f t="shared" si="63"/>
        <v>0.03</v>
      </c>
      <c r="N1407" s="4">
        <f t="shared" si="64"/>
        <v>1.4000000000000004</v>
      </c>
      <c r="O1407" s="4">
        <f t="shared" si="65"/>
        <v>-0.02</v>
      </c>
      <c r="P1407" s="3" t="s">
        <v>19</v>
      </c>
    </row>
    <row r="1408" spans="1:16" x14ac:dyDescent="0.35">
      <c r="A1408" s="3" t="s">
        <v>20</v>
      </c>
      <c r="B1408" s="3" t="str">
        <f>INDEX(State_Region!$B$2:$B$26,MATCH(TRIM(A1408),State_Region!$A$2:$A$26,0))</f>
        <v>West</v>
      </c>
      <c r="C1408" s="3" t="s">
        <v>173</v>
      </c>
      <c r="D1408" s="3" t="str">
        <f>INDEX(Port_Type!$B$2:$B$227,MATCH(TRIM(C1408),Port_Type!$A$2:$A$227,0))</f>
        <v>Inland ICD / CFS</v>
      </c>
      <c r="E1408" s="3" t="s">
        <v>33</v>
      </c>
      <c r="F1408" s="3" t="str">
        <f>INDEX(Product_Category!$B$2:$B$45,MATCH(TRIM(E1408),Product_Category!$A$2:$A$45,0))</f>
        <v>Pulses</v>
      </c>
      <c r="G1408" s="4">
        <v>0.16</v>
      </c>
      <c r="H1408" s="4">
        <v>0.15</v>
      </c>
      <c r="I1408" s="4">
        <v>0.02</v>
      </c>
      <c r="J1408" s="4">
        <v>99.7</v>
      </c>
      <c r="K1408" s="4">
        <v>106.38</v>
      </c>
      <c r="L1408" s="4">
        <v>15.71</v>
      </c>
      <c r="M1408" s="4">
        <f t="shared" si="63"/>
        <v>-1.0000000000000009E-2</v>
      </c>
      <c r="N1408" s="4">
        <f t="shared" si="64"/>
        <v>6.6799999999999926</v>
      </c>
      <c r="O1408" s="4">
        <f t="shared" si="65"/>
        <v>-0.13</v>
      </c>
      <c r="P1408" s="3" t="s">
        <v>19</v>
      </c>
    </row>
    <row r="1409" spans="1:16" x14ac:dyDescent="0.35">
      <c r="A1409" s="3" t="s">
        <v>66</v>
      </c>
      <c r="B1409" s="3" t="str">
        <f>INDEX(State_Region!$B$2:$B$26,MATCH(TRIM(A1409),State_Region!$A$2:$A$26,0))</f>
        <v>North</v>
      </c>
      <c r="C1409" s="3" t="s">
        <v>73</v>
      </c>
      <c r="D1409" s="3" t="str">
        <f>INDEX(Port_Type!$B$2:$B$227,MATCH(TRIM(C1409),Port_Type!$A$2:$A$227,0))</f>
        <v>Inland ICD / CFS</v>
      </c>
      <c r="E1409" s="3" t="s">
        <v>174</v>
      </c>
      <c r="F1409" s="3" t="str">
        <f>INDEX(Product_Category!$B$2:$B$45,MATCH(TRIM(E1409),Product_Category!$A$2:$A$45,0))</f>
        <v>Dairy, Poultry &amp; Honey</v>
      </c>
      <c r="G1409" s="4">
        <v>0.02</v>
      </c>
      <c r="H1409" s="4">
        <v>0.08</v>
      </c>
      <c r="I1409" s="4">
        <v>0.02</v>
      </c>
      <c r="J1409" s="4">
        <v>5.1100000000000003</v>
      </c>
      <c r="K1409" s="4">
        <v>17</v>
      </c>
      <c r="L1409" s="4">
        <v>7</v>
      </c>
      <c r="M1409" s="4">
        <f t="shared" si="63"/>
        <v>0.06</v>
      </c>
      <c r="N1409" s="4">
        <f t="shared" si="64"/>
        <v>11.89</v>
      </c>
      <c r="O1409" s="4">
        <f t="shared" si="65"/>
        <v>-0.06</v>
      </c>
      <c r="P1409" s="3" t="s">
        <v>19</v>
      </c>
    </row>
    <row r="1410" spans="1:16" x14ac:dyDescent="0.35">
      <c r="A1410" s="3" t="s">
        <v>16</v>
      </c>
      <c r="B1410" s="3" t="str">
        <f>INDEX(State_Region!$B$2:$B$26,MATCH(TRIM(A1410),State_Region!$A$2:$A$26,0))</f>
        <v>West</v>
      </c>
      <c r="C1410" s="3" t="s">
        <v>52</v>
      </c>
      <c r="D1410" s="3" t="str">
        <f>INDEX(Port_Type!$B$2:$B$227,MATCH(TRIM(C1410),Port_Type!$A$2:$A$227,0))</f>
        <v>Sea Port</v>
      </c>
      <c r="E1410" s="3" t="s">
        <v>84</v>
      </c>
      <c r="F1410" s="3" t="str">
        <f>INDEX(Product_Category!$B$2:$B$45,MATCH(TRIM(E1410),Product_Category!$A$2:$A$45,0))</f>
        <v>Nuts &amp; Oilseeds</v>
      </c>
      <c r="G1410" s="4">
        <v>0</v>
      </c>
      <c r="H1410" s="4">
        <v>0.02</v>
      </c>
      <c r="I1410" s="4">
        <v>0.02</v>
      </c>
      <c r="J1410" s="4">
        <v>0</v>
      </c>
      <c r="K1410" s="4">
        <v>2.5</v>
      </c>
      <c r="L1410" s="4">
        <v>2</v>
      </c>
      <c r="M1410" s="4">
        <f t="shared" ref="M1410:M1473" si="66">H1410-G1410</f>
        <v>0.02</v>
      </c>
      <c r="N1410" s="4">
        <f t="shared" ref="N1410:N1473" si="67">K1410-J1410</f>
        <v>2.5</v>
      </c>
      <c r="O1410" s="4">
        <f t="shared" ref="O1410:O1473" si="68">I1410-H1410</f>
        <v>0</v>
      </c>
      <c r="P1410" s="3" t="s">
        <v>19</v>
      </c>
    </row>
    <row r="1411" spans="1:16" x14ac:dyDescent="0.35">
      <c r="A1411" s="3" t="s">
        <v>231</v>
      </c>
      <c r="B1411" s="3" t="str">
        <f>INDEX(State_Region!$B$2:$B$26,MATCH(TRIM(A1411),State_Region!$A$2:$A$26,0))</f>
        <v>North-East</v>
      </c>
      <c r="C1411" s="3" t="s">
        <v>232</v>
      </c>
      <c r="D1411" s="3" t="str">
        <f>INDEX(Port_Type!$B$2:$B$227,MATCH(TRIM(C1411),Port_Type!$A$2:$A$227,0))</f>
        <v>Land Border / Rail</v>
      </c>
      <c r="E1411" s="3" t="s">
        <v>53</v>
      </c>
      <c r="F1411" s="3" t="str">
        <f>INDEX(Product_Category!$B$2:$B$45,MATCH(TRIM(E1411),Product_Category!$A$2:$A$45,0))</f>
        <v>Processed Foods</v>
      </c>
      <c r="G1411" s="4">
        <v>0.05</v>
      </c>
      <c r="H1411" s="4">
        <v>0.03</v>
      </c>
      <c r="I1411" s="4">
        <v>0.02</v>
      </c>
      <c r="J1411" s="4">
        <v>39.42</v>
      </c>
      <c r="K1411" s="4">
        <v>34.32</v>
      </c>
      <c r="L1411" s="4">
        <v>31.36</v>
      </c>
      <c r="M1411" s="4">
        <f t="shared" si="66"/>
        <v>-2.0000000000000004E-2</v>
      </c>
      <c r="N1411" s="4">
        <f t="shared" si="67"/>
        <v>-5.1000000000000014</v>
      </c>
      <c r="O1411" s="4">
        <f t="shared" si="68"/>
        <v>-9.9999999999999985E-3</v>
      </c>
      <c r="P1411" s="3" t="s">
        <v>19</v>
      </c>
    </row>
    <row r="1412" spans="1:16" x14ac:dyDescent="0.35">
      <c r="A1412" s="3" t="s">
        <v>20</v>
      </c>
      <c r="B1412" s="3" t="str">
        <f>INDEX(State_Region!$B$2:$B$26,MATCH(TRIM(A1412),State_Region!$A$2:$A$26,0))</f>
        <v>West</v>
      </c>
      <c r="C1412" s="3" t="s">
        <v>245</v>
      </c>
      <c r="D1412" s="3" t="str">
        <f>INDEX(Port_Type!$B$2:$B$227,MATCH(TRIM(C1412),Port_Type!$A$2:$A$227,0))</f>
        <v>Air Cargo</v>
      </c>
      <c r="E1412" s="3" t="s">
        <v>39</v>
      </c>
      <c r="F1412" s="3" t="str">
        <f>INDEX(Product_Category!$B$2:$B$45,MATCH(TRIM(E1412),Product_Category!$A$2:$A$45,0))</f>
        <v>Processed Foods</v>
      </c>
      <c r="G1412" s="4">
        <v>0.05</v>
      </c>
      <c r="H1412" s="4">
        <v>0.03</v>
      </c>
      <c r="I1412" s="4">
        <v>0.02</v>
      </c>
      <c r="J1412" s="4">
        <v>4.3899999999999997</v>
      </c>
      <c r="K1412" s="4">
        <v>1.75</v>
      </c>
      <c r="L1412" s="4">
        <v>0.2</v>
      </c>
      <c r="M1412" s="4">
        <f t="shared" si="66"/>
        <v>-2.0000000000000004E-2</v>
      </c>
      <c r="N1412" s="4">
        <f t="shared" si="67"/>
        <v>-2.6399999999999997</v>
      </c>
      <c r="O1412" s="4">
        <f t="shared" si="68"/>
        <v>-9.9999999999999985E-3</v>
      </c>
      <c r="P1412" s="3" t="s">
        <v>19</v>
      </c>
    </row>
    <row r="1413" spans="1:16" x14ac:dyDescent="0.35">
      <c r="A1413" s="3" t="s">
        <v>35</v>
      </c>
      <c r="B1413" s="3" t="str">
        <f>INDEX(State_Region!$B$2:$B$26,MATCH(TRIM(A1413),State_Region!$A$2:$A$26,0))</f>
        <v>North</v>
      </c>
      <c r="C1413" s="3" t="s">
        <v>165</v>
      </c>
      <c r="D1413" s="3" t="str">
        <f>INDEX(Port_Type!$B$2:$B$227,MATCH(TRIM(C1413),Port_Type!$A$2:$A$227,0))</f>
        <v>Inland ICD / CFS</v>
      </c>
      <c r="E1413" s="3" t="s">
        <v>45</v>
      </c>
      <c r="F1413" s="3" t="str">
        <f>INDEX(Product_Category!$B$2:$B$45,MATCH(TRIM(E1413),Product_Category!$A$2:$A$45,0))</f>
        <v>Fresh Fruits &amp; Vegetables</v>
      </c>
      <c r="G1413" s="4">
        <v>0.01</v>
      </c>
      <c r="H1413" s="4">
        <v>0.03</v>
      </c>
      <c r="I1413" s="4">
        <v>0.02</v>
      </c>
      <c r="J1413" s="4">
        <v>3.85</v>
      </c>
      <c r="K1413" s="4">
        <v>9.27</v>
      </c>
      <c r="L1413" s="4">
        <v>5.24</v>
      </c>
      <c r="M1413" s="4">
        <f t="shared" si="66"/>
        <v>1.9999999999999997E-2</v>
      </c>
      <c r="N1413" s="4">
        <f t="shared" si="67"/>
        <v>5.42</v>
      </c>
      <c r="O1413" s="4">
        <f t="shared" si="68"/>
        <v>-9.9999999999999985E-3</v>
      </c>
      <c r="P1413" s="3" t="s">
        <v>19</v>
      </c>
    </row>
    <row r="1414" spans="1:16" x14ac:dyDescent="0.35">
      <c r="A1414" s="3" t="s">
        <v>94</v>
      </c>
      <c r="B1414" s="3" t="str">
        <f>INDEX(State_Region!$B$2:$B$26,MATCH(TRIM(A1414),State_Region!$A$2:$A$26,0))</f>
        <v>East</v>
      </c>
      <c r="C1414" s="3" t="s">
        <v>238</v>
      </c>
      <c r="D1414" s="3" t="str">
        <f>INDEX(Port_Type!$B$2:$B$227,MATCH(TRIM(C1414),Port_Type!$A$2:$A$227,0))</f>
        <v>Land Border / Rail</v>
      </c>
      <c r="E1414" s="3" t="s">
        <v>48</v>
      </c>
      <c r="F1414" s="3" t="str">
        <f>INDEX(Product_Category!$B$2:$B$45,MATCH(TRIM(E1414),Product_Category!$A$2:$A$45,0))</f>
        <v>Processed Foods</v>
      </c>
      <c r="G1414" s="4">
        <v>0.01</v>
      </c>
      <c r="H1414" s="4">
        <v>0.03</v>
      </c>
      <c r="I1414" s="4">
        <v>0.02</v>
      </c>
      <c r="J1414" s="4">
        <v>6.13</v>
      </c>
      <c r="K1414" s="4">
        <v>17.97</v>
      </c>
      <c r="L1414" s="4">
        <v>0</v>
      </c>
      <c r="M1414" s="4">
        <f t="shared" si="66"/>
        <v>1.9999999999999997E-2</v>
      </c>
      <c r="N1414" s="4">
        <f t="shared" si="67"/>
        <v>11.84</v>
      </c>
      <c r="O1414" s="4">
        <f t="shared" si="68"/>
        <v>-9.9999999999999985E-3</v>
      </c>
      <c r="P1414" s="3" t="s">
        <v>19</v>
      </c>
    </row>
    <row r="1415" spans="1:16" x14ac:dyDescent="0.35">
      <c r="A1415" s="3" t="s">
        <v>35</v>
      </c>
      <c r="B1415" s="3" t="str">
        <f>INDEX(State_Region!$B$2:$B$26,MATCH(TRIM(A1415),State_Region!$A$2:$A$26,0))</f>
        <v>North</v>
      </c>
      <c r="C1415" s="3" t="s">
        <v>201</v>
      </c>
      <c r="D1415" s="3" t="str">
        <f>INDEX(Port_Type!$B$2:$B$227,MATCH(TRIM(C1415),Port_Type!$A$2:$A$227,0))</f>
        <v>Inland ICD / CFS</v>
      </c>
      <c r="E1415" s="3" t="s">
        <v>150</v>
      </c>
      <c r="F1415" s="3" t="str">
        <f>INDEX(Product_Category!$B$2:$B$45,MATCH(TRIM(E1415),Product_Category!$A$2:$A$45,0))</f>
        <v>Nuts &amp; Oilseeds</v>
      </c>
      <c r="G1415" s="4">
        <v>0.01</v>
      </c>
      <c r="H1415" s="4">
        <v>0.02</v>
      </c>
      <c r="I1415" s="4">
        <v>0.02</v>
      </c>
      <c r="J1415" s="4">
        <v>0.54</v>
      </c>
      <c r="K1415" s="4">
        <v>1.21</v>
      </c>
      <c r="L1415" s="4">
        <v>1.02</v>
      </c>
      <c r="M1415" s="4">
        <f t="shared" si="66"/>
        <v>0.01</v>
      </c>
      <c r="N1415" s="4">
        <f t="shared" si="67"/>
        <v>0.66999999999999993</v>
      </c>
      <c r="O1415" s="4">
        <f t="shared" si="68"/>
        <v>0</v>
      </c>
      <c r="P1415" s="3" t="s">
        <v>19</v>
      </c>
    </row>
    <row r="1416" spans="1:16" x14ac:dyDescent="0.35">
      <c r="A1416" s="3" t="s">
        <v>16</v>
      </c>
      <c r="B1416" s="3" t="str">
        <f>INDEX(State_Region!$B$2:$B$26,MATCH(TRIM(A1416),State_Region!$A$2:$A$26,0))</f>
        <v>West</v>
      </c>
      <c r="C1416" s="3" t="s">
        <v>90</v>
      </c>
      <c r="D1416" s="3" t="str">
        <f>INDEX(Port_Type!$B$2:$B$227,MATCH(TRIM(C1416),Port_Type!$A$2:$A$227,0))</f>
        <v>Inland ICD / CFS</v>
      </c>
      <c r="E1416" s="3" t="s">
        <v>102</v>
      </c>
      <c r="F1416" s="3" t="str">
        <f>INDEX(Product_Category!$B$2:$B$45,MATCH(TRIM(E1416),Product_Category!$A$2:$A$45,0))</f>
        <v>Fresh Fruits &amp; Vegetables</v>
      </c>
      <c r="G1416" s="4">
        <v>0.02</v>
      </c>
      <c r="H1416" s="4">
        <v>0.03</v>
      </c>
      <c r="I1416" s="4">
        <v>0.02</v>
      </c>
      <c r="J1416" s="4">
        <v>21.2</v>
      </c>
      <c r="K1416" s="4">
        <v>16.29</v>
      </c>
      <c r="L1416" s="4">
        <v>8.5399999999999991</v>
      </c>
      <c r="M1416" s="4">
        <f t="shared" si="66"/>
        <v>9.9999999999999985E-3</v>
      </c>
      <c r="N1416" s="4">
        <f t="shared" si="67"/>
        <v>-4.91</v>
      </c>
      <c r="O1416" s="4">
        <f t="shared" si="68"/>
        <v>-9.9999999999999985E-3</v>
      </c>
      <c r="P1416" s="3" t="s">
        <v>19</v>
      </c>
    </row>
    <row r="1417" spans="1:16" x14ac:dyDescent="0.35">
      <c r="A1417" s="3" t="s">
        <v>159</v>
      </c>
      <c r="B1417" s="3" t="str">
        <f>INDEX(State_Region!$B$2:$B$26,MATCH(TRIM(A1417),State_Region!$A$2:$A$26,0))</f>
        <v>North-East</v>
      </c>
      <c r="C1417" s="3" t="s">
        <v>246</v>
      </c>
      <c r="D1417" s="3" t="str">
        <f>INDEX(Port_Type!$B$2:$B$227,MATCH(TRIM(C1417),Port_Type!$A$2:$A$227,0))</f>
        <v>Land Border / Rail</v>
      </c>
      <c r="E1417" s="3" t="s">
        <v>45</v>
      </c>
      <c r="F1417" s="3" t="str">
        <f>INDEX(Product_Category!$B$2:$B$45,MATCH(TRIM(E1417),Product_Category!$A$2:$A$45,0))</f>
        <v>Fresh Fruits &amp; Vegetables</v>
      </c>
      <c r="G1417" s="4">
        <v>0</v>
      </c>
      <c r="H1417" s="4">
        <v>0.14000000000000001</v>
      </c>
      <c r="I1417" s="4">
        <v>0.02</v>
      </c>
      <c r="J1417" s="4">
        <v>0</v>
      </c>
      <c r="K1417" s="4">
        <v>497.02</v>
      </c>
      <c r="L1417" s="4">
        <v>61.2</v>
      </c>
      <c r="M1417" s="4">
        <f t="shared" si="66"/>
        <v>0.14000000000000001</v>
      </c>
      <c r="N1417" s="4">
        <f t="shared" si="67"/>
        <v>497.02</v>
      </c>
      <c r="O1417" s="4">
        <f t="shared" si="68"/>
        <v>-0.12000000000000001</v>
      </c>
      <c r="P1417" s="3" t="s">
        <v>19</v>
      </c>
    </row>
    <row r="1418" spans="1:16" x14ac:dyDescent="0.35">
      <c r="A1418" s="3" t="s">
        <v>35</v>
      </c>
      <c r="B1418" s="3" t="str">
        <f>INDEX(State_Region!$B$2:$B$26,MATCH(TRIM(A1418),State_Region!$A$2:$A$26,0))</f>
        <v>North</v>
      </c>
      <c r="C1418" s="3" t="s">
        <v>201</v>
      </c>
      <c r="D1418" s="3" t="str">
        <f>INDEX(Port_Type!$B$2:$B$227,MATCH(TRIM(C1418),Port_Type!$A$2:$A$227,0))</f>
        <v>Inland ICD / CFS</v>
      </c>
      <c r="E1418" s="3" t="s">
        <v>65</v>
      </c>
      <c r="F1418" s="3" t="str">
        <f>INDEX(Product_Category!$B$2:$B$45,MATCH(TRIM(E1418),Product_Category!$A$2:$A$45,0))</f>
        <v>Cereals &amp; Grains</v>
      </c>
      <c r="G1418" s="4">
        <v>0</v>
      </c>
      <c r="H1418" s="4">
        <v>0</v>
      </c>
      <c r="I1418" s="4">
        <v>0.02</v>
      </c>
      <c r="J1418" s="4">
        <v>0</v>
      </c>
      <c r="K1418" s="4">
        <v>0</v>
      </c>
      <c r="L1418" s="4">
        <v>43</v>
      </c>
      <c r="M1418" s="4">
        <f t="shared" si="66"/>
        <v>0</v>
      </c>
      <c r="N1418" s="4">
        <f t="shared" si="67"/>
        <v>0</v>
      </c>
      <c r="O1418" s="4">
        <f t="shared" si="68"/>
        <v>0.02</v>
      </c>
      <c r="P1418" s="3" t="s">
        <v>19</v>
      </c>
    </row>
    <row r="1419" spans="1:16" x14ac:dyDescent="0.35">
      <c r="A1419" s="3" t="s">
        <v>94</v>
      </c>
      <c r="B1419" s="3" t="str">
        <f>INDEX(State_Region!$B$2:$B$26,MATCH(TRIM(A1419),State_Region!$A$2:$A$26,0))</f>
        <v>East</v>
      </c>
      <c r="C1419" s="3" t="s">
        <v>247</v>
      </c>
      <c r="D1419" s="3" t="str">
        <f>INDEX(Port_Type!$B$2:$B$227,MATCH(TRIM(C1419),Port_Type!$A$2:$A$227,0))</f>
        <v>Land Border / Rail</v>
      </c>
      <c r="E1419" s="3" t="s">
        <v>54</v>
      </c>
      <c r="F1419" s="3" t="str">
        <f>INDEX(Product_Category!$B$2:$B$45,MATCH(TRIM(E1419),Product_Category!$A$2:$A$45,0))</f>
        <v>Processed Foods</v>
      </c>
      <c r="G1419" s="4">
        <v>0</v>
      </c>
      <c r="H1419" s="4">
        <v>0.02</v>
      </c>
      <c r="I1419" s="4">
        <v>0.02</v>
      </c>
      <c r="J1419" s="4">
        <v>0.24</v>
      </c>
      <c r="K1419" s="4">
        <v>47.58</v>
      </c>
      <c r="L1419" s="4">
        <v>29.49</v>
      </c>
      <c r="M1419" s="4">
        <f t="shared" si="66"/>
        <v>0.02</v>
      </c>
      <c r="N1419" s="4">
        <f t="shared" si="67"/>
        <v>47.339999999999996</v>
      </c>
      <c r="O1419" s="4">
        <f t="shared" si="68"/>
        <v>0</v>
      </c>
      <c r="P1419" s="3" t="s">
        <v>19</v>
      </c>
    </row>
    <row r="1420" spans="1:16" x14ac:dyDescent="0.35">
      <c r="A1420" s="3" t="s">
        <v>31</v>
      </c>
      <c r="B1420" s="3" t="str">
        <f>INDEX(State_Region!$B$2:$B$26,MATCH(TRIM(A1420),State_Region!$A$2:$A$26,0))</f>
        <v>East</v>
      </c>
      <c r="C1420" s="3" t="s">
        <v>32</v>
      </c>
      <c r="D1420" s="3" t="str">
        <f>INDEX(Port_Type!$B$2:$B$227,MATCH(TRIM(C1420),Port_Type!$A$2:$A$227,0))</f>
        <v>Sea Port</v>
      </c>
      <c r="E1420" s="3" t="s">
        <v>144</v>
      </c>
      <c r="F1420" s="3" t="str">
        <f>INDEX(Product_Category!$B$2:$B$45,MATCH(TRIM(E1420),Product_Category!$A$2:$A$45,0))</f>
        <v>Cereals &amp; Grains</v>
      </c>
      <c r="G1420" s="4">
        <v>0.01</v>
      </c>
      <c r="H1420" s="4">
        <v>0</v>
      </c>
      <c r="I1420" s="4">
        <v>0.02</v>
      </c>
      <c r="J1420" s="4">
        <v>31.65</v>
      </c>
      <c r="K1420" s="4">
        <v>0</v>
      </c>
      <c r="L1420" s="4">
        <v>19.059999999999999</v>
      </c>
      <c r="M1420" s="4">
        <f t="shared" si="66"/>
        <v>-0.01</v>
      </c>
      <c r="N1420" s="4">
        <f t="shared" si="67"/>
        <v>-31.65</v>
      </c>
      <c r="O1420" s="4">
        <f t="shared" si="68"/>
        <v>0.02</v>
      </c>
      <c r="P1420" s="3" t="s">
        <v>19</v>
      </c>
    </row>
    <row r="1421" spans="1:16" x14ac:dyDescent="0.35">
      <c r="A1421" s="3" t="s">
        <v>57</v>
      </c>
      <c r="B1421" s="3" t="str">
        <f>INDEX(State_Region!$B$2:$B$26,MATCH(TRIM(A1421),State_Region!$A$2:$A$26,0))</f>
        <v>Central</v>
      </c>
      <c r="C1421" s="3" t="s">
        <v>175</v>
      </c>
      <c r="D1421" s="3" t="str">
        <f>INDEX(Port_Type!$B$2:$B$227,MATCH(TRIM(C1421),Port_Type!$A$2:$A$227,0))</f>
        <v>Inland ICD / CFS</v>
      </c>
      <c r="E1421" s="3" t="s">
        <v>33</v>
      </c>
      <c r="F1421" s="3" t="str">
        <f>INDEX(Product_Category!$B$2:$B$45,MATCH(TRIM(E1421),Product_Category!$A$2:$A$45,0))</f>
        <v>Pulses</v>
      </c>
      <c r="G1421" s="4">
        <v>0</v>
      </c>
      <c r="H1421" s="4">
        <v>0</v>
      </c>
      <c r="I1421" s="4">
        <v>0.02</v>
      </c>
      <c r="J1421" s="4">
        <v>0</v>
      </c>
      <c r="K1421" s="4">
        <v>0</v>
      </c>
      <c r="L1421" s="4">
        <v>15.12</v>
      </c>
      <c r="M1421" s="4">
        <f t="shared" si="66"/>
        <v>0</v>
      </c>
      <c r="N1421" s="4">
        <f t="shared" si="67"/>
        <v>0</v>
      </c>
      <c r="O1421" s="4">
        <f t="shared" si="68"/>
        <v>0.02</v>
      </c>
      <c r="P1421" s="3" t="s">
        <v>19</v>
      </c>
    </row>
    <row r="1422" spans="1:16" x14ac:dyDescent="0.35">
      <c r="A1422" s="3" t="s">
        <v>159</v>
      </c>
      <c r="B1422" s="3" t="str">
        <f>INDEX(State_Region!$B$2:$B$26,MATCH(TRIM(A1422),State_Region!$A$2:$A$26,0))</f>
        <v>North-East</v>
      </c>
      <c r="C1422" s="3" t="s">
        <v>160</v>
      </c>
      <c r="D1422" s="3" t="str">
        <f>INDEX(Port_Type!$B$2:$B$227,MATCH(TRIM(C1422),Port_Type!$A$2:$A$227,0))</f>
        <v>Land Border / Rail</v>
      </c>
      <c r="E1422" s="3" t="s">
        <v>42</v>
      </c>
      <c r="F1422" s="3" t="str">
        <f>INDEX(Product_Category!$B$2:$B$45,MATCH(TRIM(E1422),Product_Category!$A$2:$A$45,0))</f>
        <v>Processed Foods</v>
      </c>
      <c r="G1422" s="4">
        <v>0.01</v>
      </c>
      <c r="H1422" s="4">
        <v>7.0000000000000007E-2</v>
      </c>
      <c r="I1422" s="4">
        <v>0.02</v>
      </c>
      <c r="J1422" s="4">
        <v>7.83</v>
      </c>
      <c r="K1422" s="4">
        <v>42.51</v>
      </c>
      <c r="L1422" s="4">
        <v>10.69</v>
      </c>
      <c r="M1422" s="4">
        <f t="shared" si="66"/>
        <v>6.0000000000000005E-2</v>
      </c>
      <c r="N1422" s="4">
        <f t="shared" si="67"/>
        <v>34.68</v>
      </c>
      <c r="O1422" s="4">
        <f t="shared" si="68"/>
        <v>-0.05</v>
      </c>
      <c r="P1422" s="3" t="s">
        <v>19</v>
      </c>
    </row>
    <row r="1423" spans="1:16" x14ac:dyDescent="0.35">
      <c r="A1423" s="3" t="s">
        <v>31</v>
      </c>
      <c r="B1423" s="3" t="str">
        <f>INDEX(State_Region!$B$2:$B$26,MATCH(TRIM(A1423),State_Region!$A$2:$A$26,0))</f>
        <v>East</v>
      </c>
      <c r="C1423" s="3" t="s">
        <v>32</v>
      </c>
      <c r="D1423" s="3" t="str">
        <f>INDEX(Port_Type!$B$2:$B$227,MATCH(TRIM(C1423),Port_Type!$A$2:$A$227,0))</f>
        <v>Sea Port</v>
      </c>
      <c r="E1423" s="3" t="s">
        <v>45</v>
      </c>
      <c r="F1423" s="3" t="str">
        <f>INDEX(Product_Category!$B$2:$B$45,MATCH(TRIM(E1423),Product_Category!$A$2:$A$45,0))</f>
        <v>Fresh Fruits &amp; Vegetables</v>
      </c>
      <c r="G1423" s="4">
        <v>0.08</v>
      </c>
      <c r="H1423" s="4">
        <v>0.32</v>
      </c>
      <c r="I1423" s="4">
        <v>0.02</v>
      </c>
      <c r="J1423" s="4">
        <v>172.06</v>
      </c>
      <c r="K1423" s="4">
        <v>400.52</v>
      </c>
      <c r="L1423" s="4">
        <v>1.02</v>
      </c>
      <c r="M1423" s="4">
        <f t="shared" si="66"/>
        <v>0.24</v>
      </c>
      <c r="N1423" s="4">
        <f t="shared" si="67"/>
        <v>228.45999999999998</v>
      </c>
      <c r="O1423" s="4">
        <f t="shared" si="68"/>
        <v>-0.3</v>
      </c>
      <c r="P1423" s="3" t="s">
        <v>19</v>
      </c>
    </row>
    <row r="1424" spans="1:16" x14ac:dyDescent="0.35">
      <c r="A1424" s="3" t="s">
        <v>40</v>
      </c>
      <c r="B1424" s="3" t="str">
        <f>INDEX(State_Region!$B$2:$B$26,MATCH(TRIM(A1424),State_Region!$A$2:$A$26,0))</f>
        <v>South</v>
      </c>
      <c r="C1424" s="3" t="s">
        <v>64</v>
      </c>
      <c r="D1424" s="3" t="str">
        <f>INDEX(Port_Type!$B$2:$B$227,MATCH(TRIM(C1424),Port_Type!$A$2:$A$227,0))</f>
        <v>Inland ICD / CFS</v>
      </c>
      <c r="E1424" s="3" t="s">
        <v>84</v>
      </c>
      <c r="F1424" s="3" t="str">
        <f>INDEX(Product_Category!$B$2:$B$45,MATCH(TRIM(E1424),Product_Category!$A$2:$A$45,0))</f>
        <v>Nuts &amp; Oilseeds</v>
      </c>
      <c r="G1424" s="4">
        <v>0</v>
      </c>
      <c r="H1424" s="4">
        <v>0</v>
      </c>
      <c r="I1424" s="4">
        <v>0.02</v>
      </c>
      <c r="J1424" s="4">
        <v>0.25</v>
      </c>
      <c r="K1424" s="4">
        <v>0.17</v>
      </c>
      <c r="L1424" s="4">
        <v>2.11</v>
      </c>
      <c r="M1424" s="4">
        <f t="shared" si="66"/>
        <v>0</v>
      </c>
      <c r="N1424" s="4">
        <f t="shared" si="67"/>
        <v>-7.9999999999999988E-2</v>
      </c>
      <c r="O1424" s="4">
        <f t="shared" si="68"/>
        <v>0.02</v>
      </c>
      <c r="P1424" s="3" t="s">
        <v>19</v>
      </c>
    </row>
    <row r="1425" spans="1:16" x14ac:dyDescent="0.35">
      <c r="A1425" s="3" t="s">
        <v>77</v>
      </c>
      <c r="B1425" s="3" t="str">
        <f>INDEX(State_Region!$B$2:$B$26,MATCH(TRIM(A1425),State_Region!$A$2:$A$26,0))</f>
        <v>South</v>
      </c>
      <c r="C1425" s="3" t="s">
        <v>168</v>
      </c>
      <c r="D1425" s="3" t="str">
        <f>INDEX(Port_Type!$B$2:$B$227,MATCH(TRIM(C1425),Port_Type!$A$2:$A$227,0))</f>
        <v>Air Cargo</v>
      </c>
      <c r="E1425" s="3" t="s">
        <v>48</v>
      </c>
      <c r="F1425" s="3" t="str">
        <f>INDEX(Product_Category!$B$2:$B$45,MATCH(TRIM(E1425),Product_Category!$A$2:$A$45,0))</f>
        <v>Processed Foods</v>
      </c>
      <c r="G1425" s="4">
        <v>0.04</v>
      </c>
      <c r="H1425" s="4">
        <v>0.03</v>
      </c>
      <c r="I1425" s="4">
        <v>0.02</v>
      </c>
      <c r="J1425" s="4">
        <v>9.5299999999999994</v>
      </c>
      <c r="K1425" s="4">
        <v>6.74</v>
      </c>
      <c r="L1425" s="4">
        <v>5.22</v>
      </c>
      <c r="M1425" s="4">
        <f t="shared" si="66"/>
        <v>-1.0000000000000002E-2</v>
      </c>
      <c r="N1425" s="4">
        <f t="shared" si="67"/>
        <v>-2.7899999999999991</v>
      </c>
      <c r="O1425" s="4">
        <f t="shared" si="68"/>
        <v>-9.9999999999999985E-3</v>
      </c>
      <c r="P1425" s="3" t="s">
        <v>19</v>
      </c>
    </row>
    <row r="1426" spans="1:16" x14ac:dyDescent="0.35">
      <c r="A1426" s="3" t="s">
        <v>66</v>
      </c>
      <c r="B1426" s="3" t="str">
        <f>INDEX(State_Region!$B$2:$B$26,MATCH(TRIM(A1426),State_Region!$A$2:$A$26,0))</f>
        <v>North</v>
      </c>
      <c r="C1426" s="3" t="s">
        <v>208</v>
      </c>
      <c r="D1426" s="3" t="str">
        <f>INDEX(Port_Type!$B$2:$B$227,MATCH(TRIM(C1426),Port_Type!$A$2:$A$227,0))</f>
        <v>Inland ICD / CFS</v>
      </c>
      <c r="E1426" s="3" t="s">
        <v>54</v>
      </c>
      <c r="F1426" s="3" t="str">
        <f>INDEX(Product_Category!$B$2:$B$45,MATCH(TRIM(E1426),Product_Category!$A$2:$A$45,0))</f>
        <v>Processed Foods</v>
      </c>
      <c r="G1426" s="4">
        <v>0.11</v>
      </c>
      <c r="H1426" s="4">
        <v>0.1</v>
      </c>
      <c r="I1426" s="4">
        <v>0.02</v>
      </c>
      <c r="J1426" s="4">
        <v>29.87</v>
      </c>
      <c r="K1426" s="4">
        <v>27.19</v>
      </c>
      <c r="L1426" s="4">
        <v>5.63</v>
      </c>
      <c r="M1426" s="4">
        <f t="shared" si="66"/>
        <v>-9.999999999999995E-3</v>
      </c>
      <c r="N1426" s="4">
        <f t="shared" si="67"/>
        <v>-2.6799999999999997</v>
      </c>
      <c r="O1426" s="4">
        <f t="shared" si="68"/>
        <v>-0.08</v>
      </c>
      <c r="P1426" s="3" t="s">
        <v>19</v>
      </c>
    </row>
    <row r="1427" spans="1:16" x14ac:dyDescent="0.35">
      <c r="A1427" s="3" t="s">
        <v>20</v>
      </c>
      <c r="B1427" s="3" t="str">
        <f>INDEX(State_Region!$B$2:$B$26,MATCH(TRIM(A1427),State_Region!$A$2:$A$26,0))</f>
        <v>West</v>
      </c>
      <c r="C1427" s="3" t="s">
        <v>134</v>
      </c>
      <c r="D1427" s="3" t="str">
        <f>INDEX(Port_Type!$B$2:$B$227,MATCH(TRIM(C1427),Port_Type!$A$2:$A$227,0))</f>
        <v>Inland ICD / CFS</v>
      </c>
      <c r="E1427" s="3" t="s">
        <v>33</v>
      </c>
      <c r="F1427" s="3" t="str">
        <f>INDEX(Product_Category!$B$2:$B$45,MATCH(TRIM(E1427),Product_Category!$A$2:$A$45,0))</f>
        <v>Pulses</v>
      </c>
      <c r="G1427" s="4">
        <v>0</v>
      </c>
      <c r="H1427" s="4">
        <v>0.01</v>
      </c>
      <c r="I1427" s="4">
        <v>0.02</v>
      </c>
      <c r="J1427" s="4">
        <v>0</v>
      </c>
      <c r="K1427" s="4">
        <v>10.3</v>
      </c>
      <c r="L1427" s="4">
        <v>12.37</v>
      </c>
      <c r="M1427" s="4">
        <f t="shared" si="66"/>
        <v>0.01</v>
      </c>
      <c r="N1427" s="4">
        <f t="shared" si="67"/>
        <v>10.3</v>
      </c>
      <c r="O1427" s="4">
        <f t="shared" si="68"/>
        <v>0.01</v>
      </c>
      <c r="P1427" s="3" t="s">
        <v>19</v>
      </c>
    </row>
    <row r="1428" spans="1:16" x14ac:dyDescent="0.35">
      <c r="A1428" s="3" t="s">
        <v>231</v>
      </c>
      <c r="B1428" s="3" t="str">
        <f>INDEX(State_Region!$B$2:$B$26,MATCH(TRIM(A1428),State_Region!$A$2:$A$26,0))</f>
        <v>North-East</v>
      </c>
      <c r="C1428" s="3" t="s">
        <v>232</v>
      </c>
      <c r="D1428" s="3" t="str">
        <f>INDEX(Port_Type!$B$2:$B$227,MATCH(TRIM(C1428),Port_Type!$A$2:$A$227,0))</f>
        <v>Land Border / Rail</v>
      </c>
      <c r="E1428" s="3" t="s">
        <v>151</v>
      </c>
      <c r="F1428" s="3" t="str">
        <f>INDEX(Product_Category!$B$2:$B$45,MATCH(TRIM(E1428),Product_Category!$A$2:$A$45,0))</f>
        <v>Processed Foods</v>
      </c>
      <c r="G1428" s="4">
        <v>0.01</v>
      </c>
      <c r="H1428" s="4">
        <v>0.01</v>
      </c>
      <c r="I1428" s="4">
        <v>0.02</v>
      </c>
      <c r="J1428" s="4">
        <v>4.95</v>
      </c>
      <c r="K1428" s="4">
        <v>25.81</v>
      </c>
      <c r="L1428" s="4">
        <v>24.99</v>
      </c>
      <c r="M1428" s="4">
        <f t="shared" si="66"/>
        <v>0</v>
      </c>
      <c r="N1428" s="4">
        <f t="shared" si="67"/>
        <v>20.86</v>
      </c>
      <c r="O1428" s="4">
        <f t="shared" si="68"/>
        <v>0.01</v>
      </c>
      <c r="P1428" s="3" t="s">
        <v>19</v>
      </c>
    </row>
    <row r="1429" spans="1:16" x14ac:dyDescent="0.35">
      <c r="A1429" s="3" t="s">
        <v>94</v>
      </c>
      <c r="B1429" s="3" t="str">
        <f>INDEX(State_Region!$B$2:$B$26,MATCH(TRIM(A1429),State_Region!$A$2:$A$26,0))</f>
        <v>East</v>
      </c>
      <c r="C1429" s="3" t="s">
        <v>112</v>
      </c>
      <c r="D1429" s="3" t="str">
        <f>INDEX(Port_Type!$B$2:$B$227,MATCH(TRIM(C1429),Port_Type!$A$2:$A$227,0))</f>
        <v>Land Border / Rail</v>
      </c>
      <c r="E1429" s="3" t="s">
        <v>179</v>
      </c>
      <c r="F1429" s="3" t="str">
        <f>INDEX(Product_Category!$B$2:$B$45,MATCH(TRIM(E1429),Product_Category!$A$2:$A$45,0))</f>
        <v>Nuts &amp; Oilseeds</v>
      </c>
      <c r="G1429" s="4">
        <v>0.16</v>
      </c>
      <c r="H1429" s="4">
        <v>0</v>
      </c>
      <c r="I1429" s="4">
        <v>0.02</v>
      </c>
      <c r="J1429" s="4">
        <v>158.54</v>
      </c>
      <c r="K1429" s="4">
        <v>1</v>
      </c>
      <c r="L1429" s="4">
        <v>2.92</v>
      </c>
      <c r="M1429" s="4">
        <f t="shared" si="66"/>
        <v>-0.16</v>
      </c>
      <c r="N1429" s="4">
        <f t="shared" si="67"/>
        <v>-157.54</v>
      </c>
      <c r="O1429" s="4">
        <f t="shared" si="68"/>
        <v>0.02</v>
      </c>
      <c r="P1429" s="3" t="s">
        <v>19</v>
      </c>
    </row>
    <row r="1430" spans="1:16" x14ac:dyDescent="0.35">
      <c r="A1430" s="3" t="s">
        <v>66</v>
      </c>
      <c r="B1430" s="3" t="str">
        <f>INDEX(State_Region!$B$2:$B$26,MATCH(TRIM(A1430),State_Region!$A$2:$A$26,0))</f>
        <v>North</v>
      </c>
      <c r="C1430" s="3" t="s">
        <v>208</v>
      </c>
      <c r="D1430" s="3" t="str">
        <f>INDEX(Port_Type!$B$2:$B$227,MATCH(TRIM(C1430),Port_Type!$A$2:$A$227,0))</f>
        <v>Inland ICD / CFS</v>
      </c>
      <c r="E1430" s="3" t="s">
        <v>33</v>
      </c>
      <c r="F1430" s="3" t="str">
        <f>INDEX(Product_Category!$B$2:$B$45,MATCH(TRIM(E1430),Product_Category!$A$2:$A$45,0))</f>
        <v>Pulses</v>
      </c>
      <c r="G1430" s="4">
        <v>0.04</v>
      </c>
      <c r="H1430" s="4">
        <v>0.04</v>
      </c>
      <c r="I1430" s="4">
        <v>0.02</v>
      </c>
      <c r="J1430" s="4">
        <v>28.45</v>
      </c>
      <c r="K1430" s="4">
        <v>20.6</v>
      </c>
      <c r="L1430" s="4">
        <v>7.25</v>
      </c>
      <c r="M1430" s="4">
        <f t="shared" si="66"/>
        <v>0</v>
      </c>
      <c r="N1430" s="4">
        <f t="shared" si="67"/>
        <v>-7.8499999999999979</v>
      </c>
      <c r="O1430" s="4">
        <f t="shared" si="68"/>
        <v>-0.02</v>
      </c>
      <c r="P1430" s="3" t="s">
        <v>19</v>
      </c>
    </row>
    <row r="1431" spans="1:16" x14ac:dyDescent="0.35">
      <c r="A1431" s="3" t="s">
        <v>94</v>
      </c>
      <c r="B1431" s="3" t="str">
        <f>INDEX(State_Region!$B$2:$B$26,MATCH(TRIM(A1431),State_Region!$A$2:$A$26,0))</f>
        <v>East</v>
      </c>
      <c r="C1431" s="3" t="s">
        <v>95</v>
      </c>
      <c r="D1431" s="3" t="str">
        <f>INDEX(Port_Type!$B$2:$B$227,MATCH(TRIM(C1431),Port_Type!$A$2:$A$227,0))</f>
        <v>Land Border / Rail</v>
      </c>
      <c r="E1431" s="3" t="s">
        <v>46</v>
      </c>
      <c r="F1431" s="3" t="str">
        <f>INDEX(Product_Category!$B$2:$B$45,MATCH(TRIM(E1431),Product_Category!$A$2:$A$45,0))</f>
        <v>Others</v>
      </c>
      <c r="G1431" s="4">
        <v>0.01</v>
      </c>
      <c r="H1431" s="4">
        <v>7.0000000000000007E-2</v>
      </c>
      <c r="I1431" s="4">
        <v>0.02</v>
      </c>
      <c r="J1431" s="4">
        <v>7.21</v>
      </c>
      <c r="K1431" s="4">
        <v>33.01</v>
      </c>
      <c r="L1431" s="4">
        <v>7.17</v>
      </c>
      <c r="M1431" s="4">
        <f t="shared" si="66"/>
        <v>6.0000000000000005E-2</v>
      </c>
      <c r="N1431" s="4">
        <f t="shared" si="67"/>
        <v>25.799999999999997</v>
      </c>
      <c r="O1431" s="4">
        <f t="shared" si="68"/>
        <v>-0.05</v>
      </c>
      <c r="P1431" s="3" t="s">
        <v>19</v>
      </c>
    </row>
    <row r="1432" spans="1:16" x14ac:dyDescent="0.35">
      <c r="A1432" s="3" t="s">
        <v>16</v>
      </c>
      <c r="B1432" s="3" t="str">
        <f>INDEX(State_Region!$B$2:$B$26,MATCH(TRIM(A1432),State_Region!$A$2:$A$26,0))</f>
        <v>West</v>
      </c>
      <c r="C1432" s="3" t="s">
        <v>17</v>
      </c>
      <c r="D1432" s="3" t="str">
        <f>INDEX(Port_Type!$B$2:$B$227,MATCH(TRIM(C1432),Port_Type!$A$2:$A$227,0))</f>
        <v>Sea Port</v>
      </c>
      <c r="E1432" s="3" t="s">
        <v>114</v>
      </c>
      <c r="F1432" s="3" t="str">
        <f>INDEX(Product_Category!$B$2:$B$45,MATCH(TRIM(E1432),Product_Category!$A$2:$A$45,0))</f>
        <v>Dairy, Poultry &amp; Honey</v>
      </c>
      <c r="G1432" s="4">
        <v>0</v>
      </c>
      <c r="H1432" s="4">
        <v>0</v>
      </c>
      <c r="I1432" s="4">
        <v>0.02</v>
      </c>
      <c r="J1432" s="4">
        <v>0.01</v>
      </c>
      <c r="K1432" s="4">
        <v>0</v>
      </c>
      <c r="L1432" s="4">
        <v>1</v>
      </c>
      <c r="M1432" s="4">
        <f t="shared" si="66"/>
        <v>0</v>
      </c>
      <c r="N1432" s="4">
        <f t="shared" si="67"/>
        <v>-0.01</v>
      </c>
      <c r="O1432" s="4">
        <f t="shared" si="68"/>
        <v>0.02</v>
      </c>
      <c r="P1432" s="3" t="s">
        <v>19</v>
      </c>
    </row>
    <row r="1433" spans="1:16" x14ac:dyDescent="0.35">
      <c r="A1433" s="3" t="s">
        <v>159</v>
      </c>
      <c r="B1433" s="3" t="str">
        <f>INDEX(State_Region!$B$2:$B$26,MATCH(TRIM(A1433),State_Region!$A$2:$A$26,0))</f>
        <v>North-East</v>
      </c>
      <c r="C1433" s="3" t="s">
        <v>186</v>
      </c>
      <c r="D1433" s="3" t="str">
        <f>INDEX(Port_Type!$B$2:$B$227,MATCH(TRIM(C1433),Port_Type!$A$2:$A$227,0))</f>
        <v>Land Border / Rail</v>
      </c>
      <c r="E1433" s="3" t="s">
        <v>42</v>
      </c>
      <c r="F1433" s="3" t="str">
        <f>INDEX(Product_Category!$B$2:$B$45,MATCH(TRIM(E1433),Product_Category!$A$2:$A$45,0))</f>
        <v>Processed Foods</v>
      </c>
      <c r="G1433" s="4">
        <v>7.0000000000000007E-2</v>
      </c>
      <c r="H1433" s="4">
        <v>0.04</v>
      </c>
      <c r="I1433" s="4">
        <v>0.02</v>
      </c>
      <c r="J1433" s="4">
        <v>30.27</v>
      </c>
      <c r="K1433" s="4">
        <v>14.22</v>
      </c>
      <c r="L1433" s="4">
        <v>5.94</v>
      </c>
      <c r="M1433" s="4">
        <f t="shared" si="66"/>
        <v>-3.0000000000000006E-2</v>
      </c>
      <c r="N1433" s="4">
        <f t="shared" si="67"/>
        <v>-16.049999999999997</v>
      </c>
      <c r="O1433" s="4">
        <f t="shared" si="68"/>
        <v>-0.02</v>
      </c>
      <c r="P1433" s="3" t="s">
        <v>19</v>
      </c>
    </row>
    <row r="1434" spans="1:16" x14ac:dyDescent="0.35">
      <c r="A1434" s="3" t="s">
        <v>57</v>
      </c>
      <c r="B1434" s="3" t="str">
        <f>INDEX(State_Region!$B$2:$B$26,MATCH(TRIM(A1434),State_Region!$A$2:$A$26,0))</f>
        <v>Central</v>
      </c>
      <c r="C1434" s="3" t="s">
        <v>97</v>
      </c>
      <c r="D1434" s="3" t="str">
        <f>INDEX(Port_Type!$B$2:$B$227,MATCH(TRIM(C1434),Port_Type!$A$2:$A$227,0))</f>
        <v>Inland ICD / CFS</v>
      </c>
      <c r="E1434" s="3" t="s">
        <v>48</v>
      </c>
      <c r="F1434" s="3" t="str">
        <f>INDEX(Product_Category!$B$2:$B$45,MATCH(TRIM(E1434),Product_Category!$A$2:$A$45,0))</f>
        <v>Processed Foods</v>
      </c>
      <c r="G1434" s="4">
        <v>0.02</v>
      </c>
      <c r="H1434" s="4">
        <v>0</v>
      </c>
      <c r="I1434" s="4">
        <v>0.02</v>
      </c>
      <c r="J1434" s="4">
        <v>12.07</v>
      </c>
      <c r="K1434" s="4">
        <v>0.78</v>
      </c>
      <c r="L1434" s="4">
        <v>5.09</v>
      </c>
      <c r="M1434" s="4">
        <f t="shared" si="66"/>
        <v>-0.02</v>
      </c>
      <c r="N1434" s="4">
        <f t="shared" si="67"/>
        <v>-11.290000000000001</v>
      </c>
      <c r="O1434" s="4">
        <f t="shared" si="68"/>
        <v>0.02</v>
      </c>
      <c r="P1434" s="3" t="s">
        <v>19</v>
      </c>
    </row>
    <row r="1435" spans="1:16" x14ac:dyDescent="0.35">
      <c r="A1435" s="3" t="s">
        <v>23</v>
      </c>
      <c r="B1435" s="3" t="str">
        <f>INDEX(State_Region!$B$2:$B$26,MATCH(TRIM(A1435),State_Region!$A$2:$A$26,0))</f>
        <v>North</v>
      </c>
      <c r="C1435" s="3" t="s">
        <v>185</v>
      </c>
      <c r="D1435" s="3" t="str">
        <f>INDEX(Port_Type!$B$2:$B$227,MATCH(TRIM(C1435),Port_Type!$A$2:$A$227,0))</f>
        <v>Land Border / Rail</v>
      </c>
      <c r="E1435" s="3" t="s">
        <v>113</v>
      </c>
      <c r="F1435" s="3" t="str">
        <f>INDEX(Product_Category!$B$2:$B$45,MATCH(TRIM(E1435),Product_Category!$A$2:$A$45,0))</f>
        <v>Cereals &amp; Grains</v>
      </c>
      <c r="G1435" s="4">
        <v>0</v>
      </c>
      <c r="H1435" s="4">
        <v>0</v>
      </c>
      <c r="I1435" s="4">
        <v>0.02</v>
      </c>
      <c r="J1435" s="4">
        <v>0</v>
      </c>
      <c r="K1435" s="4">
        <v>0</v>
      </c>
      <c r="L1435" s="4">
        <v>58.73</v>
      </c>
      <c r="M1435" s="4">
        <f t="shared" si="66"/>
        <v>0</v>
      </c>
      <c r="N1435" s="4">
        <f t="shared" si="67"/>
        <v>0</v>
      </c>
      <c r="O1435" s="4">
        <f t="shared" si="68"/>
        <v>0.02</v>
      </c>
      <c r="P1435" s="3" t="s">
        <v>19</v>
      </c>
    </row>
    <row r="1436" spans="1:16" x14ac:dyDescent="0.35">
      <c r="A1436" s="3" t="s">
        <v>16</v>
      </c>
      <c r="B1436" s="3" t="str">
        <f>INDEX(State_Region!$B$2:$B$26,MATCH(TRIM(A1436),State_Region!$A$2:$A$26,0))</f>
        <v>West</v>
      </c>
      <c r="C1436" s="3" t="s">
        <v>17</v>
      </c>
      <c r="D1436" s="3" t="str">
        <f>INDEX(Port_Type!$B$2:$B$227,MATCH(TRIM(C1436),Port_Type!$A$2:$A$227,0))</f>
        <v>Sea Port</v>
      </c>
      <c r="E1436" s="3" t="s">
        <v>150</v>
      </c>
      <c r="F1436" s="3" t="str">
        <f>INDEX(Product_Category!$B$2:$B$45,MATCH(TRIM(E1436),Product_Category!$A$2:$A$45,0))</f>
        <v>Nuts &amp; Oilseeds</v>
      </c>
      <c r="G1436" s="4">
        <v>0.12</v>
      </c>
      <c r="H1436" s="4">
        <v>0.06</v>
      </c>
      <c r="I1436" s="4">
        <v>0.02</v>
      </c>
      <c r="J1436" s="4">
        <v>14.25</v>
      </c>
      <c r="K1436" s="4">
        <v>10.050000000000001</v>
      </c>
      <c r="L1436" s="4">
        <v>1.67</v>
      </c>
      <c r="M1436" s="4">
        <f t="shared" si="66"/>
        <v>-0.06</v>
      </c>
      <c r="N1436" s="4">
        <f t="shared" si="67"/>
        <v>-4.1999999999999993</v>
      </c>
      <c r="O1436" s="4">
        <f t="shared" si="68"/>
        <v>-3.9999999999999994E-2</v>
      </c>
      <c r="P1436" s="3" t="s">
        <v>19</v>
      </c>
    </row>
    <row r="1437" spans="1:16" x14ac:dyDescent="0.35">
      <c r="A1437" s="3" t="s">
        <v>23</v>
      </c>
      <c r="B1437" s="3" t="str">
        <f>INDEX(State_Region!$B$2:$B$26,MATCH(TRIM(A1437),State_Region!$A$2:$A$26,0))</f>
        <v>North</v>
      </c>
      <c r="C1437" s="3" t="s">
        <v>138</v>
      </c>
      <c r="D1437" s="3" t="str">
        <f>INDEX(Port_Type!$B$2:$B$227,MATCH(TRIM(C1437),Port_Type!$A$2:$A$227,0))</f>
        <v>Inland ICD / CFS</v>
      </c>
      <c r="E1437" s="3" t="s">
        <v>48</v>
      </c>
      <c r="F1437" s="3" t="str">
        <f>INDEX(Product_Category!$B$2:$B$45,MATCH(TRIM(E1437),Product_Category!$A$2:$A$45,0))</f>
        <v>Processed Foods</v>
      </c>
      <c r="G1437" s="4">
        <v>0.08</v>
      </c>
      <c r="H1437" s="4">
        <v>0.17</v>
      </c>
      <c r="I1437" s="4">
        <v>0.02</v>
      </c>
      <c r="J1437" s="4">
        <v>17.82</v>
      </c>
      <c r="K1437" s="4">
        <v>46.52</v>
      </c>
      <c r="L1437" s="4">
        <v>6.54</v>
      </c>
      <c r="M1437" s="4">
        <f t="shared" si="66"/>
        <v>9.0000000000000011E-2</v>
      </c>
      <c r="N1437" s="4">
        <f t="shared" si="67"/>
        <v>28.700000000000003</v>
      </c>
      <c r="O1437" s="4">
        <f t="shared" si="68"/>
        <v>-0.15000000000000002</v>
      </c>
      <c r="P1437" s="3" t="s">
        <v>19</v>
      </c>
    </row>
    <row r="1438" spans="1:16" x14ac:dyDescent="0.35">
      <c r="A1438" s="3" t="s">
        <v>20</v>
      </c>
      <c r="B1438" s="3" t="str">
        <f>INDEX(State_Region!$B$2:$B$26,MATCH(TRIM(A1438),State_Region!$A$2:$A$26,0))</f>
        <v>West</v>
      </c>
      <c r="C1438" s="3" t="s">
        <v>56</v>
      </c>
      <c r="D1438" s="3" t="str">
        <f>INDEX(Port_Type!$B$2:$B$227,MATCH(TRIM(C1438),Port_Type!$A$2:$A$227,0))</f>
        <v>Inland ICD / CFS</v>
      </c>
      <c r="E1438" s="3" t="s">
        <v>102</v>
      </c>
      <c r="F1438" s="3" t="str">
        <f>INDEX(Product_Category!$B$2:$B$45,MATCH(TRIM(E1438),Product_Category!$A$2:$A$45,0))</f>
        <v>Fresh Fruits &amp; Vegetables</v>
      </c>
      <c r="G1438" s="4">
        <v>0</v>
      </c>
      <c r="H1438" s="4">
        <v>0</v>
      </c>
      <c r="I1438" s="4">
        <v>0.02</v>
      </c>
      <c r="J1438" s="4">
        <v>0</v>
      </c>
      <c r="K1438" s="4">
        <v>0.27</v>
      </c>
      <c r="L1438" s="4">
        <v>7.58</v>
      </c>
      <c r="M1438" s="4">
        <f t="shared" si="66"/>
        <v>0</v>
      </c>
      <c r="N1438" s="4">
        <f t="shared" si="67"/>
        <v>0.27</v>
      </c>
      <c r="O1438" s="4">
        <f t="shared" si="68"/>
        <v>0.02</v>
      </c>
      <c r="P1438" s="3" t="s">
        <v>19</v>
      </c>
    </row>
    <row r="1439" spans="1:16" x14ac:dyDescent="0.35">
      <c r="A1439" s="3" t="s">
        <v>40</v>
      </c>
      <c r="B1439" s="3" t="str">
        <f>INDEX(State_Region!$B$2:$B$26,MATCH(TRIM(A1439),State_Region!$A$2:$A$26,0))</f>
        <v>South</v>
      </c>
      <c r="C1439" s="3" t="s">
        <v>107</v>
      </c>
      <c r="D1439" s="3" t="str">
        <f>INDEX(Port_Type!$B$2:$B$227,MATCH(TRIM(C1439),Port_Type!$A$2:$A$227,0))</f>
        <v>Sea Port</v>
      </c>
      <c r="E1439" s="3" t="s">
        <v>170</v>
      </c>
      <c r="F1439" s="3" t="str">
        <f>INDEX(Product_Category!$B$2:$B$45,MATCH(TRIM(E1439),Product_Category!$A$2:$A$45,0))</f>
        <v>Others</v>
      </c>
      <c r="G1439" s="4">
        <v>0.05</v>
      </c>
      <c r="H1439" s="4">
        <v>0.04</v>
      </c>
      <c r="I1439" s="4">
        <v>0.02</v>
      </c>
      <c r="J1439" s="4">
        <v>5.92</v>
      </c>
      <c r="K1439" s="4">
        <v>4.3899999999999997</v>
      </c>
      <c r="L1439" s="4">
        <v>1.69</v>
      </c>
      <c r="M1439" s="4">
        <f t="shared" si="66"/>
        <v>-1.0000000000000002E-2</v>
      </c>
      <c r="N1439" s="4">
        <f t="shared" si="67"/>
        <v>-1.5300000000000002</v>
      </c>
      <c r="O1439" s="4">
        <f t="shared" si="68"/>
        <v>-0.02</v>
      </c>
      <c r="P1439" s="3" t="s">
        <v>19</v>
      </c>
    </row>
    <row r="1440" spans="1:16" x14ac:dyDescent="0.35">
      <c r="A1440" s="3" t="s">
        <v>16</v>
      </c>
      <c r="B1440" s="3" t="str">
        <f>INDEX(State_Region!$B$2:$B$26,MATCH(TRIM(A1440),State_Region!$A$2:$A$26,0))</f>
        <v>West</v>
      </c>
      <c r="C1440" s="3" t="s">
        <v>17</v>
      </c>
      <c r="D1440" s="3" t="str">
        <f>INDEX(Port_Type!$B$2:$B$227,MATCH(TRIM(C1440),Port_Type!$A$2:$A$227,0))</f>
        <v>Sea Port</v>
      </c>
      <c r="E1440" s="3" t="s">
        <v>125</v>
      </c>
      <c r="F1440" s="3" t="str">
        <f>INDEX(Product_Category!$B$2:$B$45,MATCH(TRIM(E1440),Product_Category!$A$2:$A$45,0))</f>
        <v>Meat &amp; Animal Products</v>
      </c>
      <c r="G1440" s="4">
        <v>0</v>
      </c>
      <c r="H1440" s="4">
        <v>0</v>
      </c>
      <c r="I1440" s="4">
        <v>0.01</v>
      </c>
      <c r="J1440" s="4">
        <v>0</v>
      </c>
      <c r="K1440" s="4">
        <v>0</v>
      </c>
      <c r="L1440" s="4">
        <v>4.0199999999999996</v>
      </c>
      <c r="M1440" s="4">
        <f t="shared" si="66"/>
        <v>0</v>
      </c>
      <c r="N1440" s="4">
        <f t="shared" si="67"/>
        <v>0</v>
      </c>
      <c r="O1440" s="4">
        <f t="shared" si="68"/>
        <v>0.01</v>
      </c>
      <c r="P1440" s="3" t="s">
        <v>19</v>
      </c>
    </row>
    <row r="1441" spans="1:16" x14ac:dyDescent="0.35">
      <c r="A1441" s="3" t="s">
        <v>159</v>
      </c>
      <c r="B1441" s="3" t="str">
        <f>INDEX(State_Region!$B$2:$B$26,MATCH(TRIM(A1441),State_Region!$A$2:$A$26,0))</f>
        <v>North-East</v>
      </c>
      <c r="C1441" s="3" t="s">
        <v>160</v>
      </c>
      <c r="D1441" s="3" t="str">
        <f>INDEX(Port_Type!$B$2:$B$227,MATCH(TRIM(C1441),Port_Type!$A$2:$A$227,0))</f>
        <v>Land Border / Rail</v>
      </c>
      <c r="E1441" s="3" t="s">
        <v>83</v>
      </c>
      <c r="F1441" s="3" t="str">
        <f>INDEX(Product_Category!$B$2:$B$45,MATCH(TRIM(E1441),Product_Category!$A$2:$A$45,0))</f>
        <v>Fresh Fruits &amp; Vegetables</v>
      </c>
      <c r="G1441" s="4">
        <v>0.01</v>
      </c>
      <c r="H1441" s="4">
        <v>0.04</v>
      </c>
      <c r="I1441" s="4">
        <v>0.01</v>
      </c>
      <c r="J1441" s="4">
        <v>3.26</v>
      </c>
      <c r="K1441" s="4">
        <v>35.01</v>
      </c>
      <c r="L1441" s="4">
        <v>12.87</v>
      </c>
      <c r="M1441" s="4">
        <f t="shared" si="66"/>
        <v>0.03</v>
      </c>
      <c r="N1441" s="4">
        <f t="shared" si="67"/>
        <v>31.75</v>
      </c>
      <c r="O1441" s="4">
        <f t="shared" si="68"/>
        <v>-0.03</v>
      </c>
      <c r="P1441" s="3" t="s">
        <v>19</v>
      </c>
    </row>
    <row r="1442" spans="1:16" x14ac:dyDescent="0.35">
      <c r="A1442" s="3" t="s">
        <v>20</v>
      </c>
      <c r="B1442" s="3" t="str">
        <f>INDEX(State_Region!$B$2:$B$26,MATCH(TRIM(A1442),State_Region!$A$2:$A$26,0))</f>
        <v>West</v>
      </c>
      <c r="C1442" s="3" t="s">
        <v>134</v>
      </c>
      <c r="D1442" s="3" t="str">
        <f>INDEX(Port_Type!$B$2:$B$227,MATCH(TRIM(C1442),Port_Type!$A$2:$A$227,0))</f>
        <v>Inland ICD / CFS</v>
      </c>
      <c r="E1442" s="3" t="s">
        <v>81</v>
      </c>
      <c r="F1442" s="3" t="str">
        <f>INDEX(Product_Category!$B$2:$B$45,MATCH(TRIM(E1442),Product_Category!$A$2:$A$45,0))</f>
        <v>Processed Foods</v>
      </c>
      <c r="G1442" s="4">
        <v>0</v>
      </c>
      <c r="H1442" s="4">
        <v>0</v>
      </c>
      <c r="I1442" s="4">
        <v>0.01</v>
      </c>
      <c r="J1442" s="4">
        <v>0</v>
      </c>
      <c r="K1442" s="4">
        <v>0</v>
      </c>
      <c r="L1442" s="4">
        <v>28.8</v>
      </c>
      <c r="M1442" s="4">
        <f t="shared" si="66"/>
        <v>0</v>
      </c>
      <c r="N1442" s="4">
        <f t="shared" si="67"/>
        <v>0</v>
      </c>
      <c r="O1442" s="4">
        <f t="shared" si="68"/>
        <v>0.01</v>
      </c>
      <c r="P1442" s="3" t="s">
        <v>19</v>
      </c>
    </row>
    <row r="1443" spans="1:16" x14ac:dyDescent="0.35">
      <c r="A1443" s="3" t="s">
        <v>20</v>
      </c>
      <c r="B1443" s="3" t="str">
        <f>INDEX(State_Region!$B$2:$B$26,MATCH(TRIM(A1443),State_Region!$A$2:$A$26,0))</f>
        <v>West</v>
      </c>
      <c r="C1443" s="3" t="s">
        <v>82</v>
      </c>
      <c r="D1443" s="3" t="str">
        <f>INDEX(Port_Type!$B$2:$B$227,MATCH(TRIM(C1443),Port_Type!$A$2:$A$227,0))</f>
        <v>Inland ICD / CFS</v>
      </c>
      <c r="E1443" s="3" t="s">
        <v>53</v>
      </c>
      <c r="F1443" s="3" t="str">
        <f>INDEX(Product_Category!$B$2:$B$45,MATCH(TRIM(E1443),Product_Category!$A$2:$A$45,0))</f>
        <v>Processed Foods</v>
      </c>
      <c r="G1443" s="4">
        <v>0.02</v>
      </c>
      <c r="H1443" s="4">
        <v>0.02</v>
      </c>
      <c r="I1443" s="4">
        <v>0.01</v>
      </c>
      <c r="J1443" s="4">
        <v>11.61</v>
      </c>
      <c r="K1443" s="4">
        <v>9.35</v>
      </c>
      <c r="L1443" s="4">
        <v>7.02</v>
      </c>
      <c r="M1443" s="4">
        <f t="shared" si="66"/>
        <v>0</v>
      </c>
      <c r="N1443" s="4">
        <f t="shared" si="67"/>
        <v>-2.2599999999999998</v>
      </c>
      <c r="O1443" s="4">
        <f t="shared" si="68"/>
        <v>-0.01</v>
      </c>
      <c r="P1443" s="3" t="s">
        <v>19</v>
      </c>
    </row>
    <row r="1444" spans="1:16" x14ac:dyDescent="0.35">
      <c r="A1444" s="3" t="s">
        <v>231</v>
      </c>
      <c r="B1444" s="3" t="str">
        <f>INDEX(State_Region!$B$2:$B$26,MATCH(TRIM(A1444),State_Region!$A$2:$A$26,0))</f>
        <v>North-East</v>
      </c>
      <c r="C1444" s="3" t="s">
        <v>236</v>
      </c>
      <c r="D1444" s="3" t="str">
        <f>INDEX(Port_Type!$B$2:$B$227,MATCH(TRIM(C1444),Port_Type!$A$2:$A$227,0))</f>
        <v>Land Border / Rail</v>
      </c>
      <c r="E1444" s="3" t="s">
        <v>48</v>
      </c>
      <c r="F1444" s="3" t="str">
        <f>INDEX(Product_Category!$B$2:$B$45,MATCH(TRIM(E1444),Product_Category!$A$2:$A$45,0))</f>
        <v>Processed Foods</v>
      </c>
      <c r="G1444" s="4">
        <v>0.06</v>
      </c>
      <c r="H1444" s="4">
        <v>0.1</v>
      </c>
      <c r="I1444" s="4">
        <v>0.01</v>
      </c>
      <c r="J1444" s="4">
        <v>11.13</v>
      </c>
      <c r="K1444" s="4">
        <v>31.27</v>
      </c>
      <c r="L1444" s="4">
        <v>4.7</v>
      </c>
      <c r="M1444" s="4">
        <f t="shared" si="66"/>
        <v>4.0000000000000008E-2</v>
      </c>
      <c r="N1444" s="4">
        <f t="shared" si="67"/>
        <v>20.14</v>
      </c>
      <c r="O1444" s="4">
        <f t="shared" si="68"/>
        <v>-9.0000000000000011E-2</v>
      </c>
      <c r="P1444" s="3" t="s">
        <v>19</v>
      </c>
    </row>
    <row r="1445" spans="1:16" x14ac:dyDescent="0.35">
      <c r="A1445" s="3" t="s">
        <v>40</v>
      </c>
      <c r="B1445" s="3" t="str">
        <f>INDEX(State_Region!$B$2:$B$26,MATCH(TRIM(A1445),State_Region!$A$2:$A$26,0))</f>
        <v>South</v>
      </c>
      <c r="C1445" s="3" t="s">
        <v>117</v>
      </c>
      <c r="D1445" s="3" t="str">
        <f>INDEX(Port_Type!$B$2:$B$227,MATCH(TRIM(C1445),Port_Type!$A$2:$A$227,0))</f>
        <v>Sea Port</v>
      </c>
      <c r="E1445" s="3" t="s">
        <v>60</v>
      </c>
      <c r="F1445" s="3" t="str">
        <f>INDEX(Product_Category!$B$2:$B$45,MATCH(TRIM(E1445),Product_Category!$A$2:$A$45,0))</f>
        <v>Processed Foods</v>
      </c>
      <c r="G1445" s="4">
        <v>0.3</v>
      </c>
      <c r="H1445" s="4">
        <v>0.04</v>
      </c>
      <c r="I1445" s="4">
        <v>0.01</v>
      </c>
      <c r="J1445" s="4">
        <v>407.12</v>
      </c>
      <c r="K1445" s="4">
        <v>42.35</v>
      </c>
      <c r="L1445" s="4">
        <v>18.559999999999999</v>
      </c>
      <c r="M1445" s="4">
        <f t="shared" si="66"/>
        <v>-0.26</v>
      </c>
      <c r="N1445" s="4">
        <f t="shared" si="67"/>
        <v>-364.77</v>
      </c>
      <c r="O1445" s="4">
        <f t="shared" si="68"/>
        <v>-0.03</v>
      </c>
      <c r="P1445" s="3" t="s">
        <v>19</v>
      </c>
    </row>
    <row r="1446" spans="1:16" x14ac:dyDescent="0.35">
      <c r="A1446" s="3" t="s">
        <v>77</v>
      </c>
      <c r="B1446" s="3" t="str">
        <f>INDEX(State_Region!$B$2:$B$26,MATCH(TRIM(A1446),State_Region!$A$2:$A$26,0))</f>
        <v>South</v>
      </c>
      <c r="C1446" s="3" t="s">
        <v>78</v>
      </c>
      <c r="D1446" s="3" t="str">
        <f>INDEX(Port_Type!$B$2:$B$227,MATCH(TRIM(C1446),Port_Type!$A$2:$A$227,0))</f>
        <v>Sea Port</v>
      </c>
      <c r="E1446" s="3" t="s">
        <v>221</v>
      </c>
      <c r="F1446" s="3" t="str">
        <f>INDEX(Product_Category!$B$2:$B$45,MATCH(TRIM(E1446),Product_Category!$A$2:$A$45,0))</f>
        <v>Meat &amp; Animal Products</v>
      </c>
      <c r="G1446" s="4">
        <v>0.08</v>
      </c>
      <c r="H1446" s="4">
        <v>0</v>
      </c>
      <c r="I1446" s="4">
        <v>0.01</v>
      </c>
      <c r="J1446" s="4">
        <v>2.75</v>
      </c>
      <c r="K1446" s="4">
        <v>0</v>
      </c>
      <c r="L1446" s="4">
        <v>4.08</v>
      </c>
      <c r="M1446" s="4">
        <f t="shared" si="66"/>
        <v>-0.08</v>
      </c>
      <c r="N1446" s="4">
        <f t="shared" si="67"/>
        <v>-2.75</v>
      </c>
      <c r="O1446" s="4">
        <f t="shared" si="68"/>
        <v>0.01</v>
      </c>
      <c r="P1446" s="3" t="s">
        <v>19</v>
      </c>
    </row>
    <row r="1447" spans="1:16" x14ac:dyDescent="0.35">
      <c r="A1447" s="3" t="s">
        <v>40</v>
      </c>
      <c r="B1447" s="3" t="str">
        <f>INDEX(State_Region!$B$2:$B$26,MATCH(TRIM(A1447),State_Region!$A$2:$A$26,0))</f>
        <v>South</v>
      </c>
      <c r="C1447" s="3" t="s">
        <v>107</v>
      </c>
      <c r="D1447" s="3" t="str">
        <f>INDEX(Port_Type!$B$2:$B$227,MATCH(TRIM(C1447),Port_Type!$A$2:$A$227,0))</f>
        <v>Sea Port</v>
      </c>
      <c r="E1447" s="3" t="s">
        <v>60</v>
      </c>
      <c r="F1447" s="3" t="str">
        <f>INDEX(Product_Category!$B$2:$B$45,MATCH(TRIM(E1447),Product_Category!$A$2:$A$45,0))</f>
        <v>Processed Foods</v>
      </c>
      <c r="G1447" s="4">
        <v>0</v>
      </c>
      <c r="H1447" s="4">
        <v>0.01</v>
      </c>
      <c r="I1447" s="4">
        <v>0.01</v>
      </c>
      <c r="J1447" s="4">
        <v>0</v>
      </c>
      <c r="K1447" s="4">
        <v>17.399999999999999</v>
      </c>
      <c r="L1447" s="4">
        <v>23.4</v>
      </c>
      <c r="M1447" s="4">
        <f t="shared" si="66"/>
        <v>0.01</v>
      </c>
      <c r="N1447" s="4">
        <f t="shared" si="67"/>
        <v>17.399999999999999</v>
      </c>
      <c r="O1447" s="4">
        <f t="shared" si="68"/>
        <v>0</v>
      </c>
      <c r="P1447" s="3" t="s">
        <v>19</v>
      </c>
    </row>
    <row r="1448" spans="1:16" x14ac:dyDescent="0.35">
      <c r="A1448" s="3" t="s">
        <v>49</v>
      </c>
      <c r="B1448" s="3" t="str">
        <f>INDEX(State_Region!$B$2:$B$26,MATCH(TRIM(A1448),State_Region!$A$2:$A$26,0))</f>
        <v>North</v>
      </c>
      <c r="C1448" s="3" t="s">
        <v>233</v>
      </c>
      <c r="D1448" s="3" t="str">
        <f>INDEX(Port_Type!$B$2:$B$227,MATCH(TRIM(C1448),Port_Type!$A$2:$A$227,0))</f>
        <v>Inland ICD / CFS</v>
      </c>
      <c r="E1448" s="3" t="s">
        <v>45</v>
      </c>
      <c r="F1448" s="3" t="str">
        <f>INDEX(Product_Category!$B$2:$B$45,MATCH(TRIM(E1448),Product_Category!$A$2:$A$45,0))</f>
        <v>Fresh Fruits &amp; Vegetables</v>
      </c>
      <c r="G1448" s="4">
        <v>0</v>
      </c>
      <c r="H1448" s="4">
        <v>0</v>
      </c>
      <c r="I1448" s="4">
        <v>0.01</v>
      </c>
      <c r="J1448" s="4">
        <v>0</v>
      </c>
      <c r="K1448" s="4">
        <v>0</v>
      </c>
      <c r="L1448" s="4">
        <v>8.16</v>
      </c>
      <c r="M1448" s="4">
        <f t="shared" si="66"/>
        <v>0</v>
      </c>
      <c r="N1448" s="4">
        <f t="shared" si="67"/>
        <v>0</v>
      </c>
      <c r="O1448" s="4">
        <f t="shared" si="68"/>
        <v>0.01</v>
      </c>
      <c r="P1448" s="3" t="s">
        <v>19</v>
      </c>
    </row>
    <row r="1449" spans="1:16" x14ac:dyDescent="0.35">
      <c r="A1449" s="3" t="s">
        <v>66</v>
      </c>
      <c r="B1449" s="3" t="str">
        <f>INDEX(State_Region!$B$2:$B$26,MATCH(TRIM(A1449),State_Region!$A$2:$A$26,0))</f>
        <v>North</v>
      </c>
      <c r="C1449" s="3" t="s">
        <v>100</v>
      </c>
      <c r="D1449" s="3" t="str">
        <f>INDEX(Port_Type!$B$2:$B$227,MATCH(TRIM(C1449),Port_Type!$A$2:$A$227,0))</f>
        <v>Inland ICD / CFS</v>
      </c>
      <c r="E1449" s="3" t="s">
        <v>42</v>
      </c>
      <c r="F1449" s="3" t="str">
        <f>INDEX(Product_Category!$B$2:$B$45,MATCH(TRIM(E1449),Product_Category!$A$2:$A$45,0))</f>
        <v>Processed Foods</v>
      </c>
      <c r="G1449" s="4">
        <v>0</v>
      </c>
      <c r="H1449" s="4">
        <v>0</v>
      </c>
      <c r="I1449" s="4">
        <v>0.01</v>
      </c>
      <c r="J1449" s="4">
        <v>0</v>
      </c>
      <c r="K1449" s="4">
        <v>0.2</v>
      </c>
      <c r="L1449" s="4">
        <v>8.3000000000000007</v>
      </c>
      <c r="M1449" s="4">
        <f t="shared" si="66"/>
        <v>0</v>
      </c>
      <c r="N1449" s="4">
        <f t="shared" si="67"/>
        <v>0.2</v>
      </c>
      <c r="O1449" s="4">
        <f t="shared" si="68"/>
        <v>0.01</v>
      </c>
      <c r="P1449" s="3" t="s">
        <v>19</v>
      </c>
    </row>
    <row r="1450" spans="1:16" x14ac:dyDescent="0.35">
      <c r="A1450" s="3" t="s">
        <v>159</v>
      </c>
      <c r="B1450" s="3" t="str">
        <f>INDEX(State_Region!$B$2:$B$26,MATCH(TRIM(A1450),State_Region!$A$2:$A$26,0))</f>
        <v>North-East</v>
      </c>
      <c r="C1450" s="3" t="s">
        <v>160</v>
      </c>
      <c r="D1450" s="3" t="str">
        <f>INDEX(Port_Type!$B$2:$B$227,MATCH(TRIM(C1450),Port_Type!$A$2:$A$227,0))</f>
        <v>Land Border / Rail</v>
      </c>
      <c r="E1450" s="3" t="s">
        <v>76</v>
      </c>
      <c r="F1450" s="3" t="str">
        <f>INDEX(Product_Category!$B$2:$B$45,MATCH(TRIM(E1450),Product_Category!$A$2:$A$45,0))</f>
        <v>Fresh Fruits &amp; Vegetables</v>
      </c>
      <c r="G1450" s="4">
        <v>0</v>
      </c>
      <c r="H1450" s="4">
        <v>0.03</v>
      </c>
      <c r="I1450" s="4">
        <v>0.01</v>
      </c>
      <c r="J1450" s="4">
        <v>1.76</v>
      </c>
      <c r="K1450" s="4">
        <v>39.44</v>
      </c>
      <c r="L1450" s="4">
        <v>23.42</v>
      </c>
      <c r="M1450" s="4">
        <f t="shared" si="66"/>
        <v>0.03</v>
      </c>
      <c r="N1450" s="4">
        <f t="shared" si="67"/>
        <v>37.68</v>
      </c>
      <c r="O1450" s="4">
        <f t="shared" si="68"/>
        <v>-1.9999999999999997E-2</v>
      </c>
      <c r="P1450" s="3" t="s">
        <v>19</v>
      </c>
    </row>
    <row r="1451" spans="1:16" x14ac:dyDescent="0.35">
      <c r="A1451" s="3" t="s">
        <v>31</v>
      </c>
      <c r="B1451" s="3" t="str">
        <f>INDEX(State_Region!$B$2:$B$26,MATCH(TRIM(A1451),State_Region!$A$2:$A$26,0))</f>
        <v>East</v>
      </c>
      <c r="C1451" s="3" t="s">
        <v>32</v>
      </c>
      <c r="D1451" s="3" t="str">
        <f>INDEX(Port_Type!$B$2:$B$227,MATCH(TRIM(C1451),Port_Type!$A$2:$A$227,0))</f>
        <v>Sea Port</v>
      </c>
      <c r="E1451" s="3" t="s">
        <v>84</v>
      </c>
      <c r="F1451" s="3" t="str">
        <f>INDEX(Product_Category!$B$2:$B$45,MATCH(TRIM(E1451),Product_Category!$A$2:$A$45,0))</f>
        <v>Nuts &amp; Oilseeds</v>
      </c>
      <c r="G1451" s="4">
        <v>0</v>
      </c>
      <c r="H1451" s="4">
        <v>0.01</v>
      </c>
      <c r="I1451" s="4">
        <v>0.01</v>
      </c>
      <c r="J1451" s="4">
        <v>0.3</v>
      </c>
      <c r="K1451" s="4">
        <v>0.65</v>
      </c>
      <c r="L1451" s="4">
        <v>1.29</v>
      </c>
      <c r="M1451" s="4">
        <f t="shared" si="66"/>
        <v>0.01</v>
      </c>
      <c r="N1451" s="4">
        <f t="shared" si="67"/>
        <v>0.35000000000000003</v>
      </c>
      <c r="O1451" s="4">
        <f t="shared" si="68"/>
        <v>0</v>
      </c>
      <c r="P1451" s="3" t="s">
        <v>19</v>
      </c>
    </row>
    <row r="1452" spans="1:16" x14ac:dyDescent="0.35">
      <c r="A1452" s="3" t="s">
        <v>23</v>
      </c>
      <c r="B1452" s="3" t="str">
        <f>INDEX(State_Region!$B$2:$B$26,MATCH(TRIM(A1452),State_Region!$A$2:$A$26,0))</f>
        <v>North</v>
      </c>
      <c r="C1452" s="3" t="s">
        <v>44</v>
      </c>
      <c r="D1452" s="3" t="str">
        <f>INDEX(Port_Type!$B$2:$B$227,MATCH(TRIM(C1452),Port_Type!$A$2:$A$227,0))</f>
        <v>Inland ICD / CFS</v>
      </c>
      <c r="E1452" s="3" t="s">
        <v>45</v>
      </c>
      <c r="F1452" s="3" t="str">
        <f>INDEX(Product_Category!$B$2:$B$45,MATCH(TRIM(E1452),Product_Category!$A$2:$A$45,0))</f>
        <v>Fresh Fruits &amp; Vegetables</v>
      </c>
      <c r="G1452" s="4">
        <v>0.05</v>
      </c>
      <c r="H1452" s="4">
        <v>0.05</v>
      </c>
      <c r="I1452" s="4">
        <v>0.01</v>
      </c>
      <c r="J1452" s="4">
        <v>9.26</v>
      </c>
      <c r="K1452" s="4">
        <v>10.220000000000001</v>
      </c>
      <c r="L1452" s="4">
        <v>4.46</v>
      </c>
      <c r="M1452" s="4">
        <f t="shared" si="66"/>
        <v>0</v>
      </c>
      <c r="N1452" s="4">
        <f t="shared" si="67"/>
        <v>0.96000000000000085</v>
      </c>
      <c r="O1452" s="4">
        <f t="shared" si="68"/>
        <v>-0.04</v>
      </c>
      <c r="P1452" s="3" t="s">
        <v>19</v>
      </c>
    </row>
    <row r="1453" spans="1:16" x14ac:dyDescent="0.35">
      <c r="A1453" s="3" t="s">
        <v>31</v>
      </c>
      <c r="B1453" s="3" t="str">
        <f>INDEX(State_Region!$B$2:$B$26,MATCH(TRIM(A1453),State_Region!$A$2:$A$26,0))</f>
        <v>East</v>
      </c>
      <c r="C1453" s="3" t="s">
        <v>131</v>
      </c>
      <c r="D1453" s="3" t="str">
        <f>INDEX(Port_Type!$B$2:$B$227,MATCH(TRIM(C1453),Port_Type!$A$2:$A$227,0))</f>
        <v>Land Border / Rail</v>
      </c>
      <c r="E1453" s="3" t="s">
        <v>150</v>
      </c>
      <c r="F1453" s="3" t="str">
        <f>INDEX(Product_Category!$B$2:$B$45,MATCH(TRIM(E1453),Product_Category!$A$2:$A$45,0))</f>
        <v>Nuts &amp; Oilseeds</v>
      </c>
      <c r="G1453" s="4">
        <v>0</v>
      </c>
      <c r="H1453" s="4">
        <v>0.02</v>
      </c>
      <c r="I1453" s="4">
        <v>0.01</v>
      </c>
      <c r="J1453" s="4">
        <v>0.63</v>
      </c>
      <c r="K1453" s="4">
        <v>8.6999999999999993</v>
      </c>
      <c r="L1453" s="4">
        <v>3.57</v>
      </c>
      <c r="M1453" s="4">
        <f t="shared" si="66"/>
        <v>0.02</v>
      </c>
      <c r="N1453" s="4">
        <f t="shared" si="67"/>
        <v>8.0699999999999985</v>
      </c>
      <c r="O1453" s="4">
        <f t="shared" si="68"/>
        <v>-0.01</v>
      </c>
      <c r="P1453" s="3" t="s">
        <v>19</v>
      </c>
    </row>
    <row r="1454" spans="1:16" x14ac:dyDescent="0.35">
      <c r="A1454" s="3" t="s">
        <v>86</v>
      </c>
      <c r="B1454" s="3" t="str">
        <f>INDEX(State_Region!$B$2:$B$26,MATCH(TRIM(A1454),State_Region!$A$2:$A$26,0))</f>
        <v>North</v>
      </c>
      <c r="C1454" s="3" t="s">
        <v>207</v>
      </c>
      <c r="D1454" s="3" t="str">
        <f>INDEX(Port_Type!$B$2:$B$227,MATCH(TRIM(C1454),Port_Type!$A$2:$A$227,0))</f>
        <v>Inland ICD / CFS</v>
      </c>
      <c r="E1454" s="3" t="s">
        <v>54</v>
      </c>
      <c r="F1454" s="3" t="str">
        <f>INDEX(Product_Category!$B$2:$B$45,MATCH(TRIM(E1454),Product_Category!$A$2:$A$45,0))</f>
        <v>Processed Foods</v>
      </c>
      <c r="G1454" s="4">
        <v>0.04</v>
      </c>
      <c r="H1454" s="4">
        <v>0.08</v>
      </c>
      <c r="I1454" s="4">
        <v>0.01</v>
      </c>
      <c r="J1454" s="4">
        <v>12.45</v>
      </c>
      <c r="K1454" s="4">
        <v>21.68</v>
      </c>
      <c r="L1454" s="4">
        <v>3.57</v>
      </c>
      <c r="M1454" s="4">
        <f t="shared" si="66"/>
        <v>0.04</v>
      </c>
      <c r="N1454" s="4">
        <f t="shared" si="67"/>
        <v>9.23</v>
      </c>
      <c r="O1454" s="4">
        <f t="shared" si="68"/>
        <v>-7.0000000000000007E-2</v>
      </c>
      <c r="P1454" s="3" t="s">
        <v>19</v>
      </c>
    </row>
    <row r="1455" spans="1:16" x14ac:dyDescent="0.35">
      <c r="A1455" s="3" t="s">
        <v>49</v>
      </c>
      <c r="B1455" s="3" t="str">
        <f>INDEX(State_Region!$B$2:$B$26,MATCH(TRIM(A1455),State_Region!$A$2:$A$26,0))</f>
        <v>North</v>
      </c>
      <c r="C1455" s="3" t="s">
        <v>121</v>
      </c>
      <c r="D1455" s="3" t="str">
        <f>INDEX(Port_Type!$B$2:$B$227,MATCH(TRIM(C1455),Port_Type!$A$2:$A$227,0))</f>
        <v>Inland ICD / CFS</v>
      </c>
      <c r="E1455" s="3" t="s">
        <v>126</v>
      </c>
      <c r="F1455" s="3" t="str">
        <f>INDEX(Product_Category!$B$2:$B$45,MATCH(TRIM(E1455),Product_Category!$A$2:$A$45,0))</f>
        <v>Cereals &amp; Grains</v>
      </c>
      <c r="G1455" s="4">
        <v>0.01</v>
      </c>
      <c r="H1455" s="4">
        <v>0.02</v>
      </c>
      <c r="I1455" s="4">
        <v>0.01</v>
      </c>
      <c r="J1455" s="4">
        <v>6.55</v>
      </c>
      <c r="K1455" s="4">
        <v>10.3</v>
      </c>
      <c r="L1455" s="4">
        <v>5.99</v>
      </c>
      <c r="M1455" s="4">
        <f t="shared" si="66"/>
        <v>0.01</v>
      </c>
      <c r="N1455" s="4">
        <f t="shared" si="67"/>
        <v>3.7500000000000009</v>
      </c>
      <c r="O1455" s="4">
        <f t="shared" si="68"/>
        <v>-0.01</v>
      </c>
      <c r="P1455" s="3" t="s">
        <v>19</v>
      </c>
    </row>
    <row r="1456" spans="1:16" x14ac:dyDescent="0.35">
      <c r="A1456" s="3" t="s">
        <v>40</v>
      </c>
      <c r="B1456" s="3" t="str">
        <f>INDEX(State_Region!$B$2:$B$26,MATCH(TRIM(A1456),State_Region!$A$2:$A$26,0))</f>
        <v>South</v>
      </c>
      <c r="C1456" s="3" t="s">
        <v>220</v>
      </c>
      <c r="D1456" s="3" t="str">
        <f>INDEX(Port_Type!$B$2:$B$227,MATCH(TRIM(C1456),Port_Type!$A$2:$A$227,0))</f>
        <v>Inland ICD / CFS</v>
      </c>
      <c r="E1456" s="3" t="s">
        <v>33</v>
      </c>
      <c r="F1456" s="3" t="str">
        <f>INDEX(Product_Category!$B$2:$B$45,MATCH(TRIM(E1456),Product_Category!$A$2:$A$45,0))</f>
        <v>Pulses</v>
      </c>
      <c r="G1456" s="4">
        <v>0.01</v>
      </c>
      <c r="H1456" s="4">
        <v>0.08</v>
      </c>
      <c r="I1456" s="4">
        <v>0.01</v>
      </c>
      <c r="J1456" s="4">
        <v>6.73</v>
      </c>
      <c r="K1456" s="4">
        <v>52.73</v>
      </c>
      <c r="L1456" s="4">
        <v>8.41</v>
      </c>
      <c r="M1456" s="4">
        <f t="shared" si="66"/>
        <v>7.0000000000000007E-2</v>
      </c>
      <c r="N1456" s="4">
        <f t="shared" si="67"/>
        <v>46</v>
      </c>
      <c r="O1456" s="4">
        <f t="shared" si="68"/>
        <v>-7.0000000000000007E-2</v>
      </c>
      <c r="P1456" s="3" t="s">
        <v>19</v>
      </c>
    </row>
    <row r="1457" spans="1:16" x14ac:dyDescent="0.35">
      <c r="A1457" s="3" t="s">
        <v>23</v>
      </c>
      <c r="B1457" s="3" t="str">
        <f>INDEX(State_Region!$B$2:$B$26,MATCH(TRIM(A1457),State_Region!$A$2:$A$26,0))</f>
        <v>North</v>
      </c>
      <c r="C1457" s="3" t="s">
        <v>44</v>
      </c>
      <c r="D1457" s="3" t="str">
        <f>INDEX(Port_Type!$B$2:$B$227,MATCH(TRIM(C1457),Port_Type!$A$2:$A$227,0))</f>
        <v>Inland ICD / CFS</v>
      </c>
      <c r="E1457" s="3" t="s">
        <v>144</v>
      </c>
      <c r="F1457" s="3" t="str">
        <f>INDEX(Product_Category!$B$2:$B$45,MATCH(TRIM(E1457),Product_Category!$A$2:$A$45,0))</f>
        <v>Cereals &amp; Grains</v>
      </c>
      <c r="G1457" s="4">
        <v>0.02</v>
      </c>
      <c r="H1457" s="4">
        <v>0.04</v>
      </c>
      <c r="I1457" s="4">
        <v>0.01</v>
      </c>
      <c r="J1457" s="4">
        <v>12.9</v>
      </c>
      <c r="K1457" s="4">
        <v>21.08</v>
      </c>
      <c r="L1457" s="4">
        <v>10.8</v>
      </c>
      <c r="M1457" s="4">
        <f t="shared" si="66"/>
        <v>0.02</v>
      </c>
      <c r="N1457" s="4">
        <f t="shared" si="67"/>
        <v>8.1799999999999979</v>
      </c>
      <c r="O1457" s="4">
        <f t="shared" si="68"/>
        <v>-0.03</v>
      </c>
      <c r="P1457" s="3" t="s">
        <v>19</v>
      </c>
    </row>
    <row r="1458" spans="1:16" x14ac:dyDescent="0.35">
      <c r="A1458" s="3" t="s">
        <v>16</v>
      </c>
      <c r="B1458" s="3" t="str">
        <f>INDEX(State_Region!$B$2:$B$26,MATCH(TRIM(A1458),State_Region!$A$2:$A$26,0))</f>
        <v>West</v>
      </c>
      <c r="C1458" s="3" t="s">
        <v>17</v>
      </c>
      <c r="D1458" s="3" t="str">
        <f>INDEX(Port_Type!$B$2:$B$227,MATCH(TRIM(C1458),Port_Type!$A$2:$A$227,0))</f>
        <v>Sea Port</v>
      </c>
      <c r="E1458" s="3" t="s">
        <v>60</v>
      </c>
      <c r="F1458" s="3" t="str">
        <f>INDEX(Product_Category!$B$2:$B$45,MATCH(TRIM(E1458),Product_Category!$A$2:$A$45,0))</f>
        <v>Processed Foods</v>
      </c>
      <c r="G1458" s="4">
        <v>0.45</v>
      </c>
      <c r="H1458" s="4">
        <v>0.27</v>
      </c>
      <c r="I1458" s="4">
        <v>0.01</v>
      </c>
      <c r="J1458" s="4">
        <v>214.17</v>
      </c>
      <c r="K1458" s="4">
        <v>154.22999999999999</v>
      </c>
      <c r="L1458" s="4">
        <v>9.9</v>
      </c>
      <c r="M1458" s="4">
        <f t="shared" si="66"/>
        <v>-0.18</v>
      </c>
      <c r="N1458" s="4">
        <f t="shared" si="67"/>
        <v>-59.94</v>
      </c>
      <c r="O1458" s="4">
        <f t="shared" si="68"/>
        <v>-0.26</v>
      </c>
      <c r="P1458" s="3" t="s">
        <v>19</v>
      </c>
    </row>
    <row r="1459" spans="1:16" x14ac:dyDescent="0.35">
      <c r="A1459" s="3" t="s">
        <v>86</v>
      </c>
      <c r="B1459" s="3" t="str">
        <f>INDEX(State_Region!$B$2:$B$26,MATCH(TRIM(A1459),State_Region!$A$2:$A$26,0))</f>
        <v>North</v>
      </c>
      <c r="C1459" s="3" t="s">
        <v>106</v>
      </c>
      <c r="D1459" s="3" t="str">
        <f>INDEX(Port_Type!$B$2:$B$227,MATCH(TRIM(C1459),Port_Type!$A$2:$A$227,0))</f>
        <v>Inland ICD / CFS</v>
      </c>
      <c r="E1459" s="3" t="s">
        <v>144</v>
      </c>
      <c r="F1459" s="3" t="str">
        <f>INDEX(Product_Category!$B$2:$B$45,MATCH(TRIM(E1459),Product_Category!$A$2:$A$45,0))</f>
        <v>Cereals &amp; Grains</v>
      </c>
      <c r="G1459" s="4">
        <v>0.04</v>
      </c>
      <c r="H1459" s="4">
        <v>0.08</v>
      </c>
      <c r="I1459" s="4">
        <v>0.01</v>
      </c>
      <c r="J1459" s="4">
        <v>52.24</v>
      </c>
      <c r="K1459" s="4">
        <v>118.11</v>
      </c>
      <c r="L1459" s="4">
        <v>20.11</v>
      </c>
      <c r="M1459" s="4">
        <f t="shared" si="66"/>
        <v>0.04</v>
      </c>
      <c r="N1459" s="4">
        <f t="shared" si="67"/>
        <v>65.87</v>
      </c>
      <c r="O1459" s="4">
        <f t="shared" si="68"/>
        <v>-7.0000000000000007E-2</v>
      </c>
      <c r="P1459" s="3" t="s">
        <v>19</v>
      </c>
    </row>
    <row r="1460" spans="1:16" x14ac:dyDescent="0.35">
      <c r="A1460" s="3" t="s">
        <v>40</v>
      </c>
      <c r="B1460" s="3" t="str">
        <f>INDEX(State_Region!$B$2:$B$26,MATCH(TRIM(A1460),State_Region!$A$2:$A$26,0))</f>
        <v>South</v>
      </c>
      <c r="C1460" s="3" t="s">
        <v>220</v>
      </c>
      <c r="D1460" s="3" t="str">
        <f>INDEX(Port_Type!$B$2:$B$227,MATCH(TRIM(C1460),Port_Type!$A$2:$A$227,0))</f>
        <v>Inland ICD / CFS</v>
      </c>
      <c r="E1460" s="3" t="s">
        <v>59</v>
      </c>
      <c r="F1460" s="3" t="str">
        <f>INDEX(Product_Category!$B$2:$B$45,MATCH(TRIM(E1460),Product_Category!$A$2:$A$45,0))</f>
        <v>Processed Foods</v>
      </c>
      <c r="G1460" s="4">
        <v>0</v>
      </c>
      <c r="H1460" s="4">
        <v>0.02</v>
      </c>
      <c r="I1460" s="4">
        <v>0.01</v>
      </c>
      <c r="J1460" s="4">
        <v>0</v>
      </c>
      <c r="K1460" s="4">
        <v>4.8600000000000003</v>
      </c>
      <c r="L1460" s="4">
        <v>4.09</v>
      </c>
      <c r="M1460" s="4">
        <f t="shared" si="66"/>
        <v>0.02</v>
      </c>
      <c r="N1460" s="4">
        <f t="shared" si="67"/>
        <v>4.8600000000000003</v>
      </c>
      <c r="O1460" s="4">
        <f t="shared" si="68"/>
        <v>-0.01</v>
      </c>
      <c r="P1460" s="3" t="s">
        <v>19</v>
      </c>
    </row>
    <row r="1461" spans="1:16" x14ac:dyDescent="0.35">
      <c r="A1461" s="3" t="s">
        <v>79</v>
      </c>
      <c r="B1461" s="3" t="str">
        <f>INDEX(State_Region!$B$2:$B$26,MATCH(TRIM(A1461),State_Region!$A$2:$A$26,0))</f>
        <v>South</v>
      </c>
      <c r="C1461" s="3" t="s">
        <v>91</v>
      </c>
      <c r="D1461" s="3" t="str">
        <f>INDEX(Port_Type!$B$2:$B$227,MATCH(TRIM(C1461),Port_Type!$A$2:$A$227,0))</f>
        <v>Sea Port</v>
      </c>
      <c r="E1461" s="3" t="s">
        <v>144</v>
      </c>
      <c r="F1461" s="3" t="str">
        <f>INDEX(Product_Category!$B$2:$B$45,MATCH(TRIM(E1461),Product_Category!$A$2:$A$45,0))</f>
        <v>Cereals &amp; Grains</v>
      </c>
      <c r="G1461" s="4">
        <v>0.08</v>
      </c>
      <c r="H1461" s="4">
        <v>0.08</v>
      </c>
      <c r="I1461" s="4">
        <v>0.01</v>
      </c>
      <c r="J1461" s="4">
        <v>157.38</v>
      </c>
      <c r="K1461" s="4">
        <v>138.38</v>
      </c>
      <c r="L1461" s="4">
        <v>26.28</v>
      </c>
      <c r="M1461" s="4">
        <f t="shared" si="66"/>
        <v>0</v>
      </c>
      <c r="N1461" s="4">
        <f t="shared" si="67"/>
        <v>-19</v>
      </c>
      <c r="O1461" s="4">
        <f t="shared" si="68"/>
        <v>-7.0000000000000007E-2</v>
      </c>
      <c r="P1461" s="3" t="s">
        <v>19</v>
      </c>
    </row>
    <row r="1462" spans="1:16" x14ac:dyDescent="0.35">
      <c r="A1462" s="3" t="s">
        <v>86</v>
      </c>
      <c r="B1462" s="3" t="str">
        <f>INDEX(State_Region!$B$2:$B$26,MATCH(TRIM(A1462),State_Region!$A$2:$A$26,0))</f>
        <v>North</v>
      </c>
      <c r="C1462" s="3" t="s">
        <v>87</v>
      </c>
      <c r="D1462" s="3" t="str">
        <f>INDEX(Port_Type!$B$2:$B$227,MATCH(TRIM(C1462),Port_Type!$A$2:$A$227,0))</f>
        <v>Air Cargo</v>
      </c>
      <c r="E1462" s="3" t="s">
        <v>27</v>
      </c>
      <c r="F1462" s="3" t="str">
        <f>INDEX(Product_Category!$B$2:$B$45,MATCH(TRIM(E1462),Product_Category!$A$2:$A$45,0))</f>
        <v>Cereals &amp; Grains</v>
      </c>
      <c r="G1462" s="4">
        <v>0.02</v>
      </c>
      <c r="H1462" s="4">
        <v>0.03</v>
      </c>
      <c r="I1462" s="4">
        <v>0.01</v>
      </c>
      <c r="J1462" s="4">
        <v>23.99</v>
      </c>
      <c r="K1462" s="4">
        <v>42.27</v>
      </c>
      <c r="L1462" s="4">
        <v>13.02</v>
      </c>
      <c r="M1462" s="4">
        <f t="shared" si="66"/>
        <v>9.9999999999999985E-3</v>
      </c>
      <c r="N1462" s="4">
        <f t="shared" si="67"/>
        <v>18.280000000000005</v>
      </c>
      <c r="O1462" s="4">
        <f t="shared" si="68"/>
        <v>-1.9999999999999997E-2</v>
      </c>
      <c r="P1462" s="3" t="s">
        <v>19</v>
      </c>
    </row>
    <row r="1463" spans="1:16" x14ac:dyDescent="0.35">
      <c r="A1463" s="3" t="s">
        <v>94</v>
      </c>
      <c r="B1463" s="3" t="str">
        <f>INDEX(State_Region!$B$2:$B$26,MATCH(TRIM(A1463),State_Region!$A$2:$A$26,0))</f>
        <v>East</v>
      </c>
      <c r="C1463" s="3" t="s">
        <v>184</v>
      </c>
      <c r="D1463" s="3" t="str">
        <f>INDEX(Port_Type!$B$2:$B$227,MATCH(TRIM(C1463),Port_Type!$A$2:$A$227,0))</f>
        <v>Land Border / Rail</v>
      </c>
      <c r="E1463" s="3" t="s">
        <v>45</v>
      </c>
      <c r="F1463" s="3" t="str">
        <f>INDEX(Product_Category!$B$2:$B$45,MATCH(TRIM(E1463),Product_Category!$A$2:$A$45,0))</f>
        <v>Fresh Fruits &amp; Vegetables</v>
      </c>
      <c r="G1463" s="4">
        <v>0.21</v>
      </c>
      <c r="H1463" s="4">
        <v>7.0000000000000007E-2</v>
      </c>
      <c r="I1463" s="4">
        <v>0.01</v>
      </c>
      <c r="J1463" s="4">
        <v>464.09</v>
      </c>
      <c r="K1463" s="4">
        <v>170.29</v>
      </c>
      <c r="L1463" s="4">
        <v>65.930000000000007</v>
      </c>
      <c r="M1463" s="4">
        <f t="shared" si="66"/>
        <v>-0.13999999999999999</v>
      </c>
      <c r="N1463" s="4">
        <f t="shared" si="67"/>
        <v>-293.79999999999995</v>
      </c>
      <c r="O1463" s="4">
        <f t="shared" si="68"/>
        <v>-6.0000000000000005E-2</v>
      </c>
      <c r="P1463" s="3" t="s">
        <v>19</v>
      </c>
    </row>
    <row r="1464" spans="1:16" x14ac:dyDescent="0.35">
      <c r="A1464" s="3" t="s">
        <v>79</v>
      </c>
      <c r="B1464" s="3" t="str">
        <f>INDEX(State_Region!$B$2:$B$26,MATCH(TRIM(A1464),State_Region!$A$2:$A$26,0))</f>
        <v>South</v>
      </c>
      <c r="C1464" s="3" t="s">
        <v>80</v>
      </c>
      <c r="D1464" s="3" t="str">
        <f>INDEX(Port_Type!$B$2:$B$227,MATCH(TRIM(C1464),Port_Type!$A$2:$A$227,0))</f>
        <v>Inland ICD / CFS</v>
      </c>
      <c r="E1464" s="3" t="s">
        <v>59</v>
      </c>
      <c r="F1464" s="3" t="str">
        <f>INDEX(Product_Category!$B$2:$B$45,MATCH(TRIM(E1464),Product_Category!$A$2:$A$45,0))</f>
        <v>Processed Foods</v>
      </c>
      <c r="G1464" s="4">
        <v>0.14000000000000001</v>
      </c>
      <c r="H1464" s="4">
        <v>0.09</v>
      </c>
      <c r="I1464" s="4">
        <v>0.01</v>
      </c>
      <c r="J1464" s="4">
        <v>42.59</v>
      </c>
      <c r="K1464" s="4">
        <v>7.54</v>
      </c>
      <c r="L1464" s="4">
        <v>1.39</v>
      </c>
      <c r="M1464" s="4">
        <f t="shared" si="66"/>
        <v>-5.0000000000000017E-2</v>
      </c>
      <c r="N1464" s="4">
        <f t="shared" si="67"/>
        <v>-35.050000000000004</v>
      </c>
      <c r="O1464" s="4">
        <f t="shared" si="68"/>
        <v>-0.08</v>
      </c>
      <c r="P1464" s="3" t="s">
        <v>19</v>
      </c>
    </row>
    <row r="1465" spans="1:16" x14ac:dyDescent="0.35">
      <c r="A1465" s="3" t="s">
        <v>77</v>
      </c>
      <c r="B1465" s="3" t="str">
        <f>INDEX(State_Region!$B$2:$B$26,MATCH(TRIM(A1465),State_Region!$A$2:$A$26,0))</f>
        <v>South</v>
      </c>
      <c r="C1465" s="3" t="s">
        <v>132</v>
      </c>
      <c r="D1465" s="3" t="str">
        <f>INDEX(Port_Type!$B$2:$B$227,MATCH(TRIM(C1465),Port_Type!$A$2:$A$227,0))</f>
        <v>Air Cargo</v>
      </c>
      <c r="E1465" s="3" t="s">
        <v>55</v>
      </c>
      <c r="F1465" s="3" t="str">
        <f>INDEX(Product_Category!$B$2:$B$45,MATCH(TRIM(E1465),Product_Category!$A$2:$A$45,0))</f>
        <v>Fresh Fruits &amp; Vegetables</v>
      </c>
      <c r="G1465" s="4">
        <v>0.04</v>
      </c>
      <c r="H1465" s="4">
        <v>0</v>
      </c>
      <c r="I1465" s="4">
        <v>0.01</v>
      </c>
      <c r="J1465" s="4">
        <v>26.68</v>
      </c>
      <c r="K1465" s="4">
        <v>2.2000000000000002</v>
      </c>
      <c r="L1465" s="4">
        <v>18.41</v>
      </c>
      <c r="M1465" s="4">
        <f t="shared" si="66"/>
        <v>-0.04</v>
      </c>
      <c r="N1465" s="4">
        <f t="shared" si="67"/>
        <v>-24.48</v>
      </c>
      <c r="O1465" s="4">
        <f t="shared" si="68"/>
        <v>0.01</v>
      </c>
      <c r="P1465" s="3" t="s">
        <v>19</v>
      </c>
    </row>
    <row r="1466" spans="1:16" x14ac:dyDescent="0.35">
      <c r="A1466" s="3" t="s">
        <v>94</v>
      </c>
      <c r="B1466" s="3" t="str">
        <f>INDEX(State_Region!$B$2:$B$26,MATCH(TRIM(A1466),State_Region!$A$2:$A$26,0))</f>
        <v>East</v>
      </c>
      <c r="C1466" s="3" t="s">
        <v>188</v>
      </c>
      <c r="D1466" s="3" t="str">
        <f>INDEX(Port_Type!$B$2:$B$227,MATCH(TRIM(C1466),Port_Type!$A$2:$A$227,0))</f>
        <v>Land Border / Rail</v>
      </c>
      <c r="E1466" s="3" t="s">
        <v>48</v>
      </c>
      <c r="F1466" s="3" t="str">
        <f>INDEX(Product_Category!$B$2:$B$45,MATCH(TRIM(E1466),Product_Category!$A$2:$A$45,0))</f>
        <v>Processed Foods</v>
      </c>
      <c r="G1466" s="4">
        <v>0.11</v>
      </c>
      <c r="H1466" s="4">
        <v>0.04</v>
      </c>
      <c r="I1466" s="4">
        <v>0.01</v>
      </c>
      <c r="J1466" s="4">
        <v>112.28</v>
      </c>
      <c r="K1466" s="4">
        <v>47.97</v>
      </c>
      <c r="L1466" s="4">
        <v>15.46</v>
      </c>
      <c r="M1466" s="4">
        <f t="shared" si="66"/>
        <v>-7.0000000000000007E-2</v>
      </c>
      <c r="N1466" s="4">
        <f t="shared" si="67"/>
        <v>-64.31</v>
      </c>
      <c r="O1466" s="4">
        <f t="shared" si="68"/>
        <v>-0.03</v>
      </c>
      <c r="P1466" s="3" t="s">
        <v>19</v>
      </c>
    </row>
    <row r="1467" spans="1:16" x14ac:dyDescent="0.35">
      <c r="A1467" s="3" t="s">
        <v>16</v>
      </c>
      <c r="B1467" s="3" t="str">
        <f>INDEX(State_Region!$B$2:$B$26,MATCH(TRIM(A1467),State_Region!$A$2:$A$26,0))</f>
        <v>West</v>
      </c>
      <c r="C1467" s="3" t="s">
        <v>52</v>
      </c>
      <c r="D1467" s="3" t="str">
        <f>INDEX(Port_Type!$B$2:$B$227,MATCH(TRIM(C1467),Port_Type!$A$2:$A$227,0))</f>
        <v>Sea Port</v>
      </c>
      <c r="E1467" s="3" t="s">
        <v>72</v>
      </c>
      <c r="F1467" s="3" t="str">
        <f>INDEX(Product_Category!$B$2:$B$45,MATCH(TRIM(E1467),Product_Category!$A$2:$A$45,0))</f>
        <v>Dairy, Poultry &amp; Honey</v>
      </c>
      <c r="G1467" s="4">
        <v>0.01</v>
      </c>
      <c r="H1467" s="4">
        <v>0.08</v>
      </c>
      <c r="I1467" s="4">
        <v>0.01</v>
      </c>
      <c r="J1467" s="4">
        <v>1.21</v>
      </c>
      <c r="K1467" s="4">
        <v>19.399999999999999</v>
      </c>
      <c r="L1467" s="4">
        <v>2.4</v>
      </c>
      <c r="M1467" s="4">
        <f t="shared" si="66"/>
        <v>7.0000000000000007E-2</v>
      </c>
      <c r="N1467" s="4">
        <f t="shared" si="67"/>
        <v>18.189999999999998</v>
      </c>
      <c r="O1467" s="4">
        <f t="shared" si="68"/>
        <v>-7.0000000000000007E-2</v>
      </c>
      <c r="P1467" s="3" t="s">
        <v>19</v>
      </c>
    </row>
    <row r="1468" spans="1:16" x14ac:dyDescent="0.35">
      <c r="A1468" s="3" t="s">
        <v>23</v>
      </c>
      <c r="B1468" s="3" t="str">
        <f>INDEX(State_Region!$B$2:$B$26,MATCH(TRIM(A1468),State_Region!$A$2:$A$26,0))</f>
        <v>North</v>
      </c>
      <c r="C1468" s="3" t="s">
        <v>136</v>
      </c>
      <c r="D1468" s="3" t="str">
        <f>INDEX(Port_Type!$B$2:$B$227,MATCH(TRIM(C1468),Port_Type!$A$2:$A$227,0))</f>
        <v>Inland ICD / CFS</v>
      </c>
      <c r="E1468" s="3" t="s">
        <v>65</v>
      </c>
      <c r="F1468" s="3" t="str">
        <f>INDEX(Product_Category!$B$2:$B$45,MATCH(TRIM(E1468),Product_Category!$A$2:$A$45,0))</f>
        <v>Cereals &amp; Grains</v>
      </c>
      <c r="G1468" s="4">
        <v>0.03</v>
      </c>
      <c r="H1468" s="4">
        <v>0.06</v>
      </c>
      <c r="I1468" s="4">
        <v>0.01</v>
      </c>
      <c r="J1468" s="4">
        <v>19.39</v>
      </c>
      <c r="K1468" s="4">
        <v>36.590000000000003</v>
      </c>
      <c r="L1468" s="4">
        <v>9.81</v>
      </c>
      <c r="M1468" s="4">
        <f t="shared" si="66"/>
        <v>0.03</v>
      </c>
      <c r="N1468" s="4">
        <f t="shared" si="67"/>
        <v>17.200000000000003</v>
      </c>
      <c r="O1468" s="4">
        <f t="shared" si="68"/>
        <v>-4.9999999999999996E-2</v>
      </c>
      <c r="P1468" s="3" t="s">
        <v>19</v>
      </c>
    </row>
    <row r="1469" spans="1:16" x14ac:dyDescent="0.35">
      <c r="A1469" s="3" t="s">
        <v>23</v>
      </c>
      <c r="B1469" s="3" t="str">
        <f>INDEX(State_Region!$B$2:$B$26,MATCH(TRIM(A1469),State_Region!$A$2:$A$26,0))</f>
        <v>North</v>
      </c>
      <c r="C1469" s="3" t="s">
        <v>44</v>
      </c>
      <c r="D1469" s="3" t="str">
        <f>INDEX(Port_Type!$B$2:$B$227,MATCH(TRIM(C1469),Port_Type!$A$2:$A$227,0))</f>
        <v>Inland ICD / CFS</v>
      </c>
      <c r="E1469" s="3" t="s">
        <v>151</v>
      </c>
      <c r="F1469" s="3" t="str">
        <f>INDEX(Product_Category!$B$2:$B$45,MATCH(TRIM(E1469),Product_Category!$A$2:$A$45,0))</f>
        <v>Processed Foods</v>
      </c>
      <c r="G1469" s="4">
        <v>0.01</v>
      </c>
      <c r="H1469" s="4">
        <v>0</v>
      </c>
      <c r="I1469" s="4">
        <v>0.01</v>
      </c>
      <c r="J1469" s="4">
        <v>4.33</v>
      </c>
      <c r="K1469" s="4">
        <v>1.71</v>
      </c>
      <c r="L1469" s="4">
        <v>6.38</v>
      </c>
      <c r="M1469" s="4">
        <f t="shared" si="66"/>
        <v>-0.01</v>
      </c>
      <c r="N1469" s="4">
        <f t="shared" si="67"/>
        <v>-2.62</v>
      </c>
      <c r="O1469" s="4">
        <f t="shared" si="68"/>
        <v>0.01</v>
      </c>
      <c r="P1469" s="3" t="s">
        <v>19</v>
      </c>
    </row>
    <row r="1470" spans="1:16" x14ac:dyDescent="0.35">
      <c r="A1470" s="3" t="s">
        <v>35</v>
      </c>
      <c r="B1470" s="3" t="str">
        <f>INDEX(State_Region!$B$2:$B$26,MATCH(TRIM(A1470),State_Region!$A$2:$A$26,0))</f>
        <v>North</v>
      </c>
      <c r="C1470" s="3" t="s">
        <v>36</v>
      </c>
      <c r="D1470" s="3" t="str">
        <f>INDEX(Port_Type!$B$2:$B$227,MATCH(TRIM(C1470),Port_Type!$A$2:$A$227,0))</f>
        <v>Inland ICD / CFS</v>
      </c>
      <c r="E1470" s="3" t="s">
        <v>33</v>
      </c>
      <c r="F1470" s="3" t="str">
        <f>INDEX(Product_Category!$B$2:$B$45,MATCH(TRIM(E1470),Product_Category!$A$2:$A$45,0))</f>
        <v>Pulses</v>
      </c>
      <c r="G1470" s="4">
        <v>0.74</v>
      </c>
      <c r="H1470" s="4">
        <v>0.2</v>
      </c>
      <c r="I1470" s="4">
        <v>0.01</v>
      </c>
      <c r="J1470" s="4">
        <v>632.45000000000005</v>
      </c>
      <c r="K1470" s="4">
        <v>148.32</v>
      </c>
      <c r="L1470" s="4">
        <v>12.04</v>
      </c>
      <c r="M1470" s="4">
        <f t="shared" si="66"/>
        <v>-0.54</v>
      </c>
      <c r="N1470" s="4">
        <f t="shared" si="67"/>
        <v>-484.13000000000005</v>
      </c>
      <c r="O1470" s="4">
        <f t="shared" si="68"/>
        <v>-0.19</v>
      </c>
      <c r="P1470" s="3" t="s">
        <v>19</v>
      </c>
    </row>
    <row r="1471" spans="1:16" x14ac:dyDescent="0.35">
      <c r="A1471" s="3" t="s">
        <v>57</v>
      </c>
      <c r="B1471" s="3" t="str">
        <f>INDEX(State_Region!$B$2:$B$26,MATCH(TRIM(A1471),State_Region!$A$2:$A$26,0))</f>
        <v>Central</v>
      </c>
      <c r="C1471" s="3" t="s">
        <v>225</v>
      </c>
      <c r="D1471" s="3" t="str">
        <f>INDEX(Port_Type!$B$2:$B$227,MATCH(TRIM(C1471),Port_Type!$A$2:$A$227,0))</f>
        <v>SEZ / EPZ</v>
      </c>
      <c r="E1471" s="3" t="s">
        <v>53</v>
      </c>
      <c r="F1471" s="3" t="str">
        <f>INDEX(Product_Category!$B$2:$B$45,MATCH(TRIM(E1471),Product_Category!$A$2:$A$45,0))</f>
        <v>Processed Foods</v>
      </c>
      <c r="G1471" s="4">
        <v>0.09</v>
      </c>
      <c r="H1471" s="4">
        <v>0.03</v>
      </c>
      <c r="I1471" s="4">
        <v>0.01</v>
      </c>
      <c r="J1471" s="4">
        <v>1.35</v>
      </c>
      <c r="K1471" s="4">
        <v>1.66</v>
      </c>
      <c r="L1471" s="4">
        <v>2.35</v>
      </c>
      <c r="M1471" s="4">
        <f t="shared" si="66"/>
        <v>-0.06</v>
      </c>
      <c r="N1471" s="4">
        <f t="shared" si="67"/>
        <v>0.30999999999999983</v>
      </c>
      <c r="O1471" s="4">
        <f t="shared" si="68"/>
        <v>-1.9999999999999997E-2</v>
      </c>
      <c r="P1471" s="3" t="s">
        <v>19</v>
      </c>
    </row>
    <row r="1472" spans="1:16" x14ac:dyDescent="0.35">
      <c r="A1472" s="3" t="s">
        <v>166</v>
      </c>
      <c r="B1472" s="3" t="str">
        <f>INDEX(State_Region!$B$2:$B$26,MATCH(TRIM(A1472),State_Region!$A$2:$A$26,0))</f>
        <v>West</v>
      </c>
      <c r="C1472" s="3" t="s">
        <v>248</v>
      </c>
      <c r="D1472" s="3" t="str">
        <f>INDEX(Port_Type!$B$2:$B$227,MATCH(TRIM(C1472),Port_Type!$A$2:$A$227,0))</f>
        <v>Air Cargo</v>
      </c>
      <c r="E1472" s="3" t="s">
        <v>45</v>
      </c>
      <c r="F1472" s="3" t="str">
        <f>INDEX(Product_Category!$B$2:$B$45,MATCH(TRIM(E1472),Product_Category!$A$2:$A$45,0))</f>
        <v>Fresh Fruits &amp; Vegetables</v>
      </c>
      <c r="G1472" s="4">
        <v>0.11</v>
      </c>
      <c r="H1472" s="4">
        <v>0.23</v>
      </c>
      <c r="I1472" s="4">
        <v>0.01</v>
      </c>
      <c r="J1472" s="4">
        <v>58.52</v>
      </c>
      <c r="K1472" s="4">
        <v>112.16</v>
      </c>
      <c r="L1472" s="4">
        <v>6.89</v>
      </c>
      <c r="M1472" s="4">
        <f t="shared" si="66"/>
        <v>0.12000000000000001</v>
      </c>
      <c r="N1472" s="4">
        <f t="shared" si="67"/>
        <v>53.639999999999993</v>
      </c>
      <c r="O1472" s="4">
        <f t="shared" si="68"/>
        <v>-0.22</v>
      </c>
      <c r="P1472" s="3" t="s">
        <v>19</v>
      </c>
    </row>
    <row r="1473" spans="1:16" x14ac:dyDescent="0.35">
      <c r="A1473" s="3" t="s">
        <v>94</v>
      </c>
      <c r="B1473" s="3" t="str">
        <f>INDEX(State_Region!$B$2:$B$26,MATCH(TRIM(A1473),State_Region!$A$2:$A$26,0))</f>
        <v>East</v>
      </c>
      <c r="C1473" s="3" t="s">
        <v>95</v>
      </c>
      <c r="D1473" s="3" t="str">
        <f>INDEX(Port_Type!$B$2:$B$227,MATCH(TRIM(C1473),Port_Type!$A$2:$A$227,0))</f>
        <v>Land Border / Rail</v>
      </c>
      <c r="E1473" s="3" t="s">
        <v>170</v>
      </c>
      <c r="F1473" s="3" t="str">
        <f>INDEX(Product_Category!$B$2:$B$45,MATCH(TRIM(E1473),Product_Category!$A$2:$A$45,0))</f>
        <v>Others</v>
      </c>
      <c r="G1473" s="4">
        <v>0.02</v>
      </c>
      <c r="H1473" s="4">
        <v>0.05</v>
      </c>
      <c r="I1473" s="4">
        <v>0.01</v>
      </c>
      <c r="J1473" s="4">
        <v>36.69</v>
      </c>
      <c r="K1473" s="4">
        <v>94.42</v>
      </c>
      <c r="L1473" s="4">
        <v>31.76</v>
      </c>
      <c r="M1473" s="4">
        <f t="shared" si="66"/>
        <v>3.0000000000000002E-2</v>
      </c>
      <c r="N1473" s="4">
        <f t="shared" si="67"/>
        <v>57.730000000000004</v>
      </c>
      <c r="O1473" s="4">
        <f t="shared" si="68"/>
        <v>-0.04</v>
      </c>
      <c r="P1473" s="3" t="s">
        <v>19</v>
      </c>
    </row>
    <row r="1474" spans="1:16" x14ac:dyDescent="0.35">
      <c r="A1474" s="3" t="s">
        <v>40</v>
      </c>
      <c r="B1474" s="3" t="str">
        <f>INDEX(State_Region!$B$2:$B$26,MATCH(TRIM(A1474),State_Region!$A$2:$A$26,0))</f>
        <v>South</v>
      </c>
      <c r="C1474" s="3" t="s">
        <v>241</v>
      </c>
      <c r="D1474" s="3" t="str">
        <f>INDEX(Port_Type!$B$2:$B$227,MATCH(TRIM(C1474),Port_Type!$A$2:$A$227,0))</f>
        <v>Air Cargo</v>
      </c>
      <c r="E1474" s="3" t="s">
        <v>54</v>
      </c>
      <c r="F1474" s="3" t="str">
        <f>INDEX(Product_Category!$B$2:$B$45,MATCH(TRIM(E1474),Product_Category!$A$2:$A$45,0))</f>
        <v>Processed Foods</v>
      </c>
      <c r="G1474" s="4">
        <v>0.01</v>
      </c>
      <c r="H1474" s="4">
        <v>0.05</v>
      </c>
      <c r="I1474" s="4">
        <v>0.01</v>
      </c>
      <c r="J1474" s="4">
        <v>4.1500000000000004</v>
      </c>
      <c r="K1474" s="4">
        <v>43.45</v>
      </c>
      <c r="L1474" s="4">
        <v>17.77</v>
      </c>
      <c r="M1474" s="4">
        <f t="shared" ref="M1474:M1537" si="69">H1474-G1474</f>
        <v>0.04</v>
      </c>
      <c r="N1474" s="4">
        <f t="shared" ref="N1474:N1537" si="70">K1474-J1474</f>
        <v>39.300000000000004</v>
      </c>
      <c r="O1474" s="4">
        <f t="shared" ref="O1474:O1537" si="71">I1474-H1474</f>
        <v>-0.04</v>
      </c>
      <c r="P1474" s="3" t="s">
        <v>19</v>
      </c>
    </row>
    <row r="1475" spans="1:16" x14ac:dyDescent="0.35">
      <c r="A1475" s="3" t="s">
        <v>31</v>
      </c>
      <c r="B1475" s="3" t="str">
        <f>INDEX(State_Region!$B$2:$B$26,MATCH(TRIM(A1475),State_Region!$A$2:$A$26,0))</f>
        <v>East</v>
      </c>
      <c r="C1475" s="3" t="s">
        <v>131</v>
      </c>
      <c r="D1475" s="3" t="str">
        <f>INDEX(Port_Type!$B$2:$B$227,MATCH(TRIM(C1475),Port_Type!$A$2:$A$227,0))</f>
        <v>Land Border / Rail</v>
      </c>
      <c r="E1475" s="3" t="s">
        <v>126</v>
      </c>
      <c r="F1475" s="3" t="str">
        <f>INDEX(Product_Category!$B$2:$B$45,MATCH(TRIM(E1475),Product_Category!$A$2:$A$45,0))</f>
        <v>Cereals &amp; Grains</v>
      </c>
      <c r="G1475" s="4">
        <v>0.01</v>
      </c>
      <c r="H1475" s="4">
        <v>0.03</v>
      </c>
      <c r="I1475" s="4">
        <v>0.01</v>
      </c>
      <c r="J1475" s="4">
        <v>21.42</v>
      </c>
      <c r="K1475" s="4">
        <v>35.119999999999997</v>
      </c>
      <c r="L1475" s="4">
        <v>16.77</v>
      </c>
      <c r="M1475" s="4">
        <f t="shared" si="69"/>
        <v>1.9999999999999997E-2</v>
      </c>
      <c r="N1475" s="4">
        <f t="shared" si="70"/>
        <v>13.699999999999996</v>
      </c>
      <c r="O1475" s="4">
        <f t="shared" si="71"/>
        <v>-1.9999999999999997E-2</v>
      </c>
      <c r="P1475" s="3" t="s">
        <v>19</v>
      </c>
    </row>
    <row r="1476" spans="1:16" x14ac:dyDescent="0.35">
      <c r="A1476" s="3" t="s">
        <v>16</v>
      </c>
      <c r="B1476" s="3" t="str">
        <f>INDEX(State_Region!$B$2:$B$26,MATCH(TRIM(A1476),State_Region!$A$2:$A$26,0))</f>
        <v>West</v>
      </c>
      <c r="C1476" s="3" t="s">
        <v>109</v>
      </c>
      <c r="D1476" s="3" t="str">
        <f>INDEX(Port_Type!$B$2:$B$227,MATCH(TRIM(C1476),Port_Type!$A$2:$A$227,0))</f>
        <v>SEZ / EPZ</v>
      </c>
      <c r="E1476" s="3" t="s">
        <v>170</v>
      </c>
      <c r="F1476" s="3" t="str">
        <f>INDEX(Product_Category!$B$2:$B$45,MATCH(TRIM(E1476),Product_Category!$A$2:$A$45,0))</f>
        <v>Others</v>
      </c>
      <c r="G1476" s="4">
        <v>0.01</v>
      </c>
      <c r="H1476" s="4">
        <v>0.05</v>
      </c>
      <c r="I1476" s="4">
        <v>0.01</v>
      </c>
      <c r="J1476" s="4">
        <v>1.04</v>
      </c>
      <c r="K1476" s="4">
        <v>8.34</v>
      </c>
      <c r="L1476" s="4">
        <v>1.8</v>
      </c>
      <c r="M1476" s="4">
        <f t="shared" si="69"/>
        <v>0.04</v>
      </c>
      <c r="N1476" s="4">
        <f t="shared" si="70"/>
        <v>7.3</v>
      </c>
      <c r="O1476" s="4">
        <f t="shared" si="71"/>
        <v>-0.04</v>
      </c>
      <c r="P1476" s="3" t="s">
        <v>19</v>
      </c>
    </row>
    <row r="1477" spans="1:16" x14ac:dyDescent="0.35">
      <c r="A1477" s="3" t="s">
        <v>77</v>
      </c>
      <c r="B1477" s="3" t="str">
        <f>INDEX(State_Region!$B$2:$B$26,MATCH(TRIM(A1477),State_Region!$A$2:$A$26,0))</f>
        <v>South</v>
      </c>
      <c r="C1477" s="3" t="s">
        <v>168</v>
      </c>
      <c r="D1477" s="3" t="str">
        <f>INDEX(Port_Type!$B$2:$B$227,MATCH(TRIM(C1477),Port_Type!$A$2:$A$227,0))</f>
        <v>Air Cargo</v>
      </c>
      <c r="E1477" s="3" t="s">
        <v>39</v>
      </c>
      <c r="F1477" s="3" t="str">
        <f>INDEX(Product_Category!$B$2:$B$45,MATCH(TRIM(E1477),Product_Category!$A$2:$A$45,0))</f>
        <v>Processed Foods</v>
      </c>
      <c r="G1477" s="4">
        <v>0.01</v>
      </c>
      <c r="H1477" s="4">
        <v>0.02</v>
      </c>
      <c r="I1477" s="4">
        <v>0.01</v>
      </c>
      <c r="J1477" s="4">
        <v>2.5299999999999998</v>
      </c>
      <c r="K1477" s="4">
        <v>6.31</v>
      </c>
      <c r="L1477" s="4">
        <v>2.98</v>
      </c>
      <c r="M1477" s="4">
        <f t="shared" si="69"/>
        <v>0.01</v>
      </c>
      <c r="N1477" s="4">
        <f t="shared" si="70"/>
        <v>3.78</v>
      </c>
      <c r="O1477" s="4">
        <f t="shared" si="71"/>
        <v>-0.01</v>
      </c>
      <c r="P1477" s="3" t="s">
        <v>19</v>
      </c>
    </row>
    <row r="1478" spans="1:16" x14ac:dyDescent="0.35">
      <c r="A1478" s="3" t="s">
        <v>23</v>
      </c>
      <c r="B1478" s="3" t="str">
        <f>INDEX(State_Region!$B$2:$B$26,MATCH(TRIM(A1478),State_Region!$A$2:$A$26,0))</f>
        <v>North</v>
      </c>
      <c r="C1478" s="3" t="s">
        <v>30</v>
      </c>
      <c r="D1478" s="3" t="str">
        <f>INDEX(Port_Type!$B$2:$B$227,MATCH(TRIM(C1478),Port_Type!$A$2:$A$227,0))</f>
        <v>Inland ICD / CFS</v>
      </c>
      <c r="E1478" s="3" t="s">
        <v>51</v>
      </c>
      <c r="F1478" s="3" t="str">
        <f>INDEX(Product_Category!$B$2:$B$45,MATCH(TRIM(E1478),Product_Category!$A$2:$A$45,0))</f>
        <v>Nuts &amp; Oilseeds</v>
      </c>
      <c r="G1478" s="4">
        <v>0.03</v>
      </c>
      <c r="H1478" s="4">
        <v>0.02</v>
      </c>
      <c r="I1478" s="4">
        <v>0.01</v>
      </c>
      <c r="J1478" s="4">
        <v>12.5</v>
      </c>
      <c r="K1478" s="4">
        <v>6.61</v>
      </c>
      <c r="L1478" s="4">
        <v>4.72</v>
      </c>
      <c r="M1478" s="4">
        <f t="shared" si="69"/>
        <v>-9.9999999999999985E-3</v>
      </c>
      <c r="N1478" s="4">
        <f t="shared" si="70"/>
        <v>-5.89</v>
      </c>
      <c r="O1478" s="4">
        <f t="shared" si="71"/>
        <v>-0.01</v>
      </c>
      <c r="P1478" s="3" t="s">
        <v>19</v>
      </c>
    </row>
    <row r="1479" spans="1:16" x14ac:dyDescent="0.35">
      <c r="A1479" s="3" t="s">
        <v>16</v>
      </c>
      <c r="B1479" s="3" t="str">
        <f>INDEX(State_Region!$B$2:$B$26,MATCH(TRIM(A1479),State_Region!$A$2:$A$26,0))</f>
        <v>West</v>
      </c>
      <c r="C1479" s="3" t="s">
        <v>52</v>
      </c>
      <c r="D1479" s="3" t="str">
        <f>INDEX(Port_Type!$B$2:$B$227,MATCH(TRIM(C1479),Port_Type!$A$2:$A$227,0))</f>
        <v>Sea Port</v>
      </c>
      <c r="E1479" s="3" t="s">
        <v>55</v>
      </c>
      <c r="F1479" s="3" t="str">
        <f>INDEX(Product_Category!$B$2:$B$45,MATCH(TRIM(E1479),Product_Category!$A$2:$A$45,0))</f>
        <v>Fresh Fruits &amp; Vegetables</v>
      </c>
      <c r="G1479" s="4">
        <v>0.44</v>
      </c>
      <c r="H1479" s="4">
        <v>0.2</v>
      </c>
      <c r="I1479" s="4">
        <v>0.01</v>
      </c>
      <c r="J1479" s="4">
        <v>1408.58</v>
      </c>
      <c r="K1479" s="4">
        <v>581.95000000000005</v>
      </c>
      <c r="L1479" s="4">
        <v>58.5</v>
      </c>
      <c r="M1479" s="4">
        <f t="shared" si="69"/>
        <v>-0.24</v>
      </c>
      <c r="N1479" s="4">
        <f t="shared" si="70"/>
        <v>-826.62999999999988</v>
      </c>
      <c r="O1479" s="4">
        <f t="shared" si="71"/>
        <v>-0.19</v>
      </c>
      <c r="P1479" s="3" t="s">
        <v>19</v>
      </c>
    </row>
    <row r="1480" spans="1:16" x14ac:dyDescent="0.35">
      <c r="A1480" s="3" t="s">
        <v>79</v>
      </c>
      <c r="B1480" s="3" t="str">
        <f>INDEX(State_Region!$B$2:$B$26,MATCH(TRIM(A1480),State_Region!$A$2:$A$26,0))</f>
        <v>South</v>
      </c>
      <c r="C1480" s="3" t="s">
        <v>80</v>
      </c>
      <c r="D1480" s="3" t="str">
        <f>INDEX(Port_Type!$B$2:$B$227,MATCH(TRIM(C1480),Port_Type!$A$2:$A$227,0))</f>
        <v>Inland ICD / CFS</v>
      </c>
      <c r="E1480" s="3" t="s">
        <v>150</v>
      </c>
      <c r="F1480" s="3" t="str">
        <f>INDEX(Product_Category!$B$2:$B$45,MATCH(TRIM(E1480),Product_Category!$A$2:$A$45,0))</f>
        <v>Nuts &amp; Oilseeds</v>
      </c>
      <c r="G1480" s="4">
        <v>0</v>
      </c>
      <c r="H1480" s="4">
        <v>0.01</v>
      </c>
      <c r="I1480" s="4">
        <v>0.01</v>
      </c>
      <c r="J1480" s="4">
        <v>0</v>
      </c>
      <c r="K1480" s="4">
        <v>1.94</v>
      </c>
      <c r="L1480" s="4">
        <v>1.53</v>
      </c>
      <c r="M1480" s="4">
        <f t="shared" si="69"/>
        <v>0.01</v>
      </c>
      <c r="N1480" s="4">
        <f t="shared" si="70"/>
        <v>1.94</v>
      </c>
      <c r="O1480" s="4">
        <f t="shared" si="71"/>
        <v>0</v>
      </c>
      <c r="P1480" s="3" t="s">
        <v>19</v>
      </c>
    </row>
    <row r="1481" spans="1:16" x14ac:dyDescent="0.35">
      <c r="A1481" s="3" t="s">
        <v>16</v>
      </c>
      <c r="B1481" s="3" t="str">
        <f>INDEX(State_Region!$B$2:$B$26,MATCH(TRIM(A1481),State_Region!$A$2:$A$26,0))</f>
        <v>West</v>
      </c>
      <c r="C1481" s="3" t="s">
        <v>115</v>
      </c>
      <c r="D1481" s="3" t="str">
        <f>INDEX(Port_Type!$B$2:$B$227,MATCH(TRIM(C1481),Port_Type!$A$2:$A$227,0))</f>
        <v>Inland ICD / CFS</v>
      </c>
      <c r="E1481" s="3" t="s">
        <v>181</v>
      </c>
      <c r="F1481" s="3" t="str">
        <f>INDEX(Product_Category!$B$2:$B$45,MATCH(TRIM(E1481),Product_Category!$A$2:$A$45,0))</f>
        <v>Nuts &amp; Oilseeds</v>
      </c>
      <c r="G1481" s="4">
        <v>0</v>
      </c>
      <c r="H1481" s="4">
        <v>0.01</v>
      </c>
      <c r="I1481" s="4">
        <v>0.01</v>
      </c>
      <c r="J1481" s="4">
        <v>0</v>
      </c>
      <c r="K1481" s="4">
        <v>0.56000000000000005</v>
      </c>
      <c r="L1481" s="4">
        <v>1.02</v>
      </c>
      <c r="M1481" s="4">
        <f t="shared" si="69"/>
        <v>0.01</v>
      </c>
      <c r="N1481" s="4">
        <f t="shared" si="70"/>
        <v>0.56000000000000005</v>
      </c>
      <c r="O1481" s="4">
        <f t="shared" si="71"/>
        <v>0</v>
      </c>
      <c r="P1481" s="3" t="s">
        <v>19</v>
      </c>
    </row>
    <row r="1482" spans="1:16" x14ac:dyDescent="0.35">
      <c r="A1482" s="3" t="s">
        <v>20</v>
      </c>
      <c r="B1482" s="3" t="str">
        <f>INDEX(State_Region!$B$2:$B$26,MATCH(TRIM(A1482),State_Region!$A$2:$A$26,0))</f>
        <v>West</v>
      </c>
      <c r="C1482" s="3" t="s">
        <v>68</v>
      </c>
      <c r="D1482" s="3" t="str">
        <f>INDEX(Port_Type!$B$2:$B$227,MATCH(TRIM(C1482),Port_Type!$A$2:$A$227,0))</f>
        <v>Air Cargo</v>
      </c>
      <c r="E1482" s="3" t="s">
        <v>150</v>
      </c>
      <c r="F1482" s="3" t="str">
        <f>INDEX(Product_Category!$B$2:$B$45,MATCH(TRIM(E1482),Product_Category!$A$2:$A$45,0))</f>
        <v>Nuts &amp; Oilseeds</v>
      </c>
      <c r="G1482" s="4">
        <v>0.21</v>
      </c>
      <c r="H1482" s="4">
        <v>0.1</v>
      </c>
      <c r="I1482" s="4">
        <v>0.01</v>
      </c>
      <c r="J1482" s="4">
        <v>8.39</v>
      </c>
      <c r="K1482" s="4">
        <v>5.79</v>
      </c>
      <c r="L1482" s="4">
        <v>0.61</v>
      </c>
      <c r="M1482" s="4">
        <f t="shared" si="69"/>
        <v>-0.10999999999999999</v>
      </c>
      <c r="N1482" s="4">
        <f t="shared" si="70"/>
        <v>-2.6000000000000005</v>
      </c>
      <c r="O1482" s="4">
        <f t="shared" si="71"/>
        <v>-9.0000000000000011E-2</v>
      </c>
      <c r="P1482" s="3" t="s">
        <v>19</v>
      </c>
    </row>
    <row r="1483" spans="1:16" x14ac:dyDescent="0.35">
      <c r="A1483" s="3" t="s">
        <v>20</v>
      </c>
      <c r="B1483" s="3" t="str">
        <f>INDEX(State_Region!$B$2:$B$26,MATCH(TRIM(A1483),State_Region!$A$2:$A$26,0))</f>
        <v>West</v>
      </c>
      <c r="C1483" s="3" t="s">
        <v>145</v>
      </c>
      <c r="D1483" s="3" t="str">
        <f>INDEX(Port_Type!$B$2:$B$227,MATCH(TRIM(C1483),Port_Type!$A$2:$A$227,0))</f>
        <v>Inland ICD / CFS</v>
      </c>
      <c r="E1483" s="3" t="s">
        <v>18</v>
      </c>
      <c r="F1483" s="3" t="str">
        <f>INDEX(Product_Category!$B$2:$B$45,MATCH(TRIM(E1483),Product_Category!$A$2:$A$45,0))</f>
        <v>Cereals &amp; Grains</v>
      </c>
      <c r="G1483" s="4">
        <v>0</v>
      </c>
      <c r="H1483" s="4">
        <v>0</v>
      </c>
      <c r="I1483" s="4">
        <v>0.01</v>
      </c>
      <c r="J1483" s="4">
        <v>0</v>
      </c>
      <c r="K1483" s="4">
        <v>0</v>
      </c>
      <c r="L1483" s="4">
        <v>9.25</v>
      </c>
      <c r="M1483" s="4">
        <f t="shared" si="69"/>
        <v>0</v>
      </c>
      <c r="N1483" s="4">
        <f t="shared" si="70"/>
        <v>0</v>
      </c>
      <c r="O1483" s="4">
        <f t="shared" si="71"/>
        <v>0.01</v>
      </c>
      <c r="P1483" s="3" t="s">
        <v>19</v>
      </c>
    </row>
    <row r="1484" spans="1:16" x14ac:dyDescent="0.35">
      <c r="A1484" s="3" t="s">
        <v>20</v>
      </c>
      <c r="B1484" s="3" t="str">
        <f>INDEX(State_Region!$B$2:$B$26,MATCH(TRIM(A1484),State_Region!$A$2:$A$26,0))</f>
        <v>West</v>
      </c>
      <c r="C1484" s="3" t="s">
        <v>68</v>
      </c>
      <c r="D1484" s="3" t="str">
        <f>INDEX(Port_Type!$B$2:$B$227,MATCH(TRIM(C1484),Port_Type!$A$2:$A$227,0))</f>
        <v>Air Cargo</v>
      </c>
      <c r="E1484" s="3" t="s">
        <v>174</v>
      </c>
      <c r="F1484" s="3" t="str">
        <f>INDEX(Product_Category!$B$2:$B$45,MATCH(TRIM(E1484),Product_Category!$A$2:$A$45,0))</f>
        <v>Dairy, Poultry &amp; Honey</v>
      </c>
      <c r="G1484" s="4">
        <v>0.08</v>
      </c>
      <c r="H1484" s="4">
        <v>0.06</v>
      </c>
      <c r="I1484" s="4">
        <v>0.01</v>
      </c>
      <c r="J1484" s="4">
        <v>1.83</v>
      </c>
      <c r="K1484" s="4">
        <v>3</v>
      </c>
      <c r="L1484" s="4">
        <v>0.71</v>
      </c>
      <c r="M1484" s="4">
        <f t="shared" si="69"/>
        <v>-2.0000000000000004E-2</v>
      </c>
      <c r="N1484" s="4">
        <f t="shared" si="70"/>
        <v>1.17</v>
      </c>
      <c r="O1484" s="4">
        <f t="shared" si="71"/>
        <v>-4.9999999999999996E-2</v>
      </c>
      <c r="P1484" s="3" t="s">
        <v>19</v>
      </c>
    </row>
    <row r="1485" spans="1:16" x14ac:dyDescent="0.35">
      <c r="A1485" s="3" t="s">
        <v>35</v>
      </c>
      <c r="B1485" s="3" t="str">
        <f>INDEX(State_Region!$B$2:$B$26,MATCH(TRIM(A1485),State_Region!$A$2:$A$26,0))</f>
        <v>North</v>
      </c>
      <c r="C1485" s="3" t="s">
        <v>165</v>
      </c>
      <c r="D1485" s="3" t="str">
        <f>INDEX(Port_Type!$B$2:$B$227,MATCH(TRIM(C1485),Port_Type!$A$2:$A$227,0))</f>
        <v>Inland ICD / CFS</v>
      </c>
      <c r="E1485" s="3" t="s">
        <v>144</v>
      </c>
      <c r="F1485" s="3" t="str">
        <f>INDEX(Product_Category!$B$2:$B$45,MATCH(TRIM(E1485),Product_Category!$A$2:$A$45,0))</f>
        <v>Cereals &amp; Grains</v>
      </c>
      <c r="G1485" s="4">
        <v>0.01</v>
      </c>
      <c r="H1485" s="4">
        <v>0.01</v>
      </c>
      <c r="I1485" s="4">
        <v>0.01</v>
      </c>
      <c r="J1485" s="4">
        <v>20.64</v>
      </c>
      <c r="K1485" s="4">
        <v>5.57</v>
      </c>
      <c r="L1485" s="4">
        <v>13.52</v>
      </c>
      <c r="M1485" s="4">
        <f t="shared" si="69"/>
        <v>0</v>
      </c>
      <c r="N1485" s="4">
        <f t="shared" si="70"/>
        <v>-15.07</v>
      </c>
      <c r="O1485" s="4">
        <f t="shared" si="71"/>
        <v>0</v>
      </c>
      <c r="P1485" s="3" t="s">
        <v>19</v>
      </c>
    </row>
    <row r="1486" spans="1:16" x14ac:dyDescent="0.35">
      <c r="A1486" s="3" t="s">
        <v>94</v>
      </c>
      <c r="B1486" s="3" t="str">
        <f>INDEX(State_Region!$B$2:$B$26,MATCH(TRIM(A1486),State_Region!$A$2:$A$26,0))</f>
        <v>East</v>
      </c>
      <c r="C1486" s="3" t="s">
        <v>95</v>
      </c>
      <c r="D1486" s="3" t="str">
        <f>INDEX(Port_Type!$B$2:$B$227,MATCH(TRIM(C1486),Port_Type!$A$2:$A$227,0))</f>
        <v>Land Border / Rail</v>
      </c>
      <c r="E1486" s="3" t="s">
        <v>150</v>
      </c>
      <c r="F1486" s="3" t="str">
        <f>INDEX(Product_Category!$B$2:$B$45,MATCH(TRIM(E1486),Product_Category!$A$2:$A$45,0))</f>
        <v>Nuts &amp; Oilseeds</v>
      </c>
      <c r="G1486" s="4">
        <v>0.04</v>
      </c>
      <c r="H1486" s="4">
        <v>0.02</v>
      </c>
      <c r="I1486" s="4">
        <v>0.01</v>
      </c>
      <c r="J1486" s="4">
        <v>18.350000000000001</v>
      </c>
      <c r="K1486" s="4">
        <v>3.26</v>
      </c>
      <c r="L1486" s="4">
        <v>2.92</v>
      </c>
      <c r="M1486" s="4">
        <f t="shared" si="69"/>
        <v>-0.02</v>
      </c>
      <c r="N1486" s="4">
        <f t="shared" si="70"/>
        <v>-15.090000000000002</v>
      </c>
      <c r="O1486" s="4">
        <f t="shared" si="71"/>
        <v>-0.01</v>
      </c>
      <c r="P1486" s="3" t="s">
        <v>19</v>
      </c>
    </row>
    <row r="1487" spans="1:16" x14ac:dyDescent="0.35">
      <c r="A1487" s="3" t="s">
        <v>20</v>
      </c>
      <c r="B1487" s="3" t="str">
        <f>INDEX(State_Region!$B$2:$B$26,MATCH(TRIM(A1487),State_Region!$A$2:$A$26,0))</f>
        <v>West</v>
      </c>
      <c r="C1487" s="3" t="s">
        <v>68</v>
      </c>
      <c r="D1487" s="3" t="str">
        <f>INDEX(Port_Type!$B$2:$B$227,MATCH(TRIM(C1487),Port_Type!$A$2:$A$227,0))</f>
        <v>Air Cargo</v>
      </c>
      <c r="E1487" s="3" t="s">
        <v>128</v>
      </c>
      <c r="F1487" s="3" t="str">
        <f>INDEX(Product_Category!$B$2:$B$45,MATCH(TRIM(E1487),Product_Category!$A$2:$A$45,0))</f>
        <v>Dairy, Poultry &amp; Honey</v>
      </c>
      <c r="G1487" s="4">
        <v>0</v>
      </c>
      <c r="H1487" s="4">
        <v>0</v>
      </c>
      <c r="I1487" s="4">
        <v>0.01</v>
      </c>
      <c r="J1487" s="4">
        <v>0.04</v>
      </c>
      <c r="K1487" s="4">
        <v>0</v>
      </c>
      <c r="L1487" s="4">
        <v>1</v>
      </c>
      <c r="M1487" s="4">
        <f t="shared" si="69"/>
        <v>0</v>
      </c>
      <c r="N1487" s="4">
        <f t="shared" si="70"/>
        <v>-0.04</v>
      </c>
      <c r="O1487" s="4">
        <f t="shared" si="71"/>
        <v>0.01</v>
      </c>
      <c r="P1487" s="3" t="s">
        <v>19</v>
      </c>
    </row>
    <row r="1488" spans="1:16" x14ac:dyDescent="0.35">
      <c r="A1488" s="3" t="s">
        <v>16</v>
      </c>
      <c r="B1488" s="3" t="str">
        <f>INDEX(State_Region!$B$2:$B$26,MATCH(TRIM(A1488),State_Region!$A$2:$A$26,0))</f>
        <v>West</v>
      </c>
      <c r="C1488" s="3" t="s">
        <v>90</v>
      </c>
      <c r="D1488" s="3" t="str">
        <f>INDEX(Port_Type!$B$2:$B$227,MATCH(TRIM(C1488),Port_Type!$A$2:$A$227,0))</f>
        <v>Inland ICD / CFS</v>
      </c>
      <c r="E1488" s="3" t="s">
        <v>179</v>
      </c>
      <c r="F1488" s="3" t="str">
        <f>INDEX(Product_Category!$B$2:$B$45,MATCH(TRIM(E1488),Product_Category!$A$2:$A$45,0))</f>
        <v>Nuts &amp; Oilseeds</v>
      </c>
      <c r="G1488" s="4">
        <v>0.04</v>
      </c>
      <c r="H1488" s="4">
        <v>0.01</v>
      </c>
      <c r="I1488" s="4">
        <v>0.01</v>
      </c>
      <c r="J1488" s="4">
        <v>3.72</v>
      </c>
      <c r="K1488" s="4">
        <v>1.1299999999999999</v>
      </c>
      <c r="L1488" s="4">
        <v>0.99</v>
      </c>
      <c r="M1488" s="4">
        <f t="shared" si="69"/>
        <v>-0.03</v>
      </c>
      <c r="N1488" s="4">
        <f t="shared" si="70"/>
        <v>-2.5900000000000003</v>
      </c>
      <c r="O1488" s="4">
        <f t="shared" si="71"/>
        <v>0</v>
      </c>
      <c r="P1488" s="3" t="s">
        <v>19</v>
      </c>
    </row>
    <row r="1489" spans="1:16" x14ac:dyDescent="0.35">
      <c r="A1489" s="3" t="s">
        <v>31</v>
      </c>
      <c r="B1489" s="3" t="str">
        <f>INDEX(State_Region!$B$2:$B$26,MATCH(TRIM(A1489),State_Region!$A$2:$A$26,0))</f>
        <v>East</v>
      </c>
      <c r="C1489" s="3" t="s">
        <v>141</v>
      </c>
      <c r="D1489" s="3" t="str">
        <f>INDEX(Port_Type!$B$2:$B$227,MATCH(TRIM(C1489),Port_Type!$A$2:$A$227,0))</f>
        <v>Land Border / Rail</v>
      </c>
      <c r="E1489" s="3" t="s">
        <v>65</v>
      </c>
      <c r="F1489" s="3" t="str">
        <f>INDEX(Product_Category!$B$2:$B$45,MATCH(TRIM(E1489),Product_Category!$A$2:$A$45,0))</f>
        <v>Cereals &amp; Grains</v>
      </c>
      <c r="G1489" s="4">
        <v>0</v>
      </c>
      <c r="H1489" s="4">
        <v>0</v>
      </c>
      <c r="I1489" s="4">
        <v>0.01</v>
      </c>
      <c r="J1489" s="4">
        <v>0.32</v>
      </c>
      <c r="K1489" s="4">
        <v>0</v>
      </c>
      <c r="L1489" s="4">
        <v>30</v>
      </c>
      <c r="M1489" s="4">
        <f t="shared" si="69"/>
        <v>0</v>
      </c>
      <c r="N1489" s="4">
        <f t="shared" si="70"/>
        <v>-0.32</v>
      </c>
      <c r="O1489" s="4">
        <f t="shared" si="71"/>
        <v>0.01</v>
      </c>
      <c r="P1489" s="3" t="s">
        <v>19</v>
      </c>
    </row>
    <row r="1490" spans="1:16" x14ac:dyDescent="0.35">
      <c r="A1490" s="3" t="s">
        <v>66</v>
      </c>
      <c r="B1490" s="3" t="str">
        <f>INDEX(State_Region!$B$2:$B$26,MATCH(TRIM(A1490),State_Region!$A$2:$A$26,0))</f>
        <v>North</v>
      </c>
      <c r="C1490" s="3" t="s">
        <v>71</v>
      </c>
      <c r="D1490" s="3" t="str">
        <f>INDEX(Port_Type!$B$2:$B$227,MATCH(TRIM(C1490),Port_Type!$A$2:$A$227,0))</f>
        <v>Inland ICD / CFS</v>
      </c>
      <c r="E1490" s="3" t="s">
        <v>54</v>
      </c>
      <c r="F1490" s="3" t="str">
        <f>INDEX(Product_Category!$B$2:$B$45,MATCH(TRIM(E1490),Product_Category!$A$2:$A$45,0))</f>
        <v>Processed Foods</v>
      </c>
      <c r="G1490" s="4">
        <v>0.05</v>
      </c>
      <c r="H1490" s="4">
        <v>0.01</v>
      </c>
      <c r="I1490" s="4">
        <v>0.01</v>
      </c>
      <c r="J1490" s="4">
        <v>31.92</v>
      </c>
      <c r="K1490" s="4">
        <v>5.46</v>
      </c>
      <c r="L1490" s="4">
        <v>2.23</v>
      </c>
      <c r="M1490" s="4">
        <f t="shared" si="69"/>
        <v>-0.04</v>
      </c>
      <c r="N1490" s="4">
        <f t="shared" si="70"/>
        <v>-26.46</v>
      </c>
      <c r="O1490" s="4">
        <f t="shared" si="71"/>
        <v>0</v>
      </c>
      <c r="P1490" s="3" t="s">
        <v>19</v>
      </c>
    </row>
    <row r="1491" spans="1:16" x14ac:dyDescent="0.35">
      <c r="A1491" s="3" t="s">
        <v>189</v>
      </c>
      <c r="B1491" s="3" t="str">
        <f>INDEX(State_Region!$B$2:$B$26,MATCH(TRIM(A1491),State_Region!$A$2:$A$26,0))</f>
        <v>North</v>
      </c>
      <c r="C1491" s="3" t="s">
        <v>227</v>
      </c>
      <c r="D1491" s="3" t="str">
        <f>INDEX(Port_Type!$B$2:$B$227,MATCH(TRIM(C1491),Port_Type!$A$2:$A$227,0))</f>
        <v>Land Border / Rail</v>
      </c>
      <c r="E1491" s="3" t="s">
        <v>45</v>
      </c>
      <c r="F1491" s="3" t="str">
        <f>INDEX(Product_Category!$B$2:$B$45,MATCH(TRIM(E1491),Product_Category!$A$2:$A$45,0))</f>
        <v>Fresh Fruits &amp; Vegetables</v>
      </c>
      <c r="G1491" s="4">
        <v>0.23</v>
      </c>
      <c r="H1491" s="4">
        <v>0.32</v>
      </c>
      <c r="I1491" s="4">
        <v>0.01</v>
      </c>
      <c r="J1491" s="4">
        <v>496.26</v>
      </c>
      <c r="K1491" s="4">
        <v>643.26</v>
      </c>
      <c r="L1491" s="4">
        <v>46.84</v>
      </c>
      <c r="M1491" s="4">
        <f t="shared" si="69"/>
        <v>0.09</v>
      </c>
      <c r="N1491" s="4">
        <f t="shared" si="70"/>
        <v>147</v>
      </c>
      <c r="O1491" s="4">
        <f t="shared" si="71"/>
        <v>-0.31</v>
      </c>
      <c r="P1491" s="3" t="s">
        <v>19</v>
      </c>
    </row>
    <row r="1492" spans="1:16" x14ac:dyDescent="0.35">
      <c r="A1492" s="3" t="s">
        <v>35</v>
      </c>
      <c r="B1492" s="3" t="str">
        <f>INDEX(State_Region!$B$2:$B$26,MATCH(TRIM(A1492),State_Region!$A$2:$A$26,0))</f>
        <v>North</v>
      </c>
      <c r="C1492" s="3" t="s">
        <v>47</v>
      </c>
      <c r="D1492" s="3" t="str">
        <f>INDEX(Port_Type!$B$2:$B$227,MATCH(TRIM(C1492),Port_Type!$A$2:$A$227,0))</f>
        <v>Inland ICD / CFS</v>
      </c>
      <c r="E1492" s="3" t="s">
        <v>65</v>
      </c>
      <c r="F1492" s="3" t="str">
        <f>INDEX(Product_Category!$B$2:$B$45,MATCH(TRIM(E1492),Product_Category!$A$2:$A$45,0))</f>
        <v>Cereals &amp; Grains</v>
      </c>
      <c r="G1492" s="4">
        <v>0.01</v>
      </c>
      <c r="H1492" s="4">
        <v>0</v>
      </c>
      <c r="I1492" s="4">
        <v>0.01</v>
      </c>
      <c r="J1492" s="4">
        <v>14.31</v>
      </c>
      <c r="K1492" s="4">
        <v>0.06</v>
      </c>
      <c r="L1492" s="4">
        <v>23.65</v>
      </c>
      <c r="M1492" s="4">
        <f t="shared" si="69"/>
        <v>-0.01</v>
      </c>
      <c r="N1492" s="4">
        <f t="shared" si="70"/>
        <v>-14.25</v>
      </c>
      <c r="O1492" s="4">
        <f t="shared" si="71"/>
        <v>0.01</v>
      </c>
      <c r="P1492" s="3" t="s">
        <v>19</v>
      </c>
    </row>
    <row r="1493" spans="1:16" x14ac:dyDescent="0.35">
      <c r="A1493" s="3" t="s">
        <v>79</v>
      </c>
      <c r="B1493" s="3" t="str">
        <f>INDEX(State_Region!$B$2:$B$26,MATCH(TRIM(A1493),State_Region!$A$2:$A$26,0))</f>
        <v>South</v>
      </c>
      <c r="C1493" s="3" t="s">
        <v>80</v>
      </c>
      <c r="D1493" s="3" t="str">
        <f>INDEX(Port_Type!$B$2:$B$227,MATCH(TRIM(C1493),Port_Type!$A$2:$A$227,0))</f>
        <v>Inland ICD / CFS</v>
      </c>
      <c r="E1493" s="3" t="s">
        <v>18</v>
      </c>
      <c r="F1493" s="3" t="str">
        <f>INDEX(Product_Category!$B$2:$B$45,MATCH(TRIM(E1493),Product_Category!$A$2:$A$45,0))</f>
        <v>Cereals &amp; Grains</v>
      </c>
      <c r="G1493" s="4">
        <v>0.18</v>
      </c>
      <c r="H1493" s="4">
        <v>0.27</v>
      </c>
      <c r="I1493" s="4">
        <v>0.01</v>
      </c>
      <c r="J1493" s="4">
        <v>148.07</v>
      </c>
      <c r="K1493" s="4">
        <v>225.1</v>
      </c>
      <c r="L1493" s="4">
        <v>8.9700000000000006</v>
      </c>
      <c r="M1493" s="4">
        <f t="shared" si="69"/>
        <v>9.0000000000000024E-2</v>
      </c>
      <c r="N1493" s="4">
        <f t="shared" si="70"/>
        <v>77.03</v>
      </c>
      <c r="O1493" s="4">
        <f t="shared" si="71"/>
        <v>-0.26</v>
      </c>
      <c r="P1493" s="3" t="s">
        <v>19</v>
      </c>
    </row>
    <row r="1494" spans="1:16" x14ac:dyDescent="0.35">
      <c r="A1494" s="3" t="s">
        <v>189</v>
      </c>
      <c r="B1494" s="3" t="str">
        <f>INDEX(State_Region!$B$2:$B$26,MATCH(TRIM(A1494),State_Region!$A$2:$A$26,0))</f>
        <v>North</v>
      </c>
      <c r="C1494" s="3" t="s">
        <v>193</v>
      </c>
      <c r="D1494" s="3" t="str">
        <f>INDEX(Port_Type!$B$2:$B$227,MATCH(TRIM(C1494),Port_Type!$A$2:$A$227,0))</f>
        <v>Inland ICD / CFS</v>
      </c>
      <c r="E1494" s="3" t="s">
        <v>42</v>
      </c>
      <c r="F1494" s="3" t="str">
        <f>INDEX(Product_Category!$B$2:$B$45,MATCH(TRIM(E1494),Product_Category!$A$2:$A$45,0))</f>
        <v>Processed Foods</v>
      </c>
      <c r="G1494" s="4">
        <v>0.05</v>
      </c>
      <c r="H1494" s="4">
        <v>0.04</v>
      </c>
      <c r="I1494" s="4">
        <v>0.01</v>
      </c>
      <c r="J1494" s="4">
        <v>29.01</v>
      </c>
      <c r="K1494" s="4">
        <v>39.979999999999997</v>
      </c>
      <c r="L1494" s="4">
        <v>14.97</v>
      </c>
      <c r="M1494" s="4">
        <f t="shared" si="69"/>
        <v>-1.0000000000000002E-2</v>
      </c>
      <c r="N1494" s="4">
        <f t="shared" si="70"/>
        <v>10.969999999999995</v>
      </c>
      <c r="O1494" s="4">
        <f t="shared" si="71"/>
        <v>-0.03</v>
      </c>
      <c r="P1494" s="3" t="s">
        <v>19</v>
      </c>
    </row>
    <row r="1495" spans="1:16" x14ac:dyDescent="0.35">
      <c r="A1495" s="3" t="s">
        <v>31</v>
      </c>
      <c r="B1495" s="3" t="str">
        <f>INDEX(State_Region!$B$2:$B$26,MATCH(TRIM(A1495),State_Region!$A$2:$A$26,0))</f>
        <v>East</v>
      </c>
      <c r="C1495" s="3" t="s">
        <v>215</v>
      </c>
      <c r="D1495" s="3" t="str">
        <f>INDEX(Port_Type!$B$2:$B$227,MATCH(TRIM(C1495),Port_Type!$A$2:$A$227,0))</f>
        <v>Land Border / Rail</v>
      </c>
      <c r="E1495" s="3" t="s">
        <v>55</v>
      </c>
      <c r="F1495" s="3" t="str">
        <f>INDEX(Product_Category!$B$2:$B$45,MATCH(TRIM(E1495),Product_Category!$A$2:$A$45,0))</f>
        <v>Fresh Fruits &amp; Vegetables</v>
      </c>
      <c r="G1495" s="4">
        <v>0.02</v>
      </c>
      <c r="H1495" s="4">
        <v>0.03</v>
      </c>
      <c r="I1495" s="4">
        <v>0.01</v>
      </c>
      <c r="J1495" s="4">
        <v>54.57</v>
      </c>
      <c r="K1495" s="4">
        <v>109.06</v>
      </c>
      <c r="L1495" s="4">
        <v>44.19</v>
      </c>
      <c r="M1495" s="4">
        <f t="shared" si="69"/>
        <v>9.9999999999999985E-3</v>
      </c>
      <c r="N1495" s="4">
        <f t="shared" si="70"/>
        <v>54.49</v>
      </c>
      <c r="O1495" s="4">
        <f t="shared" si="71"/>
        <v>-1.9999999999999997E-2</v>
      </c>
      <c r="P1495" s="3" t="s">
        <v>19</v>
      </c>
    </row>
    <row r="1496" spans="1:16" x14ac:dyDescent="0.35">
      <c r="A1496" s="3" t="s">
        <v>231</v>
      </c>
      <c r="B1496" s="3" t="str">
        <f>INDEX(State_Region!$B$2:$B$26,MATCH(TRIM(A1496),State_Region!$A$2:$A$26,0))</f>
        <v>North-East</v>
      </c>
      <c r="C1496" s="3" t="s">
        <v>232</v>
      </c>
      <c r="D1496" s="3" t="str">
        <f>INDEX(Port_Type!$B$2:$B$227,MATCH(TRIM(C1496),Port_Type!$A$2:$A$227,0))</f>
        <v>Land Border / Rail</v>
      </c>
      <c r="E1496" s="3" t="s">
        <v>39</v>
      </c>
      <c r="F1496" s="3" t="str">
        <f>INDEX(Product_Category!$B$2:$B$45,MATCH(TRIM(E1496),Product_Category!$A$2:$A$45,0))</f>
        <v>Processed Foods</v>
      </c>
      <c r="G1496" s="4">
        <v>0.44</v>
      </c>
      <c r="H1496" s="4">
        <v>0.06</v>
      </c>
      <c r="I1496" s="4">
        <v>0.01</v>
      </c>
      <c r="J1496" s="4">
        <v>132.97999999999999</v>
      </c>
      <c r="K1496" s="4">
        <v>75.67</v>
      </c>
      <c r="L1496" s="4">
        <v>14.71</v>
      </c>
      <c r="M1496" s="4">
        <f t="shared" si="69"/>
        <v>-0.38</v>
      </c>
      <c r="N1496" s="4">
        <f t="shared" si="70"/>
        <v>-57.309999999999988</v>
      </c>
      <c r="O1496" s="4">
        <f t="shared" si="71"/>
        <v>-4.9999999999999996E-2</v>
      </c>
      <c r="P1496" s="3" t="s">
        <v>19</v>
      </c>
    </row>
    <row r="1497" spans="1:16" x14ac:dyDescent="0.35">
      <c r="A1497" s="3" t="s">
        <v>79</v>
      </c>
      <c r="B1497" s="3" t="str">
        <f>INDEX(State_Region!$B$2:$B$26,MATCH(TRIM(A1497),State_Region!$A$2:$A$26,0))</f>
        <v>South</v>
      </c>
      <c r="C1497" s="3" t="s">
        <v>91</v>
      </c>
      <c r="D1497" s="3" t="str">
        <f>INDEX(Port_Type!$B$2:$B$227,MATCH(TRIM(C1497),Port_Type!$A$2:$A$227,0))</f>
        <v>Sea Port</v>
      </c>
      <c r="E1497" s="3" t="s">
        <v>53</v>
      </c>
      <c r="F1497" s="3" t="str">
        <f>INDEX(Product_Category!$B$2:$B$45,MATCH(TRIM(E1497),Product_Category!$A$2:$A$45,0))</f>
        <v>Processed Foods</v>
      </c>
      <c r="G1497" s="4">
        <v>0.92</v>
      </c>
      <c r="H1497" s="4">
        <v>0.11</v>
      </c>
      <c r="I1497" s="4">
        <v>0.01</v>
      </c>
      <c r="J1497" s="4">
        <v>1598.13</v>
      </c>
      <c r="K1497" s="4">
        <v>174.19</v>
      </c>
      <c r="L1497" s="4">
        <v>4.1399999999999997</v>
      </c>
      <c r="M1497" s="4">
        <f t="shared" si="69"/>
        <v>-0.81</v>
      </c>
      <c r="N1497" s="4">
        <f t="shared" si="70"/>
        <v>-1423.94</v>
      </c>
      <c r="O1497" s="4">
        <f t="shared" si="71"/>
        <v>-0.1</v>
      </c>
      <c r="P1497" s="3" t="s">
        <v>19</v>
      </c>
    </row>
    <row r="1498" spans="1:16" x14ac:dyDescent="0.35">
      <c r="A1498" s="3" t="s">
        <v>129</v>
      </c>
      <c r="B1498" s="3" t="str">
        <f>INDEX(State_Region!$B$2:$B$26,MATCH(TRIM(A1498),State_Region!$A$2:$A$26,0))</f>
        <v>East</v>
      </c>
      <c r="C1498" s="3" t="s">
        <v>147</v>
      </c>
      <c r="D1498" s="3" t="str">
        <f>INDEX(Port_Type!$B$2:$B$227,MATCH(TRIM(C1498),Port_Type!$A$2:$A$227,0))</f>
        <v>Land Border / Rail</v>
      </c>
      <c r="E1498" s="3" t="s">
        <v>170</v>
      </c>
      <c r="F1498" s="3" t="str">
        <f>INDEX(Product_Category!$B$2:$B$45,MATCH(TRIM(E1498),Product_Category!$A$2:$A$45,0))</f>
        <v>Others</v>
      </c>
      <c r="G1498" s="4">
        <v>0.06</v>
      </c>
      <c r="H1498" s="4">
        <v>0.04</v>
      </c>
      <c r="I1498" s="4">
        <v>0.01</v>
      </c>
      <c r="J1498" s="4">
        <v>14.88</v>
      </c>
      <c r="K1498" s="4">
        <v>14.92</v>
      </c>
      <c r="L1498" s="4">
        <v>3.4</v>
      </c>
      <c r="M1498" s="4">
        <f t="shared" si="69"/>
        <v>-1.9999999999999997E-2</v>
      </c>
      <c r="N1498" s="4">
        <f t="shared" si="70"/>
        <v>3.9999999999999147E-2</v>
      </c>
      <c r="O1498" s="4">
        <f t="shared" si="71"/>
        <v>-0.03</v>
      </c>
      <c r="P1498" s="3" t="s">
        <v>19</v>
      </c>
    </row>
    <row r="1499" spans="1:16" x14ac:dyDescent="0.35">
      <c r="A1499" s="3" t="s">
        <v>23</v>
      </c>
      <c r="B1499" s="3" t="str">
        <f>INDEX(State_Region!$B$2:$B$26,MATCH(TRIM(A1499),State_Region!$A$2:$A$26,0))</f>
        <v>North</v>
      </c>
      <c r="C1499" s="3" t="s">
        <v>43</v>
      </c>
      <c r="D1499" s="3" t="str">
        <f>INDEX(Port_Type!$B$2:$B$227,MATCH(TRIM(C1499),Port_Type!$A$2:$A$227,0))</f>
        <v>Land Border / Rail</v>
      </c>
      <c r="E1499" s="3" t="s">
        <v>59</v>
      </c>
      <c r="F1499" s="3" t="str">
        <f>INDEX(Product_Category!$B$2:$B$45,MATCH(TRIM(E1499),Product_Category!$A$2:$A$45,0))</f>
        <v>Processed Foods</v>
      </c>
      <c r="G1499" s="4">
        <v>0</v>
      </c>
      <c r="H1499" s="4">
        <v>0.1</v>
      </c>
      <c r="I1499" s="4">
        <v>0.01</v>
      </c>
      <c r="J1499" s="4">
        <v>0</v>
      </c>
      <c r="K1499" s="4">
        <v>49.95</v>
      </c>
      <c r="L1499" s="4">
        <v>12.79</v>
      </c>
      <c r="M1499" s="4">
        <f t="shared" si="69"/>
        <v>0.1</v>
      </c>
      <c r="N1499" s="4">
        <f t="shared" si="70"/>
        <v>49.95</v>
      </c>
      <c r="O1499" s="4">
        <f t="shared" si="71"/>
        <v>-9.0000000000000011E-2</v>
      </c>
      <c r="P1499" s="3" t="s">
        <v>19</v>
      </c>
    </row>
    <row r="1500" spans="1:16" x14ac:dyDescent="0.35">
      <c r="A1500" s="3" t="s">
        <v>20</v>
      </c>
      <c r="B1500" s="3" t="str">
        <f>INDEX(State_Region!$B$2:$B$26,MATCH(TRIM(A1500),State_Region!$A$2:$A$26,0))</f>
        <v>West</v>
      </c>
      <c r="C1500" s="3" t="s">
        <v>134</v>
      </c>
      <c r="D1500" s="3" t="str">
        <f>INDEX(Port_Type!$B$2:$B$227,MATCH(TRIM(C1500),Port_Type!$A$2:$A$227,0))</f>
        <v>Inland ICD / CFS</v>
      </c>
      <c r="E1500" s="3" t="s">
        <v>53</v>
      </c>
      <c r="F1500" s="3" t="str">
        <f>INDEX(Product_Category!$B$2:$B$45,MATCH(TRIM(E1500),Product_Category!$A$2:$A$45,0))</f>
        <v>Processed Foods</v>
      </c>
      <c r="G1500" s="4">
        <v>0</v>
      </c>
      <c r="H1500" s="4">
        <v>0.02</v>
      </c>
      <c r="I1500" s="4">
        <v>0.01</v>
      </c>
      <c r="J1500" s="4">
        <v>0</v>
      </c>
      <c r="K1500" s="4">
        <v>16.87</v>
      </c>
      <c r="L1500" s="4">
        <v>8.48</v>
      </c>
      <c r="M1500" s="4">
        <f t="shared" si="69"/>
        <v>0.02</v>
      </c>
      <c r="N1500" s="4">
        <f t="shared" si="70"/>
        <v>16.87</v>
      </c>
      <c r="O1500" s="4">
        <f t="shared" si="71"/>
        <v>-0.01</v>
      </c>
      <c r="P1500" s="3" t="s">
        <v>19</v>
      </c>
    </row>
    <row r="1501" spans="1:16" x14ac:dyDescent="0.35">
      <c r="A1501" s="3" t="s">
        <v>31</v>
      </c>
      <c r="B1501" s="3" t="str">
        <f>INDEX(State_Region!$B$2:$B$26,MATCH(TRIM(A1501),State_Region!$A$2:$A$26,0))</f>
        <v>East</v>
      </c>
      <c r="C1501" s="3" t="s">
        <v>249</v>
      </c>
      <c r="D1501" s="3" t="str">
        <f>INDEX(Port_Type!$B$2:$B$227,MATCH(TRIM(C1501),Port_Type!$A$2:$A$227,0))</f>
        <v>Land Border / Rail</v>
      </c>
      <c r="E1501" s="3" t="s">
        <v>62</v>
      </c>
      <c r="F1501" s="3" t="str">
        <f>INDEX(Product_Category!$B$2:$B$45,MATCH(TRIM(E1501),Product_Category!$A$2:$A$45,0))</f>
        <v>Cereals &amp; Grains</v>
      </c>
      <c r="G1501" s="4">
        <v>0.02</v>
      </c>
      <c r="H1501" s="4">
        <v>0.03</v>
      </c>
      <c r="I1501" s="4">
        <v>0.01</v>
      </c>
      <c r="J1501" s="4">
        <v>37.31</v>
      </c>
      <c r="K1501" s="4">
        <v>52.87</v>
      </c>
      <c r="L1501" s="4">
        <v>21.56</v>
      </c>
      <c r="M1501" s="4">
        <f t="shared" si="69"/>
        <v>9.9999999999999985E-3</v>
      </c>
      <c r="N1501" s="4">
        <f t="shared" si="70"/>
        <v>15.559999999999995</v>
      </c>
      <c r="O1501" s="4">
        <f t="shared" si="71"/>
        <v>-1.9999999999999997E-2</v>
      </c>
      <c r="P1501" s="3" t="s">
        <v>19</v>
      </c>
    </row>
    <row r="1502" spans="1:16" x14ac:dyDescent="0.35">
      <c r="A1502" s="3" t="s">
        <v>16</v>
      </c>
      <c r="B1502" s="3" t="str">
        <f>INDEX(State_Region!$B$2:$B$26,MATCH(TRIM(A1502),State_Region!$A$2:$A$26,0))</f>
        <v>West</v>
      </c>
      <c r="C1502" s="3" t="s">
        <v>90</v>
      </c>
      <c r="D1502" s="3" t="str">
        <f>INDEX(Port_Type!$B$2:$B$227,MATCH(TRIM(C1502),Port_Type!$A$2:$A$227,0))</f>
        <v>Inland ICD / CFS</v>
      </c>
      <c r="E1502" s="3" t="s">
        <v>122</v>
      </c>
      <c r="F1502" s="3" t="str">
        <f>INDEX(Product_Category!$B$2:$B$45,MATCH(TRIM(E1502),Product_Category!$A$2:$A$45,0))</f>
        <v>Others</v>
      </c>
      <c r="G1502" s="4">
        <v>0.26</v>
      </c>
      <c r="H1502" s="4">
        <v>0.01</v>
      </c>
      <c r="I1502" s="4">
        <v>0.01</v>
      </c>
      <c r="J1502" s="4">
        <v>88.53</v>
      </c>
      <c r="K1502" s="4">
        <v>0.97</v>
      </c>
      <c r="L1502" s="4">
        <v>1.04</v>
      </c>
      <c r="M1502" s="4">
        <f t="shared" si="69"/>
        <v>-0.25</v>
      </c>
      <c r="N1502" s="4">
        <f t="shared" si="70"/>
        <v>-87.56</v>
      </c>
      <c r="O1502" s="4">
        <f t="shared" si="71"/>
        <v>0</v>
      </c>
      <c r="P1502" s="3" t="s">
        <v>19</v>
      </c>
    </row>
    <row r="1503" spans="1:16" x14ac:dyDescent="0.35">
      <c r="A1503" s="3" t="s">
        <v>94</v>
      </c>
      <c r="B1503" s="3" t="str">
        <f>INDEX(State_Region!$B$2:$B$26,MATCH(TRIM(A1503),State_Region!$A$2:$A$26,0))</f>
        <v>East</v>
      </c>
      <c r="C1503" s="3" t="s">
        <v>112</v>
      </c>
      <c r="D1503" s="3" t="str">
        <f>INDEX(Port_Type!$B$2:$B$227,MATCH(TRIM(C1503),Port_Type!$A$2:$A$227,0))</f>
        <v>Land Border / Rail</v>
      </c>
      <c r="E1503" s="3" t="s">
        <v>126</v>
      </c>
      <c r="F1503" s="3" t="str">
        <f>INDEX(Product_Category!$B$2:$B$45,MATCH(TRIM(E1503),Product_Category!$A$2:$A$45,0))</f>
        <v>Cereals &amp; Grains</v>
      </c>
      <c r="G1503" s="4">
        <v>0.04</v>
      </c>
      <c r="H1503" s="4">
        <v>0.05</v>
      </c>
      <c r="I1503" s="4">
        <v>0.01</v>
      </c>
      <c r="J1503" s="4">
        <v>152.46</v>
      </c>
      <c r="K1503" s="4">
        <v>171.29</v>
      </c>
      <c r="L1503" s="4">
        <v>29.4</v>
      </c>
      <c r="M1503" s="4">
        <f t="shared" si="69"/>
        <v>1.0000000000000002E-2</v>
      </c>
      <c r="N1503" s="4">
        <f t="shared" si="70"/>
        <v>18.829999999999984</v>
      </c>
      <c r="O1503" s="4">
        <f t="shared" si="71"/>
        <v>-0.04</v>
      </c>
      <c r="P1503" s="3" t="s">
        <v>19</v>
      </c>
    </row>
    <row r="1504" spans="1:16" x14ac:dyDescent="0.35">
      <c r="A1504" s="3" t="s">
        <v>31</v>
      </c>
      <c r="B1504" s="3" t="str">
        <f>INDEX(State_Region!$B$2:$B$26,MATCH(TRIM(A1504),State_Region!$A$2:$A$26,0))</f>
        <v>East</v>
      </c>
      <c r="C1504" s="3" t="s">
        <v>32</v>
      </c>
      <c r="D1504" s="3" t="str">
        <f>INDEX(Port_Type!$B$2:$B$227,MATCH(TRIM(C1504),Port_Type!$A$2:$A$227,0))</f>
        <v>Sea Port</v>
      </c>
      <c r="E1504" s="3" t="s">
        <v>102</v>
      </c>
      <c r="F1504" s="3" t="str">
        <f>INDEX(Product_Category!$B$2:$B$45,MATCH(TRIM(E1504),Product_Category!$A$2:$A$45,0))</f>
        <v>Fresh Fruits &amp; Vegetables</v>
      </c>
      <c r="G1504" s="4">
        <v>0.02</v>
      </c>
      <c r="H1504" s="4">
        <v>0.01</v>
      </c>
      <c r="I1504" s="4">
        <v>0.01</v>
      </c>
      <c r="J1504" s="4">
        <v>66.180000000000007</v>
      </c>
      <c r="K1504" s="4">
        <v>12.56</v>
      </c>
      <c r="L1504" s="4">
        <v>59</v>
      </c>
      <c r="M1504" s="4">
        <f t="shared" si="69"/>
        <v>-0.01</v>
      </c>
      <c r="N1504" s="4">
        <f t="shared" si="70"/>
        <v>-53.620000000000005</v>
      </c>
      <c r="O1504" s="4">
        <f t="shared" si="71"/>
        <v>0</v>
      </c>
      <c r="P1504" s="3" t="s">
        <v>19</v>
      </c>
    </row>
    <row r="1505" spans="1:16" x14ac:dyDescent="0.35">
      <c r="A1505" s="3" t="s">
        <v>66</v>
      </c>
      <c r="B1505" s="3" t="str">
        <f>INDEX(State_Region!$B$2:$B$26,MATCH(TRIM(A1505),State_Region!$A$2:$A$26,0))</f>
        <v>North</v>
      </c>
      <c r="C1505" s="3" t="s">
        <v>208</v>
      </c>
      <c r="D1505" s="3" t="str">
        <f>INDEX(Port_Type!$B$2:$B$227,MATCH(TRIM(C1505),Port_Type!$A$2:$A$227,0))</f>
        <v>Inland ICD / CFS</v>
      </c>
      <c r="E1505" s="3" t="s">
        <v>45</v>
      </c>
      <c r="F1505" s="3" t="str">
        <f>INDEX(Product_Category!$B$2:$B$45,MATCH(TRIM(E1505),Product_Category!$A$2:$A$45,0))</f>
        <v>Fresh Fruits &amp; Vegetables</v>
      </c>
      <c r="G1505" s="4">
        <v>0.06</v>
      </c>
      <c r="H1505" s="4">
        <v>0</v>
      </c>
      <c r="I1505" s="4">
        <v>0.01</v>
      </c>
      <c r="J1505" s="4">
        <v>7.14</v>
      </c>
      <c r="K1505" s="4">
        <v>7.0000000000000007E-2</v>
      </c>
      <c r="L1505" s="4">
        <v>0.56000000000000005</v>
      </c>
      <c r="M1505" s="4">
        <f t="shared" si="69"/>
        <v>-0.06</v>
      </c>
      <c r="N1505" s="4">
        <f t="shared" si="70"/>
        <v>-7.0699999999999994</v>
      </c>
      <c r="O1505" s="4">
        <f t="shared" si="71"/>
        <v>0.01</v>
      </c>
      <c r="P1505" s="3" t="s">
        <v>19</v>
      </c>
    </row>
    <row r="1506" spans="1:16" x14ac:dyDescent="0.35">
      <c r="A1506" s="3" t="s">
        <v>20</v>
      </c>
      <c r="B1506" s="3" t="str">
        <f>INDEX(State_Region!$B$2:$B$26,MATCH(TRIM(A1506),State_Region!$A$2:$A$26,0))</f>
        <v>West</v>
      </c>
      <c r="C1506" s="3" t="s">
        <v>145</v>
      </c>
      <c r="D1506" s="3" t="str">
        <f>INDEX(Port_Type!$B$2:$B$227,MATCH(TRIM(C1506),Port_Type!$A$2:$A$227,0))</f>
        <v>Inland ICD / CFS</v>
      </c>
      <c r="E1506" s="3" t="s">
        <v>55</v>
      </c>
      <c r="F1506" s="3" t="str">
        <f>INDEX(Product_Category!$B$2:$B$45,MATCH(TRIM(E1506),Product_Category!$A$2:$A$45,0))</f>
        <v>Fresh Fruits &amp; Vegetables</v>
      </c>
      <c r="G1506" s="4">
        <v>0</v>
      </c>
      <c r="H1506" s="4">
        <v>0.8</v>
      </c>
      <c r="I1506" s="4">
        <v>0.01</v>
      </c>
      <c r="J1506" s="4">
        <v>0</v>
      </c>
      <c r="K1506" s="4">
        <v>2999.73</v>
      </c>
      <c r="L1506" s="4">
        <v>29.5</v>
      </c>
      <c r="M1506" s="4">
        <f t="shared" si="69"/>
        <v>0.8</v>
      </c>
      <c r="N1506" s="4">
        <f t="shared" si="70"/>
        <v>2999.73</v>
      </c>
      <c r="O1506" s="4">
        <f t="shared" si="71"/>
        <v>-0.79</v>
      </c>
      <c r="P1506" s="3" t="s">
        <v>19</v>
      </c>
    </row>
    <row r="1507" spans="1:16" x14ac:dyDescent="0.35">
      <c r="A1507" s="3" t="s">
        <v>66</v>
      </c>
      <c r="B1507" s="3" t="str">
        <f>INDEX(State_Region!$B$2:$B$26,MATCH(TRIM(A1507),State_Region!$A$2:$A$26,0))</f>
        <v>North</v>
      </c>
      <c r="C1507" s="3" t="s">
        <v>100</v>
      </c>
      <c r="D1507" s="3" t="str">
        <f>INDEX(Port_Type!$B$2:$B$227,MATCH(TRIM(C1507),Port_Type!$A$2:$A$227,0))</f>
        <v>Inland ICD / CFS</v>
      </c>
      <c r="E1507" s="3" t="s">
        <v>54</v>
      </c>
      <c r="F1507" s="3" t="str">
        <f>INDEX(Product_Category!$B$2:$B$45,MATCH(TRIM(E1507),Product_Category!$A$2:$A$45,0))</f>
        <v>Processed Foods</v>
      </c>
      <c r="G1507" s="4">
        <v>0</v>
      </c>
      <c r="H1507" s="4">
        <v>0</v>
      </c>
      <c r="I1507" s="4">
        <v>0.01</v>
      </c>
      <c r="J1507" s="4">
        <v>0</v>
      </c>
      <c r="K1507" s="4">
        <v>0.13</v>
      </c>
      <c r="L1507" s="4">
        <v>3.84</v>
      </c>
      <c r="M1507" s="4">
        <f t="shared" si="69"/>
        <v>0</v>
      </c>
      <c r="N1507" s="4">
        <f t="shared" si="70"/>
        <v>0.13</v>
      </c>
      <c r="O1507" s="4">
        <f t="shared" si="71"/>
        <v>0.01</v>
      </c>
      <c r="P1507" s="3" t="s">
        <v>19</v>
      </c>
    </row>
    <row r="1508" spans="1:16" x14ac:dyDescent="0.35">
      <c r="A1508" s="3" t="s">
        <v>77</v>
      </c>
      <c r="B1508" s="3" t="str">
        <f>INDEX(State_Region!$B$2:$B$26,MATCH(TRIM(A1508),State_Region!$A$2:$A$26,0))</f>
        <v>South</v>
      </c>
      <c r="C1508" s="3" t="s">
        <v>250</v>
      </c>
      <c r="D1508" s="3" t="str">
        <f>INDEX(Port_Type!$B$2:$B$227,MATCH(TRIM(C1508),Port_Type!$A$2:$A$227,0))</f>
        <v>SEZ / EPZ</v>
      </c>
      <c r="E1508" s="3" t="s">
        <v>170</v>
      </c>
      <c r="F1508" s="3" t="str">
        <f>INDEX(Product_Category!$B$2:$B$45,MATCH(TRIM(E1508),Product_Category!$A$2:$A$45,0))</f>
        <v>Others</v>
      </c>
      <c r="G1508" s="4">
        <v>0</v>
      </c>
      <c r="H1508" s="4">
        <v>0</v>
      </c>
      <c r="I1508" s="4">
        <v>0.01</v>
      </c>
      <c r="J1508" s="4">
        <v>0</v>
      </c>
      <c r="K1508" s="4">
        <v>0</v>
      </c>
      <c r="L1508" s="4">
        <v>5</v>
      </c>
      <c r="M1508" s="4">
        <f t="shared" si="69"/>
        <v>0</v>
      </c>
      <c r="N1508" s="4">
        <f t="shared" si="70"/>
        <v>0</v>
      </c>
      <c r="O1508" s="4">
        <f t="shared" si="71"/>
        <v>0.01</v>
      </c>
      <c r="P1508" s="3" t="s">
        <v>19</v>
      </c>
    </row>
    <row r="1509" spans="1:16" x14ac:dyDescent="0.35">
      <c r="A1509" s="3" t="s">
        <v>251</v>
      </c>
      <c r="B1509" s="3" t="str">
        <f>INDEX(State_Region!$B$2:$B$26,MATCH(TRIM(A1509),State_Region!$A$2:$A$26,0))</f>
        <v>South</v>
      </c>
      <c r="C1509" s="3" t="s">
        <v>252</v>
      </c>
      <c r="D1509" s="3" t="str">
        <f>INDEX(Port_Type!$B$2:$B$227,MATCH(TRIM(C1509),Port_Type!$A$2:$A$227,0))</f>
        <v>Inland ICD / CFS</v>
      </c>
      <c r="E1509" s="3" t="s">
        <v>48</v>
      </c>
      <c r="F1509" s="3" t="str">
        <f>INDEX(Product_Category!$B$2:$B$45,MATCH(TRIM(E1509),Product_Category!$A$2:$A$45,0))</f>
        <v>Processed Foods</v>
      </c>
      <c r="G1509" s="4">
        <v>0.01</v>
      </c>
      <c r="H1509" s="4">
        <v>0.06</v>
      </c>
      <c r="I1509" s="4">
        <v>0.01</v>
      </c>
      <c r="J1509" s="4">
        <v>8.0299999999999994</v>
      </c>
      <c r="K1509" s="4">
        <v>23.55</v>
      </c>
      <c r="L1509" s="4">
        <v>4.63</v>
      </c>
      <c r="M1509" s="4">
        <f t="shared" si="69"/>
        <v>4.9999999999999996E-2</v>
      </c>
      <c r="N1509" s="4">
        <f t="shared" si="70"/>
        <v>15.520000000000001</v>
      </c>
      <c r="O1509" s="4">
        <f t="shared" si="71"/>
        <v>-4.9999999999999996E-2</v>
      </c>
      <c r="P1509" s="3" t="s">
        <v>19</v>
      </c>
    </row>
    <row r="1510" spans="1:16" x14ac:dyDescent="0.35">
      <c r="A1510" s="3" t="s">
        <v>20</v>
      </c>
      <c r="B1510" s="3" t="str">
        <f>INDEX(State_Region!$B$2:$B$26,MATCH(TRIM(A1510),State_Region!$A$2:$A$26,0))</f>
        <v>West</v>
      </c>
      <c r="C1510" s="3" t="s">
        <v>111</v>
      </c>
      <c r="D1510" s="3" t="str">
        <f>INDEX(Port_Type!$B$2:$B$227,MATCH(TRIM(C1510),Port_Type!$A$2:$A$227,0))</f>
        <v>Inland ICD / CFS</v>
      </c>
      <c r="E1510" s="3" t="s">
        <v>72</v>
      </c>
      <c r="F1510" s="3" t="str">
        <f>INDEX(Product_Category!$B$2:$B$45,MATCH(TRIM(E1510),Product_Category!$A$2:$A$45,0))</f>
        <v>Dairy, Poultry &amp; Honey</v>
      </c>
      <c r="G1510" s="4">
        <v>0.03</v>
      </c>
      <c r="H1510" s="4">
        <v>0</v>
      </c>
      <c r="I1510" s="4">
        <v>0.01</v>
      </c>
      <c r="J1510" s="4">
        <v>4.47</v>
      </c>
      <c r="K1510" s="4">
        <v>0</v>
      </c>
      <c r="L1510" s="4">
        <v>1.2</v>
      </c>
      <c r="M1510" s="4">
        <f t="shared" si="69"/>
        <v>-0.03</v>
      </c>
      <c r="N1510" s="4">
        <f t="shared" si="70"/>
        <v>-4.47</v>
      </c>
      <c r="O1510" s="4">
        <f t="shared" si="71"/>
        <v>0.01</v>
      </c>
      <c r="P1510" s="3" t="s">
        <v>19</v>
      </c>
    </row>
    <row r="1511" spans="1:16" x14ac:dyDescent="0.35">
      <c r="A1511" s="3" t="s">
        <v>40</v>
      </c>
      <c r="B1511" s="3" t="str">
        <f>INDEX(State_Region!$B$2:$B$26,MATCH(TRIM(A1511),State_Region!$A$2:$A$26,0))</f>
        <v>South</v>
      </c>
      <c r="C1511" s="3" t="s">
        <v>211</v>
      </c>
      <c r="D1511" s="3" t="str">
        <f>INDEX(Port_Type!$B$2:$B$227,MATCH(TRIM(C1511),Port_Type!$A$2:$A$227,0))</f>
        <v>Air Cargo</v>
      </c>
      <c r="E1511" s="3" t="s">
        <v>45</v>
      </c>
      <c r="F1511" s="3" t="str">
        <f>INDEX(Product_Category!$B$2:$B$45,MATCH(TRIM(E1511),Product_Category!$A$2:$A$45,0))</f>
        <v>Fresh Fruits &amp; Vegetables</v>
      </c>
      <c r="G1511" s="4">
        <v>0.01</v>
      </c>
      <c r="H1511" s="4">
        <v>0.02</v>
      </c>
      <c r="I1511" s="4">
        <v>0.01</v>
      </c>
      <c r="J1511" s="4">
        <v>4.66</v>
      </c>
      <c r="K1511" s="4">
        <v>12.05</v>
      </c>
      <c r="L1511" s="4">
        <v>9.1300000000000008</v>
      </c>
      <c r="M1511" s="4">
        <f t="shared" si="69"/>
        <v>0.01</v>
      </c>
      <c r="N1511" s="4">
        <f t="shared" si="70"/>
        <v>7.3900000000000006</v>
      </c>
      <c r="O1511" s="4">
        <f t="shared" si="71"/>
        <v>-0.01</v>
      </c>
      <c r="P1511" s="3" t="s">
        <v>19</v>
      </c>
    </row>
    <row r="1512" spans="1:16" x14ac:dyDescent="0.35">
      <c r="A1512" s="3" t="s">
        <v>66</v>
      </c>
      <c r="B1512" s="3" t="str">
        <f>INDEX(State_Region!$B$2:$B$26,MATCH(TRIM(A1512),State_Region!$A$2:$A$26,0))</f>
        <v>North</v>
      </c>
      <c r="C1512" s="3" t="s">
        <v>127</v>
      </c>
      <c r="D1512" s="3" t="str">
        <f>INDEX(Port_Type!$B$2:$B$227,MATCH(TRIM(C1512),Port_Type!$A$2:$A$227,0))</f>
        <v>Inland ICD / CFS</v>
      </c>
      <c r="E1512" s="3" t="s">
        <v>144</v>
      </c>
      <c r="F1512" s="3" t="str">
        <f>INDEX(Product_Category!$B$2:$B$45,MATCH(TRIM(E1512),Product_Category!$A$2:$A$45,0))</f>
        <v>Cereals &amp; Grains</v>
      </c>
      <c r="G1512" s="4">
        <v>0.04</v>
      </c>
      <c r="H1512" s="4">
        <v>0</v>
      </c>
      <c r="I1512" s="4">
        <v>0.01</v>
      </c>
      <c r="J1512" s="4">
        <v>14.35</v>
      </c>
      <c r="K1512" s="4">
        <v>0.7</v>
      </c>
      <c r="L1512" s="4">
        <v>12.51</v>
      </c>
      <c r="M1512" s="4">
        <f t="shared" si="69"/>
        <v>-0.04</v>
      </c>
      <c r="N1512" s="4">
        <f t="shared" si="70"/>
        <v>-13.65</v>
      </c>
      <c r="O1512" s="4">
        <f t="shared" si="71"/>
        <v>0.01</v>
      </c>
      <c r="P1512" s="3" t="s">
        <v>19</v>
      </c>
    </row>
    <row r="1513" spans="1:16" x14ac:dyDescent="0.35">
      <c r="A1513" s="3" t="s">
        <v>16</v>
      </c>
      <c r="B1513" s="3" t="str">
        <f>INDEX(State_Region!$B$2:$B$26,MATCH(TRIM(A1513),State_Region!$A$2:$A$26,0))</f>
        <v>West</v>
      </c>
      <c r="C1513" s="3" t="s">
        <v>17</v>
      </c>
      <c r="D1513" s="3" t="str">
        <f>INDEX(Port_Type!$B$2:$B$227,MATCH(TRIM(C1513),Port_Type!$A$2:$A$227,0))</f>
        <v>Sea Port</v>
      </c>
      <c r="E1513" s="3" t="s">
        <v>181</v>
      </c>
      <c r="F1513" s="3" t="str">
        <f>INDEX(Product_Category!$B$2:$B$45,MATCH(TRIM(E1513),Product_Category!$A$2:$A$45,0))</f>
        <v>Nuts &amp; Oilseeds</v>
      </c>
      <c r="G1513" s="4">
        <v>0.03</v>
      </c>
      <c r="H1513" s="4">
        <v>0.17</v>
      </c>
      <c r="I1513" s="4">
        <v>0.01</v>
      </c>
      <c r="J1513" s="4">
        <v>24.62</v>
      </c>
      <c r="K1513" s="4">
        <v>44.55</v>
      </c>
      <c r="L1513" s="4">
        <v>0.99</v>
      </c>
      <c r="M1513" s="4">
        <f t="shared" si="69"/>
        <v>0.14000000000000001</v>
      </c>
      <c r="N1513" s="4">
        <f t="shared" si="70"/>
        <v>19.929999999999996</v>
      </c>
      <c r="O1513" s="4">
        <f t="shared" si="71"/>
        <v>-0.16</v>
      </c>
      <c r="P1513" s="3" t="s">
        <v>19</v>
      </c>
    </row>
    <row r="1514" spans="1:16" x14ac:dyDescent="0.35">
      <c r="A1514" s="3" t="s">
        <v>40</v>
      </c>
      <c r="B1514" s="3" t="str">
        <f>INDEX(State_Region!$B$2:$B$26,MATCH(TRIM(A1514),State_Region!$A$2:$A$26,0))</f>
        <v>South</v>
      </c>
      <c r="C1514" s="3" t="s">
        <v>64</v>
      </c>
      <c r="D1514" s="3" t="str">
        <f>INDEX(Port_Type!$B$2:$B$227,MATCH(TRIM(C1514),Port_Type!$A$2:$A$227,0))</f>
        <v>Inland ICD / CFS</v>
      </c>
      <c r="E1514" s="3" t="s">
        <v>174</v>
      </c>
      <c r="F1514" s="3" t="str">
        <f>INDEX(Product_Category!$B$2:$B$45,MATCH(TRIM(E1514),Product_Category!$A$2:$A$45,0))</f>
        <v>Dairy, Poultry &amp; Honey</v>
      </c>
      <c r="G1514" s="4">
        <v>0</v>
      </c>
      <c r="H1514" s="4">
        <v>0</v>
      </c>
      <c r="I1514" s="4">
        <v>0.01</v>
      </c>
      <c r="J1514" s="4">
        <v>0</v>
      </c>
      <c r="K1514" s="4">
        <v>0</v>
      </c>
      <c r="L1514" s="4">
        <v>1.7</v>
      </c>
      <c r="M1514" s="4">
        <f t="shared" si="69"/>
        <v>0</v>
      </c>
      <c r="N1514" s="4">
        <f t="shared" si="70"/>
        <v>0</v>
      </c>
      <c r="O1514" s="4">
        <f t="shared" si="71"/>
        <v>0.01</v>
      </c>
      <c r="P1514" s="3" t="s">
        <v>19</v>
      </c>
    </row>
    <row r="1515" spans="1:16" x14ac:dyDescent="0.35">
      <c r="A1515" s="3" t="s">
        <v>159</v>
      </c>
      <c r="B1515" s="3" t="str">
        <f>INDEX(State_Region!$B$2:$B$26,MATCH(TRIM(A1515),State_Region!$A$2:$A$26,0))</f>
        <v>North-East</v>
      </c>
      <c r="C1515" s="3" t="s">
        <v>160</v>
      </c>
      <c r="D1515" s="3" t="str">
        <f>INDEX(Port_Type!$B$2:$B$227,MATCH(TRIM(C1515),Port_Type!$A$2:$A$227,0))</f>
        <v>Land Border / Rail</v>
      </c>
      <c r="E1515" s="3" t="s">
        <v>46</v>
      </c>
      <c r="F1515" s="3" t="str">
        <f>INDEX(Product_Category!$B$2:$B$45,MATCH(TRIM(E1515),Product_Category!$A$2:$A$45,0))</f>
        <v>Others</v>
      </c>
      <c r="G1515" s="4">
        <v>0</v>
      </c>
      <c r="H1515" s="4">
        <v>0</v>
      </c>
      <c r="I1515" s="4">
        <v>0.01</v>
      </c>
      <c r="J1515" s="4">
        <v>0</v>
      </c>
      <c r="K1515" s="4">
        <v>0</v>
      </c>
      <c r="L1515" s="4">
        <v>5</v>
      </c>
      <c r="M1515" s="4">
        <f t="shared" si="69"/>
        <v>0</v>
      </c>
      <c r="N1515" s="4">
        <f t="shared" si="70"/>
        <v>0</v>
      </c>
      <c r="O1515" s="4">
        <f t="shared" si="71"/>
        <v>0.01</v>
      </c>
      <c r="P1515" s="3" t="s">
        <v>19</v>
      </c>
    </row>
    <row r="1516" spans="1:16" x14ac:dyDescent="0.35">
      <c r="A1516" s="3" t="s">
        <v>16</v>
      </c>
      <c r="B1516" s="3" t="str">
        <f>INDEX(State_Region!$B$2:$B$26,MATCH(TRIM(A1516),State_Region!$A$2:$A$26,0))</f>
        <v>West</v>
      </c>
      <c r="C1516" s="3" t="s">
        <v>115</v>
      </c>
      <c r="D1516" s="3" t="str">
        <f>INDEX(Port_Type!$B$2:$B$227,MATCH(TRIM(C1516),Port_Type!$A$2:$A$227,0))</f>
        <v>Inland ICD / CFS</v>
      </c>
      <c r="E1516" s="3" t="s">
        <v>126</v>
      </c>
      <c r="F1516" s="3" t="str">
        <f>INDEX(Product_Category!$B$2:$B$45,MATCH(TRIM(E1516),Product_Category!$A$2:$A$45,0))</f>
        <v>Cereals &amp; Grains</v>
      </c>
      <c r="G1516" s="4">
        <v>0</v>
      </c>
      <c r="H1516" s="4">
        <v>0.01</v>
      </c>
      <c r="I1516" s="4">
        <v>0.01</v>
      </c>
      <c r="J1516" s="4">
        <v>0</v>
      </c>
      <c r="K1516" s="4">
        <v>3.51</v>
      </c>
      <c r="L1516" s="4">
        <v>9.2799999999999994</v>
      </c>
      <c r="M1516" s="4">
        <f t="shared" si="69"/>
        <v>0.01</v>
      </c>
      <c r="N1516" s="4">
        <f t="shared" si="70"/>
        <v>3.51</v>
      </c>
      <c r="O1516" s="4">
        <f t="shared" si="71"/>
        <v>0</v>
      </c>
      <c r="P1516" s="3" t="s">
        <v>19</v>
      </c>
    </row>
    <row r="1517" spans="1:16" x14ac:dyDescent="0.35">
      <c r="A1517" s="3" t="s">
        <v>25</v>
      </c>
      <c r="B1517" s="3" t="str">
        <f>INDEX(State_Region!$B$2:$B$26,MATCH(TRIM(A1517),State_Region!$A$2:$A$26,0))</f>
        <v>South</v>
      </c>
      <c r="C1517" s="3" t="s">
        <v>29</v>
      </c>
      <c r="D1517" s="3" t="str">
        <f>INDEX(Port_Type!$B$2:$B$227,MATCH(TRIM(C1517),Port_Type!$A$2:$A$227,0))</f>
        <v>Sea Port</v>
      </c>
      <c r="E1517" s="3" t="s">
        <v>65</v>
      </c>
      <c r="F1517" s="3" t="str">
        <f>INDEX(Product_Category!$B$2:$B$45,MATCH(TRIM(E1517),Product_Category!$A$2:$A$45,0))</f>
        <v>Cereals &amp; Grains</v>
      </c>
      <c r="G1517" s="4">
        <v>0.02</v>
      </c>
      <c r="H1517" s="4">
        <v>0.03</v>
      </c>
      <c r="I1517" s="4">
        <v>0.01</v>
      </c>
      <c r="J1517" s="4">
        <v>52.05</v>
      </c>
      <c r="K1517" s="4">
        <v>44.64</v>
      </c>
      <c r="L1517" s="4">
        <v>12.7</v>
      </c>
      <c r="M1517" s="4">
        <f t="shared" si="69"/>
        <v>9.9999999999999985E-3</v>
      </c>
      <c r="N1517" s="4">
        <f t="shared" si="70"/>
        <v>-7.4099999999999966</v>
      </c>
      <c r="O1517" s="4">
        <f t="shared" si="71"/>
        <v>-1.9999999999999997E-2</v>
      </c>
      <c r="P1517" s="3" t="s">
        <v>19</v>
      </c>
    </row>
    <row r="1518" spans="1:16" x14ac:dyDescent="0.35">
      <c r="A1518" s="3" t="s">
        <v>189</v>
      </c>
      <c r="B1518" s="3" t="str">
        <f>INDEX(State_Region!$B$2:$B$26,MATCH(TRIM(A1518),State_Region!$A$2:$A$26,0))</f>
        <v>North</v>
      </c>
      <c r="C1518" s="3" t="s">
        <v>193</v>
      </c>
      <c r="D1518" s="3" t="str">
        <f>INDEX(Port_Type!$B$2:$B$227,MATCH(TRIM(C1518),Port_Type!$A$2:$A$227,0))</f>
        <v>Inland ICD / CFS</v>
      </c>
      <c r="E1518" s="3" t="s">
        <v>45</v>
      </c>
      <c r="F1518" s="3" t="str">
        <f>INDEX(Product_Category!$B$2:$B$45,MATCH(TRIM(E1518),Product_Category!$A$2:$A$45,0))</f>
        <v>Fresh Fruits &amp; Vegetables</v>
      </c>
      <c r="G1518" s="4">
        <v>0</v>
      </c>
      <c r="H1518" s="4">
        <v>0</v>
      </c>
      <c r="I1518" s="4">
        <v>0.01</v>
      </c>
      <c r="J1518" s="4">
        <v>0</v>
      </c>
      <c r="K1518" s="4">
        <v>0</v>
      </c>
      <c r="L1518" s="4">
        <v>2.27</v>
      </c>
      <c r="M1518" s="4">
        <f t="shared" si="69"/>
        <v>0</v>
      </c>
      <c r="N1518" s="4">
        <f t="shared" si="70"/>
        <v>0</v>
      </c>
      <c r="O1518" s="4">
        <f t="shared" si="71"/>
        <v>0.01</v>
      </c>
      <c r="P1518" s="3" t="s">
        <v>19</v>
      </c>
    </row>
    <row r="1519" spans="1:16" x14ac:dyDescent="0.35">
      <c r="A1519" s="3" t="s">
        <v>159</v>
      </c>
      <c r="B1519" s="3" t="str">
        <f>INDEX(State_Region!$B$2:$B$26,MATCH(TRIM(A1519),State_Region!$A$2:$A$26,0))</f>
        <v>North-East</v>
      </c>
      <c r="C1519" s="3" t="s">
        <v>253</v>
      </c>
      <c r="D1519" s="3" t="str">
        <f>INDEX(Port_Type!$B$2:$B$227,MATCH(TRIM(C1519),Port_Type!$A$2:$A$227,0))</f>
        <v>Land Border / Rail</v>
      </c>
      <c r="E1519" s="3" t="s">
        <v>45</v>
      </c>
      <c r="F1519" s="3" t="str">
        <f>INDEX(Product_Category!$B$2:$B$45,MATCH(TRIM(E1519),Product_Category!$A$2:$A$45,0))</f>
        <v>Fresh Fruits &amp; Vegetables</v>
      </c>
      <c r="G1519" s="4">
        <v>0.03</v>
      </c>
      <c r="H1519" s="4">
        <v>4.4800000000000004</v>
      </c>
      <c r="I1519" s="4">
        <v>0.01</v>
      </c>
      <c r="J1519" s="4">
        <v>134.94</v>
      </c>
      <c r="K1519" s="4">
        <v>17431.68</v>
      </c>
      <c r="L1519" s="4">
        <v>40.5</v>
      </c>
      <c r="M1519" s="4">
        <f t="shared" si="69"/>
        <v>4.45</v>
      </c>
      <c r="N1519" s="4">
        <f t="shared" si="70"/>
        <v>17296.740000000002</v>
      </c>
      <c r="O1519" s="4">
        <f t="shared" si="71"/>
        <v>-4.4700000000000006</v>
      </c>
      <c r="P1519" s="3" t="s">
        <v>19</v>
      </c>
    </row>
    <row r="1520" spans="1:16" x14ac:dyDescent="0.35">
      <c r="A1520" s="3" t="s">
        <v>40</v>
      </c>
      <c r="B1520" s="3" t="str">
        <f>INDEX(State_Region!$B$2:$B$26,MATCH(TRIM(A1520),State_Region!$A$2:$A$26,0))</f>
        <v>South</v>
      </c>
      <c r="C1520" s="3" t="s">
        <v>183</v>
      </c>
      <c r="D1520" s="3" t="str">
        <f>INDEX(Port_Type!$B$2:$B$227,MATCH(TRIM(C1520),Port_Type!$A$2:$A$227,0))</f>
        <v>Inland ICD / CFS</v>
      </c>
      <c r="E1520" s="3" t="s">
        <v>42</v>
      </c>
      <c r="F1520" s="3" t="str">
        <f>INDEX(Product_Category!$B$2:$B$45,MATCH(TRIM(E1520),Product_Category!$A$2:$A$45,0))</f>
        <v>Processed Foods</v>
      </c>
      <c r="G1520" s="4">
        <v>7.0000000000000007E-2</v>
      </c>
      <c r="H1520" s="4">
        <v>0.01</v>
      </c>
      <c r="I1520" s="4">
        <v>0.01</v>
      </c>
      <c r="J1520" s="4">
        <v>11.12</v>
      </c>
      <c r="K1520" s="4">
        <v>5.22</v>
      </c>
      <c r="L1520" s="4">
        <v>1.1499999999999999</v>
      </c>
      <c r="M1520" s="4">
        <f t="shared" si="69"/>
        <v>-6.0000000000000005E-2</v>
      </c>
      <c r="N1520" s="4">
        <f t="shared" si="70"/>
        <v>-5.8999999999999995</v>
      </c>
      <c r="O1520" s="4">
        <f t="shared" si="71"/>
        <v>0</v>
      </c>
      <c r="P1520" s="3" t="s">
        <v>19</v>
      </c>
    </row>
    <row r="1521" spans="1:16" x14ac:dyDescent="0.35">
      <c r="A1521" s="3" t="s">
        <v>31</v>
      </c>
      <c r="B1521" s="3" t="str">
        <f>INDEX(State_Region!$B$2:$B$26,MATCH(TRIM(A1521),State_Region!$A$2:$A$26,0))</f>
        <v>East</v>
      </c>
      <c r="C1521" s="3" t="s">
        <v>32</v>
      </c>
      <c r="D1521" s="3" t="str">
        <f>INDEX(Port_Type!$B$2:$B$227,MATCH(TRIM(C1521),Port_Type!$A$2:$A$227,0))</f>
        <v>Sea Port</v>
      </c>
      <c r="E1521" s="3" t="s">
        <v>76</v>
      </c>
      <c r="F1521" s="3" t="str">
        <f>INDEX(Product_Category!$B$2:$B$45,MATCH(TRIM(E1521),Product_Category!$A$2:$A$45,0))</f>
        <v>Fresh Fruits &amp; Vegetables</v>
      </c>
      <c r="G1521" s="4">
        <v>0</v>
      </c>
      <c r="H1521" s="4">
        <v>0.01</v>
      </c>
      <c r="I1521" s="4">
        <v>0.01</v>
      </c>
      <c r="J1521" s="4">
        <v>1.02</v>
      </c>
      <c r="K1521" s="4">
        <v>4.16</v>
      </c>
      <c r="L1521" s="4">
        <v>3.19</v>
      </c>
      <c r="M1521" s="4">
        <f t="shared" si="69"/>
        <v>0.01</v>
      </c>
      <c r="N1521" s="4">
        <f t="shared" si="70"/>
        <v>3.14</v>
      </c>
      <c r="O1521" s="4">
        <f t="shared" si="71"/>
        <v>0</v>
      </c>
      <c r="P1521" s="3" t="s">
        <v>19</v>
      </c>
    </row>
    <row r="1522" spans="1:16" x14ac:dyDescent="0.35">
      <c r="A1522" s="3" t="s">
        <v>16</v>
      </c>
      <c r="B1522" s="3" t="str">
        <f>INDEX(State_Region!$B$2:$B$26,MATCH(TRIM(A1522),State_Region!$A$2:$A$26,0))</f>
        <v>West</v>
      </c>
      <c r="C1522" s="3" t="s">
        <v>109</v>
      </c>
      <c r="D1522" s="3" t="str">
        <f>INDEX(Port_Type!$B$2:$B$227,MATCH(TRIM(C1522),Port_Type!$A$2:$A$227,0))</f>
        <v>SEZ / EPZ</v>
      </c>
      <c r="E1522" s="3" t="s">
        <v>150</v>
      </c>
      <c r="F1522" s="3" t="str">
        <f>INDEX(Product_Category!$B$2:$B$45,MATCH(TRIM(E1522),Product_Category!$A$2:$A$45,0))</f>
        <v>Nuts &amp; Oilseeds</v>
      </c>
      <c r="G1522" s="4">
        <v>0.01</v>
      </c>
      <c r="H1522" s="4">
        <v>0.09</v>
      </c>
      <c r="I1522" s="4">
        <v>0.01</v>
      </c>
      <c r="J1522" s="4">
        <v>0.86</v>
      </c>
      <c r="K1522" s="4">
        <v>11.39</v>
      </c>
      <c r="L1522" s="4">
        <v>0.84</v>
      </c>
      <c r="M1522" s="4">
        <f t="shared" si="69"/>
        <v>0.08</v>
      </c>
      <c r="N1522" s="4">
        <f t="shared" si="70"/>
        <v>10.530000000000001</v>
      </c>
      <c r="O1522" s="4">
        <f t="shared" si="71"/>
        <v>-0.08</v>
      </c>
      <c r="P1522" s="3" t="s">
        <v>19</v>
      </c>
    </row>
    <row r="1523" spans="1:16" x14ac:dyDescent="0.35">
      <c r="A1523" s="3" t="s">
        <v>31</v>
      </c>
      <c r="B1523" s="3" t="str">
        <f>INDEX(State_Region!$B$2:$B$26,MATCH(TRIM(A1523),State_Region!$A$2:$A$26,0))</f>
        <v>East</v>
      </c>
      <c r="C1523" s="3" t="s">
        <v>101</v>
      </c>
      <c r="D1523" s="3" t="str">
        <f>INDEX(Port_Type!$B$2:$B$227,MATCH(TRIM(C1523),Port_Type!$A$2:$A$227,0))</f>
        <v>Land Border / Rail</v>
      </c>
      <c r="E1523" s="3" t="s">
        <v>126</v>
      </c>
      <c r="F1523" s="3" t="str">
        <f>INDEX(Product_Category!$B$2:$B$45,MATCH(TRIM(E1523),Product_Category!$A$2:$A$45,0))</f>
        <v>Cereals &amp; Grains</v>
      </c>
      <c r="G1523" s="4">
        <v>0.1</v>
      </c>
      <c r="H1523" s="4">
        <v>0.22</v>
      </c>
      <c r="I1523" s="4">
        <v>0.01</v>
      </c>
      <c r="J1523" s="4">
        <v>316</v>
      </c>
      <c r="K1523" s="4">
        <v>602.39</v>
      </c>
      <c r="L1523" s="4">
        <v>20</v>
      </c>
      <c r="M1523" s="4">
        <f t="shared" si="69"/>
        <v>0.12</v>
      </c>
      <c r="N1523" s="4">
        <f t="shared" si="70"/>
        <v>286.39</v>
      </c>
      <c r="O1523" s="4">
        <f t="shared" si="71"/>
        <v>-0.21</v>
      </c>
      <c r="P1523" s="3" t="s">
        <v>19</v>
      </c>
    </row>
    <row r="1524" spans="1:16" x14ac:dyDescent="0.35">
      <c r="A1524" s="3" t="s">
        <v>66</v>
      </c>
      <c r="B1524" s="3" t="str">
        <f>INDEX(State_Region!$B$2:$B$26,MATCH(TRIM(A1524),State_Region!$A$2:$A$26,0))</f>
        <v>North</v>
      </c>
      <c r="C1524" s="3" t="s">
        <v>208</v>
      </c>
      <c r="D1524" s="3" t="str">
        <f>INDEX(Port_Type!$B$2:$B$227,MATCH(TRIM(C1524),Port_Type!$A$2:$A$227,0))</f>
        <v>Inland ICD / CFS</v>
      </c>
      <c r="E1524" s="3" t="s">
        <v>59</v>
      </c>
      <c r="F1524" s="3" t="str">
        <f>INDEX(Product_Category!$B$2:$B$45,MATCH(TRIM(E1524),Product_Category!$A$2:$A$45,0))</f>
        <v>Processed Foods</v>
      </c>
      <c r="G1524" s="4">
        <v>0.01</v>
      </c>
      <c r="H1524" s="4">
        <v>0</v>
      </c>
      <c r="I1524" s="4">
        <v>0.01</v>
      </c>
      <c r="J1524" s="4">
        <v>0.93</v>
      </c>
      <c r="K1524" s="4">
        <v>0.05</v>
      </c>
      <c r="L1524" s="4">
        <v>2.2799999999999998</v>
      </c>
      <c r="M1524" s="4">
        <f t="shared" si="69"/>
        <v>-0.01</v>
      </c>
      <c r="N1524" s="4">
        <f t="shared" si="70"/>
        <v>-0.88</v>
      </c>
      <c r="O1524" s="4">
        <f t="shared" si="71"/>
        <v>0.01</v>
      </c>
      <c r="P1524" s="3" t="s">
        <v>19</v>
      </c>
    </row>
    <row r="1525" spans="1:16" x14ac:dyDescent="0.35">
      <c r="A1525" s="3" t="s">
        <v>77</v>
      </c>
      <c r="B1525" s="3" t="str">
        <f>INDEX(State_Region!$B$2:$B$26,MATCH(TRIM(A1525),State_Region!$A$2:$A$26,0))</f>
        <v>South</v>
      </c>
      <c r="C1525" s="3" t="s">
        <v>149</v>
      </c>
      <c r="D1525" s="3" t="str">
        <f>INDEX(Port_Type!$B$2:$B$227,MATCH(TRIM(C1525),Port_Type!$A$2:$A$227,0))</f>
        <v>SEZ / EPZ</v>
      </c>
      <c r="E1525" s="3" t="s">
        <v>42</v>
      </c>
      <c r="F1525" s="3" t="str">
        <f>INDEX(Product_Category!$B$2:$B$45,MATCH(TRIM(E1525),Product_Category!$A$2:$A$45,0))</f>
        <v>Processed Foods</v>
      </c>
      <c r="G1525" s="4">
        <v>0.03</v>
      </c>
      <c r="H1525" s="4">
        <v>0.1</v>
      </c>
      <c r="I1525" s="4">
        <v>0.01</v>
      </c>
      <c r="J1525" s="4">
        <v>39.36</v>
      </c>
      <c r="K1525" s="4">
        <v>38.840000000000003</v>
      </c>
      <c r="L1525" s="4">
        <v>3.83</v>
      </c>
      <c r="M1525" s="4">
        <f t="shared" si="69"/>
        <v>7.0000000000000007E-2</v>
      </c>
      <c r="N1525" s="4">
        <f t="shared" si="70"/>
        <v>-0.51999999999999602</v>
      </c>
      <c r="O1525" s="4">
        <f t="shared" si="71"/>
        <v>-9.0000000000000011E-2</v>
      </c>
      <c r="P1525" s="3" t="s">
        <v>19</v>
      </c>
    </row>
    <row r="1526" spans="1:16" x14ac:dyDescent="0.35">
      <c r="A1526" s="3" t="s">
        <v>66</v>
      </c>
      <c r="B1526" s="3" t="str">
        <f>INDEX(State_Region!$B$2:$B$26,MATCH(TRIM(A1526),State_Region!$A$2:$A$26,0))</f>
        <v>North</v>
      </c>
      <c r="C1526" s="3" t="s">
        <v>219</v>
      </c>
      <c r="D1526" s="3" t="str">
        <f>INDEX(Port_Type!$B$2:$B$227,MATCH(TRIM(C1526),Port_Type!$A$2:$A$227,0))</f>
        <v>Air Cargo</v>
      </c>
      <c r="E1526" s="3" t="s">
        <v>39</v>
      </c>
      <c r="F1526" s="3" t="str">
        <f>INDEX(Product_Category!$B$2:$B$45,MATCH(TRIM(E1526),Product_Category!$A$2:$A$45,0))</f>
        <v>Processed Foods</v>
      </c>
      <c r="G1526" s="4">
        <v>0.02</v>
      </c>
      <c r="H1526" s="4">
        <v>0.12</v>
      </c>
      <c r="I1526" s="4">
        <v>0.01</v>
      </c>
      <c r="J1526" s="4">
        <v>1.95</v>
      </c>
      <c r="K1526" s="4">
        <v>9.42</v>
      </c>
      <c r="L1526" s="4">
        <v>0.31</v>
      </c>
      <c r="M1526" s="4">
        <f t="shared" si="69"/>
        <v>9.9999999999999992E-2</v>
      </c>
      <c r="N1526" s="4">
        <f t="shared" si="70"/>
        <v>7.47</v>
      </c>
      <c r="O1526" s="4">
        <f t="shared" si="71"/>
        <v>-0.11</v>
      </c>
      <c r="P1526" s="3" t="s">
        <v>19</v>
      </c>
    </row>
    <row r="1527" spans="1:16" x14ac:dyDescent="0.35">
      <c r="A1527" s="3" t="s">
        <v>49</v>
      </c>
      <c r="B1527" s="3" t="str">
        <f>INDEX(State_Region!$B$2:$B$26,MATCH(TRIM(A1527),State_Region!$A$2:$A$26,0))</f>
        <v>North</v>
      </c>
      <c r="C1527" s="3" t="s">
        <v>176</v>
      </c>
      <c r="D1527" s="3" t="str">
        <f>INDEX(Port_Type!$B$2:$B$227,MATCH(TRIM(C1527),Port_Type!$A$2:$A$227,0))</f>
        <v>Inland ICD / CFS</v>
      </c>
      <c r="E1527" s="3" t="s">
        <v>42</v>
      </c>
      <c r="F1527" s="3" t="str">
        <f>INDEX(Product_Category!$B$2:$B$45,MATCH(TRIM(E1527),Product_Category!$A$2:$A$45,0))</f>
        <v>Processed Foods</v>
      </c>
      <c r="G1527" s="4">
        <v>0.11</v>
      </c>
      <c r="H1527" s="4">
        <v>0.04</v>
      </c>
      <c r="I1527" s="4">
        <v>0.01</v>
      </c>
      <c r="J1527" s="4">
        <v>81.56</v>
      </c>
      <c r="K1527" s="4">
        <v>18.25</v>
      </c>
      <c r="L1527" s="4">
        <v>4.01</v>
      </c>
      <c r="M1527" s="4">
        <f t="shared" si="69"/>
        <v>-7.0000000000000007E-2</v>
      </c>
      <c r="N1527" s="4">
        <f t="shared" si="70"/>
        <v>-63.31</v>
      </c>
      <c r="O1527" s="4">
        <f t="shared" si="71"/>
        <v>-0.03</v>
      </c>
      <c r="P1527" s="3" t="s">
        <v>19</v>
      </c>
    </row>
    <row r="1528" spans="1:16" x14ac:dyDescent="0.35">
      <c r="A1528" s="3" t="s">
        <v>74</v>
      </c>
      <c r="B1528" s="3" t="str">
        <f>INDEX(State_Region!$B$2:$B$26,MATCH(TRIM(A1528),State_Region!$A$2:$A$26,0))</f>
        <v>South</v>
      </c>
      <c r="C1528" s="3" t="s">
        <v>98</v>
      </c>
      <c r="D1528" s="3" t="str">
        <f>INDEX(Port_Type!$B$2:$B$227,MATCH(TRIM(C1528),Port_Type!$A$2:$A$227,0))</f>
        <v>Inland ICD / CFS</v>
      </c>
      <c r="E1528" s="3" t="s">
        <v>54</v>
      </c>
      <c r="F1528" s="3" t="str">
        <f>INDEX(Product_Category!$B$2:$B$45,MATCH(TRIM(E1528),Product_Category!$A$2:$A$45,0))</f>
        <v>Processed Foods</v>
      </c>
      <c r="G1528" s="4">
        <v>0</v>
      </c>
      <c r="H1528" s="4">
        <v>0.01</v>
      </c>
      <c r="I1528" s="4">
        <v>0.01</v>
      </c>
      <c r="J1528" s="4">
        <v>0</v>
      </c>
      <c r="K1528" s="4">
        <v>2.44</v>
      </c>
      <c r="L1528" s="4">
        <v>2.2000000000000002</v>
      </c>
      <c r="M1528" s="4">
        <f t="shared" si="69"/>
        <v>0.01</v>
      </c>
      <c r="N1528" s="4">
        <f t="shared" si="70"/>
        <v>2.44</v>
      </c>
      <c r="O1528" s="4">
        <f t="shared" si="71"/>
        <v>0</v>
      </c>
      <c r="P1528" s="3" t="s">
        <v>19</v>
      </c>
    </row>
    <row r="1529" spans="1:16" x14ac:dyDescent="0.35">
      <c r="A1529" s="3" t="s">
        <v>31</v>
      </c>
      <c r="B1529" s="3" t="str">
        <f>INDEX(State_Region!$B$2:$B$26,MATCH(TRIM(A1529),State_Region!$A$2:$A$26,0))</f>
        <v>East</v>
      </c>
      <c r="C1529" s="3" t="s">
        <v>131</v>
      </c>
      <c r="D1529" s="3" t="str">
        <f>INDEX(Port_Type!$B$2:$B$227,MATCH(TRIM(C1529),Port_Type!$A$2:$A$227,0))</f>
        <v>Land Border / Rail</v>
      </c>
      <c r="E1529" s="3" t="s">
        <v>181</v>
      </c>
      <c r="F1529" s="3" t="str">
        <f>INDEX(Product_Category!$B$2:$B$45,MATCH(TRIM(E1529),Product_Category!$A$2:$A$45,0))</f>
        <v>Nuts &amp; Oilseeds</v>
      </c>
      <c r="G1529" s="4">
        <v>0.01</v>
      </c>
      <c r="H1529" s="4">
        <v>0.02</v>
      </c>
      <c r="I1529" s="4">
        <v>0.01</v>
      </c>
      <c r="J1529" s="4">
        <v>1.19</v>
      </c>
      <c r="K1529" s="4">
        <v>1.43</v>
      </c>
      <c r="L1529" s="4">
        <v>0.88</v>
      </c>
      <c r="M1529" s="4">
        <f t="shared" si="69"/>
        <v>0.01</v>
      </c>
      <c r="N1529" s="4">
        <f t="shared" si="70"/>
        <v>0.24</v>
      </c>
      <c r="O1529" s="4">
        <f t="shared" si="71"/>
        <v>-0.01</v>
      </c>
      <c r="P1529" s="3" t="s">
        <v>19</v>
      </c>
    </row>
    <row r="1530" spans="1:16" x14ac:dyDescent="0.35">
      <c r="A1530" s="3" t="s">
        <v>40</v>
      </c>
      <c r="B1530" s="3" t="str">
        <f>INDEX(State_Region!$B$2:$B$26,MATCH(TRIM(A1530),State_Region!$A$2:$A$26,0))</f>
        <v>South</v>
      </c>
      <c r="C1530" s="3" t="s">
        <v>211</v>
      </c>
      <c r="D1530" s="3" t="str">
        <f>INDEX(Port_Type!$B$2:$B$227,MATCH(TRIM(C1530),Port_Type!$A$2:$A$227,0))</f>
        <v>Air Cargo</v>
      </c>
      <c r="E1530" s="3" t="s">
        <v>72</v>
      </c>
      <c r="F1530" s="3" t="str">
        <f>INDEX(Product_Category!$B$2:$B$45,MATCH(TRIM(E1530),Product_Category!$A$2:$A$45,0))</f>
        <v>Dairy, Poultry &amp; Honey</v>
      </c>
      <c r="G1530" s="4">
        <v>0</v>
      </c>
      <c r="H1530" s="4">
        <v>0.02</v>
      </c>
      <c r="I1530" s="4">
        <v>0.01</v>
      </c>
      <c r="J1530" s="4">
        <v>0.12</v>
      </c>
      <c r="K1530" s="4">
        <v>3.55</v>
      </c>
      <c r="L1530" s="4">
        <v>2.15</v>
      </c>
      <c r="M1530" s="4">
        <f t="shared" si="69"/>
        <v>0.02</v>
      </c>
      <c r="N1530" s="4">
        <f t="shared" si="70"/>
        <v>3.4299999999999997</v>
      </c>
      <c r="O1530" s="4">
        <f t="shared" si="71"/>
        <v>-0.01</v>
      </c>
      <c r="P1530" s="3" t="s">
        <v>19</v>
      </c>
    </row>
    <row r="1531" spans="1:16" x14ac:dyDescent="0.35">
      <c r="A1531" s="3" t="s">
        <v>16</v>
      </c>
      <c r="B1531" s="3" t="str">
        <f>INDEX(State_Region!$B$2:$B$26,MATCH(TRIM(A1531),State_Region!$A$2:$A$26,0))</f>
        <v>West</v>
      </c>
      <c r="C1531" s="3" t="s">
        <v>28</v>
      </c>
      <c r="D1531" s="3" t="str">
        <f>INDEX(Port_Type!$B$2:$B$227,MATCH(TRIM(C1531),Port_Type!$A$2:$A$227,0))</f>
        <v>Sea Port</v>
      </c>
      <c r="E1531" s="3" t="s">
        <v>65</v>
      </c>
      <c r="F1531" s="3" t="str">
        <f>INDEX(Product_Category!$B$2:$B$45,MATCH(TRIM(E1531),Product_Category!$A$2:$A$45,0))</f>
        <v>Cereals &amp; Grains</v>
      </c>
      <c r="G1531" s="4">
        <v>0.52</v>
      </c>
      <c r="H1531" s="4">
        <v>0.17</v>
      </c>
      <c r="I1531" s="4">
        <v>0.01</v>
      </c>
      <c r="J1531" s="4">
        <v>1550</v>
      </c>
      <c r="K1531" s="4">
        <v>418.76</v>
      </c>
      <c r="L1531" s="4">
        <v>17</v>
      </c>
      <c r="M1531" s="4">
        <f t="shared" si="69"/>
        <v>-0.35</v>
      </c>
      <c r="N1531" s="4">
        <f t="shared" si="70"/>
        <v>-1131.24</v>
      </c>
      <c r="O1531" s="4">
        <f t="shared" si="71"/>
        <v>-0.16</v>
      </c>
      <c r="P1531" s="3" t="s">
        <v>19</v>
      </c>
    </row>
    <row r="1532" spans="1:16" x14ac:dyDescent="0.35">
      <c r="A1532" s="3" t="s">
        <v>35</v>
      </c>
      <c r="B1532" s="3" t="str">
        <f>INDEX(State_Region!$B$2:$B$26,MATCH(TRIM(A1532),State_Region!$A$2:$A$26,0))</f>
        <v>North</v>
      </c>
      <c r="C1532" s="3" t="s">
        <v>38</v>
      </c>
      <c r="D1532" s="3" t="str">
        <f>INDEX(Port_Type!$B$2:$B$227,MATCH(TRIM(C1532),Port_Type!$A$2:$A$227,0))</f>
        <v>Inland ICD / CFS</v>
      </c>
      <c r="E1532" s="3" t="s">
        <v>170</v>
      </c>
      <c r="F1532" s="3" t="str">
        <f>INDEX(Product_Category!$B$2:$B$45,MATCH(TRIM(E1532),Product_Category!$A$2:$A$45,0))</f>
        <v>Others</v>
      </c>
      <c r="G1532" s="4">
        <v>0.12</v>
      </c>
      <c r="H1532" s="4">
        <v>0.05</v>
      </c>
      <c r="I1532" s="4">
        <v>0.01</v>
      </c>
      <c r="J1532" s="4">
        <v>27.42</v>
      </c>
      <c r="K1532" s="4">
        <v>5.36</v>
      </c>
      <c r="L1532" s="4">
        <v>1.29</v>
      </c>
      <c r="M1532" s="4">
        <f t="shared" si="69"/>
        <v>-6.9999999999999993E-2</v>
      </c>
      <c r="N1532" s="4">
        <f t="shared" si="70"/>
        <v>-22.060000000000002</v>
      </c>
      <c r="O1532" s="4">
        <f t="shared" si="71"/>
        <v>-0.04</v>
      </c>
      <c r="P1532" s="3" t="s">
        <v>19</v>
      </c>
    </row>
    <row r="1533" spans="1:16" x14ac:dyDescent="0.35">
      <c r="A1533" s="3" t="s">
        <v>79</v>
      </c>
      <c r="B1533" s="3" t="str">
        <f>INDEX(State_Region!$B$2:$B$26,MATCH(TRIM(A1533),State_Region!$A$2:$A$26,0))</f>
        <v>South</v>
      </c>
      <c r="C1533" s="3" t="s">
        <v>92</v>
      </c>
      <c r="D1533" s="3" t="str">
        <f>INDEX(Port_Type!$B$2:$B$227,MATCH(TRIM(C1533),Port_Type!$A$2:$A$227,0))</f>
        <v>Air Cargo</v>
      </c>
      <c r="E1533" s="3" t="s">
        <v>53</v>
      </c>
      <c r="F1533" s="3" t="str">
        <f>INDEX(Product_Category!$B$2:$B$45,MATCH(TRIM(E1533),Product_Category!$A$2:$A$45,0))</f>
        <v>Processed Foods</v>
      </c>
      <c r="G1533" s="4">
        <v>0.04</v>
      </c>
      <c r="H1533" s="4">
        <v>0.02</v>
      </c>
      <c r="I1533" s="4">
        <v>0.01</v>
      </c>
      <c r="J1533" s="4">
        <v>7.48</v>
      </c>
      <c r="K1533" s="4">
        <v>7</v>
      </c>
      <c r="L1533" s="4">
        <v>1.29</v>
      </c>
      <c r="M1533" s="4">
        <f t="shared" si="69"/>
        <v>-0.02</v>
      </c>
      <c r="N1533" s="4">
        <f t="shared" si="70"/>
        <v>-0.48000000000000043</v>
      </c>
      <c r="O1533" s="4">
        <f t="shared" si="71"/>
        <v>-0.01</v>
      </c>
      <c r="P1533" s="3" t="s">
        <v>19</v>
      </c>
    </row>
    <row r="1534" spans="1:16" x14ac:dyDescent="0.35">
      <c r="A1534" s="3" t="s">
        <v>40</v>
      </c>
      <c r="B1534" s="3" t="str">
        <f>INDEX(State_Region!$B$2:$B$26,MATCH(TRIM(A1534),State_Region!$A$2:$A$26,0))</f>
        <v>South</v>
      </c>
      <c r="C1534" s="3" t="s">
        <v>220</v>
      </c>
      <c r="D1534" s="3" t="str">
        <f>INDEX(Port_Type!$B$2:$B$227,MATCH(TRIM(C1534),Port_Type!$A$2:$A$227,0))</f>
        <v>Inland ICD / CFS</v>
      </c>
      <c r="E1534" s="3" t="s">
        <v>45</v>
      </c>
      <c r="F1534" s="3" t="str">
        <f>INDEX(Product_Category!$B$2:$B$45,MATCH(TRIM(E1534),Product_Category!$A$2:$A$45,0))</f>
        <v>Fresh Fruits &amp; Vegetables</v>
      </c>
      <c r="G1534" s="4">
        <v>0</v>
      </c>
      <c r="H1534" s="4">
        <v>0</v>
      </c>
      <c r="I1534" s="4">
        <v>0.01</v>
      </c>
      <c r="J1534" s="4">
        <v>0.03</v>
      </c>
      <c r="K1534" s="4">
        <v>0.16</v>
      </c>
      <c r="L1534" s="4">
        <v>0.94</v>
      </c>
      <c r="M1534" s="4">
        <f t="shared" si="69"/>
        <v>0</v>
      </c>
      <c r="N1534" s="4">
        <f t="shared" si="70"/>
        <v>0.13</v>
      </c>
      <c r="O1534" s="4">
        <f t="shared" si="71"/>
        <v>0.01</v>
      </c>
      <c r="P1534" s="3" t="s">
        <v>19</v>
      </c>
    </row>
    <row r="1535" spans="1:16" x14ac:dyDescent="0.35">
      <c r="A1535" s="3" t="s">
        <v>86</v>
      </c>
      <c r="B1535" s="3" t="str">
        <f>INDEX(State_Region!$B$2:$B$26,MATCH(TRIM(A1535),State_Region!$A$2:$A$26,0))</f>
        <v>North</v>
      </c>
      <c r="C1535" s="3" t="s">
        <v>207</v>
      </c>
      <c r="D1535" s="3" t="str">
        <f>INDEX(Port_Type!$B$2:$B$227,MATCH(TRIM(C1535),Port_Type!$A$2:$A$227,0))</f>
        <v>Inland ICD / CFS</v>
      </c>
      <c r="E1535" s="3" t="s">
        <v>33</v>
      </c>
      <c r="F1535" s="3" t="str">
        <f>INDEX(Product_Category!$B$2:$B$45,MATCH(TRIM(E1535),Product_Category!$A$2:$A$45,0))</f>
        <v>Pulses</v>
      </c>
      <c r="G1535" s="4">
        <v>0</v>
      </c>
      <c r="H1535" s="4">
        <v>0.04</v>
      </c>
      <c r="I1535" s="4">
        <v>0.01</v>
      </c>
      <c r="J1535" s="4">
        <v>1.91</v>
      </c>
      <c r="K1535" s="4">
        <v>32.01</v>
      </c>
      <c r="L1535" s="4">
        <v>5.52</v>
      </c>
      <c r="M1535" s="4">
        <f t="shared" si="69"/>
        <v>0.04</v>
      </c>
      <c r="N1535" s="4">
        <f t="shared" si="70"/>
        <v>30.099999999999998</v>
      </c>
      <c r="O1535" s="4">
        <f t="shared" si="71"/>
        <v>-0.03</v>
      </c>
      <c r="P1535" s="3" t="s">
        <v>19</v>
      </c>
    </row>
    <row r="1536" spans="1:16" x14ac:dyDescent="0.35">
      <c r="A1536" s="3" t="s">
        <v>31</v>
      </c>
      <c r="B1536" s="3" t="str">
        <f>INDEX(State_Region!$B$2:$B$26,MATCH(TRIM(A1536),State_Region!$A$2:$A$26,0))</f>
        <v>East</v>
      </c>
      <c r="C1536" s="3" t="s">
        <v>217</v>
      </c>
      <c r="D1536" s="3" t="str">
        <f>INDEX(Port_Type!$B$2:$B$227,MATCH(TRIM(C1536),Port_Type!$A$2:$A$227,0))</f>
        <v>SEZ / EPZ</v>
      </c>
      <c r="E1536" s="3" t="s">
        <v>46</v>
      </c>
      <c r="F1536" s="3" t="str">
        <f>INDEX(Product_Category!$B$2:$B$45,MATCH(TRIM(E1536),Product_Category!$A$2:$A$45,0))</f>
        <v>Others</v>
      </c>
      <c r="G1536" s="4">
        <v>0</v>
      </c>
      <c r="H1536" s="4">
        <v>0</v>
      </c>
      <c r="I1536" s="4">
        <v>0.01</v>
      </c>
      <c r="J1536" s="4">
        <v>0</v>
      </c>
      <c r="K1536" s="4">
        <v>0</v>
      </c>
      <c r="L1536" s="4">
        <v>5.5</v>
      </c>
      <c r="M1536" s="4">
        <f t="shared" si="69"/>
        <v>0</v>
      </c>
      <c r="N1536" s="4">
        <f t="shared" si="70"/>
        <v>0</v>
      </c>
      <c r="O1536" s="4">
        <f t="shared" si="71"/>
        <v>0.01</v>
      </c>
      <c r="P1536" s="3" t="s">
        <v>19</v>
      </c>
    </row>
    <row r="1537" spans="1:16" x14ac:dyDescent="0.35">
      <c r="A1537" s="3" t="s">
        <v>159</v>
      </c>
      <c r="B1537" s="3" t="str">
        <f>INDEX(State_Region!$B$2:$B$26,MATCH(TRIM(A1537),State_Region!$A$2:$A$26,0))</f>
        <v>North-East</v>
      </c>
      <c r="C1537" s="3" t="s">
        <v>186</v>
      </c>
      <c r="D1537" s="3" t="str">
        <f>INDEX(Port_Type!$B$2:$B$227,MATCH(TRIM(C1537),Port_Type!$A$2:$A$227,0))</f>
        <v>Land Border / Rail</v>
      </c>
      <c r="E1537" s="3" t="s">
        <v>55</v>
      </c>
      <c r="F1537" s="3" t="str">
        <f>INDEX(Product_Category!$B$2:$B$45,MATCH(TRIM(E1537),Product_Category!$A$2:$A$45,0))</f>
        <v>Fresh Fruits &amp; Vegetables</v>
      </c>
      <c r="G1537" s="4">
        <v>0</v>
      </c>
      <c r="H1537" s="4">
        <v>0</v>
      </c>
      <c r="I1537" s="4">
        <v>0.01</v>
      </c>
      <c r="J1537" s="4">
        <v>0</v>
      </c>
      <c r="K1537" s="4">
        <v>0</v>
      </c>
      <c r="L1537" s="4">
        <v>45.88</v>
      </c>
      <c r="M1537" s="4">
        <f t="shared" si="69"/>
        <v>0</v>
      </c>
      <c r="N1537" s="4">
        <f t="shared" si="70"/>
        <v>0</v>
      </c>
      <c r="O1537" s="4">
        <f t="shared" si="71"/>
        <v>0.01</v>
      </c>
      <c r="P1537" s="3" t="s">
        <v>19</v>
      </c>
    </row>
    <row r="1538" spans="1:16" x14ac:dyDescent="0.35">
      <c r="A1538" s="3" t="s">
        <v>40</v>
      </c>
      <c r="B1538" s="3" t="str">
        <f>INDEX(State_Region!$B$2:$B$26,MATCH(TRIM(A1538),State_Region!$A$2:$A$26,0))</f>
        <v>South</v>
      </c>
      <c r="C1538" s="3" t="s">
        <v>117</v>
      </c>
      <c r="D1538" s="3" t="str">
        <f>INDEX(Port_Type!$B$2:$B$227,MATCH(TRIM(C1538),Port_Type!$A$2:$A$227,0))</f>
        <v>Sea Port</v>
      </c>
      <c r="E1538" s="3" t="s">
        <v>170</v>
      </c>
      <c r="F1538" s="3" t="str">
        <f>INDEX(Product_Category!$B$2:$B$45,MATCH(TRIM(E1538),Product_Category!$A$2:$A$45,0))</f>
        <v>Others</v>
      </c>
      <c r="G1538" s="4">
        <v>0.01</v>
      </c>
      <c r="H1538" s="4">
        <v>0.01</v>
      </c>
      <c r="I1538" s="4">
        <v>0.01</v>
      </c>
      <c r="J1538" s="4">
        <v>1.25</v>
      </c>
      <c r="K1538" s="4">
        <v>0.76</v>
      </c>
      <c r="L1538" s="4">
        <v>1.24</v>
      </c>
      <c r="M1538" s="4">
        <f t="shared" ref="M1538:M1601" si="72">H1538-G1538</f>
        <v>0</v>
      </c>
      <c r="N1538" s="4">
        <f t="shared" ref="N1538:N1601" si="73">K1538-J1538</f>
        <v>-0.49</v>
      </c>
      <c r="O1538" s="4">
        <f t="shared" ref="O1538:O1601" si="74">I1538-H1538</f>
        <v>0</v>
      </c>
      <c r="P1538" s="3" t="s">
        <v>19</v>
      </c>
    </row>
    <row r="1539" spans="1:16" x14ac:dyDescent="0.35">
      <c r="A1539" s="3" t="s">
        <v>40</v>
      </c>
      <c r="B1539" s="3" t="str">
        <f>INDEX(State_Region!$B$2:$B$26,MATCH(TRIM(A1539),State_Region!$A$2:$A$26,0))</f>
        <v>South</v>
      </c>
      <c r="C1539" s="3" t="s">
        <v>194</v>
      </c>
      <c r="D1539" s="3" t="str">
        <f>INDEX(Port_Type!$B$2:$B$227,MATCH(TRIM(C1539),Port_Type!$A$2:$A$227,0))</f>
        <v>Air Cargo</v>
      </c>
      <c r="E1539" s="3" t="s">
        <v>76</v>
      </c>
      <c r="F1539" s="3" t="str">
        <f>INDEX(Product_Category!$B$2:$B$45,MATCH(TRIM(E1539),Product_Category!$A$2:$A$45,0))</f>
        <v>Fresh Fruits &amp; Vegetables</v>
      </c>
      <c r="G1539" s="4">
        <v>0</v>
      </c>
      <c r="H1539" s="4">
        <v>0.03</v>
      </c>
      <c r="I1539" s="4">
        <v>0.01</v>
      </c>
      <c r="J1539" s="4">
        <v>2.21</v>
      </c>
      <c r="K1539" s="4">
        <v>38.44</v>
      </c>
      <c r="L1539" s="4">
        <v>4.6900000000000004</v>
      </c>
      <c r="M1539" s="4">
        <f t="shared" si="72"/>
        <v>0.03</v>
      </c>
      <c r="N1539" s="4">
        <f t="shared" si="73"/>
        <v>36.229999999999997</v>
      </c>
      <c r="O1539" s="4">
        <f t="shared" si="74"/>
        <v>-1.9999999999999997E-2</v>
      </c>
      <c r="P1539" s="3" t="s">
        <v>19</v>
      </c>
    </row>
    <row r="1540" spans="1:16" x14ac:dyDescent="0.35">
      <c r="A1540" s="3" t="s">
        <v>23</v>
      </c>
      <c r="B1540" s="3" t="str">
        <f>INDEX(State_Region!$B$2:$B$26,MATCH(TRIM(A1540),State_Region!$A$2:$A$26,0))</f>
        <v>North</v>
      </c>
      <c r="C1540" s="3" t="s">
        <v>44</v>
      </c>
      <c r="D1540" s="3" t="str">
        <f>INDEX(Port_Type!$B$2:$B$227,MATCH(TRIM(C1540),Port_Type!$A$2:$A$227,0))</f>
        <v>Inland ICD / CFS</v>
      </c>
      <c r="E1540" s="3" t="s">
        <v>126</v>
      </c>
      <c r="F1540" s="3" t="str">
        <f>INDEX(Product_Category!$B$2:$B$45,MATCH(TRIM(E1540),Product_Category!$A$2:$A$45,0))</f>
        <v>Cereals &amp; Grains</v>
      </c>
      <c r="G1540" s="4">
        <v>0.13</v>
      </c>
      <c r="H1540" s="4">
        <v>0.12</v>
      </c>
      <c r="I1540" s="4">
        <v>0.01</v>
      </c>
      <c r="J1540" s="4">
        <v>27.76</v>
      </c>
      <c r="K1540" s="4">
        <v>22.73</v>
      </c>
      <c r="L1540" s="4">
        <v>5.0199999999999996</v>
      </c>
      <c r="M1540" s="4">
        <f t="shared" si="72"/>
        <v>-1.0000000000000009E-2</v>
      </c>
      <c r="N1540" s="4">
        <f t="shared" si="73"/>
        <v>-5.0300000000000011</v>
      </c>
      <c r="O1540" s="4">
        <f t="shared" si="74"/>
        <v>-0.11</v>
      </c>
      <c r="P1540" s="3" t="s">
        <v>19</v>
      </c>
    </row>
    <row r="1541" spans="1:16" x14ac:dyDescent="0.35">
      <c r="A1541" s="3" t="s">
        <v>77</v>
      </c>
      <c r="B1541" s="3" t="str">
        <f>INDEX(State_Region!$B$2:$B$26,MATCH(TRIM(A1541),State_Region!$A$2:$A$26,0))</f>
        <v>South</v>
      </c>
      <c r="C1541" s="3" t="s">
        <v>78</v>
      </c>
      <c r="D1541" s="3" t="str">
        <f>INDEX(Port_Type!$B$2:$B$227,MATCH(TRIM(C1541),Port_Type!$A$2:$A$227,0))</f>
        <v>Sea Port</v>
      </c>
      <c r="E1541" s="3" t="s">
        <v>76</v>
      </c>
      <c r="F1541" s="3" t="str">
        <f>INDEX(Product_Category!$B$2:$B$45,MATCH(TRIM(E1541),Product_Category!$A$2:$A$45,0))</f>
        <v>Fresh Fruits &amp; Vegetables</v>
      </c>
      <c r="G1541" s="4">
        <v>0.21</v>
      </c>
      <c r="H1541" s="4">
        <v>0.35</v>
      </c>
      <c r="I1541" s="4">
        <v>0.01</v>
      </c>
      <c r="J1541" s="4">
        <v>180.94</v>
      </c>
      <c r="K1541" s="4">
        <v>385.53</v>
      </c>
      <c r="L1541" s="4">
        <v>3.37</v>
      </c>
      <c r="M1541" s="4">
        <f t="shared" si="72"/>
        <v>0.13999999999999999</v>
      </c>
      <c r="N1541" s="4">
        <f t="shared" si="73"/>
        <v>204.58999999999997</v>
      </c>
      <c r="O1541" s="4">
        <f t="shared" si="74"/>
        <v>-0.33999999999999997</v>
      </c>
      <c r="P1541" s="3" t="s">
        <v>19</v>
      </c>
    </row>
    <row r="1542" spans="1:16" x14ac:dyDescent="0.35">
      <c r="A1542" s="3" t="s">
        <v>86</v>
      </c>
      <c r="B1542" s="3" t="str">
        <f>INDEX(State_Region!$B$2:$B$26,MATCH(TRIM(A1542),State_Region!$A$2:$A$26,0))</f>
        <v>North</v>
      </c>
      <c r="C1542" s="3" t="s">
        <v>207</v>
      </c>
      <c r="D1542" s="3" t="str">
        <f>INDEX(Port_Type!$B$2:$B$227,MATCH(TRIM(C1542),Port_Type!$A$2:$A$227,0))</f>
        <v>Inland ICD / CFS</v>
      </c>
      <c r="E1542" s="3" t="s">
        <v>42</v>
      </c>
      <c r="F1542" s="3" t="str">
        <f>INDEX(Product_Category!$B$2:$B$45,MATCH(TRIM(E1542),Product_Category!$A$2:$A$45,0))</f>
        <v>Processed Foods</v>
      </c>
      <c r="G1542" s="4">
        <v>0.01</v>
      </c>
      <c r="H1542" s="4">
        <v>0.05</v>
      </c>
      <c r="I1542" s="4">
        <v>0.01</v>
      </c>
      <c r="J1542" s="4">
        <v>3.23</v>
      </c>
      <c r="K1542" s="4">
        <v>26.08</v>
      </c>
      <c r="L1542" s="4">
        <v>5.34</v>
      </c>
      <c r="M1542" s="4">
        <f t="shared" si="72"/>
        <v>0.04</v>
      </c>
      <c r="N1542" s="4">
        <f t="shared" si="73"/>
        <v>22.849999999999998</v>
      </c>
      <c r="O1542" s="4">
        <f t="shared" si="74"/>
        <v>-0.04</v>
      </c>
      <c r="P1542" s="3" t="s">
        <v>19</v>
      </c>
    </row>
    <row r="1543" spans="1:16" x14ac:dyDescent="0.35">
      <c r="A1543" s="3" t="s">
        <v>25</v>
      </c>
      <c r="B1543" s="3" t="str">
        <f>INDEX(State_Region!$B$2:$B$26,MATCH(TRIM(A1543),State_Region!$A$2:$A$26,0))</f>
        <v>South</v>
      </c>
      <c r="C1543" s="3" t="s">
        <v>254</v>
      </c>
      <c r="D1543" s="3" t="str">
        <f>INDEX(Port_Type!$B$2:$B$227,MATCH(TRIM(C1543),Port_Type!$A$2:$A$227,0))</f>
        <v>Inland ICD / CFS</v>
      </c>
      <c r="E1543" s="3" t="s">
        <v>42</v>
      </c>
      <c r="F1543" s="3" t="str">
        <f>INDEX(Product_Category!$B$2:$B$45,MATCH(TRIM(E1543),Product_Category!$A$2:$A$45,0))</f>
        <v>Processed Foods</v>
      </c>
      <c r="G1543" s="4">
        <v>0</v>
      </c>
      <c r="H1543" s="4">
        <v>0.01</v>
      </c>
      <c r="I1543" s="4">
        <v>0.01</v>
      </c>
      <c r="J1543" s="4">
        <v>0</v>
      </c>
      <c r="K1543" s="4">
        <v>10.199999999999999</v>
      </c>
      <c r="L1543" s="4">
        <v>9.24</v>
      </c>
      <c r="M1543" s="4">
        <f t="shared" si="72"/>
        <v>0.01</v>
      </c>
      <c r="N1543" s="4">
        <f t="shared" si="73"/>
        <v>10.199999999999999</v>
      </c>
      <c r="O1543" s="4">
        <f t="shared" si="74"/>
        <v>0</v>
      </c>
      <c r="P1543" s="3" t="s">
        <v>19</v>
      </c>
    </row>
    <row r="1544" spans="1:16" x14ac:dyDescent="0.35">
      <c r="A1544" s="3" t="s">
        <v>35</v>
      </c>
      <c r="B1544" s="3" t="str">
        <f>INDEX(State_Region!$B$2:$B$26,MATCH(TRIM(A1544),State_Region!$A$2:$A$26,0))</f>
        <v>North</v>
      </c>
      <c r="C1544" s="3" t="s">
        <v>36</v>
      </c>
      <c r="D1544" s="3" t="str">
        <f>INDEX(Port_Type!$B$2:$B$227,MATCH(TRIM(C1544),Port_Type!$A$2:$A$227,0))</f>
        <v>Inland ICD / CFS</v>
      </c>
      <c r="E1544" s="3" t="s">
        <v>45</v>
      </c>
      <c r="F1544" s="3" t="str">
        <f>INDEX(Product_Category!$B$2:$B$45,MATCH(TRIM(E1544),Product_Category!$A$2:$A$45,0))</f>
        <v>Fresh Fruits &amp; Vegetables</v>
      </c>
      <c r="G1544" s="4">
        <v>0.01</v>
      </c>
      <c r="H1544" s="4">
        <v>0</v>
      </c>
      <c r="I1544" s="4">
        <v>0.01</v>
      </c>
      <c r="J1544" s="4">
        <v>2.27</v>
      </c>
      <c r="K1544" s="4">
        <v>0.22</v>
      </c>
      <c r="L1544" s="4">
        <v>0.92</v>
      </c>
      <c r="M1544" s="4">
        <f t="shared" si="72"/>
        <v>-0.01</v>
      </c>
      <c r="N1544" s="4">
        <f t="shared" si="73"/>
        <v>-2.0499999999999998</v>
      </c>
      <c r="O1544" s="4">
        <f t="shared" si="74"/>
        <v>0.01</v>
      </c>
      <c r="P1544" s="3" t="s">
        <v>19</v>
      </c>
    </row>
    <row r="1545" spans="1:16" x14ac:dyDescent="0.35">
      <c r="A1545" s="3" t="s">
        <v>74</v>
      </c>
      <c r="B1545" s="3" t="str">
        <f>INDEX(State_Region!$B$2:$B$26,MATCH(TRIM(A1545),State_Region!$A$2:$A$26,0))</f>
        <v>South</v>
      </c>
      <c r="C1545" s="3" t="s">
        <v>137</v>
      </c>
      <c r="D1545" s="3" t="str">
        <f>INDEX(Port_Type!$B$2:$B$227,MATCH(TRIM(C1545),Port_Type!$A$2:$A$227,0))</f>
        <v>Air Cargo</v>
      </c>
      <c r="E1545" s="3" t="s">
        <v>142</v>
      </c>
      <c r="F1545" s="3" t="str">
        <f>INDEX(Product_Category!$B$2:$B$45,MATCH(TRIM(E1545),Product_Category!$A$2:$A$45,0))</f>
        <v>Nuts &amp; Oilseeds</v>
      </c>
      <c r="G1545" s="4">
        <v>0</v>
      </c>
      <c r="H1545" s="4">
        <v>0</v>
      </c>
      <c r="I1545" s="4">
        <v>0.01</v>
      </c>
      <c r="J1545" s="4">
        <v>0</v>
      </c>
      <c r="K1545" s="4">
        <v>0</v>
      </c>
      <c r="L1545" s="4">
        <v>0.01</v>
      </c>
      <c r="M1545" s="4">
        <f t="shared" si="72"/>
        <v>0</v>
      </c>
      <c r="N1545" s="4">
        <f t="shared" si="73"/>
        <v>0</v>
      </c>
      <c r="O1545" s="4">
        <f t="shared" si="74"/>
        <v>0.01</v>
      </c>
      <c r="P1545" s="3" t="s">
        <v>19</v>
      </c>
    </row>
    <row r="1546" spans="1:16" x14ac:dyDescent="0.35">
      <c r="A1546" s="3" t="s">
        <v>23</v>
      </c>
      <c r="B1546" s="3" t="str">
        <f>INDEX(State_Region!$B$2:$B$26,MATCH(TRIM(A1546),State_Region!$A$2:$A$26,0))</f>
        <v>North</v>
      </c>
      <c r="C1546" s="3" t="s">
        <v>230</v>
      </c>
      <c r="D1546" s="3" t="str">
        <f>INDEX(Port_Type!$B$2:$B$227,MATCH(TRIM(C1546),Port_Type!$A$2:$A$227,0))</f>
        <v>Air Cargo</v>
      </c>
      <c r="E1546" s="3" t="s">
        <v>76</v>
      </c>
      <c r="F1546" s="3" t="str">
        <f>INDEX(Product_Category!$B$2:$B$45,MATCH(TRIM(E1546),Product_Category!$A$2:$A$45,0))</f>
        <v>Fresh Fruits &amp; Vegetables</v>
      </c>
      <c r="G1546" s="4">
        <v>0.02</v>
      </c>
      <c r="H1546" s="4">
        <v>0.01</v>
      </c>
      <c r="I1546" s="4">
        <v>0.01</v>
      </c>
      <c r="J1546" s="4">
        <v>12.55</v>
      </c>
      <c r="K1546" s="4">
        <v>5.82</v>
      </c>
      <c r="L1546" s="4">
        <v>9.74</v>
      </c>
      <c r="M1546" s="4">
        <f t="shared" si="72"/>
        <v>-0.01</v>
      </c>
      <c r="N1546" s="4">
        <f t="shared" si="73"/>
        <v>-6.73</v>
      </c>
      <c r="O1546" s="4">
        <f t="shared" si="74"/>
        <v>0</v>
      </c>
      <c r="P1546" s="3" t="s">
        <v>19</v>
      </c>
    </row>
    <row r="1547" spans="1:16" x14ac:dyDescent="0.35">
      <c r="A1547" s="3" t="s">
        <v>159</v>
      </c>
      <c r="B1547" s="3" t="str">
        <f>INDEX(State_Region!$B$2:$B$26,MATCH(TRIM(A1547),State_Region!$A$2:$A$26,0))</f>
        <v>North-East</v>
      </c>
      <c r="C1547" s="3" t="s">
        <v>160</v>
      </c>
      <c r="D1547" s="3" t="str">
        <f>INDEX(Port_Type!$B$2:$B$227,MATCH(TRIM(C1547),Port_Type!$A$2:$A$227,0))</f>
        <v>Land Border / Rail</v>
      </c>
      <c r="E1547" s="3" t="s">
        <v>81</v>
      </c>
      <c r="F1547" s="3" t="str">
        <f>INDEX(Product_Category!$B$2:$B$45,MATCH(TRIM(E1547),Product_Category!$A$2:$A$45,0))</f>
        <v>Processed Foods</v>
      </c>
      <c r="G1547" s="4">
        <v>0</v>
      </c>
      <c r="H1547" s="4">
        <v>0.03</v>
      </c>
      <c r="I1547" s="4">
        <v>0.01</v>
      </c>
      <c r="J1547" s="4">
        <v>2.64</v>
      </c>
      <c r="K1547" s="4">
        <v>100.2</v>
      </c>
      <c r="L1547" s="4">
        <v>44.53</v>
      </c>
      <c r="M1547" s="4">
        <f t="shared" si="72"/>
        <v>0.03</v>
      </c>
      <c r="N1547" s="4">
        <f t="shared" si="73"/>
        <v>97.56</v>
      </c>
      <c r="O1547" s="4">
        <f t="shared" si="74"/>
        <v>-1.9999999999999997E-2</v>
      </c>
      <c r="P1547" s="3" t="s">
        <v>19</v>
      </c>
    </row>
    <row r="1548" spans="1:16" x14ac:dyDescent="0.35">
      <c r="A1548" s="3" t="s">
        <v>94</v>
      </c>
      <c r="B1548" s="3" t="str">
        <f>INDEX(State_Region!$B$2:$B$26,MATCH(TRIM(A1548),State_Region!$A$2:$A$26,0))</f>
        <v>East</v>
      </c>
      <c r="C1548" s="3" t="s">
        <v>247</v>
      </c>
      <c r="D1548" s="3" t="str">
        <f>INDEX(Port_Type!$B$2:$B$227,MATCH(TRIM(C1548),Port_Type!$A$2:$A$227,0))</f>
        <v>Land Border / Rail</v>
      </c>
      <c r="E1548" s="3" t="s">
        <v>39</v>
      </c>
      <c r="F1548" s="3" t="str">
        <f>INDEX(Product_Category!$B$2:$B$45,MATCH(TRIM(E1548),Product_Category!$A$2:$A$45,0))</f>
        <v>Processed Foods</v>
      </c>
      <c r="G1548" s="4">
        <v>0.01</v>
      </c>
      <c r="H1548" s="4">
        <v>0.02</v>
      </c>
      <c r="I1548" s="4">
        <v>0.01</v>
      </c>
      <c r="J1548" s="4">
        <v>6.01</v>
      </c>
      <c r="K1548" s="4">
        <v>10.199999999999999</v>
      </c>
      <c r="L1548" s="4">
        <v>2.9</v>
      </c>
      <c r="M1548" s="4">
        <f t="shared" si="72"/>
        <v>0.01</v>
      </c>
      <c r="N1548" s="4">
        <f t="shared" si="73"/>
        <v>4.1899999999999995</v>
      </c>
      <c r="O1548" s="4">
        <f t="shared" si="74"/>
        <v>-0.01</v>
      </c>
      <c r="P1548" s="3" t="s">
        <v>19</v>
      </c>
    </row>
    <row r="1549" spans="1:16" x14ac:dyDescent="0.35">
      <c r="A1549" s="3" t="s">
        <v>23</v>
      </c>
      <c r="B1549" s="3" t="str">
        <f>INDEX(State_Region!$B$2:$B$26,MATCH(TRIM(A1549),State_Region!$A$2:$A$26,0))</f>
        <v>North</v>
      </c>
      <c r="C1549" s="3" t="s">
        <v>123</v>
      </c>
      <c r="D1549" s="3" t="str">
        <f>INDEX(Port_Type!$B$2:$B$227,MATCH(TRIM(C1549),Port_Type!$A$2:$A$227,0))</f>
        <v>Land Border / Rail</v>
      </c>
      <c r="E1549" s="3" t="s">
        <v>174</v>
      </c>
      <c r="F1549" s="3" t="str">
        <f>INDEX(Product_Category!$B$2:$B$45,MATCH(TRIM(E1549),Product_Category!$A$2:$A$45,0))</f>
        <v>Dairy, Poultry &amp; Honey</v>
      </c>
      <c r="G1549" s="4">
        <v>0.11</v>
      </c>
      <c r="H1549" s="4">
        <v>0</v>
      </c>
      <c r="I1549" s="4">
        <v>0.01</v>
      </c>
      <c r="J1549" s="4">
        <v>8.51</v>
      </c>
      <c r="K1549" s="4">
        <v>0</v>
      </c>
      <c r="L1549" s="4">
        <v>0.4</v>
      </c>
      <c r="M1549" s="4">
        <f t="shared" si="72"/>
        <v>-0.11</v>
      </c>
      <c r="N1549" s="4">
        <f t="shared" si="73"/>
        <v>-8.51</v>
      </c>
      <c r="O1549" s="4">
        <f t="shared" si="74"/>
        <v>0.01</v>
      </c>
      <c r="P1549" s="3" t="s">
        <v>19</v>
      </c>
    </row>
    <row r="1550" spans="1:16" x14ac:dyDescent="0.35">
      <c r="A1550" s="3" t="s">
        <v>16</v>
      </c>
      <c r="B1550" s="3" t="str">
        <f>INDEX(State_Region!$B$2:$B$26,MATCH(TRIM(A1550),State_Region!$A$2:$A$26,0))</f>
        <v>West</v>
      </c>
      <c r="C1550" s="3" t="s">
        <v>109</v>
      </c>
      <c r="D1550" s="3" t="str">
        <f>INDEX(Port_Type!$B$2:$B$227,MATCH(TRIM(C1550),Port_Type!$A$2:$A$227,0))</f>
        <v>SEZ / EPZ</v>
      </c>
      <c r="E1550" s="3" t="s">
        <v>181</v>
      </c>
      <c r="F1550" s="3" t="str">
        <f>INDEX(Product_Category!$B$2:$B$45,MATCH(TRIM(E1550),Product_Category!$A$2:$A$45,0))</f>
        <v>Nuts &amp; Oilseeds</v>
      </c>
      <c r="G1550" s="4">
        <v>0.01</v>
      </c>
      <c r="H1550" s="4">
        <v>0</v>
      </c>
      <c r="I1550" s="4">
        <v>0.01</v>
      </c>
      <c r="J1550" s="4">
        <v>0.6</v>
      </c>
      <c r="K1550" s="4">
        <v>0.1</v>
      </c>
      <c r="L1550" s="4">
        <v>0.49</v>
      </c>
      <c r="M1550" s="4">
        <f t="shared" si="72"/>
        <v>-0.01</v>
      </c>
      <c r="N1550" s="4">
        <f t="shared" si="73"/>
        <v>-0.5</v>
      </c>
      <c r="O1550" s="4">
        <f t="shared" si="74"/>
        <v>0.01</v>
      </c>
      <c r="P1550" s="3" t="s">
        <v>19</v>
      </c>
    </row>
    <row r="1551" spans="1:16" x14ac:dyDescent="0.35">
      <c r="A1551" s="3" t="s">
        <v>40</v>
      </c>
      <c r="B1551" s="3" t="str">
        <f>INDEX(State_Region!$B$2:$B$26,MATCH(TRIM(A1551),State_Region!$A$2:$A$26,0))</f>
        <v>South</v>
      </c>
      <c r="C1551" s="3" t="s">
        <v>220</v>
      </c>
      <c r="D1551" s="3" t="str">
        <f>INDEX(Port_Type!$B$2:$B$227,MATCH(TRIM(C1551),Port_Type!$A$2:$A$227,0))</f>
        <v>Inland ICD / CFS</v>
      </c>
      <c r="E1551" s="3" t="s">
        <v>170</v>
      </c>
      <c r="F1551" s="3" t="str">
        <f>INDEX(Product_Category!$B$2:$B$45,MATCH(TRIM(E1551),Product_Category!$A$2:$A$45,0))</f>
        <v>Others</v>
      </c>
      <c r="G1551" s="4">
        <v>0</v>
      </c>
      <c r="H1551" s="4">
        <v>0.01</v>
      </c>
      <c r="I1551" s="4">
        <v>0.01</v>
      </c>
      <c r="J1551" s="4">
        <v>0</v>
      </c>
      <c r="K1551" s="4">
        <v>2.17</v>
      </c>
      <c r="L1551" s="4">
        <v>1.06</v>
      </c>
      <c r="M1551" s="4">
        <f t="shared" si="72"/>
        <v>0.01</v>
      </c>
      <c r="N1551" s="4">
        <f t="shared" si="73"/>
        <v>2.17</v>
      </c>
      <c r="O1551" s="4">
        <f t="shared" si="74"/>
        <v>0</v>
      </c>
      <c r="P1551" s="3" t="s">
        <v>19</v>
      </c>
    </row>
    <row r="1552" spans="1:16" x14ac:dyDescent="0.35">
      <c r="A1552" s="3" t="s">
        <v>35</v>
      </c>
      <c r="B1552" s="3" t="str">
        <f>INDEX(State_Region!$B$2:$B$26,MATCH(TRIM(A1552),State_Region!$A$2:$A$26,0))</f>
        <v>North</v>
      </c>
      <c r="C1552" s="3" t="s">
        <v>88</v>
      </c>
      <c r="D1552" s="3" t="str">
        <f>INDEX(Port_Type!$B$2:$B$227,MATCH(TRIM(C1552),Port_Type!$A$2:$A$227,0))</f>
        <v>Inland ICD / CFS</v>
      </c>
      <c r="E1552" s="3" t="s">
        <v>65</v>
      </c>
      <c r="F1552" s="3" t="str">
        <f>INDEX(Product_Category!$B$2:$B$45,MATCH(TRIM(E1552),Product_Category!$A$2:$A$45,0))</f>
        <v>Cereals &amp; Grains</v>
      </c>
      <c r="G1552" s="4">
        <v>0.01</v>
      </c>
      <c r="H1552" s="4">
        <v>0.04</v>
      </c>
      <c r="I1552" s="4">
        <v>0.01</v>
      </c>
      <c r="J1552" s="4">
        <v>7.44</v>
      </c>
      <c r="K1552" s="4">
        <v>26.95</v>
      </c>
      <c r="L1552" s="4">
        <v>5.16</v>
      </c>
      <c r="M1552" s="4">
        <f t="shared" si="72"/>
        <v>0.03</v>
      </c>
      <c r="N1552" s="4">
        <f t="shared" si="73"/>
        <v>19.509999999999998</v>
      </c>
      <c r="O1552" s="4">
        <f t="shared" si="74"/>
        <v>-0.03</v>
      </c>
      <c r="P1552" s="3" t="s">
        <v>19</v>
      </c>
    </row>
    <row r="1553" spans="1:16" x14ac:dyDescent="0.35">
      <c r="A1553" s="3" t="s">
        <v>20</v>
      </c>
      <c r="B1553" s="3" t="str">
        <f>INDEX(State_Region!$B$2:$B$26,MATCH(TRIM(A1553),State_Region!$A$2:$A$26,0))</f>
        <v>West</v>
      </c>
      <c r="C1553" s="3" t="s">
        <v>68</v>
      </c>
      <c r="D1553" s="3" t="str">
        <f>INDEX(Port_Type!$B$2:$B$227,MATCH(TRIM(C1553),Port_Type!$A$2:$A$227,0))</f>
        <v>Air Cargo</v>
      </c>
      <c r="E1553" s="3" t="s">
        <v>62</v>
      </c>
      <c r="F1553" s="3" t="str">
        <f>INDEX(Product_Category!$B$2:$B$45,MATCH(TRIM(E1553),Product_Category!$A$2:$A$45,0))</f>
        <v>Cereals &amp; Grains</v>
      </c>
      <c r="G1553" s="4">
        <v>0.02</v>
      </c>
      <c r="H1553" s="4">
        <v>0.04</v>
      </c>
      <c r="I1553" s="4">
        <v>0.01</v>
      </c>
      <c r="J1553" s="4">
        <v>7.24</v>
      </c>
      <c r="K1553" s="4">
        <v>5.08</v>
      </c>
      <c r="L1553" s="4">
        <v>1.35</v>
      </c>
      <c r="M1553" s="4">
        <f t="shared" si="72"/>
        <v>0.02</v>
      </c>
      <c r="N1553" s="4">
        <f t="shared" si="73"/>
        <v>-2.16</v>
      </c>
      <c r="O1553" s="4">
        <f t="shared" si="74"/>
        <v>-0.03</v>
      </c>
      <c r="P1553" s="3" t="s">
        <v>19</v>
      </c>
    </row>
    <row r="1554" spans="1:16" x14ac:dyDescent="0.35">
      <c r="A1554" s="3" t="s">
        <v>40</v>
      </c>
      <c r="B1554" s="3" t="str">
        <f>INDEX(State_Region!$B$2:$B$26,MATCH(TRIM(A1554),State_Region!$A$2:$A$26,0))</f>
        <v>South</v>
      </c>
      <c r="C1554" s="3" t="s">
        <v>164</v>
      </c>
      <c r="D1554" s="3" t="str">
        <f>INDEX(Port_Type!$B$2:$B$227,MATCH(TRIM(C1554),Port_Type!$A$2:$A$227,0))</f>
        <v>Air Cargo</v>
      </c>
      <c r="E1554" s="3" t="s">
        <v>65</v>
      </c>
      <c r="F1554" s="3" t="str">
        <f>INDEX(Product_Category!$B$2:$B$45,MATCH(TRIM(E1554),Product_Category!$A$2:$A$45,0))</f>
        <v>Cereals &amp; Grains</v>
      </c>
      <c r="G1554" s="4">
        <v>0</v>
      </c>
      <c r="H1554" s="4">
        <v>0</v>
      </c>
      <c r="I1554" s="4">
        <v>0.01</v>
      </c>
      <c r="J1554" s="4">
        <v>2.4500000000000002</v>
      </c>
      <c r="K1554" s="4">
        <v>0.68</v>
      </c>
      <c r="L1554" s="4">
        <v>15.96</v>
      </c>
      <c r="M1554" s="4">
        <f t="shared" si="72"/>
        <v>0</v>
      </c>
      <c r="N1554" s="4">
        <f t="shared" si="73"/>
        <v>-1.77</v>
      </c>
      <c r="O1554" s="4">
        <f t="shared" si="74"/>
        <v>0.01</v>
      </c>
      <c r="P1554" s="3" t="s">
        <v>19</v>
      </c>
    </row>
    <row r="1555" spans="1:16" x14ac:dyDescent="0.35">
      <c r="A1555" s="3" t="s">
        <v>23</v>
      </c>
      <c r="B1555" s="3" t="str">
        <f>INDEX(State_Region!$B$2:$B$26,MATCH(TRIM(A1555),State_Region!$A$2:$A$26,0))</f>
        <v>North</v>
      </c>
      <c r="C1555" s="3" t="s">
        <v>30</v>
      </c>
      <c r="D1555" s="3" t="str">
        <f>INDEX(Port_Type!$B$2:$B$227,MATCH(TRIM(C1555),Port_Type!$A$2:$A$227,0))</f>
        <v>Inland ICD / CFS</v>
      </c>
      <c r="E1555" s="3" t="s">
        <v>93</v>
      </c>
      <c r="F1555" s="3" t="str">
        <f>INDEX(Product_Category!$B$2:$B$45,MATCH(TRIM(E1555),Product_Category!$A$2:$A$45,0))</f>
        <v>Meat &amp; Animal Products</v>
      </c>
      <c r="G1555" s="4">
        <v>0.18</v>
      </c>
      <c r="H1555" s="4">
        <v>0</v>
      </c>
      <c r="I1555" s="4">
        <v>0.01</v>
      </c>
      <c r="J1555" s="4">
        <v>35.479999999999997</v>
      </c>
      <c r="K1555" s="4">
        <v>0</v>
      </c>
      <c r="L1555" s="4">
        <v>1.21</v>
      </c>
      <c r="M1555" s="4">
        <f t="shared" si="72"/>
        <v>-0.18</v>
      </c>
      <c r="N1555" s="4">
        <f t="shared" si="73"/>
        <v>-35.479999999999997</v>
      </c>
      <c r="O1555" s="4">
        <f t="shared" si="74"/>
        <v>0.01</v>
      </c>
      <c r="P1555" s="3" t="s">
        <v>19</v>
      </c>
    </row>
    <row r="1556" spans="1:16" x14ac:dyDescent="0.35">
      <c r="A1556" s="3" t="s">
        <v>16</v>
      </c>
      <c r="B1556" s="3" t="str">
        <f>INDEX(State_Region!$B$2:$B$26,MATCH(TRIM(A1556),State_Region!$A$2:$A$26,0))</f>
        <v>West</v>
      </c>
      <c r="C1556" s="3" t="s">
        <v>28</v>
      </c>
      <c r="D1556" s="3" t="str">
        <f>INDEX(Port_Type!$B$2:$B$227,MATCH(TRIM(C1556),Port_Type!$A$2:$A$227,0))</f>
        <v>Sea Port</v>
      </c>
      <c r="E1556" s="3" t="s">
        <v>59</v>
      </c>
      <c r="F1556" s="3" t="str">
        <f>INDEX(Product_Category!$B$2:$B$45,MATCH(TRIM(E1556),Product_Category!$A$2:$A$45,0))</f>
        <v>Processed Foods</v>
      </c>
      <c r="G1556" s="4">
        <v>0</v>
      </c>
      <c r="H1556" s="4">
        <v>0.01</v>
      </c>
      <c r="I1556" s="4">
        <v>0.01</v>
      </c>
      <c r="J1556" s="4">
        <v>0.94</v>
      </c>
      <c r="K1556" s="4">
        <v>7.28</v>
      </c>
      <c r="L1556" s="4">
        <v>4.7300000000000004</v>
      </c>
      <c r="M1556" s="4">
        <f t="shared" si="72"/>
        <v>0.01</v>
      </c>
      <c r="N1556" s="4">
        <f t="shared" si="73"/>
        <v>6.34</v>
      </c>
      <c r="O1556" s="4">
        <f t="shared" si="74"/>
        <v>0</v>
      </c>
      <c r="P1556" s="3" t="s">
        <v>19</v>
      </c>
    </row>
    <row r="1557" spans="1:16" x14ac:dyDescent="0.35">
      <c r="A1557" s="3" t="s">
        <v>77</v>
      </c>
      <c r="B1557" s="3" t="str">
        <f>INDEX(State_Region!$B$2:$B$26,MATCH(TRIM(A1557),State_Region!$A$2:$A$26,0))</f>
        <v>South</v>
      </c>
      <c r="C1557" s="3" t="s">
        <v>157</v>
      </c>
      <c r="D1557" s="3" t="str">
        <f>INDEX(Port_Type!$B$2:$B$227,MATCH(TRIM(C1557),Port_Type!$A$2:$A$227,0))</f>
        <v>Air Cargo</v>
      </c>
      <c r="E1557" s="3" t="s">
        <v>42</v>
      </c>
      <c r="F1557" s="3" t="str">
        <f>INDEX(Product_Category!$B$2:$B$45,MATCH(TRIM(E1557),Product_Category!$A$2:$A$45,0))</f>
        <v>Processed Foods</v>
      </c>
      <c r="G1557" s="4">
        <v>1.42</v>
      </c>
      <c r="H1557" s="4">
        <v>0.09</v>
      </c>
      <c r="I1557" s="4">
        <v>0.01</v>
      </c>
      <c r="J1557" s="4">
        <v>1390.29</v>
      </c>
      <c r="K1557" s="4">
        <v>95.51</v>
      </c>
      <c r="L1557" s="4">
        <v>3.23</v>
      </c>
      <c r="M1557" s="4">
        <f t="shared" si="72"/>
        <v>-1.3299999999999998</v>
      </c>
      <c r="N1557" s="4">
        <f t="shared" si="73"/>
        <v>-1294.78</v>
      </c>
      <c r="O1557" s="4">
        <f t="shared" si="74"/>
        <v>-0.08</v>
      </c>
      <c r="P1557" s="3" t="s">
        <v>19</v>
      </c>
    </row>
    <row r="1558" spans="1:16" x14ac:dyDescent="0.35">
      <c r="A1558" s="3" t="s">
        <v>31</v>
      </c>
      <c r="B1558" s="3" t="str">
        <f>INDEX(State_Region!$B$2:$B$26,MATCH(TRIM(A1558),State_Region!$A$2:$A$26,0))</f>
        <v>East</v>
      </c>
      <c r="C1558" s="3" t="s">
        <v>146</v>
      </c>
      <c r="D1558" s="3" t="str">
        <f>INDEX(Port_Type!$B$2:$B$227,MATCH(TRIM(C1558),Port_Type!$A$2:$A$227,0))</f>
        <v>Land Border / Rail</v>
      </c>
      <c r="E1558" s="3" t="s">
        <v>144</v>
      </c>
      <c r="F1558" s="3" t="str">
        <f>INDEX(Product_Category!$B$2:$B$45,MATCH(TRIM(E1558),Product_Category!$A$2:$A$45,0))</f>
        <v>Cereals &amp; Grains</v>
      </c>
      <c r="G1558" s="4">
        <v>0</v>
      </c>
      <c r="H1558" s="4">
        <v>0.01</v>
      </c>
      <c r="I1558" s="4">
        <v>0.01</v>
      </c>
      <c r="J1558" s="4">
        <v>0</v>
      </c>
      <c r="K1558" s="4">
        <v>25.99</v>
      </c>
      <c r="L1558" s="4">
        <v>35</v>
      </c>
      <c r="M1558" s="4">
        <f t="shared" si="72"/>
        <v>0.01</v>
      </c>
      <c r="N1558" s="4">
        <f t="shared" si="73"/>
        <v>25.99</v>
      </c>
      <c r="O1558" s="4">
        <f t="shared" si="74"/>
        <v>0</v>
      </c>
      <c r="P1558" s="3" t="s">
        <v>19</v>
      </c>
    </row>
    <row r="1559" spans="1:16" x14ac:dyDescent="0.35">
      <c r="A1559" s="3" t="s">
        <v>40</v>
      </c>
      <c r="B1559" s="3" t="str">
        <f>INDEX(State_Region!$B$2:$B$26,MATCH(TRIM(A1559),State_Region!$A$2:$A$26,0))</f>
        <v>South</v>
      </c>
      <c r="C1559" s="3" t="s">
        <v>107</v>
      </c>
      <c r="D1559" s="3" t="str">
        <f>INDEX(Port_Type!$B$2:$B$227,MATCH(TRIM(C1559),Port_Type!$A$2:$A$227,0))</f>
        <v>Sea Port</v>
      </c>
      <c r="E1559" s="3" t="s">
        <v>102</v>
      </c>
      <c r="F1559" s="3" t="str">
        <f>INDEX(Product_Category!$B$2:$B$45,MATCH(TRIM(E1559),Product_Category!$A$2:$A$45,0))</f>
        <v>Fresh Fruits &amp; Vegetables</v>
      </c>
      <c r="G1559" s="4">
        <v>0</v>
      </c>
      <c r="H1559" s="4">
        <v>0</v>
      </c>
      <c r="I1559" s="4">
        <v>0.01</v>
      </c>
      <c r="J1559" s="4">
        <v>4.09</v>
      </c>
      <c r="K1559" s="4">
        <v>2.56</v>
      </c>
      <c r="L1559" s="4">
        <v>6.15</v>
      </c>
      <c r="M1559" s="4">
        <f t="shared" si="72"/>
        <v>0</v>
      </c>
      <c r="N1559" s="4">
        <f t="shared" si="73"/>
        <v>-1.5299999999999998</v>
      </c>
      <c r="O1559" s="4">
        <f t="shared" si="74"/>
        <v>0.01</v>
      </c>
      <c r="P1559" s="3" t="s">
        <v>19</v>
      </c>
    </row>
    <row r="1560" spans="1:16" x14ac:dyDescent="0.35">
      <c r="A1560" s="3" t="s">
        <v>16</v>
      </c>
      <c r="B1560" s="3" t="str">
        <f>INDEX(State_Region!$B$2:$B$26,MATCH(TRIM(A1560),State_Region!$A$2:$A$26,0))</f>
        <v>West</v>
      </c>
      <c r="C1560" s="3" t="s">
        <v>52</v>
      </c>
      <c r="D1560" s="3" t="str">
        <f>INDEX(Port_Type!$B$2:$B$227,MATCH(TRIM(C1560),Port_Type!$A$2:$A$227,0))</f>
        <v>Sea Port</v>
      </c>
      <c r="E1560" s="3" t="s">
        <v>144</v>
      </c>
      <c r="F1560" s="3" t="str">
        <f>INDEX(Product_Category!$B$2:$B$45,MATCH(TRIM(E1560),Product_Category!$A$2:$A$45,0))</f>
        <v>Cereals &amp; Grains</v>
      </c>
      <c r="G1560" s="4">
        <v>0.03</v>
      </c>
      <c r="H1560" s="4">
        <v>0</v>
      </c>
      <c r="I1560" s="4">
        <v>0.01</v>
      </c>
      <c r="J1560" s="4">
        <v>46</v>
      </c>
      <c r="K1560" s="4">
        <v>0</v>
      </c>
      <c r="L1560" s="4">
        <v>22.98</v>
      </c>
      <c r="M1560" s="4">
        <f t="shared" si="72"/>
        <v>-0.03</v>
      </c>
      <c r="N1560" s="4">
        <f t="shared" si="73"/>
        <v>-46</v>
      </c>
      <c r="O1560" s="4">
        <f t="shared" si="74"/>
        <v>0.01</v>
      </c>
      <c r="P1560" s="3" t="s">
        <v>19</v>
      </c>
    </row>
    <row r="1561" spans="1:16" x14ac:dyDescent="0.35">
      <c r="A1561" s="3" t="s">
        <v>66</v>
      </c>
      <c r="B1561" s="3" t="str">
        <f>INDEX(State_Region!$B$2:$B$26,MATCH(TRIM(A1561),State_Region!$A$2:$A$26,0))</f>
        <v>North</v>
      </c>
      <c r="C1561" s="3" t="s">
        <v>73</v>
      </c>
      <c r="D1561" s="3" t="str">
        <f>INDEX(Port_Type!$B$2:$B$227,MATCH(TRIM(C1561),Port_Type!$A$2:$A$227,0))</f>
        <v>Inland ICD / CFS</v>
      </c>
      <c r="E1561" s="3" t="s">
        <v>45</v>
      </c>
      <c r="F1561" s="3" t="str">
        <f>INDEX(Product_Category!$B$2:$B$45,MATCH(TRIM(E1561),Product_Category!$A$2:$A$45,0))</f>
        <v>Fresh Fruits &amp; Vegetables</v>
      </c>
      <c r="G1561" s="4">
        <v>0.01</v>
      </c>
      <c r="H1561" s="4">
        <v>0.03</v>
      </c>
      <c r="I1561" s="4">
        <v>0.01</v>
      </c>
      <c r="J1561" s="4">
        <v>2.5</v>
      </c>
      <c r="K1561" s="4">
        <v>4.4000000000000004</v>
      </c>
      <c r="L1561" s="4">
        <v>1.81</v>
      </c>
      <c r="M1561" s="4">
        <f t="shared" si="72"/>
        <v>1.9999999999999997E-2</v>
      </c>
      <c r="N1561" s="4">
        <f t="shared" si="73"/>
        <v>1.9000000000000004</v>
      </c>
      <c r="O1561" s="4">
        <f t="shared" si="74"/>
        <v>-1.9999999999999997E-2</v>
      </c>
      <c r="P1561" s="3" t="s">
        <v>19</v>
      </c>
    </row>
    <row r="1562" spans="1:16" x14ac:dyDescent="0.35">
      <c r="A1562" s="3" t="s">
        <v>66</v>
      </c>
      <c r="B1562" s="3" t="str">
        <f>INDEX(State_Region!$B$2:$B$26,MATCH(TRIM(A1562),State_Region!$A$2:$A$26,0))</f>
        <v>North</v>
      </c>
      <c r="C1562" s="3" t="s">
        <v>219</v>
      </c>
      <c r="D1562" s="3" t="str">
        <f>INDEX(Port_Type!$B$2:$B$227,MATCH(TRIM(C1562),Port_Type!$A$2:$A$227,0))</f>
        <v>Air Cargo</v>
      </c>
      <c r="E1562" s="3" t="s">
        <v>45</v>
      </c>
      <c r="F1562" s="3" t="str">
        <f>INDEX(Product_Category!$B$2:$B$45,MATCH(TRIM(E1562),Product_Category!$A$2:$A$45,0))</f>
        <v>Fresh Fruits &amp; Vegetables</v>
      </c>
      <c r="G1562" s="4">
        <v>0</v>
      </c>
      <c r="H1562" s="4">
        <v>0.01</v>
      </c>
      <c r="I1562" s="4">
        <v>0.01</v>
      </c>
      <c r="J1562" s="4">
        <v>0.15</v>
      </c>
      <c r="K1562" s="4">
        <v>7.84</v>
      </c>
      <c r="L1562" s="4">
        <v>8.84</v>
      </c>
      <c r="M1562" s="4">
        <f t="shared" si="72"/>
        <v>0.01</v>
      </c>
      <c r="N1562" s="4">
        <f t="shared" si="73"/>
        <v>7.6899999999999995</v>
      </c>
      <c r="O1562" s="4">
        <f t="shared" si="74"/>
        <v>0</v>
      </c>
      <c r="P1562" s="3" t="s">
        <v>19</v>
      </c>
    </row>
    <row r="1563" spans="1:16" x14ac:dyDescent="0.35">
      <c r="A1563" s="3" t="s">
        <v>74</v>
      </c>
      <c r="B1563" s="3" t="str">
        <f>INDEX(State_Region!$B$2:$B$26,MATCH(TRIM(A1563),State_Region!$A$2:$A$26,0))</f>
        <v>South</v>
      </c>
      <c r="C1563" s="3" t="s">
        <v>98</v>
      </c>
      <c r="D1563" s="3" t="str">
        <f>INDEX(Port_Type!$B$2:$B$227,MATCH(TRIM(C1563),Port_Type!$A$2:$A$227,0))</f>
        <v>Inland ICD / CFS</v>
      </c>
      <c r="E1563" s="3" t="s">
        <v>126</v>
      </c>
      <c r="F1563" s="3" t="str">
        <f>INDEX(Product_Category!$B$2:$B$45,MATCH(TRIM(E1563),Product_Category!$A$2:$A$45,0))</f>
        <v>Cereals &amp; Grains</v>
      </c>
      <c r="G1563" s="4">
        <v>0</v>
      </c>
      <c r="H1563" s="4">
        <v>0.02</v>
      </c>
      <c r="I1563" s="4">
        <v>0.01</v>
      </c>
      <c r="J1563" s="4">
        <v>0</v>
      </c>
      <c r="K1563" s="4">
        <v>9.84</v>
      </c>
      <c r="L1563" s="4">
        <v>2.94</v>
      </c>
      <c r="M1563" s="4">
        <f t="shared" si="72"/>
        <v>0.02</v>
      </c>
      <c r="N1563" s="4">
        <f t="shared" si="73"/>
        <v>9.84</v>
      </c>
      <c r="O1563" s="4">
        <f t="shared" si="74"/>
        <v>-0.01</v>
      </c>
      <c r="P1563" s="3" t="s">
        <v>19</v>
      </c>
    </row>
    <row r="1564" spans="1:16" x14ac:dyDescent="0.35">
      <c r="A1564" s="3" t="s">
        <v>94</v>
      </c>
      <c r="B1564" s="3" t="str">
        <f>INDEX(State_Region!$B$2:$B$26,MATCH(TRIM(A1564),State_Region!$A$2:$A$26,0))</f>
        <v>East</v>
      </c>
      <c r="C1564" s="3" t="s">
        <v>247</v>
      </c>
      <c r="D1564" s="3" t="str">
        <f>INDEX(Port_Type!$B$2:$B$227,MATCH(TRIM(C1564),Port_Type!$A$2:$A$227,0))</f>
        <v>Land Border / Rail</v>
      </c>
      <c r="E1564" s="3" t="s">
        <v>126</v>
      </c>
      <c r="F1564" s="3" t="str">
        <f>INDEX(Product_Category!$B$2:$B$45,MATCH(TRIM(E1564),Product_Category!$A$2:$A$45,0))</f>
        <v>Cereals &amp; Grains</v>
      </c>
      <c r="G1564" s="4">
        <v>0</v>
      </c>
      <c r="H1564" s="4">
        <v>0</v>
      </c>
      <c r="I1564" s="4">
        <v>0.01</v>
      </c>
      <c r="J1564" s="4">
        <v>0</v>
      </c>
      <c r="K1564" s="4">
        <v>0</v>
      </c>
      <c r="L1564" s="4">
        <v>31.06</v>
      </c>
      <c r="M1564" s="4">
        <f t="shared" si="72"/>
        <v>0</v>
      </c>
      <c r="N1564" s="4">
        <f t="shared" si="73"/>
        <v>0</v>
      </c>
      <c r="O1564" s="4">
        <f t="shared" si="74"/>
        <v>0.01</v>
      </c>
      <c r="P1564" s="3" t="s">
        <v>19</v>
      </c>
    </row>
    <row r="1565" spans="1:16" x14ac:dyDescent="0.35">
      <c r="A1565" s="3" t="s">
        <v>86</v>
      </c>
      <c r="B1565" s="3" t="str">
        <f>INDEX(State_Region!$B$2:$B$26,MATCH(TRIM(A1565),State_Region!$A$2:$A$26,0))</f>
        <v>North</v>
      </c>
      <c r="C1565" s="3" t="s">
        <v>87</v>
      </c>
      <c r="D1565" s="3" t="str">
        <f>INDEX(Port_Type!$B$2:$B$227,MATCH(TRIM(C1565),Port_Type!$A$2:$A$227,0))</f>
        <v>Air Cargo</v>
      </c>
      <c r="E1565" s="3" t="s">
        <v>110</v>
      </c>
      <c r="F1565" s="3" t="str">
        <f>INDEX(Product_Category!$B$2:$B$45,MATCH(TRIM(E1565),Product_Category!$A$2:$A$45,0))</f>
        <v>Dairy, Poultry &amp; Honey</v>
      </c>
      <c r="G1565" s="4">
        <v>0.31</v>
      </c>
      <c r="H1565" s="4">
        <v>0.77</v>
      </c>
      <c r="I1565" s="4">
        <v>0.01</v>
      </c>
      <c r="J1565" s="4">
        <v>102.67</v>
      </c>
      <c r="K1565" s="4">
        <v>824.83</v>
      </c>
      <c r="L1565" s="4">
        <v>38.74</v>
      </c>
      <c r="M1565" s="4">
        <f t="shared" si="72"/>
        <v>0.46</v>
      </c>
      <c r="N1565" s="4">
        <f t="shared" si="73"/>
        <v>722.16000000000008</v>
      </c>
      <c r="O1565" s="4">
        <f t="shared" si="74"/>
        <v>-0.76</v>
      </c>
      <c r="P1565" s="3" t="s">
        <v>19</v>
      </c>
    </row>
    <row r="1566" spans="1:16" x14ac:dyDescent="0.35">
      <c r="A1566" s="3" t="s">
        <v>20</v>
      </c>
      <c r="B1566" s="3" t="str">
        <f>INDEX(State_Region!$B$2:$B$26,MATCH(TRIM(A1566),State_Region!$A$2:$A$26,0))</f>
        <v>West</v>
      </c>
      <c r="C1566" s="3" t="s">
        <v>56</v>
      </c>
      <c r="D1566" s="3" t="str">
        <f>INDEX(Port_Type!$B$2:$B$227,MATCH(TRIM(C1566),Port_Type!$A$2:$A$227,0))</f>
        <v>Inland ICD / CFS</v>
      </c>
      <c r="E1566" s="3" t="s">
        <v>150</v>
      </c>
      <c r="F1566" s="3" t="str">
        <f>INDEX(Product_Category!$B$2:$B$45,MATCH(TRIM(E1566),Product_Category!$A$2:$A$45,0))</f>
        <v>Nuts &amp; Oilseeds</v>
      </c>
      <c r="G1566" s="4">
        <v>0.02</v>
      </c>
      <c r="H1566" s="4">
        <v>0.02</v>
      </c>
      <c r="I1566" s="4">
        <v>0.01</v>
      </c>
      <c r="J1566" s="4">
        <v>1.34</v>
      </c>
      <c r="K1566" s="4">
        <v>1.44</v>
      </c>
      <c r="L1566" s="4">
        <v>0.5</v>
      </c>
      <c r="M1566" s="4">
        <f t="shared" si="72"/>
        <v>0</v>
      </c>
      <c r="N1566" s="4">
        <f t="shared" si="73"/>
        <v>9.9999999999999867E-2</v>
      </c>
      <c r="O1566" s="4">
        <f t="shared" si="74"/>
        <v>-0.01</v>
      </c>
      <c r="P1566" s="3" t="s">
        <v>19</v>
      </c>
    </row>
    <row r="1567" spans="1:16" x14ac:dyDescent="0.35">
      <c r="A1567" s="3" t="s">
        <v>20</v>
      </c>
      <c r="B1567" s="3" t="str">
        <f>INDEX(State_Region!$B$2:$B$26,MATCH(TRIM(A1567),State_Region!$A$2:$A$26,0))</f>
        <v>West</v>
      </c>
      <c r="C1567" s="3" t="s">
        <v>68</v>
      </c>
      <c r="D1567" s="3" t="str">
        <f>INDEX(Port_Type!$B$2:$B$227,MATCH(TRIM(C1567),Port_Type!$A$2:$A$227,0))</f>
        <v>Air Cargo</v>
      </c>
      <c r="E1567" s="3" t="s">
        <v>60</v>
      </c>
      <c r="F1567" s="3" t="str">
        <f>INDEX(Product_Category!$B$2:$B$45,MATCH(TRIM(E1567),Product_Category!$A$2:$A$45,0))</f>
        <v>Processed Foods</v>
      </c>
      <c r="G1567" s="4">
        <v>0.06</v>
      </c>
      <c r="H1567" s="4">
        <v>0.05</v>
      </c>
      <c r="I1567" s="4">
        <v>0.01</v>
      </c>
      <c r="J1567" s="4">
        <v>10.34</v>
      </c>
      <c r="K1567" s="4">
        <v>19.170000000000002</v>
      </c>
      <c r="L1567" s="4">
        <v>1.43</v>
      </c>
      <c r="M1567" s="4">
        <f t="shared" si="72"/>
        <v>-9.999999999999995E-3</v>
      </c>
      <c r="N1567" s="4">
        <f t="shared" si="73"/>
        <v>8.8300000000000018</v>
      </c>
      <c r="O1567" s="4">
        <f t="shared" si="74"/>
        <v>-0.04</v>
      </c>
      <c r="P1567" s="3" t="s">
        <v>19</v>
      </c>
    </row>
    <row r="1568" spans="1:16" x14ac:dyDescent="0.35">
      <c r="A1568" s="3" t="s">
        <v>86</v>
      </c>
      <c r="B1568" s="3" t="str">
        <f>INDEX(State_Region!$B$2:$B$26,MATCH(TRIM(A1568),State_Region!$A$2:$A$26,0))</f>
        <v>North</v>
      </c>
      <c r="C1568" s="3" t="s">
        <v>87</v>
      </c>
      <c r="D1568" s="3" t="str">
        <f>INDEX(Port_Type!$B$2:$B$227,MATCH(TRIM(C1568),Port_Type!$A$2:$A$227,0))</f>
        <v>Air Cargo</v>
      </c>
      <c r="E1568" s="3" t="s">
        <v>221</v>
      </c>
      <c r="F1568" s="3" t="str">
        <f>INDEX(Product_Category!$B$2:$B$45,MATCH(TRIM(E1568),Product_Category!$A$2:$A$45,0))</f>
        <v>Meat &amp; Animal Products</v>
      </c>
      <c r="G1568" s="4">
        <v>0.19</v>
      </c>
      <c r="H1568" s="4">
        <v>0.1</v>
      </c>
      <c r="I1568" s="4">
        <v>0.01</v>
      </c>
      <c r="J1568" s="4">
        <v>6.3</v>
      </c>
      <c r="K1568" s="4">
        <v>5.0999999999999996</v>
      </c>
      <c r="L1568" s="4">
        <v>2.48</v>
      </c>
      <c r="M1568" s="4">
        <f t="shared" si="72"/>
        <v>-0.09</v>
      </c>
      <c r="N1568" s="4">
        <f t="shared" si="73"/>
        <v>-1.2000000000000002</v>
      </c>
      <c r="O1568" s="4">
        <f t="shared" si="74"/>
        <v>-9.0000000000000011E-2</v>
      </c>
      <c r="P1568" s="3" t="s">
        <v>19</v>
      </c>
    </row>
    <row r="1569" spans="1:16" x14ac:dyDescent="0.35">
      <c r="A1569" s="3" t="s">
        <v>86</v>
      </c>
      <c r="B1569" s="3" t="str">
        <f>INDEX(State_Region!$B$2:$B$26,MATCH(TRIM(A1569),State_Region!$A$2:$A$26,0))</f>
        <v>North</v>
      </c>
      <c r="C1569" s="3" t="s">
        <v>106</v>
      </c>
      <c r="D1569" s="3" t="str">
        <f>INDEX(Port_Type!$B$2:$B$227,MATCH(TRIM(C1569),Port_Type!$A$2:$A$227,0))</f>
        <v>Inland ICD / CFS</v>
      </c>
      <c r="E1569" s="3" t="s">
        <v>126</v>
      </c>
      <c r="F1569" s="3" t="str">
        <f>INDEX(Product_Category!$B$2:$B$45,MATCH(TRIM(E1569),Product_Category!$A$2:$A$45,0))</f>
        <v>Cereals &amp; Grains</v>
      </c>
      <c r="G1569" s="4">
        <v>0.02</v>
      </c>
      <c r="H1569" s="4">
        <v>0.01</v>
      </c>
      <c r="I1569" s="4">
        <v>0.01</v>
      </c>
      <c r="J1569" s="4">
        <v>6.19</v>
      </c>
      <c r="K1569" s="4">
        <v>2.87</v>
      </c>
      <c r="L1569" s="4">
        <v>3.94</v>
      </c>
      <c r="M1569" s="4">
        <f t="shared" si="72"/>
        <v>-0.01</v>
      </c>
      <c r="N1569" s="4">
        <f t="shared" si="73"/>
        <v>-3.3200000000000003</v>
      </c>
      <c r="O1569" s="4">
        <f t="shared" si="74"/>
        <v>0</v>
      </c>
      <c r="P1569" s="3" t="s">
        <v>19</v>
      </c>
    </row>
    <row r="1570" spans="1:16" x14ac:dyDescent="0.35">
      <c r="A1570" s="3" t="s">
        <v>166</v>
      </c>
      <c r="B1570" s="3" t="str">
        <f>INDEX(State_Region!$B$2:$B$26,MATCH(TRIM(A1570),State_Region!$A$2:$A$26,0))</f>
        <v>West</v>
      </c>
      <c r="C1570" s="3" t="s">
        <v>248</v>
      </c>
      <c r="D1570" s="3" t="str">
        <f>INDEX(Port_Type!$B$2:$B$227,MATCH(TRIM(C1570),Port_Type!$A$2:$A$227,0))</f>
        <v>Air Cargo</v>
      </c>
      <c r="E1570" s="3" t="s">
        <v>76</v>
      </c>
      <c r="F1570" s="3" t="str">
        <f>INDEX(Product_Category!$B$2:$B$45,MATCH(TRIM(E1570),Product_Category!$A$2:$A$45,0))</f>
        <v>Fresh Fruits &amp; Vegetables</v>
      </c>
      <c r="G1570" s="4">
        <v>0.13</v>
      </c>
      <c r="H1570" s="4">
        <v>0.11</v>
      </c>
      <c r="I1570" s="4">
        <v>0.01</v>
      </c>
      <c r="J1570" s="4">
        <v>52.74</v>
      </c>
      <c r="K1570" s="4">
        <v>24.67</v>
      </c>
      <c r="L1570" s="4">
        <v>3</v>
      </c>
      <c r="M1570" s="4">
        <f t="shared" si="72"/>
        <v>-2.0000000000000004E-2</v>
      </c>
      <c r="N1570" s="4">
        <f t="shared" si="73"/>
        <v>-28.07</v>
      </c>
      <c r="O1570" s="4">
        <f t="shared" si="74"/>
        <v>-0.1</v>
      </c>
      <c r="P1570" s="3" t="s">
        <v>19</v>
      </c>
    </row>
    <row r="1571" spans="1:16" x14ac:dyDescent="0.35">
      <c r="A1571" s="3" t="s">
        <v>23</v>
      </c>
      <c r="B1571" s="3" t="str">
        <f>INDEX(State_Region!$B$2:$B$26,MATCH(TRIM(A1571),State_Region!$A$2:$A$26,0))</f>
        <v>North</v>
      </c>
      <c r="C1571" s="3" t="s">
        <v>24</v>
      </c>
      <c r="D1571" s="3" t="str">
        <f>INDEX(Port_Type!$B$2:$B$227,MATCH(TRIM(C1571),Port_Type!$A$2:$A$227,0))</f>
        <v>Inland ICD / CFS</v>
      </c>
      <c r="E1571" s="3" t="s">
        <v>53</v>
      </c>
      <c r="F1571" s="3" t="str">
        <f>INDEX(Product_Category!$B$2:$B$45,MATCH(TRIM(E1571),Product_Category!$A$2:$A$45,0))</f>
        <v>Processed Foods</v>
      </c>
      <c r="G1571" s="4">
        <v>0.13</v>
      </c>
      <c r="H1571" s="4">
        <v>0.17</v>
      </c>
      <c r="I1571" s="4">
        <v>0.01</v>
      </c>
      <c r="J1571" s="4">
        <v>29.83</v>
      </c>
      <c r="K1571" s="4">
        <v>43.43</v>
      </c>
      <c r="L1571" s="4">
        <v>1.7</v>
      </c>
      <c r="M1571" s="4">
        <f t="shared" si="72"/>
        <v>4.0000000000000008E-2</v>
      </c>
      <c r="N1571" s="4">
        <f t="shared" si="73"/>
        <v>13.600000000000001</v>
      </c>
      <c r="O1571" s="4">
        <f t="shared" si="74"/>
        <v>-0.16</v>
      </c>
      <c r="P1571" s="3" t="s">
        <v>19</v>
      </c>
    </row>
    <row r="1572" spans="1:16" x14ac:dyDescent="0.35">
      <c r="A1572" s="3" t="s">
        <v>79</v>
      </c>
      <c r="B1572" s="3" t="str">
        <f>INDEX(State_Region!$B$2:$B$26,MATCH(TRIM(A1572),State_Region!$A$2:$A$26,0))</f>
        <v>South</v>
      </c>
      <c r="C1572" s="3" t="s">
        <v>92</v>
      </c>
      <c r="D1572" s="3" t="str">
        <f>INDEX(Port_Type!$B$2:$B$227,MATCH(TRIM(C1572),Port_Type!$A$2:$A$227,0))</f>
        <v>Air Cargo</v>
      </c>
      <c r="E1572" s="3" t="s">
        <v>55</v>
      </c>
      <c r="F1572" s="3" t="str">
        <f>INDEX(Product_Category!$B$2:$B$45,MATCH(TRIM(E1572),Product_Category!$A$2:$A$45,0))</f>
        <v>Fresh Fruits &amp; Vegetables</v>
      </c>
      <c r="G1572" s="4">
        <v>1.08</v>
      </c>
      <c r="H1572" s="4">
        <v>0.02</v>
      </c>
      <c r="I1572" s="4">
        <v>0.01</v>
      </c>
      <c r="J1572" s="4">
        <v>954.76</v>
      </c>
      <c r="K1572" s="4">
        <v>9.89</v>
      </c>
      <c r="L1572" s="4">
        <v>2.4900000000000002</v>
      </c>
      <c r="M1572" s="4">
        <f t="shared" si="72"/>
        <v>-1.06</v>
      </c>
      <c r="N1572" s="4">
        <f t="shared" si="73"/>
        <v>-944.87</v>
      </c>
      <c r="O1572" s="4">
        <f t="shared" si="74"/>
        <v>-0.01</v>
      </c>
      <c r="P1572" s="3" t="s">
        <v>19</v>
      </c>
    </row>
    <row r="1573" spans="1:16" x14ac:dyDescent="0.35">
      <c r="A1573" s="3" t="s">
        <v>77</v>
      </c>
      <c r="B1573" s="3" t="str">
        <f>INDEX(State_Region!$B$2:$B$26,MATCH(TRIM(A1573),State_Region!$A$2:$A$26,0))</f>
        <v>South</v>
      </c>
      <c r="C1573" s="3" t="s">
        <v>132</v>
      </c>
      <c r="D1573" s="3" t="str">
        <f>INDEX(Port_Type!$B$2:$B$227,MATCH(TRIM(C1573),Port_Type!$A$2:$A$227,0))</f>
        <v>Air Cargo</v>
      </c>
      <c r="E1573" s="3" t="s">
        <v>65</v>
      </c>
      <c r="F1573" s="3" t="str">
        <f>INDEX(Product_Category!$B$2:$B$45,MATCH(TRIM(E1573),Product_Category!$A$2:$A$45,0))</f>
        <v>Cereals &amp; Grains</v>
      </c>
      <c r="G1573" s="4">
        <v>0</v>
      </c>
      <c r="H1573" s="4">
        <v>0.01</v>
      </c>
      <c r="I1573" s="4">
        <v>0.01</v>
      </c>
      <c r="J1573" s="4">
        <v>0.42</v>
      </c>
      <c r="K1573" s="4">
        <v>11.97</v>
      </c>
      <c r="L1573" s="4">
        <v>13.09</v>
      </c>
      <c r="M1573" s="4">
        <f t="shared" si="72"/>
        <v>0.01</v>
      </c>
      <c r="N1573" s="4">
        <f t="shared" si="73"/>
        <v>11.55</v>
      </c>
      <c r="O1573" s="4">
        <f t="shared" si="74"/>
        <v>0</v>
      </c>
      <c r="P1573" s="3" t="s">
        <v>19</v>
      </c>
    </row>
    <row r="1574" spans="1:16" x14ac:dyDescent="0.35">
      <c r="A1574" s="3" t="s">
        <v>94</v>
      </c>
      <c r="B1574" s="3" t="str">
        <f>INDEX(State_Region!$B$2:$B$26,MATCH(TRIM(A1574),State_Region!$A$2:$A$26,0))</f>
        <v>East</v>
      </c>
      <c r="C1574" s="3" t="s">
        <v>247</v>
      </c>
      <c r="D1574" s="3" t="str">
        <f>INDEX(Port_Type!$B$2:$B$227,MATCH(TRIM(C1574),Port_Type!$A$2:$A$227,0))</f>
        <v>Land Border / Rail</v>
      </c>
      <c r="E1574" s="3" t="s">
        <v>42</v>
      </c>
      <c r="F1574" s="3" t="str">
        <f>INDEX(Product_Category!$B$2:$B$45,MATCH(TRIM(E1574),Product_Category!$A$2:$A$45,0))</f>
        <v>Processed Foods</v>
      </c>
      <c r="G1574" s="4">
        <v>0.03</v>
      </c>
      <c r="H1574" s="4">
        <v>7.0000000000000007E-2</v>
      </c>
      <c r="I1574" s="4">
        <v>0.01</v>
      </c>
      <c r="J1574" s="4">
        <v>363.81</v>
      </c>
      <c r="K1574" s="4">
        <v>1294.3</v>
      </c>
      <c r="L1574" s="4">
        <v>145</v>
      </c>
      <c r="M1574" s="4">
        <f t="shared" si="72"/>
        <v>4.0000000000000008E-2</v>
      </c>
      <c r="N1574" s="4">
        <f t="shared" si="73"/>
        <v>930.49</v>
      </c>
      <c r="O1574" s="4">
        <f t="shared" si="74"/>
        <v>-6.0000000000000005E-2</v>
      </c>
      <c r="P1574" s="3" t="s">
        <v>19</v>
      </c>
    </row>
    <row r="1575" spans="1:16" x14ac:dyDescent="0.35">
      <c r="A1575" s="3" t="s">
        <v>49</v>
      </c>
      <c r="B1575" s="3" t="str">
        <f>INDEX(State_Region!$B$2:$B$26,MATCH(TRIM(A1575),State_Region!$A$2:$A$26,0))</f>
        <v>North</v>
      </c>
      <c r="C1575" s="3" t="s">
        <v>121</v>
      </c>
      <c r="D1575" s="3" t="str">
        <f>INDEX(Port_Type!$B$2:$B$227,MATCH(TRIM(C1575),Port_Type!$A$2:$A$227,0))</f>
        <v>Inland ICD / CFS</v>
      </c>
      <c r="E1575" s="3" t="s">
        <v>48</v>
      </c>
      <c r="F1575" s="3" t="str">
        <f>INDEX(Product_Category!$B$2:$B$45,MATCH(TRIM(E1575),Product_Category!$A$2:$A$45,0))</f>
        <v>Processed Foods</v>
      </c>
      <c r="G1575" s="4">
        <v>0.03</v>
      </c>
      <c r="H1575" s="4">
        <v>0.1</v>
      </c>
      <c r="I1575" s="4">
        <v>0.01</v>
      </c>
      <c r="J1575" s="4">
        <v>10.85</v>
      </c>
      <c r="K1575" s="4">
        <v>22.73</v>
      </c>
      <c r="L1575" s="4">
        <v>1.1100000000000001</v>
      </c>
      <c r="M1575" s="4">
        <f t="shared" si="72"/>
        <v>7.0000000000000007E-2</v>
      </c>
      <c r="N1575" s="4">
        <f t="shared" si="73"/>
        <v>11.88</v>
      </c>
      <c r="O1575" s="4">
        <f t="shared" si="74"/>
        <v>-9.0000000000000011E-2</v>
      </c>
      <c r="P1575" s="3" t="s">
        <v>19</v>
      </c>
    </row>
    <row r="1576" spans="1:16" x14ac:dyDescent="0.35">
      <c r="A1576" s="3" t="s">
        <v>74</v>
      </c>
      <c r="B1576" s="3" t="str">
        <f>INDEX(State_Region!$B$2:$B$26,MATCH(TRIM(A1576),State_Region!$A$2:$A$26,0))</f>
        <v>South</v>
      </c>
      <c r="C1576" s="3" t="s">
        <v>75</v>
      </c>
      <c r="D1576" s="3" t="str">
        <f>INDEX(Port_Type!$B$2:$B$227,MATCH(TRIM(C1576),Port_Type!$A$2:$A$227,0))</f>
        <v>Inland ICD / CFS</v>
      </c>
      <c r="E1576" s="3" t="s">
        <v>51</v>
      </c>
      <c r="F1576" s="3" t="str">
        <f>INDEX(Product_Category!$B$2:$B$45,MATCH(TRIM(E1576),Product_Category!$A$2:$A$45,0))</f>
        <v>Nuts &amp; Oilseeds</v>
      </c>
      <c r="G1576" s="4">
        <v>0.1</v>
      </c>
      <c r="H1576" s="4">
        <v>0</v>
      </c>
      <c r="I1576" s="4">
        <v>0.01</v>
      </c>
      <c r="J1576" s="4">
        <v>43.73</v>
      </c>
      <c r="K1576" s="4">
        <v>0.1</v>
      </c>
      <c r="L1576" s="4">
        <v>2.8</v>
      </c>
      <c r="M1576" s="4">
        <f t="shared" si="72"/>
        <v>-0.1</v>
      </c>
      <c r="N1576" s="4">
        <f t="shared" si="73"/>
        <v>-43.629999999999995</v>
      </c>
      <c r="O1576" s="4">
        <f t="shared" si="74"/>
        <v>0.01</v>
      </c>
      <c r="P1576" s="3" t="s">
        <v>19</v>
      </c>
    </row>
    <row r="1577" spans="1:16" x14ac:dyDescent="0.35">
      <c r="A1577" s="3" t="s">
        <v>35</v>
      </c>
      <c r="B1577" s="3" t="str">
        <f>INDEX(State_Region!$B$2:$B$26,MATCH(TRIM(A1577),State_Region!$A$2:$A$26,0))</f>
        <v>North</v>
      </c>
      <c r="C1577" s="3" t="s">
        <v>38</v>
      </c>
      <c r="D1577" s="3" t="str">
        <f>INDEX(Port_Type!$B$2:$B$227,MATCH(TRIM(C1577),Port_Type!$A$2:$A$227,0))</f>
        <v>Inland ICD / CFS</v>
      </c>
      <c r="E1577" s="3" t="s">
        <v>151</v>
      </c>
      <c r="F1577" s="3" t="str">
        <f>INDEX(Product_Category!$B$2:$B$45,MATCH(TRIM(E1577),Product_Category!$A$2:$A$45,0))</f>
        <v>Processed Foods</v>
      </c>
      <c r="G1577" s="4">
        <v>7.0000000000000007E-2</v>
      </c>
      <c r="H1577" s="4">
        <v>0.05</v>
      </c>
      <c r="I1577" s="4">
        <v>0.01</v>
      </c>
      <c r="J1577" s="4">
        <v>35.06</v>
      </c>
      <c r="K1577" s="4">
        <v>30.23</v>
      </c>
      <c r="L1577" s="4">
        <v>4.62</v>
      </c>
      <c r="M1577" s="4">
        <f t="shared" si="72"/>
        <v>-2.0000000000000004E-2</v>
      </c>
      <c r="N1577" s="4">
        <f t="shared" si="73"/>
        <v>-4.8300000000000018</v>
      </c>
      <c r="O1577" s="4">
        <f t="shared" si="74"/>
        <v>-0.04</v>
      </c>
      <c r="P1577" s="3" t="s">
        <v>19</v>
      </c>
    </row>
    <row r="1578" spans="1:16" x14ac:dyDescent="0.35">
      <c r="A1578" s="3" t="s">
        <v>35</v>
      </c>
      <c r="B1578" s="3" t="str">
        <f>INDEX(State_Region!$B$2:$B$26,MATCH(TRIM(A1578),State_Region!$A$2:$A$26,0))</f>
        <v>North</v>
      </c>
      <c r="C1578" s="3" t="s">
        <v>165</v>
      </c>
      <c r="D1578" s="3" t="str">
        <f>INDEX(Port_Type!$B$2:$B$227,MATCH(TRIM(C1578),Port_Type!$A$2:$A$227,0))</f>
        <v>Inland ICD / CFS</v>
      </c>
      <c r="E1578" s="3" t="s">
        <v>170</v>
      </c>
      <c r="F1578" s="3" t="str">
        <f>INDEX(Product_Category!$B$2:$B$45,MATCH(TRIM(E1578),Product_Category!$A$2:$A$45,0))</f>
        <v>Others</v>
      </c>
      <c r="G1578" s="4">
        <v>0</v>
      </c>
      <c r="H1578" s="4">
        <v>0.02</v>
      </c>
      <c r="I1578" s="4">
        <v>0.01</v>
      </c>
      <c r="J1578" s="4">
        <v>0</v>
      </c>
      <c r="K1578" s="4">
        <v>1.65</v>
      </c>
      <c r="L1578" s="4">
        <v>0.46</v>
      </c>
      <c r="M1578" s="4">
        <f t="shared" si="72"/>
        <v>0.02</v>
      </c>
      <c r="N1578" s="4">
        <f t="shared" si="73"/>
        <v>1.65</v>
      </c>
      <c r="O1578" s="4">
        <f t="shared" si="74"/>
        <v>-0.01</v>
      </c>
      <c r="P1578" s="3" t="s">
        <v>19</v>
      </c>
    </row>
    <row r="1579" spans="1:16" x14ac:dyDescent="0.35">
      <c r="A1579" s="3" t="s">
        <v>40</v>
      </c>
      <c r="B1579" s="3" t="str">
        <f>INDEX(State_Region!$B$2:$B$26,MATCH(TRIM(A1579),State_Region!$A$2:$A$26,0))</f>
        <v>South</v>
      </c>
      <c r="C1579" s="3" t="s">
        <v>183</v>
      </c>
      <c r="D1579" s="3" t="str">
        <f>INDEX(Port_Type!$B$2:$B$227,MATCH(TRIM(C1579),Port_Type!$A$2:$A$227,0))</f>
        <v>Inland ICD / CFS</v>
      </c>
      <c r="E1579" s="3" t="s">
        <v>53</v>
      </c>
      <c r="F1579" s="3" t="str">
        <f>INDEX(Product_Category!$B$2:$B$45,MATCH(TRIM(E1579),Product_Category!$A$2:$A$45,0))</f>
        <v>Processed Foods</v>
      </c>
      <c r="G1579" s="4">
        <v>7.0000000000000007E-2</v>
      </c>
      <c r="H1579" s="4">
        <v>7.0000000000000007E-2</v>
      </c>
      <c r="I1579" s="4">
        <v>0.01</v>
      </c>
      <c r="J1579" s="4">
        <v>22.47</v>
      </c>
      <c r="K1579" s="4">
        <v>27.66</v>
      </c>
      <c r="L1579" s="4">
        <v>2.33</v>
      </c>
      <c r="M1579" s="4">
        <f t="shared" si="72"/>
        <v>0</v>
      </c>
      <c r="N1579" s="4">
        <f t="shared" si="73"/>
        <v>5.1900000000000013</v>
      </c>
      <c r="O1579" s="4">
        <f t="shared" si="74"/>
        <v>-6.0000000000000005E-2</v>
      </c>
      <c r="P1579" s="3" t="s">
        <v>19</v>
      </c>
    </row>
    <row r="1580" spans="1:16" x14ac:dyDescent="0.35">
      <c r="A1580" s="3" t="s">
        <v>25</v>
      </c>
      <c r="B1580" s="3" t="str">
        <f>INDEX(State_Region!$B$2:$B$26,MATCH(TRIM(A1580),State_Region!$A$2:$A$26,0))</f>
        <v>South</v>
      </c>
      <c r="C1580" s="3" t="s">
        <v>29</v>
      </c>
      <c r="D1580" s="3" t="str">
        <f>INDEX(Port_Type!$B$2:$B$227,MATCH(TRIM(C1580),Port_Type!$A$2:$A$227,0))</f>
        <v>Sea Port</v>
      </c>
      <c r="E1580" s="3" t="s">
        <v>102</v>
      </c>
      <c r="F1580" s="3" t="str">
        <f>INDEX(Product_Category!$B$2:$B$45,MATCH(TRIM(E1580),Product_Category!$A$2:$A$45,0))</f>
        <v>Fresh Fruits &amp; Vegetables</v>
      </c>
      <c r="G1580" s="4">
        <v>0</v>
      </c>
      <c r="H1580" s="4">
        <v>0</v>
      </c>
      <c r="I1580" s="4">
        <v>0.01</v>
      </c>
      <c r="J1580" s="4">
        <v>0.19</v>
      </c>
      <c r="K1580" s="4">
        <v>0.48</v>
      </c>
      <c r="L1580" s="4">
        <v>27.77</v>
      </c>
      <c r="M1580" s="4">
        <f t="shared" si="72"/>
        <v>0</v>
      </c>
      <c r="N1580" s="4">
        <f t="shared" si="73"/>
        <v>0.28999999999999998</v>
      </c>
      <c r="O1580" s="4">
        <f t="shared" si="74"/>
        <v>0.01</v>
      </c>
      <c r="P1580" s="3" t="s">
        <v>19</v>
      </c>
    </row>
    <row r="1581" spans="1:16" x14ac:dyDescent="0.35">
      <c r="A1581" s="3" t="s">
        <v>16</v>
      </c>
      <c r="B1581" s="3" t="str">
        <f>INDEX(State_Region!$B$2:$B$26,MATCH(TRIM(A1581),State_Region!$A$2:$A$26,0))</f>
        <v>West</v>
      </c>
      <c r="C1581" s="3" t="s">
        <v>135</v>
      </c>
      <c r="D1581" s="3" t="str">
        <f>INDEX(Port_Type!$B$2:$B$227,MATCH(TRIM(C1581),Port_Type!$A$2:$A$227,0))</f>
        <v>Air Cargo</v>
      </c>
      <c r="E1581" s="3" t="s">
        <v>118</v>
      </c>
      <c r="F1581" s="3" t="str">
        <f>INDEX(Product_Category!$B$2:$B$45,MATCH(TRIM(E1581),Product_Category!$A$2:$A$45,0))</f>
        <v>Dairy, Poultry &amp; Honey</v>
      </c>
      <c r="G1581" s="4">
        <v>0.01</v>
      </c>
      <c r="H1581" s="4">
        <v>0</v>
      </c>
      <c r="I1581" s="4">
        <v>0.01</v>
      </c>
      <c r="J1581" s="4">
        <v>1.84</v>
      </c>
      <c r="K1581" s="4">
        <v>0.53</v>
      </c>
      <c r="L1581" s="4">
        <v>1.1599999999999999</v>
      </c>
      <c r="M1581" s="4">
        <f t="shared" si="72"/>
        <v>-0.01</v>
      </c>
      <c r="N1581" s="4">
        <f t="shared" si="73"/>
        <v>-1.31</v>
      </c>
      <c r="O1581" s="4">
        <f t="shared" si="74"/>
        <v>0.01</v>
      </c>
      <c r="P1581" s="3" t="s">
        <v>19</v>
      </c>
    </row>
    <row r="1582" spans="1:16" x14ac:dyDescent="0.35">
      <c r="A1582" s="3" t="s">
        <v>40</v>
      </c>
      <c r="B1582" s="3" t="str">
        <f>INDEX(State_Region!$B$2:$B$26,MATCH(TRIM(A1582),State_Region!$A$2:$A$26,0))</f>
        <v>South</v>
      </c>
      <c r="C1582" s="3" t="s">
        <v>117</v>
      </c>
      <c r="D1582" s="3" t="str">
        <f>INDEX(Port_Type!$B$2:$B$227,MATCH(TRIM(C1582),Port_Type!$A$2:$A$227,0))</f>
        <v>Sea Port</v>
      </c>
      <c r="E1582" s="3" t="s">
        <v>116</v>
      </c>
      <c r="F1582" s="3" t="str">
        <f>INDEX(Product_Category!$B$2:$B$45,MATCH(TRIM(E1582),Product_Category!$A$2:$A$45,0))</f>
        <v>Others</v>
      </c>
      <c r="G1582" s="4">
        <v>0</v>
      </c>
      <c r="H1582" s="4">
        <v>0</v>
      </c>
      <c r="I1582" s="4">
        <v>0.01</v>
      </c>
      <c r="J1582" s="4">
        <v>0</v>
      </c>
      <c r="K1582" s="4">
        <v>0</v>
      </c>
      <c r="L1582" s="4">
        <v>18</v>
      </c>
      <c r="M1582" s="4">
        <f t="shared" si="72"/>
        <v>0</v>
      </c>
      <c r="N1582" s="4">
        <f t="shared" si="73"/>
        <v>0</v>
      </c>
      <c r="O1582" s="4">
        <f t="shared" si="74"/>
        <v>0.01</v>
      </c>
      <c r="P1582" s="3" t="s">
        <v>19</v>
      </c>
    </row>
    <row r="1583" spans="1:16" x14ac:dyDescent="0.35">
      <c r="A1583" s="3" t="s">
        <v>166</v>
      </c>
      <c r="B1583" s="3" t="str">
        <f>INDEX(State_Region!$B$2:$B$26,MATCH(TRIM(A1583),State_Region!$A$2:$A$26,0))</f>
        <v>West</v>
      </c>
      <c r="C1583" s="3" t="s">
        <v>248</v>
      </c>
      <c r="D1583" s="3" t="str">
        <f>INDEX(Port_Type!$B$2:$B$227,MATCH(TRIM(C1583),Port_Type!$A$2:$A$227,0))</f>
        <v>Air Cargo</v>
      </c>
      <c r="E1583" s="3" t="s">
        <v>102</v>
      </c>
      <c r="F1583" s="3" t="str">
        <f>INDEX(Product_Category!$B$2:$B$45,MATCH(TRIM(E1583),Product_Category!$A$2:$A$45,0))</f>
        <v>Fresh Fruits &amp; Vegetables</v>
      </c>
      <c r="G1583" s="4">
        <v>2.0299999999999998</v>
      </c>
      <c r="H1583" s="4">
        <v>0.37</v>
      </c>
      <c r="I1583" s="4">
        <v>0.01</v>
      </c>
      <c r="J1583" s="4">
        <v>712.56</v>
      </c>
      <c r="K1583" s="4">
        <v>207.06</v>
      </c>
      <c r="L1583" s="4">
        <v>5.01</v>
      </c>
      <c r="M1583" s="4">
        <f t="shared" si="72"/>
        <v>-1.6599999999999997</v>
      </c>
      <c r="N1583" s="4">
        <f t="shared" si="73"/>
        <v>-505.49999999999994</v>
      </c>
      <c r="O1583" s="4">
        <f t="shared" si="74"/>
        <v>-0.36</v>
      </c>
      <c r="P1583" s="3" t="s">
        <v>19</v>
      </c>
    </row>
    <row r="1584" spans="1:16" x14ac:dyDescent="0.35">
      <c r="A1584" s="3" t="s">
        <v>16</v>
      </c>
      <c r="B1584" s="3" t="str">
        <f>INDEX(State_Region!$B$2:$B$26,MATCH(TRIM(A1584),State_Region!$A$2:$A$26,0))</f>
        <v>West</v>
      </c>
      <c r="C1584" s="3" t="s">
        <v>89</v>
      </c>
      <c r="D1584" s="3" t="str">
        <f>INDEX(Port_Type!$B$2:$B$227,MATCH(TRIM(C1584),Port_Type!$A$2:$A$227,0))</f>
        <v>Inland ICD / CFS</v>
      </c>
      <c r="E1584" s="3" t="s">
        <v>126</v>
      </c>
      <c r="F1584" s="3" t="str">
        <f>INDEX(Product_Category!$B$2:$B$45,MATCH(TRIM(E1584),Product_Category!$A$2:$A$45,0))</f>
        <v>Cereals &amp; Grains</v>
      </c>
      <c r="G1584" s="4">
        <v>0.22</v>
      </c>
      <c r="H1584" s="4">
        <v>0.02</v>
      </c>
      <c r="I1584" s="4">
        <v>0.01</v>
      </c>
      <c r="J1584" s="4">
        <v>146.28</v>
      </c>
      <c r="K1584" s="4">
        <v>10.71</v>
      </c>
      <c r="L1584" s="4">
        <v>4.3600000000000003</v>
      </c>
      <c r="M1584" s="4">
        <f t="shared" si="72"/>
        <v>-0.2</v>
      </c>
      <c r="N1584" s="4">
        <f t="shared" si="73"/>
        <v>-135.57</v>
      </c>
      <c r="O1584" s="4">
        <f t="shared" si="74"/>
        <v>-0.01</v>
      </c>
      <c r="P1584" s="3" t="s">
        <v>19</v>
      </c>
    </row>
    <row r="1585" spans="1:16" x14ac:dyDescent="0.35">
      <c r="A1585" s="3" t="s">
        <v>31</v>
      </c>
      <c r="B1585" s="3" t="str">
        <f>INDEX(State_Region!$B$2:$B$26,MATCH(TRIM(A1585),State_Region!$A$2:$A$26,0))</f>
        <v>East</v>
      </c>
      <c r="C1585" s="3" t="s">
        <v>141</v>
      </c>
      <c r="D1585" s="3" t="str">
        <f>INDEX(Port_Type!$B$2:$B$227,MATCH(TRIM(C1585),Port_Type!$A$2:$A$227,0))</f>
        <v>Land Border / Rail</v>
      </c>
      <c r="E1585" s="3" t="s">
        <v>114</v>
      </c>
      <c r="F1585" s="3" t="str">
        <f>INDEX(Product_Category!$B$2:$B$45,MATCH(TRIM(E1585),Product_Category!$A$2:$A$45,0))</f>
        <v>Dairy, Poultry &amp; Honey</v>
      </c>
      <c r="G1585" s="4">
        <v>0.04</v>
      </c>
      <c r="H1585" s="4">
        <v>0</v>
      </c>
      <c r="I1585" s="4">
        <v>0.01</v>
      </c>
      <c r="J1585" s="4">
        <v>18.79</v>
      </c>
      <c r="K1585" s="4">
        <v>1.68</v>
      </c>
      <c r="L1585" s="4">
        <v>1.1000000000000001</v>
      </c>
      <c r="M1585" s="4">
        <f t="shared" si="72"/>
        <v>-0.04</v>
      </c>
      <c r="N1585" s="4">
        <f t="shared" si="73"/>
        <v>-17.11</v>
      </c>
      <c r="O1585" s="4">
        <f t="shared" si="74"/>
        <v>0.01</v>
      </c>
      <c r="P1585" s="3" t="s">
        <v>19</v>
      </c>
    </row>
    <row r="1586" spans="1:16" x14ac:dyDescent="0.35">
      <c r="A1586" s="3" t="s">
        <v>77</v>
      </c>
      <c r="B1586" s="3" t="str">
        <f>INDEX(State_Region!$B$2:$B$26,MATCH(TRIM(A1586),State_Region!$A$2:$A$26,0))</f>
        <v>South</v>
      </c>
      <c r="C1586" s="3" t="s">
        <v>149</v>
      </c>
      <c r="D1586" s="3" t="str">
        <f>INDEX(Port_Type!$B$2:$B$227,MATCH(TRIM(C1586),Port_Type!$A$2:$A$227,0))</f>
        <v>SEZ / EPZ</v>
      </c>
      <c r="E1586" s="3" t="s">
        <v>53</v>
      </c>
      <c r="F1586" s="3" t="str">
        <f>INDEX(Product_Category!$B$2:$B$45,MATCH(TRIM(E1586),Product_Category!$A$2:$A$45,0))</f>
        <v>Processed Foods</v>
      </c>
      <c r="G1586" s="4">
        <v>0.01</v>
      </c>
      <c r="H1586" s="4">
        <v>0.04</v>
      </c>
      <c r="I1586" s="4">
        <v>0.01</v>
      </c>
      <c r="J1586" s="4">
        <v>0.49</v>
      </c>
      <c r="K1586" s="4">
        <v>1.52</v>
      </c>
      <c r="L1586" s="4">
        <v>0.2</v>
      </c>
      <c r="M1586" s="4">
        <f t="shared" si="72"/>
        <v>0.03</v>
      </c>
      <c r="N1586" s="4">
        <f t="shared" si="73"/>
        <v>1.03</v>
      </c>
      <c r="O1586" s="4">
        <f t="shared" si="74"/>
        <v>-0.03</v>
      </c>
      <c r="P1586" s="3" t="s">
        <v>19</v>
      </c>
    </row>
    <row r="1587" spans="1:16" x14ac:dyDescent="0.35">
      <c r="A1587" s="3" t="s">
        <v>20</v>
      </c>
      <c r="B1587" s="3" t="str">
        <f>INDEX(State_Region!$B$2:$B$26,MATCH(TRIM(A1587),State_Region!$A$2:$A$26,0))</f>
        <v>West</v>
      </c>
      <c r="C1587" s="3" t="s">
        <v>235</v>
      </c>
      <c r="D1587" s="3" t="str">
        <f>INDEX(Port_Type!$B$2:$B$227,MATCH(TRIM(C1587),Port_Type!$A$2:$A$227,0))</f>
        <v>Inland ICD / CFS</v>
      </c>
      <c r="E1587" s="3" t="s">
        <v>39</v>
      </c>
      <c r="F1587" s="3" t="str">
        <f>INDEX(Product_Category!$B$2:$B$45,MATCH(TRIM(E1587),Product_Category!$A$2:$A$45,0))</f>
        <v>Processed Foods</v>
      </c>
      <c r="G1587" s="4">
        <v>0.1</v>
      </c>
      <c r="H1587" s="4">
        <v>0.42</v>
      </c>
      <c r="I1587" s="4">
        <v>0.01</v>
      </c>
      <c r="J1587" s="4">
        <v>71.2</v>
      </c>
      <c r="K1587" s="4">
        <v>43.29</v>
      </c>
      <c r="L1587" s="4">
        <v>1.45</v>
      </c>
      <c r="M1587" s="4">
        <f t="shared" si="72"/>
        <v>0.31999999999999995</v>
      </c>
      <c r="N1587" s="4">
        <f t="shared" si="73"/>
        <v>-27.910000000000004</v>
      </c>
      <c r="O1587" s="4">
        <f t="shared" si="74"/>
        <v>-0.41</v>
      </c>
      <c r="P1587" s="3" t="s">
        <v>19</v>
      </c>
    </row>
    <row r="1588" spans="1:16" x14ac:dyDescent="0.35">
      <c r="A1588" s="3" t="s">
        <v>251</v>
      </c>
      <c r="B1588" s="3" t="str">
        <f>INDEX(State_Region!$B$2:$B$26,MATCH(TRIM(A1588),State_Region!$A$2:$A$26,0))</f>
        <v>South</v>
      </c>
      <c r="C1588" s="3" t="s">
        <v>252</v>
      </c>
      <c r="D1588" s="3" t="str">
        <f>INDEX(Port_Type!$B$2:$B$227,MATCH(TRIM(C1588),Port_Type!$A$2:$A$227,0))</f>
        <v>Inland ICD / CFS</v>
      </c>
      <c r="E1588" s="3" t="s">
        <v>51</v>
      </c>
      <c r="F1588" s="3" t="str">
        <f>INDEX(Product_Category!$B$2:$B$45,MATCH(TRIM(E1588),Product_Category!$A$2:$A$45,0))</f>
        <v>Nuts &amp; Oilseeds</v>
      </c>
      <c r="G1588" s="4">
        <v>0.05</v>
      </c>
      <c r="H1588" s="4">
        <v>7.0000000000000007E-2</v>
      </c>
      <c r="I1588" s="4">
        <v>0.01</v>
      </c>
      <c r="J1588" s="4">
        <v>21.25</v>
      </c>
      <c r="K1588" s="4">
        <v>27.27</v>
      </c>
      <c r="L1588" s="4">
        <v>2.94</v>
      </c>
      <c r="M1588" s="4">
        <f t="shared" si="72"/>
        <v>2.0000000000000004E-2</v>
      </c>
      <c r="N1588" s="4">
        <f t="shared" si="73"/>
        <v>6.02</v>
      </c>
      <c r="O1588" s="4">
        <f t="shared" si="74"/>
        <v>-6.0000000000000005E-2</v>
      </c>
      <c r="P1588" s="3" t="s">
        <v>19</v>
      </c>
    </row>
    <row r="1589" spans="1:16" x14ac:dyDescent="0.35">
      <c r="A1589" s="3" t="s">
        <v>31</v>
      </c>
      <c r="B1589" s="3" t="str">
        <f>INDEX(State_Region!$B$2:$B$26,MATCH(TRIM(A1589),State_Region!$A$2:$A$26,0))</f>
        <v>East</v>
      </c>
      <c r="C1589" s="3" t="s">
        <v>141</v>
      </c>
      <c r="D1589" s="3" t="str">
        <f>INDEX(Port_Type!$B$2:$B$227,MATCH(TRIM(C1589),Port_Type!$A$2:$A$227,0))</f>
        <v>Land Border / Rail</v>
      </c>
      <c r="E1589" s="3" t="s">
        <v>59</v>
      </c>
      <c r="F1589" s="3" t="str">
        <f>INDEX(Product_Category!$B$2:$B$45,MATCH(TRIM(E1589),Product_Category!$A$2:$A$45,0))</f>
        <v>Processed Foods</v>
      </c>
      <c r="G1589" s="4">
        <v>0.06</v>
      </c>
      <c r="H1589" s="4">
        <v>0.15</v>
      </c>
      <c r="I1589" s="4">
        <v>0.01</v>
      </c>
      <c r="J1589" s="4">
        <v>14.29</v>
      </c>
      <c r="K1589" s="4">
        <v>37.42</v>
      </c>
      <c r="L1589" s="4">
        <v>0.83</v>
      </c>
      <c r="M1589" s="4">
        <f t="shared" si="72"/>
        <v>0.09</v>
      </c>
      <c r="N1589" s="4">
        <f t="shared" si="73"/>
        <v>23.130000000000003</v>
      </c>
      <c r="O1589" s="4">
        <f t="shared" si="74"/>
        <v>-0.13999999999999999</v>
      </c>
      <c r="P1589" s="3" t="s">
        <v>19</v>
      </c>
    </row>
    <row r="1590" spans="1:16" x14ac:dyDescent="0.35">
      <c r="A1590" s="3" t="s">
        <v>86</v>
      </c>
      <c r="B1590" s="3" t="str">
        <f>INDEX(State_Region!$B$2:$B$26,MATCH(TRIM(A1590),State_Region!$A$2:$A$26,0))</f>
        <v>North</v>
      </c>
      <c r="C1590" s="3" t="s">
        <v>87</v>
      </c>
      <c r="D1590" s="3" t="str">
        <f>INDEX(Port_Type!$B$2:$B$227,MATCH(TRIM(C1590),Port_Type!$A$2:$A$227,0))</f>
        <v>Air Cargo</v>
      </c>
      <c r="E1590" s="3" t="s">
        <v>33</v>
      </c>
      <c r="F1590" s="3" t="str">
        <f>INDEX(Product_Category!$B$2:$B$45,MATCH(TRIM(E1590),Product_Category!$A$2:$A$45,0))</f>
        <v>Pulses</v>
      </c>
      <c r="G1590" s="4">
        <v>7.0000000000000007E-2</v>
      </c>
      <c r="H1590" s="4">
        <v>0.01</v>
      </c>
      <c r="I1590" s="4">
        <v>0.01</v>
      </c>
      <c r="J1590" s="4">
        <v>33.35</v>
      </c>
      <c r="K1590" s="4">
        <v>3.34</v>
      </c>
      <c r="L1590" s="4">
        <v>0.82</v>
      </c>
      <c r="M1590" s="4">
        <f t="shared" si="72"/>
        <v>-6.0000000000000005E-2</v>
      </c>
      <c r="N1590" s="4">
        <f t="shared" si="73"/>
        <v>-30.01</v>
      </c>
      <c r="O1590" s="4">
        <f t="shared" si="74"/>
        <v>0</v>
      </c>
      <c r="P1590" s="3" t="s">
        <v>19</v>
      </c>
    </row>
    <row r="1591" spans="1:16" x14ac:dyDescent="0.35">
      <c r="A1591" s="3" t="s">
        <v>94</v>
      </c>
      <c r="B1591" s="3" t="str">
        <f>INDEX(State_Region!$B$2:$B$26,MATCH(TRIM(A1591),State_Region!$A$2:$A$26,0))</f>
        <v>East</v>
      </c>
      <c r="C1591" s="3" t="s">
        <v>112</v>
      </c>
      <c r="D1591" s="3" t="str">
        <f>INDEX(Port_Type!$B$2:$B$227,MATCH(TRIM(C1591),Port_Type!$A$2:$A$227,0))</f>
        <v>Land Border / Rail</v>
      </c>
      <c r="E1591" s="3" t="s">
        <v>72</v>
      </c>
      <c r="F1591" s="3" t="str">
        <f>INDEX(Product_Category!$B$2:$B$45,MATCH(TRIM(E1591),Product_Category!$A$2:$A$45,0))</f>
        <v>Dairy, Poultry &amp; Honey</v>
      </c>
      <c r="G1591" s="4">
        <v>0.16</v>
      </c>
      <c r="H1591" s="4">
        <v>0.02</v>
      </c>
      <c r="I1591" s="4">
        <v>0.01</v>
      </c>
      <c r="J1591" s="4">
        <v>95.05</v>
      </c>
      <c r="K1591" s="4">
        <v>11.25</v>
      </c>
      <c r="L1591" s="4">
        <v>3.5</v>
      </c>
      <c r="M1591" s="4">
        <f t="shared" si="72"/>
        <v>-0.14000000000000001</v>
      </c>
      <c r="N1591" s="4">
        <f t="shared" si="73"/>
        <v>-83.8</v>
      </c>
      <c r="O1591" s="4">
        <f t="shared" si="74"/>
        <v>-0.01</v>
      </c>
      <c r="P1591" s="3" t="s">
        <v>19</v>
      </c>
    </row>
    <row r="1592" spans="1:16" x14ac:dyDescent="0.35">
      <c r="A1592" s="3" t="s">
        <v>86</v>
      </c>
      <c r="B1592" s="3" t="str">
        <f>INDEX(State_Region!$B$2:$B$26,MATCH(TRIM(A1592),State_Region!$A$2:$A$26,0))</f>
        <v>North</v>
      </c>
      <c r="C1592" s="3" t="s">
        <v>106</v>
      </c>
      <c r="D1592" s="3" t="str">
        <f>INDEX(Port_Type!$B$2:$B$227,MATCH(TRIM(C1592),Port_Type!$A$2:$A$227,0))</f>
        <v>Inland ICD / CFS</v>
      </c>
      <c r="E1592" s="3" t="s">
        <v>102</v>
      </c>
      <c r="F1592" s="3" t="str">
        <f>INDEX(Product_Category!$B$2:$B$45,MATCH(TRIM(E1592),Product_Category!$A$2:$A$45,0))</f>
        <v>Fresh Fruits &amp; Vegetables</v>
      </c>
      <c r="G1592" s="4">
        <v>0.01</v>
      </c>
      <c r="H1592" s="4">
        <v>0.04</v>
      </c>
      <c r="I1592" s="4">
        <v>0.01</v>
      </c>
      <c r="J1592" s="4">
        <v>4.6100000000000003</v>
      </c>
      <c r="K1592" s="4">
        <v>6.23</v>
      </c>
      <c r="L1592" s="4">
        <v>3.54</v>
      </c>
      <c r="M1592" s="4">
        <f t="shared" si="72"/>
        <v>0.03</v>
      </c>
      <c r="N1592" s="4">
        <f t="shared" si="73"/>
        <v>1.62</v>
      </c>
      <c r="O1592" s="4">
        <f t="shared" si="74"/>
        <v>-0.03</v>
      </c>
      <c r="P1592" s="3" t="s">
        <v>19</v>
      </c>
    </row>
    <row r="1593" spans="1:16" x14ac:dyDescent="0.35">
      <c r="A1593" s="3" t="s">
        <v>77</v>
      </c>
      <c r="B1593" s="3" t="str">
        <f>INDEX(State_Region!$B$2:$B$26,MATCH(TRIM(A1593),State_Region!$A$2:$A$26,0))</f>
        <v>South</v>
      </c>
      <c r="C1593" s="3" t="s">
        <v>78</v>
      </c>
      <c r="D1593" s="3" t="str">
        <f>INDEX(Port_Type!$B$2:$B$227,MATCH(TRIM(C1593),Port_Type!$A$2:$A$227,0))</f>
        <v>Sea Port</v>
      </c>
      <c r="E1593" s="3" t="s">
        <v>126</v>
      </c>
      <c r="F1593" s="3" t="str">
        <f>INDEX(Product_Category!$B$2:$B$45,MATCH(TRIM(E1593),Product_Category!$A$2:$A$45,0))</f>
        <v>Cereals &amp; Grains</v>
      </c>
      <c r="G1593" s="4">
        <v>0.05</v>
      </c>
      <c r="H1593" s="4">
        <v>0.02</v>
      </c>
      <c r="I1593" s="4">
        <v>0.01</v>
      </c>
      <c r="J1593" s="4">
        <v>30.82</v>
      </c>
      <c r="K1593" s="4">
        <v>8.5399999999999991</v>
      </c>
      <c r="L1593" s="4">
        <v>3.54</v>
      </c>
      <c r="M1593" s="4">
        <f t="shared" si="72"/>
        <v>-3.0000000000000002E-2</v>
      </c>
      <c r="N1593" s="4">
        <f t="shared" si="73"/>
        <v>-22.28</v>
      </c>
      <c r="O1593" s="4">
        <f t="shared" si="74"/>
        <v>-0.01</v>
      </c>
      <c r="P1593" s="3" t="s">
        <v>19</v>
      </c>
    </row>
    <row r="1594" spans="1:16" x14ac:dyDescent="0.35">
      <c r="A1594" s="3" t="s">
        <v>31</v>
      </c>
      <c r="B1594" s="3" t="str">
        <f>INDEX(State_Region!$B$2:$B$26,MATCH(TRIM(A1594),State_Region!$A$2:$A$26,0))</f>
        <v>East</v>
      </c>
      <c r="C1594" s="3" t="s">
        <v>139</v>
      </c>
      <c r="D1594" s="3" t="str">
        <f>INDEX(Port_Type!$B$2:$B$227,MATCH(TRIM(C1594),Port_Type!$A$2:$A$227,0))</f>
        <v>Land Border / Rail</v>
      </c>
      <c r="E1594" s="3" t="s">
        <v>144</v>
      </c>
      <c r="F1594" s="3" t="str">
        <f>INDEX(Product_Category!$B$2:$B$45,MATCH(TRIM(E1594),Product_Category!$A$2:$A$45,0))</f>
        <v>Cereals &amp; Grains</v>
      </c>
      <c r="G1594" s="4">
        <v>0</v>
      </c>
      <c r="H1594" s="4">
        <v>0</v>
      </c>
      <c r="I1594" s="4">
        <v>0.01</v>
      </c>
      <c r="J1594" s="4">
        <v>5.0999999999999996</v>
      </c>
      <c r="K1594" s="4">
        <v>3.6</v>
      </c>
      <c r="L1594" s="4">
        <v>15.03</v>
      </c>
      <c r="M1594" s="4">
        <f t="shared" si="72"/>
        <v>0</v>
      </c>
      <c r="N1594" s="4">
        <f t="shared" si="73"/>
        <v>-1.4999999999999996</v>
      </c>
      <c r="O1594" s="4">
        <f t="shared" si="74"/>
        <v>0.01</v>
      </c>
      <c r="P1594" s="3" t="s">
        <v>19</v>
      </c>
    </row>
    <row r="1595" spans="1:16" x14ac:dyDescent="0.35">
      <c r="A1595" s="3" t="s">
        <v>23</v>
      </c>
      <c r="B1595" s="3" t="str">
        <f>INDEX(State_Region!$B$2:$B$26,MATCH(TRIM(A1595),State_Region!$A$2:$A$26,0))</f>
        <v>North</v>
      </c>
      <c r="C1595" s="3" t="s">
        <v>44</v>
      </c>
      <c r="D1595" s="3" t="str">
        <f>INDEX(Port_Type!$B$2:$B$227,MATCH(TRIM(C1595),Port_Type!$A$2:$A$227,0))</f>
        <v>Inland ICD / CFS</v>
      </c>
      <c r="E1595" s="3" t="s">
        <v>170</v>
      </c>
      <c r="F1595" s="3" t="str">
        <f>INDEX(Product_Category!$B$2:$B$45,MATCH(TRIM(E1595),Product_Category!$A$2:$A$45,0))</f>
        <v>Others</v>
      </c>
      <c r="G1595" s="4">
        <v>0.92</v>
      </c>
      <c r="H1595" s="4">
        <v>0.02</v>
      </c>
      <c r="I1595" s="4">
        <v>0.01</v>
      </c>
      <c r="J1595" s="4">
        <v>131.19999999999999</v>
      </c>
      <c r="K1595" s="4">
        <v>1.47</v>
      </c>
      <c r="L1595" s="4">
        <v>0.84</v>
      </c>
      <c r="M1595" s="4">
        <f t="shared" si="72"/>
        <v>-0.9</v>
      </c>
      <c r="N1595" s="4">
        <f t="shared" si="73"/>
        <v>-129.72999999999999</v>
      </c>
      <c r="O1595" s="4">
        <f t="shared" si="74"/>
        <v>-0.01</v>
      </c>
      <c r="P1595" s="3" t="s">
        <v>19</v>
      </c>
    </row>
    <row r="1596" spans="1:16" x14ac:dyDescent="0.35">
      <c r="A1596" s="3" t="s">
        <v>231</v>
      </c>
      <c r="B1596" s="3" t="str">
        <f>INDEX(State_Region!$B$2:$B$26,MATCH(TRIM(A1596),State_Region!$A$2:$A$26,0))</f>
        <v>North-East</v>
      </c>
      <c r="C1596" s="3" t="s">
        <v>232</v>
      </c>
      <c r="D1596" s="3" t="str">
        <f>INDEX(Port_Type!$B$2:$B$227,MATCH(TRIM(C1596),Port_Type!$A$2:$A$227,0))</f>
        <v>Land Border / Rail</v>
      </c>
      <c r="E1596" s="3" t="s">
        <v>55</v>
      </c>
      <c r="F1596" s="3" t="str">
        <f>INDEX(Product_Category!$B$2:$B$45,MATCH(TRIM(E1596),Product_Category!$A$2:$A$45,0))</f>
        <v>Fresh Fruits &amp; Vegetables</v>
      </c>
      <c r="G1596" s="4">
        <v>0.02</v>
      </c>
      <c r="H1596" s="4">
        <v>0.02</v>
      </c>
      <c r="I1596" s="4">
        <v>0.01</v>
      </c>
      <c r="J1596" s="4">
        <v>66.87</v>
      </c>
      <c r="K1596" s="4">
        <v>69.39</v>
      </c>
      <c r="L1596" s="4">
        <v>30.56</v>
      </c>
      <c r="M1596" s="4">
        <f t="shared" si="72"/>
        <v>0</v>
      </c>
      <c r="N1596" s="4">
        <f t="shared" si="73"/>
        <v>2.519999999999996</v>
      </c>
      <c r="O1596" s="4">
        <f t="shared" si="74"/>
        <v>-0.01</v>
      </c>
      <c r="P1596" s="3" t="s">
        <v>19</v>
      </c>
    </row>
    <row r="1597" spans="1:16" x14ac:dyDescent="0.35">
      <c r="A1597" s="3" t="s">
        <v>49</v>
      </c>
      <c r="B1597" s="3" t="str">
        <f>INDEX(State_Region!$B$2:$B$26,MATCH(TRIM(A1597),State_Region!$A$2:$A$26,0))</f>
        <v>North</v>
      </c>
      <c r="C1597" s="3" t="s">
        <v>237</v>
      </c>
      <c r="D1597" s="3" t="str">
        <f>INDEX(Port_Type!$B$2:$B$227,MATCH(TRIM(C1597),Port_Type!$A$2:$A$227,0))</f>
        <v>Air Cargo</v>
      </c>
      <c r="E1597" s="3" t="s">
        <v>76</v>
      </c>
      <c r="F1597" s="3" t="str">
        <f>INDEX(Product_Category!$B$2:$B$45,MATCH(TRIM(E1597),Product_Category!$A$2:$A$45,0))</f>
        <v>Fresh Fruits &amp; Vegetables</v>
      </c>
      <c r="G1597" s="4">
        <v>0</v>
      </c>
      <c r="H1597" s="4">
        <v>0</v>
      </c>
      <c r="I1597" s="4">
        <v>0.01</v>
      </c>
      <c r="J1597" s="4">
        <v>0.44</v>
      </c>
      <c r="K1597" s="4">
        <v>1.67</v>
      </c>
      <c r="L1597" s="4">
        <v>4.41</v>
      </c>
      <c r="M1597" s="4">
        <f t="shared" si="72"/>
        <v>0</v>
      </c>
      <c r="N1597" s="4">
        <f t="shared" si="73"/>
        <v>1.23</v>
      </c>
      <c r="O1597" s="4">
        <f t="shared" si="74"/>
        <v>0.01</v>
      </c>
      <c r="P1597" s="3" t="s">
        <v>19</v>
      </c>
    </row>
    <row r="1598" spans="1:16" x14ac:dyDescent="0.35">
      <c r="A1598" s="3" t="s">
        <v>20</v>
      </c>
      <c r="B1598" s="3" t="str">
        <f>INDEX(State_Region!$B$2:$B$26,MATCH(TRIM(A1598),State_Region!$A$2:$A$26,0))</f>
        <v>West</v>
      </c>
      <c r="C1598" s="3" t="s">
        <v>145</v>
      </c>
      <c r="D1598" s="3" t="str">
        <f>INDEX(Port_Type!$B$2:$B$227,MATCH(TRIM(C1598),Port_Type!$A$2:$A$227,0))</f>
        <v>Inland ICD / CFS</v>
      </c>
      <c r="E1598" s="3" t="s">
        <v>72</v>
      </c>
      <c r="F1598" s="3" t="str">
        <f>INDEX(Product_Category!$B$2:$B$45,MATCH(TRIM(E1598),Product_Category!$A$2:$A$45,0))</f>
        <v>Dairy, Poultry &amp; Honey</v>
      </c>
      <c r="G1598" s="4">
        <v>0</v>
      </c>
      <c r="H1598" s="4">
        <v>0</v>
      </c>
      <c r="I1598" s="4">
        <v>0.01</v>
      </c>
      <c r="J1598" s="4">
        <v>0</v>
      </c>
      <c r="K1598" s="4">
        <v>0</v>
      </c>
      <c r="L1598" s="4">
        <v>1.5</v>
      </c>
      <c r="M1598" s="4">
        <f t="shared" si="72"/>
        <v>0</v>
      </c>
      <c r="N1598" s="4">
        <f t="shared" si="73"/>
        <v>0</v>
      </c>
      <c r="O1598" s="4">
        <f t="shared" si="74"/>
        <v>0.01</v>
      </c>
      <c r="P1598" s="3" t="s">
        <v>19</v>
      </c>
    </row>
    <row r="1599" spans="1:16" x14ac:dyDescent="0.35">
      <c r="A1599" s="3" t="s">
        <v>31</v>
      </c>
      <c r="B1599" s="3" t="str">
        <f>INDEX(State_Region!$B$2:$B$26,MATCH(TRIM(A1599),State_Region!$A$2:$A$26,0))</f>
        <v>East</v>
      </c>
      <c r="C1599" s="3" t="s">
        <v>215</v>
      </c>
      <c r="D1599" s="3" t="str">
        <f>INDEX(Port_Type!$B$2:$B$227,MATCH(TRIM(C1599),Port_Type!$A$2:$A$227,0))</f>
        <v>Land Border / Rail</v>
      </c>
      <c r="E1599" s="3" t="s">
        <v>53</v>
      </c>
      <c r="F1599" s="3" t="str">
        <f>INDEX(Product_Category!$B$2:$B$45,MATCH(TRIM(E1599),Product_Category!$A$2:$A$45,0))</f>
        <v>Processed Foods</v>
      </c>
      <c r="G1599" s="4">
        <v>0.02</v>
      </c>
      <c r="H1599" s="4">
        <v>0.02</v>
      </c>
      <c r="I1599" s="4">
        <v>0.01</v>
      </c>
      <c r="J1599" s="4">
        <v>10.15</v>
      </c>
      <c r="K1599" s="4">
        <v>13.84</v>
      </c>
      <c r="L1599" s="4">
        <v>5.35</v>
      </c>
      <c r="M1599" s="4">
        <f t="shared" si="72"/>
        <v>0</v>
      </c>
      <c r="N1599" s="4">
        <f t="shared" si="73"/>
        <v>3.6899999999999995</v>
      </c>
      <c r="O1599" s="4">
        <f t="shared" si="74"/>
        <v>-0.01</v>
      </c>
      <c r="P1599" s="3" t="s">
        <v>19</v>
      </c>
    </row>
    <row r="1600" spans="1:16" x14ac:dyDescent="0.35">
      <c r="A1600" s="3" t="s">
        <v>31</v>
      </c>
      <c r="B1600" s="3" t="str">
        <f>INDEX(State_Region!$B$2:$B$26,MATCH(TRIM(A1600),State_Region!$A$2:$A$26,0))</f>
        <v>East</v>
      </c>
      <c r="C1600" s="3" t="s">
        <v>192</v>
      </c>
      <c r="D1600" s="3" t="str">
        <f>INDEX(Port_Type!$B$2:$B$227,MATCH(TRIM(C1600),Port_Type!$A$2:$A$227,0))</f>
        <v>Air Cargo</v>
      </c>
      <c r="E1600" s="3" t="s">
        <v>54</v>
      </c>
      <c r="F1600" s="3" t="str">
        <f>INDEX(Product_Category!$B$2:$B$45,MATCH(TRIM(E1600),Product_Category!$A$2:$A$45,0))</f>
        <v>Processed Foods</v>
      </c>
      <c r="G1600" s="4">
        <v>0.03</v>
      </c>
      <c r="H1600" s="4">
        <v>0</v>
      </c>
      <c r="I1600" s="4">
        <v>0.01</v>
      </c>
      <c r="J1600" s="4">
        <v>16.36</v>
      </c>
      <c r="K1600" s="4">
        <v>3.24</v>
      </c>
      <c r="L1600" s="4">
        <v>1.18</v>
      </c>
      <c r="M1600" s="4">
        <f t="shared" si="72"/>
        <v>-0.03</v>
      </c>
      <c r="N1600" s="4">
        <f t="shared" si="73"/>
        <v>-13.12</v>
      </c>
      <c r="O1600" s="4">
        <f t="shared" si="74"/>
        <v>0.01</v>
      </c>
      <c r="P1600" s="3" t="s">
        <v>19</v>
      </c>
    </row>
    <row r="1601" spans="1:16" x14ac:dyDescent="0.35">
      <c r="A1601" s="3" t="s">
        <v>40</v>
      </c>
      <c r="B1601" s="3" t="str">
        <f>INDEX(State_Region!$B$2:$B$26,MATCH(TRIM(A1601),State_Region!$A$2:$A$26,0))</f>
        <v>South</v>
      </c>
      <c r="C1601" s="3" t="s">
        <v>241</v>
      </c>
      <c r="D1601" s="3" t="str">
        <f>INDEX(Port_Type!$B$2:$B$227,MATCH(TRIM(C1601),Port_Type!$A$2:$A$227,0))</f>
        <v>Air Cargo</v>
      </c>
      <c r="E1601" s="3" t="s">
        <v>102</v>
      </c>
      <c r="F1601" s="3" t="str">
        <f>INDEX(Product_Category!$B$2:$B$45,MATCH(TRIM(E1601),Product_Category!$A$2:$A$45,0))</f>
        <v>Fresh Fruits &amp; Vegetables</v>
      </c>
      <c r="G1601" s="4">
        <v>0.49</v>
      </c>
      <c r="H1601" s="4">
        <v>0.11</v>
      </c>
      <c r="I1601" s="4">
        <v>0.01</v>
      </c>
      <c r="J1601" s="4">
        <v>726.14</v>
      </c>
      <c r="K1601" s="4">
        <v>183.15</v>
      </c>
      <c r="L1601" s="4">
        <v>6.6</v>
      </c>
      <c r="M1601" s="4">
        <f t="shared" si="72"/>
        <v>-0.38</v>
      </c>
      <c r="N1601" s="4">
        <f t="shared" si="73"/>
        <v>-542.99</v>
      </c>
      <c r="O1601" s="4">
        <f t="shared" si="74"/>
        <v>-0.1</v>
      </c>
      <c r="P1601" s="3" t="s">
        <v>19</v>
      </c>
    </row>
    <row r="1602" spans="1:16" x14ac:dyDescent="0.35">
      <c r="A1602" s="3" t="s">
        <v>31</v>
      </c>
      <c r="B1602" s="3" t="str">
        <f>INDEX(State_Region!$B$2:$B$26,MATCH(TRIM(A1602),State_Region!$A$2:$A$26,0))</f>
        <v>East</v>
      </c>
      <c r="C1602" s="3" t="s">
        <v>146</v>
      </c>
      <c r="D1602" s="3" t="str">
        <f>INDEX(Port_Type!$B$2:$B$227,MATCH(TRIM(C1602),Port_Type!$A$2:$A$227,0))</f>
        <v>Land Border / Rail</v>
      </c>
      <c r="E1602" s="3" t="s">
        <v>179</v>
      </c>
      <c r="F1602" s="3" t="str">
        <f>INDEX(Product_Category!$B$2:$B$45,MATCH(TRIM(E1602),Product_Category!$A$2:$A$45,0))</f>
        <v>Nuts &amp; Oilseeds</v>
      </c>
      <c r="G1602" s="4">
        <v>0</v>
      </c>
      <c r="H1602" s="4">
        <v>0</v>
      </c>
      <c r="I1602" s="4">
        <v>0.01</v>
      </c>
      <c r="J1602" s="4">
        <v>0</v>
      </c>
      <c r="K1602" s="4">
        <v>0</v>
      </c>
      <c r="L1602" s="4">
        <v>5</v>
      </c>
      <c r="M1602" s="4">
        <f t="shared" ref="M1602:M1665" si="75">H1602-G1602</f>
        <v>0</v>
      </c>
      <c r="N1602" s="4">
        <f t="shared" ref="N1602:N1665" si="76">K1602-J1602</f>
        <v>0</v>
      </c>
      <c r="O1602" s="4">
        <f t="shared" ref="O1602:O1665" si="77">I1602-H1602</f>
        <v>0.01</v>
      </c>
      <c r="P1602" s="3" t="s">
        <v>19</v>
      </c>
    </row>
    <row r="1603" spans="1:16" x14ac:dyDescent="0.35">
      <c r="A1603" s="3" t="s">
        <v>40</v>
      </c>
      <c r="B1603" s="3" t="str">
        <f>INDEX(State_Region!$B$2:$B$26,MATCH(TRIM(A1603),State_Region!$A$2:$A$26,0))</f>
        <v>South</v>
      </c>
      <c r="C1603" s="3" t="s">
        <v>220</v>
      </c>
      <c r="D1603" s="3" t="str">
        <f>INDEX(Port_Type!$B$2:$B$227,MATCH(TRIM(C1603),Port_Type!$A$2:$A$227,0))</f>
        <v>Inland ICD / CFS</v>
      </c>
      <c r="E1603" s="3" t="s">
        <v>27</v>
      </c>
      <c r="F1603" s="3" t="str">
        <f>INDEX(Product_Category!$B$2:$B$45,MATCH(TRIM(E1603),Product_Category!$A$2:$A$45,0))</f>
        <v>Cereals &amp; Grains</v>
      </c>
      <c r="G1603" s="4">
        <v>0</v>
      </c>
      <c r="H1603" s="4">
        <v>0.01</v>
      </c>
      <c r="I1603" s="4">
        <v>0.01</v>
      </c>
      <c r="J1603" s="4">
        <v>1</v>
      </c>
      <c r="K1603" s="4">
        <v>13.27</v>
      </c>
      <c r="L1603" s="4">
        <v>8.32</v>
      </c>
      <c r="M1603" s="4">
        <f t="shared" si="75"/>
        <v>0.01</v>
      </c>
      <c r="N1603" s="4">
        <f t="shared" si="76"/>
        <v>12.27</v>
      </c>
      <c r="O1603" s="4">
        <f t="shared" si="77"/>
        <v>0</v>
      </c>
      <c r="P1603" s="3" t="s">
        <v>19</v>
      </c>
    </row>
    <row r="1604" spans="1:16" x14ac:dyDescent="0.35">
      <c r="A1604" s="3" t="s">
        <v>40</v>
      </c>
      <c r="B1604" s="3" t="str">
        <f>INDEX(State_Region!$B$2:$B$26,MATCH(TRIM(A1604),State_Region!$A$2:$A$26,0))</f>
        <v>South</v>
      </c>
      <c r="C1604" s="3" t="s">
        <v>220</v>
      </c>
      <c r="D1604" s="3" t="str">
        <f>INDEX(Port_Type!$B$2:$B$227,MATCH(TRIM(C1604),Port_Type!$A$2:$A$227,0))</f>
        <v>Inland ICD / CFS</v>
      </c>
      <c r="E1604" s="3" t="s">
        <v>65</v>
      </c>
      <c r="F1604" s="3" t="str">
        <f>INDEX(Product_Category!$B$2:$B$45,MATCH(TRIM(E1604),Product_Category!$A$2:$A$45,0))</f>
        <v>Cereals &amp; Grains</v>
      </c>
      <c r="G1604" s="4">
        <v>0</v>
      </c>
      <c r="H1604" s="4">
        <v>0.04</v>
      </c>
      <c r="I1604" s="4">
        <v>0.01</v>
      </c>
      <c r="J1604" s="4">
        <v>1.49</v>
      </c>
      <c r="K1604" s="4">
        <v>34.08</v>
      </c>
      <c r="L1604" s="4">
        <v>5.21</v>
      </c>
      <c r="M1604" s="4">
        <f t="shared" si="75"/>
        <v>0.04</v>
      </c>
      <c r="N1604" s="4">
        <f t="shared" si="76"/>
        <v>32.589999999999996</v>
      </c>
      <c r="O1604" s="4">
        <f t="shared" si="77"/>
        <v>-0.03</v>
      </c>
      <c r="P1604" s="3" t="s">
        <v>19</v>
      </c>
    </row>
    <row r="1605" spans="1:16" x14ac:dyDescent="0.35">
      <c r="A1605" s="3" t="s">
        <v>79</v>
      </c>
      <c r="B1605" s="3" t="str">
        <f>INDEX(State_Region!$B$2:$B$26,MATCH(TRIM(A1605),State_Region!$A$2:$A$26,0))</f>
        <v>South</v>
      </c>
      <c r="C1605" s="3" t="s">
        <v>92</v>
      </c>
      <c r="D1605" s="3" t="str">
        <f>INDEX(Port_Type!$B$2:$B$227,MATCH(TRIM(C1605),Port_Type!$A$2:$A$227,0))</f>
        <v>Air Cargo</v>
      </c>
      <c r="E1605" s="3" t="s">
        <v>72</v>
      </c>
      <c r="F1605" s="3" t="str">
        <f>INDEX(Product_Category!$B$2:$B$45,MATCH(TRIM(E1605),Product_Category!$A$2:$A$45,0))</f>
        <v>Dairy, Poultry &amp; Honey</v>
      </c>
      <c r="G1605" s="4">
        <v>0.01</v>
      </c>
      <c r="H1605" s="4">
        <v>0.03</v>
      </c>
      <c r="I1605" s="4">
        <v>0.01</v>
      </c>
      <c r="J1605" s="4">
        <v>1</v>
      </c>
      <c r="K1605" s="4">
        <v>3.71</v>
      </c>
      <c r="L1605" s="4">
        <v>0.37</v>
      </c>
      <c r="M1605" s="4">
        <f t="shared" si="75"/>
        <v>1.9999999999999997E-2</v>
      </c>
      <c r="N1605" s="4">
        <f t="shared" si="76"/>
        <v>2.71</v>
      </c>
      <c r="O1605" s="4">
        <f t="shared" si="77"/>
        <v>-1.9999999999999997E-2</v>
      </c>
      <c r="P1605" s="3" t="s">
        <v>19</v>
      </c>
    </row>
    <row r="1606" spans="1:16" x14ac:dyDescent="0.35">
      <c r="A1606" s="3" t="s">
        <v>16</v>
      </c>
      <c r="B1606" s="3" t="str">
        <f>INDEX(State_Region!$B$2:$B$26,MATCH(TRIM(A1606),State_Region!$A$2:$A$26,0))</f>
        <v>West</v>
      </c>
      <c r="C1606" s="3" t="s">
        <v>90</v>
      </c>
      <c r="D1606" s="3" t="str">
        <f>INDEX(Port_Type!$B$2:$B$227,MATCH(TRIM(C1606),Port_Type!$A$2:$A$227,0))</f>
        <v>Inland ICD / CFS</v>
      </c>
      <c r="E1606" s="3" t="s">
        <v>118</v>
      </c>
      <c r="F1606" s="3" t="str">
        <f>INDEX(Product_Category!$B$2:$B$45,MATCH(TRIM(E1606),Product_Category!$A$2:$A$45,0))</f>
        <v>Dairy, Poultry &amp; Honey</v>
      </c>
      <c r="G1606" s="4">
        <v>0.03</v>
      </c>
      <c r="H1606" s="4">
        <v>0.05</v>
      </c>
      <c r="I1606" s="4">
        <v>0.01</v>
      </c>
      <c r="J1606" s="4">
        <v>13.98</v>
      </c>
      <c r="K1606" s="4">
        <v>21.62</v>
      </c>
      <c r="L1606" s="4">
        <v>1.8</v>
      </c>
      <c r="M1606" s="4">
        <f t="shared" si="75"/>
        <v>2.0000000000000004E-2</v>
      </c>
      <c r="N1606" s="4">
        <f t="shared" si="76"/>
        <v>7.6400000000000006</v>
      </c>
      <c r="O1606" s="4">
        <f t="shared" si="77"/>
        <v>-0.04</v>
      </c>
      <c r="P1606" s="3" t="s">
        <v>19</v>
      </c>
    </row>
    <row r="1607" spans="1:16" x14ac:dyDescent="0.35">
      <c r="A1607" s="3" t="s">
        <v>25</v>
      </c>
      <c r="B1607" s="3" t="str">
        <f>INDEX(State_Region!$B$2:$B$26,MATCH(TRIM(A1607),State_Region!$A$2:$A$26,0))</f>
        <v>South</v>
      </c>
      <c r="C1607" s="3" t="s">
        <v>26</v>
      </c>
      <c r="D1607" s="3" t="str">
        <f>INDEX(Port_Type!$B$2:$B$227,MATCH(TRIM(C1607),Port_Type!$A$2:$A$227,0))</f>
        <v>Sea Port</v>
      </c>
      <c r="E1607" s="3" t="s">
        <v>18</v>
      </c>
      <c r="F1607" s="3" t="str">
        <f>INDEX(Product_Category!$B$2:$B$45,MATCH(TRIM(E1607),Product_Category!$A$2:$A$45,0))</f>
        <v>Cereals &amp; Grains</v>
      </c>
      <c r="G1607" s="4">
        <v>0</v>
      </c>
      <c r="H1607" s="4">
        <v>0</v>
      </c>
      <c r="I1607" s="4">
        <v>0.01</v>
      </c>
      <c r="J1607" s="4">
        <v>0</v>
      </c>
      <c r="K1607" s="4">
        <v>0</v>
      </c>
      <c r="L1607" s="4">
        <v>22.36</v>
      </c>
      <c r="M1607" s="4">
        <f t="shared" si="75"/>
        <v>0</v>
      </c>
      <c r="N1607" s="4">
        <f t="shared" si="76"/>
        <v>0</v>
      </c>
      <c r="O1607" s="4">
        <f t="shared" si="77"/>
        <v>0.01</v>
      </c>
      <c r="P1607" s="3" t="s">
        <v>19</v>
      </c>
    </row>
    <row r="1608" spans="1:16" x14ac:dyDescent="0.35">
      <c r="A1608" s="3" t="s">
        <v>31</v>
      </c>
      <c r="B1608" s="3" t="str">
        <f>INDEX(State_Region!$B$2:$B$26,MATCH(TRIM(A1608),State_Region!$A$2:$A$26,0))</f>
        <v>East</v>
      </c>
      <c r="C1608" s="3" t="s">
        <v>139</v>
      </c>
      <c r="D1608" s="3" t="str">
        <f>INDEX(Port_Type!$B$2:$B$227,MATCH(TRIM(C1608),Port_Type!$A$2:$A$227,0))</f>
        <v>Land Border / Rail</v>
      </c>
      <c r="E1608" s="3" t="s">
        <v>51</v>
      </c>
      <c r="F1608" s="3" t="str">
        <f>INDEX(Product_Category!$B$2:$B$45,MATCH(TRIM(E1608),Product_Category!$A$2:$A$45,0))</f>
        <v>Nuts &amp; Oilseeds</v>
      </c>
      <c r="G1608" s="4">
        <v>1.41</v>
      </c>
      <c r="H1608" s="4">
        <v>1.43</v>
      </c>
      <c r="I1608" s="4">
        <v>0.01</v>
      </c>
      <c r="J1608" s="4">
        <v>1629.41</v>
      </c>
      <c r="K1608" s="4">
        <v>2071.08</v>
      </c>
      <c r="L1608" s="4">
        <v>7</v>
      </c>
      <c r="M1608" s="4">
        <f t="shared" si="75"/>
        <v>2.0000000000000018E-2</v>
      </c>
      <c r="N1608" s="4">
        <f t="shared" si="76"/>
        <v>441.66999999999985</v>
      </c>
      <c r="O1608" s="4">
        <f t="shared" si="77"/>
        <v>-1.42</v>
      </c>
      <c r="P1608" s="3" t="s">
        <v>19</v>
      </c>
    </row>
    <row r="1609" spans="1:16" x14ac:dyDescent="0.35">
      <c r="A1609" s="3" t="s">
        <v>40</v>
      </c>
      <c r="B1609" s="3" t="str">
        <f>INDEX(State_Region!$B$2:$B$26,MATCH(TRIM(A1609),State_Region!$A$2:$A$26,0))</f>
        <v>South</v>
      </c>
      <c r="C1609" s="3" t="s">
        <v>194</v>
      </c>
      <c r="D1609" s="3" t="str">
        <f>INDEX(Port_Type!$B$2:$B$227,MATCH(TRIM(C1609),Port_Type!$A$2:$A$227,0))</f>
        <v>Air Cargo</v>
      </c>
      <c r="E1609" s="3" t="s">
        <v>48</v>
      </c>
      <c r="F1609" s="3" t="str">
        <f>INDEX(Product_Category!$B$2:$B$45,MATCH(TRIM(E1609),Product_Category!$A$2:$A$45,0))</f>
        <v>Processed Foods</v>
      </c>
      <c r="G1609" s="4">
        <v>0.12</v>
      </c>
      <c r="H1609" s="4">
        <v>0.05</v>
      </c>
      <c r="I1609" s="4">
        <v>0.01</v>
      </c>
      <c r="J1609" s="4">
        <v>32.15</v>
      </c>
      <c r="K1609" s="4">
        <v>22.67</v>
      </c>
      <c r="L1609" s="4">
        <v>3.99</v>
      </c>
      <c r="M1609" s="4">
        <f t="shared" si="75"/>
        <v>-6.9999999999999993E-2</v>
      </c>
      <c r="N1609" s="4">
        <f t="shared" si="76"/>
        <v>-9.4799999999999969</v>
      </c>
      <c r="O1609" s="4">
        <f t="shared" si="77"/>
        <v>-0.04</v>
      </c>
      <c r="P1609" s="3" t="s">
        <v>19</v>
      </c>
    </row>
    <row r="1610" spans="1:16" x14ac:dyDescent="0.35">
      <c r="A1610" s="3" t="s">
        <v>23</v>
      </c>
      <c r="B1610" s="3" t="str">
        <f>INDEX(State_Region!$B$2:$B$26,MATCH(TRIM(A1610),State_Region!$A$2:$A$26,0))</f>
        <v>North</v>
      </c>
      <c r="C1610" s="3" t="s">
        <v>138</v>
      </c>
      <c r="D1610" s="3" t="str">
        <f>INDEX(Port_Type!$B$2:$B$227,MATCH(TRIM(C1610),Port_Type!$A$2:$A$227,0))</f>
        <v>Inland ICD / CFS</v>
      </c>
      <c r="E1610" s="3" t="s">
        <v>54</v>
      </c>
      <c r="F1610" s="3" t="str">
        <f>INDEX(Product_Category!$B$2:$B$45,MATCH(TRIM(E1610),Product_Category!$A$2:$A$45,0))</f>
        <v>Processed Foods</v>
      </c>
      <c r="G1610" s="4">
        <v>0</v>
      </c>
      <c r="H1610" s="4">
        <v>0.02</v>
      </c>
      <c r="I1610" s="4">
        <v>0.01</v>
      </c>
      <c r="J1610" s="4">
        <v>0</v>
      </c>
      <c r="K1610" s="4">
        <v>5.32</v>
      </c>
      <c r="L1610" s="4">
        <v>2.5</v>
      </c>
      <c r="M1610" s="4">
        <f t="shared" si="75"/>
        <v>0.02</v>
      </c>
      <c r="N1610" s="4">
        <f t="shared" si="76"/>
        <v>5.32</v>
      </c>
      <c r="O1610" s="4">
        <f t="shared" si="77"/>
        <v>-0.01</v>
      </c>
      <c r="P1610" s="3" t="s">
        <v>19</v>
      </c>
    </row>
    <row r="1611" spans="1:16" x14ac:dyDescent="0.35">
      <c r="A1611" s="3" t="s">
        <v>77</v>
      </c>
      <c r="B1611" s="3" t="str">
        <f>INDEX(State_Region!$B$2:$B$26,MATCH(TRIM(A1611),State_Region!$A$2:$A$26,0))</f>
        <v>South</v>
      </c>
      <c r="C1611" s="3" t="s">
        <v>168</v>
      </c>
      <c r="D1611" s="3" t="str">
        <f>INDEX(Port_Type!$B$2:$B$227,MATCH(TRIM(C1611),Port_Type!$A$2:$A$227,0))</f>
        <v>Air Cargo</v>
      </c>
      <c r="E1611" s="3" t="s">
        <v>54</v>
      </c>
      <c r="F1611" s="3" t="str">
        <f>INDEX(Product_Category!$B$2:$B$45,MATCH(TRIM(E1611),Product_Category!$A$2:$A$45,0))</f>
        <v>Processed Foods</v>
      </c>
      <c r="G1611" s="4">
        <v>0.02</v>
      </c>
      <c r="H1611" s="4">
        <v>0.01</v>
      </c>
      <c r="I1611" s="4">
        <v>0.01</v>
      </c>
      <c r="J1611" s="4">
        <v>5.16</v>
      </c>
      <c r="K1611" s="4">
        <v>3.1</v>
      </c>
      <c r="L1611" s="4">
        <v>1.19</v>
      </c>
      <c r="M1611" s="4">
        <f t="shared" si="75"/>
        <v>-0.01</v>
      </c>
      <c r="N1611" s="4">
        <f t="shared" si="76"/>
        <v>-2.06</v>
      </c>
      <c r="O1611" s="4">
        <f t="shared" si="77"/>
        <v>0</v>
      </c>
      <c r="P1611" s="3" t="s">
        <v>19</v>
      </c>
    </row>
    <row r="1612" spans="1:16" x14ac:dyDescent="0.35">
      <c r="A1612" s="3" t="s">
        <v>40</v>
      </c>
      <c r="B1612" s="3" t="str">
        <f>INDEX(State_Region!$B$2:$B$26,MATCH(TRIM(A1612),State_Region!$A$2:$A$26,0))</f>
        <v>South</v>
      </c>
      <c r="C1612" s="3" t="s">
        <v>194</v>
      </c>
      <c r="D1612" s="3" t="str">
        <f>INDEX(Port_Type!$B$2:$B$227,MATCH(TRIM(C1612),Port_Type!$A$2:$A$227,0))</f>
        <v>Air Cargo</v>
      </c>
      <c r="E1612" s="3" t="s">
        <v>42</v>
      </c>
      <c r="F1612" s="3" t="str">
        <f>INDEX(Product_Category!$B$2:$B$45,MATCH(TRIM(E1612),Product_Category!$A$2:$A$45,0))</f>
        <v>Processed Foods</v>
      </c>
      <c r="G1612" s="4">
        <v>0.09</v>
      </c>
      <c r="H1612" s="4">
        <v>0.01</v>
      </c>
      <c r="I1612" s="4">
        <v>0.01</v>
      </c>
      <c r="J1612" s="4">
        <v>65.08</v>
      </c>
      <c r="K1612" s="4">
        <v>9.36</v>
      </c>
      <c r="L1612" s="4">
        <v>3.38</v>
      </c>
      <c r="M1612" s="4">
        <f t="shared" si="75"/>
        <v>-0.08</v>
      </c>
      <c r="N1612" s="4">
        <f t="shared" si="76"/>
        <v>-55.72</v>
      </c>
      <c r="O1612" s="4">
        <f t="shared" si="77"/>
        <v>0</v>
      </c>
      <c r="P1612" s="3" t="s">
        <v>19</v>
      </c>
    </row>
    <row r="1613" spans="1:16" x14ac:dyDescent="0.35">
      <c r="A1613" s="3" t="s">
        <v>16</v>
      </c>
      <c r="B1613" s="3" t="str">
        <f>INDEX(State_Region!$B$2:$B$26,MATCH(TRIM(A1613),State_Region!$A$2:$A$26,0))</f>
        <v>West</v>
      </c>
      <c r="C1613" s="3" t="s">
        <v>90</v>
      </c>
      <c r="D1613" s="3" t="str">
        <f>INDEX(Port_Type!$B$2:$B$227,MATCH(TRIM(C1613),Port_Type!$A$2:$A$227,0))</f>
        <v>Inland ICD / CFS</v>
      </c>
      <c r="E1613" s="3" t="s">
        <v>150</v>
      </c>
      <c r="F1613" s="3" t="str">
        <f>INDEX(Product_Category!$B$2:$B$45,MATCH(TRIM(E1613),Product_Category!$A$2:$A$45,0))</f>
        <v>Nuts &amp; Oilseeds</v>
      </c>
      <c r="G1613" s="4">
        <v>0.01</v>
      </c>
      <c r="H1613" s="4">
        <v>0.02</v>
      </c>
      <c r="I1613" s="4">
        <v>0.01</v>
      </c>
      <c r="J1613" s="4">
        <v>1.67</v>
      </c>
      <c r="K1613" s="4">
        <v>4.41</v>
      </c>
      <c r="L1613" s="4">
        <v>2.14</v>
      </c>
      <c r="M1613" s="4">
        <f t="shared" si="75"/>
        <v>0.01</v>
      </c>
      <c r="N1613" s="4">
        <f t="shared" si="76"/>
        <v>2.74</v>
      </c>
      <c r="O1613" s="4">
        <f t="shared" si="77"/>
        <v>-0.01</v>
      </c>
      <c r="P1613" s="3" t="s">
        <v>19</v>
      </c>
    </row>
    <row r="1614" spans="1:16" x14ac:dyDescent="0.35">
      <c r="A1614" s="3" t="s">
        <v>49</v>
      </c>
      <c r="B1614" s="3" t="str">
        <f>INDEX(State_Region!$B$2:$B$26,MATCH(TRIM(A1614),State_Region!$A$2:$A$26,0))</f>
        <v>North</v>
      </c>
      <c r="C1614" s="3" t="s">
        <v>233</v>
      </c>
      <c r="D1614" s="3" t="str">
        <f>INDEX(Port_Type!$B$2:$B$227,MATCH(TRIM(C1614),Port_Type!$A$2:$A$227,0))</f>
        <v>Inland ICD / CFS</v>
      </c>
      <c r="E1614" s="3" t="s">
        <v>54</v>
      </c>
      <c r="F1614" s="3" t="str">
        <f>INDEX(Product_Category!$B$2:$B$45,MATCH(TRIM(E1614),Product_Category!$A$2:$A$45,0))</f>
        <v>Processed Foods</v>
      </c>
      <c r="G1614" s="4">
        <v>0.04</v>
      </c>
      <c r="H1614" s="4">
        <v>0.02</v>
      </c>
      <c r="I1614" s="4">
        <v>0.01</v>
      </c>
      <c r="J1614" s="4">
        <v>25.78</v>
      </c>
      <c r="K1614" s="4">
        <v>13.23</v>
      </c>
      <c r="L1614" s="4">
        <v>2.92</v>
      </c>
      <c r="M1614" s="4">
        <f t="shared" si="75"/>
        <v>-0.02</v>
      </c>
      <c r="N1614" s="4">
        <f t="shared" si="76"/>
        <v>-12.55</v>
      </c>
      <c r="O1614" s="4">
        <f t="shared" si="77"/>
        <v>-0.01</v>
      </c>
      <c r="P1614" s="3" t="s">
        <v>19</v>
      </c>
    </row>
    <row r="1615" spans="1:16" x14ac:dyDescent="0.35">
      <c r="A1615" s="3" t="s">
        <v>31</v>
      </c>
      <c r="B1615" s="3" t="str">
        <f>INDEX(State_Region!$B$2:$B$26,MATCH(TRIM(A1615),State_Region!$A$2:$A$26,0))</f>
        <v>East</v>
      </c>
      <c r="C1615" s="3" t="s">
        <v>171</v>
      </c>
      <c r="D1615" s="3" t="str">
        <f>INDEX(Port_Type!$B$2:$B$227,MATCH(TRIM(C1615),Port_Type!$A$2:$A$227,0))</f>
        <v>Land Border / Rail</v>
      </c>
      <c r="E1615" s="3" t="s">
        <v>84</v>
      </c>
      <c r="F1615" s="3" t="str">
        <f>INDEX(Product_Category!$B$2:$B$45,MATCH(TRIM(E1615),Product_Category!$A$2:$A$45,0))</f>
        <v>Nuts &amp; Oilseeds</v>
      </c>
      <c r="G1615" s="4">
        <v>0</v>
      </c>
      <c r="H1615" s="4">
        <v>0</v>
      </c>
      <c r="I1615" s="4">
        <v>0.01</v>
      </c>
      <c r="J1615" s="4">
        <v>0</v>
      </c>
      <c r="K1615" s="4">
        <v>0</v>
      </c>
      <c r="L1615" s="4">
        <v>1</v>
      </c>
      <c r="M1615" s="4">
        <f t="shared" si="75"/>
        <v>0</v>
      </c>
      <c r="N1615" s="4">
        <f t="shared" si="76"/>
        <v>0</v>
      </c>
      <c r="O1615" s="4">
        <f t="shared" si="77"/>
        <v>0.01</v>
      </c>
      <c r="P1615" s="3" t="s">
        <v>19</v>
      </c>
    </row>
    <row r="1616" spans="1:16" x14ac:dyDescent="0.35">
      <c r="A1616" s="3" t="s">
        <v>57</v>
      </c>
      <c r="B1616" s="3" t="str">
        <f>INDEX(State_Region!$B$2:$B$26,MATCH(TRIM(A1616),State_Region!$A$2:$A$26,0))</f>
        <v>Central</v>
      </c>
      <c r="C1616" s="3" t="s">
        <v>161</v>
      </c>
      <c r="D1616" s="3" t="str">
        <f>INDEX(Port_Type!$B$2:$B$227,MATCH(TRIM(C1616),Port_Type!$A$2:$A$227,0))</f>
        <v>Inland ICD / CFS</v>
      </c>
      <c r="E1616" s="3" t="s">
        <v>81</v>
      </c>
      <c r="F1616" s="3" t="str">
        <f>INDEX(Product_Category!$B$2:$B$45,MATCH(TRIM(E1616),Product_Category!$A$2:$A$45,0))</f>
        <v>Processed Foods</v>
      </c>
      <c r="G1616" s="4">
        <v>0</v>
      </c>
      <c r="H1616" s="4">
        <v>0</v>
      </c>
      <c r="I1616" s="4">
        <v>0.01</v>
      </c>
      <c r="J1616" s="4">
        <v>0</v>
      </c>
      <c r="K1616" s="4">
        <v>0</v>
      </c>
      <c r="L1616" s="4">
        <v>4.41</v>
      </c>
      <c r="M1616" s="4">
        <f t="shared" si="75"/>
        <v>0</v>
      </c>
      <c r="N1616" s="4">
        <f t="shared" si="76"/>
        <v>0</v>
      </c>
      <c r="O1616" s="4">
        <f t="shared" si="77"/>
        <v>0.01</v>
      </c>
      <c r="P1616" s="3" t="s">
        <v>19</v>
      </c>
    </row>
    <row r="1617" spans="1:16" x14ac:dyDescent="0.35">
      <c r="A1617" s="3" t="s">
        <v>189</v>
      </c>
      <c r="B1617" s="3" t="str">
        <f>INDEX(State_Region!$B$2:$B$26,MATCH(TRIM(A1617),State_Region!$A$2:$A$26,0))</f>
        <v>North</v>
      </c>
      <c r="C1617" s="3" t="s">
        <v>193</v>
      </c>
      <c r="D1617" s="3" t="str">
        <f>INDEX(Port_Type!$B$2:$B$227,MATCH(TRIM(C1617),Port_Type!$A$2:$A$227,0))</f>
        <v>Inland ICD / CFS</v>
      </c>
      <c r="E1617" s="3" t="s">
        <v>54</v>
      </c>
      <c r="F1617" s="3" t="str">
        <f>INDEX(Product_Category!$B$2:$B$45,MATCH(TRIM(E1617),Product_Category!$A$2:$A$45,0))</f>
        <v>Processed Foods</v>
      </c>
      <c r="G1617" s="4">
        <v>0</v>
      </c>
      <c r="H1617" s="4">
        <v>0.01</v>
      </c>
      <c r="I1617" s="4">
        <v>0.01</v>
      </c>
      <c r="J1617" s="4">
        <v>0</v>
      </c>
      <c r="K1617" s="4">
        <v>6</v>
      </c>
      <c r="L1617" s="4">
        <v>2.37</v>
      </c>
      <c r="M1617" s="4">
        <f t="shared" si="75"/>
        <v>0.01</v>
      </c>
      <c r="N1617" s="4">
        <f t="shared" si="76"/>
        <v>6</v>
      </c>
      <c r="O1617" s="4">
        <f t="shared" si="77"/>
        <v>0</v>
      </c>
      <c r="P1617" s="3" t="s">
        <v>19</v>
      </c>
    </row>
    <row r="1618" spans="1:16" x14ac:dyDescent="0.35">
      <c r="A1618" s="3" t="s">
        <v>23</v>
      </c>
      <c r="B1618" s="3" t="str">
        <f>INDEX(State_Region!$B$2:$B$26,MATCH(TRIM(A1618),State_Region!$A$2:$A$26,0))</f>
        <v>North</v>
      </c>
      <c r="C1618" s="3" t="s">
        <v>30</v>
      </c>
      <c r="D1618" s="3" t="str">
        <f>INDEX(Port_Type!$B$2:$B$227,MATCH(TRIM(C1618),Port_Type!$A$2:$A$227,0))</f>
        <v>Inland ICD / CFS</v>
      </c>
      <c r="E1618" s="3" t="s">
        <v>59</v>
      </c>
      <c r="F1618" s="3" t="str">
        <f>INDEX(Product_Category!$B$2:$B$45,MATCH(TRIM(E1618),Product_Category!$A$2:$A$45,0))</f>
        <v>Processed Foods</v>
      </c>
      <c r="G1618" s="4">
        <v>0</v>
      </c>
      <c r="H1618" s="4">
        <v>0.02</v>
      </c>
      <c r="I1618" s="4">
        <v>0.01</v>
      </c>
      <c r="J1618" s="4">
        <v>0.13</v>
      </c>
      <c r="K1618" s="4">
        <v>1.19</v>
      </c>
      <c r="L1618" s="4">
        <v>0.4</v>
      </c>
      <c r="M1618" s="4">
        <f t="shared" si="75"/>
        <v>0.02</v>
      </c>
      <c r="N1618" s="4">
        <f t="shared" si="76"/>
        <v>1.06</v>
      </c>
      <c r="O1618" s="4">
        <f t="shared" si="77"/>
        <v>-0.01</v>
      </c>
      <c r="P1618" s="3" t="s">
        <v>19</v>
      </c>
    </row>
    <row r="1619" spans="1:16" x14ac:dyDescent="0.35">
      <c r="A1619" s="3" t="s">
        <v>79</v>
      </c>
      <c r="B1619" s="3" t="str">
        <f>INDEX(State_Region!$B$2:$B$26,MATCH(TRIM(A1619),State_Region!$A$2:$A$26,0))</f>
        <v>South</v>
      </c>
      <c r="C1619" s="3" t="s">
        <v>255</v>
      </c>
      <c r="D1619" s="3" t="str">
        <f>INDEX(Port_Type!$B$2:$B$227,MATCH(TRIM(C1619),Port_Type!$A$2:$A$227,0))</f>
        <v>SEZ / EPZ</v>
      </c>
      <c r="E1619" s="3" t="s">
        <v>39</v>
      </c>
      <c r="F1619" s="3" t="str">
        <f>INDEX(Product_Category!$B$2:$B$45,MATCH(TRIM(E1619),Product_Category!$A$2:$A$45,0))</f>
        <v>Processed Foods</v>
      </c>
      <c r="G1619" s="4">
        <v>0</v>
      </c>
      <c r="H1619" s="4">
        <v>0.01</v>
      </c>
      <c r="I1619" s="4">
        <v>0.01</v>
      </c>
      <c r="J1619" s="4">
        <v>0</v>
      </c>
      <c r="K1619" s="4">
        <v>2.8</v>
      </c>
      <c r="L1619" s="4">
        <v>5.1100000000000003</v>
      </c>
      <c r="M1619" s="4">
        <f t="shared" si="75"/>
        <v>0.01</v>
      </c>
      <c r="N1619" s="4">
        <f t="shared" si="76"/>
        <v>2.8</v>
      </c>
      <c r="O1619" s="4">
        <f t="shared" si="77"/>
        <v>0</v>
      </c>
      <c r="P1619" s="3" t="s">
        <v>19</v>
      </c>
    </row>
    <row r="1620" spans="1:16" x14ac:dyDescent="0.35">
      <c r="A1620" s="3" t="s">
        <v>189</v>
      </c>
      <c r="B1620" s="3" t="str">
        <f>INDEX(State_Region!$B$2:$B$26,MATCH(TRIM(A1620),State_Region!$A$2:$A$26,0))</f>
        <v>North</v>
      </c>
      <c r="C1620" s="3" t="s">
        <v>227</v>
      </c>
      <c r="D1620" s="3" t="str">
        <f>INDEX(Port_Type!$B$2:$B$227,MATCH(TRIM(C1620),Port_Type!$A$2:$A$227,0))</f>
        <v>Land Border / Rail</v>
      </c>
      <c r="E1620" s="3" t="s">
        <v>18</v>
      </c>
      <c r="F1620" s="3" t="str">
        <f>INDEX(Product_Category!$B$2:$B$45,MATCH(TRIM(E1620),Product_Category!$A$2:$A$45,0))</f>
        <v>Cereals &amp; Grains</v>
      </c>
      <c r="G1620" s="4">
        <v>0</v>
      </c>
      <c r="H1620" s="4">
        <v>0.02</v>
      </c>
      <c r="I1620" s="4">
        <v>0.01</v>
      </c>
      <c r="J1620" s="4">
        <v>0</v>
      </c>
      <c r="K1620" s="4">
        <v>29.32</v>
      </c>
      <c r="L1620" s="4">
        <v>11.5</v>
      </c>
      <c r="M1620" s="4">
        <f t="shared" si="75"/>
        <v>0.02</v>
      </c>
      <c r="N1620" s="4">
        <f t="shared" si="76"/>
        <v>29.32</v>
      </c>
      <c r="O1620" s="4">
        <f t="shared" si="77"/>
        <v>-0.01</v>
      </c>
      <c r="P1620" s="3" t="s">
        <v>19</v>
      </c>
    </row>
    <row r="1621" spans="1:16" x14ac:dyDescent="0.35">
      <c r="A1621" s="3" t="s">
        <v>66</v>
      </c>
      <c r="B1621" s="3" t="str">
        <f>INDEX(State_Region!$B$2:$B$26,MATCH(TRIM(A1621),State_Region!$A$2:$A$26,0))</f>
        <v>North</v>
      </c>
      <c r="C1621" s="3" t="s">
        <v>127</v>
      </c>
      <c r="D1621" s="3" t="str">
        <f>INDEX(Port_Type!$B$2:$B$227,MATCH(TRIM(C1621),Port_Type!$A$2:$A$227,0))</f>
        <v>Inland ICD / CFS</v>
      </c>
      <c r="E1621" s="3" t="s">
        <v>126</v>
      </c>
      <c r="F1621" s="3" t="str">
        <f>INDEX(Product_Category!$B$2:$B$45,MATCH(TRIM(E1621),Product_Category!$A$2:$A$45,0))</f>
        <v>Cereals &amp; Grains</v>
      </c>
      <c r="G1621" s="4">
        <v>0</v>
      </c>
      <c r="H1621" s="4">
        <v>0</v>
      </c>
      <c r="I1621" s="4">
        <v>0.01</v>
      </c>
      <c r="J1621" s="4">
        <v>1.1000000000000001</v>
      </c>
      <c r="K1621" s="4">
        <v>0.81</v>
      </c>
      <c r="L1621" s="4">
        <v>1.92</v>
      </c>
      <c r="M1621" s="4">
        <f t="shared" si="75"/>
        <v>0</v>
      </c>
      <c r="N1621" s="4">
        <f t="shared" si="76"/>
        <v>-0.29000000000000004</v>
      </c>
      <c r="O1621" s="4">
        <f t="shared" si="77"/>
        <v>0.01</v>
      </c>
      <c r="P1621" s="3" t="s">
        <v>19</v>
      </c>
    </row>
    <row r="1622" spans="1:16" x14ac:dyDescent="0.35">
      <c r="A1622" s="3" t="s">
        <v>20</v>
      </c>
      <c r="B1622" s="3" t="str">
        <f>INDEX(State_Region!$B$2:$B$26,MATCH(TRIM(A1622),State_Region!$A$2:$A$26,0))</f>
        <v>West</v>
      </c>
      <c r="C1622" s="3" t="s">
        <v>134</v>
      </c>
      <c r="D1622" s="3" t="str">
        <f>INDEX(Port_Type!$B$2:$B$227,MATCH(TRIM(C1622),Port_Type!$A$2:$A$227,0))</f>
        <v>Inland ICD / CFS</v>
      </c>
      <c r="E1622" s="3" t="s">
        <v>122</v>
      </c>
      <c r="F1622" s="3" t="str">
        <f>INDEX(Product_Category!$B$2:$B$45,MATCH(TRIM(E1622),Product_Category!$A$2:$A$45,0))</f>
        <v>Others</v>
      </c>
      <c r="G1622" s="4">
        <v>0</v>
      </c>
      <c r="H1622" s="4">
        <v>0.02</v>
      </c>
      <c r="I1622" s="4">
        <v>0.01</v>
      </c>
      <c r="J1622" s="4">
        <v>0</v>
      </c>
      <c r="K1622" s="4">
        <v>2.09</v>
      </c>
      <c r="L1622" s="4">
        <v>1.02</v>
      </c>
      <c r="M1622" s="4">
        <f t="shared" si="75"/>
        <v>0.02</v>
      </c>
      <c r="N1622" s="4">
        <f t="shared" si="76"/>
        <v>2.09</v>
      </c>
      <c r="O1622" s="4">
        <f t="shared" si="77"/>
        <v>-0.01</v>
      </c>
      <c r="P1622" s="3" t="s">
        <v>19</v>
      </c>
    </row>
    <row r="1623" spans="1:16" x14ac:dyDescent="0.35">
      <c r="A1623" s="3" t="s">
        <v>74</v>
      </c>
      <c r="B1623" s="3" t="str">
        <f>INDEX(State_Region!$B$2:$B$26,MATCH(TRIM(A1623),State_Region!$A$2:$A$26,0))</f>
        <v>South</v>
      </c>
      <c r="C1623" s="3" t="s">
        <v>137</v>
      </c>
      <c r="D1623" s="3" t="str">
        <f>INDEX(Port_Type!$B$2:$B$227,MATCH(TRIM(C1623),Port_Type!$A$2:$A$227,0))</f>
        <v>Air Cargo</v>
      </c>
      <c r="E1623" s="3" t="s">
        <v>151</v>
      </c>
      <c r="F1623" s="3" t="str">
        <f>INDEX(Product_Category!$B$2:$B$45,MATCH(TRIM(E1623),Product_Category!$A$2:$A$45,0))</f>
        <v>Processed Foods</v>
      </c>
      <c r="G1623" s="4">
        <v>0</v>
      </c>
      <c r="H1623" s="4">
        <v>0</v>
      </c>
      <c r="I1623" s="4">
        <v>0.01</v>
      </c>
      <c r="J1623" s="4">
        <v>0</v>
      </c>
      <c r="K1623" s="4">
        <v>0</v>
      </c>
      <c r="L1623" s="4">
        <v>0.4</v>
      </c>
      <c r="M1623" s="4">
        <f t="shared" si="75"/>
        <v>0</v>
      </c>
      <c r="N1623" s="4">
        <f t="shared" si="76"/>
        <v>0</v>
      </c>
      <c r="O1623" s="4">
        <f t="shared" si="77"/>
        <v>0.01</v>
      </c>
      <c r="P1623" s="3" t="s">
        <v>19</v>
      </c>
    </row>
    <row r="1624" spans="1:16" x14ac:dyDescent="0.35">
      <c r="A1624" s="3" t="s">
        <v>77</v>
      </c>
      <c r="B1624" s="3" t="str">
        <f>INDEX(State_Region!$B$2:$B$26,MATCH(TRIM(A1624),State_Region!$A$2:$A$26,0))</f>
        <v>South</v>
      </c>
      <c r="C1624" s="3" t="s">
        <v>78</v>
      </c>
      <c r="D1624" s="3" t="str">
        <f>INDEX(Port_Type!$B$2:$B$227,MATCH(TRIM(C1624),Port_Type!$A$2:$A$227,0))</f>
        <v>Sea Port</v>
      </c>
      <c r="E1624" s="3" t="s">
        <v>122</v>
      </c>
      <c r="F1624" s="3" t="str">
        <f>INDEX(Product_Category!$B$2:$B$45,MATCH(TRIM(E1624),Product_Category!$A$2:$A$45,0))</f>
        <v>Others</v>
      </c>
      <c r="G1624" s="4">
        <v>0.17</v>
      </c>
      <c r="H1624" s="4">
        <v>1.08</v>
      </c>
      <c r="I1624" s="4">
        <v>0.01</v>
      </c>
      <c r="J1624" s="4">
        <v>148.02000000000001</v>
      </c>
      <c r="K1624" s="4">
        <v>1092.48</v>
      </c>
      <c r="L1624" s="4">
        <v>3.49</v>
      </c>
      <c r="M1624" s="4">
        <f t="shared" si="75"/>
        <v>0.91</v>
      </c>
      <c r="N1624" s="4">
        <f t="shared" si="76"/>
        <v>944.46</v>
      </c>
      <c r="O1624" s="4">
        <f t="shared" si="77"/>
        <v>-1.07</v>
      </c>
      <c r="P1624" s="3" t="s">
        <v>19</v>
      </c>
    </row>
    <row r="1625" spans="1:16" x14ac:dyDescent="0.35">
      <c r="A1625" s="3" t="s">
        <v>16</v>
      </c>
      <c r="B1625" s="3" t="str">
        <f>INDEX(State_Region!$B$2:$B$26,MATCH(TRIM(A1625),State_Region!$A$2:$A$26,0))</f>
        <v>West</v>
      </c>
      <c r="C1625" s="3" t="s">
        <v>89</v>
      </c>
      <c r="D1625" s="3" t="str">
        <f>INDEX(Port_Type!$B$2:$B$227,MATCH(TRIM(C1625),Port_Type!$A$2:$A$227,0))</f>
        <v>Inland ICD / CFS</v>
      </c>
      <c r="E1625" s="3" t="s">
        <v>118</v>
      </c>
      <c r="F1625" s="3" t="str">
        <f>INDEX(Product_Category!$B$2:$B$45,MATCH(TRIM(E1625),Product_Category!$A$2:$A$45,0))</f>
        <v>Dairy, Poultry &amp; Honey</v>
      </c>
      <c r="G1625" s="4">
        <v>7.0000000000000007E-2</v>
      </c>
      <c r="H1625" s="4">
        <v>0.01</v>
      </c>
      <c r="I1625" s="4">
        <v>0.01</v>
      </c>
      <c r="J1625" s="4">
        <v>25.75</v>
      </c>
      <c r="K1625" s="4">
        <v>2.1800000000000002</v>
      </c>
      <c r="L1625" s="4">
        <v>2.91</v>
      </c>
      <c r="M1625" s="4">
        <f t="shared" si="75"/>
        <v>-6.0000000000000005E-2</v>
      </c>
      <c r="N1625" s="4">
        <f t="shared" si="76"/>
        <v>-23.57</v>
      </c>
      <c r="O1625" s="4">
        <f t="shared" si="77"/>
        <v>0</v>
      </c>
      <c r="P1625" s="3" t="s">
        <v>19</v>
      </c>
    </row>
    <row r="1626" spans="1:16" x14ac:dyDescent="0.35">
      <c r="A1626" s="3" t="s">
        <v>40</v>
      </c>
      <c r="B1626" s="3" t="str">
        <f>INDEX(State_Region!$B$2:$B$26,MATCH(TRIM(A1626),State_Region!$A$2:$A$26,0))</f>
        <v>South</v>
      </c>
      <c r="C1626" s="3" t="s">
        <v>220</v>
      </c>
      <c r="D1626" s="3" t="str">
        <f>INDEX(Port_Type!$B$2:$B$227,MATCH(TRIM(C1626),Port_Type!$A$2:$A$227,0))</f>
        <v>Inland ICD / CFS</v>
      </c>
      <c r="E1626" s="3" t="s">
        <v>53</v>
      </c>
      <c r="F1626" s="3" t="str">
        <f>INDEX(Product_Category!$B$2:$B$45,MATCH(TRIM(E1626),Product_Category!$A$2:$A$45,0))</f>
        <v>Processed Foods</v>
      </c>
      <c r="G1626" s="4">
        <v>0.01</v>
      </c>
      <c r="H1626" s="4">
        <v>0.19</v>
      </c>
      <c r="I1626" s="4">
        <v>0.01</v>
      </c>
      <c r="J1626" s="4">
        <v>4.25</v>
      </c>
      <c r="K1626" s="4">
        <v>135.66999999999999</v>
      </c>
      <c r="L1626" s="4">
        <v>4.58</v>
      </c>
      <c r="M1626" s="4">
        <f t="shared" si="75"/>
        <v>0.18</v>
      </c>
      <c r="N1626" s="4">
        <f t="shared" si="76"/>
        <v>131.41999999999999</v>
      </c>
      <c r="O1626" s="4">
        <f t="shared" si="77"/>
        <v>-0.18</v>
      </c>
      <c r="P1626" s="3" t="s">
        <v>19</v>
      </c>
    </row>
    <row r="1627" spans="1:16" x14ac:dyDescent="0.35">
      <c r="A1627" s="3" t="s">
        <v>20</v>
      </c>
      <c r="B1627" s="3" t="str">
        <f>INDEX(State_Region!$B$2:$B$26,MATCH(TRIM(A1627),State_Region!$A$2:$A$26,0))</f>
        <v>West</v>
      </c>
      <c r="C1627" s="3" t="s">
        <v>222</v>
      </c>
      <c r="D1627" s="3" t="str">
        <f>INDEX(Port_Type!$B$2:$B$227,MATCH(TRIM(C1627),Port_Type!$A$2:$A$227,0))</f>
        <v>Air Cargo</v>
      </c>
      <c r="E1627" s="3" t="s">
        <v>55</v>
      </c>
      <c r="F1627" s="3" t="str">
        <f>INDEX(Product_Category!$B$2:$B$45,MATCH(TRIM(E1627),Product_Category!$A$2:$A$45,0))</f>
        <v>Fresh Fruits &amp; Vegetables</v>
      </c>
      <c r="G1627" s="4">
        <v>0</v>
      </c>
      <c r="H1627" s="4">
        <v>0.01</v>
      </c>
      <c r="I1627" s="4">
        <v>0.01</v>
      </c>
      <c r="J1627" s="4">
        <v>0</v>
      </c>
      <c r="K1627" s="4">
        <v>13.78</v>
      </c>
      <c r="L1627" s="4">
        <v>1.72</v>
      </c>
      <c r="M1627" s="4">
        <f t="shared" si="75"/>
        <v>0.01</v>
      </c>
      <c r="N1627" s="4">
        <f t="shared" si="76"/>
        <v>13.78</v>
      </c>
      <c r="O1627" s="4">
        <f t="shared" si="77"/>
        <v>0</v>
      </c>
      <c r="P1627" s="3" t="s">
        <v>19</v>
      </c>
    </row>
    <row r="1628" spans="1:16" x14ac:dyDescent="0.35">
      <c r="A1628" s="3" t="s">
        <v>35</v>
      </c>
      <c r="B1628" s="3" t="str">
        <f>INDEX(State_Region!$B$2:$B$26,MATCH(TRIM(A1628),State_Region!$A$2:$A$26,0))</f>
        <v>North</v>
      </c>
      <c r="C1628" s="3" t="s">
        <v>165</v>
      </c>
      <c r="D1628" s="3" t="str">
        <f>INDEX(Port_Type!$B$2:$B$227,MATCH(TRIM(C1628),Port_Type!$A$2:$A$227,0))</f>
        <v>Inland ICD / CFS</v>
      </c>
      <c r="E1628" s="3" t="s">
        <v>126</v>
      </c>
      <c r="F1628" s="3" t="str">
        <f>INDEX(Product_Category!$B$2:$B$45,MATCH(TRIM(E1628),Product_Category!$A$2:$A$45,0))</f>
        <v>Cereals &amp; Grains</v>
      </c>
      <c r="G1628" s="4">
        <v>0</v>
      </c>
      <c r="H1628" s="4">
        <v>0.02</v>
      </c>
      <c r="I1628" s="4">
        <v>0.01</v>
      </c>
      <c r="J1628" s="4">
        <v>0</v>
      </c>
      <c r="K1628" s="4">
        <v>15.45</v>
      </c>
      <c r="L1628" s="4">
        <v>4.16</v>
      </c>
      <c r="M1628" s="4">
        <f t="shared" si="75"/>
        <v>0.02</v>
      </c>
      <c r="N1628" s="4">
        <f t="shared" si="76"/>
        <v>15.45</v>
      </c>
      <c r="O1628" s="4">
        <f t="shared" si="77"/>
        <v>-0.01</v>
      </c>
      <c r="P1628" s="3" t="s">
        <v>19</v>
      </c>
    </row>
    <row r="1629" spans="1:16" x14ac:dyDescent="0.35">
      <c r="A1629" s="3" t="s">
        <v>40</v>
      </c>
      <c r="B1629" s="3" t="str">
        <f>INDEX(State_Region!$B$2:$B$26,MATCH(TRIM(A1629),State_Region!$A$2:$A$26,0))</f>
        <v>South</v>
      </c>
      <c r="C1629" s="3" t="s">
        <v>241</v>
      </c>
      <c r="D1629" s="3" t="str">
        <f>INDEX(Port_Type!$B$2:$B$227,MATCH(TRIM(C1629),Port_Type!$A$2:$A$227,0))</f>
        <v>Air Cargo</v>
      </c>
      <c r="E1629" s="3" t="s">
        <v>122</v>
      </c>
      <c r="F1629" s="3" t="str">
        <f>INDEX(Product_Category!$B$2:$B$45,MATCH(TRIM(E1629),Product_Category!$A$2:$A$45,0))</f>
        <v>Others</v>
      </c>
      <c r="G1629" s="4">
        <v>0.04</v>
      </c>
      <c r="H1629" s="4">
        <v>0.06</v>
      </c>
      <c r="I1629" s="4">
        <v>0.01</v>
      </c>
      <c r="J1629" s="4">
        <v>19.600000000000001</v>
      </c>
      <c r="K1629" s="4">
        <v>26.13</v>
      </c>
      <c r="L1629" s="4">
        <v>0.69</v>
      </c>
      <c r="M1629" s="4">
        <f t="shared" si="75"/>
        <v>1.9999999999999997E-2</v>
      </c>
      <c r="N1629" s="4">
        <f t="shared" si="76"/>
        <v>6.5299999999999976</v>
      </c>
      <c r="O1629" s="4">
        <f t="shared" si="77"/>
        <v>-4.9999999999999996E-2</v>
      </c>
      <c r="P1629" s="3" t="s">
        <v>19</v>
      </c>
    </row>
    <row r="1630" spans="1:16" x14ac:dyDescent="0.35">
      <c r="A1630" s="3" t="s">
        <v>66</v>
      </c>
      <c r="B1630" s="3" t="str">
        <f>INDEX(State_Region!$B$2:$B$26,MATCH(TRIM(A1630),State_Region!$A$2:$A$26,0))</f>
        <v>North</v>
      </c>
      <c r="C1630" s="3" t="s">
        <v>71</v>
      </c>
      <c r="D1630" s="3" t="str">
        <f>INDEX(Port_Type!$B$2:$B$227,MATCH(TRIM(C1630),Port_Type!$A$2:$A$227,0))</f>
        <v>Inland ICD / CFS</v>
      </c>
      <c r="E1630" s="3" t="s">
        <v>65</v>
      </c>
      <c r="F1630" s="3" t="str">
        <f>INDEX(Product_Category!$B$2:$B$45,MATCH(TRIM(E1630),Product_Category!$A$2:$A$45,0))</f>
        <v>Cereals &amp; Grains</v>
      </c>
      <c r="G1630" s="4">
        <v>0.01</v>
      </c>
      <c r="H1630" s="4">
        <v>0.03</v>
      </c>
      <c r="I1630" s="4">
        <v>0.01</v>
      </c>
      <c r="J1630" s="4">
        <v>17.64</v>
      </c>
      <c r="K1630" s="4">
        <v>31.66</v>
      </c>
      <c r="L1630" s="4">
        <v>8.65</v>
      </c>
      <c r="M1630" s="4">
        <f t="shared" si="75"/>
        <v>1.9999999999999997E-2</v>
      </c>
      <c r="N1630" s="4">
        <f t="shared" si="76"/>
        <v>14.02</v>
      </c>
      <c r="O1630" s="4">
        <f t="shared" si="77"/>
        <v>-1.9999999999999997E-2</v>
      </c>
      <c r="P1630" s="3" t="s">
        <v>19</v>
      </c>
    </row>
    <row r="1631" spans="1:16" x14ac:dyDescent="0.35">
      <c r="A1631" s="3" t="s">
        <v>16</v>
      </c>
      <c r="B1631" s="3" t="str">
        <f>INDEX(State_Region!$B$2:$B$26,MATCH(TRIM(A1631),State_Region!$A$2:$A$26,0))</f>
        <v>West</v>
      </c>
      <c r="C1631" s="3" t="s">
        <v>135</v>
      </c>
      <c r="D1631" s="3" t="str">
        <f>INDEX(Port_Type!$B$2:$B$227,MATCH(TRIM(C1631),Port_Type!$A$2:$A$227,0))</f>
        <v>Air Cargo</v>
      </c>
      <c r="E1631" s="3" t="s">
        <v>102</v>
      </c>
      <c r="F1631" s="3" t="str">
        <f>INDEX(Product_Category!$B$2:$B$45,MATCH(TRIM(E1631),Product_Category!$A$2:$A$45,0))</f>
        <v>Fresh Fruits &amp; Vegetables</v>
      </c>
      <c r="G1631" s="4">
        <v>0.54</v>
      </c>
      <c r="H1631" s="4">
        <v>0.23</v>
      </c>
      <c r="I1631" s="4">
        <v>0.01</v>
      </c>
      <c r="J1631" s="4">
        <v>193.6</v>
      </c>
      <c r="K1631" s="4">
        <v>111.23</v>
      </c>
      <c r="L1631" s="4">
        <v>4.05</v>
      </c>
      <c r="M1631" s="4">
        <f t="shared" si="75"/>
        <v>-0.31000000000000005</v>
      </c>
      <c r="N1631" s="4">
        <f t="shared" si="76"/>
        <v>-82.36999999999999</v>
      </c>
      <c r="O1631" s="4">
        <f t="shared" si="77"/>
        <v>-0.22</v>
      </c>
      <c r="P1631" s="3" t="s">
        <v>19</v>
      </c>
    </row>
    <row r="1632" spans="1:16" x14ac:dyDescent="0.35">
      <c r="A1632" s="3" t="s">
        <v>77</v>
      </c>
      <c r="B1632" s="3" t="str">
        <f>INDEX(State_Region!$B$2:$B$26,MATCH(TRIM(A1632),State_Region!$A$2:$A$26,0))</f>
        <v>South</v>
      </c>
      <c r="C1632" s="3" t="s">
        <v>157</v>
      </c>
      <c r="D1632" s="3" t="str">
        <f>INDEX(Port_Type!$B$2:$B$227,MATCH(TRIM(C1632),Port_Type!$A$2:$A$227,0))</f>
        <v>Air Cargo</v>
      </c>
      <c r="E1632" s="3" t="s">
        <v>53</v>
      </c>
      <c r="F1632" s="3" t="str">
        <f>INDEX(Product_Category!$B$2:$B$45,MATCH(TRIM(E1632),Product_Category!$A$2:$A$45,0))</f>
        <v>Processed Foods</v>
      </c>
      <c r="G1632" s="4">
        <v>0.01</v>
      </c>
      <c r="H1632" s="4">
        <v>0</v>
      </c>
      <c r="I1632" s="4">
        <v>0.01</v>
      </c>
      <c r="J1632" s="4">
        <v>1.74</v>
      </c>
      <c r="K1632" s="4">
        <v>0.32</v>
      </c>
      <c r="L1632" s="4">
        <v>2.81</v>
      </c>
      <c r="M1632" s="4">
        <f t="shared" si="75"/>
        <v>-0.01</v>
      </c>
      <c r="N1632" s="4">
        <f t="shared" si="76"/>
        <v>-1.42</v>
      </c>
      <c r="O1632" s="4">
        <f t="shared" si="77"/>
        <v>0.01</v>
      </c>
      <c r="P1632" s="3" t="s">
        <v>19</v>
      </c>
    </row>
    <row r="1633" spans="1:16" x14ac:dyDescent="0.35">
      <c r="A1633" s="3" t="s">
        <v>231</v>
      </c>
      <c r="B1633" s="3" t="str">
        <f>INDEX(State_Region!$B$2:$B$26,MATCH(TRIM(A1633),State_Region!$A$2:$A$26,0))</f>
        <v>North-East</v>
      </c>
      <c r="C1633" s="3" t="s">
        <v>236</v>
      </c>
      <c r="D1633" s="3" t="str">
        <f>INDEX(Port_Type!$B$2:$B$227,MATCH(TRIM(C1633),Port_Type!$A$2:$A$227,0))</f>
        <v>Land Border / Rail</v>
      </c>
      <c r="E1633" s="3" t="s">
        <v>45</v>
      </c>
      <c r="F1633" s="3" t="str">
        <f>INDEX(Product_Category!$B$2:$B$45,MATCH(TRIM(E1633),Product_Category!$A$2:$A$45,0))</f>
        <v>Fresh Fruits &amp; Vegetables</v>
      </c>
      <c r="G1633" s="4">
        <v>0</v>
      </c>
      <c r="H1633" s="4">
        <v>0.02</v>
      </c>
      <c r="I1633" s="4">
        <v>0.01</v>
      </c>
      <c r="J1633" s="4">
        <v>0.44</v>
      </c>
      <c r="K1633" s="4">
        <v>31.84</v>
      </c>
      <c r="L1633" s="4">
        <v>11.49</v>
      </c>
      <c r="M1633" s="4">
        <f t="shared" si="75"/>
        <v>0.02</v>
      </c>
      <c r="N1633" s="4">
        <f t="shared" si="76"/>
        <v>31.4</v>
      </c>
      <c r="O1633" s="4">
        <f t="shared" si="77"/>
        <v>-0.01</v>
      </c>
      <c r="P1633" s="3" t="s">
        <v>19</v>
      </c>
    </row>
    <row r="1634" spans="1:16" x14ac:dyDescent="0.35">
      <c r="A1634" s="3" t="s">
        <v>31</v>
      </c>
      <c r="B1634" s="3" t="str">
        <f>INDEX(State_Region!$B$2:$B$26,MATCH(TRIM(A1634),State_Region!$A$2:$A$26,0))</f>
        <v>East</v>
      </c>
      <c r="C1634" s="3" t="s">
        <v>169</v>
      </c>
      <c r="D1634" s="3" t="str">
        <f>INDEX(Port_Type!$B$2:$B$227,MATCH(TRIM(C1634),Port_Type!$A$2:$A$227,0))</f>
        <v>Land Border / Rail</v>
      </c>
      <c r="E1634" s="3" t="s">
        <v>144</v>
      </c>
      <c r="F1634" s="3" t="str">
        <f>INDEX(Product_Category!$B$2:$B$45,MATCH(TRIM(E1634),Product_Category!$A$2:$A$45,0))</f>
        <v>Cereals &amp; Grains</v>
      </c>
      <c r="G1634" s="4">
        <v>0.01</v>
      </c>
      <c r="H1634" s="4">
        <v>0.01</v>
      </c>
      <c r="I1634" s="4">
        <v>0.01</v>
      </c>
      <c r="J1634" s="4">
        <v>65</v>
      </c>
      <c r="K1634" s="4">
        <v>25</v>
      </c>
      <c r="L1634" s="4">
        <v>30</v>
      </c>
      <c r="M1634" s="4">
        <f t="shared" si="75"/>
        <v>0</v>
      </c>
      <c r="N1634" s="4">
        <f t="shared" si="76"/>
        <v>-40</v>
      </c>
      <c r="O1634" s="4">
        <f t="shared" si="77"/>
        <v>0</v>
      </c>
      <c r="P1634" s="3" t="s">
        <v>19</v>
      </c>
    </row>
    <row r="1635" spans="1:16" x14ac:dyDescent="0.35">
      <c r="A1635" s="3" t="s">
        <v>40</v>
      </c>
      <c r="B1635" s="3" t="str">
        <f>INDEX(State_Region!$B$2:$B$26,MATCH(TRIM(A1635),State_Region!$A$2:$A$26,0))</f>
        <v>South</v>
      </c>
      <c r="C1635" s="3" t="s">
        <v>85</v>
      </c>
      <c r="D1635" s="3" t="str">
        <f>INDEX(Port_Type!$B$2:$B$227,MATCH(TRIM(C1635),Port_Type!$A$2:$A$227,0))</f>
        <v>Sea Port</v>
      </c>
      <c r="E1635" s="3" t="s">
        <v>46</v>
      </c>
      <c r="F1635" s="3" t="str">
        <f>INDEX(Product_Category!$B$2:$B$45,MATCH(TRIM(E1635),Product_Category!$A$2:$A$45,0))</f>
        <v>Others</v>
      </c>
      <c r="G1635" s="4">
        <v>0.05</v>
      </c>
      <c r="H1635" s="4">
        <v>0.02</v>
      </c>
      <c r="I1635" s="4">
        <v>0.01</v>
      </c>
      <c r="J1635" s="4">
        <v>44.2</v>
      </c>
      <c r="K1635" s="4">
        <v>16.350000000000001</v>
      </c>
      <c r="L1635" s="4">
        <v>4.63</v>
      </c>
      <c r="M1635" s="4">
        <f t="shared" si="75"/>
        <v>-3.0000000000000002E-2</v>
      </c>
      <c r="N1635" s="4">
        <f t="shared" si="76"/>
        <v>-27.85</v>
      </c>
      <c r="O1635" s="4">
        <f t="shared" si="77"/>
        <v>-0.01</v>
      </c>
      <c r="P1635" s="3" t="s">
        <v>19</v>
      </c>
    </row>
    <row r="1636" spans="1:16" x14ac:dyDescent="0.35">
      <c r="A1636" s="3" t="s">
        <v>35</v>
      </c>
      <c r="B1636" s="3" t="str">
        <f>INDEX(State_Region!$B$2:$B$26,MATCH(TRIM(A1636),State_Region!$A$2:$A$26,0))</f>
        <v>North</v>
      </c>
      <c r="C1636" s="3" t="s">
        <v>36</v>
      </c>
      <c r="D1636" s="3" t="str">
        <f>INDEX(Port_Type!$B$2:$B$227,MATCH(TRIM(C1636),Port_Type!$A$2:$A$227,0))</f>
        <v>Inland ICD / CFS</v>
      </c>
      <c r="E1636" s="3" t="s">
        <v>126</v>
      </c>
      <c r="F1636" s="3" t="str">
        <f>INDEX(Product_Category!$B$2:$B$45,MATCH(TRIM(E1636),Product_Category!$A$2:$A$45,0))</f>
        <v>Cereals &amp; Grains</v>
      </c>
      <c r="G1636" s="4">
        <v>0</v>
      </c>
      <c r="H1636" s="4">
        <v>0.01</v>
      </c>
      <c r="I1636" s="4">
        <v>0.01</v>
      </c>
      <c r="J1636" s="4">
        <v>1.42</v>
      </c>
      <c r="K1636" s="4">
        <v>5</v>
      </c>
      <c r="L1636" s="4">
        <v>2.4900000000000002</v>
      </c>
      <c r="M1636" s="4">
        <f t="shared" si="75"/>
        <v>0.01</v>
      </c>
      <c r="N1636" s="4">
        <f t="shared" si="76"/>
        <v>3.58</v>
      </c>
      <c r="O1636" s="4">
        <f t="shared" si="77"/>
        <v>0</v>
      </c>
      <c r="P1636" s="3" t="s">
        <v>19</v>
      </c>
    </row>
    <row r="1637" spans="1:16" x14ac:dyDescent="0.35">
      <c r="A1637" s="3" t="s">
        <v>74</v>
      </c>
      <c r="B1637" s="3" t="str">
        <f>INDEX(State_Region!$B$2:$B$26,MATCH(TRIM(A1637),State_Region!$A$2:$A$26,0))</f>
        <v>South</v>
      </c>
      <c r="C1637" s="3" t="s">
        <v>137</v>
      </c>
      <c r="D1637" s="3" t="str">
        <f>INDEX(Port_Type!$B$2:$B$227,MATCH(TRIM(C1637),Port_Type!$A$2:$A$227,0))</f>
        <v>Air Cargo</v>
      </c>
      <c r="E1637" s="3" t="s">
        <v>144</v>
      </c>
      <c r="F1637" s="3" t="str">
        <f>INDEX(Product_Category!$B$2:$B$45,MATCH(TRIM(E1637),Product_Category!$A$2:$A$45,0))</f>
        <v>Cereals &amp; Grains</v>
      </c>
      <c r="G1637" s="4">
        <v>0.02</v>
      </c>
      <c r="H1637" s="4">
        <v>0.13</v>
      </c>
      <c r="I1637" s="4">
        <v>0.01</v>
      </c>
      <c r="J1637" s="4">
        <v>5.64</v>
      </c>
      <c r="K1637" s="4">
        <v>281.51</v>
      </c>
      <c r="L1637" s="4">
        <v>2.4900000000000002</v>
      </c>
      <c r="M1637" s="4">
        <f t="shared" si="75"/>
        <v>0.11</v>
      </c>
      <c r="N1637" s="4">
        <f t="shared" si="76"/>
        <v>275.87</v>
      </c>
      <c r="O1637" s="4">
        <f t="shared" si="77"/>
        <v>-0.12000000000000001</v>
      </c>
      <c r="P1637" s="3" t="s">
        <v>19</v>
      </c>
    </row>
    <row r="1638" spans="1:16" x14ac:dyDescent="0.35">
      <c r="A1638" s="3" t="s">
        <v>57</v>
      </c>
      <c r="B1638" s="3" t="str">
        <f>INDEX(State_Region!$B$2:$B$26,MATCH(TRIM(A1638),State_Region!$A$2:$A$26,0))</f>
        <v>Central</v>
      </c>
      <c r="C1638" s="3" t="s">
        <v>161</v>
      </c>
      <c r="D1638" s="3" t="str">
        <f>INDEX(Port_Type!$B$2:$B$227,MATCH(TRIM(C1638),Port_Type!$A$2:$A$227,0))</f>
        <v>Inland ICD / CFS</v>
      </c>
      <c r="E1638" s="3" t="s">
        <v>18</v>
      </c>
      <c r="F1638" s="3" t="str">
        <f>INDEX(Product_Category!$B$2:$B$45,MATCH(TRIM(E1638),Product_Category!$A$2:$A$45,0))</f>
        <v>Cereals &amp; Grains</v>
      </c>
      <c r="G1638" s="4">
        <v>0.12</v>
      </c>
      <c r="H1638" s="4">
        <v>0.06</v>
      </c>
      <c r="I1638" s="4">
        <v>0.01</v>
      </c>
      <c r="J1638" s="4">
        <v>103.21</v>
      </c>
      <c r="K1638" s="4">
        <v>38.75</v>
      </c>
      <c r="L1638" s="4">
        <v>5.14</v>
      </c>
      <c r="M1638" s="4">
        <f t="shared" si="75"/>
        <v>-0.06</v>
      </c>
      <c r="N1638" s="4">
        <f t="shared" si="76"/>
        <v>-64.459999999999994</v>
      </c>
      <c r="O1638" s="4">
        <f t="shared" si="77"/>
        <v>-4.9999999999999996E-2</v>
      </c>
      <c r="P1638" s="3" t="s">
        <v>19</v>
      </c>
    </row>
    <row r="1639" spans="1:16" x14ac:dyDescent="0.35">
      <c r="A1639" s="3" t="s">
        <v>20</v>
      </c>
      <c r="B1639" s="3" t="str">
        <f>INDEX(State_Region!$B$2:$B$26,MATCH(TRIM(A1639),State_Region!$A$2:$A$26,0))</f>
        <v>West</v>
      </c>
      <c r="C1639" s="3" t="s">
        <v>235</v>
      </c>
      <c r="D1639" s="3" t="str">
        <f>INDEX(Port_Type!$B$2:$B$227,MATCH(TRIM(C1639),Port_Type!$A$2:$A$227,0))</f>
        <v>Inland ICD / CFS</v>
      </c>
      <c r="E1639" s="3" t="s">
        <v>46</v>
      </c>
      <c r="F1639" s="3" t="str">
        <f>INDEX(Product_Category!$B$2:$B$45,MATCH(TRIM(E1639),Product_Category!$A$2:$A$45,0))</f>
        <v>Others</v>
      </c>
      <c r="G1639" s="4">
        <v>0</v>
      </c>
      <c r="H1639" s="4">
        <v>0.02</v>
      </c>
      <c r="I1639" s="4">
        <v>0.01</v>
      </c>
      <c r="J1639" s="4">
        <v>2</v>
      </c>
      <c r="K1639" s="4">
        <v>11.2</v>
      </c>
      <c r="L1639" s="4">
        <v>2.7</v>
      </c>
      <c r="M1639" s="4">
        <f t="shared" si="75"/>
        <v>0.02</v>
      </c>
      <c r="N1639" s="4">
        <f t="shared" si="76"/>
        <v>9.1999999999999993</v>
      </c>
      <c r="O1639" s="4">
        <f t="shared" si="77"/>
        <v>-0.01</v>
      </c>
      <c r="P1639" s="3" t="s">
        <v>19</v>
      </c>
    </row>
    <row r="1640" spans="1:16" x14ac:dyDescent="0.35">
      <c r="A1640" s="3" t="s">
        <v>16</v>
      </c>
      <c r="B1640" s="3" t="str">
        <f>INDEX(State_Region!$B$2:$B$26,MATCH(TRIM(A1640),State_Region!$A$2:$A$26,0))</f>
        <v>West</v>
      </c>
      <c r="C1640" s="3" t="s">
        <v>135</v>
      </c>
      <c r="D1640" s="3" t="str">
        <f>INDEX(Port_Type!$B$2:$B$227,MATCH(TRIM(C1640),Port_Type!$A$2:$A$227,0))</f>
        <v>Air Cargo</v>
      </c>
      <c r="E1640" s="3" t="s">
        <v>170</v>
      </c>
      <c r="F1640" s="3" t="str">
        <f>INDEX(Product_Category!$B$2:$B$45,MATCH(TRIM(E1640),Product_Category!$A$2:$A$45,0))</f>
        <v>Others</v>
      </c>
      <c r="G1640" s="4">
        <v>0.05</v>
      </c>
      <c r="H1640" s="4">
        <v>0.09</v>
      </c>
      <c r="I1640" s="4">
        <v>0.01</v>
      </c>
      <c r="J1640" s="4">
        <v>5.86</v>
      </c>
      <c r="K1640" s="4">
        <v>10.37</v>
      </c>
      <c r="L1640" s="4">
        <v>0.83</v>
      </c>
      <c r="M1640" s="4">
        <f t="shared" si="75"/>
        <v>3.9999999999999994E-2</v>
      </c>
      <c r="N1640" s="4">
        <f t="shared" si="76"/>
        <v>4.5099999999999989</v>
      </c>
      <c r="O1640" s="4">
        <f t="shared" si="77"/>
        <v>-0.08</v>
      </c>
      <c r="P1640" s="3" t="s">
        <v>19</v>
      </c>
    </row>
    <row r="1641" spans="1:16" x14ac:dyDescent="0.35">
      <c r="A1641" s="3" t="s">
        <v>77</v>
      </c>
      <c r="B1641" s="3" t="str">
        <f>INDEX(State_Region!$B$2:$B$26,MATCH(TRIM(A1641),State_Region!$A$2:$A$26,0))</f>
        <v>South</v>
      </c>
      <c r="C1641" s="3" t="s">
        <v>78</v>
      </c>
      <c r="D1641" s="3" t="str">
        <f>INDEX(Port_Type!$B$2:$B$227,MATCH(TRIM(C1641),Port_Type!$A$2:$A$227,0))</f>
        <v>Sea Port</v>
      </c>
      <c r="E1641" s="3" t="s">
        <v>151</v>
      </c>
      <c r="F1641" s="3" t="str">
        <f>INDEX(Product_Category!$B$2:$B$45,MATCH(TRIM(E1641),Product_Category!$A$2:$A$45,0))</f>
        <v>Processed Foods</v>
      </c>
      <c r="G1641" s="4">
        <v>7.0000000000000007E-2</v>
      </c>
      <c r="H1641" s="4">
        <v>0.03</v>
      </c>
      <c r="I1641" s="4">
        <v>0.01</v>
      </c>
      <c r="J1641" s="4">
        <v>73.5</v>
      </c>
      <c r="K1641" s="4">
        <v>13.86</v>
      </c>
      <c r="L1641" s="4">
        <v>2.14</v>
      </c>
      <c r="M1641" s="4">
        <f t="shared" si="75"/>
        <v>-4.0000000000000008E-2</v>
      </c>
      <c r="N1641" s="4">
        <f t="shared" si="76"/>
        <v>-59.64</v>
      </c>
      <c r="O1641" s="4">
        <f t="shared" si="77"/>
        <v>-1.9999999999999997E-2</v>
      </c>
      <c r="P1641" s="3" t="s">
        <v>19</v>
      </c>
    </row>
    <row r="1642" spans="1:16" x14ac:dyDescent="0.35">
      <c r="A1642" s="3" t="s">
        <v>49</v>
      </c>
      <c r="B1642" s="3" t="str">
        <f>INDEX(State_Region!$B$2:$B$26,MATCH(TRIM(A1642),State_Region!$A$2:$A$26,0))</f>
        <v>North</v>
      </c>
      <c r="C1642" s="3" t="s">
        <v>70</v>
      </c>
      <c r="D1642" s="3" t="str">
        <f>INDEX(Port_Type!$B$2:$B$227,MATCH(TRIM(C1642),Port_Type!$A$2:$A$227,0))</f>
        <v>Inland ICD / CFS</v>
      </c>
      <c r="E1642" s="3" t="s">
        <v>39</v>
      </c>
      <c r="F1642" s="3" t="str">
        <f>INDEX(Product_Category!$B$2:$B$45,MATCH(TRIM(E1642),Product_Category!$A$2:$A$45,0))</f>
        <v>Processed Foods</v>
      </c>
      <c r="G1642" s="4">
        <v>0.06</v>
      </c>
      <c r="H1642" s="4">
        <v>0.03</v>
      </c>
      <c r="I1642" s="4">
        <v>0.01</v>
      </c>
      <c r="J1642" s="4">
        <v>6.68</v>
      </c>
      <c r="K1642" s="4">
        <v>3.79</v>
      </c>
      <c r="L1642" s="4">
        <v>2.8</v>
      </c>
      <c r="M1642" s="4">
        <f t="shared" si="75"/>
        <v>-0.03</v>
      </c>
      <c r="N1642" s="4">
        <f t="shared" si="76"/>
        <v>-2.8899999999999997</v>
      </c>
      <c r="O1642" s="4">
        <f t="shared" si="77"/>
        <v>-1.9999999999999997E-2</v>
      </c>
      <c r="P1642" s="3" t="s">
        <v>19</v>
      </c>
    </row>
    <row r="1643" spans="1:16" x14ac:dyDescent="0.35">
      <c r="A1643" s="3" t="s">
        <v>74</v>
      </c>
      <c r="B1643" s="3" t="str">
        <f>INDEX(State_Region!$B$2:$B$26,MATCH(TRIM(A1643),State_Region!$A$2:$A$26,0))</f>
        <v>South</v>
      </c>
      <c r="C1643" s="3" t="s">
        <v>75</v>
      </c>
      <c r="D1643" s="3" t="str">
        <f>INDEX(Port_Type!$B$2:$B$227,MATCH(TRIM(C1643),Port_Type!$A$2:$A$227,0))</f>
        <v>Inland ICD / CFS</v>
      </c>
      <c r="E1643" s="3" t="s">
        <v>18</v>
      </c>
      <c r="F1643" s="3" t="str">
        <f>INDEX(Product_Category!$B$2:$B$45,MATCH(TRIM(E1643),Product_Category!$A$2:$A$45,0))</f>
        <v>Cereals &amp; Grains</v>
      </c>
      <c r="G1643" s="4">
        <v>0.42</v>
      </c>
      <c r="H1643" s="4">
        <v>0.1</v>
      </c>
      <c r="I1643" s="4">
        <v>0.01</v>
      </c>
      <c r="J1643" s="4">
        <v>170.94</v>
      </c>
      <c r="K1643" s="4">
        <v>81.53</v>
      </c>
      <c r="L1643" s="4">
        <v>3.79</v>
      </c>
      <c r="M1643" s="4">
        <f t="shared" si="75"/>
        <v>-0.31999999999999995</v>
      </c>
      <c r="N1643" s="4">
        <f t="shared" si="76"/>
        <v>-89.41</v>
      </c>
      <c r="O1643" s="4">
        <f t="shared" si="77"/>
        <v>-9.0000000000000011E-2</v>
      </c>
      <c r="P1643" s="3" t="s">
        <v>19</v>
      </c>
    </row>
    <row r="1644" spans="1:16" x14ac:dyDescent="0.35">
      <c r="A1644" s="3" t="s">
        <v>25</v>
      </c>
      <c r="B1644" s="3" t="str">
        <f>INDEX(State_Region!$B$2:$B$26,MATCH(TRIM(A1644),State_Region!$A$2:$A$26,0))</f>
        <v>South</v>
      </c>
      <c r="C1644" s="3" t="s">
        <v>254</v>
      </c>
      <c r="D1644" s="3" t="str">
        <f>INDEX(Port_Type!$B$2:$B$227,MATCH(TRIM(C1644),Port_Type!$A$2:$A$227,0))</f>
        <v>Inland ICD / CFS</v>
      </c>
      <c r="E1644" s="3" t="s">
        <v>33</v>
      </c>
      <c r="F1644" s="3" t="str">
        <f>INDEX(Product_Category!$B$2:$B$45,MATCH(TRIM(E1644),Product_Category!$A$2:$A$45,0))</f>
        <v>Pulses</v>
      </c>
      <c r="G1644" s="4">
        <v>0.02</v>
      </c>
      <c r="H1644" s="4">
        <v>0.01</v>
      </c>
      <c r="I1644" s="4">
        <v>0.01</v>
      </c>
      <c r="J1644" s="4">
        <v>17.88</v>
      </c>
      <c r="K1644" s="4">
        <v>10.88</v>
      </c>
      <c r="L1644" s="4">
        <v>6</v>
      </c>
      <c r="M1644" s="4">
        <f t="shared" si="75"/>
        <v>-0.01</v>
      </c>
      <c r="N1644" s="4">
        <f t="shared" si="76"/>
        <v>-6.9999999999999982</v>
      </c>
      <c r="O1644" s="4">
        <f t="shared" si="77"/>
        <v>0</v>
      </c>
      <c r="P1644" s="3" t="s">
        <v>19</v>
      </c>
    </row>
    <row r="1645" spans="1:16" x14ac:dyDescent="0.35">
      <c r="A1645" s="3" t="s">
        <v>66</v>
      </c>
      <c r="B1645" s="3" t="str">
        <f>INDEX(State_Region!$B$2:$B$26,MATCH(TRIM(A1645),State_Region!$A$2:$A$26,0))</f>
        <v>North</v>
      </c>
      <c r="C1645" s="3" t="s">
        <v>127</v>
      </c>
      <c r="D1645" s="3" t="str">
        <f>INDEX(Port_Type!$B$2:$B$227,MATCH(TRIM(C1645),Port_Type!$A$2:$A$227,0))</f>
        <v>Inland ICD / CFS</v>
      </c>
      <c r="E1645" s="3" t="s">
        <v>45</v>
      </c>
      <c r="F1645" s="3" t="str">
        <f>INDEX(Product_Category!$B$2:$B$45,MATCH(TRIM(E1645),Product_Category!$A$2:$A$45,0))</f>
        <v>Fresh Fruits &amp; Vegetables</v>
      </c>
      <c r="G1645" s="4">
        <v>0</v>
      </c>
      <c r="H1645" s="4">
        <v>0.01</v>
      </c>
      <c r="I1645" s="4">
        <v>0.01</v>
      </c>
      <c r="J1645" s="4">
        <v>1.19</v>
      </c>
      <c r="K1645" s="4">
        <v>3.84</v>
      </c>
      <c r="L1645" s="4">
        <v>0.76</v>
      </c>
      <c r="M1645" s="4">
        <f t="shared" si="75"/>
        <v>0.01</v>
      </c>
      <c r="N1645" s="4">
        <f t="shared" si="76"/>
        <v>2.65</v>
      </c>
      <c r="O1645" s="4">
        <f t="shared" si="77"/>
        <v>0</v>
      </c>
      <c r="P1645" s="3" t="s">
        <v>19</v>
      </c>
    </row>
    <row r="1646" spans="1:16" x14ac:dyDescent="0.35">
      <c r="A1646" s="3" t="s">
        <v>40</v>
      </c>
      <c r="B1646" s="3" t="str">
        <f>INDEX(State_Region!$B$2:$B$26,MATCH(TRIM(A1646),State_Region!$A$2:$A$26,0))</f>
        <v>South</v>
      </c>
      <c r="C1646" s="3" t="s">
        <v>164</v>
      </c>
      <c r="D1646" s="3" t="str">
        <f>INDEX(Port_Type!$B$2:$B$227,MATCH(TRIM(C1646),Port_Type!$A$2:$A$227,0))</f>
        <v>Air Cargo</v>
      </c>
      <c r="E1646" s="3" t="s">
        <v>55</v>
      </c>
      <c r="F1646" s="3" t="str">
        <f>INDEX(Product_Category!$B$2:$B$45,MATCH(TRIM(E1646),Product_Category!$A$2:$A$45,0))</f>
        <v>Fresh Fruits &amp; Vegetables</v>
      </c>
      <c r="G1646" s="4">
        <v>0.01</v>
      </c>
      <c r="H1646" s="4">
        <v>0.04</v>
      </c>
      <c r="I1646" s="4">
        <v>0.01</v>
      </c>
      <c r="J1646" s="4">
        <v>9.9499999999999993</v>
      </c>
      <c r="K1646" s="4">
        <v>34.409999999999997</v>
      </c>
      <c r="L1646" s="4">
        <v>3.56</v>
      </c>
      <c r="M1646" s="4">
        <f t="shared" si="75"/>
        <v>0.03</v>
      </c>
      <c r="N1646" s="4">
        <f t="shared" si="76"/>
        <v>24.459999999999997</v>
      </c>
      <c r="O1646" s="4">
        <f t="shared" si="77"/>
        <v>-0.03</v>
      </c>
      <c r="P1646" s="3" t="s">
        <v>19</v>
      </c>
    </row>
    <row r="1647" spans="1:16" x14ac:dyDescent="0.35">
      <c r="A1647" s="3" t="s">
        <v>35</v>
      </c>
      <c r="B1647" s="3" t="str">
        <f>INDEX(State_Region!$B$2:$B$26,MATCH(TRIM(A1647),State_Region!$A$2:$A$26,0))</f>
        <v>North</v>
      </c>
      <c r="C1647" s="3" t="s">
        <v>201</v>
      </c>
      <c r="D1647" s="3" t="str">
        <f>INDEX(Port_Type!$B$2:$B$227,MATCH(TRIM(C1647),Port_Type!$A$2:$A$227,0))</f>
        <v>Inland ICD / CFS</v>
      </c>
      <c r="E1647" s="3" t="s">
        <v>81</v>
      </c>
      <c r="F1647" s="3" t="str">
        <f>INDEX(Product_Category!$B$2:$B$45,MATCH(TRIM(E1647),Product_Category!$A$2:$A$45,0))</f>
        <v>Processed Foods</v>
      </c>
      <c r="G1647" s="4">
        <v>0</v>
      </c>
      <c r="H1647" s="4">
        <v>0.01</v>
      </c>
      <c r="I1647" s="4">
        <v>0.01</v>
      </c>
      <c r="J1647" s="4">
        <v>0</v>
      </c>
      <c r="K1647" s="4">
        <v>3.29</v>
      </c>
      <c r="L1647" s="4">
        <v>1.79</v>
      </c>
      <c r="M1647" s="4">
        <f t="shared" si="75"/>
        <v>0.01</v>
      </c>
      <c r="N1647" s="4">
        <f t="shared" si="76"/>
        <v>3.29</v>
      </c>
      <c r="O1647" s="4">
        <f t="shared" si="77"/>
        <v>0</v>
      </c>
      <c r="P1647" s="3" t="s">
        <v>19</v>
      </c>
    </row>
    <row r="1648" spans="1:16" x14ac:dyDescent="0.35">
      <c r="A1648" s="3" t="s">
        <v>86</v>
      </c>
      <c r="B1648" s="3" t="str">
        <f>INDEX(State_Region!$B$2:$B$26,MATCH(TRIM(A1648),State_Region!$A$2:$A$26,0))</f>
        <v>North</v>
      </c>
      <c r="C1648" s="3" t="s">
        <v>106</v>
      </c>
      <c r="D1648" s="3" t="str">
        <f>INDEX(Port_Type!$B$2:$B$227,MATCH(TRIM(C1648),Port_Type!$A$2:$A$227,0))</f>
        <v>Inland ICD / CFS</v>
      </c>
      <c r="E1648" s="3" t="s">
        <v>151</v>
      </c>
      <c r="F1648" s="3" t="str">
        <f>INDEX(Product_Category!$B$2:$B$45,MATCH(TRIM(E1648),Product_Category!$A$2:$A$45,0))</f>
        <v>Processed Foods</v>
      </c>
      <c r="G1648" s="4">
        <v>0.03</v>
      </c>
      <c r="H1648" s="4">
        <v>0.02</v>
      </c>
      <c r="I1648" s="4">
        <v>0.01</v>
      </c>
      <c r="J1648" s="4">
        <v>10.9</v>
      </c>
      <c r="K1648" s="4">
        <v>8.43</v>
      </c>
      <c r="L1648" s="4">
        <v>3.31</v>
      </c>
      <c r="M1648" s="4">
        <f t="shared" si="75"/>
        <v>-9.9999999999999985E-3</v>
      </c>
      <c r="N1648" s="4">
        <f t="shared" si="76"/>
        <v>-2.4700000000000006</v>
      </c>
      <c r="O1648" s="4">
        <f t="shared" si="77"/>
        <v>-0.01</v>
      </c>
      <c r="P1648" s="3" t="s">
        <v>19</v>
      </c>
    </row>
    <row r="1649" spans="1:16" x14ac:dyDescent="0.35">
      <c r="A1649" s="3" t="s">
        <v>66</v>
      </c>
      <c r="B1649" s="3" t="str">
        <f>INDEX(State_Region!$B$2:$B$26,MATCH(TRIM(A1649),State_Region!$A$2:$A$26,0))</f>
        <v>North</v>
      </c>
      <c r="C1649" s="3" t="s">
        <v>100</v>
      </c>
      <c r="D1649" s="3" t="str">
        <f>INDEX(Port_Type!$B$2:$B$227,MATCH(TRIM(C1649),Port_Type!$A$2:$A$227,0))</f>
        <v>Inland ICD / CFS</v>
      </c>
      <c r="E1649" s="3" t="s">
        <v>65</v>
      </c>
      <c r="F1649" s="3" t="str">
        <f>INDEX(Product_Category!$B$2:$B$45,MATCH(TRIM(E1649),Product_Category!$A$2:$A$45,0))</f>
        <v>Cereals &amp; Grains</v>
      </c>
      <c r="G1649" s="4">
        <v>0</v>
      </c>
      <c r="H1649" s="4">
        <v>0</v>
      </c>
      <c r="I1649" s="4">
        <v>0.01</v>
      </c>
      <c r="J1649" s="4">
        <v>0</v>
      </c>
      <c r="K1649" s="4">
        <v>0</v>
      </c>
      <c r="L1649" s="4">
        <v>6</v>
      </c>
      <c r="M1649" s="4">
        <f t="shared" si="75"/>
        <v>0</v>
      </c>
      <c r="N1649" s="4">
        <f t="shared" si="76"/>
        <v>0</v>
      </c>
      <c r="O1649" s="4">
        <f t="shared" si="77"/>
        <v>0.01</v>
      </c>
      <c r="P1649" s="3" t="s">
        <v>19</v>
      </c>
    </row>
    <row r="1650" spans="1:16" x14ac:dyDescent="0.35">
      <c r="A1650" s="3" t="s">
        <v>77</v>
      </c>
      <c r="B1650" s="3" t="str">
        <f>INDEX(State_Region!$B$2:$B$26,MATCH(TRIM(A1650),State_Region!$A$2:$A$26,0))</f>
        <v>South</v>
      </c>
      <c r="C1650" s="3" t="s">
        <v>216</v>
      </c>
      <c r="D1650" s="3" t="str">
        <f>INDEX(Port_Type!$B$2:$B$227,MATCH(TRIM(C1650),Port_Type!$A$2:$A$227,0))</f>
        <v>Air Cargo</v>
      </c>
      <c r="E1650" s="3" t="s">
        <v>42</v>
      </c>
      <c r="F1650" s="3" t="str">
        <f>INDEX(Product_Category!$B$2:$B$45,MATCH(TRIM(E1650),Product_Category!$A$2:$A$45,0))</f>
        <v>Processed Foods</v>
      </c>
      <c r="G1650" s="4">
        <v>0</v>
      </c>
      <c r="H1650" s="4">
        <v>0</v>
      </c>
      <c r="I1650" s="4">
        <v>0.01</v>
      </c>
      <c r="J1650" s="4">
        <v>1.3</v>
      </c>
      <c r="K1650" s="4">
        <v>0.17</v>
      </c>
      <c r="L1650" s="4">
        <v>1.68</v>
      </c>
      <c r="M1650" s="4">
        <f t="shared" si="75"/>
        <v>0</v>
      </c>
      <c r="N1650" s="4">
        <f t="shared" si="76"/>
        <v>-1.1300000000000001</v>
      </c>
      <c r="O1650" s="4">
        <f t="shared" si="77"/>
        <v>0.01</v>
      </c>
      <c r="P1650" s="3" t="s">
        <v>19</v>
      </c>
    </row>
    <row r="1651" spans="1:16" x14ac:dyDescent="0.35">
      <c r="A1651" s="3" t="s">
        <v>49</v>
      </c>
      <c r="B1651" s="3" t="str">
        <f>INDEX(State_Region!$B$2:$B$26,MATCH(TRIM(A1651),State_Region!$A$2:$A$26,0))</f>
        <v>North</v>
      </c>
      <c r="C1651" s="3" t="s">
        <v>176</v>
      </c>
      <c r="D1651" s="3" t="str">
        <f>INDEX(Port_Type!$B$2:$B$227,MATCH(TRIM(C1651),Port_Type!$A$2:$A$227,0))</f>
        <v>Inland ICD / CFS</v>
      </c>
      <c r="E1651" s="3" t="s">
        <v>151</v>
      </c>
      <c r="F1651" s="3" t="str">
        <f>INDEX(Product_Category!$B$2:$B$45,MATCH(TRIM(E1651),Product_Category!$A$2:$A$45,0))</f>
        <v>Processed Foods</v>
      </c>
      <c r="G1651" s="4">
        <v>0</v>
      </c>
      <c r="H1651" s="4">
        <v>0</v>
      </c>
      <c r="I1651" s="4">
        <v>0.01</v>
      </c>
      <c r="J1651" s="4">
        <v>0</v>
      </c>
      <c r="K1651" s="4">
        <v>0.51</v>
      </c>
      <c r="L1651" s="4">
        <v>3.26</v>
      </c>
      <c r="M1651" s="4">
        <f t="shared" si="75"/>
        <v>0</v>
      </c>
      <c r="N1651" s="4">
        <f t="shared" si="76"/>
        <v>0.51</v>
      </c>
      <c r="O1651" s="4">
        <f t="shared" si="77"/>
        <v>0.01</v>
      </c>
      <c r="P1651" s="3" t="s">
        <v>19</v>
      </c>
    </row>
    <row r="1652" spans="1:16" x14ac:dyDescent="0.35">
      <c r="A1652" s="3" t="s">
        <v>86</v>
      </c>
      <c r="B1652" s="3" t="str">
        <f>INDEX(State_Region!$B$2:$B$26,MATCH(TRIM(A1652),State_Region!$A$2:$A$26,0))</f>
        <v>North</v>
      </c>
      <c r="C1652" s="3" t="s">
        <v>207</v>
      </c>
      <c r="D1652" s="3" t="str">
        <f>INDEX(Port_Type!$B$2:$B$227,MATCH(TRIM(C1652),Port_Type!$A$2:$A$227,0))</f>
        <v>Inland ICD / CFS</v>
      </c>
      <c r="E1652" s="3" t="s">
        <v>59</v>
      </c>
      <c r="F1652" s="3" t="str">
        <f>INDEX(Product_Category!$B$2:$B$45,MATCH(TRIM(E1652),Product_Category!$A$2:$A$45,0))</f>
        <v>Processed Foods</v>
      </c>
      <c r="G1652" s="4">
        <v>0.06</v>
      </c>
      <c r="H1652" s="4">
        <v>0.04</v>
      </c>
      <c r="I1652" s="4">
        <v>0.01</v>
      </c>
      <c r="J1652" s="4">
        <v>3.65</v>
      </c>
      <c r="K1652" s="4">
        <v>5.22</v>
      </c>
      <c r="L1652" s="4">
        <v>1.03</v>
      </c>
      <c r="M1652" s="4">
        <f t="shared" si="75"/>
        <v>-1.9999999999999997E-2</v>
      </c>
      <c r="N1652" s="4">
        <f t="shared" si="76"/>
        <v>1.5699999999999998</v>
      </c>
      <c r="O1652" s="4">
        <f t="shared" si="77"/>
        <v>-0.03</v>
      </c>
      <c r="P1652" s="3" t="s">
        <v>19</v>
      </c>
    </row>
    <row r="1653" spans="1:16" x14ac:dyDescent="0.35">
      <c r="A1653" s="3" t="s">
        <v>66</v>
      </c>
      <c r="B1653" s="3" t="str">
        <f>INDEX(State_Region!$B$2:$B$26,MATCH(TRIM(A1653),State_Region!$A$2:$A$26,0))</f>
        <v>North</v>
      </c>
      <c r="C1653" s="3" t="s">
        <v>208</v>
      </c>
      <c r="D1653" s="3" t="str">
        <f>INDEX(Port_Type!$B$2:$B$227,MATCH(TRIM(C1653),Port_Type!$A$2:$A$227,0))</f>
        <v>Inland ICD / CFS</v>
      </c>
      <c r="E1653" s="3" t="s">
        <v>42</v>
      </c>
      <c r="F1653" s="3" t="str">
        <f>INDEX(Product_Category!$B$2:$B$45,MATCH(TRIM(E1653),Product_Category!$A$2:$A$45,0))</f>
        <v>Processed Foods</v>
      </c>
      <c r="G1653" s="4">
        <v>0.11</v>
      </c>
      <c r="H1653" s="4">
        <v>0.1</v>
      </c>
      <c r="I1653" s="4">
        <v>0.01</v>
      </c>
      <c r="J1653" s="4">
        <v>82.13</v>
      </c>
      <c r="K1653" s="4">
        <v>74.94</v>
      </c>
      <c r="L1653" s="4">
        <v>2.02</v>
      </c>
      <c r="M1653" s="4">
        <f t="shared" si="75"/>
        <v>-9.999999999999995E-3</v>
      </c>
      <c r="N1653" s="4">
        <f t="shared" si="76"/>
        <v>-7.1899999999999977</v>
      </c>
      <c r="O1653" s="4">
        <f t="shared" si="77"/>
        <v>-9.0000000000000011E-2</v>
      </c>
      <c r="P1653" s="3" t="s">
        <v>19</v>
      </c>
    </row>
    <row r="1654" spans="1:16" x14ac:dyDescent="0.35">
      <c r="A1654" s="3" t="s">
        <v>66</v>
      </c>
      <c r="B1654" s="3" t="str">
        <f>INDEX(State_Region!$B$2:$B$26,MATCH(TRIM(A1654),State_Region!$A$2:$A$26,0))</f>
        <v>North</v>
      </c>
      <c r="C1654" s="3" t="s">
        <v>73</v>
      </c>
      <c r="D1654" s="3" t="str">
        <f>INDEX(Port_Type!$B$2:$B$227,MATCH(TRIM(C1654),Port_Type!$A$2:$A$227,0))</f>
        <v>Inland ICD / CFS</v>
      </c>
      <c r="E1654" s="3" t="s">
        <v>59</v>
      </c>
      <c r="F1654" s="3" t="str">
        <f>INDEX(Product_Category!$B$2:$B$45,MATCH(TRIM(E1654),Product_Category!$A$2:$A$45,0))</f>
        <v>Processed Foods</v>
      </c>
      <c r="G1654" s="4">
        <v>0.01</v>
      </c>
      <c r="H1654" s="4">
        <v>0.02</v>
      </c>
      <c r="I1654" s="4">
        <v>0.01</v>
      </c>
      <c r="J1654" s="4">
        <v>0.85</v>
      </c>
      <c r="K1654" s="4">
        <v>3.94</v>
      </c>
      <c r="L1654" s="4">
        <v>0.22</v>
      </c>
      <c r="M1654" s="4">
        <f t="shared" si="75"/>
        <v>0.01</v>
      </c>
      <c r="N1654" s="4">
        <f t="shared" si="76"/>
        <v>3.09</v>
      </c>
      <c r="O1654" s="4">
        <f t="shared" si="77"/>
        <v>-0.01</v>
      </c>
      <c r="P1654" s="3" t="s">
        <v>19</v>
      </c>
    </row>
    <row r="1655" spans="1:16" x14ac:dyDescent="0.35">
      <c r="A1655" s="3" t="s">
        <v>40</v>
      </c>
      <c r="B1655" s="3" t="str">
        <f>INDEX(State_Region!$B$2:$B$26,MATCH(TRIM(A1655),State_Region!$A$2:$A$26,0))</f>
        <v>South</v>
      </c>
      <c r="C1655" s="3" t="s">
        <v>194</v>
      </c>
      <c r="D1655" s="3" t="str">
        <f>INDEX(Port_Type!$B$2:$B$227,MATCH(TRIM(C1655),Port_Type!$A$2:$A$227,0))</f>
        <v>Air Cargo</v>
      </c>
      <c r="E1655" s="3" t="s">
        <v>170</v>
      </c>
      <c r="F1655" s="3" t="str">
        <f>INDEX(Product_Category!$B$2:$B$45,MATCH(TRIM(E1655),Product_Category!$A$2:$A$45,0))</f>
        <v>Others</v>
      </c>
      <c r="G1655" s="4">
        <v>0</v>
      </c>
      <c r="H1655" s="4">
        <v>0.01</v>
      </c>
      <c r="I1655" s="4">
        <v>0.01</v>
      </c>
      <c r="J1655" s="4">
        <v>0.27</v>
      </c>
      <c r="K1655" s="4">
        <v>3.85</v>
      </c>
      <c r="L1655" s="4">
        <v>2.1800000000000002</v>
      </c>
      <c r="M1655" s="4">
        <f t="shared" si="75"/>
        <v>0.01</v>
      </c>
      <c r="N1655" s="4">
        <f t="shared" si="76"/>
        <v>3.58</v>
      </c>
      <c r="O1655" s="4">
        <f t="shared" si="77"/>
        <v>0</v>
      </c>
      <c r="P1655" s="3" t="s">
        <v>19</v>
      </c>
    </row>
    <row r="1656" spans="1:16" x14ac:dyDescent="0.35">
      <c r="A1656" s="3" t="s">
        <v>35</v>
      </c>
      <c r="B1656" s="3" t="str">
        <f>INDEX(State_Region!$B$2:$B$26,MATCH(TRIM(A1656),State_Region!$A$2:$A$26,0))</f>
        <v>North</v>
      </c>
      <c r="C1656" s="3" t="s">
        <v>36</v>
      </c>
      <c r="D1656" s="3" t="str">
        <f>INDEX(Port_Type!$B$2:$B$227,MATCH(TRIM(C1656),Port_Type!$A$2:$A$227,0))</f>
        <v>Inland ICD / CFS</v>
      </c>
      <c r="E1656" s="3" t="s">
        <v>181</v>
      </c>
      <c r="F1656" s="3" t="str">
        <f>INDEX(Product_Category!$B$2:$B$45,MATCH(TRIM(E1656),Product_Category!$A$2:$A$45,0))</f>
        <v>Nuts &amp; Oilseeds</v>
      </c>
      <c r="G1656" s="4">
        <v>0</v>
      </c>
      <c r="H1656" s="4">
        <v>0</v>
      </c>
      <c r="I1656" s="4">
        <v>0.01</v>
      </c>
      <c r="J1656" s="4">
        <v>0</v>
      </c>
      <c r="K1656" s="4">
        <v>0.02</v>
      </c>
      <c r="L1656" s="4">
        <v>0.2</v>
      </c>
      <c r="M1656" s="4">
        <f t="shared" si="75"/>
        <v>0</v>
      </c>
      <c r="N1656" s="4">
        <f t="shared" si="76"/>
        <v>0.02</v>
      </c>
      <c r="O1656" s="4">
        <f t="shared" si="77"/>
        <v>0.01</v>
      </c>
      <c r="P1656" s="3" t="s">
        <v>19</v>
      </c>
    </row>
    <row r="1657" spans="1:16" x14ac:dyDescent="0.35">
      <c r="A1657" s="3" t="s">
        <v>77</v>
      </c>
      <c r="B1657" s="3" t="str">
        <f>INDEX(State_Region!$B$2:$B$26,MATCH(TRIM(A1657),State_Region!$A$2:$A$26,0))</f>
        <v>South</v>
      </c>
      <c r="C1657" s="3" t="s">
        <v>168</v>
      </c>
      <c r="D1657" s="3" t="str">
        <f>INDEX(Port_Type!$B$2:$B$227,MATCH(TRIM(C1657),Port_Type!$A$2:$A$227,0))</f>
        <v>Air Cargo</v>
      </c>
      <c r="E1657" s="3" t="s">
        <v>76</v>
      </c>
      <c r="F1657" s="3" t="str">
        <f>INDEX(Product_Category!$B$2:$B$45,MATCH(TRIM(E1657),Product_Category!$A$2:$A$45,0))</f>
        <v>Fresh Fruits &amp; Vegetables</v>
      </c>
      <c r="G1657" s="4">
        <v>0.03</v>
      </c>
      <c r="H1657" s="4">
        <v>0.09</v>
      </c>
      <c r="I1657" s="4">
        <v>0.01</v>
      </c>
      <c r="J1657" s="4">
        <v>16.350000000000001</v>
      </c>
      <c r="K1657" s="4">
        <v>67.34</v>
      </c>
      <c r="L1657" s="4">
        <v>3.61</v>
      </c>
      <c r="M1657" s="4">
        <f t="shared" si="75"/>
        <v>0.06</v>
      </c>
      <c r="N1657" s="4">
        <f t="shared" si="76"/>
        <v>50.99</v>
      </c>
      <c r="O1657" s="4">
        <f t="shared" si="77"/>
        <v>-0.08</v>
      </c>
      <c r="P1657" s="3" t="s">
        <v>19</v>
      </c>
    </row>
    <row r="1658" spans="1:16" x14ac:dyDescent="0.35">
      <c r="A1658" s="3" t="s">
        <v>40</v>
      </c>
      <c r="B1658" s="3" t="str">
        <f>INDEX(State_Region!$B$2:$B$26,MATCH(TRIM(A1658),State_Region!$A$2:$A$26,0))</f>
        <v>South</v>
      </c>
      <c r="C1658" s="3" t="s">
        <v>183</v>
      </c>
      <c r="D1658" s="3" t="str">
        <f>INDEX(Port_Type!$B$2:$B$227,MATCH(TRIM(C1658),Port_Type!$A$2:$A$227,0))</f>
        <v>Inland ICD / CFS</v>
      </c>
      <c r="E1658" s="3" t="s">
        <v>65</v>
      </c>
      <c r="F1658" s="3" t="str">
        <f>INDEX(Product_Category!$B$2:$B$45,MATCH(TRIM(E1658),Product_Category!$A$2:$A$45,0))</f>
        <v>Cereals &amp; Grains</v>
      </c>
      <c r="G1658" s="4">
        <v>0.01</v>
      </c>
      <c r="H1658" s="4">
        <v>0.03</v>
      </c>
      <c r="I1658" s="4">
        <v>0.01</v>
      </c>
      <c r="J1658" s="4">
        <v>5.86</v>
      </c>
      <c r="K1658" s="4">
        <v>25.73</v>
      </c>
      <c r="L1658" s="4">
        <v>4.67</v>
      </c>
      <c r="M1658" s="4">
        <f t="shared" si="75"/>
        <v>1.9999999999999997E-2</v>
      </c>
      <c r="N1658" s="4">
        <f t="shared" si="76"/>
        <v>19.87</v>
      </c>
      <c r="O1658" s="4">
        <f t="shared" si="77"/>
        <v>-1.9999999999999997E-2</v>
      </c>
      <c r="P1658" s="3" t="s">
        <v>19</v>
      </c>
    </row>
    <row r="1659" spans="1:16" x14ac:dyDescent="0.35">
      <c r="A1659" s="3" t="s">
        <v>23</v>
      </c>
      <c r="B1659" s="3" t="str">
        <f>INDEX(State_Region!$B$2:$B$26,MATCH(TRIM(A1659),State_Region!$A$2:$A$26,0))</f>
        <v>North</v>
      </c>
      <c r="C1659" s="3" t="s">
        <v>123</v>
      </c>
      <c r="D1659" s="3" t="str">
        <f>INDEX(Port_Type!$B$2:$B$227,MATCH(TRIM(C1659),Port_Type!$A$2:$A$227,0))</f>
        <v>Land Border / Rail</v>
      </c>
      <c r="E1659" s="3" t="s">
        <v>46</v>
      </c>
      <c r="F1659" s="3" t="str">
        <f>INDEX(Product_Category!$B$2:$B$45,MATCH(TRIM(E1659),Product_Category!$A$2:$A$45,0))</f>
        <v>Others</v>
      </c>
      <c r="G1659" s="4">
        <v>0.01</v>
      </c>
      <c r="H1659" s="4">
        <v>0.02</v>
      </c>
      <c r="I1659" s="4">
        <v>0.01</v>
      </c>
      <c r="J1659" s="4">
        <v>1.88</v>
      </c>
      <c r="K1659" s="4">
        <v>13.38</v>
      </c>
      <c r="L1659" s="4">
        <v>4.55</v>
      </c>
      <c r="M1659" s="4">
        <f t="shared" si="75"/>
        <v>0.01</v>
      </c>
      <c r="N1659" s="4">
        <f t="shared" si="76"/>
        <v>11.5</v>
      </c>
      <c r="O1659" s="4">
        <f t="shared" si="77"/>
        <v>-0.01</v>
      </c>
      <c r="P1659" s="3" t="s">
        <v>19</v>
      </c>
    </row>
    <row r="1660" spans="1:16" x14ac:dyDescent="0.35">
      <c r="A1660" s="3" t="s">
        <v>23</v>
      </c>
      <c r="B1660" s="3" t="str">
        <f>INDEX(State_Region!$B$2:$B$26,MATCH(TRIM(A1660),State_Region!$A$2:$A$26,0))</f>
        <v>North</v>
      </c>
      <c r="C1660" s="3" t="s">
        <v>30</v>
      </c>
      <c r="D1660" s="3" t="str">
        <f>INDEX(Port_Type!$B$2:$B$227,MATCH(TRIM(C1660),Port_Type!$A$2:$A$227,0))</f>
        <v>Inland ICD / CFS</v>
      </c>
      <c r="E1660" s="3" t="s">
        <v>45</v>
      </c>
      <c r="F1660" s="3" t="str">
        <f>INDEX(Product_Category!$B$2:$B$45,MATCH(TRIM(E1660),Product_Category!$A$2:$A$45,0))</f>
        <v>Fresh Fruits &amp; Vegetables</v>
      </c>
      <c r="G1660" s="4">
        <v>0.01</v>
      </c>
      <c r="H1660" s="4">
        <v>0.01</v>
      </c>
      <c r="I1660" s="4">
        <v>0.01</v>
      </c>
      <c r="J1660" s="4">
        <v>0.79</v>
      </c>
      <c r="K1660" s="4">
        <v>0.86</v>
      </c>
      <c r="L1660" s="4">
        <v>0.15</v>
      </c>
      <c r="M1660" s="4">
        <f t="shared" si="75"/>
        <v>0</v>
      </c>
      <c r="N1660" s="4">
        <f t="shared" si="76"/>
        <v>6.9999999999999951E-2</v>
      </c>
      <c r="O1660" s="4">
        <f t="shared" si="77"/>
        <v>0</v>
      </c>
      <c r="P1660" s="3" t="s">
        <v>19</v>
      </c>
    </row>
    <row r="1661" spans="1:16" x14ac:dyDescent="0.35">
      <c r="A1661" s="3" t="s">
        <v>94</v>
      </c>
      <c r="B1661" s="3" t="str">
        <f>INDEX(State_Region!$B$2:$B$26,MATCH(TRIM(A1661),State_Region!$A$2:$A$26,0))</f>
        <v>East</v>
      </c>
      <c r="C1661" s="3" t="s">
        <v>112</v>
      </c>
      <c r="D1661" s="3" t="str">
        <f>INDEX(Port_Type!$B$2:$B$227,MATCH(TRIM(C1661),Port_Type!$A$2:$A$227,0))</f>
        <v>Land Border / Rail</v>
      </c>
      <c r="E1661" s="3" t="s">
        <v>122</v>
      </c>
      <c r="F1661" s="3" t="str">
        <f>INDEX(Product_Category!$B$2:$B$45,MATCH(TRIM(E1661),Product_Category!$A$2:$A$45,0))</f>
        <v>Others</v>
      </c>
      <c r="G1661" s="4">
        <v>0.04</v>
      </c>
      <c r="H1661" s="4">
        <v>0</v>
      </c>
      <c r="I1661" s="4">
        <v>0.01</v>
      </c>
      <c r="J1661" s="4">
        <v>178.87</v>
      </c>
      <c r="K1661" s="4">
        <v>0</v>
      </c>
      <c r="L1661" s="4">
        <v>4.8</v>
      </c>
      <c r="M1661" s="4">
        <f t="shared" si="75"/>
        <v>-0.04</v>
      </c>
      <c r="N1661" s="4">
        <f t="shared" si="76"/>
        <v>-178.87</v>
      </c>
      <c r="O1661" s="4">
        <f t="shared" si="77"/>
        <v>0.01</v>
      </c>
      <c r="P1661" s="3" t="s">
        <v>19</v>
      </c>
    </row>
    <row r="1662" spans="1:16" x14ac:dyDescent="0.35">
      <c r="A1662" s="3" t="s">
        <v>16</v>
      </c>
      <c r="B1662" s="3" t="str">
        <f>INDEX(State_Region!$B$2:$B$26,MATCH(TRIM(A1662),State_Region!$A$2:$A$26,0))</f>
        <v>West</v>
      </c>
      <c r="C1662" s="3" t="s">
        <v>109</v>
      </c>
      <c r="D1662" s="3" t="str">
        <f>INDEX(Port_Type!$B$2:$B$227,MATCH(TRIM(C1662),Port_Type!$A$2:$A$227,0))</f>
        <v>SEZ / EPZ</v>
      </c>
      <c r="E1662" s="3" t="s">
        <v>116</v>
      </c>
      <c r="F1662" s="3" t="str">
        <f>INDEX(Product_Category!$B$2:$B$45,MATCH(TRIM(E1662),Product_Category!$A$2:$A$45,0))</f>
        <v>Others</v>
      </c>
      <c r="G1662" s="4">
        <v>0.06</v>
      </c>
      <c r="H1662" s="4">
        <v>0.03</v>
      </c>
      <c r="I1662" s="4">
        <v>0.01</v>
      </c>
      <c r="J1662" s="4">
        <v>152</v>
      </c>
      <c r="K1662" s="4">
        <v>95</v>
      </c>
      <c r="L1662" s="4">
        <v>19</v>
      </c>
      <c r="M1662" s="4">
        <f t="shared" si="75"/>
        <v>-0.03</v>
      </c>
      <c r="N1662" s="4">
        <f t="shared" si="76"/>
        <v>-57</v>
      </c>
      <c r="O1662" s="4">
        <f t="shared" si="77"/>
        <v>-1.9999999999999997E-2</v>
      </c>
      <c r="P1662" s="3" t="s">
        <v>19</v>
      </c>
    </row>
    <row r="1663" spans="1:16" x14ac:dyDescent="0.35">
      <c r="A1663" s="3" t="s">
        <v>189</v>
      </c>
      <c r="B1663" s="3" t="str">
        <f>INDEX(State_Region!$B$2:$B$26,MATCH(TRIM(A1663),State_Region!$A$2:$A$26,0))</f>
        <v>North</v>
      </c>
      <c r="C1663" s="3" t="s">
        <v>227</v>
      </c>
      <c r="D1663" s="3" t="str">
        <f>INDEX(Port_Type!$B$2:$B$227,MATCH(TRIM(C1663),Port_Type!$A$2:$A$227,0))</f>
        <v>Land Border / Rail</v>
      </c>
      <c r="E1663" s="3" t="s">
        <v>48</v>
      </c>
      <c r="F1663" s="3" t="str">
        <f>INDEX(Product_Category!$B$2:$B$45,MATCH(TRIM(E1663),Product_Category!$A$2:$A$45,0))</f>
        <v>Processed Foods</v>
      </c>
      <c r="G1663" s="4">
        <v>0.01</v>
      </c>
      <c r="H1663" s="4">
        <v>0.01</v>
      </c>
      <c r="I1663" s="4">
        <v>0.01</v>
      </c>
      <c r="J1663" s="4">
        <v>2.94</v>
      </c>
      <c r="K1663" s="4">
        <v>4.21</v>
      </c>
      <c r="L1663" s="4">
        <v>1.62</v>
      </c>
      <c r="M1663" s="4">
        <f t="shared" si="75"/>
        <v>0</v>
      </c>
      <c r="N1663" s="4">
        <f t="shared" si="76"/>
        <v>1.27</v>
      </c>
      <c r="O1663" s="4">
        <f t="shared" si="77"/>
        <v>0</v>
      </c>
      <c r="P1663" s="3" t="s">
        <v>19</v>
      </c>
    </row>
    <row r="1664" spans="1:16" x14ac:dyDescent="0.35">
      <c r="A1664" s="3" t="s">
        <v>16</v>
      </c>
      <c r="B1664" s="3" t="str">
        <f>INDEX(State_Region!$B$2:$B$26,MATCH(TRIM(A1664),State_Region!$A$2:$A$26,0))</f>
        <v>West</v>
      </c>
      <c r="C1664" s="3" t="s">
        <v>90</v>
      </c>
      <c r="D1664" s="3" t="str">
        <f>INDEX(Port_Type!$B$2:$B$227,MATCH(TRIM(C1664),Port_Type!$A$2:$A$227,0))</f>
        <v>Inland ICD / CFS</v>
      </c>
      <c r="E1664" s="3" t="s">
        <v>142</v>
      </c>
      <c r="F1664" s="3" t="str">
        <f>INDEX(Product_Category!$B$2:$B$45,MATCH(TRIM(E1664),Product_Category!$A$2:$A$45,0))</f>
        <v>Nuts &amp; Oilseeds</v>
      </c>
      <c r="G1664" s="4">
        <v>0</v>
      </c>
      <c r="H1664" s="4">
        <v>0</v>
      </c>
      <c r="I1664" s="4">
        <v>0.01</v>
      </c>
      <c r="J1664" s="4">
        <v>1.7</v>
      </c>
      <c r="K1664" s="4">
        <v>0</v>
      </c>
      <c r="L1664" s="4">
        <v>3.66</v>
      </c>
      <c r="M1664" s="4">
        <f t="shared" si="75"/>
        <v>0</v>
      </c>
      <c r="N1664" s="4">
        <f t="shared" si="76"/>
        <v>-1.7</v>
      </c>
      <c r="O1664" s="4">
        <f t="shared" si="77"/>
        <v>0.01</v>
      </c>
      <c r="P1664" s="3" t="s">
        <v>19</v>
      </c>
    </row>
    <row r="1665" spans="1:16" x14ac:dyDescent="0.35">
      <c r="A1665" s="3" t="s">
        <v>159</v>
      </c>
      <c r="B1665" s="3" t="str">
        <f>INDEX(State_Region!$B$2:$B$26,MATCH(TRIM(A1665),State_Region!$A$2:$A$26,0))</f>
        <v>North-East</v>
      </c>
      <c r="C1665" s="3" t="s">
        <v>186</v>
      </c>
      <c r="D1665" s="3" t="str">
        <f>INDEX(Port_Type!$B$2:$B$227,MATCH(TRIM(C1665),Port_Type!$A$2:$A$227,0))</f>
        <v>Land Border / Rail</v>
      </c>
      <c r="E1665" s="3" t="s">
        <v>76</v>
      </c>
      <c r="F1665" s="3" t="str">
        <f>INDEX(Product_Category!$B$2:$B$45,MATCH(TRIM(E1665),Product_Category!$A$2:$A$45,0))</f>
        <v>Fresh Fruits &amp; Vegetables</v>
      </c>
      <c r="G1665" s="4">
        <v>0</v>
      </c>
      <c r="H1665" s="4">
        <v>0</v>
      </c>
      <c r="I1665" s="4">
        <v>0</v>
      </c>
      <c r="J1665" s="4">
        <v>0</v>
      </c>
      <c r="K1665" s="4">
        <v>0</v>
      </c>
      <c r="L1665" s="4">
        <v>8.98</v>
      </c>
      <c r="M1665" s="4">
        <f t="shared" si="75"/>
        <v>0</v>
      </c>
      <c r="N1665" s="4">
        <f t="shared" si="76"/>
        <v>0</v>
      </c>
      <c r="O1665" s="4">
        <f t="shared" si="77"/>
        <v>0</v>
      </c>
      <c r="P1665" s="3" t="s">
        <v>19</v>
      </c>
    </row>
    <row r="1666" spans="1:16" x14ac:dyDescent="0.35">
      <c r="A1666" s="3" t="s">
        <v>49</v>
      </c>
      <c r="B1666" s="3" t="str">
        <f>INDEX(State_Region!$B$2:$B$26,MATCH(TRIM(A1666),State_Region!$A$2:$A$26,0))</f>
        <v>North</v>
      </c>
      <c r="C1666" s="3" t="s">
        <v>233</v>
      </c>
      <c r="D1666" s="3" t="str">
        <f>INDEX(Port_Type!$B$2:$B$227,MATCH(TRIM(C1666),Port_Type!$A$2:$A$227,0))</f>
        <v>Inland ICD / CFS</v>
      </c>
      <c r="E1666" s="3" t="s">
        <v>33</v>
      </c>
      <c r="F1666" s="3" t="str">
        <f>INDEX(Product_Category!$B$2:$B$45,MATCH(TRIM(E1666),Product_Category!$A$2:$A$45,0))</f>
        <v>Pulses</v>
      </c>
      <c r="G1666" s="4">
        <v>0.01</v>
      </c>
      <c r="H1666" s="4">
        <v>0</v>
      </c>
      <c r="I1666" s="4">
        <v>0</v>
      </c>
      <c r="J1666" s="4">
        <v>4.24</v>
      </c>
      <c r="K1666" s="4">
        <v>0</v>
      </c>
      <c r="L1666" s="4">
        <v>3.19</v>
      </c>
      <c r="M1666" s="4">
        <f t="shared" ref="M1666:M1729" si="78">H1666-G1666</f>
        <v>-0.01</v>
      </c>
      <c r="N1666" s="4">
        <f t="shared" ref="N1666:N1729" si="79">K1666-J1666</f>
        <v>-4.24</v>
      </c>
      <c r="O1666" s="4">
        <f t="shared" ref="O1666:O1729" si="80">I1666-H1666</f>
        <v>0</v>
      </c>
      <c r="P1666" s="3" t="s">
        <v>19</v>
      </c>
    </row>
    <row r="1667" spans="1:16" x14ac:dyDescent="0.35">
      <c r="A1667" s="3" t="s">
        <v>40</v>
      </c>
      <c r="B1667" s="3" t="str">
        <f>INDEX(State_Region!$B$2:$B$26,MATCH(TRIM(A1667),State_Region!$A$2:$A$26,0))</f>
        <v>South</v>
      </c>
      <c r="C1667" s="3" t="s">
        <v>41</v>
      </c>
      <c r="D1667" s="3" t="str">
        <f>INDEX(Port_Type!$B$2:$B$227,MATCH(TRIM(C1667),Port_Type!$A$2:$A$227,0))</f>
        <v>Sea Port</v>
      </c>
      <c r="E1667" s="3" t="s">
        <v>181</v>
      </c>
      <c r="F1667" s="3" t="str">
        <f>INDEX(Product_Category!$B$2:$B$45,MATCH(TRIM(E1667),Product_Category!$A$2:$A$45,0))</f>
        <v>Nuts &amp; Oilseeds</v>
      </c>
      <c r="G1667" s="4">
        <v>0.01</v>
      </c>
      <c r="H1667" s="4">
        <v>0.01</v>
      </c>
      <c r="I1667" s="4">
        <v>0</v>
      </c>
      <c r="J1667" s="4">
        <v>0.48</v>
      </c>
      <c r="K1667" s="4">
        <v>0.64</v>
      </c>
      <c r="L1667" s="4">
        <v>0.22</v>
      </c>
      <c r="M1667" s="4">
        <f t="shared" si="78"/>
        <v>0</v>
      </c>
      <c r="N1667" s="4">
        <f t="shared" si="79"/>
        <v>0.16000000000000003</v>
      </c>
      <c r="O1667" s="4">
        <f t="shared" si="80"/>
        <v>-0.01</v>
      </c>
      <c r="P1667" s="3" t="s">
        <v>19</v>
      </c>
    </row>
    <row r="1668" spans="1:16" x14ac:dyDescent="0.35">
      <c r="A1668" s="3" t="s">
        <v>35</v>
      </c>
      <c r="B1668" s="3" t="str">
        <f>INDEX(State_Region!$B$2:$B$26,MATCH(TRIM(A1668),State_Region!$A$2:$A$26,0))</f>
        <v>North</v>
      </c>
      <c r="C1668" s="3" t="s">
        <v>165</v>
      </c>
      <c r="D1668" s="3" t="str">
        <f>INDEX(Port_Type!$B$2:$B$227,MATCH(TRIM(C1668),Port_Type!$A$2:$A$227,0))</f>
        <v>Inland ICD / CFS</v>
      </c>
      <c r="E1668" s="3" t="s">
        <v>69</v>
      </c>
      <c r="F1668" s="3" t="str">
        <f>INDEX(Product_Category!$B$2:$B$45,MATCH(TRIM(E1668),Product_Category!$A$2:$A$45,0))</f>
        <v>Others</v>
      </c>
      <c r="G1668" s="4">
        <v>0</v>
      </c>
      <c r="H1668" s="4">
        <v>0.03</v>
      </c>
      <c r="I1668" s="4">
        <v>0</v>
      </c>
      <c r="J1668" s="4">
        <v>0</v>
      </c>
      <c r="K1668" s="4">
        <v>22.12</v>
      </c>
      <c r="L1668" s="4">
        <v>0.85</v>
      </c>
      <c r="M1668" s="4">
        <f t="shared" si="78"/>
        <v>0.03</v>
      </c>
      <c r="N1668" s="4">
        <f t="shared" si="79"/>
        <v>22.12</v>
      </c>
      <c r="O1668" s="4">
        <f t="shared" si="80"/>
        <v>-0.03</v>
      </c>
      <c r="P1668" s="3" t="s">
        <v>19</v>
      </c>
    </row>
    <row r="1669" spans="1:16" x14ac:dyDescent="0.35">
      <c r="A1669" s="3" t="s">
        <v>74</v>
      </c>
      <c r="B1669" s="3" t="str">
        <f>INDEX(State_Region!$B$2:$B$26,MATCH(TRIM(A1669),State_Region!$A$2:$A$26,0))</f>
        <v>South</v>
      </c>
      <c r="C1669" s="3" t="s">
        <v>137</v>
      </c>
      <c r="D1669" s="3" t="str">
        <f>INDEX(Port_Type!$B$2:$B$227,MATCH(TRIM(C1669),Port_Type!$A$2:$A$227,0))</f>
        <v>Air Cargo</v>
      </c>
      <c r="E1669" s="3" t="s">
        <v>53</v>
      </c>
      <c r="F1669" s="3" t="str">
        <f>INDEX(Product_Category!$B$2:$B$45,MATCH(TRIM(E1669),Product_Category!$A$2:$A$45,0))</f>
        <v>Processed Foods</v>
      </c>
      <c r="G1669" s="4">
        <v>0.04</v>
      </c>
      <c r="H1669" s="4">
        <v>0.03</v>
      </c>
      <c r="I1669" s="4">
        <v>0</v>
      </c>
      <c r="J1669" s="4">
        <v>6.39</v>
      </c>
      <c r="K1669" s="4">
        <v>8.9499999999999993</v>
      </c>
      <c r="L1669" s="4">
        <v>1.42</v>
      </c>
      <c r="M1669" s="4">
        <f t="shared" si="78"/>
        <v>-1.0000000000000002E-2</v>
      </c>
      <c r="N1669" s="4">
        <f t="shared" si="79"/>
        <v>2.5599999999999996</v>
      </c>
      <c r="O1669" s="4">
        <f t="shared" si="80"/>
        <v>-0.03</v>
      </c>
      <c r="P1669" s="3" t="s">
        <v>19</v>
      </c>
    </row>
    <row r="1670" spans="1:16" x14ac:dyDescent="0.35">
      <c r="A1670" s="3" t="s">
        <v>49</v>
      </c>
      <c r="B1670" s="3" t="str">
        <f>INDEX(State_Region!$B$2:$B$26,MATCH(TRIM(A1670),State_Region!$A$2:$A$26,0))</f>
        <v>North</v>
      </c>
      <c r="C1670" s="3" t="s">
        <v>176</v>
      </c>
      <c r="D1670" s="3" t="str">
        <f>INDEX(Port_Type!$B$2:$B$227,MATCH(TRIM(C1670),Port_Type!$A$2:$A$227,0))</f>
        <v>Inland ICD / CFS</v>
      </c>
      <c r="E1670" s="3" t="s">
        <v>45</v>
      </c>
      <c r="F1670" s="3" t="str">
        <f>INDEX(Product_Category!$B$2:$B$45,MATCH(TRIM(E1670),Product_Category!$A$2:$A$45,0))</f>
        <v>Fresh Fruits &amp; Vegetables</v>
      </c>
      <c r="G1670" s="4">
        <v>0.02</v>
      </c>
      <c r="H1670" s="4">
        <v>0.01</v>
      </c>
      <c r="I1670" s="4">
        <v>0</v>
      </c>
      <c r="J1670" s="4">
        <v>1.81</v>
      </c>
      <c r="K1670" s="4">
        <v>1.0900000000000001</v>
      </c>
      <c r="L1670" s="4">
        <v>0.28000000000000003</v>
      </c>
      <c r="M1670" s="4">
        <f t="shared" si="78"/>
        <v>-0.01</v>
      </c>
      <c r="N1670" s="4">
        <f t="shared" si="79"/>
        <v>-0.72</v>
      </c>
      <c r="O1670" s="4">
        <f t="shared" si="80"/>
        <v>-0.01</v>
      </c>
      <c r="P1670" s="3" t="s">
        <v>19</v>
      </c>
    </row>
    <row r="1671" spans="1:16" x14ac:dyDescent="0.35">
      <c r="A1671" s="3" t="s">
        <v>23</v>
      </c>
      <c r="B1671" s="3" t="str">
        <f>INDEX(State_Region!$B$2:$B$26,MATCH(TRIM(A1671),State_Region!$A$2:$A$26,0))</f>
        <v>North</v>
      </c>
      <c r="C1671" s="3" t="s">
        <v>228</v>
      </c>
      <c r="D1671" s="3" t="str">
        <f>INDEX(Port_Type!$B$2:$B$227,MATCH(TRIM(C1671),Port_Type!$A$2:$A$227,0))</f>
        <v>SEZ / EPZ</v>
      </c>
      <c r="E1671" s="3" t="s">
        <v>72</v>
      </c>
      <c r="F1671" s="3" t="str">
        <f>INDEX(Product_Category!$B$2:$B$45,MATCH(TRIM(E1671),Product_Category!$A$2:$A$45,0))</f>
        <v>Dairy, Poultry &amp; Honey</v>
      </c>
      <c r="G1671" s="4">
        <v>0</v>
      </c>
      <c r="H1671" s="4">
        <v>0.01</v>
      </c>
      <c r="I1671" s="4">
        <v>0</v>
      </c>
      <c r="J1671" s="4">
        <v>0.1</v>
      </c>
      <c r="K1671" s="4">
        <v>0.21</v>
      </c>
      <c r="L1671" s="4">
        <v>0.1</v>
      </c>
      <c r="M1671" s="4">
        <f t="shared" si="78"/>
        <v>0.01</v>
      </c>
      <c r="N1671" s="4">
        <f t="shared" si="79"/>
        <v>0.10999999999999999</v>
      </c>
      <c r="O1671" s="4">
        <f t="shared" si="80"/>
        <v>-0.01</v>
      </c>
      <c r="P1671" s="3" t="s">
        <v>19</v>
      </c>
    </row>
    <row r="1672" spans="1:16" x14ac:dyDescent="0.35">
      <c r="A1672" s="3" t="s">
        <v>40</v>
      </c>
      <c r="B1672" s="3" t="str">
        <f>INDEX(State_Region!$B$2:$B$26,MATCH(TRIM(A1672),State_Region!$A$2:$A$26,0))</f>
        <v>South</v>
      </c>
      <c r="C1672" s="3" t="s">
        <v>107</v>
      </c>
      <c r="D1672" s="3" t="str">
        <f>INDEX(Port_Type!$B$2:$B$227,MATCH(TRIM(C1672),Port_Type!$A$2:$A$227,0))</f>
        <v>Sea Port</v>
      </c>
      <c r="E1672" s="3" t="s">
        <v>84</v>
      </c>
      <c r="F1672" s="3" t="str">
        <f>INDEX(Product_Category!$B$2:$B$45,MATCH(TRIM(E1672),Product_Category!$A$2:$A$45,0))</f>
        <v>Nuts &amp; Oilseeds</v>
      </c>
      <c r="G1672" s="4">
        <v>0</v>
      </c>
      <c r="H1672" s="4">
        <v>0.01</v>
      </c>
      <c r="I1672" s="4">
        <v>0</v>
      </c>
      <c r="J1672" s="4">
        <v>0.41</v>
      </c>
      <c r="K1672" s="4">
        <v>0.57999999999999996</v>
      </c>
      <c r="L1672" s="4">
        <v>0.5</v>
      </c>
      <c r="M1672" s="4">
        <f t="shared" si="78"/>
        <v>0.01</v>
      </c>
      <c r="N1672" s="4">
        <f t="shared" si="79"/>
        <v>0.16999999999999998</v>
      </c>
      <c r="O1672" s="4">
        <f t="shared" si="80"/>
        <v>-0.01</v>
      </c>
      <c r="P1672" s="3" t="s">
        <v>19</v>
      </c>
    </row>
    <row r="1673" spans="1:16" x14ac:dyDescent="0.35">
      <c r="A1673" s="3" t="s">
        <v>23</v>
      </c>
      <c r="B1673" s="3" t="str">
        <f>INDEX(State_Region!$B$2:$B$26,MATCH(TRIM(A1673),State_Region!$A$2:$A$26,0))</f>
        <v>North</v>
      </c>
      <c r="C1673" s="3" t="s">
        <v>124</v>
      </c>
      <c r="D1673" s="3" t="str">
        <f>INDEX(Port_Type!$B$2:$B$227,MATCH(TRIM(C1673),Port_Type!$A$2:$A$227,0))</f>
        <v>Inland ICD / CFS</v>
      </c>
      <c r="E1673" s="3" t="s">
        <v>54</v>
      </c>
      <c r="F1673" s="3" t="str">
        <f>INDEX(Product_Category!$B$2:$B$45,MATCH(TRIM(E1673),Product_Category!$A$2:$A$45,0))</f>
        <v>Processed Foods</v>
      </c>
      <c r="G1673" s="4">
        <v>0</v>
      </c>
      <c r="H1673" s="4">
        <v>0</v>
      </c>
      <c r="I1673" s="4">
        <v>0</v>
      </c>
      <c r="J1673" s="4">
        <v>0</v>
      </c>
      <c r="K1673" s="4">
        <v>4.62</v>
      </c>
      <c r="L1673" s="4">
        <v>6.13</v>
      </c>
      <c r="M1673" s="4">
        <f t="shared" si="78"/>
        <v>0</v>
      </c>
      <c r="N1673" s="4">
        <f t="shared" si="79"/>
        <v>4.62</v>
      </c>
      <c r="O1673" s="4">
        <f t="shared" si="80"/>
        <v>0</v>
      </c>
      <c r="P1673" s="3" t="s">
        <v>19</v>
      </c>
    </row>
    <row r="1674" spans="1:16" x14ac:dyDescent="0.35">
      <c r="A1674" s="3" t="s">
        <v>57</v>
      </c>
      <c r="B1674" s="3" t="str">
        <f>INDEX(State_Region!$B$2:$B$26,MATCH(TRIM(A1674),State_Region!$A$2:$A$26,0))</f>
        <v>Central</v>
      </c>
      <c r="C1674" s="3" t="s">
        <v>161</v>
      </c>
      <c r="D1674" s="3" t="str">
        <f>INDEX(Port_Type!$B$2:$B$227,MATCH(TRIM(C1674),Port_Type!$A$2:$A$227,0))</f>
        <v>Inland ICD / CFS</v>
      </c>
      <c r="E1674" s="3" t="s">
        <v>144</v>
      </c>
      <c r="F1674" s="3" t="str">
        <f>INDEX(Product_Category!$B$2:$B$45,MATCH(TRIM(E1674),Product_Category!$A$2:$A$45,0))</f>
        <v>Cereals &amp; Grains</v>
      </c>
      <c r="G1674" s="4">
        <v>0</v>
      </c>
      <c r="H1674" s="4">
        <v>0</v>
      </c>
      <c r="I1674" s="4">
        <v>0</v>
      </c>
      <c r="J1674" s="4">
        <v>0.11</v>
      </c>
      <c r="K1674" s="4">
        <v>4.5199999999999996</v>
      </c>
      <c r="L1674" s="4">
        <v>2.52</v>
      </c>
      <c r="M1674" s="4">
        <f t="shared" si="78"/>
        <v>0</v>
      </c>
      <c r="N1674" s="4">
        <f t="shared" si="79"/>
        <v>4.4099999999999993</v>
      </c>
      <c r="O1674" s="4">
        <f t="shared" si="80"/>
        <v>0</v>
      </c>
      <c r="P1674" s="3" t="s">
        <v>19</v>
      </c>
    </row>
    <row r="1675" spans="1:16" x14ac:dyDescent="0.35">
      <c r="A1675" s="3" t="s">
        <v>40</v>
      </c>
      <c r="B1675" s="3" t="str">
        <f>INDEX(State_Region!$B$2:$B$26,MATCH(TRIM(A1675),State_Region!$A$2:$A$26,0))</f>
        <v>South</v>
      </c>
      <c r="C1675" s="3" t="s">
        <v>194</v>
      </c>
      <c r="D1675" s="3" t="str">
        <f>INDEX(Port_Type!$B$2:$B$227,MATCH(TRIM(C1675),Port_Type!$A$2:$A$227,0))</f>
        <v>Air Cargo</v>
      </c>
      <c r="E1675" s="3" t="s">
        <v>65</v>
      </c>
      <c r="F1675" s="3" t="str">
        <f>INDEX(Product_Category!$B$2:$B$45,MATCH(TRIM(E1675),Product_Category!$A$2:$A$45,0))</f>
        <v>Cereals &amp; Grains</v>
      </c>
      <c r="G1675" s="4">
        <v>0.03</v>
      </c>
      <c r="H1675" s="4">
        <v>0</v>
      </c>
      <c r="I1675" s="4">
        <v>0</v>
      </c>
      <c r="J1675" s="4">
        <v>8.98</v>
      </c>
      <c r="K1675" s="4">
        <v>0.45</v>
      </c>
      <c r="L1675" s="4">
        <v>0.67</v>
      </c>
      <c r="M1675" s="4">
        <f t="shared" si="78"/>
        <v>-0.03</v>
      </c>
      <c r="N1675" s="4">
        <f t="shared" si="79"/>
        <v>-8.5300000000000011</v>
      </c>
      <c r="O1675" s="4">
        <f t="shared" si="80"/>
        <v>0</v>
      </c>
      <c r="P1675" s="3" t="s">
        <v>19</v>
      </c>
    </row>
    <row r="1676" spans="1:16" x14ac:dyDescent="0.35">
      <c r="A1676" s="3" t="s">
        <v>23</v>
      </c>
      <c r="B1676" s="3" t="str">
        <f>INDEX(State_Region!$B$2:$B$26,MATCH(TRIM(A1676),State_Region!$A$2:$A$26,0))</f>
        <v>North</v>
      </c>
      <c r="C1676" s="3" t="s">
        <v>185</v>
      </c>
      <c r="D1676" s="3" t="str">
        <f>INDEX(Port_Type!$B$2:$B$227,MATCH(TRIM(C1676),Port_Type!$A$2:$A$227,0))</f>
        <v>Land Border / Rail</v>
      </c>
      <c r="E1676" s="3" t="s">
        <v>45</v>
      </c>
      <c r="F1676" s="3" t="str">
        <f>INDEX(Product_Category!$B$2:$B$45,MATCH(TRIM(E1676),Product_Category!$A$2:$A$45,0))</f>
        <v>Fresh Fruits &amp; Vegetables</v>
      </c>
      <c r="G1676" s="4">
        <v>0</v>
      </c>
      <c r="H1676" s="4">
        <v>0</v>
      </c>
      <c r="I1676" s="4">
        <v>0</v>
      </c>
      <c r="J1676" s="4">
        <v>6.07</v>
      </c>
      <c r="K1676" s="4">
        <v>0</v>
      </c>
      <c r="L1676" s="4">
        <v>28.68</v>
      </c>
      <c r="M1676" s="4">
        <f t="shared" si="78"/>
        <v>0</v>
      </c>
      <c r="N1676" s="4">
        <f t="shared" si="79"/>
        <v>-6.07</v>
      </c>
      <c r="O1676" s="4">
        <f t="shared" si="80"/>
        <v>0</v>
      </c>
      <c r="P1676" s="3" t="s">
        <v>19</v>
      </c>
    </row>
    <row r="1677" spans="1:16" x14ac:dyDescent="0.35">
      <c r="A1677" s="3" t="s">
        <v>74</v>
      </c>
      <c r="B1677" s="3" t="str">
        <f>INDEX(State_Region!$B$2:$B$26,MATCH(TRIM(A1677),State_Region!$A$2:$A$26,0))</f>
        <v>South</v>
      </c>
      <c r="C1677" s="3" t="s">
        <v>75</v>
      </c>
      <c r="D1677" s="3" t="str">
        <f>INDEX(Port_Type!$B$2:$B$227,MATCH(TRIM(C1677),Port_Type!$A$2:$A$227,0))</f>
        <v>Inland ICD / CFS</v>
      </c>
      <c r="E1677" s="3" t="s">
        <v>46</v>
      </c>
      <c r="F1677" s="3" t="str">
        <f>INDEX(Product_Category!$B$2:$B$45,MATCH(TRIM(E1677),Product_Category!$A$2:$A$45,0))</f>
        <v>Others</v>
      </c>
      <c r="G1677" s="4">
        <v>0.02</v>
      </c>
      <c r="H1677" s="4">
        <v>0.01</v>
      </c>
      <c r="I1677" s="4">
        <v>0</v>
      </c>
      <c r="J1677" s="4">
        <v>2</v>
      </c>
      <c r="K1677" s="4">
        <v>1.5</v>
      </c>
      <c r="L1677" s="4">
        <v>0.5</v>
      </c>
      <c r="M1677" s="4">
        <f t="shared" si="78"/>
        <v>-0.01</v>
      </c>
      <c r="N1677" s="4">
        <f t="shared" si="79"/>
        <v>-0.5</v>
      </c>
      <c r="O1677" s="4">
        <f t="shared" si="80"/>
        <v>-0.01</v>
      </c>
      <c r="P1677" s="3" t="s">
        <v>19</v>
      </c>
    </row>
    <row r="1678" spans="1:16" x14ac:dyDescent="0.35">
      <c r="A1678" s="3" t="s">
        <v>35</v>
      </c>
      <c r="B1678" s="3" t="str">
        <f>INDEX(State_Region!$B$2:$B$26,MATCH(TRIM(A1678),State_Region!$A$2:$A$26,0))</f>
        <v>North</v>
      </c>
      <c r="C1678" s="3" t="s">
        <v>47</v>
      </c>
      <c r="D1678" s="3" t="str">
        <f>INDEX(Port_Type!$B$2:$B$227,MATCH(TRIM(C1678),Port_Type!$A$2:$A$227,0))</f>
        <v>Inland ICD / CFS</v>
      </c>
      <c r="E1678" s="3" t="s">
        <v>33</v>
      </c>
      <c r="F1678" s="3" t="str">
        <f>INDEX(Product_Category!$B$2:$B$45,MATCH(TRIM(E1678),Product_Category!$A$2:$A$45,0))</f>
        <v>Pulses</v>
      </c>
      <c r="G1678" s="4">
        <v>0.11</v>
      </c>
      <c r="H1678" s="4">
        <v>0.01</v>
      </c>
      <c r="I1678" s="4">
        <v>0</v>
      </c>
      <c r="J1678" s="4">
        <v>78.95</v>
      </c>
      <c r="K1678" s="4">
        <v>4.7699999999999996</v>
      </c>
      <c r="L1678" s="4">
        <v>3.74</v>
      </c>
      <c r="M1678" s="4">
        <f t="shared" si="78"/>
        <v>-0.1</v>
      </c>
      <c r="N1678" s="4">
        <f t="shared" si="79"/>
        <v>-74.180000000000007</v>
      </c>
      <c r="O1678" s="4">
        <f t="shared" si="80"/>
        <v>-0.01</v>
      </c>
      <c r="P1678" s="3" t="s">
        <v>19</v>
      </c>
    </row>
    <row r="1679" spans="1:16" x14ac:dyDescent="0.35">
      <c r="A1679" s="3" t="s">
        <v>16</v>
      </c>
      <c r="B1679" s="3" t="str">
        <f>INDEX(State_Region!$B$2:$B$26,MATCH(TRIM(A1679),State_Region!$A$2:$A$26,0))</f>
        <v>West</v>
      </c>
      <c r="C1679" s="3" t="s">
        <v>90</v>
      </c>
      <c r="D1679" s="3" t="str">
        <f>INDEX(Port_Type!$B$2:$B$227,MATCH(TRIM(C1679),Port_Type!$A$2:$A$227,0))</f>
        <v>Inland ICD / CFS</v>
      </c>
      <c r="E1679" s="3" t="s">
        <v>51</v>
      </c>
      <c r="F1679" s="3" t="str">
        <f>INDEX(Product_Category!$B$2:$B$45,MATCH(TRIM(E1679),Product_Category!$A$2:$A$45,0))</f>
        <v>Nuts &amp; Oilseeds</v>
      </c>
      <c r="G1679" s="4">
        <v>0.05</v>
      </c>
      <c r="H1679" s="4">
        <v>0.01</v>
      </c>
      <c r="I1679" s="4">
        <v>0</v>
      </c>
      <c r="J1679" s="4">
        <v>29.63</v>
      </c>
      <c r="K1679" s="4">
        <v>7.62</v>
      </c>
      <c r="L1679" s="4">
        <v>2.37</v>
      </c>
      <c r="M1679" s="4">
        <f t="shared" si="78"/>
        <v>-0.04</v>
      </c>
      <c r="N1679" s="4">
        <f t="shared" si="79"/>
        <v>-22.009999999999998</v>
      </c>
      <c r="O1679" s="4">
        <f t="shared" si="80"/>
        <v>-0.01</v>
      </c>
      <c r="P1679" s="3" t="s">
        <v>19</v>
      </c>
    </row>
    <row r="1680" spans="1:16" x14ac:dyDescent="0.35">
      <c r="A1680" s="3" t="s">
        <v>31</v>
      </c>
      <c r="B1680" s="3" t="str">
        <f>INDEX(State_Region!$B$2:$B$26,MATCH(TRIM(A1680),State_Region!$A$2:$A$26,0))</f>
        <v>East</v>
      </c>
      <c r="C1680" s="3" t="s">
        <v>171</v>
      </c>
      <c r="D1680" s="3" t="str">
        <f>INDEX(Port_Type!$B$2:$B$227,MATCH(TRIM(C1680),Port_Type!$A$2:$A$227,0))</f>
        <v>Land Border / Rail</v>
      </c>
      <c r="E1680" s="3" t="s">
        <v>144</v>
      </c>
      <c r="F1680" s="3" t="str">
        <f>INDEX(Product_Category!$B$2:$B$45,MATCH(TRIM(E1680),Product_Category!$A$2:$A$45,0))</f>
        <v>Cereals &amp; Grains</v>
      </c>
      <c r="G1680" s="4">
        <v>0</v>
      </c>
      <c r="H1680" s="4">
        <v>0.02</v>
      </c>
      <c r="I1680" s="4">
        <v>0</v>
      </c>
      <c r="J1680" s="4">
        <v>0</v>
      </c>
      <c r="K1680" s="4">
        <v>25.02</v>
      </c>
      <c r="L1680" s="4">
        <v>2.5</v>
      </c>
      <c r="M1680" s="4">
        <f t="shared" si="78"/>
        <v>0.02</v>
      </c>
      <c r="N1680" s="4">
        <f t="shared" si="79"/>
        <v>25.02</v>
      </c>
      <c r="O1680" s="4">
        <f t="shared" si="80"/>
        <v>-0.02</v>
      </c>
      <c r="P1680" s="3" t="s">
        <v>19</v>
      </c>
    </row>
    <row r="1681" spans="1:16" x14ac:dyDescent="0.35">
      <c r="A1681" s="3" t="s">
        <v>159</v>
      </c>
      <c r="B1681" s="3" t="str">
        <f>INDEX(State_Region!$B$2:$B$26,MATCH(TRIM(A1681),State_Region!$A$2:$A$26,0))</f>
        <v>North-East</v>
      </c>
      <c r="C1681" s="3" t="s">
        <v>186</v>
      </c>
      <c r="D1681" s="3" t="str">
        <f>INDEX(Port_Type!$B$2:$B$227,MATCH(TRIM(C1681),Port_Type!$A$2:$A$227,0))</f>
        <v>Land Border / Rail</v>
      </c>
      <c r="E1681" s="3" t="s">
        <v>59</v>
      </c>
      <c r="F1681" s="3" t="str">
        <f>INDEX(Product_Category!$B$2:$B$45,MATCH(TRIM(E1681),Product_Category!$A$2:$A$45,0))</f>
        <v>Processed Foods</v>
      </c>
      <c r="G1681" s="4">
        <v>0.02</v>
      </c>
      <c r="H1681" s="4">
        <v>0.01</v>
      </c>
      <c r="I1681" s="4">
        <v>0</v>
      </c>
      <c r="J1681" s="4">
        <v>6.63</v>
      </c>
      <c r="K1681" s="4">
        <v>4.62</v>
      </c>
      <c r="L1681" s="4">
        <v>1.46</v>
      </c>
      <c r="M1681" s="4">
        <f t="shared" si="78"/>
        <v>-0.01</v>
      </c>
      <c r="N1681" s="4">
        <f t="shared" si="79"/>
        <v>-2.0099999999999998</v>
      </c>
      <c r="O1681" s="4">
        <f t="shared" si="80"/>
        <v>-0.01</v>
      </c>
      <c r="P1681" s="3" t="s">
        <v>19</v>
      </c>
    </row>
    <row r="1682" spans="1:16" x14ac:dyDescent="0.35">
      <c r="A1682" s="3" t="s">
        <v>49</v>
      </c>
      <c r="B1682" s="3" t="str">
        <f>INDEX(State_Region!$B$2:$B$26,MATCH(TRIM(A1682),State_Region!$A$2:$A$26,0))</f>
        <v>North</v>
      </c>
      <c r="C1682" s="3" t="s">
        <v>70</v>
      </c>
      <c r="D1682" s="3" t="str">
        <f>INDEX(Port_Type!$B$2:$B$227,MATCH(TRIM(C1682),Port_Type!$A$2:$A$227,0))</f>
        <v>Inland ICD / CFS</v>
      </c>
      <c r="E1682" s="3" t="s">
        <v>122</v>
      </c>
      <c r="F1682" s="3" t="str">
        <f>INDEX(Product_Category!$B$2:$B$45,MATCH(TRIM(E1682),Product_Category!$A$2:$A$45,0))</f>
        <v>Others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0.17</v>
      </c>
      <c r="M1682" s="4">
        <f t="shared" si="78"/>
        <v>0</v>
      </c>
      <c r="N1682" s="4">
        <f t="shared" si="79"/>
        <v>0</v>
      </c>
      <c r="O1682" s="4">
        <f t="shared" si="80"/>
        <v>0</v>
      </c>
      <c r="P1682" s="3" t="s">
        <v>19</v>
      </c>
    </row>
    <row r="1683" spans="1:16" x14ac:dyDescent="0.35">
      <c r="A1683" s="3" t="s">
        <v>49</v>
      </c>
      <c r="B1683" s="3" t="str">
        <f>INDEX(State_Region!$B$2:$B$26,MATCH(TRIM(A1683),State_Region!$A$2:$A$26,0))</f>
        <v>North</v>
      </c>
      <c r="C1683" s="3" t="s">
        <v>70</v>
      </c>
      <c r="D1683" s="3" t="str">
        <f>INDEX(Port_Type!$B$2:$B$227,MATCH(TRIM(C1683),Port_Type!$A$2:$A$227,0))</f>
        <v>Inland ICD / CFS</v>
      </c>
      <c r="E1683" s="3" t="s">
        <v>27</v>
      </c>
      <c r="F1683" s="3" t="str">
        <f>INDEX(Product_Category!$B$2:$B$45,MATCH(TRIM(E1683),Product_Category!$A$2:$A$45,0))</f>
        <v>Cereals &amp; Grains</v>
      </c>
      <c r="G1683" s="4">
        <v>0</v>
      </c>
      <c r="H1683" s="4">
        <v>0</v>
      </c>
      <c r="I1683" s="4">
        <v>0</v>
      </c>
      <c r="J1683" s="4">
        <v>0</v>
      </c>
      <c r="K1683" s="4">
        <v>0</v>
      </c>
      <c r="L1683" s="4">
        <v>1.91</v>
      </c>
      <c r="M1683" s="4">
        <f t="shared" si="78"/>
        <v>0</v>
      </c>
      <c r="N1683" s="4">
        <f t="shared" si="79"/>
        <v>0</v>
      </c>
      <c r="O1683" s="4">
        <f t="shared" si="80"/>
        <v>0</v>
      </c>
      <c r="P1683" s="3" t="s">
        <v>19</v>
      </c>
    </row>
    <row r="1684" spans="1:16" x14ac:dyDescent="0.35">
      <c r="A1684" s="3" t="s">
        <v>25</v>
      </c>
      <c r="B1684" s="3" t="str">
        <f>INDEX(State_Region!$B$2:$B$26,MATCH(TRIM(A1684),State_Region!$A$2:$A$26,0))</f>
        <v>South</v>
      </c>
      <c r="C1684" s="3" t="s">
        <v>256</v>
      </c>
      <c r="D1684" s="3" t="str">
        <f>INDEX(Port_Type!$B$2:$B$227,MATCH(TRIM(C1684),Port_Type!$A$2:$A$227,0))</f>
        <v>SEZ / EPZ</v>
      </c>
      <c r="E1684" s="3" t="s">
        <v>53</v>
      </c>
      <c r="F1684" s="3" t="str">
        <f>INDEX(Product_Category!$B$2:$B$45,MATCH(TRIM(E1684),Product_Category!$A$2:$A$45,0))</f>
        <v>Processed Foods</v>
      </c>
      <c r="G1684" s="4">
        <v>0</v>
      </c>
      <c r="H1684" s="4">
        <v>0.06</v>
      </c>
      <c r="I1684" s="4">
        <v>0</v>
      </c>
      <c r="J1684" s="4">
        <v>0.25</v>
      </c>
      <c r="K1684" s="4">
        <v>20.2</v>
      </c>
      <c r="L1684" s="4">
        <v>0.65</v>
      </c>
      <c r="M1684" s="4">
        <f t="shared" si="78"/>
        <v>0.06</v>
      </c>
      <c r="N1684" s="4">
        <f t="shared" si="79"/>
        <v>19.95</v>
      </c>
      <c r="O1684" s="4">
        <f t="shared" si="80"/>
        <v>-0.06</v>
      </c>
      <c r="P1684" s="3" t="s">
        <v>19</v>
      </c>
    </row>
    <row r="1685" spans="1:16" x14ac:dyDescent="0.35">
      <c r="A1685" s="3" t="s">
        <v>20</v>
      </c>
      <c r="B1685" s="3" t="str">
        <f>INDEX(State_Region!$B$2:$B$26,MATCH(TRIM(A1685),State_Region!$A$2:$A$26,0))</f>
        <v>West</v>
      </c>
      <c r="C1685" s="3" t="s">
        <v>134</v>
      </c>
      <c r="D1685" s="3" t="str">
        <f>INDEX(Port_Type!$B$2:$B$227,MATCH(TRIM(C1685),Port_Type!$A$2:$A$227,0))</f>
        <v>Inland ICD / CFS</v>
      </c>
      <c r="E1685" s="3" t="s">
        <v>126</v>
      </c>
      <c r="F1685" s="3" t="str">
        <f>INDEX(Product_Category!$B$2:$B$45,MATCH(TRIM(E1685),Product_Category!$A$2:$A$45,0))</f>
        <v>Cereals &amp; Grains</v>
      </c>
      <c r="G1685" s="4">
        <v>0</v>
      </c>
      <c r="H1685" s="4">
        <v>0</v>
      </c>
      <c r="I1685" s="4">
        <v>0</v>
      </c>
      <c r="J1685" s="4">
        <v>0</v>
      </c>
      <c r="K1685" s="4">
        <v>0.04</v>
      </c>
      <c r="L1685" s="4">
        <v>0.73</v>
      </c>
      <c r="M1685" s="4">
        <f t="shared" si="78"/>
        <v>0</v>
      </c>
      <c r="N1685" s="4">
        <f t="shared" si="79"/>
        <v>0.04</v>
      </c>
      <c r="O1685" s="4">
        <f t="shared" si="80"/>
        <v>0</v>
      </c>
      <c r="P1685" s="3" t="s">
        <v>19</v>
      </c>
    </row>
    <row r="1686" spans="1:16" x14ac:dyDescent="0.35">
      <c r="A1686" s="3" t="s">
        <v>20</v>
      </c>
      <c r="B1686" s="3" t="str">
        <f>INDEX(State_Region!$B$2:$B$26,MATCH(TRIM(A1686),State_Region!$A$2:$A$26,0))</f>
        <v>West</v>
      </c>
      <c r="C1686" s="3" t="s">
        <v>222</v>
      </c>
      <c r="D1686" s="3" t="str">
        <f>INDEX(Port_Type!$B$2:$B$227,MATCH(TRIM(C1686),Port_Type!$A$2:$A$227,0))</f>
        <v>Air Cargo</v>
      </c>
      <c r="E1686" s="3" t="s">
        <v>151</v>
      </c>
      <c r="F1686" s="3" t="str">
        <f>INDEX(Product_Category!$B$2:$B$45,MATCH(TRIM(E1686),Product_Category!$A$2:$A$45,0))</f>
        <v>Processed Foods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0.83</v>
      </c>
      <c r="M1686" s="4">
        <f t="shared" si="78"/>
        <v>0</v>
      </c>
      <c r="N1686" s="4">
        <f t="shared" si="79"/>
        <v>0</v>
      </c>
      <c r="O1686" s="4">
        <f t="shared" si="80"/>
        <v>0</v>
      </c>
      <c r="P1686" s="3" t="s">
        <v>19</v>
      </c>
    </row>
    <row r="1687" spans="1:16" x14ac:dyDescent="0.35">
      <c r="A1687" s="3" t="s">
        <v>20</v>
      </c>
      <c r="B1687" s="3" t="str">
        <f>INDEX(State_Region!$B$2:$B$26,MATCH(TRIM(A1687),State_Region!$A$2:$A$26,0))</f>
        <v>West</v>
      </c>
      <c r="C1687" s="3" t="s">
        <v>222</v>
      </c>
      <c r="D1687" s="3" t="str">
        <f>INDEX(Port_Type!$B$2:$B$227,MATCH(TRIM(C1687),Port_Type!$A$2:$A$227,0))</f>
        <v>Air Cargo</v>
      </c>
      <c r="E1687" s="3" t="s">
        <v>42</v>
      </c>
      <c r="F1687" s="3" t="str">
        <f>INDEX(Product_Category!$B$2:$B$45,MATCH(TRIM(E1687),Product_Category!$A$2:$A$45,0))</f>
        <v>Processed Foods</v>
      </c>
      <c r="G1687" s="4">
        <v>0</v>
      </c>
      <c r="H1687" s="4">
        <v>0</v>
      </c>
      <c r="I1687" s="4">
        <v>0</v>
      </c>
      <c r="J1687" s="4">
        <v>0</v>
      </c>
      <c r="K1687" s="4">
        <v>0.48</v>
      </c>
      <c r="L1687" s="4">
        <v>1.87</v>
      </c>
      <c r="M1687" s="4">
        <f t="shared" si="78"/>
        <v>0</v>
      </c>
      <c r="N1687" s="4">
        <f t="shared" si="79"/>
        <v>0.48</v>
      </c>
      <c r="O1687" s="4">
        <f t="shared" si="80"/>
        <v>0</v>
      </c>
      <c r="P1687" s="3" t="s">
        <v>19</v>
      </c>
    </row>
    <row r="1688" spans="1:16" x14ac:dyDescent="0.35">
      <c r="A1688" s="3" t="s">
        <v>23</v>
      </c>
      <c r="B1688" s="3" t="str">
        <f>INDEX(State_Region!$B$2:$B$26,MATCH(TRIM(A1688),State_Region!$A$2:$A$26,0))</f>
        <v>North</v>
      </c>
      <c r="C1688" s="3" t="s">
        <v>138</v>
      </c>
      <c r="D1688" s="3" t="str">
        <f>INDEX(Port_Type!$B$2:$B$227,MATCH(TRIM(C1688),Port_Type!$A$2:$A$227,0))</f>
        <v>Inland ICD / CFS</v>
      </c>
      <c r="E1688" s="3" t="s">
        <v>118</v>
      </c>
      <c r="F1688" s="3" t="str">
        <f>INDEX(Product_Category!$B$2:$B$45,MATCH(TRIM(E1688),Product_Category!$A$2:$A$45,0))</f>
        <v>Dairy, Poultry &amp; Honey</v>
      </c>
      <c r="G1688" s="4">
        <v>0.53</v>
      </c>
      <c r="H1688" s="4">
        <v>0.93</v>
      </c>
      <c r="I1688" s="4">
        <v>0</v>
      </c>
      <c r="J1688" s="4">
        <v>384</v>
      </c>
      <c r="K1688" s="4">
        <v>582.38</v>
      </c>
      <c r="L1688" s="4">
        <v>0.6</v>
      </c>
      <c r="M1688" s="4">
        <f t="shared" si="78"/>
        <v>0.4</v>
      </c>
      <c r="N1688" s="4">
        <f t="shared" si="79"/>
        <v>198.38</v>
      </c>
      <c r="O1688" s="4">
        <f t="shared" si="80"/>
        <v>-0.93</v>
      </c>
      <c r="P1688" s="3" t="s">
        <v>19</v>
      </c>
    </row>
    <row r="1689" spans="1:16" x14ac:dyDescent="0.35">
      <c r="A1689" s="3" t="s">
        <v>31</v>
      </c>
      <c r="B1689" s="3" t="str">
        <f>INDEX(State_Region!$B$2:$B$26,MATCH(TRIM(A1689),State_Region!$A$2:$A$26,0))</f>
        <v>East</v>
      </c>
      <c r="C1689" s="3" t="s">
        <v>215</v>
      </c>
      <c r="D1689" s="3" t="str">
        <f>INDEX(Port_Type!$B$2:$B$227,MATCH(TRIM(C1689),Port_Type!$A$2:$A$227,0))</f>
        <v>Land Border / Rail</v>
      </c>
      <c r="E1689" s="3" t="s">
        <v>42</v>
      </c>
      <c r="F1689" s="3" t="str">
        <f>INDEX(Product_Category!$B$2:$B$45,MATCH(TRIM(E1689),Product_Category!$A$2:$A$45,0))</f>
        <v>Processed Foods</v>
      </c>
      <c r="G1689" s="4">
        <v>0.02</v>
      </c>
      <c r="H1689" s="4">
        <v>0.01</v>
      </c>
      <c r="I1689" s="4">
        <v>0</v>
      </c>
      <c r="J1689" s="4">
        <v>10.25</v>
      </c>
      <c r="K1689" s="4">
        <v>7.35</v>
      </c>
      <c r="L1689" s="4">
        <v>2.2999999999999998</v>
      </c>
      <c r="M1689" s="4">
        <f t="shared" si="78"/>
        <v>-0.01</v>
      </c>
      <c r="N1689" s="4">
        <f t="shared" si="79"/>
        <v>-2.9000000000000004</v>
      </c>
      <c r="O1689" s="4">
        <f t="shared" si="80"/>
        <v>-0.01</v>
      </c>
      <c r="P1689" s="3" t="s">
        <v>19</v>
      </c>
    </row>
    <row r="1690" spans="1:16" x14ac:dyDescent="0.35">
      <c r="A1690" s="3" t="s">
        <v>23</v>
      </c>
      <c r="B1690" s="3" t="str">
        <f>INDEX(State_Region!$B$2:$B$26,MATCH(TRIM(A1690),State_Region!$A$2:$A$26,0))</f>
        <v>North</v>
      </c>
      <c r="C1690" s="3" t="s">
        <v>123</v>
      </c>
      <c r="D1690" s="3" t="str">
        <f>INDEX(Port_Type!$B$2:$B$227,MATCH(TRIM(C1690),Port_Type!$A$2:$A$227,0))</f>
        <v>Land Border / Rail</v>
      </c>
      <c r="E1690" s="3" t="s">
        <v>114</v>
      </c>
      <c r="F1690" s="3" t="str">
        <f>INDEX(Product_Category!$B$2:$B$45,MATCH(TRIM(E1690),Product_Category!$A$2:$A$45,0))</f>
        <v>Dairy, Poultry &amp; Honey</v>
      </c>
      <c r="G1690" s="4">
        <v>0.01</v>
      </c>
      <c r="H1690" s="4">
        <v>0.04</v>
      </c>
      <c r="I1690" s="4">
        <v>0</v>
      </c>
      <c r="J1690" s="4">
        <v>1.1000000000000001</v>
      </c>
      <c r="K1690" s="4">
        <v>3.85</v>
      </c>
      <c r="L1690" s="4">
        <v>0.5</v>
      </c>
      <c r="M1690" s="4">
        <f t="shared" si="78"/>
        <v>0.03</v>
      </c>
      <c r="N1690" s="4">
        <f t="shared" si="79"/>
        <v>2.75</v>
      </c>
      <c r="O1690" s="4">
        <f t="shared" si="80"/>
        <v>-0.04</v>
      </c>
      <c r="P1690" s="3" t="s">
        <v>19</v>
      </c>
    </row>
    <row r="1691" spans="1:16" x14ac:dyDescent="0.35">
      <c r="A1691" s="3" t="s">
        <v>31</v>
      </c>
      <c r="B1691" s="3" t="str">
        <f>INDEX(State_Region!$B$2:$B$26,MATCH(TRIM(A1691),State_Region!$A$2:$A$26,0))</f>
        <v>East</v>
      </c>
      <c r="C1691" s="3" t="s">
        <v>141</v>
      </c>
      <c r="D1691" s="3" t="str">
        <f>INDEX(Port_Type!$B$2:$B$227,MATCH(TRIM(C1691),Port_Type!$A$2:$A$227,0))</f>
        <v>Land Border / Rail</v>
      </c>
      <c r="E1691" s="3" t="s">
        <v>72</v>
      </c>
      <c r="F1691" s="3" t="str">
        <f>INDEX(Product_Category!$B$2:$B$45,MATCH(TRIM(E1691),Product_Category!$A$2:$A$45,0))</f>
        <v>Dairy, Poultry &amp; Honey</v>
      </c>
      <c r="G1691" s="4">
        <v>0.01</v>
      </c>
      <c r="H1691" s="4">
        <v>0.04</v>
      </c>
      <c r="I1691" s="4">
        <v>0</v>
      </c>
      <c r="J1691" s="4">
        <v>0.5</v>
      </c>
      <c r="K1691" s="4">
        <v>10.36</v>
      </c>
      <c r="L1691" s="4">
        <v>1.2</v>
      </c>
      <c r="M1691" s="4">
        <f t="shared" si="78"/>
        <v>0.03</v>
      </c>
      <c r="N1691" s="4">
        <f t="shared" si="79"/>
        <v>9.86</v>
      </c>
      <c r="O1691" s="4">
        <f t="shared" si="80"/>
        <v>-0.04</v>
      </c>
      <c r="P1691" s="3" t="s">
        <v>19</v>
      </c>
    </row>
    <row r="1692" spans="1:16" x14ac:dyDescent="0.35">
      <c r="A1692" s="3" t="s">
        <v>74</v>
      </c>
      <c r="B1692" s="3" t="str">
        <f>INDEX(State_Region!$B$2:$B$26,MATCH(TRIM(A1692),State_Region!$A$2:$A$26,0))</f>
        <v>South</v>
      </c>
      <c r="C1692" s="3" t="s">
        <v>75</v>
      </c>
      <c r="D1692" s="3" t="str">
        <f>INDEX(Port_Type!$B$2:$B$227,MATCH(TRIM(C1692),Port_Type!$A$2:$A$227,0))</f>
        <v>Inland ICD / CFS</v>
      </c>
      <c r="E1692" s="3" t="s">
        <v>179</v>
      </c>
      <c r="F1692" s="3" t="str">
        <f>INDEX(Product_Category!$B$2:$B$45,MATCH(TRIM(E1692),Product_Category!$A$2:$A$45,0))</f>
        <v>Nuts &amp; Oilseeds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0.41</v>
      </c>
      <c r="M1692" s="4">
        <f t="shared" si="78"/>
        <v>0</v>
      </c>
      <c r="N1692" s="4">
        <f t="shared" si="79"/>
        <v>0</v>
      </c>
      <c r="O1692" s="4">
        <f t="shared" si="80"/>
        <v>0</v>
      </c>
      <c r="P1692" s="3" t="s">
        <v>19</v>
      </c>
    </row>
    <row r="1693" spans="1:16" x14ac:dyDescent="0.35">
      <c r="A1693" s="3" t="s">
        <v>231</v>
      </c>
      <c r="B1693" s="3" t="str">
        <f>INDEX(State_Region!$B$2:$B$26,MATCH(TRIM(A1693),State_Region!$A$2:$A$26,0))</f>
        <v>North-East</v>
      </c>
      <c r="C1693" s="3" t="s">
        <v>236</v>
      </c>
      <c r="D1693" s="3" t="str">
        <f>INDEX(Port_Type!$B$2:$B$227,MATCH(TRIM(C1693),Port_Type!$A$2:$A$227,0))</f>
        <v>Land Border / Rail</v>
      </c>
      <c r="E1693" s="3" t="s">
        <v>55</v>
      </c>
      <c r="F1693" s="3" t="str">
        <f>INDEX(Product_Category!$B$2:$B$45,MATCH(TRIM(E1693),Product_Category!$A$2:$A$45,0))</f>
        <v>Fresh Fruits &amp; Vegetables</v>
      </c>
      <c r="G1693" s="4">
        <v>0</v>
      </c>
      <c r="H1693" s="4">
        <v>0.01</v>
      </c>
      <c r="I1693" s="4">
        <v>0</v>
      </c>
      <c r="J1693" s="4">
        <v>0</v>
      </c>
      <c r="K1693" s="4">
        <v>43.26</v>
      </c>
      <c r="L1693" s="4">
        <v>17.25</v>
      </c>
      <c r="M1693" s="4">
        <f t="shared" si="78"/>
        <v>0.01</v>
      </c>
      <c r="N1693" s="4">
        <f t="shared" si="79"/>
        <v>43.26</v>
      </c>
      <c r="O1693" s="4">
        <f t="shared" si="80"/>
        <v>-0.01</v>
      </c>
      <c r="P1693" s="3" t="s">
        <v>19</v>
      </c>
    </row>
    <row r="1694" spans="1:16" x14ac:dyDescent="0.35">
      <c r="A1694" s="3" t="s">
        <v>23</v>
      </c>
      <c r="B1694" s="3" t="str">
        <f>INDEX(State_Region!$B$2:$B$26,MATCH(TRIM(A1694),State_Region!$A$2:$A$26,0))</f>
        <v>North</v>
      </c>
      <c r="C1694" s="3" t="s">
        <v>228</v>
      </c>
      <c r="D1694" s="3" t="str">
        <f>INDEX(Port_Type!$B$2:$B$227,MATCH(TRIM(C1694),Port_Type!$A$2:$A$227,0))</f>
        <v>SEZ / EPZ</v>
      </c>
      <c r="E1694" s="3" t="s">
        <v>33</v>
      </c>
      <c r="F1694" s="3" t="str">
        <f>INDEX(Product_Category!$B$2:$B$45,MATCH(TRIM(E1694),Product_Category!$A$2:$A$45,0))</f>
        <v>Pulses</v>
      </c>
      <c r="G1694" s="4">
        <v>0</v>
      </c>
      <c r="H1694" s="4">
        <v>0</v>
      </c>
      <c r="I1694" s="4">
        <v>0</v>
      </c>
      <c r="J1694" s="4">
        <v>0.06</v>
      </c>
      <c r="K1694" s="4">
        <v>0</v>
      </c>
      <c r="L1694" s="4">
        <v>0.75</v>
      </c>
      <c r="M1694" s="4">
        <f t="shared" si="78"/>
        <v>0</v>
      </c>
      <c r="N1694" s="4">
        <f t="shared" si="79"/>
        <v>-0.06</v>
      </c>
      <c r="O1694" s="4">
        <f t="shared" si="80"/>
        <v>0</v>
      </c>
      <c r="P1694" s="3" t="s">
        <v>19</v>
      </c>
    </row>
    <row r="1695" spans="1:16" x14ac:dyDescent="0.35">
      <c r="A1695" s="3" t="s">
        <v>20</v>
      </c>
      <c r="B1695" s="3" t="str">
        <f>INDEX(State_Region!$B$2:$B$26,MATCH(TRIM(A1695),State_Region!$A$2:$A$26,0))</f>
        <v>West</v>
      </c>
      <c r="C1695" s="3" t="s">
        <v>173</v>
      </c>
      <c r="D1695" s="3" t="str">
        <f>INDEX(Port_Type!$B$2:$B$227,MATCH(TRIM(C1695),Port_Type!$A$2:$A$227,0))</f>
        <v>Inland ICD / CFS</v>
      </c>
      <c r="E1695" s="3" t="s">
        <v>45</v>
      </c>
      <c r="F1695" s="3" t="str">
        <f>INDEX(Product_Category!$B$2:$B$45,MATCH(TRIM(E1695),Product_Category!$A$2:$A$45,0))</f>
        <v>Fresh Fruits &amp; Vegetables</v>
      </c>
      <c r="G1695" s="4">
        <v>7.0000000000000007E-2</v>
      </c>
      <c r="H1695" s="4">
        <v>0.02</v>
      </c>
      <c r="I1695" s="4">
        <v>0</v>
      </c>
      <c r="J1695" s="4">
        <v>43.12</v>
      </c>
      <c r="K1695" s="4">
        <v>22.02</v>
      </c>
      <c r="L1695" s="4">
        <v>0.65</v>
      </c>
      <c r="M1695" s="4">
        <f t="shared" si="78"/>
        <v>-0.05</v>
      </c>
      <c r="N1695" s="4">
        <f t="shared" si="79"/>
        <v>-21.099999999999998</v>
      </c>
      <c r="O1695" s="4">
        <f t="shared" si="80"/>
        <v>-0.02</v>
      </c>
      <c r="P1695" s="3" t="s">
        <v>19</v>
      </c>
    </row>
    <row r="1696" spans="1:16" x14ac:dyDescent="0.35">
      <c r="A1696" s="3" t="s">
        <v>66</v>
      </c>
      <c r="B1696" s="3" t="str">
        <f>INDEX(State_Region!$B$2:$B$26,MATCH(TRIM(A1696),State_Region!$A$2:$A$26,0))</f>
        <v>North</v>
      </c>
      <c r="C1696" s="3" t="s">
        <v>71</v>
      </c>
      <c r="D1696" s="3" t="str">
        <f>INDEX(Port_Type!$B$2:$B$227,MATCH(TRIM(C1696),Port_Type!$A$2:$A$227,0))</f>
        <v>Inland ICD / CFS</v>
      </c>
      <c r="E1696" s="3" t="s">
        <v>33</v>
      </c>
      <c r="F1696" s="3" t="str">
        <f>INDEX(Product_Category!$B$2:$B$45,MATCH(TRIM(E1696),Product_Category!$A$2:$A$45,0))</f>
        <v>Pulses</v>
      </c>
      <c r="G1696" s="4">
        <v>0.01</v>
      </c>
      <c r="H1696" s="4">
        <v>0.06</v>
      </c>
      <c r="I1696" s="4">
        <v>0</v>
      </c>
      <c r="J1696" s="4">
        <v>9.1199999999999992</v>
      </c>
      <c r="K1696" s="4">
        <v>45.41</v>
      </c>
      <c r="L1696" s="4">
        <v>3.6</v>
      </c>
      <c r="M1696" s="4">
        <f t="shared" si="78"/>
        <v>4.9999999999999996E-2</v>
      </c>
      <c r="N1696" s="4">
        <f t="shared" si="79"/>
        <v>36.29</v>
      </c>
      <c r="O1696" s="4">
        <f t="shared" si="80"/>
        <v>-0.06</v>
      </c>
      <c r="P1696" s="3" t="s">
        <v>19</v>
      </c>
    </row>
    <row r="1697" spans="1:16" x14ac:dyDescent="0.35">
      <c r="A1697" s="3" t="s">
        <v>94</v>
      </c>
      <c r="B1697" s="3" t="str">
        <f>INDEX(State_Region!$B$2:$B$26,MATCH(TRIM(A1697),State_Region!$A$2:$A$26,0))</f>
        <v>East</v>
      </c>
      <c r="C1697" s="3" t="s">
        <v>257</v>
      </c>
      <c r="D1697" s="3" t="str">
        <f>INDEX(Port_Type!$B$2:$B$227,MATCH(TRIM(C1697),Port_Type!$A$2:$A$227,0))</f>
        <v>Land Border / Rail</v>
      </c>
      <c r="E1697" s="3" t="s">
        <v>39</v>
      </c>
      <c r="F1697" s="3" t="str">
        <f>INDEX(Product_Category!$B$2:$B$45,MATCH(TRIM(E1697),Product_Category!$A$2:$A$45,0))</f>
        <v>Processed Foods</v>
      </c>
      <c r="G1697" s="4">
        <v>0.02</v>
      </c>
      <c r="H1697" s="4">
        <v>0</v>
      </c>
      <c r="I1697" s="4">
        <v>0</v>
      </c>
      <c r="J1697" s="4">
        <v>2.36</v>
      </c>
      <c r="K1697" s="4">
        <v>0.09</v>
      </c>
      <c r="L1697" s="4">
        <v>0</v>
      </c>
      <c r="M1697" s="4">
        <f t="shared" si="78"/>
        <v>-0.02</v>
      </c>
      <c r="N1697" s="4">
        <f t="shared" si="79"/>
        <v>-2.27</v>
      </c>
      <c r="O1697" s="4">
        <f t="shared" si="80"/>
        <v>0</v>
      </c>
      <c r="P1697" s="3" t="s">
        <v>19</v>
      </c>
    </row>
    <row r="1698" spans="1:16" x14ac:dyDescent="0.35">
      <c r="A1698" s="3" t="s">
        <v>40</v>
      </c>
      <c r="B1698" s="3" t="str">
        <f>INDEX(State_Region!$B$2:$B$26,MATCH(TRIM(A1698),State_Region!$A$2:$A$26,0))</f>
        <v>South</v>
      </c>
      <c r="C1698" s="3" t="s">
        <v>229</v>
      </c>
      <c r="D1698" s="3" t="str">
        <f>INDEX(Port_Type!$B$2:$B$227,MATCH(TRIM(C1698),Port_Type!$A$2:$A$227,0))</f>
        <v>Inland ICD / CFS</v>
      </c>
      <c r="E1698" s="3" t="s">
        <v>53</v>
      </c>
      <c r="F1698" s="3" t="str">
        <f>INDEX(Product_Category!$B$2:$B$45,MATCH(TRIM(E1698),Product_Category!$A$2:$A$45,0))</f>
        <v>Processed Foods</v>
      </c>
      <c r="G1698" s="4">
        <v>0.01</v>
      </c>
      <c r="H1698" s="4">
        <v>0.01</v>
      </c>
      <c r="I1698" s="4">
        <v>0</v>
      </c>
      <c r="J1698" s="4">
        <v>5.17</v>
      </c>
      <c r="K1698" s="4">
        <v>4.74</v>
      </c>
      <c r="L1698" s="4">
        <v>3.04</v>
      </c>
      <c r="M1698" s="4">
        <f t="shared" si="78"/>
        <v>0</v>
      </c>
      <c r="N1698" s="4">
        <f t="shared" si="79"/>
        <v>-0.42999999999999972</v>
      </c>
      <c r="O1698" s="4">
        <f t="shared" si="80"/>
        <v>-0.01</v>
      </c>
      <c r="P1698" s="3" t="s">
        <v>19</v>
      </c>
    </row>
    <row r="1699" spans="1:16" x14ac:dyDescent="0.35">
      <c r="A1699" s="3" t="s">
        <v>31</v>
      </c>
      <c r="B1699" s="3" t="str">
        <f>INDEX(State_Region!$B$2:$B$26,MATCH(TRIM(A1699),State_Region!$A$2:$A$26,0))</f>
        <v>East</v>
      </c>
      <c r="C1699" s="3" t="s">
        <v>192</v>
      </c>
      <c r="D1699" s="3" t="str">
        <f>INDEX(Port_Type!$B$2:$B$227,MATCH(TRIM(C1699),Port_Type!$A$2:$A$227,0))</f>
        <v>Air Cargo</v>
      </c>
      <c r="E1699" s="3" t="s">
        <v>42</v>
      </c>
      <c r="F1699" s="3" t="str">
        <f>INDEX(Product_Category!$B$2:$B$45,MATCH(TRIM(E1699),Product_Category!$A$2:$A$45,0))</f>
        <v>Processed Foods</v>
      </c>
      <c r="G1699" s="4">
        <v>0.01</v>
      </c>
      <c r="H1699" s="4">
        <v>0.01</v>
      </c>
      <c r="I1699" s="4">
        <v>0</v>
      </c>
      <c r="J1699" s="4">
        <v>8.11</v>
      </c>
      <c r="K1699" s="4">
        <v>13.43</v>
      </c>
      <c r="L1699" s="4">
        <v>1.8</v>
      </c>
      <c r="M1699" s="4">
        <f t="shared" si="78"/>
        <v>0</v>
      </c>
      <c r="N1699" s="4">
        <f t="shared" si="79"/>
        <v>5.32</v>
      </c>
      <c r="O1699" s="4">
        <f t="shared" si="80"/>
        <v>-0.01</v>
      </c>
      <c r="P1699" s="3" t="s">
        <v>19</v>
      </c>
    </row>
    <row r="1700" spans="1:16" x14ac:dyDescent="0.35">
      <c r="A1700" s="3" t="s">
        <v>23</v>
      </c>
      <c r="B1700" s="3" t="str">
        <f>INDEX(State_Region!$B$2:$B$26,MATCH(TRIM(A1700),State_Region!$A$2:$A$26,0))</f>
        <v>North</v>
      </c>
      <c r="C1700" s="3" t="s">
        <v>138</v>
      </c>
      <c r="D1700" s="3" t="str">
        <f>INDEX(Port_Type!$B$2:$B$227,MATCH(TRIM(C1700),Port_Type!$A$2:$A$227,0))</f>
        <v>Inland ICD / CFS</v>
      </c>
      <c r="E1700" s="3" t="s">
        <v>42</v>
      </c>
      <c r="F1700" s="3" t="str">
        <f>INDEX(Product_Category!$B$2:$B$45,MATCH(TRIM(E1700),Product_Category!$A$2:$A$45,0))</f>
        <v>Processed Foods</v>
      </c>
      <c r="G1700" s="4">
        <v>0</v>
      </c>
      <c r="H1700" s="4">
        <v>0</v>
      </c>
      <c r="I1700" s="4">
        <v>0</v>
      </c>
      <c r="J1700" s="4">
        <v>0</v>
      </c>
      <c r="K1700" s="4">
        <v>2.5499999999999998</v>
      </c>
      <c r="L1700" s="4">
        <v>1.1299999999999999</v>
      </c>
      <c r="M1700" s="4">
        <f t="shared" si="78"/>
        <v>0</v>
      </c>
      <c r="N1700" s="4">
        <f t="shared" si="79"/>
        <v>2.5499999999999998</v>
      </c>
      <c r="O1700" s="4">
        <f t="shared" si="80"/>
        <v>0</v>
      </c>
      <c r="P1700" s="3" t="s">
        <v>19</v>
      </c>
    </row>
    <row r="1701" spans="1:16" x14ac:dyDescent="0.35">
      <c r="A1701" s="3" t="s">
        <v>66</v>
      </c>
      <c r="B1701" s="3" t="str">
        <f>INDEX(State_Region!$B$2:$B$26,MATCH(TRIM(A1701),State_Region!$A$2:$A$26,0))</f>
        <v>North</v>
      </c>
      <c r="C1701" s="3" t="s">
        <v>100</v>
      </c>
      <c r="D1701" s="3" t="str">
        <f>INDEX(Port_Type!$B$2:$B$227,MATCH(TRIM(C1701),Port_Type!$A$2:$A$227,0))</f>
        <v>Inland ICD / CFS</v>
      </c>
      <c r="E1701" s="3" t="s">
        <v>126</v>
      </c>
      <c r="F1701" s="3" t="str">
        <f>INDEX(Product_Category!$B$2:$B$45,MATCH(TRIM(E1701),Product_Category!$A$2:$A$45,0))</f>
        <v>Cereals &amp; Grains</v>
      </c>
      <c r="G1701" s="4">
        <v>0</v>
      </c>
      <c r="H1701" s="4">
        <v>0.01</v>
      </c>
      <c r="I1701" s="4">
        <v>0</v>
      </c>
      <c r="J1701" s="4">
        <v>0</v>
      </c>
      <c r="K1701" s="4">
        <v>5.08</v>
      </c>
      <c r="L1701" s="4">
        <v>4</v>
      </c>
      <c r="M1701" s="4">
        <f t="shared" si="78"/>
        <v>0.01</v>
      </c>
      <c r="N1701" s="4">
        <f t="shared" si="79"/>
        <v>5.08</v>
      </c>
      <c r="O1701" s="4">
        <f t="shared" si="80"/>
        <v>-0.01</v>
      </c>
      <c r="P1701" s="3" t="s">
        <v>19</v>
      </c>
    </row>
    <row r="1702" spans="1:16" x14ac:dyDescent="0.35">
      <c r="A1702" s="3" t="s">
        <v>20</v>
      </c>
      <c r="B1702" s="3" t="str">
        <f>INDEX(State_Region!$B$2:$B$26,MATCH(TRIM(A1702),State_Region!$A$2:$A$26,0))</f>
        <v>West</v>
      </c>
      <c r="C1702" s="3" t="s">
        <v>68</v>
      </c>
      <c r="D1702" s="3" t="str">
        <f>INDEX(Port_Type!$B$2:$B$227,MATCH(TRIM(C1702),Port_Type!$A$2:$A$227,0))</f>
        <v>Air Cargo</v>
      </c>
      <c r="E1702" s="3" t="s">
        <v>144</v>
      </c>
      <c r="F1702" s="3" t="str">
        <f>INDEX(Product_Category!$B$2:$B$45,MATCH(TRIM(E1702),Product_Category!$A$2:$A$45,0))</f>
        <v>Cereals &amp; Grains</v>
      </c>
      <c r="G1702" s="4">
        <v>0</v>
      </c>
      <c r="H1702" s="4">
        <v>0</v>
      </c>
      <c r="I1702" s="4">
        <v>0</v>
      </c>
      <c r="J1702" s="4">
        <v>4.3099999999999996</v>
      </c>
      <c r="K1702" s="4">
        <v>0.15</v>
      </c>
      <c r="L1702" s="4">
        <v>1</v>
      </c>
      <c r="M1702" s="4">
        <f t="shared" si="78"/>
        <v>0</v>
      </c>
      <c r="N1702" s="4">
        <f t="shared" si="79"/>
        <v>-4.1599999999999993</v>
      </c>
      <c r="O1702" s="4">
        <f t="shared" si="80"/>
        <v>0</v>
      </c>
      <c r="P1702" s="3" t="s">
        <v>19</v>
      </c>
    </row>
    <row r="1703" spans="1:16" x14ac:dyDescent="0.35">
      <c r="A1703" s="3" t="s">
        <v>74</v>
      </c>
      <c r="B1703" s="3" t="str">
        <f>INDEX(State_Region!$B$2:$B$26,MATCH(TRIM(A1703),State_Region!$A$2:$A$26,0))</f>
        <v>South</v>
      </c>
      <c r="C1703" s="3" t="s">
        <v>137</v>
      </c>
      <c r="D1703" s="3" t="str">
        <f>INDEX(Port_Type!$B$2:$B$227,MATCH(TRIM(C1703),Port_Type!$A$2:$A$227,0))</f>
        <v>Air Cargo</v>
      </c>
      <c r="E1703" s="3" t="s">
        <v>62</v>
      </c>
      <c r="F1703" s="3" t="str">
        <f>INDEX(Product_Category!$B$2:$B$45,MATCH(TRIM(E1703),Product_Category!$A$2:$A$45,0))</f>
        <v>Cereals &amp; Grains</v>
      </c>
      <c r="G1703" s="4">
        <v>0.11</v>
      </c>
      <c r="H1703" s="4">
        <v>0.14000000000000001</v>
      </c>
      <c r="I1703" s="4">
        <v>0</v>
      </c>
      <c r="J1703" s="4">
        <v>15.02</v>
      </c>
      <c r="K1703" s="4">
        <v>18.57</v>
      </c>
      <c r="L1703" s="4">
        <v>2.76</v>
      </c>
      <c r="M1703" s="4">
        <f t="shared" si="78"/>
        <v>3.0000000000000013E-2</v>
      </c>
      <c r="N1703" s="4">
        <f t="shared" si="79"/>
        <v>3.5500000000000007</v>
      </c>
      <c r="O1703" s="4">
        <f t="shared" si="80"/>
        <v>-0.14000000000000001</v>
      </c>
      <c r="P1703" s="3" t="s">
        <v>19</v>
      </c>
    </row>
    <row r="1704" spans="1:16" x14ac:dyDescent="0.35">
      <c r="A1704" s="3" t="s">
        <v>16</v>
      </c>
      <c r="B1704" s="3" t="str">
        <f>INDEX(State_Region!$B$2:$B$26,MATCH(TRIM(A1704),State_Region!$A$2:$A$26,0))</f>
        <v>West</v>
      </c>
      <c r="C1704" s="3" t="s">
        <v>109</v>
      </c>
      <c r="D1704" s="3" t="str">
        <f>INDEX(Port_Type!$B$2:$B$227,MATCH(TRIM(C1704),Port_Type!$A$2:$A$227,0))</f>
        <v>SEZ / EPZ</v>
      </c>
      <c r="E1704" s="3" t="s">
        <v>126</v>
      </c>
      <c r="F1704" s="3" t="str">
        <f>INDEX(Product_Category!$B$2:$B$45,MATCH(TRIM(E1704),Product_Category!$A$2:$A$45,0))</f>
        <v>Cereals &amp; Grains</v>
      </c>
      <c r="G1704" s="4">
        <v>0.01</v>
      </c>
      <c r="H1704" s="4">
        <v>0.05</v>
      </c>
      <c r="I1704" s="4">
        <v>0</v>
      </c>
      <c r="J1704" s="4">
        <v>2.08</v>
      </c>
      <c r="K1704" s="4">
        <v>147.57</v>
      </c>
      <c r="L1704" s="4">
        <v>3.05</v>
      </c>
      <c r="M1704" s="4">
        <f t="shared" si="78"/>
        <v>0.04</v>
      </c>
      <c r="N1704" s="4">
        <f t="shared" si="79"/>
        <v>145.48999999999998</v>
      </c>
      <c r="O1704" s="4">
        <f t="shared" si="80"/>
        <v>-0.05</v>
      </c>
      <c r="P1704" s="3" t="s">
        <v>19</v>
      </c>
    </row>
    <row r="1705" spans="1:16" x14ac:dyDescent="0.35">
      <c r="A1705" s="3" t="s">
        <v>159</v>
      </c>
      <c r="B1705" s="3" t="str">
        <f>INDEX(State_Region!$B$2:$B$26,MATCH(TRIM(A1705),State_Region!$A$2:$A$26,0))</f>
        <v>North-East</v>
      </c>
      <c r="C1705" s="3" t="s">
        <v>160</v>
      </c>
      <c r="D1705" s="3" t="str">
        <f>INDEX(Port_Type!$B$2:$B$227,MATCH(TRIM(C1705),Port_Type!$A$2:$A$227,0))</f>
        <v>Land Border / Rail</v>
      </c>
      <c r="E1705" s="3" t="s">
        <v>59</v>
      </c>
      <c r="F1705" s="3" t="str">
        <f>INDEX(Product_Category!$B$2:$B$45,MATCH(TRIM(E1705),Product_Category!$A$2:$A$45,0))</f>
        <v>Processed Foods</v>
      </c>
      <c r="G1705" s="4">
        <v>0</v>
      </c>
      <c r="H1705" s="4">
        <v>0.05</v>
      </c>
      <c r="I1705" s="4">
        <v>0</v>
      </c>
      <c r="J1705" s="4">
        <v>0.54</v>
      </c>
      <c r="K1705" s="4">
        <v>4.8099999999999996</v>
      </c>
      <c r="L1705" s="4">
        <v>1.08</v>
      </c>
      <c r="M1705" s="4">
        <f t="shared" si="78"/>
        <v>0.05</v>
      </c>
      <c r="N1705" s="4">
        <f t="shared" si="79"/>
        <v>4.2699999999999996</v>
      </c>
      <c r="O1705" s="4">
        <f t="shared" si="80"/>
        <v>-0.05</v>
      </c>
      <c r="P1705" s="3" t="s">
        <v>19</v>
      </c>
    </row>
    <row r="1706" spans="1:16" x14ac:dyDescent="0.35">
      <c r="A1706" s="3" t="s">
        <v>40</v>
      </c>
      <c r="B1706" s="3" t="str">
        <f>INDEX(State_Region!$B$2:$B$26,MATCH(TRIM(A1706),State_Region!$A$2:$A$26,0))</f>
        <v>South</v>
      </c>
      <c r="C1706" s="3" t="s">
        <v>194</v>
      </c>
      <c r="D1706" s="3" t="str">
        <f>INDEX(Port_Type!$B$2:$B$227,MATCH(TRIM(C1706),Port_Type!$A$2:$A$227,0))</f>
        <v>Air Cargo</v>
      </c>
      <c r="E1706" s="3" t="s">
        <v>53</v>
      </c>
      <c r="F1706" s="3" t="str">
        <f>INDEX(Product_Category!$B$2:$B$45,MATCH(TRIM(E1706),Product_Category!$A$2:$A$45,0))</f>
        <v>Processed Foods</v>
      </c>
      <c r="G1706" s="4">
        <v>0.01</v>
      </c>
      <c r="H1706" s="4">
        <v>0.01</v>
      </c>
      <c r="I1706" s="4">
        <v>0</v>
      </c>
      <c r="J1706" s="4">
        <v>3.27</v>
      </c>
      <c r="K1706" s="4">
        <v>9.7899999999999991</v>
      </c>
      <c r="L1706" s="4">
        <v>2.39</v>
      </c>
      <c r="M1706" s="4">
        <f t="shared" si="78"/>
        <v>0</v>
      </c>
      <c r="N1706" s="4">
        <f t="shared" si="79"/>
        <v>6.52</v>
      </c>
      <c r="O1706" s="4">
        <f t="shared" si="80"/>
        <v>-0.01</v>
      </c>
      <c r="P1706" s="3" t="s">
        <v>19</v>
      </c>
    </row>
    <row r="1707" spans="1:16" x14ac:dyDescent="0.35">
      <c r="A1707" s="3" t="s">
        <v>35</v>
      </c>
      <c r="B1707" s="3" t="str">
        <f>INDEX(State_Region!$B$2:$B$26,MATCH(TRIM(A1707),State_Region!$A$2:$A$26,0))</f>
        <v>North</v>
      </c>
      <c r="C1707" s="3" t="s">
        <v>165</v>
      </c>
      <c r="D1707" s="3" t="str">
        <f>INDEX(Port_Type!$B$2:$B$227,MATCH(TRIM(C1707),Port_Type!$A$2:$A$227,0))</f>
        <v>Inland ICD / CFS</v>
      </c>
      <c r="E1707" s="3" t="s">
        <v>179</v>
      </c>
      <c r="F1707" s="3" t="str">
        <f>INDEX(Product_Category!$B$2:$B$45,MATCH(TRIM(E1707),Product_Category!$A$2:$A$45,0))</f>
        <v>Nuts &amp; Oilseeds</v>
      </c>
      <c r="G1707" s="4">
        <v>0</v>
      </c>
      <c r="H1707" s="4">
        <v>0.01</v>
      </c>
      <c r="I1707" s="4">
        <v>0</v>
      </c>
      <c r="J1707" s="4">
        <v>0</v>
      </c>
      <c r="K1707" s="4">
        <v>0.69</v>
      </c>
      <c r="L1707" s="4">
        <v>0.27</v>
      </c>
      <c r="M1707" s="4">
        <f t="shared" si="78"/>
        <v>0.01</v>
      </c>
      <c r="N1707" s="4">
        <f t="shared" si="79"/>
        <v>0.69</v>
      </c>
      <c r="O1707" s="4">
        <f t="shared" si="80"/>
        <v>-0.01</v>
      </c>
      <c r="P1707" s="3" t="s">
        <v>19</v>
      </c>
    </row>
    <row r="1708" spans="1:16" x14ac:dyDescent="0.35">
      <c r="A1708" s="3" t="s">
        <v>258</v>
      </c>
      <c r="B1708" s="3" t="str">
        <f>INDEX(State_Region!$B$2:$B$26,MATCH(TRIM(A1708),State_Region!$A$2:$A$26,0))</f>
        <v>North-East</v>
      </c>
      <c r="C1708" s="3" t="s">
        <v>259</v>
      </c>
      <c r="D1708" s="3" t="str">
        <f>INDEX(Port_Type!$B$2:$B$227,MATCH(TRIM(C1708),Port_Type!$A$2:$A$227,0))</f>
        <v>Land Border / Rail</v>
      </c>
      <c r="E1708" s="3" t="s">
        <v>54</v>
      </c>
      <c r="F1708" s="3" t="str">
        <f>INDEX(Product_Category!$B$2:$B$45,MATCH(TRIM(E1708),Product_Category!$A$2:$A$45,0))</f>
        <v>Processed Foods</v>
      </c>
      <c r="G1708" s="4">
        <v>0</v>
      </c>
      <c r="H1708" s="4">
        <v>0.02</v>
      </c>
      <c r="I1708" s="4">
        <v>0</v>
      </c>
      <c r="J1708" s="4">
        <v>0</v>
      </c>
      <c r="K1708" s="4">
        <v>116</v>
      </c>
      <c r="L1708" s="4">
        <v>20</v>
      </c>
      <c r="M1708" s="4">
        <f t="shared" si="78"/>
        <v>0.02</v>
      </c>
      <c r="N1708" s="4">
        <f t="shared" si="79"/>
        <v>116</v>
      </c>
      <c r="O1708" s="4">
        <f t="shared" si="80"/>
        <v>-0.02</v>
      </c>
      <c r="P1708" s="3" t="s">
        <v>19</v>
      </c>
    </row>
    <row r="1709" spans="1:16" x14ac:dyDescent="0.35">
      <c r="A1709" s="3" t="s">
        <v>159</v>
      </c>
      <c r="B1709" s="3" t="str">
        <f>INDEX(State_Region!$B$2:$B$26,MATCH(TRIM(A1709),State_Region!$A$2:$A$26,0))</f>
        <v>North-East</v>
      </c>
      <c r="C1709" s="3" t="s">
        <v>186</v>
      </c>
      <c r="D1709" s="3" t="str">
        <f>INDEX(Port_Type!$B$2:$B$227,MATCH(TRIM(C1709),Port_Type!$A$2:$A$227,0))</f>
        <v>Land Border / Rail</v>
      </c>
      <c r="E1709" s="3" t="s">
        <v>170</v>
      </c>
      <c r="F1709" s="3" t="str">
        <f>INDEX(Product_Category!$B$2:$B$45,MATCH(TRIM(E1709),Product_Category!$A$2:$A$45,0))</f>
        <v>Others</v>
      </c>
      <c r="G1709" s="4">
        <v>0</v>
      </c>
      <c r="H1709" s="4">
        <v>0</v>
      </c>
      <c r="I1709" s="4">
        <v>0</v>
      </c>
      <c r="J1709" s="4">
        <v>0.7</v>
      </c>
      <c r="K1709" s="4">
        <v>0</v>
      </c>
      <c r="L1709" s="4">
        <v>1.64</v>
      </c>
      <c r="M1709" s="4">
        <f t="shared" si="78"/>
        <v>0</v>
      </c>
      <c r="N1709" s="4">
        <f t="shared" si="79"/>
        <v>-0.7</v>
      </c>
      <c r="O1709" s="4">
        <f t="shared" si="80"/>
        <v>0</v>
      </c>
      <c r="P1709" s="3" t="s">
        <v>19</v>
      </c>
    </row>
    <row r="1710" spans="1:16" x14ac:dyDescent="0.35">
      <c r="A1710" s="3" t="s">
        <v>159</v>
      </c>
      <c r="B1710" s="3" t="str">
        <f>INDEX(State_Region!$B$2:$B$26,MATCH(TRIM(A1710),State_Region!$A$2:$A$26,0))</f>
        <v>North-East</v>
      </c>
      <c r="C1710" s="3" t="s">
        <v>160</v>
      </c>
      <c r="D1710" s="3" t="str">
        <f>INDEX(Port_Type!$B$2:$B$227,MATCH(TRIM(C1710),Port_Type!$A$2:$A$227,0))</f>
        <v>Land Border / Rail</v>
      </c>
      <c r="E1710" s="3" t="s">
        <v>118</v>
      </c>
      <c r="F1710" s="3" t="str">
        <f>INDEX(Product_Category!$B$2:$B$45,MATCH(TRIM(E1710),Product_Category!$A$2:$A$45,0))</f>
        <v>Dairy, Poultry &amp; Honey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  <c r="L1710" s="4">
        <v>1.1299999999999999</v>
      </c>
      <c r="M1710" s="4">
        <f t="shared" si="78"/>
        <v>0</v>
      </c>
      <c r="N1710" s="4">
        <f t="shared" si="79"/>
        <v>0</v>
      </c>
      <c r="O1710" s="4">
        <f t="shared" si="80"/>
        <v>0</v>
      </c>
      <c r="P1710" s="3" t="s">
        <v>19</v>
      </c>
    </row>
    <row r="1711" spans="1:16" x14ac:dyDescent="0.35">
      <c r="A1711" s="3" t="s">
        <v>159</v>
      </c>
      <c r="B1711" s="3" t="str">
        <f>INDEX(State_Region!$B$2:$B$26,MATCH(TRIM(A1711),State_Region!$A$2:$A$26,0))</f>
        <v>North-East</v>
      </c>
      <c r="C1711" s="3" t="s">
        <v>160</v>
      </c>
      <c r="D1711" s="3" t="str">
        <f>INDEX(Port_Type!$B$2:$B$227,MATCH(TRIM(C1711),Port_Type!$A$2:$A$227,0))</f>
        <v>Land Border / Rail</v>
      </c>
      <c r="E1711" s="3" t="s">
        <v>113</v>
      </c>
      <c r="F1711" s="3" t="str">
        <f>INDEX(Product_Category!$B$2:$B$45,MATCH(TRIM(E1711),Product_Category!$A$2:$A$45,0))</f>
        <v>Cereals &amp; Grains</v>
      </c>
      <c r="G1711" s="4">
        <v>0</v>
      </c>
      <c r="H1711" s="4">
        <v>0.03</v>
      </c>
      <c r="I1711" s="4">
        <v>0</v>
      </c>
      <c r="J1711" s="4">
        <v>0</v>
      </c>
      <c r="K1711" s="4">
        <v>88.3</v>
      </c>
      <c r="L1711" s="4">
        <v>12.55</v>
      </c>
      <c r="M1711" s="4">
        <f t="shared" si="78"/>
        <v>0.03</v>
      </c>
      <c r="N1711" s="4">
        <f t="shared" si="79"/>
        <v>88.3</v>
      </c>
      <c r="O1711" s="4">
        <f t="shared" si="80"/>
        <v>-0.03</v>
      </c>
      <c r="P1711" s="3" t="s">
        <v>19</v>
      </c>
    </row>
    <row r="1712" spans="1:16" x14ac:dyDescent="0.35">
      <c r="A1712" s="3" t="s">
        <v>31</v>
      </c>
      <c r="B1712" s="3" t="str">
        <f>INDEX(State_Region!$B$2:$B$26,MATCH(TRIM(A1712),State_Region!$A$2:$A$26,0))</f>
        <v>East</v>
      </c>
      <c r="C1712" s="3" t="s">
        <v>139</v>
      </c>
      <c r="D1712" s="3" t="str">
        <f>INDEX(Port_Type!$B$2:$B$227,MATCH(TRIM(C1712),Port_Type!$A$2:$A$227,0))</f>
        <v>Land Border / Rail</v>
      </c>
      <c r="E1712" s="3" t="s">
        <v>59</v>
      </c>
      <c r="F1712" s="3" t="str">
        <f>INDEX(Product_Category!$B$2:$B$45,MATCH(TRIM(E1712),Product_Category!$A$2:$A$45,0))</f>
        <v>Processed Foods</v>
      </c>
      <c r="G1712" s="4">
        <v>0</v>
      </c>
      <c r="H1712" s="4">
        <v>0</v>
      </c>
      <c r="I1712" s="4">
        <v>0</v>
      </c>
      <c r="J1712" s="4">
        <v>0.51</v>
      </c>
      <c r="K1712" s="4">
        <v>0.05</v>
      </c>
      <c r="L1712" s="4">
        <v>2</v>
      </c>
      <c r="M1712" s="4">
        <f t="shared" si="78"/>
        <v>0</v>
      </c>
      <c r="N1712" s="4">
        <f t="shared" si="79"/>
        <v>-0.46</v>
      </c>
      <c r="O1712" s="4">
        <f t="shared" si="80"/>
        <v>0</v>
      </c>
      <c r="P1712" s="3" t="s">
        <v>19</v>
      </c>
    </row>
    <row r="1713" spans="1:16" x14ac:dyDescent="0.35">
      <c r="A1713" s="3" t="s">
        <v>23</v>
      </c>
      <c r="B1713" s="3" t="str">
        <f>INDEX(State_Region!$B$2:$B$26,MATCH(TRIM(A1713),State_Region!$A$2:$A$26,0))</f>
        <v>North</v>
      </c>
      <c r="C1713" s="3" t="s">
        <v>123</v>
      </c>
      <c r="D1713" s="3" t="str">
        <f>INDEX(Port_Type!$B$2:$B$227,MATCH(TRIM(C1713),Port_Type!$A$2:$A$227,0))</f>
        <v>Land Border / Rail</v>
      </c>
      <c r="E1713" s="3" t="s">
        <v>144</v>
      </c>
      <c r="F1713" s="3" t="str">
        <f>INDEX(Product_Category!$B$2:$B$45,MATCH(TRIM(E1713),Product_Category!$A$2:$A$45,0))</f>
        <v>Cereals &amp; Grains</v>
      </c>
      <c r="G1713" s="4">
        <v>0.1</v>
      </c>
      <c r="H1713" s="4">
        <v>0.06</v>
      </c>
      <c r="I1713" s="4">
        <v>0</v>
      </c>
      <c r="J1713" s="4">
        <v>214.38</v>
      </c>
      <c r="K1713" s="4">
        <v>197.69</v>
      </c>
      <c r="L1713" s="4">
        <v>10</v>
      </c>
      <c r="M1713" s="4">
        <f t="shared" si="78"/>
        <v>-4.0000000000000008E-2</v>
      </c>
      <c r="N1713" s="4">
        <f t="shared" si="79"/>
        <v>-16.689999999999998</v>
      </c>
      <c r="O1713" s="4">
        <f t="shared" si="80"/>
        <v>-0.06</v>
      </c>
      <c r="P1713" s="3" t="s">
        <v>19</v>
      </c>
    </row>
    <row r="1714" spans="1:16" x14ac:dyDescent="0.35">
      <c r="A1714" s="3" t="s">
        <v>79</v>
      </c>
      <c r="B1714" s="3" t="str">
        <f>INDEX(State_Region!$B$2:$B$26,MATCH(TRIM(A1714),State_Region!$A$2:$A$26,0))</f>
        <v>South</v>
      </c>
      <c r="C1714" s="3" t="s">
        <v>92</v>
      </c>
      <c r="D1714" s="3" t="str">
        <f>INDEX(Port_Type!$B$2:$B$227,MATCH(TRIM(C1714),Port_Type!$A$2:$A$227,0))</f>
        <v>Air Cargo</v>
      </c>
      <c r="E1714" s="3" t="s">
        <v>65</v>
      </c>
      <c r="F1714" s="3" t="str">
        <f>INDEX(Product_Category!$B$2:$B$45,MATCH(TRIM(E1714),Product_Category!$A$2:$A$45,0))</f>
        <v>Cereals &amp; Grains</v>
      </c>
      <c r="G1714" s="4">
        <v>0</v>
      </c>
      <c r="H1714" s="4">
        <v>0.01</v>
      </c>
      <c r="I1714" s="4">
        <v>0</v>
      </c>
      <c r="J1714" s="4">
        <v>0.66</v>
      </c>
      <c r="K1714" s="4">
        <v>5.83</v>
      </c>
      <c r="L1714" s="4">
        <v>1.1599999999999999</v>
      </c>
      <c r="M1714" s="4">
        <f t="shared" si="78"/>
        <v>0.01</v>
      </c>
      <c r="N1714" s="4">
        <f t="shared" si="79"/>
        <v>5.17</v>
      </c>
      <c r="O1714" s="4">
        <f t="shared" si="80"/>
        <v>-0.01</v>
      </c>
      <c r="P1714" s="3" t="s">
        <v>19</v>
      </c>
    </row>
    <row r="1715" spans="1:16" x14ac:dyDescent="0.35">
      <c r="A1715" s="3" t="s">
        <v>74</v>
      </c>
      <c r="B1715" s="3" t="str">
        <f>INDEX(State_Region!$B$2:$B$26,MATCH(TRIM(A1715),State_Region!$A$2:$A$26,0))</f>
        <v>South</v>
      </c>
      <c r="C1715" s="3" t="s">
        <v>137</v>
      </c>
      <c r="D1715" s="3" t="str">
        <f>INDEX(Port_Type!$B$2:$B$227,MATCH(TRIM(C1715),Port_Type!$A$2:$A$227,0))</f>
        <v>Air Cargo</v>
      </c>
      <c r="E1715" s="3" t="s">
        <v>65</v>
      </c>
      <c r="F1715" s="3" t="str">
        <f>INDEX(Product_Category!$B$2:$B$45,MATCH(TRIM(E1715),Product_Category!$A$2:$A$45,0))</f>
        <v>Cereals &amp; Grains</v>
      </c>
      <c r="G1715" s="4">
        <v>0.01</v>
      </c>
      <c r="H1715" s="4">
        <v>0</v>
      </c>
      <c r="I1715" s="4">
        <v>0</v>
      </c>
      <c r="J1715" s="4">
        <v>1.5</v>
      </c>
      <c r="K1715" s="4">
        <v>0.05</v>
      </c>
      <c r="L1715" s="4">
        <v>0.15</v>
      </c>
      <c r="M1715" s="4">
        <f t="shared" si="78"/>
        <v>-0.01</v>
      </c>
      <c r="N1715" s="4">
        <f t="shared" si="79"/>
        <v>-1.45</v>
      </c>
      <c r="O1715" s="4">
        <f t="shared" si="80"/>
        <v>0</v>
      </c>
      <c r="P1715" s="3" t="s">
        <v>19</v>
      </c>
    </row>
    <row r="1716" spans="1:16" x14ac:dyDescent="0.35">
      <c r="A1716" s="3" t="s">
        <v>94</v>
      </c>
      <c r="B1716" s="3" t="str">
        <f>INDEX(State_Region!$B$2:$B$26,MATCH(TRIM(A1716),State_Region!$A$2:$A$26,0))</f>
        <v>East</v>
      </c>
      <c r="C1716" s="3" t="s">
        <v>112</v>
      </c>
      <c r="D1716" s="3" t="str">
        <f>INDEX(Port_Type!$B$2:$B$227,MATCH(TRIM(C1716),Port_Type!$A$2:$A$227,0))</f>
        <v>Land Border / Rail</v>
      </c>
      <c r="E1716" s="3" t="s">
        <v>84</v>
      </c>
      <c r="F1716" s="3" t="str">
        <f>INDEX(Product_Category!$B$2:$B$45,MATCH(TRIM(E1716),Product_Category!$A$2:$A$45,0))</f>
        <v>Nuts &amp; Oilseeds</v>
      </c>
      <c r="G1716" s="4">
        <v>0</v>
      </c>
      <c r="H1716" s="4">
        <v>0.02</v>
      </c>
      <c r="I1716" s="4">
        <v>0</v>
      </c>
      <c r="J1716" s="4">
        <v>0</v>
      </c>
      <c r="K1716" s="4">
        <v>3.45</v>
      </c>
      <c r="L1716" s="4">
        <v>0.3</v>
      </c>
      <c r="M1716" s="4">
        <f t="shared" si="78"/>
        <v>0.02</v>
      </c>
      <c r="N1716" s="4">
        <f t="shared" si="79"/>
        <v>3.45</v>
      </c>
      <c r="O1716" s="4">
        <f t="shared" si="80"/>
        <v>-0.02</v>
      </c>
      <c r="P1716" s="3" t="s">
        <v>19</v>
      </c>
    </row>
    <row r="1717" spans="1:16" x14ac:dyDescent="0.35">
      <c r="A1717" s="3" t="s">
        <v>40</v>
      </c>
      <c r="B1717" s="3" t="str">
        <f>INDEX(State_Region!$B$2:$B$26,MATCH(TRIM(A1717),State_Region!$A$2:$A$26,0))</f>
        <v>South</v>
      </c>
      <c r="C1717" s="3" t="s">
        <v>107</v>
      </c>
      <c r="D1717" s="3" t="str">
        <f>INDEX(Port_Type!$B$2:$B$227,MATCH(TRIM(C1717),Port_Type!$A$2:$A$227,0))</f>
        <v>Sea Port</v>
      </c>
      <c r="E1717" s="3" t="s">
        <v>18</v>
      </c>
      <c r="F1717" s="3" t="str">
        <f>INDEX(Product_Category!$B$2:$B$45,MATCH(TRIM(E1717),Product_Category!$A$2:$A$45,0))</f>
        <v>Cereals &amp; Grains</v>
      </c>
      <c r="G1717" s="4">
        <v>0.01</v>
      </c>
      <c r="H1717" s="4">
        <v>0.02</v>
      </c>
      <c r="I1717" s="4">
        <v>0</v>
      </c>
      <c r="J1717" s="4">
        <v>6.54</v>
      </c>
      <c r="K1717" s="4">
        <v>8.17</v>
      </c>
      <c r="L1717" s="4">
        <v>2.81</v>
      </c>
      <c r="M1717" s="4">
        <f t="shared" si="78"/>
        <v>0.01</v>
      </c>
      <c r="N1717" s="4">
        <f t="shared" si="79"/>
        <v>1.63</v>
      </c>
      <c r="O1717" s="4">
        <f t="shared" si="80"/>
        <v>-0.02</v>
      </c>
      <c r="P1717" s="3" t="s">
        <v>19</v>
      </c>
    </row>
    <row r="1718" spans="1:16" x14ac:dyDescent="0.35">
      <c r="A1718" s="3" t="s">
        <v>35</v>
      </c>
      <c r="B1718" s="3" t="str">
        <f>INDEX(State_Region!$B$2:$B$26,MATCH(TRIM(A1718),State_Region!$A$2:$A$26,0))</f>
        <v>North</v>
      </c>
      <c r="C1718" s="3" t="s">
        <v>36</v>
      </c>
      <c r="D1718" s="3" t="str">
        <f>INDEX(Port_Type!$B$2:$B$227,MATCH(TRIM(C1718),Port_Type!$A$2:$A$227,0))</f>
        <v>Inland ICD / CFS</v>
      </c>
      <c r="E1718" s="3" t="s">
        <v>179</v>
      </c>
      <c r="F1718" s="3" t="str">
        <f>INDEX(Product_Category!$B$2:$B$45,MATCH(TRIM(E1718),Product_Category!$A$2:$A$45,0))</f>
        <v>Nuts &amp; Oilseeds</v>
      </c>
      <c r="G1718" s="4">
        <v>0</v>
      </c>
      <c r="H1718" s="4">
        <v>0</v>
      </c>
      <c r="I1718" s="4">
        <v>0</v>
      </c>
      <c r="J1718" s="4">
        <v>0.14000000000000001</v>
      </c>
      <c r="K1718" s="4">
        <v>0.02</v>
      </c>
      <c r="L1718" s="4">
        <v>0.2</v>
      </c>
      <c r="M1718" s="4">
        <f t="shared" si="78"/>
        <v>0</v>
      </c>
      <c r="N1718" s="4">
        <f t="shared" si="79"/>
        <v>-0.12000000000000001</v>
      </c>
      <c r="O1718" s="4">
        <f t="shared" si="80"/>
        <v>0</v>
      </c>
      <c r="P1718" s="3" t="s">
        <v>19</v>
      </c>
    </row>
    <row r="1719" spans="1:16" x14ac:dyDescent="0.35">
      <c r="A1719" s="3" t="s">
        <v>31</v>
      </c>
      <c r="B1719" s="3" t="str">
        <f>INDEX(State_Region!$B$2:$B$26,MATCH(TRIM(A1719),State_Region!$A$2:$A$26,0))</f>
        <v>East</v>
      </c>
      <c r="C1719" s="3" t="s">
        <v>171</v>
      </c>
      <c r="D1719" s="3" t="str">
        <f>INDEX(Port_Type!$B$2:$B$227,MATCH(TRIM(C1719),Port_Type!$A$2:$A$227,0))</f>
        <v>Land Border / Rail</v>
      </c>
      <c r="E1719" s="3" t="s">
        <v>22</v>
      </c>
      <c r="F1719" s="3" t="str">
        <f>INDEX(Product_Category!$B$2:$B$45,MATCH(TRIM(E1719),Product_Category!$A$2:$A$45,0))</f>
        <v>Meat &amp; Animal Products</v>
      </c>
      <c r="G1719" s="4">
        <v>0</v>
      </c>
      <c r="H1719" s="4">
        <v>0</v>
      </c>
      <c r="I1719" s="4">
        <v>0</v>
      </c>
      <c r="J1719" s="4">
        <v>0</v>
      </c>
      <c r="K1719" s="4">
        <v>0</v>
      </c>
      <c r="L1719" s="4">
        <v>3.65</v>
      </c>
      <c r="M1719" s="4">
        <f t="shared" si="78"/>
        <v>0</v>
      </c>
      <c r="N1719" s="4">
        <f t="shared" si="79"/>
        <v>0</v>
      </c>
      <c r="O1719" s="4">
        <f t="shared" si="80"/>
        <v>0</v>
      </c>
      <c r="P1719" s="3" t="s">
        <v>19</v>
      </c>
    </row>
    <row r="1720" spans="1:16" x14ac:dyDescent="0.35">
      <c r="A1720" s="3" t="s">
        <v>35</v>
      </c>
      <c r="B1720" s="3" t="str">
        <f>INDEX(State_Region!$B$2:$B$26,MATCH(TRIM(A1720),State_Region!$A$2:$A$26,0))</f>
        <v>North</v>
      </c>
      <c r="C1720" s="3" t="s">
        <v>38</v>
      </c>
      <c r="D1720" s="3" t="str">
        <f>INDEX(Port_Type!$B$2:$B$227,MATCH(TRIM(C1720),Port_Type!$A$2:$A$227,0))</f>
        <v>Inland ICD / CFS</v>
      </c>
      <c r="E1720" s="3" t="s">
        <v>45</v>
      </c>
      <c r="F1720" s="3" t="str">
        <f>INDEX(Product_Category!$B$2:$B$45,MATCH(TRIM(E1720),Product_Category!$A$2:$A$45,0))</f>
        <v>Fresh Fruits &amp; Vegetables</v>
      </c>
      <c r="G1720" s="4">
        <v>0.01</v>
      </c>
      <c r="H1720" s="4">
        <v>0.01</v>
      </c>
      <c r="I1720" s="4">
        <v>0</v>
      </c>
      <c r="J1720" s="4">
        <v>2.37</v>
      </c>
      <c r="K1720" s="4">
        <v>3.34</v>
      </c>
      <c r="L1720" s="4">
        <v>0.38</v>
      </c>
      <c r="M1720" s="4">
        <f t="shared" si="78"/>
        <v>0</v>
      </c>
      <c r="N1720" s="4">
        <f t="shared" si="79"/>
        <v>0.96999999999999975</v>
      </c>
      <c r="O1720" s="4">
        <f t="shared" si="80"/>
        <v>-0.01</v>
      </c>
      <c r="P1720" s="3" t="s">
        <v>19</v>
      </c>
    </row>
    <row r="1721" spans="1:16" x14ac:dyDescent="0.35">
      <c r="A1721" s="3" t="s">
        <v>16</v>
      </c>
      <c r="B1721" s="3" t="str">
        <f>INDEX(State_Region!$B$2:$B$26,MATCH(TRIM(A1721),State_Region!$A$2:$A$26,0))</f>
        <v>West</v>
      </c>
      <c r="C1721" s="3" t="s">
        <v>135</v>
      </c>
      <c r="D1721" s="3" t="str">
        <f>INDEX(Port_Type!$B$2:$B$227,MATCH(TRIM(C1721),Port_Type!$A$2:$A$227,0))</f>
        <v>Air Cargo</v>
      </c>
      <c r="E1721" s="3" t="s">
        <v>65</v>
      </c>
      <c r="F1721" s="3" t="str">
        <f>INDEX(Product_Category!$B$2:$B$45,MATCH(TRIM(E1721),Product_Category!$A$2:$A$45,0))</f>
        <v>Cereals &amp; Grains</v>
      </c>
      <c r="G1721" s="4">
        <v>0</v>
      </c>
      <c r="H1721" s="4">
        <v>0.01</v>
      </c>
      <c r="I1721" s="4">
        <v>0</v>
      </c>
      <c r="J1721" s="4">
        <v>0</v>
      </c>
      <c r="K1721" s="4">
        <v>5.75</v>
      </c>
      <c r="L1721" s="4">
        <v>0.5</v>
      </c>
      <c r="M1721" s="4">
        <f t="shared" si="78"/>
        <v>0.01</v>
      </c>
      <c r="N1721" s="4">
        <f t="shared" si="79"/>
        <v>5.75</v>
      </c>
      <c r="O1721" s="4">
        <f t="shared" si="80"/>
        <v>-0.01</v>
      </c>
      <c r="P1721" s="3" t="s">
        <v>19</v>
      </c>
    </row>
    <row r="1722" spans="1:16" x14ac:dyDescent="0.35">
      <c r="A1722" s="3" t="s">
        <v>231</v>
      </c>
      <c r="B1722" s="3" t="str">
        <f>INDEX(State_Region!$B$2:$B$26,MATCH(TRIM(A1722),State_Region!$A$2:$A$26,0))</f>
        <v>North-East</v>
      </c>
      <c r="C1722" s="3" t="s">
        <v>232</v>
      </c>
      <c r="D1722" s="3" t="str">
        <f>INDEX(Port_Type!$B$2:$B$227,MATCH(TRIM(C1722),Port_Type!$A$2:$A$227,0))</f>
        <v>Land Border / Rail</v>
      </c>
      <c r="E1722" s="3" t="s">
        <v>65</v>
      </c>
      <c r="F1722" s="3" t="str">
        <f>INDEX(Product_Category!$B$2:$B$45,MATCH(TRIM(E1722),Product_Category!$A$2:$A$45,0))</f>
        <v>Cereals &amp; Grains</v>
      </c>
      <c r="G1722" s="4">
        <v>0</v>
      </c>
      <c r="H1722" s="4">
        <v>0.02</v>
      </c>
      <c r="I1722" s="4">
        <v>0</v>
      </c>
      <c r="J1722" s="4">
        <v>1.35</v>
      </c>
      <c r="K1722" s="4">
        <v>39.31</v>
      </c>
      <c r="L1722" s="4">
        <v>6.17</v>
      </c>
      <c r="M1722" s="4">
        <f t="shared" si="78"/>
        <v>0.02</v>
      </c>
      <c r="N1722" s="4">
        <f t="shared" si="79"/>
        <v>37.96</v>
      </c>
      <c r="O1722" s="4">
        <f t="shared" si="80"/>
        <v>-0.02</v>
      </c>
      <c r="P1722" s="3" t="s">
        <v>19</v>
      </c>
    </row>
    <row r="1723" spans="1:16" x14ac:dyDescent="0.35">
      <c r="A1723" s="3" t="s">
        <v>251</v>
      </c>
      <c r="B1723" s="3" t="str">
        <f>INDEX(State_Region!$B$2:$B$26,MATCH(TRIM(A1723),State_Region!$A$2:$A$26,0))</f>
        <v>South</v>
      </c>
      <c r="C1723" s="3" t="s">
        <v>252</v>
      </c>
      <c r="D1723" s="3" t="str">
        <f>INDEX(Port_Type!$B$2:$B$227,MATCH(TRIM(C1723),Port_Type!$A$2:$A$227,0))</f>
        <v>Inland ICD / CFS</v>
      </c>
      <c r="E1723" s="3" t="s">
        <v>54</v>
      </c>
      <c r="F1723" s="3" t="str">
        <f>INDEX(Product_Category!$B$2:$B$45,MATCH(TRIM(E1723),Product_Category!$A$2:$A$45,0))</f>
        <v>Processed Foods</v>
      </c>
      <c r="G1723" s="4">
        <v>0.04</v>
      </c>
      <c r="H1723" s="4">
        <v>0.08</v>
      </c>
      <c r="I1723" s="4">
        <v>0</v>
      </c>
      <c r="J1723" s="4">
        <v>15.92</v>
      </c>
      <c r="K1723" s="4">
        <v>23.13</v>
      </c>
      <c r="L1723" s="4">
        <v>1.37</v>
      </c>
      <c r="M1723" s="4">
        <f t="shared" si="78"/>
        <v>0.04</v>
      </c>
      <c r="N1723" s="4">
        <f t="shared" si="79"/>
        <v>7.2099999999999991</v>
      </c>
      <c r="O1723" s="4">
        <f t="shared" si="80"/>
        <v>-0.08</v>
      </c>
      <c r="P1723" s="3" t="s">
        <v>19</v>
      </c>
    </row>
    <row r="1724" spans="1:16" x14ac:dyDescent="0.35">
      <c r="A1724" s="3" t="s">
        <v>57</v>
      </c>
      <c r="B1724" s="3" t="str">
        <f>INDEX(State_Region!$B$2:$B$26,MATCH(TRIM(A1724),State_Region!$A$2:$A$26,0))</f>
        <v>Central</v>
      </c>
      <c r="C1724" s="3" t="s">
        <v>161</v>
      </c>
      <c r="D1724" s="3" t="str">
        <f>INDEX(Port_Type!$B$2:$B$227,MATCH(TRIM(C1724),Port_Type!$A$2:$A$227,0))</f>
        <v>Inland ICD / CFS</v>
      </c>
      <c r="E1724" s="3" t="s">
        <v>150</v>
      </c>
      <c r="F1724" s="3" t="str">
        <f>INDEX(Product_Category!$B$2:$B$45,MATCH(TRIM(E1724),Product_Category!$A$2:$A$45,0))</f>
        <v>Nuts &amp; Oilseeds</v>
      </c>
      <c r="G1724" s="4">
        <v>0</v>
      </c>
      <c r="H1724" s="4">
        <v>0.02</v>
      </c>
      <c r="I1724" s="4">
        <v>0</v>
      </c>
      <c r="J1724" s="4">
        <v>0</v>
      </c>
      <c r="K1724" s="4">
        <v>0.34</v>
      </c>
      <c r="L1724" s="4">
        <v>0.24</v>
      </c>
      <c r="M1724" s="4">
        <f t="shared" si="78"/>
        <v>0.02</v>
      </c>
      <c r="N1724" s="4">
        <f t="shared" si="79"/>
        <v>0.34</v>
      </c>
      <c r="O1724" s="4">
        <f t="shared" si="80"/>
        <v>-0.02</v>
      </c>
      <c r="P1724" s="3" t="s">
        <v>19</v>
      </c>
    </row>
    <row r="1725" spans="1:16" x14ac:dyDescent="0.35">
      <c r="A1725" s="3" t="s">
        <v>94</v>
      </c>
      <c r="B1725" s="3" t="str">
        <f>INDEX(State_Region!$B$2:$B$26,MATCH(TRIM(A1725),State_Region!$A$2:$A$26,0))</f>
        <v>East</v>
      </c>
      <c r="C1725" s="3" t="s">
        <v>188</v>
      </c>
      <c r="D1725" s="3" t="str">
        <f>INDEX(Port_Type!$B$2:$B$227,MATCH(TRIM(C1725),Port_Type!$A$2:$A$227,0))</f>
        <v>Land Border / Rail</v>
      </c>
      <c r="E1725" s="3" t="s">
        <v>42</v>
      </c>
      <c r="F1725" s="3" t="str">
        <f>INDEX(Product_Category!$B$2:$B$45,MATCH(TRIM(E1725),Product_Category!$A$2:$A$45,0))</f>
        <v>Processed Foods</v>
      </c>
      <c r="G1725" s="4">
        <v>0.03</v>
      </c>
      <c r="H1725" s="4">
        <v>0</v>
      </c>
      <c r="I1725" s="4">
        <v>0</v>
      </c>
      <c r="J1725" s="4">
        <v>75.59</v>
      </c>
      <c r="K1725" s="4">
        <v>4.6100000000000003</v>
      </c>
      <c r="L1725" s="4">
        <v>5.36</v>
      </c>
      <c r="M1725" s="4">
        <f t="shared" si="78"/>
        <v>-0.03</v>
      </c>
      <c r="N1725" s="4">
        <f t="shared" si="79"/>
        <v>-70.98</v>
      </c>
      <c r="O1725" s="4">
        <f t="shared" si="80"/>
        <v>0</v>
      </c>
      <c r="P1725" s="3" t="s">
        <v>19</v>
      </c>
    </row>
    <row r="1726" spans="1:16" x14ac:dyDescent="0.35">
      <c r="A1726" s="3" t="s">
        <v>40</v>
      </c>
      <c r="B1726" s="3" t="str">
        <f>INDEX(State_Region!$B$2:$B$26,MATCH(TRIM(A1726),State_Region!$A$2:$A$26,0))</f>
        <v>South</v>
      </c>
      <c r="C1726" s="3" t="s">
        <v>241</v>
      </c>
      <c r="D1726" s="3" t="str">
        <f>INDEX(Port_Type!$B$2:$B$227,MATCH(TRIM(C1726),Port_Type!$A$2:$A$227,0))</f>
        <v>Air Cargo</v>
      </c>
      <c r="E1726" s="3" t="s">
        <v>53</v>
      </c>
      <c r="F1726" s="3" t="str">
        <f>INDEX(Product_Category!$B$2:$B$45,MATCH(TRIM(E1726),Product_Category!$A$2:$A$45,0))</f>
        <v>Processed Foods</v>
      </c>
      <c r="G1726" s="4">
        <v>0.01</v>
      </c>
      <c r="H1726" s="4">
        <v>0.03</v>
      </c>
      <c r="I1726" s="4">
        <v>0</v>
      </c>
      <c r="J1726" s="4">
        <v>7.81</v>
      </c>
      <c r="K1726" s="4">
        <v>23.14</v>
      </c>
      <c r="L1726" s="4">
        <v>7.07</v>
      </c>
      <c r="M1726" s="4">
        <f t="shared" si="78"/>
        <v>1.9999999999999997E-2</v>
      </c>
      <c r="N1726" s="4">
        <f t="shared" si="79"/>
        <v>15.330000000000002</v>
      </c>
      <c r="O1726" s="4">
        <f t="shared" si="80"/>
        <v>-0.03</v>
      </c>
      <c r="P1726" s="3" t="s">
        <v>19</v>
      </c>
    </row>
    <row r="1727" spans="1:16" x14ac:dyDescent="0.35">
      <c r="A1727" s="3" t="s">
        <v>20</v>
      </c>
      <c r="B1727" s="3" t="str">
        <f>INDEX(State_Region!$B$2:$B$26,MATCH(TRIM(A1727),State_Region!$A$2:$A$26,0))</f>
        <v>West</v>
      </c>
      <c r="C1727" s="3" t="s">
        <v>222</v>
      </c>
      <c r="D1727" s="3" t="str">
        <f>INDEX(Port_Type!$B$2:$B$227,MATCH(TRIM(C1727),Port_Type!$A$2:$A$227,0))</f>
        <v>Air Cargo</v>
      </c>
      <c r="E1727" s="3" t="s">
        <v>39</v>
      </c>
      <c r="F1727" s="3" t="str">
        <f>INDEX(Product_Category!$B$2:$B$45,MATCH(TRIM(E1727),Product_Category!$A$2:$A$45,0))</f>
        <v>Processed Foods</v>
      </c>
      <c r="G1727" s="4">
        <v>0</v>
      </c>
      <c r="H1727" s="4">
        <v>0.02</v>
      </c>
      <c r="I1727" s="4">
        <v>0</v>
      </c>
      <c r="J1727" s="4">
        <v>0</v>
      </c>
      <c r="K1727" s="4">
        <v>2.4300000000000002</v>
      </c>
      <c r="L1727" s="4">
        <v>0.47</v>
      </c>
      <c r="M1727" s="4">
        <f t="shared" si="78"/>
        <v>0.02</v>
      </c>
      <c r="N1727" s="4">
        <f t="shared" si="79"/>
        <v>2.4300000000000002</v>
      </c>
      <c r="O1727" s="4">
        <f t="shared" si="80"/>
        <v>-0.02</v>
      </c>
      <c r="P1727" s="3" t="s">
        <v>19</v>
      </c>
    </row>
    <row r="1728" spans="1:16" x14ac:dyDescent="0.35">
      <c r="A1728" s="3" t="s">
        <v>49</v>
      </c>
      <c r="B1728" s="3" t="str">
        <f>INDEX(State_Region!$B$2:$B$26,MATCH(TRIM(A1728),State_Region!$A$2:$A$26,0))</f>
        <v>North</v>
      </c>
      <c r="C1728" s="3" t="s">
        <v>70</v>
      </c>
      <c r="D1728" s="3" t="str">
        <f>INDEX(Port_Type!$B$2:$B$227,MATCH(TRIM(C1728),Port_Type!$A$2:$A$227,0))</f>
        <v>Inland ICD / CFS</v>
      </c>
      <c r="E1728" s="3" t="s">
        <v>65</v>
      </c>
      <c r="F1728" s="3" t="str">
        <f>INDEX(Product_Category!$B$2:$B$45,MATCH(TRIM(E1728),Product_Category!$A$2:$A$45,0))</f>
        <v>Cereals &amp; Grains</v>
      </c>
      <c r="G1728" s="4">
        <v>0</v>
      </c>
      <c r="H1728" s="4">
        <v>0</v>
      </c>
      <c r="I1728" s="4">
        <v>0</v>
      </c>
      <c r="J1728" s="4">
        <v>0</v>
      </c>
      <c r="K1728" s="4">
        <v>1.85</v>
      </c>
      <c r="L1728" s="4">
        <v>1.93</v>
      </c>
      <c r="M1728" s="4">
        <f t="shared" si="78"/>
        <v>0</v>
      </c>
      <c r="N1728" s="4">
        <f t="shared" si="79"/>
        <v>1.85</v>
      </c>
      <c r="O1728" s="4">
        <f t="shared" si="80"/>
        <v>0</v>
      </c>
      <c r="P1728" s="3" t="s">
        <v>19</v>
      </c>
    </row>
    <row r="1729" spans="1:16" x14ac:dyDescent="0.35">
      <c r="A1729" s="3" t="s">
        <v>77</v>
      </c>
      <c r="B1729" s="3" t="str">
        <f>INDEX(State_Region!$B$2:$B$26,MATCH(TRIM(A1729),State_Region!$A$2:$A$26,0))</f>
        <v>South</v>
      </c>
      <c r="C1729" s="3" t="s">
        <v>149</v>
      </c>
      <c r="D1729" s="3" t="str">
        <f>INDEX(Port_Type!$B$2:$B$227,MATCH(TRIM(C1729),Port_Type!$A$2:$A$227,0))</f>
        <v>SEZ / EPZ</v>
      </c>
      <c r="E1729" s="3" t="s">
        <v>45</v>
      </c>
      <c r="F1729" s="3" t="str">
        <f>INDEX(Product_Category!$B$2:$B$45,MATCH(TRIM(E1729),Product_Category!$A$2:$A$45,0))</f>
        <v>Fresh Fruits &amp; Vegetables</v>
      </c>
      <c r="G1729" s="4">
        <v>0</v>
      </c>
      <c r="H1729" s="4">
        <v>0.03</v>
      </c>
      <c r="I1729" s="4">
        <v>0</v>
      </c>
      <c r="J1729" s="4">
        <v>0.15</v>
      </c>
      <c r="K1729" s="4">
        <v>6.5</v>
      </c>
      <c r="L1729" s="4">
        <v>0.8</v>
      </c>
      <c r="M1729" s="4">
        <f t="shared" si="78"/>
        <v>0.03</v>
      </c>
      <c r="N1729" s="4">
        <f t="shared" si="79"/>
        <v>6.35</v>
      </c>
      <c r="O1729" s="4">
        <f t="shared" si="80"/>
        <v>-0.03</v>
      </c>
      <c r="P1729" s="3" t="s">
        <v>19</v>
      </c>
    </row>
    <row r="1730" spans="1:16" x14ac:dyDescent="0.35">
      <c r="A1730" s="3" t="s">
        <v>86</v>
      </c>
      <c r="B1730" s="3" t="str">
        <f>INDEX(State_Region!$B$2:$B$26,MATCH(TRIM(A1730),State_Region!$A$2:$A$26,0))</f>
        <v>North</v>
      </c>
      <c r="C1730" s="3" t="s">
        <v>207</v>
      </c>
      <c r="D1730" s="3" t="str">
        <f>INDEX(Port_Type!$B$2:$B$227,MATCH(TRIM(C1730),Port_Type!$A$2:$A$227,0))</f>
        <v>Inland ICD / CFS</v>
      </c>
      <c r="E1730" s="3" t="s">
        <v>118</v>
      </c>
      <c r="F1730" s="3" t="str">
        <f>INDEX(Product_Category!$B$2:$B$45,MATCH(TRIM(E1730),Product_Category!$A$2:$A$45,0))</f>
        <v>Dairy, Poultry &amp; Honey</v>
      </c>
      <c r="G1730" s="4">
        <v>0.01</v>
      </c>
      <c r="H1730" s="4">
        <v>0</v>
      </c>
      <c r="I1730" s="4">
        <v>0</v>
      </c>
      <c r="J1730" s="4">
        <v>0.64</v>
      </c>
      <c r="K1730" s="4">
        <v>1.03</v>
      </c>
      <c r="L1730" s="4">
        <v>1.58</v>
      </c>
      <c r="M1730" s="4">
        <f t="shared" ref="M1730:M1793" si="81">H1730-G1730</f>
        <v>-0.01</v>
      </c>
      <c r="N1730" s="4">
        <f t="shared" ref="N1730:N1793" si="82">K1730-J1730</f>
        <v>0.39</v>
      </c>
      <c r="O1730" s="4">
        <f t="shared" ref="O1730:O1793" si="83">I1730-H1730</f>
        <v>0</v>
      </c>
      <c r="P1730" s="3" t="s">
        <v>19</v>
      </c>
    </row>
    <row r="1731" spans="1:16" x14ac:dyDescent="0.35">
      <c r="A1731" s="3" t="s">
        <v>49</v>
      </c>
      <c r="B1731" s="3" t="str">
        <f>INDEX(State_Region!$B$2:$B$26,MATCH(TRIM(A1731),State_Region!$A$2:$A$26,0))</f>
        <v>North</v>
      </c>
      <c r="C1731" s="3" t="s">
        <v>121</v>
      </c>
      <c r="D1731" s="3" t="str">
        <f>INDEX(Port_Type!$B$2:$B$227,MATCH(TRIM(C1731),Port_Type!$A$2:$A$227,0))</f>
        <v>Inland ICD / CFS</v>
      </c>
      <c r="E1731" s="3" t="s">
        <v>45</v>
      </c>
      <c r="F1731" s="3" t="str">
        <f>INDEX(Product_Category!$B$2:$B$45,MATCH(TRIM(E1731),Product_Category!$A$2:$A$45,0))</f>
        <v>Fresh Fruits &amp; Vegetables</v>
      </c>
      <c r="G1731" s="4">
        <v>0.01</v>
      </c>
      <c r="H1731" s="4">
        <v>0</v>
      </c>
      <c r="I1731" s="4">
        <v>0</v>
      </c>
      <c r="J1731" s="4">
        <v>3.97</v>
      </c>
      <c r="K1731" s="4">
        <v>0.45</v>
      </c>
      <c r="L1731" s="4">
        <v>0.9</v>
      </c>
      <c r="M1731" s="4">
        <f t="shared" si="81"/>
        <v>-0.01</v>
      </c>
      <c r="N1731" s="4">
        <f t="shared" si="82"/>
        <v>-3.52</v>
      </c>
      <c r="O1731" s="4">
        <f t="shared" si="83"/>
        <v>0</v>
      </c>
      <c r="P1731" s="3" t="s">
        <v>19</v>
      </c>
    </row>
    <row r="1732" spans="1:16" x14ac:dyDescent="0.35">
      <c r="A1732" s="3" t="s">
        <v>49</v>
      </c>
      <c r="B1732" s="3" t="str">
        <f>INDEX(State_Region!$B$2:$B$26,MATCH(TRIM(A1732),State_Region!$A$2:$A$26,0))</f>
        <v>North</v>
      </c>
      <c r="C1732" s="3" t="s">
        <v>176</v>
      </c>
      <c r="D1732" s="3" t="str">
        <f>INDEX(Port_Type!$B$2:$B$227,MATCH(TRIM(C1732),Port_Type!$A$2:$A$227,0))</f>
        <v>Inland ICD / CFS</v>
      </c>
      <c r="E1732" s="3" t="s">
        <v>72</v>
      </c>
      <c r="F1732" s="3" t="str">
        <f>INDEX(Product_Category!$B$2:$B$45,MATCH(TRIM(E1732),Product_Category!$A$2:$A$45,0))</f>
        <v>Dairy, Poultry &amp; Honey</v>
      </c>
      <c r="G1732" s="4">
        <v>0.19</v>
      </c>
      <c r="H1732" s="4">
        <v>0.1</v>
      </c>
      <c r="I1732" s="4">
        <v>0</v>
      </c>
      <c r="J1732" s="4">
        <v>32.36</v>
      </c>
      <c r="K1732" s="4">
        <v>22.3</v>
      </c>
      <c r="L1732" s="4">
        <v>0.4</v>
      </c>
      <c r="M1732" s="4">
        <f t="shared" si="81"/>
        <v>-0.09</v>
      </c>
      <c r="N1732" s="4">
        <f t="shared" si="82"/>
        <v>-10.059999999999999</v>
      </c>
      <c r="O1732" s="4">
        <f t="shared" si="83"/>
        <v>-0.1</v>
      </c>
      <c r="P1732" s="3" t="s">
        <v>19</v>
      </c>
    </row>
    <row r="1733" spans="1:16" x14ac:dyDescent="0.35">
      <c r="A1733" s="3" t="s">
        <v>16</v>
      </c>
      <c r="B1733" s="3" t="str">
        <f>INDEX(State_Region!$B$2:$B$26,MATCH(TRIM(A1733),State_Region!$A$2:$A$26,0))</f>
        <v>West</v>
      </c>
      <c r="C1733" s="3" t="s">
        <v>135</v>
      </c>
      <c r="D1733" s="3" t="str">
        <f>INDEX(Port_Type!$B$2:$B$227,MATCH(TRIM(C1733),Port_Type!$A$2:$A$227,0))</f>
        <v>Air Cargo</v>
      </c>
      <c r="E1733" s="3" t="s">
        <v>114</v>
      </c>
      <c r="F1733" s="3" t="str">
        <f>INDEX(Product_Category!$B$2:$B$45,MATCH(TRIM(E1733),Product_Category!$A$2:$A$45,0))</f>
        <v>Dairy, Poultry &amp; Honey</v>
      </c>
      <c r="G1733" s="4">
        <v>0</v>
      </c>
      <c r="H1733" s="4">
        <v>0.01</v>
      </c>
      <c r="I1733" s="4">
        <v>0</v>
      </c>
      <c r="J1733" s="4">
        <v>0.5</v>
      </c>
      <c r="K1733" s="4">
        <v>0.93</v>
      </c>
      <c r="L1733" s="4">
        <v>0.7</v>
      </c>
      <c r="M1733" s="4">
        <f t="shared" si="81"/>
        <v>0.01</v>
      </c>
      <c r="N1733" s="4">
        <f t="shared" si="82"/>
        <v>0.43000000000000005</v>
      </c>
      <c r="O1733" s="4">
        <f t="shared" si="83"/>
        <v>-0.01</v>
      </c>
      <c r="P1733" s="3" t="s">
        <v>19</v>
      </c>
    </row>
    <row r="1734" spans="1:16" x14ac:dyDescent="0.35">
      <c r="A1734" s="3" t="s">
        <v>49</v>
      </c>
      <c r="B1734" s="3" t="str">
        <f>INDEX(State_Region!$B$2:$B$26,MATCH(TRIM(A1734),State_Region!$A$2:$A$26,0))</f>
        <v>North</v>
      </c>
      <c r="C1734" s="3" t="s">
        <v>176</v>
      </c>
      <c r="D1734" s="3" t="str">
        <f>INDEX(Port_Type!$B$2:$B$227,MATCH(TRIM(C1734),Port_Type!$A$2:$A$227,0))</f>
        <v>Inland ICD / CFS</v>
      </c>
      <c r="E1734" s="3" t="s">
        <v>84</v>
      </c>
      <c r="F1734" s="3" t="str">
        <f>INDEX(Product_Category!$B$2:$B$45,MATCH(TRIM(E1734),Product_Category!$A$2:$A$45,0))</f>
        <v>Nuts &amp; Oilseeds</v>
      </c>
      <c r="G1734" s="4">
        <v>0.02</v>
      </c>
      <c r="H1734" s="4">
        <v>0.01</v>
      </c>
      <c r="I1734" s="4">
        <v>0</v>
      </c>
      <c r="J1734" s="4">
        <v>1.79</v>
      </c>
      <c r="K1734" s="4">
        <v>0.63</v>
      </c>
      <c r="L1734" s="4">
        <v>0.32</v>
      </c>
      <c r="M1734" s="4">
        <f t="shared" si="81"/>
        <v>-0.01</v>
      </c>
      <c r="N1734" s="4">
        <f t="shared" si="82"/>
        <v>-1.1600000000000001</v>
      </c>
      <c r="O1734" s="4">
        <f t="shared" si="83"/>
        <v>-0.01</v>
      </c>
      <c r="P1734" s="3" t="s">
        <v>19</v>
      </c>
    </row>
    <row r="1735" spans="1:16" x14ac:dyDescent="0.35">
      <c r="A1735" s="3" t="s">
        <v>166</v>
      </c>
      <c r="B1735" s="3" t="str">
        <f>INDEX(State_Region!$B$2:$B$26,MATCH(TRIM(A1735),State_Region!$A$2:$A$26,0))</f>
        <v>West</v>
      </c>
      <c r="C1735" s="3" t="s">
        <v>200</v>
      </c>
      <c r="D1735" s="3" t="str">
        <f>INDEX(Port_Type!$B$2:$B$227,MATCH(TRIM(C1735),Port_Type!$A$2:$A$227,0))</f>
        <v>Air Cargo</v>
      </c>
      <c r="E1735" s="3" t="s">
        <v>42</v>
      </c>
      <c r="F1735" s="3" t="str">
        <f>INDEX(Product_Category!$B$2:$B$45,MATCH(TRIM(E1735),Product_Category!$A$2:$A$45,0))</f>
        <v>Processed Foods</v>
      </c>
      <c r="G1735" s="4">
        <v>0</v>
      </c>
      <c r="H1735" s="4">
        <v>0</v>
      </c>
      <c r="I1735" s="4">
        <v>0</v>
      </c>
      <c r="J1735" s="4">
        <v>0.01</v>
      </c>
      <c r="K1735" s="4">
        <v>2.83</v>
      </c>
      <c r="L1735" s="4">
        <v>2.38</v>
      </c>
      <c r="M1735" s="4">
        <f t="shared" si="81"/>
        <v>0</v>
      </c>
      <c r="N1735" s="4">
        <f t="shared" si="82"/>
        <v>2.8200000000000003</v>
      </c>
      <c r="O1735" s="4">
        <f t="shared" si="83"/>
        <v>0</v>
      </c>
      <c r="P1735" s="3" t="s">
        <v>19</v>
      </c>
    </row>
    <row r="1736" spans="1:16" x14ac:dyDescent="0.35">
      <c r="A1736" s="3" t="s">
        <v>31</v>
      </c>
      <c r="B1736" s="3" t="str">
        <f>INDEX(State_Region!$B$2:$B$26,MATCH(TRIM(A1736),State_Region!$A$2:$A$26,0))</f>
        <v>East</v>
      </c>
      <c r="C1736" s="3" t="s">
        <v>215</v>
      </c>
      <c r="D1736" s="3" t="str">
        <f>INDEX(Port_Type!$B$2:$B$227,MATCH(TRIM(C1736),Port_Type!$A$2:$A$227,0))</f>
        <v>Land Border / Rail</v>
      </c>
      <c r="E1736" s="3" t="s">
        <v>54</v>
      </c>
      <c r="F1736" s="3" t="str">
        <f>INDEX(Product_Category!$B$2:$B$45,MATCH(TRIM(E1736),Product_Category!$A$2:$A$45,0))</f>
        <v>Processed Foods</v>
      </c>
      <c r="G1736" s="4">
        <v>0.01</v>
      </c>
      <c r="H1736" s="4">
        <v>0</v>
      </c>
      <c r="I1736" s="4">
        <v>0</v>
      </c>
      <c r="J1736" s="4">
        <v>14.77</v>
      </c>
      <c r="K1736" s="4">
        <v>4.09</v>
      </c>
      <c r="L1736" s="4">
        <v>5.22</v>
      </c>
      <c r="M1736" s="4">
        <f t="shared" si="81"/>
        <v>-0.01</v>
      </c>
      <c r="N1736" s="4">
        <f t="shared" si="82"/>
        <v>-10.68</v>
      </c>
      <c r="O1736" s="4">
        <f t="shared" si="83"/>
        <v>0</v>
      </c>
      <c r="P1736" s="3" t="s">
        <v>19</v>
      </c>
    </row>
    <row r="1737" spans="1:16" x14ac:dyDescent="0.35">
      <c r="A1737" s="3" t="s">
        <v>40</v>
      </c>
      <c r="B1737" s="3" t="str">
        <f>INDEX(State_Region!$B$2:$B$26,MATCH(TRIM(A1737),State_Region!$A$2:$A$26,0))</f>
        <v>South</v>
      </c>
      <c r="C1737" s="3" t="s">
        <v>64</v>
      </c>
      <c r="D1737" s="3" t="str">
        <f>INDEX(Port_Type!$B$2:$B$227,MATCH(TRIM(C1737),Port_Type!$A$2:$A$227,0))</f>
        <v>Inland ICD / CFS</v>
      </c>
      <c r="E1737" s="3" t="s">
        <v>126</v>
      </c>
      <c r="F1737" s="3" t="str">
        <f>INDEX(Product_Category!$B$2:$B$45,MATCH(TRIM(E1737),Product_Category!$A$2:$A$45,0))</f>
        <v>Cereals &amp; Grains</v>
      </c>
      <c r="G1737" s="4">
        <v>0.01</v>
      </c>
      <c r="H1737" s="4">
        <v>0.01</v>
      </c>
      <c r="I1737" s="4">
        <v>0</v>
      </c>
      <c r="J1737" s="4">
        <v>6.63</v>
      </c>
      <c r="K1737" s="4">
        <v>6.38</v>
      </c>
      <c r="L1737" s="4">
        <v>3.73</v>
      </c>
      <c r="M1737" s="4">
        <f t="shared" si="81"/>
        <v>0</v>
      </c>
      <c r="N1737" s="4">
        <f t="shared" si="82"/>
        <v>-0.25</v>
      </c>
      <c r="O1737" s="4">
        <f t="shared" si="83"/>
        <v>-0.01</v>
      </c>
      <c r="P1737" s="3" t="s">
        <v>19</v>
      </c>
    </row>
    <row r="1738" spans="1:16" x14ac:dyDescent="0.35">
      <c r="A1738" s="3" t="s">
        <v>49</v>
      </c>
      <c r="B1738" s="3" t="str">
        <f>INDEX(State_Region!$B$2:$B$26,MATCH(TRIM(A1738),State_Region!$A$2:$A$26,0))</f>
        <v>North</v>
      </c>
      <c r="C1738" s="3" t="s">
        <v>70</v>
      </c>
      <c r="D1738" s="3" t="str">
        <f>INDEX(Port_Type!$B$2:$B$227,MATCH(TRIM(C1738),Port_Type!$A$2:$A$227,0))</f>
        <v>Inland ICD / CFS</v>
      </c>
      <c r="E1738" s="3" t="s">
        <v>144</v>
      </c>
      <c r="F1738" s="3" t="str">
        <f>INDEX(Product_Category!$B$2:$B$45,MATCH(TRIM(E1738),Product_Category!$A$2:$A$45,0))</f>
        <v>Cereals &amp; Grains</v>
      </c>
      <c r="G1738" s="4">
        <v>0</v>
      </c>
      <c r="H1738" s="4">
        <v>0</v>
      </c>
      <c r="I1738" s="4">
        <v>0</v>
      </c>
      <c r="J1738" s="4">
        <v>1.1399999999999999</v>
      </c>
      <c r="K1738" s="4">
        <v>0</v>
      </c>
      <c r="L1738" s="4">
        <v>5</v>
      </c>
      <c r="M1738" s="4">
        <f t="shared" si="81"/>
        <v>0</v>
      </c>
      <c r="N1738" s="4">
        <f t="shared" si="82"/>
        <v>-1.1399999999999999</v>
      </c>
      <c r="O1738" s="4">
        <f t="shared" si="83"/>
        <v>0</v>
      </c>
      <c r="P1738" s="3" t="s">
        <v>19</v>
      </c>
    </row>
    <row r="1739" spans="1:16" x14ac:dyDescent="0.35">
      <c r="A1739" s="3" t="s">
        <v>31</v>
      </c>
      <c r="B1739" s="3" t="str">
        <f>INDEX(State_Region!$B$2:$B$26,MATCH(TRIM(A1739),State_Region!$A$2:$A$26,0))</f>
        <v>East</v>
      </c>
      <c r="C1739" s="3" t="s">
        <v>215</v>
      </c>
      <c r="D1739" s="3" t="str">
        <f>INDEX(Port_Type!$B$2:$B$227,MATCH(TRIM(C1739),Port_Type!$A$2:$A$227,0))</f>
        <v>Land Border / Rail</v>
      </c>
      <c r="E1739" s="3" t="s">
        <v>83</v>
      </c>
      <c r="F1739" s="3" t="str">
        <f>INDEX(Product_Category!$B$2:$B$45,MATCH(TRIM(E1739),Product_Category!$A$2:$A$45,0))</f>
        <v>Fresh Fruits &amp; Vegetables</v>
      </c>
      <c r="G1739" s="4">
        <v>0</v>
      </c>
      <c r="H1739" s="4">
        <v>0.01</v>
      </c>
      <c r="I1739" s="4">
        <v>0</v>
      </c>
      <c r="J1739" s="4">
        <v>1.7</v>
      </c>
      <c r="K1739" s="4">
        <v>3.71</v>
      </c>
      <c r="L1739" s="4">
        <v>1.97</v>
      </c>
      <c r="M1739" s="4">
        <f t="shared" si="81"/>
        <v>0.01</v>
      </c>
      <c r="N1739" s="4">
        <f t="shared" si="82"/>
        <v>2.0099999999999998</v>
      </c>
      <c r="O1739" s="4">
        <f t="shared" si="83"/>
        <v>-0.01</v>
      </c>
      <c r="P1739" s="3" t="s">
        <v>19</v>
      </c>
    </row>
    <row r="1740" spans="1:16" x14ac:dyDescent="0.35">
      <c r="A1740" s="3" t="s">
        <v>86</v>
      </c>
      <c r="B1740" s="3" t="str">
        <f>INDEX(State_Region!$B$2:$B$26,MATCH(TRIM(A1740),State_Region!$A$2:$A$26,0))</f>
        <v>North</v>
      </c>
      <c r="C1740" s="3" t="s">
        <v>106</v>
      </c>
      <c r="D1740" s="3" t="str">
        <f>INDEX(Port_Type!$B$2:$B$227,MATCH(TRIM(C1740),Port_Type!$A$2:$A$227,0))</f>
        <v>Inland ICD / CFS</v>
      </c>
      <c r="E1740" s="3" t="s">
        <v>174</v>
      </c>
      <c r="F1740" s="3" t="str">
        <f>INDEX(Product_Category!$B$2:$B$45,MATCH(TRIM(E1740),Product_Category!$A$2:$A$45,0))</f>
        <v>Dairy, Poultry &amp; Honey</v>
      </c>
      <c r="G1740" s="4">
        <v>0.01</v>
      </c>
      <c r="H1740" s="4">
        <v>0.02</v>
      </c>
      <c r="I1740" s="4">
        <v>0</v>
      </c>
      <c r="J1740" s="4">
        <v>0.48</v>
      </c>
      <c r="K1740" s="4">
        <v>0.83</v>
      </c>
      <c r="L1740" s="4">
        <v>0.1</v>
      </c>
      <c r="M1740" s="4">
        <f t="shared" si="81"/>
        <v>0.01</v>
      </c>
      <c r="N1740" s="4">
        <f t="shared" si="82"/>
        <v>0.35</v>
      </c>
      <c r="O1740" s="4">
        <f t="shared" si="83"/>
        <v>-0.02</v>
      </c>
      <c r="P1740" s="3" t="s">
        <v>19</v>
      </c>
    </row>
    <row r="1741" spans="1:16" x14ac:dyDescent="0.35">
      <c r="A1741" s="3" t="s">
        <v>86</v>
      </c>
      <c r="B1741" s="3" t="str">
        <f>INDEX(State_Region!$B$2:$B$26,MATCH(TRIM(A1741),State_Region!$A$2:$A$26,0))</f>
        <v>North</v>
      </c>
      <c r="C1741" s="3" t="s">
        <v>207</v>
      </c>
      <c r="D1741" s="3" t="str">
        <f>INDEX(Port_Type!$B$2:$B$227,MATCH(TRIM(C1741),Port_Type!$A$2:$A$227,0))</f>
        <v>Inland ICD / CFS</v>
      </c>
      <c r="E1741" s="3" t="s">
        <v>65</v>
      </c>
      <c r="F1741" s="3" t="str">
        <f>INDEX(Product_Category!$B$2:$B$45,MATCH(TRIM(E1741),Product_Category!$A$2:$A$45,0))</f>
        <v>Cereals &amp; Grains</v>
      </c>
      <c r="G1741" s="4">
        <v>0</v>
      </c>
      <c r="H1741" s="4">
        <v>0.01</v>
      </c>
      <c r="I1741" s="4">
        <v>0</v>
      </c>
      <c r="J1741" s="4">
        <v>1.44</v>
      </c>
      <c r="K1741" s="4">
        <v>15.2</v>
      </c>
      <c r="L1741" s="4">
        <v>4.66</v>
      </c>
      <c r="M1741" s="4">
        <f t="shared" si="81"/>
        <v>0.01</v>
      </c>
      <c r="N1741" s="4">
        <f t="shared" si="82"/>
        <v>13.76</v>
      </c>
      <c r="O1741" s="4">
        <f t="shared" si="83"/>
        <v>-0.01</v>
      </c>
      <c r="P1741" s="3" t="s">
        <v>19</v>
      </c>
    </row>
    <row r="1742" spans="1:16" x14ac:dyDescent="0.35">
      <c r="A1742" s="3" t="s">
        <v>16</v>
      </c>
      <c r="B1742" s="3" t="str">
        <f>INDEX(State_Region!$B$2:$B$26,MATCH(TRIM(A1742),State_Region!$A$2:$A$26,0))</f>
        <v>West</v>
      </c>
      <c r="C1742" s="3" t="s">
        <v>17</v>
      </c>
      <c r="D1742" s="3" t="str">
        <f>INDEX(Port_Type!$B$2:$B$227,MATCH(TRIM(C1742),Port_Type!$A$2:$A$227,0))</f>
        <v>Sea Port</v>
      </c>
      <c r="E1742" s="3" t="s">
        <v>128</v>
      </c>
      <c r="F1742" s="3" t="str">
        <f>INDEX(Product_Category!$B$2:$B$45,MATCH(TRIM(E1742),Product_Category!$A$2:$A$45,0))</f>
        <v>Dairy, Poultry &amp; Honey</v>
      </c>
      <c r="G1742" s="4">
        <v>0.11</v>
      </c>
      <c r="H1742" s="4">
        <v>0</v>
      </c>
      <c r="I1742" s="4">
        <v>0</v>
      </c>
      <c r="J1742" s="4">
        <v>36.200000000000003</v>
      </c>
      <c r="K1742" s="4">
        <v>0.25</v>
      </c>
      <c r="L1742" s="4">
        <v>0.4</v>
      </c>
      <c r="M1742" s="4">
        <f t="shared" si="81"/>
        <v>-0.11</v>
      </c>
      <c r="N1742" s="4">
        <f t="shared" si="82"/>
        <v>-35.950000000000003</v>
      </c>
      <c r="O1742" s="4">
        <f t="shared" si="83"/>
        <v>0</v>
      </c>
      <c r="P1742" s="3" t="s">
        <v>19</v>
      </c>
    </row>
    <row r="1743" spans="1:16" x14ac:dyDescent="0.35">
      <c r="A1743" s="3" t="s">
        <v>94</v>
      </c>
      <c r="B1743" s="3" t="str">
        <f>INDEX(State_Region!$B$2:$B$26,MATCH(TRIM(A1743),State_Region!$A$2:$A$26,0))</f>
        <v>East</v>
      </c>
      <c r="C1743" s="3" t="s">
        <v>95</v>
      </c>
      <c r="D1743" s="3" t="str">
        <f>INDEX(Port_Type!$B$2:$B$227,MATCH(TRIM(C1743),Port_Type!$A$2:$A$227,0))</f>
        <v>Land Border / Rail</v>
      </c>
      <c r="E1743" s="3" t="s">
        <v>174</v>
      </c>
      <c r="F1743" s="3" t="str">
        <f>INDEX(Product_Category!$B$2:$B$45,MATCH(TRIM(E1743),Product_Category!$A$2:$A$45,0))</f>
        <v>Dairy, Poultry &amp; Honey</v>
      </c>
      <c r="G1743" s="4">
        <v>0</v>
      </c>
      <c r="H1743" s="4">
        <v>0</v>
      </c>
      <c r="I1743" s="4">
        <v>0</v>
      </c>
      <c r="J1743" s="4">
        <v>0.03</v>
      </c>
      <c r="K1743" s="4">
        <v>0.19</v>
      </c>
      <c r="L1743" s="4">
        <v>0.2</v>
      </c>
      <c r="M1743" s="4">
        <f t="shared" si="81"/>
        <v>0</v>
      </c>
      <c r="N1743" s="4">
        <f t="shared" si="82"/>
        <v>0.16</v>
      </c>
      <c r="O1743" s="4">
        <f t="shared" si="83"/>
        <v>0</v>
      </c>
      <c r="P1743" s="3" t="s">
        <v>19</v>
      </c>
    </row>
    <row r="1744" spans="1:16" x14ac:dyDescent="0.35">
      <c r="A1744" s="3" t="s">
        <v>86</v>
      </c>
      <c r="B1744" s="3" t="str">
        <f>INDEX(State_Region!$B$2:$B$26,MATCH(TRIM(A1744),State_Region!$A$2:$A$26,0))</f>
        <v>North</v>
      </c>
      <c r="C1744" s="3" t="s">
        <v>87</v>
      </c>
      <c r="D1744" s="3" t="str">
        <f>INDEX(Port_Type!$B$2:$B$227,MATCH(TRIM(C1744),Port_Type!$A$2:$A$227,0))</f>
        <v>Air Cargo</v>
      </c>
      <c r="E1744" s="3" t="s">
        <v>81</v>
      </c>
      <c r="F1744" s="3" t="str">
        <f>INDEX(Product_Category!$B$2:$B$45,MATCH(TRIM(E1744),Product_Category!$A$2:$A$45,0))</f>
        <v>Processed Foods</v>
      </c>
      <c r="G1744" s="4">
        <v>0</v>
      </c>
      <c r="H1744" s="4">
        <v>0</v>
      </c>
      <c r="I1744" s="4">
        <v>0</v>
      </c>
      <c r="J1744" s="4">
        <v>0.03</v>
      </c>
      <c r="K1744" s="4">
        <v>0.12</v>
      </c>
      <c r="L1744" s="4">
        <v>0.26</v>
      </c>
      <c r="M1744" s="4">
        <f t="shared" si="81"/>
        <v>0</v>
      </c>
      <c r="N1744" s="4">
        <f t="shared" si="82"/>
        <v>0.09</v>
      </c>
      <c r="O1744" s="4">
        <f t="shared" si="83"/>
        <v>0</v>
      </c>
      <c r="P1744" s="3" t="s">
        <v>19</v>
      </c>
    </row>
    <row r="1745" spans="1:16" x14ac:dyDescent="0.35">
      <c r="A1745" s="3" t="s">
        <v>57</v>
      </c>
      <c r="B1745" s="3" t="str">
        <f>INDEX(State_Region!$B$2:$B$26,MATCH(TRIM(A1745),State_Region!$A$2:$A$26,0))</f>
        <v>Central</v>
      </c>
      <c r="C1745" s="3" t="s">
        <v>197</v>
      </c>
      <c r="D1745" s="3" t="str">
        <f>INDEX(Port_Type!$B$2:$B$227,MATCH(TRIM(C1745),Port_Type!$A$2:$A$227,0))</f>
        <v>Air Cargo</v>
      </c>
      <c r="E1745" s="3" t="s">
        <v>102</v>
      </c>
      <c r="F1745" s="3" t="str">
        <f>INDEX(Product_Category!$B$2:$B$45,MATCH(TRIM(E1745),Product_Category!$A$2:$A$45,0))</f>
        <v>Fresh Fruits &amp; Vegetables</v>
      </c>
      <c r="G1745" s="4">
        <v>0</v>
      </c>
      <c r="H1745" s="4">
        <v>0.01</v>
      </c>
      <c r="I1745" s="4">
        <v>0</v>
      </c>
      <c r="J1745" s="4">
        <v>0</v>
      </c>
      <c r="K1745" s="4">
        <v>21.08</v>
      </c>
      <c r="L1745" s="4">
        <v>7.04</v>
      </c>
      <c r="M1745" s="4">
        <f t="shared" si="81"/>
        <v>0.01</v>
      </c>
      <c r="N1745" s="4">
        <f t="shared" si="82"/>
        <v>21.08</v>
      </c>
      <c r="O1745" s="4">
        <f t="shared" si="83"/>
        <v>-0.01</v>
      </c>
      <c r="P1745" s="3" t="s">
        <v>19</v>
      </c>
    </row>
    <row r="1746" spans="1:16" x14ac:dyDescent="0.35">
      <c r="A1746" s="3" t="s">
        <v>20</v>
      </c>
      <c r="B1746" s="3" t="str">
        <f>INDEX(State_Region!$B$2:$B$26,MATCH(TRIM(A1746),State_Region!$A$2:$A$26,0))</f>
        <v>West</v>
      </c>
      <c r="C1746" s="3" t="s">
        <v>134</v>
      </c>
      <c r="D1746" s="3" t="str">
        <f>INDEX(Port_Type!$B$2:$B$227,MATCH(TRIM(C1746),Port_Type!$A$2:$A$227,0))</f>
        <v>Inland ICD / CFS</v>
      </c>
      <c r="E1746" s="3" t="s">
        <v>84</v>
      </c>
      <c r="F1746" s="3" t="str">
        <f>INDEX(Product_Category!$B$2:$B$45,MATCH(TRIM(E1746),Product_Category!$A$2:$A$45,0))</f>
        <v>Nuts &amp; Oilseeds</v>
      </c>
      <c r="G1746" s="4">
        <v>0</v>
      </c>
      <c r="H1746" s="4">
        <v>0</v>
      </c>
      <c r="I1746" s="4">
        <v>0</v>
      </c>
      <c r="J1746" s="4">
        <v>0</v>
      </c>
      <c r="K1746" s="4">
        <v>0.24</v>
      </c>
      <c r="L1746" s="4">
        <v>0.25</v>
      </c>
      <c r="M1746" s="4">
        <f t="shared" si="81"/>
        <v>0</v>
      </c>
      <c r="N1746" s="4">
        <f t="shared" si="82"/>
        <v>0.24</v>
      </c>
      <c r="O1746" s="4">
        <f t="shared" si="83"/>
        <v>0</v>
      </c>
      <c r="P1746" s="3" t="s">
        <v>19</v>
      </c>
    </row>
    <row r="1747" spans="1:16" x14ac:dyDescent="0.35">
      <c r="A1747" s="3" t="s">
        <v>77</v>
      </c>
      <c r="B1747" s="3" t="str">
        <f>INDEX(State_Region!$B$2:$B$26,MATCH(TRIM(A1747),State_Region!$A$2:$A$26,0))</f>
        <v>South</v>
      </c>
      <c r="C1747" s="3" t="s">
        <v>157</v>
      </c>
      <c r="D1747" s="3" t="str">
        <f>INDEX(Port_Type!$B$2:$B$227,MATCH(TRIM(C1747),Port_Type!$A$2:$A$227,0))</f>
        <v>Air Cargo</v>
      </c>
      <c r="E1747" s="3" t="s">
        <v>48</v>
      </c>
      <c r="F1747" s="3" t="str">
        <f>INDEX(Product_Category!$B$2:$B$45,MATCH(TRIM(E1747),Product_Category!$A$2:$A$45,0))</f>
        <v>Processed Foods</v>
      </c>
      <c r="G1747" s="4">
        <v>0.01</v>
      </c>
      <c r="H1747" s="4">
        <v>0.04</v>
      </c>
      <c r="I1747" s="4">
        <v>0</v>
      </c>
      <c r="J1747" s="4">
        <v>6.96</v>
      </c>
      <c r="K1747" s="4">
        <v>7.9</v>
      </c>
      <c r="L1747" s="4">
        <v>2.11</v>
      </c>
      <c r="M1747" s="4">
        <f t="shared" si="81"/>
        <v>0.03</v>
      </c>
      <c r="N1747" s="4">
        <f t="shared" si="82"/>
        <v>0.94000000000000039</v>
      </c>
      <c r="O1747" s="4">
        <f t="shared" si="83"/>
        <v>-0.04</v>
      </c>
      <c r="P1747" s="3" t="s">
        <v>19</v>
      </c>
    </row>
    <row r="1748" spans="1:16" x14ac:dyDescent="0.35">
      <c r="A1748" s="3" t="s">
        <v>35</v>
      </c>
      <c r="B1748" s="3" t="str">
        <f>INDEX(State_Region!$B$2:$B$26,MATCH(TRIM(A1748),State_Region!$A$2:$A$26,0))</f>
        <v>North</v>
      </c>
      <c r="C1748" s="3" t="s">
        <v>36</v>
      </c>
      <c r="D1748" s="3" t="str">
        <f>INDEX(Port_Type!$B$2:$B$227,MATCH(TRIM(C1748),Port_Type!$A$2:$A$227,0))</f>
        <v>Inland ICD / CFS</v>
      </c>
      <c r="E1748" s="3" t="s">
        <v>46</v>
      </c>
      <c r="F1748" s="3" t="str">
        <f>INDEX(Product_Category!$B$2:$B$45,MATCH(TRIM(E1748),Product_Category!$A$2:$A$45,0))</f>
        <v>Others</v>
      </c>
      <c r="G1748" s="4">
        <v>0</v>
      </c>
      <c r="H1748" s="4">
        <v>0</v>
      </c>
      <c r="I1748" s="4">
        <v>0</v>
      </c>
      <c r="J1748" s="4">
        <v>3.75</v>
      </c>
      <c r="K1748" s="4">
        <v>1.51</v>
      </c>
      <c r="L1748" s="4">
        <v>2.98</v>
      </c>
      <c r="M1748" s="4">
        <f t="shared" si="81"/>
        <v>0</v>
      </c>
      <c r="N1748" s="4">
        <f t="shared" si="82"/>
        <v>-2.2400000000000002</v>
      </c>
      <c r="O1748" s="4">
        <f t="shared" si="83"/>
        <v>0</v>
      </c>
      <c r="P1748" s="3" t="s">
        <v>19</v>
      </c>
    </row>
    <row r="1749" spans="1:16" x14ac:dyDescent="0.35">
      <c r="A1749" s="3" t="s">
        <v>16</v>
      </c>
      <c r="B1749" s="3" t="str">
        <f>INDEX(State_Region!$B$2:$B$26,MATCH(TRIM(A1749),State_Region!$A$2:$A$26,0))</f>
        <v>West</v>
      </c>
      <c r="C1749" s="3" t="s">
        <v>115</v>
      </c>
      <c r="D1749" s="3" t="str">
        <f>INDEX(Port_Type!$B$2:$B$227,MATCH(TRIM(C1749),Port_Type!$A$2:$A$227,0))</f>
        <v>Inland ICD / CFS</v>
      </c>
      <c r="E1749" s="3" t="s">
        <v>144</v>
      </c>
      <c r="F1749" s="3" t="str">
        <f>INDEX(Product_Category!$B$2:$B$45,MATCH(TRIM(E1749),Product_Category!$A$2:$A$45,0))</f>
        <v>Cereals &amp; Grains</v>
      </c>
      <c r="G1749" s="4">
        <v>0</v>
      </c>
      <c r="H1749" s="4">
        <v>0</v>
      </c>
      <c r="I1749" s="4">
        <v>0</v>
      </c>
      <c r="J1749" s="4">
        <v>2.6</v>
      </c>
      <c r="K1749" s="4">
        <v>11.06</v>
      </c>
      <c r="L1749" s="4">
        <v>10.38</v>
      </c>
      <c r="M1749" s="4">
        <f t="shared" si="81"/>
        <v>0</v>
      </c>
      <c r="N1749" s="4">
        <f t="shared" si="82"/>
        <v>8.4600000000000009</v>
      </c>
      <c r="O1749" s="4">
        <f t="shared" si="83"/>
        <v>0</v>
      </c>
      <c r="P1749" s="3" t="s">
        <v>19</v>
      </c>
    </row>
    <row r="1750" spans="1:16" x14ac:dyDescent="0.35">
      <c r="A1750" s="3" t="s">
        <v>79</v>
      </c>
      <c r="B1750" s="3" t="str">
        <f>INDEX(State_Region!$B$2:$B$26,MATCH(TRIM(A1750),State_Region!$A$2:$A$26,0))</f>
        <v>South</v>
      </c>
      <c r="C1750" s="3" t="s">
        <v>80</v>
      </c>
      <c r="D1750" s="3" t="str">
        <f>INDEX(Port_Type!$B$2:$B$227,MATCH(TRIM(C1750),Port_Type!$A$2:$A$227,0))</f>
        <v>Inland ICD / CFS</v>
      </c>
      <c r="E1750" s="3" t="s">
        <v>142</v>
      </c>
      <c r="F1750" s="3" t="str">
        <f>INDEX(Product_Category!$B$2:$B$45,MATCH(TRIM(E1750),Product_Category!$A$2:$A$45,0))</f>
        <v>Nuts &amp; Oilseeds</v>
      </c>
      <c r="G1750" s="4">
        <v>0</v>
      </c>
      <c r="H1750" s="4">
        <v>0.01</v>
      </c>
      <c r="I1750" s="4">
        <v>0</v>
      </c>
      <c r="J1750" s="4">
        <v>1.95</v>
      </c>
      <c r="K1750" s="4">
        <v>2.21</v>
      </c>
      <c r="L1750" s="4">
        <v>1.9</v>
      </c>
      <c r="M1750" s="4">
        <f t="shared" si="81"/>
        <v>0.01</v>
      </c>
      <c r="N1750" s="4">
        <f t="shared" si="82"/>
        <v>0.26</v>
      </c>
      <c r="O1750" s="4">
        <f t="shared" si="83"/>
        <v>-0.01</v>
      </c>
      <c r="P1750" s="3" t="s">
        <v>19</v>
      </c>
    </row>
    <row r="1751" spans="1:16" x14ac:dyDescent="0.35">
      <c r="A1751" s="3" t="s">
        <v>40</v>
      </c>
      <c r="B1751" s="3" t="str">
        <f>INDEX(State_Region!$B$2:$B$26,MATCH(TRIM(A1751),State_Region!$A$2:$A$26,0))</f>
        <v>South</v>
      </c>
      <c r="C1751" s="3" t="s">
        <v>183</v>
      </c>
      <c r="D1751" s="3" t="str">
        <f>INDEX(Port_Type!$B$2:$B$227,MATCH(TRIM(C1751),Port_Type!$A$2:$A$227,0))</f>
        <v>Inland ICD / CFS</v>
      </c>
      <c r="E1751" s="3" t="s">
        <v>54</v>
      </c>
      <c r="F1751" s="3" t="str">
        <f>INDEX(Product_Category!$B$2:$B$45,MATCH(TRIM(E1751),Product_Category!$A$2:$A$45,0))</f>
        <v>Processed Foods</v>
      </c>
      <c r="G1751" s="4">
        <v>0.05</v>
      </c>
      <c r="H1751" s="4">
        <v>2.52</v>
      </c>
      <c r="I1751" s="4">
        <v>0</v>
      </c>
      <c r="J1751" s="4">
        <v>27.03</v>
      </c>
      <c r="K1751" s="4">
        <v>1568.22</v>
      </c>
      <c r="L1751" s="4">
        <v>1.08</v>
      </c>
      <c r="M1751" s="4">
        <f t="shared" si="81"/>
        <v>2.4700000000000002</v>
      </c>
      <c r="N1751" s="4">
        <f t="shared" si="82"/>
        <v>1541.19</v>
      </c>
      <c r="O1751" s="4">
        <f t="shared" si="83"/>
        <v>-2.52</v>
      </c>
      <c r="P1751" s="3" t="s">
        <v>19</v>
      </c>
    </row>
    <row r="1752" spans="1:16" x14ac:dyDescent="0.35">
      <c r="A1752" s="3" t="s">
        <v>20</v>
      </c>
      <c r="B1752" s="3" t="str">
        <f>INDEX(State_Region!$B$2:$B$26,MATCH(TRIM(A1752),State_Region!$A$2:$A$26,0))</f>
        <v>West</v>
      </c>
      <c r="C1752" s="3" t="s">
        <v>245</v>
      </c>
      <c r="D1752" s="3" t="str">
        <f>INDEX(Port_Type!$B$2:$B$227,MATCH(TRIM(C1752),Port_Type!$A$2:$A$227,0))</f>
        <v>Air Cargo</v>
      </c>
      <c r="E1752" s="3" t="s">
        <v>102</v>
      </c>
      <c r="F1752" s="3" t="str">
        <f>INDEX(Product_Category!$B$2:$B$45,MATCH(TRIM(E1752),Product_Category!$A$2:$A$45,0))</f>
        <v>Fresh Fruits &amp; Vegetables</v>
      </c>
      <c r="G1752" s="4">
        <v>0.03</v>
      </c>
      <c r="H1752" s="4">
        <v>0.02</v>
      </c>
      <c r="I1752" s="4">
        <v>0</v>
      </c>
      <c r="J1752" s="4">
        <v>23.19</v>
      </c>
      <c r="K1752" s="4">
        <v>14.5</v>
      </c>
      <c r="L1752" s="4">
        <v>4.3600000000000003</v>
      </c>
      <c r="M1752" s="4">
        <f t="shared" si="81"/>
        <v>-9.9999999999999985E-3</v>
      </c>
      <c r="N1752" s="4">
        <f t="shared" si="82"/>
        <v>-8.6900000000000013</v>
      </c>
      <c r="O1752" s="4">
        <f t="shared" si="83"/>
        <v>-0.02</v>
      </c>
      <c r="P1752" s="3" t="s">
        <v>19</v>
      </c>
    </row>
    <row r="1753" spans="1:16" x14ac:dyDescent="0.35">
      <c r="A1753" s="3" t="s">
        <v>20</v>
      </c>
      <c r="B1753" s="3" t="str">
        <f>INDEX(State_Region!$B$2:$B$26,MATCH(TRIM(A1753),State_Region!$A$2:$A$26,0))</f>
        <v>West</v>
      </c>
      <c r="C1753" s="3" t="s">
        <v>68</v>
      </c>
      <c r="D1753" s="3" t="str">
        <f>INDEX(Port_Type!$B$2:$B$227,MATCH(TRIM(C1753),Port_Type!$A$2:$A$227,0))</f>
        <v>Air Cargo</v>
      </c>
      <c r="E1753" s="3" t="s">
        <v>151</v>
      </c>
      <c r="F1753" s="3" t="str">
        <f>INDEX(Product_Category!$B$2:$B$45,MATCH(TRIM(E1753),Product_Category!$A$2:$A$45,0))</f>
        <v>Processed Foods</v>
      </c>
      <c r="G1753" s="4">
        <v>0.02</v>
      </c>
      <c r="H1753" s="4">
        <v>0.01</v>
      </c>
      <c r="I1753" s="4">
        <v>0</v>
      </c>
      <c r="J1753" s="4">
        <v>6.12</v>
      </c>
      <c r="K1753" s="4">
        <v>2.4300000000000002</v>
      </c>
      <c r="L1753" s="4">
        <v>0.56000000000000005</v>
      </c>
      <c r="M1753" s="4">
        <f t="shared" si="81"/>
        <v>-0.01</v>
      </c>
      <c r="N1753" s="4">
        <f t="shared" si="82"/>
        <v>-3.69</v>
      </c>
      <c r="O1753" s="4">
        <f t="shared" si="83"/>
        <v>-0.01</v>
      </c>
      <c r="P1753" s="3" t="s">
        <v>19</v>
      </c>
    </row>
    <row r="1754" spans="1:16" x14ac:dyDescent="0.35">
      <c r="A1754" s="3" t="s">
        <v>16</v>
      </c>
      <c r="B1754" s="3" t="str">
        <f>INDEX(State_Region!$B$2:$B$26,MATCH(TRIM(A1754),State_Region!$A$2:$A$26,0))</f>
        <v>West</v>
      </c>
      <c r="C1754" s="3" t="s">
        <v>140</v>
      </c>
      <c r="D1754" s="3" t="str">
        <f>INDEX(Port_Type!$B$2:$B$227,MATCH(TRIM(C1754),Port_Type!$A$2:$A$227,0))</f>
        <v>SEZ / EPZ</v>
      </c>
      <c r="E1754" s="3" t="s">
        <v>48</v>
      </c>
      <c r="F1754" s="3" t="str">
        <f>INDEX(Product_Category!$B$2:$B$45,MATCH(TRIM(E1754),Product_Category!$A$2:$A$45,0))</f>
        <v>Processed Foods</v>
      </c>
      <c r="G1754" s="4">
        <v>0.24</v>
      </c>
      <c r="H1754" s="4">
        <v>0.01</v>
      </c>
      <c r="I1754" s="4">
        <v>0</v>
      </c>
      <c r="J1754" s="4">
        <v>84.2</v>
      </c>
      <c r="K1754" s="4">
        <v>1.85</v>
      </c>
      <c r="L1754" s="4">
        <v>0.53</v>
      </c>
      <c r="M1754" s="4">
        <f t="shared" si="81"/>
        <v>-0.22999999999999998</v>
      </c>
      <c r="N1754" s="4">
        <f t="shared" si="82"/>
        <v>-82.350000000000009</v>
      </c>
      <c r="O1754" s="4">
        <f t="shared" si="83"/>
        <v>-0.01</v>
      </c>
      <c r="P1754" s="3" t="s">
        <v>19</v>
      </c>
    </row>
    <row r="1755" spans="1:16" x14ac:dyDescent="0.35">
      <c r="A1755" s="3" t="s">
        <v>231</v>
      </c>
      <c r="B1755" s="3" t="str">
        <f>INDEX(State_Region!$B$2:$B$26,MATCH(TRIM(A1755),State_Region!$A$2:$A$26,0))</f>
        <v>North-East</v>
      </c>
      <c r="C1755" s="3" t="s">
        <v>232</v>
      </c>
      <c r="D1755" s="3" t="str">
        <f>INDEX(Port_Type!$B$2:$B$227,MATCH(TRIM(C1755),Port_Type!$A$2:$A$227,0))</f>
        <v>Land Border / Rail</v>
      </c>
      <c r="E1755" s="3" t="s">
        <v>170</v>
      </c>
      <c r="F1755" s="3" t="str">
        <f>INDEX(Product_Category!$B$2:$B$45,MATCH(TRIM(E1755),Product_Category!$A$2:$A$45,0))</f>
        <v>Others</v>
      </c>
      <c r="G1755" s="4">
        <v>0.01</v>
      </c>
      <c r="H1755" s="4">
        <v>0.01</v>
      </c>
      <c r="I1755" s="4">
        <v>0</v>
      </c>
      <c r="J1755" s="4">
        <v>1.84</v>
      </c>
      <c r="K1755" s="4">
        <v>3.47</v>
      </c>
      <c r="L1755" s="4">
        <v>1.93</v>
      </c>
      <c r="M1755" s="4">
        <f t="shared" si="81"/>
        <v>0</v>
      </c>
      <c r="N1755" s="4">
        <f t="shared" si="82"/>
        <v>1.6300000000000001</v>
      </c>
      <c r="O1755" s="4">
        <f t="shared" si="83"/>
        <v>-0.01</v>
      </c>
      <c r="P1755" s="3" t="s">
        <v>19</v>
      </c>
    </row>
    <row r="1756" spans="1:16" x14ac:dyDescent="0.35">
      <c r="A1756" s="3" t="s">
        <v>231</v>
      </c>
      <c r="B1756" s="3" t="str">
        <f>INDEX(State_Region!$B$2:$B$26,MATCH(TRIM(A1756),State_Region!$A$2:$A$26,0))</f>
        <v>North-East</v>
      </c>
      <c r="C1756" s="3" t="s">
        <v>236</v>
      </c>
      <c r="D1756" s="3" t="str">
        <f>INDEX(Port_Type!$B$2:$B$227,MATCH(TRIM(C1756),Port_Type!$A$2:$A$227,0))</f>
        <v>Land Border / Rail</v>
      </c>
      <c r="E1756" s="3" t="s">
        <v>65</v>
      </c>
      <c r="F1756" s="3" t="str">
        <f>INDEX(Product_Category!$B$2:$B$45,MATCH(TRIM(E1756),Product_Category!$A$2:$A$45,0))</f>
        <v>Cereals &amp; Grains</v>
      </c>
      <c r="G1756" s="4">
        <v>0</v>
      </c>
      <c r="H1756" s="4">
        <v>0.01</v>
      </c>
      <c r="I1756" s="4">
        <v>0</v>
      </c>
      <c r="J1756" s="4">
        <v>0</v>
      </c>
      <c r="K1756" s="4">
        <v>13.62</v>
      </c>
      <c r="L1756" s="4">
        <v>7.1</v>
      </c>
      <c r="M1756" s="4">
        <f t="shared" si="81"/>
        <v>0.01</v>
      </c>
      <c r="N1756" s="4">
        <f t="shared" si="82"/>
        <v>13.62</v>
      </c>
      <c r="O1756" s="4">
        <f t="shared" si="83"/>
        <v>-0.01</v>
      </c>
      <c r="P1756" s="3" t="s">
        <v>19</v>
      </c>
    </row>
    <row r="1757" spans="1:16" x14ac:dyDescent="0.35">
      <c r="A1757" s="3" t="s">
        <v>40</v>
      </c>
      <c r="B1757" s="3" t="str">
        <f>INDEX(State_Region!$B$2:$B$26,MATCH(TRIM(A1757),State_Region!$A$2:$A$26,0))</f>
        <v>South</v>
      </c>
      <c r="C1757" s="3" t="s">
        <v>164</v>
      </c>
      <c r="D1757" s="3" t="str">
        <f>INDEX(Port_Type!$B$2:$B$227,MATCH(TRIM(C1757),Port_Type!$A$2:$A$227,0))</f>
        <v>Air Cargo</v>
      </c>
      <c r="E1757" s="3" t="s">
        <v>84</v>
      </c>
      <c r="F1757" s="3" t="str">
        <f>INDEX(Product_Category!$B$2:$B$45,MATCH(TRIM(E1757),Product_Category!$A$2:$A$45,0))</f>
        <v>Nuts &amp; Oilseeds</v>
      </c>
      <c r="G1757" s="4">
        <v>0</v>
      </c>
      <c r="H1757" s="4">
        <v>0.33</v>
      </c>
      <c r="I1757" s="4">
        <v>0</v>
      </c>
      <c r="J1757" s="4">
        <v>0.15</v>
      </c>
      <c r="K1757" s="4">
        <v>34.630000000000003</v>
      </c>
      <c r="L1757" s="4">
        <v>0.21</v>
      </c>
      <c r="M1757" s="4">
        <f t="shared" si="81"/>
        <v>0.33</v>
      </c>
      <c r="N1757" s="4">
        <f t="shared" si="82"/>
        <v>34.480000000000004</v>
      </c>
      <c r="O1757" s="4">
        <f t="shared" si="83"/>
        <v>-0.33</v>
      </c>
      <c r="P1757" s="3" t="s">
        <v>19</v>
      </c>
    </row>
    <row r="1758" spans="1:16" x14ac:dyDescent="0.35">
      <c r="A1758" s="3" t="s">
        <v>40</v>
      </c>
      <c r="B1758" s="3" t="str">
        <f>INDEX(State_Region!$B$2:$B$26,MATCH(TRIM(A1758),State_Region!$A$2:$A$26,0))</f>
        <v>South</v>
      </c>
      <c r="C1758" s="3" t="s">
        <v>241</v>
      </c>
      <c r="D1758" s="3" t="str">
        <f>INDEX(Port_Type!$B$2:$B$227,MATCH(TRIM(C1758),Port_Type!$A$2:$A$227,0))</f>
        <v>Air Cargo</v>
      </c>
      <c r="E1758" s="3" t="s">
        <v>84</v>
      </c>
      <c r="F1758" s="3" t="str">
        <f>INDEX(Product_Category!$B$2:$B$45,MATCH(TRIM(E1758),Product_Category!$A$2:$A$45,0))</f>
        <v>Nuts &amp; Oilseeds</v>
      </c>
      <c r="G1758" s="4">
        <v>0</v>
      </c>
      <c r="H1758" s="4">
        <v>0.01</v>
      </c>
      <c r="I1758" s="4">
        <v>0</v>
      </c>
      <c r="J1758" s="4">
        <v>0</v>
      </c>
      <c r="K1758" s="4">
        <v>2.44</v>
      </c>
      <c r="L1758" s="4">
        <v>1.24</v>
      </c>
      <c r="M1758" s="4">
        <f t="shared" si="81"/>
        <v>0.01</v>
      </c>
      <c r="N1758" s="4">
        <f t="shared" si="82"/>
        <v>2.44</v>
      </c>
      <c r="O1758" s="4">
        <f t="shared" si="83"/>
        <v>-0.01</v>
      </c>
      <c r="P1758" s="3" t="s">
        <v>19</v>
      </c>
    </row>
    <row r="1759" spans="1:16" x14ac:dyDescent="0.35">
      <c r="A1759" s="3" t="s">
        <v>74</v>
      </c>
      <c r="B1759" s="3" t="str">
        <f>INDEX(State_Region!$B$2:$B$26,MATCH(TRIM(A1759),State_Region!$A$2:$A$26,0))</f>
        <v>South</v>
      </c>
      <c r="C1759" s="3" t="s">
        <v>137</v>
      </c>
      <c r="D1759" s="3" t="str">
        <f>INDEX(Port_Type!$B$2:$B$227,MATCH(TRIM(C1759),Port_Type!$A$2:$A$227,0))</f>
        <v>Air Cargo</v>
      </c>
      <c r="E1759" s="3" t="s">
        <v>46</v>
      </c>
      <c r="F1759" s="3" t="str">
        <f>INDEX(Product_Category!$B$2:$B$45,MATCH(TRIM(E1759),Product_Category!$A$2:$A$45,0))</f>
        <v>Others</v>
      </c>
      <c r="G1759" s="4">
        <v>0.01</v>
      </c>
      <c r="H1759" s="4">
        <v>0.01</v>
      </c>
      <c r="I1759" s="4">
        <v>0</v>
      </c>
      <c r="J1759" s="4">
        <v>0.25</v>
      </c>
      <c r="K1759" s="4">
        <v>0.2</v>
      </c>
      <c r="L1759" s="4">
        <v>0.13</v>
      </c>
      <c r="M1759" s="4">
        <f t="shared" si="81"/>
        <v>0</v>
      </c>
      <c r="N1759" s="4">
        <f t="shared" si="82"/>
        <v>-4.9999999999999989E-2</v>
      </c>
      <c r="O1759" s="4">
        <f t="shared" si="83"/>
        <v>-0.01</v>
      </c>
      <c r="P1759" s="3" t="s">
        <v>19</v>
      </c>
    </row>
    <row r="1760" spans="1:16" x14ac:dyDescent="0.35">
      <c r="A1760" s="3" t="s">
        <v>251</v>
      </c>
      <c r="B1760" s="3" t="str">
        <f>INDEX(State_Region!$B$2:$B$26,MATCH(TRIM(A1760),State_Region!$A$2:$A$26,0))</f>
        <v>South</v>
      </c>
      <c r="C1760" s="3" t="s">
        <v>252</v>
      </c>
      <c r="D1760" s="3" t="str">
        <f>INDEX(Port_Type!$B$2:$B$227,MATCH(TRIM(C1760),Port_Type!$A$2:$A$227,0))</f>
        <v>Inland ICD / CFS</v>
      </c>
      <c r="E1760" s="3" t="s">
        <v>45</v>
      </c>
      <c r="F1760" s="3" t="str">
        <f>INDEX(Product_Category!$B$2:$B$45,MATCH(TRIM(E1760),Product_Category!$A$2:$A$45,0))</f>
        <v>Fresh Fruits &amp; Vegetables</v>
      </c>
      <c r="G1760" s="4">
        <v>0.01</v>
      </c>
      <c r="H1760" s="4">
        <v>0</v>
      </c>
      <c r="I1760" s="4">
        <v>0</v>
      </c>
      <c r="J1760" s="4">
        <v>1.25</v>
      </c>
      <c r="K1760" s="4">
        <v>0.13</v>
      </c>
      <c r="L1760" s="4">
        <v>0.27</v>
      </c>
      <c r="M1760" s="4">
        <f t="shared" si="81"/>
        <v>-0.01</v>
      </c>
      <c r="N1760" s="4">
        <f t="shared" si="82"/>
        <v>-1.1200000000000001</v>
      </c>
      <c r="O1760" s="4">
        <f t="shared" si="83"/>
        <v>0</v>
      </c>
      <c r="P1760" s="3" t="s">
        <v>19</v>
      </c>
    </row>
    <row r="1761" spans="1:16" x14ac:dyDescent="0.35">
      <c r="A1761" s="3" t="s">
        <v>94</v>
      </c>
      <c r="B1761" s="3" t="str">
        <f>INDEX(State_Region!$B$2:$B$26,MATCH(TRIM(A1761),State_Region!$A$2:$A$26,0))</f>
        <v>East</v>
      </c>
      <c r="C1761" s="3" t="s">
        <v>203</v>
      </c>
      <c r="D1761" s="3" t="str">
        <f>INDEX(Port_Type!$B$2:$B$227,MATCH(TRIM(C1761),Port_Type!$A$2:$A$227,0))</f>
        <v>Air Cargo</v>
      </c>
      <c r="E1761" s="3" t="s">
        <v>39</v>
      </c>
      <c r="F1761" s="3" t="str">
        <f>INDEX(Product_Category!$B$2:$B$45,MATCH(TRIM(E1761),Product_Category!$A$2:$A$45,0))</f>
        <v>Processed Foods</v>
      </c>
      <c r="G1761" s="4">
        <v>0.01</v>
      </c>
      <c r="H1761" s="4">
        <v>0</v>
      </c>
      <c r="I1761" s="4">
        <v>0</v>
      </c>
      <c r="J1761" s="4">
        <v>0.03</v>
      </c>
      <c r="K1761" s="4">
        <v>0</v>
      </c>
      <c r="L1761" s="4">
        <v>0.61</v>
      </c>
      <c r="M1761" s="4">
        <f t="shared" si="81"/>
        <v>-0.01</v>
      </c>
      <c r="N1761" s="4">
        <f t="shared" si="82"/>
        <v>-0.03</v>
      </c>
      <c r="O1761" s="4">
        <f t="shared" si="83"/>
        <v>0</v>
      </c>
      <c r="P1761" s="3" t="s">
        <v>19</v>
      </c>
    </row>
    <row r="1762" spans="1:16" x14ac:dyDescent="0.35">
      <c r="A1762" s="3" t="s">
        <v>251</v>
      </c>
      <c r="B1762" s="3" t="str">
        <f>INDEX(State_Region!$B$2:$B$26,MATCH(TRIM(A1762),State_Region!$A$2:$A$26,0))</f>
        <v>South</v>
      </c>
      <c r="C1762" s="3" t="s">
        <v>252</v>
      </c>
      <c r="D1762" s="3" t="str">
        <f>INDEX(Port_Type!$B$2:$B$227,MATCH(TRIM(C1762),Port_Type!$A$2:$A$227,0))</f>
        <v>Inland ICD / CFS</v>
      </c>
      <c r="E1762" s="3" t="s">
        <v>84</v>
      </c>
      <c r="F1762" s="3" t="str">
        <f>INDEX(Product_Category!$B$2:$B$45,MATCH(TRIM(E1762),Product_Category!$A$2:$A$45,0))</f>
        <v>Nuts &amp; Oilseeds</v>
      </c>
      <c r="G1762" s="4">
        <v>0.03</v>
      </c>
      <c r="H1762" s="4">
        <v>0.08</v>
      </c>
      <c r="I1762" s="4">
        <v>0</v>
      </c>
      <c r="J1762" s="4">
        <v>2.21</v>
      </c>
      <c r="K1762" s="4">
        <v>5.82</v>
      </c>
      <c r="L1762" s="4">
        <v>0.3</v>
      </c>
      <c r="M1762" s="4">
        <f t="shared" si="81"/>
        <v>0.05</v>
      </c>
      <c r="N1762" s="4">
        <f t="shared" si="82"/>
        <v>3.6100000000000003</v>
      </c>
      <c r="O1762" s="4">
        <f t="shared" si="83"/>
        <v>-0.08</v>
      </c>
      <c r="P1762" s="3" t="s">
        <v>19</v>
      </c>
    </row>
    <row r="1763" spans="1:16" x14ac:dyDescent="0.35">
      <c r="A1763" s="3" t="s">
        <v>49</v>
      </c>
      <c r="B1763" s="3" t="str">
        <f>INDEX(State_Region!$B$2:$B$26,MATCH(TRIM(A1763),State_Region!$A$2:$A$26,0))</f>
        <v>North</v>
      </c>
      <c r="C1763" s="3" t="s">
        <v>176</v>
      </c>
      <c r="D1763" s="3" t="str">
        <f>INDEX(Port_Type!$B$2:$B$227,MATCH(TRIM(C1763),Port_Type!$A$2:$A$227,0))</f>
        <v>Inland ICD / CFS</v>
      </c>
      <c r="E1763" s="3" t="s">
        <v>144</v>
      </c>
      <c r="F1763" s="3" t="str">
        <f>INDEX(Product_Category!$B$2:$B$45,MATCH(TRIM(E1763),Product_Category!$A$2:$A$45,0))</f>
        <v>Cereals &amp; Grains</v>
      </c>
      <c r="G1763" s="4">
        <v>0.03</v>
      </c>
      <c r="H1763" s="4">
        <v>0.03</v>
      </c>
      <c r="I1763" s="4">
        <v>0</v>
      </c>
      <c r="J1763" s="4">
        <v>76.14</v>
      </c>
      <c r="K1763" s="4">
        <v>30.35</v>
      </c>
      <c r="L1763" s="4">
        <v>2.1800000000000002</v>
      </c>
      <c r="M1763" s="4">
        <f t="shared" si="81"/>
        <v>0</v>
      </c>
      <c r="N1763" s="4">
        <f t="shared" si="82"/>
        <v>-45.79</v>
      </c>
      <c r="O1763" s="4">
        <f t="shared" si="83"/>
        <v>-0.03</v>
      </c>
      <c r="P1763" s="3" t="s">
        <v>19</v>
      </c>
    </row>
    <row r="1764" spans="1:16" x14ac:dyDescent="0.35">
      <c r="A1764" s="3" t="s">
        <v>159</v>
      </c>
      <c r="B1764" s="3" t="str">
        <f>INDEX(State_Region!$B$2:$B$26,MATCH(TRIM(A1764),State_Region!$A$2:$A$26,0))</f>
        <v>North-East</v>
      </c>
      <c r="C1764" s="3" t="s">
        <v>218</v>
      </c>
      <c r="D1764" s="3" t="str">
        <f>INDEX(Port_Type!$B$2:$B$227,MATCH(TRIM(C1764),Port_Type!$A$2:$A$227,0))</f>
        <v>Land Border / Rail</v>
      </c>
      <c r="E1764" s="3" t="s">
        <v>39</v>
      </c>
      <c r="F1764" s="3" t="str">
        <f>INDEX(Product_Category!$B$2:$B$45,MATCH(TRIM(E1764),Product_Category!$A$2:$A$45,0))</f>
        <v>Processed Foods</v>
      </c>
      <c r="G1764" s="4">
        <v>0.09</v>
      </c>
      <c r="H1764" s="4">
        <v>0.08</v>
      </c>
      <c r="I1764" s="4">
        <v>0</v>
      </c>
      <c r="J1764" s="4">
        <v>13.63</v>
      </c>
      <c r="K1764" s="4">
        <v>16.04</v>
      </c>
      <c r="L1764" s="4">
        <v>0.99</v>
      </c>
      <c r="M1764" s="4">
        <f t="shared" si="81"/>
        <v>-9.999999999999995E-3</v>
      </c>
      <c r="N1764" s="4">
        <f t="shared" si="82"/>
        <v>2.4099999999999984</v>
      </c>
      <c r="O1764" s="4">
        <f t="shared" si="83"/>
        <v>-0.08</v>
      </c>
      <c r="P1764" s="3" t="s">
        <v>19</v>
      </c>
    </row>
    <row r="1765" spans="1:16" x14ac:dyDescent="0.35">
      <c r="A1765" s="3" t="s">
        <v>16</v>
      </c>
      <c r="B1765" s="3" t="str">
        <f>INDEX(State_Region!$B$2:$B$26,MATCH(TRIM(A1765),State_Region!$A$2:$A$26,0))</f>
        <v>West</v>
      </c>
      <c r="C1765" s="3" t="s">
        <v>28</v>
      </c>
      <c r="D1765" s="3" t="str">
        <f>INDEX(Port_Type!$B$2:$B$227,MATCH(TRIM(C1765),Port_Type!$A$2:$A$227,0))</f>
        <v>Sea Port</v>
      </c>
      <c r="E1765" s="3" t="s">
        <v>62</v>
      </c>
      <c r="F1765" s="3" t="str">
        <f>INDEX(Product_Category!$B$2:$B$45,MATCH(TRIM(E1765),Product_Category!$A$2:$A$45,0))</f>
        <v>Cereals &amp; Grains</v>
      </c>
      <c r="G1765" s="4">
        <v>0.04</v>
      </c>
      <c r="H1765" s="4">
        <v>12.19</v>
      </c>
      <c r="I1765" s="4">
        <v>0</v>
      </c>
      <c r="J1765" s="4">
        <v>125.68</v>
      </c>
      <c r="K1765" s="4">
        <v>53629</v>
      </c>
      <c r="L1765" s="4">
        <v>9.9499999999999993</v>
      </c>
      <c r="M1765" s="4">
        <f t="shared" si="81"/>
        <v>12.15</v>
      </c>
      <c r="N1765" s="4">
        <f t="shared" si="82"/>
        <v>53503.32</v>
      </c>
      <c r="O1765" s="4">
        <f t="shared" si="83"/>
        <v>-12.19</v>
      </c>
      <c r="P1765" s="3" t="s">
        <v>19</v>
      </c>
    </row>
    <row r="1766" spans="1:16" x14ac:dyDescent="0.35">
      <c r="A1766" s="3" t="s">
        <v>23</v>
      </c>
      <c r="B1766" s="3" t="str">
        <f>INDEX(State_Region!$B$2:$B$26,MATCH(TRIM(A1766),State_Region!$A$2:$A$26,0))</f>
        <v>North</v>
      </c>
      <c r="C1766" s="3" t="s">
        <v>185</v>
      </c>
      <c r="D1766" s="3" t="str">
        <f>INDEX(Port_Type!$B$2:$B$227,MATCH(TRIM(C1766),Port_Type!$A$2:$A$227,0))</f>
        <v>Land Border / Rail</v>
      </c>
      <c r="E1766" s="3" t="s">
        <v>102</v>
      </c>
      <c r="F1766" s="3" t="str">
        <f>INDEX(Product_Category!$B$2:$B$45,MATCH(TRIM(E1766),Product_Category!$A$2:$A$45,0))</f>
        <v>Fresh Fruits &amp; Vegetables</v>
      </c>
      <c r="G1766" s="4">
        <v>2.7</v>
      </c>
      <c r="H1766" s="4">
        <v>0.49</v>
      </c>
      <c r="I1766" s="4">
        <v>0</v>
      </c>
      <c r="J1766" s="4">
        <v>19861.599999999999</v>
      </c>
      <c r="K1766" s="4">
        <v>2882.07</v>
      </c>
      <c r="L1766" s="4">
        <v>26.03</v>
      </c>
      <c r="M1766" s="4">
        <f t="shared" si="81"/>
        <v>-2.21</v>
      </c>
      <c r="N1766" s="4">
        <f t="shared" si="82"/>
        <v>-16979.53</v>
      </c>
      <c r="O1766" s="4">
        <f t="shared" si="83"/>
        <v>-0.49</v>
      </c>
      <c r="P1766" s="3" t="s">
        <v>19</v>
      </c>
    </row>
    <row r="1767" spans="1:16" x14ac:dyDescent="0.35">
      <c r="A1767" s="3" t="s">
        <v>94</v>
      </c>
      <c r="B1767" s="3" t="str">
        <f>INDEX(State_Region!$B$2:$B$26,MATCH(TRIM(A1767),State_Region!$A$2:$A$26,0))</f>
        <v>East</v>
      </c>
      <c r="C1767" s="3" t="s">
        <v>184</v>
      </c>
      <c r="D1767" s="3" t="str">
        <f>INDEX(Port_Type!$B$2:$B$227,MATCH(TRIM(C1767),Port_Type!$A$2:$A$227,0))</f>
        <v>Land Border / Rail</v>
      </c>
      <c r="E1767" s="3" t="s">
        <v>76</v>
      </c>
      <c r="F1767" s="3" t="str">
        <f>INDEX(Product_Category!$B$2:$B$45,MATCH(TRIM(E1767),Product_Category!$A$2:$A$45,0))</f>
        <v>Fresh Fruits &amp; Vegetables</v>
      </c>
      <c r="G1767" s="4">
        <v>0</v>
      </c>
      <c r="H1767" s="4">
        <v>0.01</v>
      </c>
      <c r="I1767" s="4">
        <v>0</v>
      </c>
      <c r="J1767" s="4">
        <v>8.4600000000000009</v>
      </c>
      <c r="K1767" s="4">
        <v>16.989999999999998</v>
      </c>
      <c r="L1767" s="4">
        <v>6.49</v>
      </c>
      <c r="M1767" s="4">
        <f t="shared" si="81"/>
        <v>0.01</v>
      </c>
      <c r="N1767" s="4">
        <f t="shared" si="82"/>
        <v>8.5299999999999976</v>
      </c>
      <c r="O1767" s="4">
        <f t="shared" si="83"/>
        <v>-0.01</v>
      </c>
      <c r="P1767" s="3" t="s">
        <v>19</v>
      </c>
    </row>
    <row r="1768" spans="1:16" x14ac:dyDescent="0.35">
      <c r="A1768" s="3" t="s">
        <v>31</v>
      </c>
      <c r="B1768" s="3" t="str">
        <f>INDEX(State_Region!$B$2:$B$26,MATCH(TRIM(A1768),State_Region!$A$2:$A$26,0))</f>
        <v>East</v>
      </c>
      <c r="C1768" s="3" t="s">
        <v>146</v>
      </c>
      <c r="D1768" s="3" t="str">
        <f>INDEX(Port_Type!$B$2:$B$227,MATCH(TRIM(C1768),Port_Type!$A$2:$A$227,0))</f>
        <v>Land Border / Rail</v>
      </c>
      <c r="E1768" s="3" t="s">
        <v>59</v>
      </c>
      <c r="F1768" s="3" t="str">
        <f>INDEX(Product_Category!$B$2:$B$45,MATCH(TRIM(E1768),Product_Category!$A$2:$A$45,0))</f>
        <v>Processed Foods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2.57</v>
      </c>
      <c r="M1768" s="4">
        <f t="shared" si="81"/>
        <v>0</v>
      </c>
      <c r="N1768" s="4">
        <f t="shared" si="82"/>
        <v>0</v>
      </c>
      <c r="O1768" s="4">
        <f t="shared" si="83"/>
        <v>0</v>
      </c>
      <c r="P1768" s="3" t="s">
        <v>19</v>
      </c>
    </row>
    <row r="1769" spans="1:16" x14ac:dyDescent="0.35">
      <c r="A1769" s="3" t="s">
        <v>231</v>
      </c>
      <c r="B1769" s="3" t="str">
        <f>INDEX(State_Region!$B$2:$B$26,MATCH(TRIM(A1769),State_Region!$A$2:$A$26,0))</f>
        <v>North-East</v>
      </c>
      <c r="C1769" s="3" t="s">
        <v>236</v>
      </c>
      <c r="D1769" s="3" t="str">
        <f>INDEX(Port_Type!$B$2:$B$227,MATCH(TRIM(C1769),Port_Type!$A$2:$A$227,0))</f>
        <v>Land Border / Rail</v>
      </c>
      <c r="E1769" s="3" t="s">
        <v>39</v>
      </c>
      <c r="F1769" s="3" t="str">
        <f>INDEX(Product_Category!$B$2:$B$45,MATCH(TRIM(E1769),Product_Category!$A$2:$A$45,0))</f>
        <v>Processed Foods</v>
      </c>
      <c r="G1769" s="4">
        <v>0.03</v>
      </c>
      <c r="H1769" s="4">
        <v>0.03</v>
      </c>
      <c r="I1769" s="4">
        <v>0</v>
      </c>
      <c r="J1769" s="4">
        <v>1.46</v>
      </c>
      <c r="K1769" s="4">
        <v>7.97</v>
      </c>
      <c r="L1769" s="4">
        <v>0.71</v>
      </c>
      <c r="M1769" s="4">
        <f t="shared" si="81"/>
        <v>0</v>
      </c>
      <c r="N1769" s="4">
        <f t="shared" si="82"/>
        <v>6.51</v>
      </c>
      <c r="O1769" s="4">
        <f t="shared" si="83"/>
        <v>-0.03</v>
      </c>
      <c r="P1769" s="3" t="s">
        <v>19</v>
      </c>
    </row>
    <row r="1770" spans="1:16" x14ac:dyDescent="0.35">
      <c r="A1770" s="3" t="s">
        <v>40</v>
      </c>
      <c r="B1770" s="3" t="str">
        <f>INDEX(State_Region!$B$2:$B$26,MATCH(TRIM(A1770),State_Region!$A$2:$A$26,0))</f>
        <v>South</v>
      </c>
      <c r="C1770" s="3" t="s">
        <v>183</v>
      </c>
      <c r="D1770" s="3" t="str">
        <f>INDEX(Port_Type!$B$2:$B$227,MATCH(TRIM(C1770),Port_Type!$A$2:$A$227,0))</f>
        <v>Inland ICD / CFS</v>
      </c>
      <c r="E1770" s="3" t="s">
        <v>126</v>
      </c>
      <c r="F1770" s="3" t="str">
        <f>INDEX(Product_Category!$B$2:$B$45,MATCH(TRIM(E1770),Product_Category!$A$2:$A$45,0))</f>
        <v>Cereals &amp; Grains</v>
      </c>
      <c r="G1770" s="4">
        <v>0.01</v>
      </c>
      <c r="H1770" s="4">
        <v>0.01</v>
      </c>
      <c r="I1770" s="4">
        <v>0</v>
      </c>
      <c r="J1770" s="4">
        <v>3.35</v>
      </c>
      <c r="K1770" s="4">
        <v>5.09</v>
      </c>
      <c r="L1770" s="4">
        <v>1.54</v>
      </c>
      <c r="M1770" s="4">
        <f t="shared" si="81"/>
        <v>0</v>
      </c>
      <c r="N1770" s="4">
        <f t="shared" si="82"/>
        <v>1.7399999999999998</v>
      </c>
      <c r="O1770" s="4">
        <f t="shared" si="83"/>
        <v>-0.01</v>
      </c>
      <c r="P1770" s="3" t="s">
        <v>19</v>
      </c>
    </row>
    <row r="1771" spans="1:16" x14ac:dyDescent="0.35">
      <c r="A1771" s="3" t="s">
        <v>77</v>
      </c>
      <c r="B1771" s="3" t="str">
        <f>INDEX(State_Region!$B$2:$B$26,MATCH(TRIM(A1771),State_Region!$A$2:$A$26,0))</f>
        <v>South</v>
      </c>
      <c r="C1771" s="3" t="s">
        <v>132</v>
      </c>
      <c r="D1771" s="3" t="str">
        <f>INDEX(Port_Type!$B$2:$B$227,MATCH(TRIM(C1771),Port_Type!$A$2:$A$227,0))</f>
        <v>Air Cargo</v>
      </c>
      <c r="E1771" s="3" t="s">
        <v>33</v>
      </c>
      <c r="F1771" s="3" t="str">
        <f>INDEX(Product_Category!$B$2:$B$45,MATCH(TRIM(E1771),Product_Category!$A$2:$A$45,0))</f>
        <v>Pulses</v>
      </c>
      <c r="G1771" s="4">
        <v>0</v>
      </c>
      <c r="H1771" s="4">
        <v>0.01</v>
      </c>
      <c r="I1771" s="4">
        <v>0</v>
      </c>
      <c r="J1771" s="4">
        <v>1.61</v>
      </c>
      <c r="K1771" s="4">
        <v>7.94</v>
      </c>
      <c r="L1771" s="4">
        <v>1.73</v>
      </c>
      <c r="M1771" s="4">
        <f t="shared" si="81"/>
        <v>0.01</v>
      </c>
      <c r="N1771" s="4">
        <f t="shared" si="82"/>
        <v>6.33</v>
      </c>
      <c r="O1771" s="4">
        <f t="shared" si="83"/>
        <v>-0.01</v>
      </c>
      <c r="P1771" s="3" t="s">
        <v>19</v>
      </c>
    </row>
    <row r="1772" spans="1:16" x14ac:dyDescent="0.35">
      <c r="A1772" s="3" t="s">
        <v>20</v>
      </c>
      <c r="B1772" s="3" t="str">
        <f>INDEX(State_Region!$B$2:$B$26,MATCH(TRIM(A1772),State_Region!$A$2:$A$26,0))</f>
        <v>West</v>
      </c>
      <c r="C1772" s="3" t="s">
        <v>173</v>
      </c>
      <c r="D1772" s="3" t="str">
        <f>INDEX(Port_Type!$B$2:$B$227,MATCH(TRIM(C1772),Port_Type!$A$2:$A$227,0))</f>
        <v>Inland ICD / CFS</v>
      </c>
      <c r="E1772" s="3" t="s">
        <v>59</v>
      </c>
      <c r="F1772" s="3" t="str">
        <f>INDEX(Product_Category!$B$2:$B$45,MATCH(TRIM(E1772),Product_Category!$A$2:$A$45,0))</f>
        <v>Processed Foods</v>
      </c>
      <c r="G1772" s="4">
        <v>0.02</v>
      </c>
      <c r="H1772" s="4">
        <v>0.02</v>
      </c>
      <c r="I1772" s="4">
        <v>0</v>
      </c>
      <c r="J1772" s="4">
        <v>8.4</v>
      </c>
      <c r="K1772" s="4">
        <v>3.51</v>
      </c>
      <c r="L1772" s="4">
        <v>0.39</v>
      </c>
      <c r="M1772" s="4">
        <f t="shared" si="81"/>
        <v>0</v>
      </c>
      <c r="N1772" s="4">
        <f t="shared" si="82"/>
        <v>-4.8900000000000006</v>
      </c>
      <c r="O1772" s="4">
        <f t="shared" si="83"/>
        <v>-0.02</v>
      </c>
      <c r="P1772" s="3" t="s">
        <v>19</v>
      </c>
    </row>
    <row r="1773" spans="1:16" x14ac:dyDescent="0.35">
      <c r="A1773" s="3" t="s">
        <v>66</v>
      </c>
      <c r="B1773" s="3" t="str">
        <f>INDEX(State_Region!$B$2:$B$26,MATCH(TRIM(A1773),State_Region!$A$2:$A$26,0))</f>
        <v>North</v>
      </c>
      <c r="C1773" s="3" t="s">
        <v>71</v>
      </c>
      <c r="D1773" s="3" t="str">
        <f>INDEX(Port_Type!$B$2:$B$227,MATCH(TRIM(C1773),Port_Type!$A$2:$A$227,0))</f>
        <v>Inland ICD / CFS</v>
      </c>
      <c r="E1773" s="3" t="s">
        <v>42</v>
      </c>
      <c r="F1773" s="3" t="str">
        <f>INDEX(Product_Category!$B$2:$B$45,MATCH(TRIM(E1773),Product_Category!$A$2:$A$45,0))</f>
        <v>Processed Foods</v>
      </c>
      <c r="G1773" s="4">
        <v>0.02</v>
      </c>
      <c r="H1773" s="4">
        <v>0.04</v>
      </c>
      <c r="I1773" s="4">
        <v>0</v>
      </c>
      <c r="J1773" s="4">
        <v>12.87</v>
      </c>
      <c r="K1773" s="4">
        <v>17.510000000000002</v>
      </c>
      <c r="L1773" s="4">
        <v>1.82</v>
      </c>
      <c r="M1773" s="4">
        <f t="shared" si="81"/>
        <v>0.02</v>
      </c>
      <c r="N1773" s="4">
        <f t="shared" si="82"/>
        <v>4.6400000000000023</v>
      </c>
      <c r="O1773" s="4">
        <f t="shared" si="83"/>
        <v>-0.04</v>
      </c>
      <c r="P1773" s="3" t="s">
        <v>19</v>
      </c>
    </row>
    <row r="1774" spans="1:16" x14ac:dyDescent="0.35">
      <c r="A1774" s="3" t="s">
        <v>74</v>
      </c>
      <c r="B1774" s="3" t="str">
        <f>INDEX(State_Region!$B$2:$B$26,MATCH(TRIM(A1774),State_Region!$A$2:$A$26,0))</f>
        <v>South</v>
      </c>
      <c r="C1774" s="3" t="s">
        <v>98</v>
      </c>
      <c r="D1774" s="3" t="str">
        <f>INDEX(Port_Type!$B$2:$B$227,MATCH(TRIM(C1774),Port_Type!$A$2:$A$227,0))</f>
        <v>Inland ICD / CFS</v>
      </c>
      <c r="E1774" s="3" t="s">
        <v>118</v>
      </c>
      <c r="F1774" s="3" t="str">
        <f>INDEX(Product_Category!$B$2:$B$45,MATCH(TRIM(E1774),Product_Category!$A$2:$A$45,0))</f>
        <v>Dairy, Poultry &amp; Honey</v>
      </c>
      <c r="G1774" s="4">
        <v>0</v>
      </c>
      <c r="H1774" s="4">
        <v>0</v>
      </c>
      <c r="I1774" s="4">
        <v>0</v>
      </c>
      <c r="J1774" s="4">
        <v>0</v>
      </c>
      <c r="K1774" s="4">
        <v>1</v>
      </c>
      <c r="L1774" s="4">
        <v>1</v>
      </c>
      <c r="M1774" s="4">
        <f t="shared" si="81"/>
        <v>0</v>
      </c>
      <c r="N1774" s="4">
        <f t="shared" si="82"/>
        <v>1</v>
      </c>
      <c r="O1774" s="4">
        <f t="shared" si="83"/>
        <v>0</v>
      </c>
      <c r="P1774" s="3" t="s">
        <v>19</v>
      </c>
    </row>
    <row r="1775" spans="1:16" x14ac:dyDescent="0.35">
      <c r="A1775" s="3" t="s">
        <v>40</v>
      </c>
      <c r="B1775" s="3" t="str">
        <f>INDEX(State_Region!$B$2:$B$26,MATCH(TRIM(A1775),State_Region!$A$2:$A$26,0))</f>
        <v>South</v>
      </c>
      <c r="C1775" s="3" t="s">
        <v>164</v>
      </c>
      <c r="D1775" s="3" t="str">
        <f>INDEX(Port_Type!$B$2:$B$227,MATCH(TRIM(C1775),Port_Type!$A$2:$A$227,0))</f>
        <v>Air Cargo</v>
      </c>
      <c r="E1775" s="3" t="s">
        <v>118</v>
      </c>
      <c r="F1775" s="3" t="str">
        <f>INDEX(Product_Category!$B$2:$B$45,MATCH(TRIM(E1775),Product_Category!$A$2:$A$45,0))</f>
        <v>Dairy, Poultry &amp; Honey</v>
      </c>
      <c r="G1775" s="4">
        <v>0.01</v>
      </c>
      <c r="H1775" s="4">
        <v>0.01</v>
      </c>
      <c r="I1775" s="4">
        <v>0</v>
      </c>
      <c r="J1775" s="4">
        <v>0.81</v>
      </c>
      <c r="K1775" s="4">
        <v>0.78</v>
      </c>
      <c r="L1775" s="4">
        <v>0.35</v>
      </c>
      <c r="M1775" s="4">
        <f t="shared" si="81"/>
        <v>0</v>
      </c>
      <c r="N1775" s="4">
        <f t="shared" si="82"/>
        <v>-3.0000000000000027E-2</v>
      </c>
      <c r="O1775" s="4">
        <f t="shared" si="83"/>
        <v>-0.01</v>
      </c>
      <c r="P1775" s="3" t="s">
        <v>19</v>
      </c>
    </row>
    <row r="1776" spans="1:16" x14ac:dyDescent="0.35">
      <c r="A1776" s="3" t="s">
        <v>23</v>
      </c>
      <c r="B1776" s="3" t="str">
        <f>INDEX(State_Region!$B$2:$B$26,MATCH(TRIM(A1776),State_Region!$A$2:$A$26,0))</f>
        <v>North</v>
      </c>
      <c r="C1776" s="3" t="s">
        <v>44</v>
      </c>
      <c r="D1776" s="3" t="str">
        <f>INDEX(Port_Type!$B$2:$B$227,MATCH(TRIM(C1776),Port_Type!$A$2:$A$227,0))</f>
        <v>Inland ICD / CFS</v>
      </c>
      <c r="E1776" s="3" t="s">
        <v>113</v>
      </c>
      <c r="F1776" s="3" t="str">
        <f>INDEX(Product_Category!$B$2:$B$45,MATCH(TRIM(E1776),Product_Category!$A$2:$A$45,0))</f>
        <v>Cereals &amp; Grains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4.72</v>
      </c>
      <c r="M1776" s="4">
        <f t="shared" si="81"/>
        <v>0</v>
      </c>
      <c r="N1776" s="4">
        <f t="shared" si="82"/>
        <v>0</v>
      </c>
      <c r="O1776" s="4">
        <f t="shared" si="83"/>
        <v>0</v>
      </c>
      <c r="P1776" s="3" t="s">
        <v>19</v>
      </c>
    </row>
    <row r="1777" spans="1:16" x14ac:dyDescent="0.35">
      <c r="A1777" s="3" t="s">
        <v>86</v>
      </c>
      <c r="B1777" s="3" t="str">
        <f>INDEX(State_Region!$B$2:$B$26,MATCH(TRIM(A1777),State_Region!$A$2:$A$26,0))</f>
        <v>North</v>
      </c>
      <c r="C1777" s="3" t="s">
        <v>87</v>
      </c>
      <c r="D1777" s="3" t="str">
        <f>INDEX(Port_Type!$B$2:$B$227,MATCH(TRIM(C1777),Port_Type!$A$2:$A$227,0))</f>
        <v>Air Cargo</v>
      </c>
      <c r="E1777" s="3" t="s">
        <v>150</v>
      </c>
      <c r="F1777" s="3" t="str">
        <f>INDEX(Product_Category!$B$2:$B$45,MATCH(TRIM(E1777),Product_Category!$A$2:$A$45,0))</f>
        <v>Nuts &amp; Oilseeds</v>
      </c>
      <c r="G1777" s="4">
        <v>0</v>
      </c>
      <c r="H1777" s="4">
        <v>0.03</v>
      </c>
      <c r="I1777" s="4">
        <v>0</v>
      </c>
      <c r="J1777" s="4">
        <v>0.35</v>
      </c>
      <c r="K1777" s="4">
        <v>2.2000000000000002</v>
      </c>
      <c r="L1777" s="4">
        <v>0.16</v>
      </c>
      <c r="M1777" s="4">
        <f t="shared" si="81"/>
        <v>0.03</v>
      </c>
      <c r="N1777" s="4">
        <f t="shared" si="82"/>
        <v>1.85</v>
      </c>
      <c r="O1777" s="4">
        <f t="shared" si="83"/>
        <v>-0.03</v>
      </c>
      <c r="P1777" s="3" t="s">
        <v>19</v>
      </c>
    </row>
    <row r="1778" spans="1:16" x14ac:dyDescent="0.35">
      <c r="A1778" s="3" t="s">
        <v>57</v>
      </c>
      <c r="B1778" s="3" t="str">
        <f>INDEX(State_Region!$B$2:$B$26,MATCH(TRIM(A1778),State_Region!$A$2:$A$26,0))</f>
        <v>Central</v>
      </c>
      <c r="C1778" s="3" t="s">
        <v>161</v>
      </c>
      <c r="D1778" s="3" t="str">
        <f>INDEX(Port_Type!$B$2:$B$227,MATCH(TRIM(C1778),Port_Type!$A$2:$A$227,0))</f>
        <v>Inland ICD / CFS</v>
      </c>
      <c r="E1778" s="3" t="s">
        <v>72</v>
      </c>
      <c r="F1778" s="3" t="str">
        <f>INDEX(Product_Category!$B$2:$B$45,MATCH(TRIM(E1778),Product_Category!$A$2:$A$45,0))</f>
        <v>Dairy, Poultry &amp; Honey</v>
      </c>
      <c r="G1778" s="4">
        <v>1.19</v>
      </c>
      <c r="H1778" s="4">
        <v>0.05</v>
      </c>
      <c r="I1778" s="4">
        <v>0</v>
      </c>
      <c r="J1778" s="4">
        <v>320.27999999999997</v>
      </c>
      <c r="K1778" s="4">
        <v>42.79</v>
      </c>
      <c r="L1778" s="4">
        <v>0.57999999999999996</v>
      </c>
      <c r="M1778" s="4">
        <f t="shared" si="81"/>
        <v>-1.1399999999999999</v>
      </c>
      <c r="N1778" s="4">
        <f t="shared" si="82"/>
        <v>-277.48999999999995</v>
      </c>
      <c r="O1778" s="4">
        <f t="shared" si="83"/>
        <v>-0.05</v>
      </c>
      <c r="P1778" s="3" t="s">
        <v>19</v>
      </c>
    </row>
    <row r="1779" spans="1:16" x14ac:dyDescent="0.35">
      <c r="A1779" s="3" t="s">
        <v>49</v>
      </c>
      <c r="B1779" s="3" t="str">
        <f>INDEX(State_Region!$B$2:$B$26,MATCH(TRIM(A1779),State_Region!$A$2:$A$26,0))</f>
        <v>North</v>
      </c>
      <c r="C1779" s="3" t="s">
        <v>70</v>
      </c>
      <c r="D1779" s="3" t="str">
        <f>INDEX(Port_Type!$B$2:$B$227,MATCH(TRIM(C1779),Port_Type!$A$2:$A$227,0))</f>
        <v>Inland ICD / CFS</v>
      </c>
      <c r="E1779" s="3" t="s">
        <v>18</v>
      </c>
      <c r="F1779" s="3" t="str">
        <f>INDEX(Product_Category!$B$2:$B$45,MATCH(TRIM(E1779),Product_Category!$A$2:$A$45,0))</f>
        <v>Cereals &amp; Grains</v>
      </c>
      <c r="G1779" s="4">
        <v>0.02</v>
      </c>
      <c r="H1779" s="4">
        <v>0</v>
      </c>
      <c r="I1779" s="4">
        <v>0</v>
      </c>
      <c r="J1779" s="4">
        <v>20</v>
      </c>
      <c r="K1779" s="4">
        <v>0</v>
      </c>
      <c r="L1779" s="4">
        <v>0.95</v>
      </c>
      <c r="M1779" s="4">
        <f t="shared" si="81"/>
        <v>-0.02</v>
      </c>
      <c r="N1779" s="4">
        <f t="shared" si="82"/>
        <v>-20</v>
      </c>
      <c r="O1779" s="4">
        <f t="shared" si="83"/>
        <v>0</v>
      </c>
      <c r="P1779" s="3" t="s">
        <v>19</v>
      </c>
    </row>
    <row r="1780" spans="1:16" x14ac:dyDescent="0.35">
      <c r="A1780" s="3" t="s">
        <v>40</v>
      </c>
      <c r="B1780" s="3" t="str">
        <f>INDEX(State_Region!$B$2:$B$26,MATCH(TRIM(A1780),State_Region!$A$2:$A$26,0))</f>
        <v>South</v>
      </c>
      <c r="C1780" s="3" t="s">
        <v>64</v>
      </c>
      <c r="D1780" s="3" t="str">
        <f>INDEX(Port_Type!$B$2:$B$227,MATCH(TRIM(C1780),Port_Type!$A$2:$A$227,0))</f>
        <v>Inland ICD / CFS</v>
      </c>
      <c r="E1780" s="3" t="s">
        <v>128</v>
      </c>
      <c r="F1780" s="3" t="str">
        <f>INDEX(Product_Category!$B$2:$B$45,MATCH(TRIM(E1780),Product_Category!$A$2:$A$45,0))</f>
        <v>Dairy, Poultry &amp; Honey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0.3</v>
      </c>
      <c r="M1780" s="4">
        <f t="shared" si="81"/>
        <v>0</v>
      </c>
      <c r="N1780" s="4">
        <f t="shared" si="82"/>
        <v>0</v>
      </c>
      <c r="O1780" s="4">
        <f t="shared" si="83"/>
        <v>0</v>
      </c>
      <c r="P1780" s="3" t="s">
        <v>19</v>
      </c>
    </row>
    <row r="1781" spans="1:16" x14ac:dyDescent="0.35">
      <c r="A1781" s="3" t="s">
        <v>159</v>
      </c>
      <c r="B1781" s="3" t="str">
        <f>INDEX(State_Region!$B$2:$B$26,MATCH(TRIM(A1781),State_Region!$A$2:$A$26,0))</f>
        <v>North-East</v>
      </c>
      <c r="C1781" s="3" t="s">
        <v>186</v>
      </c>
      <c r="D1781" s="3" t="str">
        <f>INDEX(Port_Type!$B$2:$B$227,MATCH(TRIM(C1781),Port_Type!$A$2:$A$227,0))</f>
        <v>Land Border / Rail</v>
      </c>
      <c r="E1781" s="3" t="s">
        <v>62</v>
      </c>
      <c r="F1781" s="3" t="str">
        <f>INDEX(Product_Category!$B$2:$B$45,MATCH(TRIM(E1781),Product_Category!$A$2:$A$45,0))</f>
        <v>Cereals &amp; Grains</v>
      </c>
      <c r="G1781" s="4">
        <v>0.15</v>
      </c>
      <c r="H1781" s="4">
        <v>0</v>
      </c>
      <c r="I1781" s="4">
        <v>0</v>
      </c>
      <c r="J1781" s="4">
        <v>325.56</v>
      </c>
      <c r="K1781" s="4">
        <v>7.97</v>
      </c>
      <c r="L1781" s="4">
        <v>10.01</v>
      </c>
      <c r="M1781" s="4">
        <f t="shared" si="81"/>
        <v>-0.15</v>
      </c>
      <c r="N1781" s="4">
        <f t="shared" si="82"/>
        <v>-317.58999999999997</v>
      </c>
      <c r="O1781" s="4">
        <f t="shared" si="83"/>
        <v>0</v>
      </c>
      <c r="P1781" s="3" t="s">
        <v>19</v>
      </c>
    </row>
    <row r="1782" spans="1:16" x14ac:dyDescent="0.35">
      <c r="A1782" s="3" t="s">
        <v>35</v>
      </c>
      <c r="B1782" s="3" t="str">
        <f>INDEX(State_Region!$B$2:$B$26,MATCH(TRIM(A1782),State_Region!$A$2:$A$26,0))</f>
        <v>North</v>
      </c>
      <c r="C1782" s="3" t="s">
        <v>165</v>
      </c>
      <c r="D1782" s="3" t="str">
        <f>INDEX(Port_Type!$B$2:$B$227,MATCH(TRIM(C1782),Port_Type!$A$2:$A$227,0))</f>
        <v>Inland ICD / CFS</v>
      </c>
      <c r="E1782" s="3" t="s">
        <v>151</v>
      </c>
      <c r="F1782" s="3" t="str">
        <f>INDEX(Product_Category!$B$2:$B$45,MATCH(TRIM(E1782),Product_Category!$A$2:$A$45,0))</f>
        <v>Processed Foods</v>
      </c>
      <c r="G1782" s="4">
        <v>0.01</v>
      </c>
      <c r="H1782" s="4">
        <v>0.03</v>
      </c>
      <c r="I1782" s="4">
        <v>0</v>
      </c>
      <c r="J1782" s="4">
        <v>4.08</v>
      </c>
      <c r="K1782" s="4">
        <v>13.68</v>
      </c>
      <c r="L1782" s="4">
        <v>1.1000000000000001</v>
      </c>
      <c r="M1782" s="4">
        <f t="shared" si="81"/>
        <v>1.9999999999999997E-2</v>
      </c>
      <c r="N1782" s="4">
        <f t="shared" si="82"/>
        <v>9.6</v>
      </c>
      <c r="O1782" s="4">
        <f t="shared" si="83"/>
        <v>-0.03</v>
      </c>
      <c r="P1782" s="3" t="s">
        <v>19</v>
      </c>
    </row>
    <row r="1783" spans="1:16" x14ac:dyDescent="0.35">
      <c r="A1783" s="3" t="s">
        <v>79</v>
      </c>
      <c r="B1783" s="3" t="str">
        <f>INDEX(State_Region!$B$2:$B$26,MATCH(TRIM(A1783),State_Region!$A$2:$A$26,0))</f>
        <v>South</v>
      </c>
      <c r="C1783" s="3" t="s">
        <v>226</v>
      </c>
      <c r="D1783" s="3" t="str">
        <f>INDEX(Port_Type!$B$2:$B$227,MATCH(TRIM(C1783),Port_Type!$A$2:$A$227,0))</f>
        <v>Air Cargo</v>
      </c>
      <c r="E1783" s="3" t="s">
        <v>42</v>
      </c>
      <c r="F1783" s="3" t="str">
        <f>INDEX(Product_Category!$B$2:$B$45,MATCH(TRIM(E1783),Product_Category!$A$2:$A$45,0))</f>
        <v>Processed Foods</v>
      </c>
      <c r="G1783" s="4">
        <v>0</v>
      </c>
      <c r="H1783" s="4">
        <v>0.01</v>
      </c>
      <c r="I1783" s="4">
        <v>0</v>
      </c>
      <c r="J1783" s="4">
        <v>0.18</v>
      </c>
      <c r="K1783" s="4">
        <v>6.23</v>
      </c>
      <c r="L1783" s="4">
        <v>0.65</v>
      </c>
      <c r="M1783" s="4">
        <f t="shared" si="81"/>
        <v>0.01</v>
      </c>
      <c r="N1783" s="4">
        <f t="shared" si="82"/>
        <v>6.0500000000000007</v>
      </c>
      <c r="O1783" s="4">
        <f t="shared" si="83"/>
        <v>-0.01</v>
      </c>
      <c r="P1783" s="3" t="s">
        <v>19</v>
      </c>
    </row>
    <row r="1784" spans="1:16" x14ac:dyDescent="0.35">
      <c r="A1784" s="3" t="s">
        <v>40</v>
      </c>
      <c r="B1784" s="3" t="str">
        <f>INDEX(State_Region!$B$2:$B$26,MATCH(TRIM(A1784),State_Region!$A$2:$A$26,0))</f>
        <v>South</v>
      </c>
      <c r="C1784" s="3" t="s">
        <v>211</v>
      </c>
      <c r="D1784" s="3" t="str">
        <f>INDEX(Port_Type!$B$2:$B$227,MATCH(TRIM(C1784),Port_Type!$A$2:$A$227,0))</f>
        <v>Air Cargo</v>
      </c>
      <c r="E1784" s="3" t="s">
        <v>18</v>
      </c>
      <c r="F1784" s="3" t="str">
        <f>INDEX(Product_Category!$B$2:$B$45,MATCH(TRIM(E1784),Product_Category!$A$2:$A$45,0))</f>
        <v>Cereals &amp; Grains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0.67</v>
      </c>
      <c r="M1784" s="4">
        <f t="shared" si="81"/>
        <v>0</v>
      </c>
      <c r="N1784" s="4">
        <f t="shared" si="82"/>
        <v>0</v>
      </c>
      <c r="O1784" s="4">
        <f t="shared" si="83"/>
        <v>0</v>
      </c>
      <c r="P1784" s="3" t="s">
        <v>19</v>
      </c>
    </row>
    <row r="1785" spans="1:16" x14ac:dyDescent="0.35">
      <c r="A1785" s="3" t="s">
        <v>20</v>
      </c>
      <c r="B1785" s="3" t="str">
        <f>INDEX(State_Region!$B$2:$B$26,MATCH(TRIM(A1785),State_Region!$A$2:$A$26,0))</f>
        <v>West</v>
      </c>
      <c r="C1785" s="3" t="s">
        <v>68</v>
      </c>
      <c r="D1785" s="3" t="str">
        <f>INDEX(Port_Type!$B$2:$B$227,MATCH(TRIM(C1785),Port_Type!$A$2:$A$227,0))</f>
        <v>Air Cargo</v>
      </c>
      <c r="E1785" s="3" t="s">
        <v>33</v>
      </c>
      <c r="F1785" s="3" t="str">
        <f>INDEX(Product_Category!$B$2:$B$45,MATCH(TRIM(E1785),Product_Category!$A$2:$A$45,0))</f>
        <v>Pulses</v>
      </c>
      <c r="G1785" s="4">
        <v>7.0000000000000007E-2</v>
      </c>
      <c r="H1785" s="4">
        <v>0.02</v>
      </c>
      <c r="I1785" s="4">
        <v>0</v>
      </c>
      <c r="J1785" s="4">
        <v>45.56</v>
      </c>
      <c r="K1785" s="4">
        <v>10.91</v>
      </c>
      <c r="L1785" s="4">
        <v>0.4</v>
      </c>
      <c r="M1785" s="4">
        <f t="shared" si="81"/>
        <v>-0.05</v>
      </c>
      <c r="N1785" s="4">
        <f t="shared" si="82"/>
        <v>-34.650000000000006</v>
      </c>
      <c r="O1785" s="4">
        <f t="shared" si="83"/>
        <v>-0.02</v>
      </c>
      <c r="P1785" s="3" t="s">
        <v>19</v>
      </c>
    </row>
    <row r="1786" spans="1:16" x14ac:dyDescent="0.35">
      <c r="A1786" s="3" t="s">
        <v>23</v>
      </c>
      <c r="B1786" s="3" t="str">
        <f>INDEX(State_Region!$B$2:$B$26,MATCH(TRIM(A1786),State_Region!$A$2:$A$26,0))</f>
        <v>North</v>
      </c>
      <c r="C1786" s="3" t="s">
        <v>136</v>
      </c>
      <c r="D1786" s="3" t="str">
        <f>INDEX(Port_Type!$B$2:$B$227,MATCH(TRIM(C1786),Port_Type!$A$2:$A$227,0))</f>
        <v>Inland ICD / CFS</v>
      </c>
      <c r="E1786" s="3" t="s">
        <v>144</v>
      </c>
      <c r="F1786" s="3" t="str">
        <f>INDEX(Product_Category!$B$2:$B$45,MATCH(TRIM(E1786),Product_Category!$A$2:$A$45,0))</f>
        <v>Cereals &amp; Grains</v>
      </c>
      <c r="G1786" s="4">
        <v>0</v>
      </c>
      <c r="H1786" s="4">
        <v>0.02</v>
      </c>
      <c r="I1786" s="4">
        <v>0</v>
      </c>
      <c r="J1786" s="4">
        <v>3.12</v>
      </c>
      <c r="K1786" s="4">
        <v>28.48</v>
      </c>
      <c r="L1786" s="4">
        <v>1.39</v>
      </c>
      <c r="M1786" s="4">
        <f t="shared" si="81"/>
        <v>0.02</v>
      </c>
      <c r="N1786" s="4">
        <f t="shared" si="82"/>
        <v>25.36</v>
      </c>
      <c r="O1786" s="4">
        <f t="shared" si="83"/>
        <v>-0.02</v>
      </c>
      <c r="P1786" s="3" t="s">
        <v>19</v>
      </c>
    </row>
    <row r="1787" spans="1:16" x14ac:dyDescent="0.35">
      <c r="A1787" s="3" t="s">
        <v>49</v>
      </c>
      <c r="B1787" s="3" t="str">
        <f>INDEX(State_Region!$B$2:$B$26,MATCH(TRIM(A1787),State_Region!$A$2:$A$26,0))</f>
        <v>North</v>
      </c>
      <c r="C1787" s="3" t="s">
        <v>233</v>
      </c>
      <c r="D1787" s="3" t="str">
        <f>INDEX(Port_Type!$B$2:$B$227,MATCH(TRIM(C1787),Port_Type!$A$2:$A$227,0))</f>
        <v>Inland ICD / CFS</v>
      </c>
      <c r="E1787" s="3" t="s">
        <v>48</v>
      </c>
      <c r="F1787" s="3" t="str">
        <f>INDEX(Product_Category!$B$2:$B$45,MATCH(TRIM(E1787),Product_Category!$A$2:$A$45,0))</f>
        <v>Processed Foods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  <c r="L1787" s="4">
        <v>0.2</v>
      </c>
      <c r="M1787" s="4">
        <f t="shared" si="81"/>
        <v>0</v>
      </c>
      <c r="N1787" s="4">
        <f t="shared" si="82"/>
        <v>0</v>
      </c>
      <c r="O1787" s="4">
        <f t="shared" si="83"/>
        <v>0</v>
      </c>
      <c r="P1787" s="3" t="s">
        <v>19</v>
      </c>
    </row>
    <row r="1788" spans="1:16" x14ac:dyDescent="0.35">
      <c r="A1788" s="3" t="s">
        <v>231</v>
      </c>
      <c r="B1788" s="3" t="str">
        <f>INDEX(State_Region!$B$2:$B$26,MATCH(TRIM(A1788),State_Region!$A$2:$A$26,0))</f>
        <v>North-East</v>
      </c>
      <c r="C1788" s="3" t="s">
        <v>232</v>
      </c>
      <c r="D1788" s="3" t="str">
        <f>INDEX(Port_Type!$B$2:$B$227,MATCH(TRIM(C1788),Port_Type!$A$2:$A$227,0))</f>
        <v>Land Border / Rail</v>
      </c>
      <c r="E1788" s="3" t="s">
        <v>42</v>
      </c>
      <c r="F1788" s="3" t="str">
        <f>INDEX(Product_Category!$B$2:$B$45,MATCH(TRIM(E1788),Product_Category!$A$2:$A$45,0))</f>
        <v>Processed Foods</v>
      </c>
      <c r="G1788" s="4">
        <v>0.15</v>
      </c>
      <c r="H1788" s="4">
        <v>0.09</v>
      </c>
      <c r="I1788" s="4">
        <v>0</v>
      </c>
      <c r="J1788" s="4">
        <v>158.74</v>
      </c>
      <c r="K1788" s="4">
        <v>132.52000000000001</v>
      </c>
      <c r="L1788" s="4">
        <v>3.5</v>
      </c>
      <c r="M1788" s="4">
        <f t="shared" si="81"/>
        <v>-0.06</v>
      </c>
      <c r="N1788" s="4">
        <f t="shared" si="82"/>
        <v>-26.22</v>
      </c>
      <c r="O1788" s="4">
        <f t="shared" si="83"/>
        <v>-0.09</v>
      </c>
      <c r="P1788" s="3" t="s">
        <v>19</v>
      </c>
    </row>
    <row r="1789" spans="1:16" x14ac:dyDescent="0.35">
      <c r="A1789" s="3" t="s">
        <v>40</v>
      </c>
      <c r="B1789" s="3" t="str">
        <f>INDEX(State_Region!$B$2:$B$26,MATCH(TRIM(A1789),State_Region!$A$2:$A$26,0))</f>
        <v>South</v>
      </c>
      <c r="C1789" s="3" t="s">
        <v>64</v>
      </c>
      <c r="D1789" s="3" t="str">
        <f>INDEX(Port_Type!$B$2:$B$227,MATCH(TRIM(C1789),Port_Type!$A$2:$A$227,0))</f>
        <v>Inland ICD / CFS</v>
      </c>
      <c r="E1789" s="3" t="s">
        <v>72</v>
      </c>
      <c r="F1789" s="3" t="str">
        <f>INDEX(Product_Category!$B$2:$B$45,MATCH(TRIM(E1789),Product_Category!$A$2:$A$45,0))</f>
        <v>Dairy, Poultry &amp; Honey</v>
      </c>
      <c r="G1789" s="4">
        <v>0.09</v>
      </c>
      <c r="H1789" s="4">
        <v>0.41</v>
      </c>
      <c r="I1789" s="4">
        <v>0</v>
      </c>
      <c r="J1789" s="4">
        <v>12.22</v>
      </c>
      <c r="K1789" s="4">
        <v>56.36</v>
      </c>
      <c r="L1789" s="4">
        <v>0.28000000000000003</v>
      </c>
      <c r="M1789" s="4">
        <f t="shared" si="81"/>
        <v>0.31999999999999995</v>
      </c>
      <c r="N1789" s="4">
        <f t="shared" si="82"/>
        <v>44.14</v>
      </c>
      <c r="O1789" s="4">
        <f t="shared" si="83"/>
        <v>-0.41</v>
      </c>
      <c r="P1789" s="3" t="s">
        <v>19</v>
      </c>
    </row>
    <row r="1790" spans="1:16" x14ac:dyDescent="0.35">
      <c r="A1790" s="3" t="s">
        <v>77</v>
      </c>
      <c r="B1790" s="3" t="str">
        <f>INDEX(State_Region!$B$2:$B$26,MATCH(TRIM(A1790),State_Region!$A$2:$A$26,0))</f>
        <v>South</v>
      </c>
      <c r="C1790" s="3" t="s">
        <v>78</v>
      </c>
      <c r="D1790" s="3" t="str">
        <f>INDEX(Port_Type!$B$2:$B$227,MATCH(TRIM(C1790),Port_Type!$A$2:$A$227,0))</f>
        <v>Sea Port</v>
      </c>
      <c r="E1790" s="3" t="s">
        <v>46</v>
      </c>
      <c r="F1790" s="3" t="str">
        <f>INDEX(Product_Category!$B$2:$B$45,MATCH(TRIM(E1790),Product_Category!$A$2:$A$45,0))</f>
        <v>Others</v>
      </c>
      <c r="G1790" s="4">
        <v>0.01</v>
      </c>
      <c r="H1790" s="4">
        <v>0.01</v>
      </c>
      <c r="I1790" s="4">
        <v>0</v>
      </c>
      <c r="J1790" s="4">
        <v>2.21</v>
      </c>
      <c r="K1790" s="4">
        <v>3.24</v>
      </c>
      <c r="L1790" s="4">
        <v>1.35</v>
      </c>
      <c r="M1790" s="4">
        <f t="shared" si="81"/>
        <v>0</v>
      </c>
      <c r="N1790" s="4">
        <f t="shared" si="82"/>
        <v>1.0300000000000002</v>
      </c>
      <c r="O1790" s="4">
        <f t="shared" si="83"/>
        <v>-0.01</v>
      </c>
      <c r="P1790" s="3" t="s">
        <v>19</v>
      </c>
    </row>
    <row r="1791" spans="1:16" x14ac:dyDescent="0.35">
      <c r="A1791" s="3" t="s">
        <v>20</v>
      </c>
      <c r="B1791" s="3" t="str">
        <f>INDEX(State_Region!$B$2:$B$26,MATCH(TRIM(A1791),State_Region!$A$2:$A$26,0))</f>
        <v>West</v>
      </c>
      <c r="C1791" s="3" t="s">
        <v>173</v>
      </c>
      <c r="D1791" s="3" t="str">
        <f>INDEX(Port_Type!$B$2:$B$227,MATCH(TRIM(C1791),Port_Type!$A$2:$A$227,0))</f>
        <v>Inland ICD / CFS</v>
      </c>
      <c r="E1791" s="3" t="s">
        <v>62</v>
      </c>
      <c r="F1791" s="3" t="str">
        <f>INDEX(Product_Category!$B$2:$B$45,MATCH(TRIM(E1791),Product_Category!$A$2:$A$45,0))</f>
        <v>Cereals &amp; Grains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  <c r="L1791" s="4">
        <v>6.6</v>
      </c>
      <c r="M1791" s="4">
        <f t="shared" si="81"/>
        <v>0</v>
      </c>
      <c r="N1791" s="4">
        <f t="shared" si="82"/>
        <v>0</v>
      </c>
      <c r="O1791" s="4">
        <f t="shared" si="83"/>
        <v>0</v>
      </c>
      <c r="P1791" s="3" t="s">
        <v>19</v>
      </c>
    </row>
    <row r="1792" spans="1:16" x14ac:dyDescent="0.35">
      <c r="A1792" s="3" t="s">
        <v>66</v>
      </c>
      <c r="B1792" s="3" t="str">
        <f>INDEX(State_Region!$B$2:$B$26,MATCH(TRIM(A1792),State_Region!$A$2:$A$26,0))</f>
        <v>North</v>
      </c>
      <c r="C1792" s="3" t="s">
        <v>71</v>
      </c>
      <c r="D1792" s="3" t="str">
        <f>INDEX(Port_Type!$B$2:$B$227,MATCH(TRIM(C1792),Port_Type!$A$2:$A$227,0))</f>
        <v>Inland ICD / CFS</v>
      </c>
      <c r="E1792" s="3" t="s">
        <v>53</v>
      </c>
      <c r="F1792" s="3" t="str">
        <f>INDEX(Product_Category!$B$2:$B$45,MATCH(TRIM(E1792),Product_Category!$A$2:$A$45,0))</f>
        <v>Processed Foods</v>
      </c>
      <c r="G1792" s="4">
        <v>0.32</v>
      </c>
      <c r="H1792" s="4">
        <v>0.37</v>
      </c>
      <c r="I1792" s="4">
        <v>0</v>
      </c>
      <c r="J1792" s="4">
        <v>228.13</v>
      </c>
      <c r="K1792" s="4">
        <v>268.70999999999998</v>
      </c>
      <c r="L1792" s="4">
        <v>0.66</v>
      </c>
      <c r="M1792" s="4">
        <f t="shared" si="81"/>
        <v>4.9999999999999989E-2</v>
      </c>
      <c r="N1792" s="4">
        <f t="shared" si="82"/>
        <v>40.579999999999984</v>
      </c>
      <c r="O1792" s="4">
        <f t="shared" si="83"/>
        <v>-0.37</v>
      </c>
      <c r="P1792" s="3" t="s">
        <v>19</v>
      </c>
    </row>
    <row r="1793" spans="1:16" x14ac:dyDescent="0.35">
      <c r="A1793" s="3" t="s">
        <v>66</v>
      </c>
      <c r="B1793" s="3" t="str">
        <f>INDEX(State_Region!$B$2:$B$26,MATCH(TRIM(A1793),State_Region!$A$2:$A$26,0))</f>
        <v>North</v>
      </c>
      <c r="C1793" s="3" t="s">
        <v>73</v>
      </c>
      <c r="D1793" s="3" t="str">
        <f>INDEX(Port_Type!$B$2:$B$227,MATCH(TRIM(C1793),Port_Type!$A$2:$A$227,0))</f>
        <v>Inland ICD / CFS</v>
      </c>
      <c r="E1793" s="3" t="s">
        <v>179</v>
      </c>
      <c r="F1793" s="3" t="str">
        <f>INDEX(Product_Category!$B$2:$B$45,MATCH(TRIM(E1793),Product_Category!$A$2:$A$45,0))</f>
        <v>Nuts &amp; Oilseeds</v>
      </c>
      <c r="G1793" s="4">
        <v>0</v>
      </c>
      <c r="H1793" s="4">
        <v>0.03</v>
      </c>
      <c r="I1793" s="4">
        <v>0</v>
      </c>
      <c r="J1793" s="4">
        <v>0.42</v>
      </c>
      <c r="K1793" s="4">
        <v>1.95</v>
      </c>
      <c r="L1793" s="4">
        <v>0.19</v>
      </c>
      <c r="M1793" s="4">
        <f t="shared" si="81"/>
        <v>0.03</v>
      </c>
      <c r="N1793" s="4">
        <f t="shared" si="82"/>
        <v>1.53</v>
      </c>
      <c r="O1793" s="4">
        <f t="shared" si="83"/>
        <v>-0.03</v>
      </c>
      <c r="P1793" s="3" t="s">
        <v>19</v>
      </c>
    </row>
    <row r="1794" spans="1:16" x14ac:dyDescent="0.35">
      <c r="A1794" s="3" t="s">
        <v>31</v>
      </c>
      <c r="B1794" s="3" t="str">
        <f>INDEX(State_Region!$B$2:$B$26,MATCH(TRIM(A1794),State_Region!$A$2:$A$26,0))</f>
        <v>East</v>
      </c>
      <c r="C1794" s="3" t="s">
        <v>131</v>
      </c>
      <c r="D1794" s="3" t="str">
        <f>INDEX(Port_Type!$B$2:$B$227,MATCH(TRIM(C1794),Port_Type!$A$2:$A$227,0))</f>
        <v>Land Border / Rail</v>
      </c>
      <c r="E1794" s="3" t="s">
        <v>144</v>
      </c>
      <c r="F1794" s="3" t="str">
        <f>INDEX(Product_Category!$B$2:$B$45,MATCH(TRIM(E1794),Product_Category!$A$2:$A$45,0))</f>
        <v>Cereals &amp; Grains</v>
      </c>
      <c r="G1794" s="4">
        <v>0</v>
      </c>
      <c r="H1794" s="4">
        <v>0.01</v>
      </c>
      <c r="I1794" s="4">
        <v>0</v>
      </c>
      <c r="J1794" s="4">
        <v>6.7</v>
      </c>
      <c r="K1794" s="4">
        <v>11.62</v>
      </c>
      <c r="L1794" s="4">
        <v>4.17</v>
      </c>
      <c r="M1794" s="4">
        <f t="shared" ref="M1794:M1857" si="84">H1794-G1794</f>
        <v>0.01</v>
      </c>
      <c r="N1794" s="4">
        <f t="shared" ref="N1794:N1857" si="85">K1794-J1794</f>
        <v>4.919999999999999</v>
      </c>
      <c r="O1794" s="4">
        <f t="shared" ref="O1794:O1857" si="86">I1794-H1794</f>
        <v>-0.01</v>
      </c>
      <c r="P1794" s="3" t="s">
        <v>19</v>
      </c>
    </row>
    <row r="1795" spans="1:16" x14ac:dyDescent="0.35">
      <c r="A1795" s="3" t="s">
        <v>159</v>
      </c>
      <c r="B1795" s="3" t="str">
        <f>INDEX(State_Region!$B$2:$B$26,MATCH(TRIM(A1795),State_Region!$A$2:$A$26,0))</f>
        <v>North-East</v>
      </c>
      <c r="C1795" s="3" t="s">
        <v>160</v>
      </c>
      <c r="D1795" s="3" t="str">
        <f>INDEX(Port_Type!$B$2:$B$227,MATCH(TRIM(C1795),Port_Type!$A$2:$A$227,0))</f>
        <v>Land Border / Rail</v>
      </c>
      <c r="E1795" s="3" t="s">
        <v>179</v>
      </c>
      <c r="F1795" s="3" t="str">
        <f>INDEX(Product_Category!$B$2:$B$45,MATCH(TRIM(E1795),Product_Category!$A$2:$A$45,0))</f>
        <v>Nuts &amp; Oilseeds</v>
      </c>
      <c r="G1795" s="4">
        <v>0</v>
      </c>
      <c r="H1795" s="4">
        <v>0</v>
      </c>
      <c r="I1795" s="4">
        <v>0</v>
      </c>
      <c r="J1795" s="4">
        <v>0</v>
      </c>
      <c r="K1795" s="4">
        <v>0.49</v>
      </c>
      <c r="L1795" s="4">
        <v>0.15</v>
      </c>
      <c r="M1795" s="4">
        <f t="shared" si="84"/>
        <v>0</v>
      </c>
      <c r="N1795" s="4">
        <f t="shared" si="85"/>
        <v>0.49</v>
      </c>
      <c r="O1795" s="4">
        <f t="shared" si="86"/>
        <v>0</v>
      </c>
      <c r="P1795" s="3" t="s">
        <v>19</v>
      </c>
    </row>
    <row r="1796" spans="1:16" x14ac:dyDescent="0.35">
      <c r="A1796" s="3" t="s">
        <v>23</v>
      </c>
      <c r="B1796" s="3" t="str">
        <f>INDEX(State_Region!$B$2:$B$26,MATCH(TRIM(A1796),State_Region!$A$2:$A$26,0))</f>
        <v>North</v>
      </c>
      <c r="C1796" s="3" t="s">
        <v>191</v>
      </c>
      <c r="D1796" s="3" t="str">
        <f>INDEX(Port_Type!$B$2:$B$227,MATCH(TRIM(C1796),Port_Type!$A$2:$A$227,0))</f>
        <v>Land Border / Rail</v>
      </c>
      <c r="E1796" s="3" t="s">
        <v>81</v>
      </c>
      <c r="F1796" s="3" t="str">
        <f>INDEX(Product_Category!$B$2:$B$45,MATCH(TRIM(E1796),Product_Category!$A$2:$A$45,0))</f>
        <v>Processed Foods</v>
      </c>
      <c r="G1796" s="4">
        <v>0</v>
      </c>
      <c r="H1796" s="4">
        <v>0.01</v>
      </c>
      <c r="I1796" s="4">
        <v>0</v>
      </c>
      <c r="J1796" s="4">
        <v>0</v>
      </c>
      <c r="K1796" s="4">
        <v>62.97</v>
      </c>
      <c r="L1796" s="4">
        <v>13.76</v>
      </c>
      <c r="M1796" s="4">
        <f t="shared" si="84"/>
        <v>0.01</v>
      </c>
      <c r="N1796" s="4">
        <f t="shared" si="85"/>
        <v>62.97</v>
      </c>
      <c r="O1796" s="4">
        <f t="shared" si="86"/>
        <v>-0.01</v>
      </c>
      <c r="P1796" s="3" t="s">
        <v>19</v>
      </c>
    </row>
    <row r="1797" spans="1:16" x14ac:dyDescent="0.35">
      <c r="A1797" s="3" t="s">
        <v>231</v>
      </c>
      <c r="B1797" s="3" t="str">
        <f>INDEX(State_Region!$B$2:$B$26,MATCH(TRIM(A1797),State_Region!$A$2:$A$26,0))</f>
        <v>North-East</v>
      </c>
      <c r="C1797" s="3" t="s">
        <v>232</v>
      </c>
      <c r="D1797" s="3" t="str">
        <f>INDEX(Port_Type!$B$2:$B$227,MATCH(TRIM(C1797),Port_Type!$A$2:$A$227,0))</f>
        <v>Land Border / Rail</v>
      </c>
      <c r="E1797" s="3" t="s">
        <v>83</v>
      </c>
      <c r="F1797" s="3" t="str">
        <f>INDEX(Product_Category!$B$2:$B$45,MATCH(TRIM(E1797),Product_Category!$A$2:$A$45,0))</f>
        <v>Fresh Fruits &amp; Vegetables</v>
      </c>
      <c r="G1797" s="4">
        <v>0.01</v>
      </c>
      <c r="H1797" s="4">
        <v>0</v>
      </c>
      <c r="I1797" s="4">
        <v>0</v>
      </c>
      <c r="J1797" s="4">
        <v>5.72</v>
      </c>
      <c r="K1797" s="4">
        <v>3.32</v>
      </c>
      <c r="L1797" s="4">
        <v>2.0099999999999998</v>
      </c>
      <c r="M1797" s="4">
        <f t="shared" si="84"/>
        <v>-0.01</v>
      </c>
      <c r="N1797" s="4">
        <f t="shared" si="85"/>
        <v>-2.4</v>
      </c>
      <c r="O1797" s="4">
        <f t="shared" si="86"/>
        <v>0</v>
      </c>
      <c r="P1797" s="3" t="s">
        <v>19</v>
      </c>
    </row>
    <row r="1798" spans="1:16" x14ac:dyDescent="0.35">
      <c r="A1798" s="3" t="s">
        <v>23</v>
      </c>
      <c r="B1798" s="3" t="str">
        <f>INDEX(State_Region!$B$2:$B$26,MATCH(TRIM(A1798),State_Region!$A$2:$A$26,0))</f>
        <v>North</v>
      </c>
      <c r="C1798" s="3" t="s">
        <v>191</v>
      </c>
      <c r="D1798" s="3" t="str">
        <f>INDEX(Port_Type!$B$2:$B$227,MATCH(TRIM(C1798),Port_Type!$A$2:$A$227,0))</f>
        <v>Land Border / Rail</v>
      </c>
      <c r="E1798" s="3" t="s">
        <v>42</v>
      </c>
      <c r="F1798" s="3" t="str">
        <f>INDEX(Product_Category!$B$2:$B$45,MATCH(TRIM(E1798),Product_Category!$A$2:$A$45,0))</f>
        <v>Processed Foods</v>
      </c>
      <c r="G1798" s="4">
        <v>0</v>
      </c>
      <c r="H1798" s="4">
        <v>0</v>
      </c>
      <c r="I1798" s="4">
        <v>0</v>
      </c>
      <c r="J1798" s="4">
        <v>0</v>
      </c>
      <c r="K1798" s="4">
        <v>17.32</v>
      </c>
      <c r="L1798" s="4">
        <v>13.85</v>
      </c>
      <c r="M1798" s="4">
        <f t="shared" si="84"/>
        <v>0</v>
      </c>
      <c r="N1798" s="4">
        <f t="shared" si="85"/>
        <v>17.32</v>
      </c>
      <c r="O1798" s="4">
        <f t="shared" si="86"/>
        <v>0</v>
      </c>
      <c r="P1798" s="3" t="s">
        <v>19</v>
      </c>
    </row>
    <row r="1799" spans="1:16" x14ac:dyDescent="0.35">
      <c r="A1799" s="3" t="s">
        <v>40</v>
      </c>
      <c r="B1799" s="3" t="str">
        <f>INDEX(State_Region!$B$2:$B$26,MATCH(TRIM(A1799),State_Region!$A$2:$A$26,0))</f>
        <v>South</v>
      </c>
      <c r="C1799" s="3" t="s">
        <v>183</v>
      </c>
      <c r="D1799" s="3" t="str">
        <f>INDEX(Port_Type!$B$2:$B$227,MATCH(TRIM(C1799),Port_Type!$A$2:$A$227,0))</f>
        <v>Inland ICD / CFS</v>
      </c>
      <c r="E1799" s="3" t="s">
        <v>144</v>
      </c>
      <c r="F1799" s="3" t="str">
        <f>INDEX(Product_Category!$B$2:$B$45,MATCH(TRIM(E1799),Product_Category!$A$2:$A$45,0))</f>
        <v>Cereals &amp; Grains</v>
      </c>
      <c r="G1799" s="4">
        <v>0.01</v>
      </c>
      <c r="H1799" s="4">
        <v>0.02</v>
      </c>
      <c r="I1799" s="4">
        <v>0</v>
      </c>
      <c r="J1799" s="4">
        <v>2.1</v>
      </c>
      <c r="K1799" s="4">
        <v>10.130000000000001</v>
      </c>
      <c r="L1799" s="4">
        <v>1.1499999999999999</v>
      </c>
      <c r="M1799" s="4">
        <f t="shared" si="84"/>
        <v>0.01</v>
      </c>
      <c r="N1799" s="4">
        <f t="shared" si="85"/>
        <v>8.0300000000000011</v>
      </c>
      <c r="O1799" s="4">
        <f t="shared" si="86"/>
        <v>-0.02</v>
      </c>
      <c r="P1799" s="3" t="s">
        <v>19</v>
      </c>
    </row>
    <row r="1800" spans="1:16" x14ac:dyDescent="0.35">
      <c r="A1800" s="3" t="s">
        <v>74</v>
      </c>
      <c r="B1800" s="3" t="str">
        <f>INDEX(State_Region!$B$2:$B$26,MATCH(TRIM(A1800),State_Region!$A$2:$A$26,0))</f>
        <v>South</v>
      </c>
      <c r="C1800" s="3" t="s">
        <v>98</v>
      </c>
      <c r="D1800" s="3" t="str">
        <f>INDEX(Port_Type!$B$2:$B$227,MATCH(TRIM(C1800),Port_Type!$A$2:$A$227,0))</f>
        <v>Inland ICD / CFS</v>
      </c>
      <c r="E1800" s="3" t="s">
        <v>72</v>
      </c>
      <c r="F1800" s="3" t="str">
        <f>INDEX(Product_Category!$B$2:$B$45,MATCH(TRIM(E1800),Product_Category!$A$2:$A$45,0))</f>
        <v>Dairy, Poultry &amp; Honey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0.26</v>
      </c>
      <c r="M1800" s="4">
        <f t="shared" si="84"/>
        <v>0</v>
      </c>
      <c r="N1800" s="4">
        <f t="shared" si="85"/>
        <v>0</v>
      </c>
      <c r="O1800" s="4">
        <f t="shared" si="86"/>
        <v>0</v>
      </c>
      <c r="P1800" s="3" t="s">
        <v>19</v>
      </c>
    </row>
    <row r="1801" spans="1:16" x14ac:dyDescent="0.35">
      <c r="A1801" s="3" t="s">
        <v>40</v>
      </c>
      <c r="B1801" s="3" t="str">
        <f>INDEX(State_Region!$B$2:$B$26,MATCH(TRIM(A1801),State_Region!$A$2:$A$26,0))</f>
        <v>South</v>
      </c>
      <c r="C1801" s="3" t="s">
        <v>220</v>
      </c>
      <c r="D1801" s="3" t="str">
        <f>INDEX(Port_Type!$B$2:$B$227,MATCH(TRIM(C1801),Port_Type!$A$2:$A$227,0))</f>
        <v>Inland ICD / CFS</v>
      </c>
      <c r="E1801" s="3" t="s">
        <v>42</v>
      </c>
      <c r="F1801" s="3" t="str">
        <f>INDEX(Product_Category!$B$2:$B$45,MATCH(TRIM(E1801),Product_Category!$A$2:$A$45,0))</f>
        <v>Processed Foods</v>
      </c>
      <c r="G1801" s="4">
        <v>0</v>
      </c>
      <c r="H1801" s="4">
        <v>0.01</v>
      </c>
      <c r="I1801" s="4">
        <v>0</v>
      </c>
      <c r="J1801" s="4">
        <v>0.18</v>
      </c>
      <c r="K1801" s="4">
        <v>2.65</v>
      </c>
      <c r="L1801" s="4">
        <v>0.55000000000000004</v>
      </c>
      <c r="M1801" s="4">
        <f t="shared" si="84"/>
        <v>0.01</v>
      </c>
      <c r="N1801" s="4">
        <f t="shared" si="85"/>
        <v>2.4699999999999998</v>
      </c>
      <c r="O1801" s="4">
        <f t="shared" si="86"/>
        <v>-0.01</v>
      </c>
      <c r="P1801" s="3" t="s">
        <v>19</v>
      </c>
    </row>
    <row r="1802" spans="1:16" x14ac:dyDescent="0.35">
      <c r="A1802" s="3" t="s">
        <v>79</v>
      </c>
      <c r="B1802" s="3" t="str">
        <f>INDEX(State_Region!$B$2:$B$26,MATCH(TRIM(A1802),State_Region!$A$2:$A$26,0))</f>
        <v>South</v>
      </c>
      <c r="C1802" s="3" t="s">
        <v>92</v>
      </c>
      <c r="D1802" s="3" t="str">
        <f>INDEX(Port_Type!$B$2:$B$227,MATCH(TRIM(C1802),Port_Type!$A$2:$A$227,0))</f>
        <v>Air Cargo</v>
      </c>
      <c r="E1802" s="3" t="s">
        <v>174</v>
      </c>
      <c r="F1802" s="3" t="str">
        <f>INDEX(Product_Category!$B$2:$B$45,MATCH(TRIM(E1802),Product_Category!$A$2:$A$45,0))</f>
        <v>Dairy, Poultry &amp; Honey</v>
      </c>
      <c r="G1802" s="4">
        <v>0</v>
      </c>
      <c r="H1802" s="4">
        <v>0.05</v>
      </c>
      <c r="I1802" s="4">
        <v>0</v>
      </c>
      <c r="J1802" s="4">
        <v>7.0000000000000007E-2</v>
      </c>
      <c r="K1802" s="4">
        <v>1.39</v>
      </c>
      <c r="L1802" s="4">
        <v>0.17</v>
      </c>
      <c r="M1802" s="4">
        <f t="shared" si="84"/>
        <v>0.05</v>
      </c>
      <c r="N1802" s="4">
        <f t="shared" si="85"/>
        <v>1.3199999999999998</v>
      </c>
      <c r="O1802" s="4">
        <f t="shared" si="86"/>
        <v>-0.05</v>
      </c>
      <c r="P1802" s="3" t="s">
        <v>19</v>
      </c>
    </row>
    <row r="1803" spans="1:16" x14ac:dyDescent="0.35">
      <c r="A1803" s="3" t="s">
        <v>23</v>
      </c>
      <c r="B1803" s="3" t="str">
        <f>INDEX(State_Region!$B$2:$B$26,MATCH(TRIM(A1803),State_Region!$A$2:$A$26,0))</f>
        <v>North</v>
      </c>
      <c r="C1803" s="3" t="s">
        <v>136</v>
      </c>
      <c r="D1803" s="3" t="str">
        <f>INDEX(Port_Type!$B$2:$B$227,MATCH(TRIM(C1803),Port_Type!$A$2:$A$227,0))</f>
        <v>Inland ICD / CFS</v>
      </c>
      <c r="E1803" s="3" t="s">
        <v>72</v>
      </c>
      <c r="F1803" s="3" t="str">
        <f>INDEX(Product_Category!$B$2:$B$45,MATCH(TRIM(E1803),Product_Category!$A$2:$A$45,0))</f>
        <v>Dairy, Poultry &amp; Honey</v>
      </c>
      <c r="G1803" s="4">
        <v>0</v>
      </c>
      <c r="H1803" s="4">
        <v>0.01</v>
      </c>
      <c r="I1803" s="4">
        <v>0</v>
      </c>
      <c r="J1803" s="4">
        <v>0</v>
      </c>
      <c r="K1803" s="4">
        <v>0.38</v>
      </c>
      <c r="L1803" s="4">
        <v>0.11</v>
      </c>
      <c r="M1803" s="4">
        <f t="shared" si="84"/>
        <v>0.01</v>
      </c>
      <c r="N1803" s="4">
        <f t="shared" si="85"/>
        <v>0.38</v>
      </c>
      <c r="O1803" s="4">
        <f t="shared" si="86"/>
        <v>-0.01</v>
      </c>
      <c r="P1803" s="3" t="s">
        <v>19</v>
      </c>
    </row>
    <row r="1804" spans="1:16" x14ac:dyDescent="0.35">
      <c r="A1804" s="3" t="s">
        <v>86</v>
      </c>
      <c r="B1804" s="3" t="str">
        <f>INDEX(State_Region!$B$2:$B$26,MATCH(TRIM(A1804),State_Region!$A$2:$A$26,0))</f>
        <v>North</v>
      </c>
      <c r="C1804" s="3" t="s">
        <v>87</v>
      </c>
      <c r="D1804" s="3" t="str">
        <f>INDEX(Port_Type!$B$2:$B$227,MATCH(TRIM(C1804),Port_Type!$A$2:$A$227,0))</f>
        <v>Air Cargo</v>
      </c>
      <c r="E1804" s="3" t="s">
        <v>116</v>
      </c>
      <c r="F1804" s="3" t="str">
        <f>INDEX(Product_Category!$B$2:$B$45,MATCH(TRIM(E1804),Product_Category!$A$2:$A$45,0))</f>
        <v>Others</v>
      </c>
      <c r="G1804" s="4">
        <v>0</v>
      </c>
      <c r="H1804" s="4">
        <v>0</v>
      </c>
      <c r="I1804" s="4">
        <v>0</v>
      </c>
      <c r="J1804" s="4">
        <v>0.03</v>
      </c>
      <c r="K1804" s="4">
        <v>0</v>
      </c>
      <c r="L1804" s="4">
        <v>0.06</v>
      </c>
      <c r="M1804" s="4">
        <f t="shared" si="84"/>
        <v>0</v>
      </c>
      <c r="N1804" s="4">
        <f t="shared" si="85"/>
        <v>-0.03</v>
      </c>
      <c r="O1804" s="4">
        <f t="shared" si="86"/>
        <v>0</v>
      </c>
      <c r="P1804" s="3" t="s">
        <v>19</v>
      </c>
    </row>
    <row r="1805" spans="1:16" x14ac:dyDescent="0.35">
      <c r="A1805" s="3" t="s">
        <v>79</v>
      </c>
      <c r="B1805" s="3" t="str">
        <f>INDEX(State_Region!$B$2:$B$26,MATCH(TRIM(A1805),State_Region!$A$2:$A$26,0))</f>
        <v>South</v>
      </c>
      <c r="C1805" s="3" t="s">
        <v>92</v>
      </c>
      <c r="D1805" s="3" t="str">
        <f>INDEX(Port_Type!$B$2:$B$227,MATCH(TRIM(C1805),Port_Type!$A$2:$A$227,0))</f>
        <v>Air Cargo</v>
      </c>
      <c r="E1805" s="3" t="s">
        <v>170</v>
      </c>
      <c r="F1805" s="3" t="str">
        <f>INDEX(Product_Category!$B$2:$B$45,MATCH(TRIM(E1805),Product_Category!$A$2:$A$45,0))</f>
        <v>Others</v>
      </c>
      <c r="G1805" s="4">
        <v>0.04</v>
      </c>
      <c r="H1805" s="4">
        <v>0.25</v>
      </c>
      <c r="I1805" s="4">
        <v>0</v>
      </c>
      <c r="J1805" s="4">
        <v>3.66</v>
      </c>
      <c r="K1805" s="4">
        <v>21.52</v>
      </c>
      <c r="L1805" s="4">
        <v>0.17</v>
      </c>
      <c r="M1805" s="4">
        <f t="shared" si="84"/>
        <v>0.21</v>
      </c>
      <c r="N1805" s="4">
        <f t="shared" si="85"/>
        <v>17.86</v>
      </c>
      <c r="O1805" s="4">
        <f t="shared" si="86"/>
        <v>-0.25</v>
      </c>
      <c r="P1805" s="3" t="s">
        <v>19</v>
      </c>
    </row>
    <row r="1806" spans="1:16" x14ac:dyDescent="0.35">
      <c r="A1806" s="3" t="s">
        <v>231</v>
      </c>
      <c r="B1806" s="3" t="str">
        <f>INDEX(State_Region!$B$2:$B$26,MATCH(TRIM(A1806),State_Region!$A$2:$A$26,0))</f>
        <v>North-East</v>
      </c>
      <c r="C1806" s="3" t="s">
        <v>236</v>
      </c>
      <c r="D1806" s="3" t="str">
        <f>INDEX(Port_Type!$B$2:$B$227,MATCH(TRIM(C1806),Port_Type!$A$2:$A$227,0))</f>
        <v>Land Border / Rail</v>
      </c>
      <c r="E1806" s="3" t="s">
        <v>54</v>
      </c>
      <c r="F1806" s="3" t="str">
        <f>INDEX(Product_Category!$B$2:$B$45,MATCH(TRIM(E1806),Product_Category!$A$2:$A$45,0))</f>
        <v>Processed Foods</v>
      </c>
      <c r="G1806" s="4">
        <v>0</v>
      </c>
      <c r="H1806" s="4">
        <v>0</v>
      </c>
      <c r="I1806" s="4">
        <v>0</v>
      </c>
      <c r="J1806" s="4">
        <v>0</v>
      </c>
      <c r="K1806" s="4">
        <v>3.38</v>
      </c>
      <c r="L1806" s="4">
        <v>4.6500000000000004</v>
      </c>
      <c r="M1806" s="4">
        <f t="shared" si="84"/>
        <v>0</v>
      </c>
      <c r="N1806" s="4">
        <f t="shared" si="85"/>
        <v>3.38</v>
      </c>
      <c r="O1806" s="4">
        <f t="shared" si="86"/>
        <v>0</v>
      </c>
      <c r="P1806" s="3" t="s">
        <v>19</v>
      </c>
    </row>
    <row r="1807" spans="1:16" x14ac:dyDescent="0.35">
      <c r="A1807" s="3" t="s">
        <v>251</v>
      </c>
      <c r="B1807" s="3" t="str">
        <f>INDEX(State_Region!$B$2:$B$26,MATCH(TRIM(A1807),State_Region!$A$2:$A$26,0))</f>
        <v>South</v>
      </c>
      <c r="C1807" s="3" t="s">
        <v>252</v>
      </c>
      <c r="D1807" s="3" t="str">
        <f>INDEX(Port_Type!$B$2:$B$227,MATCH(TRIM(C1807),Port_Type!$A$2:$A$227,0))</f>
        <v>Inland ICD / CFS</v>
      </c>
      <c r="E1807" s="3" t="s">
        <v>39</v>
      </c>
      <c r="F1807" s="3" t="str">
        <f>INDEX(Product_Category!$B$2:$B$45,MATCH(TRIM(E1807),Product_Category!$A$2:$A$45,0))</f>
        <v>Processed Foods</v>
      </c>
      <c r="G1807" s="4">
        <v>0</v>
      </c>
      <c r="H1807" s="4">
        <v>0.03</v>
      </c>
      <c r="I1807" s="4">
        <v>0</v>
      </c>
      <c r="J1807" s="4">
        <v>2.23</v>
      </c>
      <c r="K1807" s="4">
        <v>17.739999999999998</v>
      </c>
      <c r="L1807" s="4">
        <v>0.71</v>
      </c>
      <c r="M1807" s="4">
        <f t="shared" si="84"/>
        <v>0.03</v>
      </c>
      <c r="N1807" s="4">
        <f t="shared" si="85"/>
        <v>15.509999999999998</v>
      </c>
      <c r="O1807" s="4">
        <f t="shared" si="86"/>
        <v>-0.03</v>
      </c>
      <c r="P1807" s="3" t="s">
        <v>19</v>
      </c>
    </row>
    <row r="1808" spans="1:16" x14ac:dyDescent="0.35">
      <c r="A1808" s="3" t="s">
        <v>159</v>
      </c>
      <c r="B1808" s="3" t="str">
        <f>INDEX(State_Region!$B$2:$B$26,MATCH(TRIM(A1808),State_Region!$A$2:$A$26,0))</f>
        <v>North-East</v>
      </c>
      <c r="C1808" s="3" t="s">
        <v>160</v>
      </c>
      <c r="D1808" s="3" t="str">
        <f>INDEX(Port_Type!$B$2:$B$227,MATCH(TRIM(C1808),Port_Type!$A$2:$A$227,0))</f>
        <v>Land Border / Rail</v>
      </c>
      <c r="E1808" s="3" t="s">
        <v>144</v>
      </c>
      <c r="F1808" s="3" t="str">
        <f>INDEX(Product_Category!$B$2:$B$45,MATCH(TRIM(E1808),Product_Category!$A$2:$A$45,0))</f>
        <v>Cereals &amp; Grains</v>
      </c>
      <c r="G1808" s="4">
        <v>0</v>
      </c>
      <c r="H1808" s="4">
        <v>0.01</v>
      </c>
      <c r="I1808" s="4">
        <v>0</v>
      </c>
      <c r="J1808" s="4">
        <v>8</v>
      </c>
      <c r="K1808" s="4">
        <v>17.8</v>
      </c>
      <c r="L1808" s="4">
        <v>2.64</v>
      </c>
      <c r="M1808" s="4">
        <f t="shared" si="84"/>
        <v>0.01</v>
      </c>
      <c r="N1808" s="4">
        <f t="shared" si="85"/>
        <v>9.8000000000000007</v>
      </c>
      <c r="O1808" s="4">
        <f t="shared" si="86"/>
        <v>-0.01</v>
      </c>
      <c r="P1808" s="3" t="s">
        <v>19</v>
      </c>
    </row>
    <row r="1809" spans="1:16" x14ac:dyDescent="0.35">
      <c r="A1809" s="3" t="s">
        <v>231</v>
      </c>
      <c r="B1809" s="3" t="str">
        <f>INDEX(State_Region!$B$2:$B$26,MATCH(TRIM(A1809),State_Region!$A$2:$A$26,0))</f>
        <v>North-East</v>
      </c>
      <c r="C1809" s="3" t="s">
        <v>232</v>
      </c>
      <c r="D1809" s="3" t="str">
        <f>INDEX(Port_Type!$B$2:$B$227,MATCH(TRIM(C1809),Port_Type!$A$2:$A$227,0))</f>
        <v>Land Border / Rail</v>
      </c>
      <c r="E1809" s="3" t="s">
        <v>18</v>
      </c>
      <c r="F1809" s="3" t="str">
        <f>INDEX(Product_Category!$B$2:$B$45,MATCH(TRIM(E1809),Product_Category!$A$2:$A$45,0))</f>
        <v>Cereals &amp; Grains</v>
      </c>
      <c r="G1809" s="4">
        <v>0</v>
      </c>
      <c r="H1809" s="4">
        <v>0</v>
      </c>
      <c r="I1809" s="4">
        <v>0</v>
      </c>
      <c r="J1809" s="4">
        <v>0</v>
      </c>
      <c r="K1809" s="4">
        <v>2.1800000000000002</v>
      </c>
      <c r="L1809" s="4">
        <v>4.5199999999999996</v>
      </c>
      <c r="M1809" s="4">
        <f t="shared" si="84"/>
        <v>0</v>
      </c>
      <c r="N1809" s="4">
        <f t="shared" si="85"/>
        <v>2.1800000000000002</v>
      </c>
      <c r="O1809" s="4">
        <f t="shared" si="86"/>
        <v>0</v>
      </c>
      <c r="P1809" s="3" t="s">
        <v>19</v>
      </c>
    </row>
    <row r="1810" spans="1:16" x14ac:dyDescent="0.35">
      <c r="A1810" s="3" t="s">
        <v>79</v>
      </c>
      <c r="B1810" s="3" t="str">
        <f>INDEX(State_Region!$B$2:$B$26,MATCH(TRIM(A1810),State_Region!$A$2:$A$26,0))</f>
        <v>South</v>
      </c>
      <c r="C1810" s="3" t="s">
        <v>92</v>
      </c>
      <c r="D1810" s="3" t="str">
        <f>INDEX(Port_Type!$B$2:$B$227,MATCH(TRIM(C1810),Port_Type!$A$2:$A$227,0))</f>
        <v>Air Cargo</v>
      </c>
      <c r="E1810" s="3" t="s">
        <v>81</v>
      </c>
      <c r="F1810" s="3" t="str">
        <f>INDEX(Product_Category!$B$2:$B$45,MATCH(TRIM(E1810),Product_Category!$A$2:$A$45,0))</f>
        <v>Processed Foods</v>
      </c>
      <c r="G1810" s="4">
        <v>0.03</v>
      </c>
      <c r="H1810" s="4">
        <v>0.04</v>
      </c>
      <c r="I1810" s="4">
        <v>0</v>
      </c>
      <c r="J1810" s="4">
        <v>18.649999999999999</v>
      </c>
      <c r="K1810" s="4">
        <v>27.1</v>
      </c>
      <c r="L1810" s="4">
        <v>2.23</v>
      </c>
      <c r="M1810" s="4">
        <f t="shared" si="84"/>
        <v>1.0000000000000002E-2</v>
      </c>
      <c r="N1810" s="4">
        <f t="shared" si="85"/>
        <v>8.4500000000000028</v>
      </c>
      <c r="O1810" s="4">
        <f t="shared" si="86"/>
        <v>-0.04</v>
      </c>
      <c r="P1810" s="3" t="s">
        <v>19</v>
      </c>
    </row>
    <row r="1811" spans="1:16" x14ac:dyDescent="0.35">
      <c r="A1811" s="3" t="s">
        <v>20</v>
      </c>
      <c r="B1811" s="3" t="str">
        <f>INDEX(State_Region!$B$2:$B$26,MATCH(TRIM(A1811),State_Region!$A$2:$A$26,0))</f>
        <v>West</v>
      </c>
      <c r="C1811" s="3" t="s">
        <v>68</v>
      </c>
      <c r="D1811" s="3" t="str">
        <f>INDEX(Port_Type!$B$2:$B$227,MATCH(TRIM(C1811),Port_Type!$A$2:$A$227,0))</f>
        <v>Air Cargo</v>
      </c>
      <c r="E1811" s="3" t="s">
        <v>18</v>
      </c>
      <c r="F1811" s="3" t="str">
        <f>INDEX(Product_Category!$B$2:$B$45,MATCH(TRIM(E1811),Product_Category!$A$2:$A$45,0))</f>
        <v>Cereals &amp; Grains</v>
      </c>
      <c r="G1811" s="4">
        <v>0</v>
      </c>
      <c r="H1811" s="4">
        <v>0.01</v>
      </c>
      <c r="I1811" s="4">
        <v>0</v>
      </c>
      <c r="J1811" s="4">
        <v>0</v>
      </c>
      <c r="K1811" s="4">
        <v>5.0599999999999996</v>
      </c>
      <c r="L1811" s="4">
        <v>0.79</v>
      </c>
      <c r="M1811" s="4">
        <f t="shared" si="84"/>
        <v>0.01</v>
      </c>
      <c r="N1811" s="4">
        <f t="shared" si="85"/>
        <v>5.0599999999999996</v>
      </c>
      <c r="O1811" s="4">
        <f t="shared" si="86"/>
        <v>-0.01</v>
      </c>
      <c r="P1811" s="3" t="s">
        <v>19</v>
      </c>
    </row>
    <row r="1812" spans="1:16" x14ac:dyDescent="0.35">
      <c r="A1812" s="3" t="s">
        <v>23</v>
      </c>
      <c r="B1812" s="3" t="str">
        <f>INDEX(State_Region!$B$2:$B$26,MATCH(TRIM(A1812),State_Region!$A$2:$A$26,0))</f>
        <v>North</v>
      </c>
      <c r="C1812" s="3" t="s">
        <v>120</v>
      </c>
      <c r="D1812" s="3" t="str">
        <f>INDEX(Port_Type!$B$2:$B$227,MATCH(TRIM(C1812),Port_Type!$A$2:$A$227,0))</f>
        <v>Inland ICD / CFS</v>
      </c>
      <c r="E1812" s="3" t="s">
        <v>27</v>
      </c>
      <c r="F1812" s="3" t="str">
        <f>INDEX(Product_Category!$B$2:$B$45,MATCH(TRIM(E1812),Product_Category!$A$2:$A$45,0))</f>
        <v>Cereals &amp; Grains</v>
      </c>
      <c r="G1812" s="4">
        <v>0.22</v>
      </c>
      <c r="H1812" s="4">
        <v>1.71</v>
      </c>
      <c r="I1812" s="4">
        <v>0</v>
      </c>
      <c r="J1812" s="4">
        <v>259.5</v>
      </c>
      <c r="K1812" s="4">
        <v>1683.53</v>
      </c>
      <c r="L1812" s="4">
        <v>2.09</v>
      </c>
      <c r="M1812" s="4">
        <f t="shared" si="84"/>
        <v>1.49</v>
      </c>
      <c r="N1812" s="4">
        <f t="shared" si="85"/>
        <v>1424.03</v>
      </c>
      <c r="O1812" s="4">
        <f t="shared" si="86"/>
        <v>-1.71</v>
      </c>
      <c r="P1812" s="3" t="s">
        <v>19</v>
      </c>
    </row>
    <row r="1813" spans="1:16" x14ac:dyDescent="0.35">
      <c r="A1813" s="3" t="s">
        <v>23</v>
      </c>
      <c r="B1813" s="3" t="str">
        <f>INDEX(State_Region!$B$2:$B$26,MATCH(TRIM(A1813),State_Region!$A$2:$A$26,0))</f>
        <v>North</v>
      </c>
      <c r="C1813" s="3" t="s">
        <v>30</v>
      </c>
      <c r="D1813" s="3" t="str">
        <f>INDEX(Port_Type!$B$2:$B$227,MATCH(TRIM(C1813),Port_Type!$A$2:$A$227,0))</f>
        <v>Inland ICD / CFS</v>
      </c>
      <c r="E1813" s="3" t="s">
        <v>150</v>
      </c>
      <c r="F1813" s="3" t="str">
        <f>INDEX(Product_Category!$B$2:$B$45,MATCH(TRIM(E1813),Product_Category!$A$2:$A$45,0))</f>
        <v>Nuts &amp; Oilseeds</v>
      </c>
      <c r="G1813" s="4">
        <v>0</v>
      </c>
      <c r="H1813" s="4">
        <v>0.03</v>
      </c>
      <c r="I1813" s="4">
        <v>0</v>
      </c>
      <c r="J1813" s="4">
        <v>0</v>
      </c>
      <c r="K1813" s="4">
        <v>2.56</v>
      </c>
      <c r="L1813" s="4">
        <v>0.14000000000000001</v>
      </c>
      <c r="M1813" s="4">
        <f t="shared" si="84"/>
        <v>0.03</v>
      </c>
      <c r="N1813" s="4">
        <f t="shared" si="85"/>
        <v>2.56</v>
      </c>
      <c r="O1813" s="4">
        <f t="shared" si="86"/>
        <v>-0.03</v>
      </c>
      <c r="P1813" s="3" t="s">
        <v>19</v>
      </c>
    </row>
    <row r="1814" spans="1:16" x14ac:dyDescent="0.35">
      <c r="A1814" s="3" t="s">
        <v>31</v>
      </c>
      <c r="B1814" s="3" t="str">
        <f>INDEX(State_Region!$B$2:$B$26,MATCH(TRIM(A1814),State_Region!$A$2:$A$26,0))</f>
        <v>East</v>
      </c>
      <c r="C1814" s="3" t="s">
        <v>215</v>
      </c>
      <c r="D1814" s="3" t="str">
        <f>INDEX(Port_Type!$B$2:$B$227,MATCH(TRIM(C1814),Port_Type!$A$2:$A$227,0))</f>
        <v>Land Border / Rail</v>
      </c>
      <c r="E1814" s="3" t="s">
        <v>113</v>
      </c>
      <c r="F1814" s="3" t="str">
        <f>INDEX(Product_Category!$B$2:$B$45,MATCH(TRIM(E1814),Product_Category!$A$2:$A$45,0))</f>
        <v>Cereals &amp; Grains</v>
      </c>
      <c r="G1814" s="4">
        <v>0</v>
      </c>
      <c r="H1814" s="4">
        <v>0</v>
      </c>
      <c r="I1814" s="4">
        <v>0</v>
      </c>
      <c r="J1814" s="4">
        <v>0</v>
      </c>
      <c r="K1814" s="4">
        <v>5.7</v>
      </c>
      <c r="L1814" s="4">
        <v>5.2</v>
      </c>
      <c r="M1814" s="4">
        <f t="shared" si="84"/>
        <v>0</v>
      </c>
      <c r="N1814" s="4">
        <f t="shared" si="85"/>
        <v>5.7</v>
      </c>
      <c r="O1814" s="4">
        <f t="shared" si="86"/>
        <v>0</v>
      </c>
      <c r="P1814" s="3" t="s">
        <v>19</v>
      </c>
    </row>
    <row r="1815" spans="1:16" x14ac:dyDescent="0.35">
      <c r="A1815" s="3" t="s">
        <v>40</v>
      </c>
      <c r="B1815" s="3" t="str">
        <f>INDEX(State_Region!$B$2:$B$26,MATCH(TRIM(A1815),State_Region!$A$2:$A$26,0))</f>
        <v>South</v>
      </c>
      <c r="C1815" s="3" t="s">
        <v>241</v>
      </c>
      <c r="D1815" s="3" t="str">
        <f>INDEX(Port_Type!$B$2:$B$227,MATCH(TRIM(C1815),Port_Type!$A$2:$A$227,0))</f>
        <v>Air Cargo</v>
      </c>
      <c r="E1815" s="3" t="s">
        <v>45</v>
      </c>
      <c r="F1815" s="3" t="str">
        <f>INDEX(Product_Category!$B$2:$B$45,MATCH(TRIM(E1815),Product_Category!$A$2:$A$45,0))</f>
        <v>Fresh Fruits &amp; Vegetables</v>
      </c>
      <c r="G1815" s="4">
        <v>0.01</v>
      </c>
      <c r="H1815" s="4">
        <v>0</v>
      </c>
      <c r="I1815" s="4">
        <v>0</v>
      </c>
      <c r="J1815" s="4">
        <v>6.91</v>
      </c>
      <c r="K1815" s="4">
        <v>5.25</v>
      </c>
      <c r="L1815" s="4">
        <v>1.48</v>
      </c>
      <c r="M1815" s="4">
        <f t="shared" si="84"/>
        <v>-0.01</v>
      </c>
      <c r="N1815" s="4">
        <f t="shared" si="85"/>
        <v>-1.6600000000000001</v>
      </c>
      <c r="O1815" s="4">
        <f t="shared" si="86"/>
        <v>0</v>
      </c>
      <c r="P1815" s="3" t="s">
        <v>19</v>
      </c>
    </row>
    <row r="1816" spans="1:16" x14ac:dyDescent="0.35">
      <c r="A1816" s="3" t="s">
        <v>77</v>
      </c>
      <c r="B1816" s="3" t="str">
        <f>INDEX(State_Region!$B$2:$B$26,MATCH(TRIM(A1816),State_Region!$A$2:$A$26,0))</f>
        <v>South</v>
      </c>
      <c r="C1816" s="3" t="s">
        <v>149</v>
      </c>
      <c r="D1816" s="3" t="str">
        <f>INDEX(Port_Type!$B$2:$B$227,MATCH(TRIM(C1816),Port_Type!$A$2:$A$227,0))</f>
        <v>SEZ / EPZ</v>
      </c>
      <c r="E1816" s="3" t="s">
        <v>76</v>
      </c>
      <c r="F1816" s="3" t="str">
        <f>INDEX(Product_Category!$B$2:$B$45,MATCH(TRIM(E1816),Product_Category!$A$2:$A$45,0))</f>
        <v>Fresh Fruits &amp; Vegetables</v>
      </c>
      <c r="G1816" s="4">
        <v>0</v>
      </c>
      <c r="H1816" s="4">
        <v>0</v>
      </c>
      <c r="I1816" s="4">
        <v>0</v>
      </c>
      <c r="J1816" s="4">
        <v>0.85</v>
      </c>
      <c r="K1816" s="4">
        <v>1.33</v>
      </c>
      <c r="L1816" s="4">
        <v>0.68</v>
      </c>
      <c r="M1816" s="4">
        <f t="shared" si="84"/>
        <v>0</v>
      </c>
      <c r="N1816" s="4">
        <f t="shared" si="85"/>
        <v>0.48000000000000009</v>
      </c>
      <c r="O1816" s="4">
        <f t="shared" si="86"/>
        <v>0</v>
      </c>
      <c r="P1816" s="3" t="s">
        <v>19</v>
      </c>
    </row>
    <row r="1817" spans="1:16" x14ac:dyDescent="0.35">
      <c r="A1817" s="3" t="s">
        <v>40</v>
      </c>
      <c r="B1817" s="3" t="str">
        <f>INDEX(State_Region!$B$2:$B$26,MATCH(TRIM(A1817),State_Region!$A$2:$A$26,0))</f>
        <v>South</v>
      </c>
      <c r="C1817" s="3" t="s">
        <v>241</v>
      </c>
      <c r="D1817" s="3" t="str">
        <f>INDEX(Port_Type!$B$2:$B$227,MATCH(TRIM(C1817),Port_Type!$A$2:$A$227,0))</f>
        <v>Air Cargo</v>
      </c>
      <c r="E1817" s="3" t="s">
        <v>27</v>
      </c>
      <c r="F1817" s="3" t="str">
        <f>INDEX(Product_Category!$B$2:$B$45,MATCH(TRIM(E1817),Product_Category!$A$2:$A$45,0))</f>
        <v>Cereals &amp; Grains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  <c r="L1817" s="4">
        <v>0.28000000000000003</v>
      </c>
      <c r="M1817" s="4">
        <f t="shared" si="84"/>
        <v>0</v>
      </c>
      <c r="N1817" s="4">
        <f t="shared" si="85"/>
        <v>0</v>
      </c>
      <c r="O1817" s="4">
        <f t="shared" si="86"/>
        <v>0</v>
      </c>
      <c r="P1817" s="3" t="s">
        <v>19</v>
      </c>
    </row>
    <row r="1818" spans="1:16" x14ac:dyDescent="0.35">
      <c r="A1818" s="3" t="s">
        <v>35</v>
      </c>
      <c r="B1818" s="3" t="str">
        <f>INDEX(State_Region!$B$2:$B$26,MATCH(TRIM(A1818),State_Region!$A$2:$A$26,0))</f>
        <v>North</v>
      </c>
      <c r="C1818" s="3" t="s">
        <v>47</v>
      </c>
      <c r="D1818" s="3" t="str">
        <f>INDEX(Port_Type!$B$2:$B$227,MATCH(TRIM(C1818),Port_Type!$A$2:$A$227,0))</f>
        <v>Inland ICD / CFS</v>
      </c>
      <c r="E1818" s="3" t="s">
        <v>151</v>
      </c>
      <c r="F1818" s="3" t="str">
        <f>INDEX(Product_Category!$B$2:$B$45,MATCH(TRIM(E1818),Product_Category!$A$2:$A$45,0))</f>
        <v>Processed Foods</v>
      </c>
      <c r="G1818" s="4">
        <v>0.02</v>
      </c>
      <c r="H1818" s="4">
        <v>0</v>
      </c>
      <c r="I1818" s="4">
        <v>0</v>
      </c>
      <c r="J1818" s="4">
        <v>9</v>
      </c>
      <c r="K1818" s="4">
        <v>0</v>
      </c>
      <c r="L1818" s="4">
        <v>1.02</v>
      </c>
      <c r="M1818" s="4">
        <f t="shared" si="84"/>
        <v>-0.02</v>
      </c>
      <c r="N1818" s="4">
        <f t="shared" si="85"/>
        <v>-9</v>
      </c>
      <c r="O1818" s="4">
        <f t="shared" si="86"/>
        <v>0</v>
      </c>
      <c r="P1818" s="3" t="s">
        <v>19</v>
      </c>
    </row>
    <row r="1819" spans="1:16" x14ac:dyDescent="0.35">
      <c r="A1819" s="3" t="s">
        <v>86</v>
      </c>
      <c r="B1819" s="3" t="str">
        <f>INDEX(State_Region!$B$2:$B$26,MATCH(TRIM(A1819),State_Region!$A$2:$A$26,0))</f>
        <v>North</v>
      </c>
      <c r="C1819" s="3" t="s">
        <v>87</v>
      </c>
      <c r="D1819" s="3" t="str">
        <f>INDEX(Port_Type!$B$2:$B$227,MATCH(TRIM(C1819),Port_Type!$A$2:$A$227,0))</f>
        <v>Air Cargo</v>
      </c>
      <c r="E1819" s="3" t="s">
        <v>144</v>
      </c>
      <c r="F1819" s="3" t="str">
        <f>INDEX(Product_Category!$B$2:$B$45,MATCH(TRIM(E1819),Product_Category!$A$2:$A$45,0))</f>
        <v>Cereals &amp; Grains</v>
      </c>
      <c r="G1819" s="4">
        <v>0.02</v>
      </c>
      <c r="H1819" s="4">
        <v>0</v>
      </c>
      <c r="I1819" s="4">
        <v>0</v>
      </c>
      <c r="J1819" s="4">
        <v>1.3</v>
      </c>
      <c r="K1819" s="4">
        <v>0.08</v>
      </c>
      <c r="L1819" s="4">
        <v>0.34</v>
      </c>
      <c r="M1819" s="4">
        <f t="shared" si="84"/>
        <v>-0.02</v>
      </c>
      <c r="N1819" s="4">
        <f t="shared" si="85"/>
        <v>-1.22</v>
      </c>
      <c r="O1819" s="4">
        <f t="shared" si="86"/>
        <v>0</v>
      </c>
      <c r="P1819" s="3" t="s">
        <v>19</v>
      </c>
    </row>
    <row r="1820" spans="1:16" x14ac:dyDescent="0.35">
      <c r="A1820" s="3" t="s">
        <v>20</v>
      </c>
      <c r="B1820" s="3" t="str">
        <f>INDEX(State_Region!$B$2:$B$26,MATCH(TRIM(A1820),State_Region!$A$2:$A$26,0))</f>
        <v>West</v>
      </c>
      <c r="C1820" s="3" t="s">
        <v>260</v>
      </c>
      <c r="D1820" s="3" t="str">
        <f>INDEX(Port_Type!$B$2:$B$227,MATCH(TRIM(C1820),Port_Type!$A$2:$A$227,0))</f>
        <v>Air Cargo</v>
      </c>
      <c r="E1820" s="3" t="s">
        <v>45</v>
      </c>
      <c r="F1820" s="3" t="str">
        <f>INDEX(Product_Category!$B$2:$B$45,MATCH(TRIM(E1820),Product_Category!$A$2:$A$45,0))</f>
        <v>Fresh Fruits &amp; Vegetables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1.6</v>
      </c>
      <c r="M1820" s="4">
        <f t="shared" si="84"/>
        <v>0</v>
      </c>
      <c r="N1820" s="4">
        <f t="shared" si="85"/>
        <v>0</v>
      </c>
      <c r="O1820" s="4">
        <f t="shared" si="86"/>
        <v>0</v>
      </c>
      <c r="P1820" s="3" t="s">
        <v>19</v>
      </c>
    </row>
    <row r="1821" spans="1:16" x14ac:dyDescent="0.35">
      <c r="A1821" s="3" t="s">
        <v>57</v>
      </c>
      <c r="B1821" s="3" t="str">
        <f>INDEX(State_Region!$B$2:$B$26,MATCH(TRIM(A1821),State_Region!$A$2:$A$26,0))</f>
        <v>Central</v>
      </c>
      <c r="C1821" s="3" t="s">
        <v>161</v>
      </c>
      <c r="D1821" s="3" t="str">
        <f>INDEX(Port_Type!$B$2:$B$227,MATCH(TRIM(C1821),Port_Type!$A$2:$A$227,0))</f>
        <v>Inland ICD / CFS</v>
      </c>
      <c r="E1821" s="3" t="s">
        <v>46</v>
      </c>
      <c r="F1821" s="3" t="str">
        <f>INDEX(Product_Category!$B$2:$B$45,MATCH(TRIM(E1821),Product_Category!$A$2:$A$45,0))</f>
        <v>Others</v>
      </c>
      <c r="G1821" s="4">
        <v>0</v>
      </c>
      <c r="H1821" s="4">
        <v>0</v>
      </c>
      <c r="I1821" s="4">
        <v>0</v>
      </c>
      <c r="J1821" s="4">
        <v>1.02</v>
      </c>
      <c r="K1821" s="4">
        <v>0.05</v>
      </c>
      <c r="L1821" s="4">
        <v>1</v>
      </c>
      <c r="M1821" s="4">
        <f t="shared" si="84"/>
        <v>0</v>
      </c>
      <c r="N1821" s="4">
        <f t="shared" si="85"/>
        <v>-0.97</v>
      </c>
      <c r="O1821" s="4">
        <f t="shared" si="86"/>
        <v>0</v>
      </c>
      <c r="P1821" s="3" t="s">
        <v>19</v>
      </c>
    </row>
    <row r="1822" spans="1:16" x14ac:dyDescent="0.35">
      <c r="A1822" s="3" t="s">
        <v>66</v>
      </c>
      <c r="B1822" s="3" t="str">
        <f>INDEX(State_Region!$B$2:$B$26,MATCH(TRIM(A1822),State_Region!$A$2:$A$26,0))</f>
        <v>North</v>
      </c>
      <c r="C1822" s="3" t="s">
        <v>208</v>
      </c>
      <c r="D1822" s="3" t="str">
        <f>INDEX(Port_Type!$B$2:$B$227,MATCH(TRIM(C1822),Port_Type!$A$2:$A$227,0))</f>
        <v>Inland ICD / CFS</v>
      </c>
      <c r="E1822" s="3" t="s">
        <v>179</v>
      </c>
      <c r="F1822" s="3" t="str">
        <f>INDEX(Product_Category!$B$2:$B$45,MATCH(TRIM(E1822),Product_Category!$A$2:$A$45,0))</f>
        <v>Nuts &amp; Oilseeds</v>
      </c>
      <c r="G1822" s="4">
        <v>0</v>
      </c>
      <c r="H1822" s="4">
        <v>0.01</v>
      </c>
      <c r="I1822" s="4">
        <v>0</v>
      </c>
      <c r="J1822" s="4">
        <v>0.36</v>
      </c>
      <c r="K1822" s="4">
        <v>0.48</v>
      </c>
      <c r="L1822" s="4">
        <v>0.14000000000000001</v>
      </c>
      <c r="M1822" s="4">
        <f t="shared" si="84"/>
        <v>0.01</v>
      </c>
      <c r="N1822" s="4">
        <f t="shared" si="85"/>
        <v>0.12</v>
      </c>
      <c r="O1822" s="4">
        <f t="shared" si="86"/>
        <v>-0.01</v>
      </c>
      <c r="P1822" s="3" t="s">
        <v>19</v>
      </c>
    </row>
    <row r="1823" spans="1:16" x14ac:dyDescent="0.35">
      <c r="A1823" s="3" t="s">
        <v>86</v>
      </c>
      <c r="B1823" s="3" t="str">
        <f>INDEX(State_Region!$B$2:$B$26,MATCH(TRIM(A1823),State_Region!$A$2:$A$26,0))</f>
        <v>North</v>
      </c>
      <c r="C1823" s="3" t="s">
        <v>207</v>
      </c>
      <c r="D1823" s="3" t="str">
        <f>INDEX(Port_Type!$B$2:$B$227,MATCH(TRIM(C1823),Port_Type!$A$2:$A$227,0))</f>
        <v>Inland ICD / CFS</v>
      </c>
      <c r="E1823" s="3" t="s">
        <v>144</v>
      </c>
      <c r="F1823" s="3" t="str">
        <f>INDEX(Product_Category!$B$2:$B$45,MATCH(TRIM(E1823),Product_Category!$A$2:$A$45,0))</f>
        <v>Cereals &amp; Grains</v>
      </c>
      <c r="G1823" s="4">
        <v>0</v>
      </c>
      <c r="H1823" s="4">
        <v>0</v>
      </c>
      <c r="I1823" s="4">
        <v>0</v>
      </c>
      <c r="J1823" s="4">
        <v>0.18</v>
      </c>
      <c r="K1823" s="4">
        <v>1.4</v>
      </c>
      <c r="L1823" s="4">
        <v>1.41</v>
      </c>
      <c r="M1823" s="4">
        <f t="shared" si="84"/>
        <v>0</v>
      </c>
      <c r="N1823" s="4">
        <f t="shared" si="85"/>
        <v>1.22</v>
      </c>
      <c r="O1823" s="4">
        <f t="shared" si="86"/>
        <v>0</v>
      </c>
      <c r="P1823" s="3" t="s">
        <v>19</v>
      </c>
    </row>
    <row r="1824" spans="1:16" x14ac:dyDescent="0.35">
      <c r="A1824" s="3" t="s">
        <v>31</v>
      </c>
      <c r="B1824" s="3" t="str">
        <f>INDEX(State_Region!$B$2:$B$26,MATCH(TRIM(A1824),State_Region!$A$2:$A$26,0))</f>
        <v>East</v>
      </c>
      <c r="C1824" s="3" t="s">
        <v>192</v>
      </c>
      <c r="D1824" s="3" t="str">
        <f>INDEX(Port_Type!$B$2:$B$227,MATCH(TRIM(C1824),Port_Type!$A$2:$A$227,0))</f>
        <v>Air Cargo</v>
      </c>
      <c r="E1824" s="3" t="s">
        <v>55</v>
      </c>
      <c r="F1824" s="3" t="str">
        <f>INDEX(Product_Category!$B$2:$B$45,MATCH(TRIM(E1824),Product_Category!$A$2:$A$45,0))</f>
        <v>Fresh Fruits &amp; Vegetables</v>
      </c>
      <c r="G1824" s="4">
        <v>0</v>
      </c>
      <c r="H1824" s="4">
        <v>0</v>
      </c>
      <c r="I1824" s="4">
        <v>0</v>
      </c>
      <c r="J1824" s="4">
        <v>0.26</v>
      </c>
      <c r="K1824" s="4">
        <v>3.65</v>
      </c>
      <c r="L1824" s="4">
        <v>1.72</v>
      </c>
      <c r="M1824" s="4">
        <f t="shared" si="84"/>
        <v>0</v>
      </c>
      <c r="N1824" s="4">
        <f t="shared" si="85"/>
        <v>3.3899999999999997</v>
      </c>
      <c r="O1824" s="4">
        <f t="shared" si="86"/>
        <v>0</v>
      </c>
      <c r="P1824" s="3" t="s">
        <v>19</v>
      </c>
    </row>
    <row r="1825" spans="1:16" x14ac:dyDescent="0.35">
      <c r="A1825" s="3" t="s">
        <v>86</v>
      </c>
      <c r="B1825" s="3" t="str">
        <f>INDEX(State_Region!$B$2:$B$26,MATCH(TRIM(A1825),State_Region!$A$2:$A$26,0))</f>
        <v>North</v>
      </c>
      <c r="C1825" s="3" t="s">
        <v>106</v>
      </c>
      <c r="D1825" s="3" t="str">
        <f>INDEX(Port_Type!$B$2:$B$227,MATCH(TRIM(C1825),Port_Type!$A$2:$A$227,0))</f>
        <v>Inland ICD / CFS</v>
      </c>
      <c r="E1825" s="3" t="s">
        <v>150</v>
      </c>
      <c r="F1825" s="3" t="str">
        <f>INDEX(Product_Category!$B$2:$B$45,MATCH(TRIM(E1825),Product_Category!$A$2:$A$45,0))</f>
        <v>Nuts &amp; Oilseeds</v>
      </c>
      <c r="G1825" s="4">
        <v>0.01</v>
      </c>
      <c r="H1825" s="4">
        <v>0.01</v>
      </c>
      <c r="I1825" s="4">
        <v>0</v>
      </c>
      <c r="J1825" s="4">
        <v>0.73</v>
      </c>
      <c r="K1825" s="4">
        <v>0.63</v>
      </c>
      <c r="L1825" s="4">
        <v>0.6</v>
      </c>
      <c r="M1825" s="4">
        <f t="shared" si="84"/>
        <v>0</v>
      </c>
      <c r="N1825" s="4">
        <f t="shared" si="85"/>
        <v>-9.9999999999999978E-2</v>
      </c>
      <c r="O1825" s="4">
        <f t="shared" si="86"/>
        <v>-0.01</v>
      </c>
      <c r="P1825" s="3" t="s">
        <v>19</v>
      </c>
    </row>
    <row r="1826" spans="1:16" x14ac:dyDescent="0.35">
      <c r="A1826" s="3" t="s">
        <v>86</v>
      </c>
      <c r="B1826" s="3" t="str">
        <f>INDEX(State_Region!$B$2:$B$26,MATCH(TRIM(A1826),State_Region!$A$2:$A$26,0))</f>
        <v>North</v>
      </c>
      <c r="C1826" s="3" t="s">
        <v>87</v>
      </c>
      <c r="D1826" s="3" t="str">
        <f>INDEX(Port_Type!$B$2:$B$227,MATCH(TRIM(C1826),Port_Type!$A$2:$A$227,0))</f>
        <v>Air Cargo</v>
      </c>
      <c r="E1826" s="3" t="s">
        <v>174</v>
      </c>
      <c r="F1826" s="3" t="str">
        <f>INDEX(Product_Category!$B$2:$B$45,MATCH(TRIM(E1826),Product_Category!$A$2:$A$45,0))</f>
        <v>Dairy, Poultry &amp; Honey</v>
      </c>
      <c r="G1826" s="4">
        <v>0.01</v>
      </c>
      <c r="H1826" s="4">
        <v>0.03</v>
      </c>
      <c r="I1826" s="4">
        <v>0</v>
      </c>
      <c r="J1826" s="4">
        <v>0.3</v>
      </c>
      <c r="K1826" s="4">
        <v>2.86</v>
      </c>
      <c r="L1826" s="4">
        <v>0.15</v>
      </c>
      <c r="M1826" s="4">
        <f t="shared" si="84"/>
        <v>1.9999999999999997E-2</v>
      </c>
      <c r="N1826" s="4">
        <f t="shared" si="85"/>
        <v>2.56</v>
      </c>
      <c r="O1826" s="4">
        <f t="shared" si="86"/>
        <v>-0.03</v>
      </c>
      <c r="P1826" s="3" t="s">
        <v>19</v>
      </c>
    </row>
    <row r="1827" spans="1:16" x14ac:dyDescent="0.35">
      <c r="A1827" s="3" t="s">
        <v>40</v>
      </c>
      <c r="B1827" s="3" t="str">
        <f>INDEX(State_Region!$B$2:$B$26,MATCH(TRIM(A1827),State_Region!$A$2:$A$26,0))</f>
        <v>South</v>
      </c>
      <c r="C1827" s="3" t="s">
        <v>241</v>
      </c>
      <c r="D1827" s="3" t="str">
        <f>INDEX(Port_Type!$B$2:$B$227,MATCH(TRIM(C1827),Port_Type!$A$2:$A$227,0))</f>
        <v>Air Cargo</v>
      </c>
      <c r="E1827" s="3" t="s">
        <v>48</v>
      </c>
      <c r="F1827" s="3" t="str">
        <f>INDEX(Product_Category!$B$2:$B$45,MATCH(TRIM(E1827),Product_Category!$A$2:$A$45,0))</f>
        <v>Processed Foods</v>
      </c>
      <c r="G1827" s="4">
        <v>0.06</v>
      </c>
      <c r="H1827" s="4">
        <v>0.01</v>
      </c>
      <c r="I1827" s="4">
        <v>0</v>
      </c>
      <c r="J1827" s="4">
        <v>39.54</v>
      </c>
      <c r="K1827" s="4">
        <v>10.37</v>
      </c>
      <c r="L1827" s="4">
        <v>2.75</v>
      </c>
      <c r="M1827" s="4">
        <f t="shared" si="84"/>
        <v>-4.9999999999999996E-2</v>
      </c>
      <c r="N1827" s="4">
        <f t="shared" si="85"/>
        <v>-29.17</v>
      </c>
      <c r="O1827" s="4">
        <f t="shared" si="86"/>
        <v>-0.01</v>
      </c>
      <c r="P1827" s="3" t="s">
        <v>19</v>
      </c>
    </row>
    <row r="1828" spans="1:16" x14ac:dyDescent="0.35">
      <c r="A1828" s="3" t="s">
        <v>40</v>
      </c>
      <c r="B1828" s="3" t="str">
        <f>INDEX(State_Region!$B$2:$B$26,MATCH(TRIM(A1828),State_Region!$A$2:$A$26,0))</f>
        <v>South</v>
      </c>
      <c r="C1828" s="3" t="s">
        <v>85</v>
      </c>
      <c r="D1828" s="3" t="str">
        <f>INDEX(Port_Type!$B$2:$B$227,MATCH(TRIM(C1828),Port_Type!$A$2:$A$227,0))</f>
        <v>Sea Port</v>
      </c>
      <c r="E1828" s="3" t="s">
        <v>60</v>
      </c>
      <c r="F1828" s="3" t="str">
        <f>INDEX(Product_Category!$B$2:$B$45,MATCH(TRIM(E1828),Product_Category!$A$2:$A$45,0))</f>
        <v>Processed Foods</v>
      </c>
      <c r="G1828" s="4">
        <v>0</v>
      </c>
      <c r="H1828" s="4">
        <v>0.01</v>
      </c>
      <c r="I1828" s="4">
        <v>0</v>
      </c>
      <c r="J1828" s="4">
        <v>0.28000000000000003</v>
      </c>
      <c r="K1828" s="4">
        <v>3.48</v>
      </c>
      <c r="L1828" s="4">
        <v>1</v>
      </c>
      <c r="M1828" s="4">
        <f t="shared" si="84"/>
        <v>0.01</v>
      </c>
      <c r="N1828" s="4">
        <f t="shared" si="85"/>
        <v>3.2</v>
      </c>
      <c r="O1828" s="4">
        <f t="shared" si="86"/>
        <v>-0.01</v>
      </c>
      <c r="P1828" s="3" t="s">
        <v>19</v>
      </c>
    </row>
    <row r="1829" spans="1:16" x14ac:dyDescent="0.35">
      <c r="A1829" s="3" t="s">
        <v>23</v>
      </c>
      <c r="B1829" s="3" t="str">
        <f>INDEX(State_Region!$B$2:$B$26,MATCH(TRIM(A1829),State_Region!$A$2:$A$26,0))</f>
        <v>North</v>
      </c>
      <c r="C1829" s="3" t="s">
        <v>24</v>
      </c>
      <c r="D1829" s="3" t="str">
        <f>INDEX(Port_Type!$B$2:$B$227,MATCH(TRIM(C1829),Port_Type!$A$2:$A$227,0))</f>
        <v>Inland ICD / CFS</v>
      </c>
      <c r="E1829" s="3" t="s">
        <v>33</v>
      </c>
      <c r="F1829" s="3" t="str">
        <f>INDEX(Product_Category!$B$2:$B$45,MATCH(TRIM(E1829),Product_Category!$A$2:$A$45,0))</f>
        <v>Pulses</v>
      </c>
      <c r="G1829" s="4">
        <v>0</v>
      </c>
      <c r="H1829" s="4">
        <v>0</v>
      </c>
      <c r="I1829" s="4">
        <v>0</v>
      </c>
      <c r="J1829" s="4">
        <v>1.5</v>
      </c>
      <c r="K1829" s="4">
        <v>1.8</v>
      </c>
      <c r="L1829" s="4">
        <v>1</v>
      </c>
      <c r="M1829" s="4">
        <f t="shared" si="84"/>
        <v>0</v>
      </c>
      <c r="N1829" s="4">
        <f t="shared" si="85"/>
        <v>0.30000000000000004</v>
      </c>
      <c r="O1829" s="4">
        <f t="shared" si="86"/>
        <v>0</v>
      </c>
      <c r="P1829" s="3" t="s">
        <v>19</v>
      </c>
    </row>
    <row r="1830" spans="1:16" x14ac:dyDescent="0.35">
      <c r="A1830" s="3" t="s">
        <v>20</v>
      </c>
      <c r="B1830" s="3" t="str">
        <f>INDEX(State_Region!$B$2:$B$26,MATCH(TRIM(A1830),State_Region!$A$2:$A$26,0))</f>
        <v>West</v>
      </c>
      <c r="C1830" s="3" t="s">
        <v>111</v>
      </c>
      <c r="D1830" s="3" t="str">
        <f>INDEX(Port_Type!$B$2:$B$227,MATCH(TRIM(C1830),Port_Type!$A$2:$A$227,0))</f>
        <v>Inland ICD / CFS</v>
      </c>
      <c r="E1830" s="3" t="s">
        <v>54</v>
      </c>
      <c r="F1830" s="3" t="str">
        <f>INDEX(Product_Category!$B$2:$B$45,MATCH(TRIM(E1830),Product_Category!$A$2:$A$45,0))</f>
        <v>Processed Foods</v>
      </c>
      <c r="G1830" s="4">
        <v>0.08</v>
      </c>
      <c r="H1830" s="4">
        <v>7.0000000000000007E-2</v>
      </c>
      <c r="I1830" s="4">
        <v>0</v>
      </c>
      <c r="J1830" s="4">
        <v>37.74</v>
      </c>
      <c r="K1830" s="4">
        <v>60.56</v>
      </c>
      <c r="L1830" s="4">
        <v>0.5</v>
      </c>
      <c r="M1830" s="4">
        <f t="shared" si="84"/>
        <v>-9.999999999999995E-3</v>
      </c>
      <c r="N1830" s="4">
        <f t="shared" si="85"/>
        <v>22.82</v>
      </c>
      <c r="O1830" s="4">
        <f t="shared" si="86"/>
        <v>-7.0000000000000007E-2</v>
      </c>
      <c r="P1830" s="3" t="s">
        <v>19</v>
      </c>
    </row>
    <row r="1831" spans="1:16" x14ac:dyDescent="0.35">
      <c r="A1831" s="3" t="s">
        <v>23</v>
      </c>
      <c r="B1831" s="3" t="str">
        <f>INDEX(State_Region!$B$2:$B$26,MATCH(TRIM(A1831),State_Region!$A$2:$A$26,0))</f>
        <v>North</v>
      </c>
      <c r="C1831" s="3" t="s">
        <v>120</v>
      </c>
      <c r="D1831" s="3" t="str">
        <f>INDEX(Port_Type!$B$2:$B$227,MATCH(TRIM(C1831),Port_Type!$A$2:$A$227,0))</f>
        <v>Inland ICD / CFS</v>
      </c>
      <c r="E1831" s="3" t="s">
        <v>72</v>
      </c>
      <c r="F1831" s="3" t="str">
        <f>INDEX(Product_Category!$B$2:$B$45,MATCH(TRIM(E1831),Product_Category!$A$2:$A$45,0))</f>
        <v>Dairy, Poultry &amp; Honey</v>
      </c>
      <c r="G1831" s="4">
        <v>0.01</v>
      </c>
      <c r="H1831" s="4">
        <v>0</v>
      </c>
      <c r="I1831" s="4">
        <v>0</v>
      </c>
      <c r="J1831" s="4">
        <v>0.72</v>
      </c>
      <c r="K1831" s="4">
        <v>0.04</v>
      </c>
      <c r="L1831" s="4">
        <v>0.18</v>
      </c>
      <c r="M1831" s="4">
        <f t="shared" si="84"/>
        <v>-0.01</v>
      </c>
      <c r="N1831" s="4">
        <f t="shared" si="85"/>
        <v>-0.67999999999999994</v>
      </c>
      <c r="O1831" s="4">
        <f t="shared" si="86"/>
        <v>0</v>
      </c>
      <c r="P1831" s="3" t="s">
        <v>19</v>
      </c>
    </row>
    <row r="1832" spans="1:16" x14ac:dyDescent="0.35">
      <c r="A1832" s="3" t="s">
        <v>35</v>
      </c>
      <c r="B1832" s="3" t="str">
        <f>INDEX(State_Region!$B$2:$B$26,MATCH(TRIM(A1832),State_Region!$A$2:$A$26,0))</f>
        <v>North</v>
      </c>
      <c r="C1832" s="3" t="s">
        <v>47</v>
      </c>
      <c r="D1832" s="3" t="str">
        <f>INDEX(Port_Type!$B$2:$B$227,MATCH(TRIM(C1832),Port_Type!$A$2:$A$227,0))</f>
        <v>Inland ICD / CFS</v>
      </c>
      <c r="E1832" s="3" t="s">
        <v>118</v>
      </c>
      <c r="F1832" s="3" t="str">
        <f>INDEX(Product_Category!$B$2:$B$45,MATCH(TRIM(E1832),Product_Category!$A$2:$A$45,0))</f>
        <v>Dairy, Poultry &amp; Honey</v>
      </c>
      <c r="G1832" s="4">
        <v>0</v>
      </c>
      <c r="H1832" s="4">
        <v>0</v>
      </c>
      <c r="I1832" s="4">
        <v>0</v>
      </c>
      <c r="J1832" s="4">
        <v>0.34</v>
      </c>
      <c r="K1832" s="4">
        <v>1.1000000000000001</v>
      </c>
      <c r="L1832" s="4">
        <v>0.4</v>
      </c>
      <c r="M1832" s="4">
        <f t="shared" si="84"/>
        <v>0</v>
      </c>
      <c r="N1832" s="4">
        <f t="shared" si="85"/>
        <v>0.76</v>
      </c>
      <c r="O1832" s="4">
        <f t="shared" si="86"/>
        <v>0</v>
      </c>
      <c r="P1832" s="3" t="s">
        <v>19</v>
      </c>
    </row>
    <row r="1833" spans="1:16" x14ac:dyDescent="0.35">
      <c r="A1833" s="3" t="s">
        <v>159</v>
      </c>
      <c r="B1833" s="3" t="str">
        <f>INDEX(State_Region!$B$2:$B$26,MATCH(TRIM(A1833),State_Region!$A$2:$A$26,0))</f>
        <v>North-East</v>
      </c>
      <c r="C1833" s="3" t="s">
        <v>186</v>
      </c>
      <c r="D1833" s="3" t="str">
        <f>INDEX(Port_Type!$B$2:$B$227,MATCH(TRIM(C1833),Port_Type!$A$2:$A$227,0))</f>
        <v>Land Border / Rail</v>
      </c>
      <c r="E1833" s="3" t="s">
        <v>116</v>
      </c>
      <c r="F1833" s="3" t="str">
        <f>INDEX(Product_Category!$B$2:$B$45,MATCH(TRIM(E1833),Product_Category!$A$2:$A$45,0))</f>
        <v>Others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  <c r="L1833" s="4">
        <v>9.32</v>
      </c>
      <c r="M1833" s="4">
        <f t="shared" si="84"/>
        <v>0</v>
      </c>
      <c r="N1833" s="4">
        <f t="shared" si="85"/>
        <v>0</v>
      </c>
      <c r="O1833" s="4">
        <f t="shared" si="86"/>
        <v>0</v>
      </c>
      <c r="P1833" s="3" t="s">
        <v>19</v>
      </c>
    </row>
    <row r="1834" spans="1:16" x14ac:dyDescent="0.35">
      <c r="A1834" s="3" t="s">
        <v>49</v>
      </c>
      <c r="B1834" s="3" t="str">
        <f>INDEX(State_Region!$B$2:$B$26,MATCH(TRIM(A1834),State_Region!$A$2:$A$26,0))</f>
        <v>North</v>
      </c>
      <c r="C1834" s="3" t="s">
        <v>70</v>
      </c>
      <c r="D1834" s="3" t="str">
        <f>INDEX(Port_Type!$B$2:$B$227,MATCH(TRIM(C1834),Port_Type!$A$2:$A$227,0))</f>
        <v>Inland ICD / CFS</v>
      </c>
      <c r="E1834" s="3" t="s">
        <v>48</v>
      </c>
      <c r="F1834" s="3" t="str">
        <f>INDEX(Product_Category!$B$2:$B$45,MATCH(TRIM(E1834),Product_Category!$A$2:$A$45,0))</f>
        <v>Processed Foods</v>
      </c>
      <c r="G1834" s="4">
        <v>0.03</v>
      </c>
      <c r="H1834" s="4">
        <v>0.01</v>
      </c>
      <c r="I1834" s="4">
        <v>0</v>
      </c>
      <c r="J1834" s="4">
        <v>5.64</v>
      </c>
      <c r="K1834" s="4">
        <v>0.88</v>
      </c>
      <c r="L1834" s="4">
        <v>0.11</v>
      </c>
      <c r="M1834" s="4">
        <f t="shared" si="84"/>
        <v>-1.9999999999999997E-2</v>
      </c>
      <c r="N1834" s="4">
        <f t="shared" si="85"/>
        <v>-4.76</v>
      </c>
      <c r="O1834" s="4">
        <f t="shared" si="86"/>
        <v>-0.01</v>
      </c>
      <c r="P1834" s="3" t="s">
        <v>19</v>
      </c>
    </row>
    <row r="1835" spans="1:16" x14ac:dyDescent="0.35">
      <c r="A1835" s="3" t="s">
        <v>77</v>
      </c>
      <c r="B1835" s="3" t="str">
        <f>INDEX(State_Region!$B$2:$B$26,MATCH(TRIM(A1835),State_Region!$A$2:$A$26,0))</f>
        <v>South</v>
      </c>
      <c r="C1835" s="3" t="s">
        <v>216</v>
      </c>
      <c r="D1835" s="3" t="str">
        <f>INDEX(Port_Type!$B$2:$B$227,MATCH(TRIM(C1835),Port_Type!$A$2:$A$227,0))</f>
        <v>Air Cargo</v>
      </c>
      <c r="E1835" s="3" t="s">
        <v>54</v>
      </c>
      <c r="F1835" s="3" t="str">
        <f>INDEX(Product_Category!$B$2:$B$45,MATCH(TRIM(E1835),Product_Category!$A$2:$A$45,0))</f>
        <v>Processed Foods</v>
      </c>
      <c r="G1835" s="4">
        <v>0</v>
      </c>
      <c r="H1835" s="4">
        <v>0.06</v>
      </c>
      <c r="I1835" s="4">
        <v>0</v>
      </c>
      <c r="J1835" s="4">
        <v>0</v>
      </c>
      <c r="K1835" s="4">
        <v>34.06</v>
      </c>
      <c r="L1835" s="4">
        <v>1</v>
      </c>
      <c r="M1835" s="4">
        <f t="shared" si="84"/>
        <v>0.06</v>
      </c>
      <c r="N1835" s="4">
        <f t="shared" si="85"/>
        <v>34.06</v>
      </c>
      <c r="O1835" s="4">
        <f t="shared" si="86"/>
        <v>-0.06</v>
      </c>
      <c r="P1835" s="3" t="s">
        <v>19</v>
      </c>
    </row>
    <row r="1836" spans="1:16" x14ac:dyDescent="0.35">
      <c r="A1836" s="3" t="s">
        <v>231</v>
      </c>
      <c r="B1836" s="3" t="str">
        <f>INDEX(State_Region!$B$2:$B$26,MATCH(TRIM(A1836),State_Region!$A$2:$A$26,0))</f>
        <v>North-East</v>
      </c>
      <c r="C1836" s="3" t="s">
        <v>232</v>
      </c>
      <c r="D1836" s="3" t="str">
        <f>INDEX(Port_Type!$B$2:$B$227,MATCH(TRIM(C1836),Port_Type!$A$2:$A$227,0))</f>
        <v>Land Border / Rail</v>
      </c>
      <c r="E1836" s="3" t="s">
        <v>59</v>
      </c>
      <c r="F1836" s="3" t="str">
        <f>INDEX(Product_Category!$B$2:$B$45,MATCH(TRIM(E1836),Product_Category!$A$2:$A$45,0))</f>
        <v>Processed Foods</v>
      </c>
      <c r="G1836" s="4">
        <v>0</v>
      </c>
      <c r="H1836" s="4">
        <v>0</v>
      </c>
      <c r="I1836" s="4">
        <v>0</v>
      </c>
      <c r="J1836" s="4">
        <v>1.91</v>
      </c>
      <c r="K1836" s="4">
        <v>3.72</v>
      </c>
      <c r="L1836" s="4">
        <v>0.33</v>
      </c>
      <c r="M1836" s="4">
        <f t="shared" si="84"/>
        <v>0</v>
      </c>
      <c r="N1836" s="4">
        <f t="shared" si="85"/>
        <v>1.8100000000000003</v>
      </c>
      <c r="O1836" s="4">
        <f t="shared" si="86"/>
        <v>0</v>
      </c>
      <c r="P1836" s="3" t="s">
        <v>19</v>
      </c>
    </row>
    <row r="1837" spans="1:16" x14ac:dyDescent="0.35">
      <c r="A1837" s="3" t="s">
        <v>40</v>
      </c>
      <c r="B1837" s="3" t="str">
        <f>INDEX(State_Region!$B$2:$B$26,MATCH(TRIM(A1837),State_Region!$A$2:$A$26,0))</f>
        <v>South</v>
      </c>
      <c r="C1837" s="3" t="s">
        <v>164</v>
      </c>
      <c r="D1837" s="3" t="str">
        <f>INDEX(Port_Type!$B$2:$B$227,MATCH(TRIM(C1837),Port_Type!$A$2:$A$227,0))</f>
        <v>Air Cargo</v>
      </c>
      <c r="E1837" s="3" t="s">
        <v>81</v>
      </c>
      <c r="F1837" s="3" t="str">
        <f>INDEX(Product_Category!$B$2:$B$45,MATCH(TRIM(E1837),Product_Category!$A$2:$A$45,0))</f>
        <v>Processed Foods</v>
      </c>
      <c r="G1837" s="4">
        <v>0</v>
      </c>
      <c r="H1837" s="4">
        <v>0</v>
      </c>
      <c r="I1837" s="4">
        <v>0</v>
      </c>
      <c r="J1837" s="4">
        <v>1.74</v>
      </c>
      <c r="K1837" s="4">
        <v>0.8</v>
      </c>
      <c r="L1837" s="4">
        <v>1.94</v>
      </c>
      <c r="M1837" s="4">
        <f t="shared" si="84"/>
        <v>0</v>
      </c>
      <c r="N1837" s="4">
        <f t="shared" si="85"/>
        <v>-0.94</v>
      </c>
      <c r="O1837" s="4">
        <f t="shared" si="86"/>
        <v>0</v>
      </c>
      <c r="P1837" s="3" t="s">
        <v>19</v>
      </c>
    </row>
    <row r="1838" spans="1:16" x14ac:dyDescent="0.35">
      <c r="A1838" s="3" t="s">
        <v>25</v>
      </c>
      <c r="B1838" s="3" t="str">
        <f>INDEX(State_Region!$B$2:$B$26,MATCH(TRIM(A1838),State_Region!$A$2:$A$26,0))</f>
        <v>South</v>
      </c>
      <c r="C1838" s="3" t="s">
        <v>256</v>
      </c>
      <c r="D1838" s="3" t="str">
        <f>INDEX(Port_Type!$B$2:$B$227,MATCH(TRIM(C1838),Port_Type!$A$2:$A$227,0))</f>
        <v>SEZ / EPZ</v>
      </c>
      <c r="E1838" s="3" t="s">
        <v>39</v>
      </c>
      <c r="F1838" s="3" t="str">
        <f>INDEX(Product_Category!$B$2:$B$45,MATCH(TRIM(E1838),Product_Category!$A$2:$A$45,0))</f>
        <v>Processed Foods</v>
      </c>
      <c r="G1838" s="4">
        <v>0.16</v>
      </c>
      <c r="H1838" s="4">
        <v>0.33</v>
      </c>
      <c r="I1838" s="4">
        <v>0</v>
      </c>
      <c r="J1838" s="4">
        <v>45.33</v>
      </c>
      <c r="K1838" s="4">
        <v>14.48</v>
      </c>
      <c r="L1838" s="4">
        <v>0.2</v>
      </c>
      <c r="M1838" s="4">
        <f t="shared" si="84"/>
        <v>0.17</v>
      </c>
      <c r="N1838" s="4">
        <f t="shared" si="85"/>
        <v>-30.849999999999998</v>
      </c>
      <c r="O1838" s="4">
        <f t="shared" si="86"/>
        <v>-0.33</v>
      </c>
      <c r="P1838" s="3" t="s">
        <v>19</v>
      </c>
    </row>
    <row r="1839" spans="1:16" x14ac:dyDescent="0.35">
      <c r="A1839" s="3" t="s">
        <v>66</v>
      </c>
      <c r="B1839" s="3" t="str">
        <f>INDEX(State_Region!$B$2:$B$26,MATCH(TRIM(A1839),State_Region!$A$2:$A$26,0))</f>
        <v>North</v>
      </c>
      <c r="C1839" s="3" t="s">
        <v>127</v>
      </c>
      <c r="D1839" s="3" t="str">
        <f>INDEX(Port_Type!$B$2:$B$227,MATCH(TRIM(C1839),Port_Type!$A$2:$A$227,0))</f>
        <v>Inland ICD / CFS</v>
      </c>
      <c r="E1839" s="3" t="s">
        <v>179</v>
      </c>
      <c r="F1839" s="3" t="str">
        <f>INDEX(Product_Category!$B$2:$B$45,MATCH(TRIM(E1839),Product_Category!$A$2:$A$45,0))</f>
        <v>Nuts &amp; Oilseeds</v>
      </c>
      <c r="G1839" s="4">
        <v>0</v>
      </c>
      <c r="H1839" s="4">
        <v>0</v>
      </c>
      <c r="I1839" s="4">
        <v>0</v>
      </c>
      <c r="J1839" s="4">
        <v>0.05</v>
      </c>
      <c r="K1839" s="4">
        <v>0.06</v>
      </c>
      <c r="L1839" s="4">
        <v>0.2</v>
      </c>
      <c r="M1839" s="4">
        <f t="shared" si="84"/>
        <v>0</v>
      </c>
      <c r="N1839" s="4">
        <f t="shared" si="85"/>
        <v>9.999999999999995E-3</v>
      </c>
      <c r="O1839" s="4">
        <f t="shared" si="86"/>
        <v>0</v>
      </c>
      <c r="P1839" s="3" t="s">
        <v>19</v>
      </c>
    </row>
    <row r="1840" spans="1:16" x14ac:dyDescent="0.35">
      <c r="A1840" s="3" t="s">
        <v>25</v>
      </c>
      <c r="B1840" s="3" t="str">
        <f>INDEX(State_Region!$B$2:$B$26,MATCH(TRIM(A1840),State_Region!$A$2:$A$26,0))</f>
        <v>South</v>
      </c>
      <c r="C1840" s="3" t="s">
        <v>254</v>
      </c>
      <c r="D1840" s="3" t="str">
        <f>INDEX(Port_Type!$B$2:$B$227,MATCH(TRIM(C1840),Port_Type!$A$2:$A$227,0))</f>
        <v>Inland ICD / CFS</v>
      </c>
      <c r="E1840" s="3" t="s">
        <v>48</v>
      </c>
      <c r="F1840" s="3" t="str">
        <f>INDEX(Product_Category!$B$2:$B$45,MATCH(TRIM(E1840),Product_Category!$A$2:$A$45,0))</f>
        <v>Processed Foods</v>
      </c>
      <c r="G1840" s="4">
        <v>0</v>
      </c>
      <c r="H1840" s="4">
        <v>0</v>
      </c>
      <c r="I1840" s="4">
        <v>0</v>
      </c>
      <c r="J1840" s="4">
        <v>2</v>
      </c>
      <c r="K1840" s="4">
        <v>0.96</v>
      </c>
      <c r="L1840" s="4">
        <v>1.93</v>
      </c>
      <c r="M1840" s="4">
        <f t="shared" si="84"/>
        <v>0</v>
      </c>
      <c r="N1840" s="4">
        <f t="shared" si="85"/>
        <v>-1.04</v>
      </c>
      <c r="O1840" s="4">
        <f t="shared" si="86"/>
        <v>0</v>
      </c>
      <c r="P1840" s="3" t="s">
        <v>19</v>
      </c>
    </row>
    <row r="1841" spans="1:16" x14ac:dyDescent="0.35">
      <c r="A1841" s="3" t="s">
        <v>31</v>
      </c>
      <c r="B1841" s="3" t="str">
        <f>INDEX(State_Region!$B$2:$B$26,MATCH(TRIM(A1841),State_Region!$A$2:$A$26,0))</f>
        <v>East</v>
      </c>
      <c r="C1841" s="3" t="s">
        <v>131</v>
      </c>
      <c r="D1841" s="3" t="str">
        <f>INDEX(Port_Type!$B$2:$B$227,MATCH(TRIM(C1841),Port_Type!$A$2:$A$227,0))</f>
        <v>Land Border / Rail</v>
      </c>
      <c r="E1841" s="3" t="s">
        <v>179</v>
      </c>
      <c r="F1841" s="3" t="str">
        <f>INDEX(Product_Category!$B$2:$B$45,MATCH(TRIM(E1841),Product_Category!$A$2:$A$45,0))</f>
        <v>Nuts &amp; Oilseeds</v>
      </c>
      <c r="G1841" s="4">
        <v>0.01</v>
      </c>
      <c r="H1841" s="4">
        <v>0</v>
      </c>
      <c r="I1841" s="4">
        <v>0</v>
      </c>
      <c r="J1841" s="4">
        <v>1</v>
      </c>
      <c r="K1841" s="4">
        <v>0.21</v>
      </c>
      <c r="L1841" s="4">
        <v>0.15</v>
      </c>
      <c r="M1841" s="4">
        <f t="shared" si="84"/>
        <v>-0.01</v>
      </c>
      <c r="N1841" s="4">
        <f t="shared" si="85"/>
        <v>-0.79</v>
      </c>
      <c r="O1841" s="4">
        <f t="shared" si="86"/>
        <v>0</v>
      </c>
      <c r="P1841" s="3" t="s">
        <v>19</v>
      </c>
    </row>
    <row r="1842" spans="1:16" x14ac:dyDescent="0.35">
      <c r="A1842" s="3" t="s">
        <v>40</v>
      </c>
      <c r="B1842" s="3" t="str">
        <f>INDEX(State_Region!$B$2:$B$26,MATCH(TRIM(A1842),State_Region!$A$2:$A$26,0))</f>
        <v>South</v>
      </c>
      <c r="C1842" s="3" t="s">
        <v>41</v>
      </c>
      <c r="D1842" s="3" t="str">
        <f>INDEX(Port_Type!$B$2:$B$227,MATCH(TRIM(C1842),Port_Type!$A$2:$A$227,0))</f>
        <v>Sea Port</v>
      </c>
      <c r="E1842" s="3" t="s">
        <v>114</v>
      </c>
      <c r="F1842" s="3" t="str">
        <f>INDEX(Product_Category!$B$2:$B$45,MATCH(TRIM(E1842),Product_Category!$A$2:$A$45,0))</f>
        <v>Dairy, Poultry &amp; Honey</v>
      </c>
      <c r="G1842" s="4">
        <v>0.11</v>
      </c>
      <c r="H1842" s="4">
        <v>0.06</v>
      </c>
      <c r="I1842" s="4">
        <v>0</v>
      </c>
      <c r="J1842" s="4">
        <v>9.07</v>
      </c>
      <c r="K1842" s="4">
        <v>6.46</v>
      </c>
      <c r="L1842" s="4">
        <v>0.6</v>
      </c>
      <c r="M1842" s="4">
        <f t="shared" si="84"/>
        <v>-0.05</v>
      </c>
      <c r="N1842" s="4">
        <f t="shared" si="85"/>
        <v>-2.6100000000000003</v>
      </c>
      <c r="O1842" s="4">
        <f t="shared" si="86"/>
        <v>-0.06</v>
      </c>
      <c r="P1842" s="3" t="s">
        <v>19</v>
      </c>
    </row>
    <row r="1843" spans="1:16" x14ac:dyDescent="0.35">
      <c r="A1843" s="3" t="s">
        <v>23</v>
      </c>
      <c r="B1843" s="3" t="str">
        <f>INDEX(State_Region!$B$2:$B$26,MATCH(TRIM(A1843),State_Region!$A$2:$A$26,0))</f>
        <v>North</v>
      </c>
      <c r="C1843" s="3" t="s">
        <v>182</v>
      </c>
      <c r="D1843" s="3" t="str">
        <f>INDEX(Port_Type!$B$2:$B$227,MATCH(TRIM(C1843),Port_Type!$A$2:$A$227,0))</f>
        <v>Air Cargo</v>
      </c>
      <c r="E1843" s="3" t="s">
        <v>170</v>
      </c>
      <c r="F1843" s="3" t="str">
        <f>INDEX(Product_Category!$B$2:$B$45,MATCH(TRIM(E1843),Product_Category!$A$2:$A$45,0))</f>
        <v>Others</v>
      </c>
      <c r="G1843" s="4">
        <v>0.01</v>
      </c>
      <c r="H1843" s="4">
        <v>0.02</v>
      </c>
      <c r="I1843" s="4">
        <v>0</v>
      </c>
      <c r="J1843" s="4">
        <v>1.76</v>
      </c>
      <c r="K1843" s="4">
        <v>41.46</v>
      </c>
      <c r="L1843" s="4">
        <v>5.03</v>
      </c>
      <c r="M1843" s="4">
        <f t="shared" si="84"/>
        <v>0.01</v>
      </c>
      <c r="N1843" s="4">
        <f t="shared" si="85"/>
        <v>39.700000000000003</v>
      </c>
      <c r="O1843" s="4">
        <f t="shared" si="86"/>
        <v>-0.02</v>
      </c>
      <c r="P1843" s="3" t="s">
        <v>19</v>
      </c>
    </row>
    <row r="1844" spans="1:16" x14ac:dyDescent="0.35">
      <c r="A1844" s="3" t="s">
        <v>231</v>
      </c>
      <c r="B1844" s="3" t="str">
        <f>INDEX(State_Region!$B$2:$B$26,MATCH(TRIM(A1844),State_Region!$A$2:$A$26,0))</f>
        <v>North-East</v>
      </c>
      <c r="C1844" s="3" t="s">
        <v>236</v>
      </c>
      <c r="D1844" s="3" t="str">
        <f>INDEX(Port_Type!$B$2:$B$227,MATCH(TRIM(C1844),Port_Type!$A$2:$A$227,0))</f>
        <v>Land Border / Rail</v>
      </c>
      <c r="E1844" s="3" t="s">
        <v>83</v>
      </c>
      <c r="F1844" s="3" t="str">
        <f>INDEX(Product_Category!$B$2:$B$45,MATCH(TRIM(E1844),Product_Category!$A$2:$A$45,0))</f>
        <v>Fresh Fruits &amp; Vegetables</v>
      </c>
      <c r="G1844" s="4">
        <v>0</v>
      </c>
      <c r="H1844" s="4">
        <v>0</v>
      </c>
      <c r="I1844" s="4">
        <v>0</v>
      </c>
      <c r="J1844" s="4">
        <v>0.03</v>
      </c>
      <c r="K1844" s="4">
        <v>1.07</v>
      </c>
      <c r="L1844" s="4">
        <v>1.38</v>
      </c>
      <c r="M1844" s="4">
        <f t="shared" si="84"/>
        <v>0</v>
      </c>
      <c r="N1844" s="4">
        <f t="shared" si="85"/>
        <v>1.04</v>
      </c>
      <c r="O1844" s="4">
        <f t="shared" si="86"/>
        <v>0</v>
      </c>
      <c r="P1844" s="3" t="s">
        <v>19</v>
      </c>
    </row>
    <row r="1845" spans="1:16" x14ac:dyDescent="0.35">
      <c r="A1845" s="3" t="s">
        <v>31</v>
      </c>
      <c r="B1845" s="3" t="str">
        <f>INDEX(State_Region!$B$2:$B$26,MATCH(TRIM(A1845),State_Region!$A$2:$A$26,0))</f>
        <v>East</v>
      </c>
      <c r="C1845" s="3" t="s">
        <v>131</v>
      </c>
      <c r="D1845" s="3" t="str">
        <f>INDEX(Port_Type!$B$2:$B$227,MATCH(TRIM(C1845),Port_Type!$A$2:$A$227,0))</f>
        <v>Land Border / Rail</v>
      </c>
      <c r="E1845" s="3" t="s">
        <v>261</v>
      </c>
      <c r="F1845" s="3" t="str">
        <f>INDEX(Product_Category!$B$2:$B$45,MATCH(TRIM(E1845),Product_Category!$A$2:$A$45,0))</f>
        <v>Meat &amp; Animal Products</v>
      </c>
      <c r="G1845" s="4">
        <v>0.81</v>
      </c>
      <c r="H1845" s="4">
        <v>0</v>
      </c>
      <c r="I1845" s="4">
        <v>0</v>
      </c>
      <c r="J1845" s="4">
        <v>221.2</v>
      </c>
      <c r="K1845" s="4">
        <v>0</v>
      </c>
      <c r="L1845" s="4">
        <v>0.12</v>
      </c>
      <c r="M1845" s="4">
        <f t="shared" si="84"/>
        <v>-0.81</v>
      </c>
      <c r="N1845" s="4">
        <f t="shared" si="85"/>
        <v>-221.2</v>
      </c>
      <c r="O1845" s="4">
        <f t="shared" si="86"/>
        <v>0</v>
      </c>
      <c r="P1845" s="3" t="s">
        <v>19</v>
      </c>
    </row>
    <row r="1846" spans="1:16" x14ac:dyDescent="0.35">
      <c r="A1846" s="3" t="s">
        <v>16</v>
      </c>
      <c r="B1846" s="3" t="str">
        <f>INDEX(State_Region!$B$2:$B$26,MATCH(TRIM(A1846),State_Region!$A$2:$A$26,0))</f>
        <v>West</v>
      </c>
      <c r="C1846" s="3" t="s">
        <v>90</v>
      </c>
      <c r="D1846" s="3" t="str">
        <f>INDEX(Port_Type!$B$2:$B$227,MATCH(TRIM(C1846),Port_Type!$A$2:$A$227,0))</f>
        <v>Inland ICD / CFS</v>
      </c>
      <c r="E1846" s="3" t="s">
        <v>181</v>
      </c>
      <c r="F1846" s="3" t="str">
        <f>INDEX(Product_Category!$B$2:$B$45,MATCH(TRIM(E1846),Product_Category!$A$2:$A$45,0))</f>
        <v>Nuts &amp; Oilseeds</v>
      </c>
      <c r="G1846" s="4">
        <v>0.01</v>
      </c>
      <c r="H1846" s="4">
        <v>0.01</v>
      </c>
      <c r="I1846" s="4">
        <v>0</v>
      </c>
      <c r="J1846" s="4">
        <v>0.4</v>
      </c>
      <c r="K1846" s="4">
        <v>0.48</v>
      </c>
      <c r="L1846" s="4">
        <v>0.14000000000000001</v>
      </c>
      <c r="M1846" s="4">
        <f t="shared" si="84"/>
        <v>0</v>
      </c>
      <c r="N1846" s="4">
        <f t="shared" si="85"/>
        <v>7.999999999999996E-2</v>
      </c>
      <c r="O1846" s="4">
        <f t="shared" si="86"/>
        <v>-0.01</v>
      </c>
      <c r="P1846" s="3" t="s">
        <v>19</v>
      </c>
    </row>
    <row r="1847" spans="1:16" x14ac:dyDescent="0.35">
      <c r="A1847" s="3" t="s">
        <v>231</v>
      </c>
      <c r="B1847" s="3" t="str">
        <f>INDEX(State_Region!$B$2:$B$26,MATCH(TRIM(A1847),State_Region!$A$2:$A$26,0))</f>
        <v>North-East</v>
      </c>
      <c r="C1847" s="3" t="s">
        <v>232</v>
      </c>
      <c r="D1847" s="3" t="str">
        <f>INDEX(Port_Type!$B$2:$B$227,MATCH(TRIM(C1847),Port_Type!$A$2:$A$227,0))</f>
        <v>Land Border / Rail</v>
      </c>
      <c r="E1847" s="3" t="s">
        <v>72</v>
      </c>
      <c r="F1847" s="3" t="str">
        <f>INDEX(Product_Category!$B$2:$B$45,MATCH(TRIM(E1847),Product_Category!$A$2:$A$45,0))</f>
        <v>Dairy, Poultry &amp; Honey</v>
      </c>
      <c r="G1847" s="4">
        <v>0.24</v>
      </c>
      <c r="H1847" s="4">
        <v>0.01</v>
      </c>
      <c r="I1847" s="4">
        <v>0</v>
      </c>
      <c r="J1847" s="4">
        <v>269.06</v>
      </c>
      <c r="K1847" s="4">
        <v>1.47</v>
      </c>
      <c r="L1847" s="4">
        <v>0.31</v>
      </c>
      <c r="M1847" s="4">
        <f t="shared" si="84"/>
        <v>-0.22999999999999998</v>
      </c>
      <c r="N1847" s="4">
        <f t="shared" si="85"/>
        <v>-267.58999999999997</v>
      </c>
      <c r="O1847" s="4">
        <f t="shared" si="86"/>
        <v>-0.01</v>
      </c>
      <c r="P1847" s="3" t="s">
        <v>19</v>
      </c>
    </row>
    <row r="1848" spans="1:16" x14ac:dyDescent="0.35">
      <c r="A1848" s="3" t="s">
        <v>86</v>
      </c>
      <c r="B1848" s="3" t="str">
        <f>INDEX(State_Region!$B$2:$B$26,MATCH(TRIM(A1848),State_Region!$A$2:$A$26,0))</f>
        <v>North</v>
      </c>
      <c r="C1848" s="3" t="s">
        <v>87</v>
      </c>
      <c r="D1848" s="3" t="str">
        <f>INDEX(Port_Type!$B$2:$B$227,MATCH(TRIM(C1848),Port_Type!$A$2:$A$227,0))</f>
        <v>Air Cargo</v>
      </c>
      <c r="E1848" s="3" t="s">
        <v>62</v>
      </c>
      <c r="F1848" s="3" t="str">
        <f>INDEX(Product_Category!$B$2:$B$45,MATCH(TRIM(E1848),Product_Category!$A$2:$A$45,0))</f>
        <v>Cereals &amp; Grains</v>
      </c>
      <c r="G1848" s="4">
        <v>0.01</v>
      </c>
      <c r="H1848" s="4">
        <v>0</v>
      </c>
      <c r="I1848" s="4">
        <v>0</v>
      </c>
      <c r="J1848" s="4">
        <v>0.14000000000000001</v>
      </c>
      <c r="K1848" s="4">
        <v>0.04</v>
      </c>
      <c r="L1848" s="4">
        <v>0.3</v>
      </c>
      <c r="M1848" s="4">
        <f t="shared" si="84"/>
        <v>-0.01</v>
      </c>
      <c r="N1848" s="4">
        <f t="shared" si="85"/>
        <v>-0.1</v>
      </c>
      <c r="O1848" s="4">
        <f t="shared" si="86"/>
        <v>0</v>
      </c>
      <c r="P1848" s="3" t="s">
        <v>19</v>
      </c>
    </row>
    <row r="1849" spans="1:16" x14ac:dyDescent="0.35">
      <c r="A1849" s="3" t="s">
        <v>94</v>
      </c>
      <c r="B1849" s="3" t="str">
        <f>INDEX(State_Region!$B$2:$B$26,MATCH(TRIM(A1849),State_Region!$A$2:$A$26,0))</f>
        <v>East</v>
      </c>
      <c r="C1849" s="3" t="s">
        <v>95</v>
      </c>
      <c r="D1849" s="3" t="str">
        <f>INDEX(Port_Type!$B$2:$B$227,MATCH(TRIM(C1849),Port_Type!$A$2:$A$227,0))</f>
        <v>Land Border / Rail</v>
      </c>
      <c r="E1849" s="3" t="s">
        <v>151</v>
      </c>
      <c r="F1849" s="3" t="str">
        <f>INDEX(Product_Category!$B$2:$B$45,MATCH(TRIM(E1849),Product_Category!$A$2:$A$45,0))</f>
        <v>Processed Foods</v>
      </c>
      <c r="G1849" s="4">
        <v>0.02</v>
      </c>
      <c r="H1849" s="4">
        <v>0.03</v>
      </c>
      <c r="I1849" s="4">
        <v>0</v>
      </c>
      <c r="J1849" s="4">
        <v>40.479999999999997</v>
      </c>
      <c r="K1849" s="4">
        <v>22.8</v>
      </c>
      <c r="L1849" s="4">
        <v>2.5</v>
      </c>
      <c r="M1849" s="4">
        <f t="shared" si="84"/>
        <v>9.9999999999999985E-3</v>
      </c>
      <c r="N1849" s="4">
        <f t="shared" si="85"/>
        <v>-17.679999999999996</v>
      </c>
      <c r="O1849" s="4">
        <f t="shared" si="86"/>
        <v>-0.03</v>
      </c>
      <c r="P1849" s="3" t="s">
        <v>19</v>
      </c>
    </row>
    <row r="1850" spans="1:16" x14ac:dyDescent="0.35">
      <c r="A1850" s="3" t="s">
        <v>40</v>
      </c>
      <c r="B1850" s="3" t="str">
        <f>INDEX(State_Region!$B$2:$B$26,MATCH(TRIM(A1850),State_Region!$A$2:$A$26,0))</f>
        <v>South</v>
      </c>
      <c r="C1850" s="3" t="s">
        <v>194</v>
      </c>
      <c r="D1850" s="3" t="str">
        <f>INDEX(Port_Type!$B$2:$B$227,MATCH(TRIM(C1850),Port_Type!$A$2:$A$227,0))</f>
        <v>Air Cargo</v>
      </c>
      <c r="E1850" s="3" t="s">
        <v>81</v>
      </c>
      <c r="F1850" s="3" t="str">
        <f>INDEX(Product_Category!$B$2:$B$45,MATCH(TRIM(E1850),Product_Category!$A$2:$A$45,0))</f>
        <v>Processed Foods</v>
      </c>
      <c r="G1850" s="4">
        <v>0</v>
      </c>
      <c r="H1850" s="4">
        <v>0.01</v>
      </c>
      <c r="I1850" s="4">
        <v>0</v>
      </c>
      <c r="J1850" s="4">
        <v>0</v>
      </c>
      <c r="K1850" s="4">
        <v>10.27</v>
      </c>
      <c r="L1850" s="4">
        <v>1.64</v>
      </c>
      <c r="M1850" s="4">
        <f t="shared" si="84"/>
        <v>0.01</v>
      </c>
      <c r="N1850" s="4">
        <f t="shared" si="85"/>
        <v>10.27</v>
      </c>
      <c r="O1850" s="4">
        <f t="shared" si="86"/>
        <v>-0.01</v>
      </c>
      <c r="P1850" s="3" t="s">
        <v>19</v>
      </c>
    </row>
    <row r="1851" spans="1:16" x14ac:dyDescent="0.35">
      <c r="A1851" s="3" t="s">
        <v>40</v>
      </c>
      <c r="B1851" s="3" t="str">
        <f>INDEX(State_Region!$B$2:$B$26,MATCH(TRIM(A1851),State_Region!$A$2:$A$26,0))</f>
        <v>South</v>
      </c>
      <c r="C1851" s="3" t="s">
        <v>220</v>
      </c>
      <c r="D1851" s="3" t="str">
        <f>INDEX(Port_Type!$B$2:$B$227,MATCH(TRIM(C1851),Port_Type!$A$2:$A$227,0))</f>
        <v>Inland ICD / CFS</v>
      </c>
      <c r="E1851" s="3" t="s">
        <v>144</v>
      </c>
      <c r="F1851" s="3" t="str">
        <f>INDEX(Product_Category!$B$2:$B$45,MATCH(TRIM(E1851),Product_Category!$A$2:$A$45,0))</f>
        <v>Cereals &amp; Grains</v>
      </c>
      <c r="G1851" s="4">
        <v>0</v>
      </c>
      <c r="H1851" s="4">
        <v>0</v>
      </c>
      <c r="I1851" s="4">
        <v>0</v>
      </c>
      <c r="J1851" s="4">
        <v>1.57</v>
      </c>
      <c r="K1851" s="4">
        <v>2.27</v>
      </c>
      <c r="L1851" s="4">
        <v>1.1000000000000001</v>
      </c>
      <c r="M1851" s="4">
        <f t="shared" si="84"/>
        <v>0</v>
      </c>
      <c r="N1851" s="4">
        <f t="shared" si="85"/>
        <v>0.7</v>
      </c>
      <c r="O1851" s="4">
        <f t="shared" si="86"/>
        <v>0</v>
      </c>
      <c r="P1851" s="3" t="s">
        <v>19</v>
      </c>
    </row>
    <row r="1852" spans="1:16" x14ac:dyDescent="0.35">
      <c r="A1852" s="3" t="s">
        <v>23</v>
      </c>
      <c r="B1852" s="3" t="str">
        <f>INDEX(State_Region!$B$2:$B$26,MATCH(TRIM(A1852),State_Region!$A$2:$A$26,0))</f>
        <v>North</v>
      </c>
      <c r="C1852" s="3" t="s">
        <v>34</v>
      </c>
      <c r="D1852" s="3" t="str">
        <f>INDEX(Port_Type!$B$2:$B$227,MATCH(TRIM(C1852),Port_Type!$A$2:$A$227,0))</f>
        <v>Inland ICD / CFS</v>
      </c>
      <c r="E1852" s="3" t="s">
        <v>72</v>
      </c>
      <c r="F1852" s="3" t="str">
        <f>INDEX(Product_Category!$B$2:$B$45,MATCH(TRIM(E1852),Product_Category!$A$2:$A$45,0))</f>
        <v>Dairy, Poultry &amp; Honey</v>
      </c>
      <c r="G1852" s="4">
        <v>0.22</v>
      </c>
      <c r="H1852" s="4">
        <v>0.39</v>
      </c>
      <c r="I1852" s="4">
        <v>0</v>
      </c>
      <c r="J1852" s="4">
        <v>51.79</v>
      </c>
      <c r="K1852" s="4">
        <v>73.05</v>
      </c>
      <c r="L1852" s="4">
        <v>0.22</v>
      </c>
      <c r="M1852" s="4">
        <f t="shared" si="84"/>
        <v>0.17</v>
      </c>
      <c r="N1852" s="4">
        <f t="shared" si="85"/>
        <v>21.259999999999998</v>
      </c>
      <c r="O1852" s="4">
        <f t="shared" si="86"/>
        <v>-0.39</v>
      </c>
      <c r="P1852" s="3" t="s">
        <v>19</v>
      </c>
    </row>
    <row r="1853" spans="1:16" x14ac:dyDescent="0.35">
      <c r="A1853" s="3" t="s">
        <v>159</v>
      </c>
      <c r="B1853" s="3" t="str">
        <f>INDEX(State_Region!$B$2:$B$26,MATCH(TRIM(A1853),State_Region!$A$2:$A$26,0))</f>
        <v>North-East</v>
      </c>
      <c r="C1853" s="3" t="s">
        <v>262</v>
      </c>
      <c r="D1853" s="3" t="str">
        <f>INDEX(Port_Type!$B$2:$B$227,MATCH(TRIM(C1853),Port_Type!$A$2:$A$227,0))</f>
        <v>Air Cargo</v>
      </c>
      <c r="E1853" s="3" t="s">
        <v>45</v>
      </c>
      <c r="F1853" s="3" t="str">
        <f>INDEX(Product_Category!$B$2:$B$45,MATCH(TRIM(E1853),Product_Category!$A$2:$A$45,0))</f>
        <v>Fresh Fruits &amp; Vegetables</v>
      </c>
      <c r="G1853" s="4">
        <v>0</v>
      </c>
      <c r="H1853" s="4">
        <v>0.01</v>
      </c>
      <c r="I1853" s="4">
        <v>0</v>
      </c>
      <c r="J1853" s="4">
        <v>0</v>
      </c>
      <c r="K1853" s="4">
        <v>3.8</v>
      </c>
      <c r="L1853" s="4">
        <v>0.98</v>
      </c>
      <c r="M1853" s="4">
        <f t="shared" si="84"/>
        <v>0.01</v>
      </c>
      <c r="N1853" s="4">
        <f t="shared" si="85"/>
        <v>3.8</v>
      </c>
      <c r="O1853" s="4">
        <f t="shared" si="86"/>
        <v>-0.01</v>
      </c>
      <c r="P1853" s="3" t="s">
        <v>19</v>
      </c>
    </row>
    <row r="1854" spans="1:16" x14ac:dyDescent="0.35">
      <c r="A1854" s="3" t="s">
        <v>251</v>
      </c>
      <c r="B1854" s="3" t="str">
        <f>INDEX(State_Region!$B$2:$B$26,MATCH(TRIM(A1854),State_Region!$A$2:$A$26,0))</f>
        <v>South</v>
      </c>
      <c r="C1854" s="3" t="s">
        <v>252</v>
      </c>
      <c r="D1854" s="3" t="str">
        <f>INDEX(Port_Type!$B$2:$B$227,MATCH(TRIM(C1854),Port_Type!$A$2:$A$227,0))</f>
        <v>Inland ICD / CFS</v>
      </c>
      <c r="E1854" s="3" t="s">
        <v>53</v>
      </c>
      <c r="F1854" s="3" t="str">
        <f>INDEX(Product_Category!$B$2:$B$45,MATCH(TRIM(E1854),Product_Category!$A$2:$A$45,0))</f>
        <v>Processed Foods</v>
      </c>
      <c r="G1854" s="4">
        <v>0.09</v>
      </c>
      <c r="H1854" s="4">
        <v>0.03</v>
      </c>
      <c r="I1854" s="4">
        <v>0</v>
      </c>
      <c r="J1854" s="4">
        <v>22.05</v>
      </c>
      <c r="K1854" s="4">
        <v>30.71</v>
      </c>
      <c r="L1854" s="4">
        <v>1.27</v>
      </c>
      <c r="M1854" s="4">
        <f t="shared" si="84"/>
        <v>-0.06</v>
      </c>
      <c r="N1854" s="4">
        <f t="shared" si="85"/>
        <v>8.66</v>
      </c>
      <c r="O1854" s="4">
        <f t="shared" si="86"/>
        <v>-0.03</v>
      </c>
      <c r="P1854" s="3" t="s">
        <v>19</v>
      </c>
    </row>
    <row r="1855" spans="1:16" x14ac:dyDescent="0.35">
      <c r="A1855" s="3" t="s">
        <v>16</v>
      </c>
      <c r="B1855" s="3" t="str">
        <f>INDEX(State_Region!$B$2:$B$26,MATCH(TRIM(A1855),State_Region!$A$2:$A$26,0))</f>
        <v>West</v>
      </c>
      <c r="C1855" s="3" t="s">
        <v>90</v>
      </c>
      <c r="D1855" s="3" t="str">
        <f>INDEX(Port_Type!$B$2:$B$227,MATCH(TRIM(C1855),Port_Type!$A$2:$A$227,0))</f>
        <v>Inland ICD / CFS</v>
      </c>
      <c r="E1855" s="3" t="s">
        <v>62</v>
      </c>
      <c r="F1855" s="3" t="str">
        <f>INDEX(Product_Category!$B$2:$B$45,MATCH(TRIM(E1855),Product_Category!$A$2:$A$45,0))</f>
        <v>Cereals &amp; Grains</v>
      </c>
      <c r="G1855" s="4">
        <v>0.01</v>
      </c>
      <c r="H1855" s="4">
        <v>0.04</v>
      </c>
      <c r="I1855" s="4">
        <v>0</v>
      </c>
      <c r="J1855" s="4">
        <v>23.1</v>
      </c>
      <c r="K1855" s="4">
        <v>96.47</v>
      </c>
      <c r="L1855" s="4">
        <v>1.58</v>
      </c>
      <c r="M1855" s="4">
        <f t="shared" si="84"/>
        <v>0.03</v>
      </c>
      <c r="N1855" s="4">
        <f t="shared" si="85"/>
        <v>73.37</v>
      </c>
      <c r="O1855" s="4">
        <f t="shared" si="86"/>
        <v>-0.04</v>
      </c>
      <c r="P1855" s="3" t="s">
        <v>19</v>
      </c>
    </row>
    <row r="1856" spans="1:16" x14ac:dyDescent="0.35">
      <c r="A1856" s="3" t="s">
        <v>79</v>
      </c>
      <c r="B1856" s="3" t="str">
        <f>INDEX(State_Region!$B$2:$B$26,MATCH(TRIM(A1856),State_Region!$A$2:$A$26,0))</f>
        <v>South</v>
      </c>
      <c r="C1856" s="3" t="s">
        <v>92</v>
      </c>
      <c r="D1856" s="3" t="str">
        <f>INDEX(Port_Type!$B$2:$B$227,MATCH(TRIM(C1856),Port_Type!$A$2:$A$227,0))</f>
        <v>Air Cargo</v>
      </c>
      <c r="E1856" s="3" t="s">
        <v>60</v>
      </c>
      <c r="F1856" s="3" t="str">
        <f>INDEX(Product_Category!$B$2:$B$45,MATCH(TRIM(E1856),Product_Category!$A$2:$A$45,0))</f>
        <v>Processed Foods</v>
      </c>
      <c r="G1856" s="4">
        <v>0.09</v>
      </c>
      <c r="H1856" s="4">
        <v>0.03</v>
      </c>
      <c r="I1856" s="4">
        <v>0</v>
      </c>
      <c r="J1856" s="4">
        <v>5.73</v>
      </c>
      <c r="K1856" s="4">
        <v>2.08</v>
      </c>
      <c r="L1856" s="4">
        <v>0.38</v>
      </c>
      <c r="M1856" s="4">
        <f t="shared" si="84"/>
        <v>-0.06</v>
      </c>
      <c r="N1856" s="4">
        <f t="shared" si="85"/>
        <v>-3.6500000000000004</v>
      </c>
      <c r="O1856" s="4">
        <f t="shared" si="86"/>
        <v>-0.03</v>
      </c>
      <c r="P1856" s="3" t="s">
        <v>19</v>
      </c>
    </row>
    <row r="1857" spans="1:16" x14ac:dyDescent="0.35">
      <c r="A1857" s="3" t="s">
        <v>49</v>
      </c>
      <c r="B1857" s="3" t="str">
        <f>INDEX(State_Region!$B$2:$B$26,MATCH(TRIM(A1857),State_Region!$A$2:$A$26,0))</f>
        <v>North</v>
      </c>
      <c r="C1857" s="3" t="s">
        <v>176</v>
      </c>
      <c r="D1857" s="3" t="str">
        <f>INDEX(Port_Type!$B$2:$B$227,MATCH(TRIM(C1857),Port_Type!$A$2:$A$227,0))</f>
        <v>Inland ICD / CFS</v>
      </c>
      <c r="E1857" s="3" t="s">
        <v>69</v>
      </c>
      <c r="F1857" s="3" t="str">
        <f>INDEX(Product_Category!$B$2:$B$45,MATCH(TRIM(E1857),Product_Category!$A$2:$A$45,0))</f>
        <v>Others</v>
      </c>
      <c r="G1857" s="4">
        <v>0</v>
      </c>
      <c r="H1857" s="4">
        <v>0</v>
      </c>
      <c r="I1857" s="4">
        <v>0</v>
      </c>
      <c r="J1857" s="4">
        <v>0</v>
      </c>
      <c r="K1857" s="4">
        <v>0.18</v>
      </c>
      <c r="L1857" s="4">
        <v>0.2</v>
      </c>
      <c r="M1857" s="4">
        <f t="shared" si="84"/>
        <v>0</v>
      </c>
      <c r="N1857" s="4">
        <f t="shared" si="85"/>
        <v>0.18</v>
      </c>
      <c r="O1857" s="4">
        <f t="shared" si="86"/>
        <v>0</v>
      </c>
      <c r="P1857" s="3" t="s">
        <v>19</v>
      </c>
    </row>
    <row r="1858" spans="1:16" x14ac:dyDescent="0.35">
      <c r="A1858" s="3" t="s">
        <v>77</v>
      </c>
      <c r="B1858" s="3" t="str">
        <f>INDEX(State_Region!$B$2:$B$26,MATCH(TRIM(A1858),State_Region!$A$2:$A$26,0))</f>
        <v>South</v>
      </c>
      <c r="C1858" s="3" t="s">
        <v>78</v>
      </c>
      <c r="D1858" s="3" t="str">
        <f>INDEX(Port_Type!$B$2:$B$227,MATCH(TRIM(C1858),Port_Type!$A$2:$A$227,0))</f>
        <v>Sea Port</v>
      </c>
      <c r="E1858" s="3" t="s">
        <v>181</v>
      </c>
      <c r="F1858" s="3" t="str">
        <f>INDEX(Product_Category!$B$2:$B$45,MATCH(TRIM(E1858),Product_Category!$A$2:$A$45,0))</f>
        <v>Nuts &amp; Oilseeds</v>
      </c>
      <c r="G1858" s="4">
        <v>0.04</v>
      </c>
      <c r="H1858" s="4">
        <v>0.01</v>
      </c>
      <c r="I1858" s="4">
        <v>0</v>
      </c>
      <c r="J1858" s="4">
        <v>3.33</v>
      </c>
      <c r="K1858" s="4">
        <v>0.56000000000000005</v>
      </c>
      <c r="L1858" s="4">
        <v>0.11</v>
      </c>
      <c r="M1858" s="4">
        <f t="shared" ref="M1858:M1921" si="87">H1858-G1858</f>
        <v>-0.03</v>
      </c>
      <c r="N1858" s="4">
        <f t="shared" ref="N1858:N1921" si="88">K1858-J1858</f>
        <v>-2.77</v>
      </c>
      <c r="O1858" s="4">
        <f t="shared" ref="O1858:O1921" si="89">I1858-H1858</f>
        <v>-0.01</v>
      </c>
      <c r="P1858" s="3" t="s">
        <v>19</v>
      </c>
    </row>
    <row r="1859" spans="1:16" x14ac:dyDescent="0.35">
      <c r="A1859" s="3" t="s">
        <v>40</v>
      </c>
      <c r="B1859" s="3" t="str">
        <f>INDEX(State_Region!$B$2:$B$26,MATCH(TRIM(A1859),State_Region!$A$2:$A$26,0))</f>
        <v>South</v>
      </c>
      <c r="C1859" s="3" t="s">
        <v>241</v>
      </c>
      <c r="D1859" s="3" t="str">
        <f>INDEX(Port_Type!$B$2:$B$227,MATCH(TRIM(C1859),Port_Type!$A$2:$A$227,0))</f>
        <v>Air Cargo</v>
      </c>
      <c r="E1859" s="3" t="s">
        <v>72</v>
      </c>
      <c r="F1859" s="3" t="str">
        <f>INDEX(Product_Category!$B$2:$B$45,MATCH(TRIM(E1859),Product_Category!$A$2:$A$45,0))</f>
        <v>Dairy, Poultry &amp; Honey</v>
      </c>
      <c r="G1859" s="4">
        <v>0.05</v>
      </c>
      <c r="H1859" s="4">
        <v>0</v>
      </c>
      <c r="I1859" s="4">
        <v>0</v>
      </c>
      <c r="J1859" s="4">
        <v>9.07</v>
      </c>
      <c r="K1859" s="4">
        <v>0.63</v>
      </c>
      <c r="L1859" s="4">
        <v>0.47</v>
      </c>
      <c r="M1859" s="4">
        <f t="shared" si="87"/>
        <v>-0.05</v>
      </c>
      <c r="N1859" s="4">
        <f t="shared" si="88"/>
        <v>-8.44</v>
      </c>
      <c r="O1859" s="4">
        <f t="shared" si="89"/>
        <v>0</v>
      </c>
      <c r="P1859" s="3" t="s">
        <v>19</v>
      </c>
    </row>
    <row r="1860" spans="1:16" x14ac:dyDescent="0.35">
      <c r="A1860" s="3" t="s">
        <v>16</v>
      </c>
      <c r="B1860" s="3" t="str">
        <f>INDEX(State_Region!$B$2:$B$26,MATCH(TRIM(A1860),State_Region!$A$2:$A$26,0))</f>
        <v>West</v>
      </c>
      <c r="C1860" s="3" t="s">
        <v>90</v>
      </c>
      <c r="D1860" s="3" t="str">
        <f>INDEX(Port_Type!$B$2:$B$227,MATCH(TRIM(C1860),Port_Type!$A$2:$A$227,0))</f>
        <v>Inland ICD / CFS</v>
      </c>
      <c r="E1860" s="3" t="s">
        <v>81</v>
      </c>
      <c r="F1860" s="3" t="str">
        <f>INDEX(Product_Category!$B$2:$B$45,MATCH(TRIM(E1860),Product_Category!$A$2:$A$45,0))</f>
        <v>Processed Foods</v>
      </c>
      <c r="G1860" s="4">
        <v>0</v>
      </c>
      <c r="H1860" s="4">
        <v>0</v>
      </c>
      <c r="I1860" s="4">
        <v>0</v>
      </c>
      <c r="J1860" s="4">
        <v>0.15</v>
      </c>
      <c r="K1860" s="4">
        <v>0.56999999999999995</v>
      </c>
      <c r="L1860" s="4">
        <v>0.94</v>
      </c>
      <c r="M1860" s="4">
        <f t="shared" si="87"/>
        <v>0</v>
      </c>
      <c r="N1860" s="4">
        <f t="shared" si="88"/>
        <v>0.41999999999999993</v>
      </c>
      <c r="O1860" s="4">
        <f t="shared" si="89"/>
        <v>0</v>
      </c>
      <c r="P1860" s="3" t="s">
        <v>19</v>
      </c>
    </row>
    <row r="1861" spans="1:16" x14ac:dyDescent="0.35">
      <c r="A1861" s="3" t="s">
        <v>16</v>
      </c>
      <c r="B1861" s="3" t="str">
        <f>INDEX(State_Region!$B$2:$B$26,MATCH(TRIM(A1861),State_Region!$A$2:$A$26,0))</f>
        <v>West</v>
      </c>
      <c r="C1861" s="3" t="s">
        <v>140</v>
      </c>
      <c r="D1861" s="3" t="str">
        <f>INDEX(Port_Type!$B$2:$B$227,MATCH(TRIM(C1861),Port_Type!$A$2:$A$227,0))</f>
        <v>SEZ / EPZ</v>
      </c>
      <c r="E1861" s="3" t="s">
        <v>59</v>
      </c>
      <c r="F1861" s="3" t="str">
        <f>INDEX(Product_Category!$B$2:$B$45,MATCH(TRIM(E1861),Product_Category!$A$2:$A$45,0))</f>
        <v>Processed Foods</v>
      </c>
      <c r="G1861" s="4">
        <v>0</v>
      </c>
      <c r="H1861" s="4">
        <v>0.01</v>
      </c>
      <c r="I1861" s="4">
        <v>0</v>
      </c>
      <c r="J1861" s="4">
        <v>1</v>
      </c>
      <c r="K1861" s="4">
        <v>1.54</v>
      </c>
      <c r="L1861" s="4">
        <v>0.61</v>
      </c>
      <c r="M1861" s="4">
        <f t="shared" si="87"/>
        <v>0.01</v>
      </c>
      <c r="N1861" s="4">
        <f t="shared" si="88"/>
        <v>0.54</v>
      </c>
      <c r="O1861" s="4">
        <f t="shared" si="89"/>
        <v>-0.01</v>
      </c>
      <c r="P1861" s="3" t="s">
        <v>19</v>
      </c>
    </row>
    <row r="1862" spans="1:16" x14ac:dyDescent="0.35">
      <c r="A1862" s="3" t="s">
        <v>23</v>
      </c>
      <c r="B1862" s="3" t="str">
        <f>INDEX(State_Region!$B$2:$B$26,MATCH(TRIM(A1862),State_Region!$A$2:$A$26,0))</f>
        <v>North</v>
      </c>
      <c r="C1862" s="3" t="s">
        <v>24</v>
      </c>
      <c r="D1862" s="3" t="str">
        <f>INDEX(Port_Type!$B$2:$B$227,MATCH(TRIM(C1862),Port_Type!$A$2:$A$227,0))</f>
        <v>Inland ICD / CFS</v>
      </c>
      <c r="E1862" s="3" t="s">
        <v>151</v>
      </c>
      <c r="F1862" s="3" t="str">
        <f>INDEX(Product_Category!$B$2:$B$45,MATCH(TRIM(E1862),Product_Category!$A$2:$A$45,0))</f>
        <v>Processed Foods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  <c r="L1862" s="4">
        <v>0.45</v>
      </c>
      <c r="M1862" s="4">
        <f t="shared" si="87"/>
        <v>0</v>
      </c>
      <c r="N1862" s="4">
        <f t="shared" si="88"/>
        <v>0</v>
      </c>
      <c r="O1862" s="4">
        <f t="shared" si="89"/>
        <v>0</v>
      </c>
      <c r="P1862" s="3" t="s">
        <v>19</v>
      </c>
    </row>
    <row r="1863" spans="1:16" x14ac:dyDescent="0.35">
      <c r="A1863" s="3" t="s">
        <v>35</v>
      </c>
      <c r="B1863" s="3" t="str">
        <f>INDEX(State_Region!$B$2:$B$26,MATCH(TRIM(A1863),State_Region!$A$2:$A$26,0))</f>
        <v>North</v>
      </c>
      <c r="C1863" s="3" t="s">
        <v>38</v>
      </c>
      <c r="D1863" s="3" t="str">
        <f>INDEX(Port_Type!$B$2:$B$227,MATCH(TRIM(C1863),Port_Type!$A$2:$A$227,0))</f>
        <v>Inland ICD / CFS</v>
      </c>
      <c r="E1863" s="3" t="s">
        <v>174</v>
      </c>
      <c r="F1863" s="3" t="str">
        <f>INDEX(Product_Category!$B$2:$B$45,MATCH(TRIM(E1863),Product_Category!$A$2:$A$45,0))</f>
        <v>Dairy, Poultry &amp; Honey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  <c r="L1863" s="4">
        <v>0.03</v>
      </c>
      <c r="M1863" s="4">
        <f t="shared" si="87"/>
        <v>0</v>
      </c>
      <c r="N1863" s="4">
        <f t="shared" si="88"/>
        <v>0</v>
      </c>
      <c r="O1863" s="4">
        <f t="shared" si="89"/>
        <v>0</v>
      </c>
      <c r="P1863" s="3" t="s">
        <v>19</v>
      </c>
    </row>
    <row r="1864" spans="1:16" x14ac:dyDescent="0.35">
      <c r="A1864" s="3" t="s">
        <v>74</v>
      </c>
      <c r="B1864" s="3" t="str">
        <f>INDEX(State_Region!$B$2:$B$26,MATCH(TRIM(A1864),State_Region!$A$2:$A$26,0))</f>
        <v>South</v>
      </c>
      <c r="C1864" s="3" t="s">
        <v>137</v>
      </c>
      <c r="D1864" s="3" t="str">
        <f>INDEX(Port_Type!$B$2:$B$227,MATCH(TRIM(C1864),Port_Type!$A$2:$A$227,0))</f>
        <v>Air Cargo</v>
      </c>
      <c r="E1864" s="3" t="s">
        <v>59</v>
      </c>
      <c r="F1864" s="3" t="str">
        <f>INDEX(Product_Category!$B$2:$B$45,MATCH(TRIM(E1864),Product_Category!$A$2:$A$45,0))</f>
        <v>Processed Foods</v>
      </c>
      <c r="G1864" s="4">
        <v>0</v>
      </c>
      <c r="H1864" s="4">
        <v>0</v>
      </c>
      <c r="I1864" s="4">
        <v>0</v>
      </c>
      <c r="J1864" s="4">
        <v>0.35</v>
      </c>
      <c r="K1864" s="4">
        <v>0.32</v>
      </c>
      <c r="L1864" s="4">
        <v>0.02</v>
      </c>
      <c r="M1864" s="4">
        <f t="shared" si="87"/>
        <v>0</v>
      </c>
      <c r="N1864" s="4">
        <f t="shared" si="88"/>
        <v>-2.9999999999999971E-2</v>
      </c>
      <c r="O1864" s="4">
        <f t="shared" si="89"/>
        <v>0</v>
      </c>
      <c r="P1864" s="3" t="s">
        <v>19</v>
      </c>
    </row>
    <row r="1865" spans="1:16" x14ac:dyDescent="0.35">
      <c r="A1865" s="3" t="s">
        <v>20</v>
      </c>
      <c r="B1865" s="3" t="str">
        <f>INDEX(State_Region!$B$2:$B$26,MATCH(TRIM(A1865),State_Region!$A$2:$A$26,0))</f>
        <v>West</v>
      </c>
      <c r="C1865" s="3" t="s">
        <v>222</v>
      </c>
      <c r="D1865" s="3" t="str">
        <f>INDEX(Port_Type!$B$2:$B$227,MATCH(TRIM(C1865),Port_Type!$A$2:$A$227,0))</f>
        <v>Air Cargo</v>
      </c>
      <c r="E1865" s="3" t="s">
        <v>72</v>
      </c>
      <c r="F1865" s="3" t="str">
        <f>INDEX(Product_Category!$B$2:$B$45,MATCH(TRIM(E1865),Product_Category!$A$2:$A$45,0))</f>
        <v>Dairy, Poultry &amp; Honey</v>
      </c>
      <c r="G1865" s="4">
        <v>0</v>
      </c>
      <c r="H1865" s="4">
        <v>0.01</v>
      </c>
      <c r="I1865" s="4">
        <v>0</v>
      </c>
      <c r="J1865" s="4">
        <v>0</v>
      </c>
      <c r="K1865" s="4">
        <v>1.17</v>
      </c>
      <c r="L1865" s="4">
        <v>0.21</v>
      </c>
      <c r="M1865" s="4">
        <f t="shared" si="87"/>
        <v>0.01</v>
      </c>
      <c r="N1865" s="4">
        <f t="shared" si="88"/>
        <v>1.17</v>
      </c>
      <c r="O1865" s="4">
        <f t="shared" si="89"/>
        <v>-0.01</v>
      </c>
      <c r="P1865" s="3" t="s">
        <v>19</v>
      </c>
    </row>
    <row r="1866" spans="1:16" x14ac:dyDescent="0.35">
      <c r="A1866" s="3" t="s">
        <v>35</v>
      </c>
      <c r="B1866" s="3" t="str">
        <f>INDEX(State_Region!$B$2:$B$26,MATCH(TRIM(A1866),State_Region!$A$2:$A$26,0))</f>
        <v>North</v>
      </c>
      <c r="C1866" s="3" t="s">
        <v>47</v>
      </c>
      <c r="D1866" s="3" t="str">
        <f>INDEX(Port_Type!$B$2:$B$227,MATCH(TRIM(C1866),Port_Type!$A$2:$A$227,0))</f>
        <v>Inland ICD / CFS</v>
      </c>
      <c r="E1866" s="3" t="s">
        <v>42</v>
      </c>
      <c r="F1866" s="3" t="str">
        <f>INDEX(Product_Category!$B$2:$B$45,MATCH(TRIM(E1866),Product_Category!$A$2:$A$45,0))</f>
        <v>Processed Foods</v>
      </c>
      <c r="G1866" s="4">
        <v>0.04</v>
      </c>
      <c r="H1866" s="4">
        <v>0.01</v>
      </c>
      <c r="I1866" s="4">
        <v>0</v>
      </c>
      <c r="J1866" s="4">
        <v>16.54</v>
      </c>
      <c r="K1866" s="4">
        <v>3.57</v>
      </c>
      <c r="L1866" s="4">
        <v>1</v>
      </c>
      <c r="M1866" s="4">
        <f t="shared" si="87"/>
        <v>-0.03</v>
      </c>
      <c r="N1866" s="4">
        <f t="shared" si="88"/>
        <v>-12.969999999999999</v>
      </c>
      <c r="O1866" s="4">
        <f t="shared" si="89"/>
        <v>-0.01</v>
      </c>
      <c r="P1866" s="3" t="s">
        <v>19</v>
      </c>
    </row>
    <row r="1867" spans="1:16" x14ac:dyDescent="0.35">
      <c r="A1867" s="3" t="s">
        <v>49</v>
      </c>
      <c r="B1867" s="3" t="str">
        <f>INDEX(State_Region!$B$2:$B$26,MATCH(TRIM(A1867),State_Region!$A$2:$A$26,0))</f>
        <v>North</v>
      </c>
      <c r="C1867" s="3" t="s">
        <v>70</v>
      </c>
      <c r="D1867" s="3" t="str">
        <f>INDEX(Port_Type!$B$2:$B$227,MATCH(TRIM(C1867),Port_Type!$A$2:$A$227,0))</f>
        <v>Inland ICD / CFS</v>
      </c>
      <c r="E1867" s="3" t="s">
        <v>42</v>
      </c>
      <c r="F1867" s="3" t="str">
        <f>INDEX(Product_Category!$B$2:$B$45,MATCH(TRIM(E1867),Product_Category!$A$2:$A$45,0))</f>
        <v>Processed Foods</v>
      </c>
      <c r="G1867" s="4">
        <v>0.02</v>
      </c>
      <c r="H1867" s="4">
        <v>0</v>
      </c>
      <c r="I1867" s="4">
        <v>0</v>
      </c>
      <c r="J1867" s="4">
        <v>3.08</v>
      </c>
      <c r="K1867" s="4">
        <v>0</v>
      </c>
      <c r="L1867" s="4">
        <v>0.09</v>
      </c>
      <c r="M1867" s="4">
        <f t="shared" si="87"/>
        <v>-0.02</v>
      </c>
      <c r="N1867" s="4">
        <f t="shared" si="88"/>
        <v>-3.08</v>
      </c>
      <c r="O1867" s="4">
        <f t="shared" si="89"/>
        <v>0</v>
      </c>
      <c r="P1867" s="3" t="s">
        <v>19</v>
      </c>
    </row>
    <row r="1868" spans="1:16" x14ac:dyDescent="0.35">
      <c r="A1868" s="3" t="s">
        <v>66</v>
      </c>
      <c r="B1868" s="3" t="str">
        <f>INDEX(State_Region!$B$2:$B$26,MATCH(TRIM(A1868),State_Region!$A$2:$A$26,0))</f>
        <v>North</v>
      </c>
      <c r="C1868" s="3" t="s">
        <v>108</v>
      </c>
      <c r="D1868" s="3" t="str">
        <f>INDEX(Port_Type!$B$2:$B$227,MATCH(TRIM(C1868),Port_Type!$A$2:$A$227,0))</f>
        <v>Inland ICD / CFS</v>
      </c>
      <c r="E1868" s="3" t="s">
        <v>59</v>
      </c>
      <c r="F1868" s="3" t="str">
        <f>INDEX(Product_Category!$B$2:$B$45,MATCH(TRIM(E1868),Product_Category!$A$2:$A$45,0))</f>
        <v>Processed Foods</v>
      </c>
      <c r="G1868" s="4">
        <v>0</v>
      </c>
      <c r="H1868" s="4">
        <v>0.01</v>
      </c>
      <c r="I1868" s="4">
        <v>0</v>
      </c>
      <c r="J1868" s="4">
        <v>7.0000000000000007E-2</v>
      </c>
      <c r="K1868" s="4">
        <v>0.34</v>
      </c>
      <c r="L1868" s="4">
        <v>0.48</v>
      </c>
      <c r="M1868" s="4">
        <f t="shared" si="87"/>
        <v>0.01</v>
      </c>
      <c r="N1868" s="4">
        <f t="shared" si="88"/>
        <v>0.27</v>
      </c>
      <c r="O1868" s="4">
        <f t="shared" si="89"/>
        <v>-0.01</v>
      </c>
      <c r="P1868" s="3" t="s">
        <v>19</v>
      </c>
    </row>
    <row r="1869" spans="1:16" x14ac:dyDescent="0.35">
      <c r="A1869" s="3" t="s">
        <v>66</v>
      </c>
      <c r="B1869" s="3" t="str">
        <f>INDEX(State_Region!$B$2:$B$26,MATCH(TRIM(A1869),State_Region!$A$2:$A$26,0))</f>
        <v>North</v>
      </c>
      <c r="C1869" s="3" t="s">
        <v>127</v>
      </c>
      <c r="D1869" s="3" t="str">
        <f>INDEX(Port_Type!$B$2:$B$227,MATCH(TRIM(C1869),Port_Type!$A$2:$A$227,0))</f>
        <v>Inland ICD / CFS</v>
      </c>
      <c r="E1869" s="3" t="s">
        <v>170</v>
      </c>
      <c r="F1869" s="3" t="str">
        <f>INDEX(Product_Category!$B$2:$B$45,MATCH(TRIM(E1869),Product_Category!$A$2:$A$45,0))</f>
        <v>Others</v>
      </c>
      <c r="G1869" s="4">
        <v>0</v>
      </c>
      <c r="H1869" s="4">
        <v>0</v>
      </c>
      <c r="I1869" s="4">
        <v>0</v>
      </c>
      <c r="J1869" s="4">
        <v>0</v>
      </c>
      <c r="K1869" s="4">
        <v>0</v>
      </c>
      <c r="L1869" s="4">
        <v>0.1</v>
      </c>
      <c r="M1869" s="4">
        <f t="shared" si="87"/>
        <v>0</v>
      </c>
      <c r="N1869" s="4">
        <f t="shared" si="88"/>
        <v>0</v>
      </c>
      <c r="O1869" s="4">
        <f t="shared" si="89"/>
        <v>0</v>
      </c>
      <c r="P1869" s="3" t="s">
        <v>19</v>
      </c>
    </row>
    <row r="1870" spans="1:16" x14ac:dyDescent="0.35">
      <c r="A1870" s="3" t="s">
        <v>23</v>
      </c>
      <c r="B1870" s="3" t="str">
        <f>INDEX(State_Region!$B$2:$B$26,MATCH(TRIM(A1870),State_Region!$A$2:$A$26,0))</f>
        <v>North</v>
      </c>
      <c r="C1870" s="3" t="s">
        <v>228</v>
      </c>
      <c r="D1870" s="3" t="str">
        <f>INDEX(Port_Type!$B$2:$B$227,MATCH(TRIM(C1870),Port_Type!$A$2:$A$227,0))</f>
        <v>SEZ / EPZ</v>
      </c>
      <c r="E1870" s="3" t="s">
        <v>48</v>
      </c>
      <c r="F1870" s="3" t="str">
        <f>INDEX(Product_Category!$B$2:$B$45,MATCH(TRIM(E1870),Product_Category!$A$2:$A$45,0))</f>
        <v>Processed Foods</v>
      </c>
      <c r="G1870" s="4">
        <v>0</v>
      </c>
      <c r="H1870" s="4">
        <v>0</v>
      </c>
      <c r="I1870" s="4">
        <v>0</v>
      </c>
      <c r="J1870" s="4">
        <v>0</v>
      </c>
      <c r="K1870" s="4">
        <v>0.03</v>
      </c>
      <c r="L1870" s="4">
        <v>0.14000000000000001</v>
      </c>
      <c r="M1870" s="4">
        <f t="shared" si="87"/>
        <v>0</v>
      </c>
      <c r="N1870" s="4">
        <f t="shared" si="88"/>
        <v>0.03</v>
      </c>
      <c r="O1870" s="4">
        <f t="shared" si="89"/>
        <v>0</v>
      </c>
      <c r="P1870" s="3" t="s">
        <v>19</v>
      </c>
    </row>
    <row r="1871" spans="1:16" x14ac:dyDescent="0.35">
      <c r="A1871" s="3" t="s">
        <v>23</v>
      </c>
      <c r="B1871" s="3" t="str">
        <f>INDEX(State_Region!$B$2:$B$26,MATCH(TRIM(A1871),State_Region!$A$2:$A$26,0))</f>
        <v>North</v>
      </c>
      <c r="C1871" s="3" t="s">
        <v>120</v>
      </c>
      <c r="D1871" s="3" t="str">
        <f>INDEX(Port_Type!$B$2:$B$227,MATCH(TRIM(C1871),Port_Type!$A$2:$A$227,0))</f>
        <v>Inland ICD / CFS</v>
      </c>
      <c r="E1871" s="3" t="s">
        <v>69</v>
      </c>
      <c r="F1871" s="3" t="str">
        <f>INDEX(Product_Category!$B$2:$B$45,MATCH(TRIM(E1871),Product_Category!$A$2:$A$45,0))</f>
        <v>Others</v>
      </c>
      <c r="G1871" s="4">
        <v>0</v>
      </c>
      <c r="H1871" s="4">
        <v>0</v>
      </c>
      <c r="I1871" s="4">
        <v>0</v>
      </c>
      <c r="J1871" s="4">
        <v>0</v>
      </c>
      <c r="K1871" s="4">
        <v>0.01</v>
      </c>
      <c r="L1871" s="4">
        <v>0.01</v>
      </c>
      <c r="M1871" s="4">
        <f t="shared" si="87"/>
        <v>0</v>
      </c>
      <c r="N1871" s="4">
        <f t="shared" si="88"/>
        <v>0.01</v>
      </c>
      <c r="O1871" s="4">
        <f t="shared" si="89"/>
        <v>0</v>
      </c>
      <c r="P1871" s="3" t="s">
        <v>19</v>
      </c>
    </row>
    <row r="1872" spans="1:16" x14ac:dyDescent="0.35">
      <c r="A1872" s="3" t="s">
        <v>40</v>
      </c>
      <c r="B1872" s="3" t="str">
        <f>INDEX(State_Region!$B$2:$B$26,MATCH(TRIM(A1872),State_Region!$A$2:$A$26,0))</f>
        <v>South</v>
      </c>
      <c r="C1872" s="3" t="s">
        <v>211</v>
      </c>
      <c r="D1872" s="3" t="str">
        <f>INDEX(Port_Type!$B$2:$B$227,MATCH(TRIM(C1872),Port_Type!$A$2:$A$227,0))</f>
        <v>Air Cargo</v>
      </c>
      <c r="E1872" s="3" t="s">
        <v>76</v>
      </c>
      <c r="F1872" s="3" t="str">
        <f>INDEX(Product_Category!$B$2:$B$45,MATCH(TRIM(E1872),Product_Category!$A$2:$A$45,0))</f>
        <v>Fresh Fruits &amp; Vegetables</v>
      </c>
      <c r="G1872" s="4">
        <v>0</v>
      </c>
      <c r="H1872" s="4">
        <v>0.01</v>
      </c>
      <c r="I1872" s="4">
        <v>0</v>
      </c>
      <c r="J1872" s="4">
        <v>0</v>
      </c>
      <c r="K1872" s="4">
        <v>12.7</v>
      </c>
      <c r="L1872" s="4">
        <v>0.8</v>
      </c>
      <c r="M1872" s="4">
        <f t="shared" si="87"/>
        <v>0.01</v>
      </c>
      <c r="N1872" s="4">
        <f t="shared" si="88"/>
        <v>12.7</v>
      </c>
      <c r="O1872" s="4">
        <f t="shared" si="89"/>
        <v>-0.01</v>
      </c>
      <c r="P1872" s="3" t="s">
        <v>19</v>
      </c>
    </row>
    <row r="1873" spans="1:16" x14ac:dyDescent="0.35">
      <c r="A1873" s="3" t="s">
        <v>159</v>
      </c>
      <c r="B1873" s="3" t="str">
        <f>INDEX(State_Region!$B$2:$B$26,MATCH(TRIM(A1873),State_Region!$A$2:$A$26,0))</f>
        <v>North-East</v>
      </c>
      <c r="C1873" s="3" t="s">
        <v>186</v>
      </c>
      <c r="D1873" s="3" t="str">
        <f>INDEX(Port_Type!$B$2:$B$227,MATCH(TRIM(C1873),Port_Type!$A$2:$A$227,0))</f>
        <v>Land Border / Rail</v>
      </c>
      <c r="E1873" s="3" t="s">
        <v>83</v>
      </c>
      <c r="F1873" s="3" t="str">
        <f>INDEX(Product_Category!$B$2:$B$45,MATCH(TRIM(E1873),Product_Category!$A$2:$A$45,0))</f>
        <v>Fresh Fruits &amp; Vegetables</v>
      </c>
      <c r="G1873" s="4">
        <v>0</v>
      </c>
      <c r="H1873" s="4">
        <v>0</v>
      </c>
      <c r="I1873" s="4">
        <v>0</v>
      </c>
      <c r="J1873" s="4">
        <v>0</v>
      </c>
      <c r="K1873" s="4">
        <v>0</v>
      </c>
      <c r="L1873" s="4">
        <v>1.26</v>
      </c>
      <c r="M1873" s="4">
        <f t="shared" si="87"/>
        <v>0</v>
      </c>
      <c r="N1873" s="4">
        <f t="shared" si="88"/>
        <v>0</v>
      </c>
      <c r="O1873" s="4">
        <f t="shared" si="89"/>
        <v>0</v>
      </c>
      <c r="P1873" s="3" t="s">
        <v>19</v>
      </c>
    </row>
    <row r="1874" spans="1:16" x14ac:dyDescent="0.35">
      <c r="A1874" s="3" t="s">
        <v>66</v>
      </c>
      <c r="B1874" s="3" t="str">
        <f>INDEX(State_Region!$B$2:$B$26,MATCH(TRIM(A1874),State_Region!$A$2:$A$26,0))</f>
        <v>North</v>
      </c>
      <c r="C1874" s="3" t="s">
        <v>73</v>
      </c>
      <c r="D1874" s="3" t="str">
        <f>INDEX(Port_Type!$B$2:$B$227,MATCH(TRIM(C1874),Port_Type!$A$2:$A$227,0))</f>
        <v>Inland ICD / CFS</v>
      </c>
      <c r="E1874" s="3" t="s">
        <v>51</v>
      </c>
      <c r="F1874" s="3" t="str">
        <f>INDEX(Product_Category!$B$2:$B$45,MATCH(TRIM(E1874),Product_Category!$A$2:$A$45,0))</f>
        <v>Nuts &amp; Oilseeds</v>
      </c>
      <c r="G1874" s="4">
        <v>0</v>
      </c>
      <c r="H1874" s="4">
        <v>0</v>
      </c>
      <c r="I1874" s="4">
        <v>0</v>
      </c>
      <c r="J1874" s="4">
        <v>0.01</v>
      </c>
      <c r="K1874" s="4">
        <v>0.49</v>
      </c>
      <c r="L1874" s="4">
        <v>0.4</v>
      </c>
      <c r="M1874" s="4">
        <f t="shared" si="87"/>
        <v>0</v>
      </c>
      <c r="N1874" s="4">
        <f t="shared" si="88"/>
        <v>0.48</v>
      </c>
      <c r="O1874" s="4">
        <f t="shared" si="89"/>
        <v>0</v>
      </c>
      <c r="P1874" s="3" t="s">
        <v>19</v>
      </c>
    </row>
    <row r="1875" spans="1:16" x14ac:dyDescent="0.35">
      <c r="A1875" s="3" t="s">
        <v>74</v>
      </c>
      <c r="B1875" s="3" t="str">
        <f>INDEX(State_Region!$B$2:$B$26,MATCH(TRIM(A1875),State_Region!$A$2:$A$26,0))</f>
        <v>South</v>
      </c>
      <c r="C1875" s="3" t="s">
        <v>137</v>
      </c>
      <c r="D1875" s="3" t="str">
        <f>INDEX(Port_Type!$B$2:$B$227,MATCH(TRIM(C1875),Port_Type!$A$2:$A$227,0))</f>
        <v>Air Cargo</v>
      </c>
      <c r="E1875" s="3" t="s">
        <v>55</v>
      </c>
      <c r="F1875" s="3" t="str">
        <f>INDEX(Product_Category!$B$2:$B$45,MATCH(TRIM(E1875),Product_Category!$A$2:$A$45,0))</f>
        <v>Fresh Fruits &amp; Vegetables</v>
      </c>
      <c r="G1875" s="4">
        <v>0</v>
      </c>
      <c r="H1875" s="4">
        <v>0</v>
      </c>
      <c r="I1875" s="4">
        <v>0</v>
      </c>
      <c r="J1875" s="4">
        <v>0</v>
      </c>
      <c r="K1875" s="4">
        <v>3.62</v>
      </c>
      <c r="L1875" s="4">
        <v>2.62</v>
      </c>
      <c r="M1875" s="4">
        <f t="shared" si="87"/>
        <v>0</v>
      </c>
      <c r="N1875" s="4">
        <f t="shared" si="88"/>
        <v>3.62</v>
      </c>
      <c r="O1875" s="4">
        <f t="shared" si="89"/>
        <v>0</v>
      </c>
      <c r="P1875" s="3" t="s">
        <v>19</v>
      </c>
    </row>
    <row r="1876" spans="1:16" x14ac:dyDescent="0.35">
      <c r="A1876" s="3" t="s">
        <v>77</v>
      </c>
      <c r="B1876" s="3" t="str">
        <f>INDEX(State_Region!$B$2:$B$26,MATCH(TRIM(A1876),State_Region!$A$2:$A$26,0))</f>
        <v>South</v>
      </c>
      <c r="C1876" s="3" t="s">
        <v>168</v>
      </c>
      <c r="D1876" s="3" t="str">
        <f>INDEX(Port_Type!$B$2:$B$227,MATCH(TRIM(C1876),Port_Type!$A$2:$A$227,0))</f>
        <v>Air Cargo</v>
      </c>
      <c r="E1876" s="3" t="s">
        <v>150</v>
      </c>
      <c r="F1876" s="3" t="str">
        <f>INDEX(Product_Category!$B$2:$B$45,MATCH(TRIM(E1876),Product_Category!$A$2:$A$45,0))</f>
        <v>Nuts &amp; Oilseeds</v>
      </c>
      <c r="G1876" s="4">
        <v>0.01</v>
      </c>
      <c r="H1876" s="4">
        <v>0</v>
      </c>
      <c r="I1876" s="4">
        <v>0</v>
      </c>
      <c r="J1876" s="4">
        <v>0.45</v>
      </c>
      <c r="K1876" s="4">
        <v>7.0000000000000007E-2</v>
      </c>
      <c r="L1876" s="4">
        <v>0.11</v>
      </c>
      <c r="M1876" s="4">
        <f t="shared" si="87"/>
        <v>-0.01</v>
      </c>
      <c r="N1876" s="4">
        <f t="shared" si="88"/>
        <v>-0.38</v>
      </c>
      <c r="O1876" s="4">
        <f t="shared" si="89"/>
        <v>0</v>
      </c>
      <c r="P1876" s="3" t="s">
        <v>19</v>
      </c>
    </row>
    <row r="1877" spans="1:16" x14ac:dyDescent="0.35">
      <c r="A1877" s="3" t="s">
        <v>20</v>
      </c>
      <c r="B1877" s="3" t="str">
        <f>INDEX(State_Region!$B$2:$B$26,MATCH(TRIM(A1877),State_Region!$A$2:$A$26,0))</f>
        <v>West</v>
      </c>
      <c r="C1877" s="3" t="s">
        <v>260</v>
      </c>
      <c r="D1877" s="3" t="str">
        <f>INDEX(Port_Type!$B$2:$B$227,MATCH(TRIM(C1877),Port_Type!$A$2:$A$227,0))</f>
        <v>Air Cargo</v>
      </c>
      <c r="E1877" s="3" t="s">
        <v>102</v>
      </c>
      <c r="F1877" s="3" t="str">
        <f>INDEX(Product_Category!$B$2:$B$45,MATCH(TRIM(E1877),Product_Category!$A$2:$A$45,0))</f>
        <v>Fresh Fruits &amp; Vegetables</v>
      </c>
      <c r="G1877" s="4">
        <v>0</v>
      </c>
      <c r="H1877" s="4">
        <v>0</v>
      </c>
      <c r="I1877" s="4">
        <v>0</v>
      </c>
      <c r="J1877" s="4">
        <v>0</v>
      </c>
      <c r="K1877" s="4">
        <v>0</v>
      </c>
      <c r="L1877" s="4">
        <v>2.04</v>
      </c>
      <c r="M1877" s="4">
        <f t="shared" si="87"/>
        <v>0</v>
      </c>
      <c r="N1877" s="4">
        <f t="shared" si="88"/>
        <v>0</v>
      </c>
      <c r="O1877" s="4">
        <f t="shared" si="89"/>
        <v>0</v>
      </c>
      <c r="P1877" s="3" t="s">
        <v>19</v>
      </c>
    </row>
    <row r="1878" spans="1:16" x14ac:dyDescent="0.35">
      <c r="A1878" s="3" t="s">
        <v>23</v>
      </c>
      <c r="B1878" s="3" t="str">
        <f>INDEX(State_Region!$B$2:$B$26,MATCH(TRIM(A1878),State_Region!$A$2:$A$26,0))</f>
        <v>North</v>
      </c>
      <c r="C1878" s="3" t="s">
        <v>191</v>
      </c>
      <c r="D1878" s="3" t="str">
        <f>INDEX(Port_Type!$B$2:$B$227,MATCH(TRIM(C1878),Port_Type!$A$2:$A$227,0))</f>
        <v>Land Border / Rail</v>
      </c>
      <c r="E1878" s="3" t="s">
        <v>65</v>
      </c>
      <c r="F1878" s="3" t="str">
        <f>INDEX(Product_Category!$B$2:$B$45,MATCH(TRIM(E1878),Product_Category!$A$2:$A$45,0))</f>
        <v>Cereals &amp; Grains</v>
      </c>
      <c r="G1878" s="4">
        <v>0</v>
      </c>
      <c r="H1878" s="4">
        <v>0</v>
      </c>
      <c r="I1878" s="4">
        <v>0</v>
      </c>
      <c r="J1878" s="4">
        <v>0</v>
      </c>
      <c r="K1878" s="4">
        <v>0</v>
      </c>
      <c r="L1878" s="4">
        <v>2.5</v>
      </c>
      <c r="M1878" s="4">
        <f t="shared" si="87"/>
        <v>0</v>
      </c>
      <c r="N1878" s="4">
        <f t="shared" si="88"/>
        <v>0</v>
      </c>
      <c r="O1878" s="4">
        <f t="shared" si="89"/>
        <v>0</v>
      </c>
      <c r="P1878" s="3" t="s">
        <v>19</v>
      </c>
    </row>
    <row r="1879" spans="1:16" x14ac:dyDescent="0.35">
      <c r="A1879" s="3" t="s">
        <v>31</v>
      </c>
      <c r="B1879" s="3" t="str">
        <f>INDEX(State_Region!$B$2:$B$26,MATCH(TRIM(A1879),State_Region!$A$2:$A$26,0))</f>
        <v>East</v>
      </c>
      <c r="C1879" s="3" t="s">
        <v>141</v>
      </c>
      <c r="D1879" s="3" t="str">
        <f>INDEX(Port_Type!$B$2:$B$227,MATCH(TRIM(C1879),Port_Type!$A$2:$A$227,0))</f>
        <v>Land Border / Rail</v>
      </c>
      <c r="E1879" s="3" t="s">
        <v>51</v>
      </c>
      <c r="F1879" s="3" t="str">
        <f>INDEX(Product_Category!$B$2:$B$45,MATCH(TRIM(E1879),Product_Category!$A$2:$A$45,0))</f>
        <v>Nuts &amp; Oilseeds</v>
      </c>
      <c r="G1879" s="4">
        <v>0</v>
      </c>
      <c r="H1879" s="4">
        <v>0</v>
      </c>
      <c r="I1879" s="4">
        <v>0</v>
      </c>
      <c r="J1879" s="4">
        <v>0</v>
      </c>
      <c r="K1879" s="4">
        <v>0</v>
      </c>
      <c r="L1879" s="4">
        <v>1.4</v>
      </c>
      <c r="M1879" s="4">
        <f t="shared" si="87"/>
        <v>0</v>
      </c>
      <c r="N1879" s="4">
        <f t="shared" si="88"/>
        <v>0</v>
      </c>
      <c r="O1879" s="4">
        <f t="shared" si="89"/>
        <v>0</v>
      </c>
      <c r="P1879" s="3" t="s">
        <v>19</v>
      </c>
    </row>
    <row r="1880" spans="1:16" x14ac:dyDescent="0.35">
      <c r="A1880" s="3" t="s">
        <v>20</v>
      </c>
      <c r="B1880" s="3" t="str">
        <f>INDEX(State_Region!$B$2:$B$26,MATCH(TRIM(A1880),State_Region!$A$2:$A$26,0))</f>
        <v>West</v>
      </c>
      <c r="C1880" s="3" t="s">
        <v>245</v>
      </c>
      <c r="D1880" s="3" t="str">
        <f>INDEX(Port_Type!$B$2:$B$227,MATCH(TRIM(C1880),Port_Type!$A$2:$A$227,0))</f>
        <v>Air Cargo</v>
      </c>
      <c r="E1880" s="3" t="s">
        <v>54</v>
      </c>
      <c r="F1880" s="3" t="str">
        <f>INDEX(Product_Category!$B$2:$B$45,MATCH(TRIM(E1880),Product_Category!$A$2:$A$45,0))</f>
        <v>Processed Foods</v>
      </c>
      <c r="G1880" s="4">
        <v>0</v>
      </c>
      <c r="H1880" s="4">
        <v>0.02</v>
      </c>
      <c r="I1880" s="4">
        <v>0</v>
      </c>
      <c r="J1880" s="4">
        <v>0.05</v>
      </c>
      <c r="K1880" s="4">
        <v>15</v>
      </c>
      <c r="L1880" s="4">
        <v>1.31</v>
      </c>
      <c r="M1880" s="4">
        <f t="shared" si="87"/>
        <v>0.02</v>
      </c>
      <c r="N1880" s="4">
        <f t="shared" si="88"/>
        <v>14.95</v>
      </c>
      <c r="O1880" s="4">
        <f t="shared" si="89"/>
        <v>-0.02</v>
      </c>
      <c r="P1880" s="3" t="s">
        <v>19</v>
      </c>
    </row>
    <row r="1881" spans="1:16" x14ac:dyDescent="0.35">
      <c r="A1881" s="3" t="s">
        <v>25</v>
      </c>
      <c r="B1881" s="3" t="str">
        <f>INDEX(State_Region!$B$2:$B$26,MATCH(TRIM(A1881),State_Region!$A$2:$A$26,0))</f>
        <v>South</v>
      </c>
      <c r="C1881" s="3" t="s">
        <v>263</v>
      </c>
      <c r="D1881" s="3" t="str">
        <f>INDEX(Port_Type!$B$2:$B$227,MATCH(TRIM(C1881),Port_Type!$A$2:$A$227,0))</f>
        <v>SEZ / EPZ</v>
      </c>
      <c r="E1881" s="3" t="s">
        <v>39</v>
      </c>
      <c r="F1881" s="3" t="str">
        <f>INDEX(Product_Category!$B$2:$B$45,MATCH(TRIM(E1881),Product_Category!$A$2:$A$45,0))</f>
        <v>Processed Foods</v>
      </c>
      <c r="G1881" s="4">
        <v>0</v>
      </c>
      <c r="H1881" s="4">
        <v>0</v>
      </c>
      <c r="I1881" s="4">
        <v>0</v>
      </c>
      <c r="J1881" s="4">
        <v>0</v>
      </c>
      <c r="K1881" s="4">
        <v>0</v>
      </c>
      <c r="L1881" s="4">
        <v>2.1</v>
      </c>
      <c r="M1881" s="4">
        <f t="shared" si="87"/>
        <v>0</v>
      </c>
      <c r="N1881" s="4">
        <f t="shared" si="88"/>
        <v>0</v>
      </c>
      <c r="O1881" s="4">
        <f t="shared" si="89"/>
        <v>0</v>
      </c>
      <c r="P1881" s="3" t="s">
        <v>19</v>
      </c>
    </row>
    <row r="1882" spans="1:16" x14ac:dyDescent="0.35">
      <c r="A1882" s="3" t="s">
        <v>31</v>
      </c>
      <c r="B1882" s="3" t="str">
        <f>INDEX(State_Region!$B$2:$B$26,MATCH(TRIM(A1882),State_Region!$A$2:$A$26,0))</f>
        <v>East</v>
      </c>
      <c r="C1882" s="3" t="s">
        <v>131</v>
      </c>
      <c r="D1882" s="3" t="str">
        <f>INDEX(Port_Type!$B$2:$B$227,MATCH(TRIM(C1882),Port_Type!$A$2:$A$227,0))</f>
        <v>Land Border / Rail</v>
      </c>
      <c r="E1882" s="3" t="s">
        <v>151</v>
      </c>
      <c r="F1882" s="3" t="str">
        <f>INDEX(Product_Category!$B$2:$B$45,MATCH(TRIM(E1882),Product_Category!$A$2:$A$45,0))</f>
        <v>Processed Foods</v>
      </c>
      <c r="G1882" s="4">
        <v>0</v>
      </c>
      <c r="H1882" s="4">
        <v>0.02</v>
      </c>
      <c r="I1882" s="4">
        <v>0</v>
      </c>
      <c r="J1882" s="4">
        <v>1.82</v>
      </c>
      <c r="K1882" s="4">
        <v>23.54</v>
      </c>
      <c r="L1882" s="4">
        <v>0.55000000000000004</v>
      </c>
      <c r="M1882" s="4">
        <f t="shared" si="87"/>
        <v>0.02</v>
      </c>
      <c r="N1882" s="4">
        <f t="shared" si="88"/>
        <v>21.72</v>
      </c>
      <c r="O1882" s="4">
        <f t="shared" si="89"/>
        <v>-0.02</v>
      </c>
      <c r="P1882" s="3" t="s">
        <v>19</v>
      </c>
    </row>
    <row r="1883" spans="1:16" x14ac:dyDescent="0.35">
      <c r="A1883" s="3" t="s">
        <v>23</v>
      </c>
      <c r="B1883" s="3" t="str">
        <f>INDEX(State_Region!$B$2:$B$26,MATCH(TRIM(A1883),State_Region!$A$2:$A$26,0))</f>
        <v>North</v>
      </c>
      <c r="C1883" s="3" t="s">
        <v>24</v>
      </c>
      <c r="D1883" s="3" t="str">
        <f>INDEX(Port_Type!$B$2:$B$227,MATCH(TRIM(C1883),Port_Type!$A$2:$A$227,0))</f>
        <v>Inland ICD / CFS</v>
      </c>
      <c r="E1883" s="3" t="s">
        <v>102</v>
      </c>
      <c r="F1883" s="3" t="str">
        <f>INDEX(Product_Category!$B$2:$B$45,MATCH(TRIM(E1883),Product_Category!$A$2:$A$45,0))</f>
        <v>Fresh Fruits &amp; Vegetables</v>
      </c>
      <c r="G1883" s="4">
        <v>0</v>
      </c>
      <c r="H1883" s="4">
        <v>0</v>
      </c>
      <c r="I1883" s="4">
        <v>0</v>
      </c>
      <c r="J1883" s="4">
        <v>0</v>
      </c>
      <c r="K1883" s="4">
        <v>0</v>
      </c>
      <c r="L1883" s="4">
        <v>0.45</v>
      </c>
      <c r="M1883" s="4">
        <f t="shared" si="87"/>
        <v>0</v>
      </c>
      <c r="N1883" s="4">
        <f t="shared" si="88"/>
        <v>0</v>
      </c>
      <c r="O1883" s="4">
        <f t="shared" si="89"/>
        <v>0</v>
      </c>
      <c r="P1883" s="3" t="s">
        <v>19</v>
      </c>
    </row>
    <row r="1884" spans="1:16" x14ac:dyDescent="0.35">
      <c r="A1884" s="3" t="s">
        <v>79</v>
      </c>
      <c r="B1884" s="3" t="str">
        <f>INDEX(State_Region!$B$2:$B$26,MATCH(TRIM(A1884),State_Region!$A$2:$A$26,0))</f>
        <v>South</v>
      </c>
      <c r="C1884" s="3" t="s">
        <v>92</v>
      </c>
      <c r="D1884" s="3" t="str">
        <f>INDEX(Port_Type!$B$2:$B$227,MATCH(TRIM(C1884),Port_Type!$A$2:$A$227,0))</f>
        <v>Air Cargo</v>
      </c>
      <c r="E1884" s="3" t="s">
        <v>84</v>
      </c>
      <c r="F1884" s="3" t="str">
        <f>INDEX(Product_Category!$B$2:$B$45,MATCH(TRIM(E1884),Product_Category!$A$2:$A$45,0))</f>
        <v>Nuts &amp; Oilseeds</v>
      </c>
      <c r="G1884" s="4">
        <v>0.02</v>
      </c>
      <c r="H1884" s="4">
        <v>0.03</v>
      </c>
      <c r="I1884" s="4">
        <v>0</v>
      </c>
      <c r="J1884" s="4">
        <v>1.1399999999999999</v>
      </c>
      <c r="K1884" s="4">
        <v>2.0099999999999998</v>
      </c>
      <c r="L1884" s="4">
        <v>0.33</v>
      </c>
      <c r="M1884" s="4">
        <f t="shared" si="87"/>
        <v>9.9999999999999985E-3</v>
      </c>
      <c r="N1884" s="4">
        <f t="shared" si="88"/>
        <v>0.86999999999999988</v>
      </c>
      <c r="O1884" s="4">
        <f t="shared" si="89"/>
        <v>-0.03</v>
      </c>
      <c r="P1884" s="3" t="s">
        <v>19</v>
      </c>
    </row>
    <row r="1885" spans="1:16" x14ac:dyDescent="0.35">
      <c r="A1885" s="3" t="s">
        <v>243</v>
      </c>
      <c r="B1885" s="3" t="str">
        <f>INDEX(State_Region!$B$2:$B$26,MATCH(TRIM(A1885),State_Region!$A$2:$A$26,0))</f>
        <v>North-East</v>
      </c>
      <c r="C1885" s="3" t="s">
        <v>244</v>
      </c>
      <c r="D1885" s="3" t="str">
        <f>INDEX(Port_Type!$B$2:$B$227,MATCH(TRIM(C1885),Port_Type!$A$2:$A$227,0))</f>
        <v>Land Border / Rail</v>
      </c>
      <c r="E1885" s="3" t="s">
        <v>54</v>
      </c>
      <c r="F1885" s="3" t="str">
        <f>INDEX(Product_Category!$B$2:$B$45,MATCH(TRIM(E1885),Product_Category!$A$2:$A$45,0))</f>
        <v>Processed Foods</v>
      </c>
      <c r="G1885" s="4">
        <v>0.02</v>
      </c>
      <c r="H1885" s="4">
        <v>0</v>
      </c>
      <c r="I1885" s="4">
        <v>0</v>
      </c>
      <c r="J1885" s="4">
        <v>211</v>
      </c>
      <c r="K1885" s="4">
        <v>0</v>
      </c>
      <c r="L1885" s="4">
        <v>15.98</v>
      </c>
      <c r="M1885" s="4">
        <f t="shared" si="87"/>
        <v>-0.02</v>
      </c>
      <c r="N1885" s="4">
        <f t="shared" si="88"/>
        <v>-211</v>
      </c>
      <c r="O1885" s="4">
        <f t="shared" si="89"/>
        <v>0</v>
      </c>
      <c r="P1885" s="3" t="s">
        <v>19</v>
      </c>
    </row>
    <row r="1886" spans="1:16" x14ac:dyDescent="0.35">
      <c r="A1886" s="3" t="s">
        <v>77</v>
      </c>
      <c r="B1886" s="3" t="str">
        <f>INDEX(State_Region!$B$2:$B$26,MATCH(TRIM(A1886),State_Region!$A$2:$A$26,0))</f>
        <v>South</v>
      </c>
      <c r="C1886" s="3" t="s">
        <v>132</v>
      </c>
      <c r="D1886" s="3" t="str">
        <f>INDEX(Port_Type!$B$2:$B$227,MATCH(TRIM(C1886),Port_Type!$A$2:$A$227,0))</f>
        <v>Air Cargo</v>
      </c>
      <c r="E1886" s="3" t="s">
        <v>170</v>
      </c>
      <c r="F1886" s="3" t="str">
        <f>INDEX(Product_Category!$B$2:$B$45,MATCH(TRIM(E1886),Product_Category!$A$2:$A$45,0))</f>
        <v>Others</v>
      </c>
      <c r="G1886" s="4">
        <v>0.01</v>
      </c>
      <c r="H1886" s="4">
        <v>0</v>
      </c>
      <c r="I1886" s="4">
        <v>0</v>
      </c>
      <c r="J1886" s="4">
        <v>2.1</v>
      </c>
      <c r="K1886" s="4">
        <v>0.89</v>
      </c>
      <c r="L1886" s="4">
        <v>0.6</v>
      </c>
      <c r="M1886" s="4">
        <f t="shared" si="87"/>
        <v>-0.01</v>
      </c>
      <c r="N1886" s="4">
        <f t="shared" si="88"/>
        <v>-1.21</v>
      </c>
      <c r="O1886" s="4">
        <f t="shared" si="89"/>
        <v>0</v>
      </c>
      <c r="P1886" s="3" t="s">
        <v>19</v>
      </c>
    </row>
    <row r="1887" spans="1:16" x14ac:dyDescent="0.35">
      <c r="A1887" s="3" t="s">
        <v>16</v>
      </c>
      <c r="B1887" s="3" t="str">
        <f>INDEX(State_Region!$B$2:$B$26,MATCH(TRIM(A1887),State_Region!$A$2:$A$26,0))</f>
        <v>West</v>
      </c>
      <c r="C1887" s="3" t="s">
        <v>153</v>
      </c>
      <c r="D1887" s="3" t="str">
        <f>INDEX(Port_Type!$B$2:$B$227,MATCH(TRIM(C1887),Port_Type!$A$2:$A$227,0))</f>
        <v>Inland ICD / CFS</v>
      </c>
      <c r="E1887" s="3" t="s">
        <v>150</v>
      </c>
      <c r="F1887" s="3" t="str">
        <f>INDEX(Product_Category!$B$2:$B$45,MATCH(TRIM(E1887),Product_Category!$A$2:$A$45,0))</f>
        <v>Nuts &amp; Oilseeds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  <c r="L1887" s="4">
        <v>7.0000000000000007E-2</v>
      </c>
      <c r="M1887" s="4">
        <f t="shared" si="87"/>
        <v>0</v>
      </c>
      <c r="N1887" s="4">
        <f t="shared" si="88"/>
        <v>0</v>
      </c>
      <c r="O1887" s="4">
        <f t="shared" si="89"/>
        <v>0</v>
      </c>
      <c r="P1887" s="3" t="s">
        <v>19</v>
      </c>
    </row>
    <row r="1888" spans="1:16" x14ac:dyDescent="0.35">
      <c r="A1888" s="3" t="s">
        <v>40</v>
      </c>
      <c r="B1888" s="3" t="str">
        <f>INDEX(State_Region!$B$2:$B$26,MATCH(TRIM(A1888),State_Region!$A$2:$A$26,0))</f>
        <v>South</v>
      </c>
      <c r="C1888" s="3" t="s">
        <v>194</v>
      </c>
      <c r="D1888" s="3" t="str">
        <f>INDEX(Port_Type!$B$2:$B$227,MATCH(TRIM(C1888),Port_Type!$A$2:$A$227,0))</f>
        <v>Air Cargo</v>
      </c>
      <c r="E1888" s="3" t="s">
        <v>151</v>
      </c>
      <c r="F1888" s="3" t="str">
        <f>INDEX(Product_Category!$B$2:$B$45,MATCH(TRIM(E1888),Product_Category!$A$2:$A$45,0))</f>
        <v>Processed Foods</v>
      </c>
      <c r="G1888" s="4">
        <v>0</v>
      </c>
      <c r="H1888" s="4">
        <v>0</v>
      </c>
      <c r="I1888" s="4">
        <v>0</v>
      </c>
      <c r="J1888" s="4">
        <v>0</v>
      </c>
      <c r="K1888" s="4">
        <v>0.6</v>
      </c>
      <c r="L1888" s="4">
        <v>0.6</v>
      </c>
      <c r="M1888" s="4">
        <f t="shared" si="87"/>
        <v>0</v>
      </c>
      <c r="N1888" s="4">
        <f t="shared" si="88"/>
        <v>0.6</v>
      </c>
      <c r="O1888" s="4">
        <f t="shared" si="89"/>
        <v>0</v>
      </c>
      <c r="P1888" s="3" t="s">
        <v>19</v>
      </c>
    </row>
    <row r="1889" spans="1:16" x14ac:dyDescent="0.35">
      <c r="A1889" s="3" t="s">
        <v>23</v>
      </c>
      <c r="B1889" s="3" t="str">
        <f>INDEX(State_Region!$B$2:$B$26,MATCH(TRIM(A1889),State_Region!$A$2:$A$26,0))</f>
        <v>North</v>
      </c>
      <c r="C1889" s="3" t="s">
        <v>136</v>
      </c>
      <c r="D1889" s="3" t="str">
        <f>INDEX(Port_Type!$B$2:$B$227,MATCH(TRIM(C1889),Port_Type!$A$2:$A$227,0))</f>
        <v>Inland ICD / CFS</v>
      </c>
      <c r="E1889" s="3" t="s">
        <v>170</v>
      </c>
      <c r="F1889" s="3" t="str">
        <f>INDEX(Product_Category!$B$2:$B$45,MATCH(TRIM(E1889),Product_Category!$A$2:$A$45,0))</f>
        <v>Others</v>
      </c>
      <c r="G1889" s="4">
        <v>0</v>
      </c>
      <c r="H1889" s="4">
        <v>0.01</v>
      </c>
      <c r="I1889" s="4">
        <v>0</v>
      </c>
      <c r="J1889" s="4">
        <v>0.21</v>
      </c>
      <c r="K1889" s="4">
        <v>1.51</v>
      </c>
      <c r="L1889" s="4">
        <v>0.12</v>
      </c>
      <c r="M1889" s="4">
        <f t="shared" si="87"/>
        <v>0.01</v>
      </c>
      <c r="N1889" s="4">
        <f t="shared" si="88"/>
        <v>1.3</v>
      </c>
      <c r="O1889" s="4">
        <f t="shared" si="89"/>
        <v>-0.01</v>
      </c>
      <c r="P1889" s="3" t="s">
        <v>19</v>
      </c>
    </row>
    <row r="1890" spans="1:16" x14ac:dyDescent="0.35">
      <c r="A1890" s="3" t="s">
        <v>23</v>
      </c>
      <c r="B1890" s="3" t="str">
        <f>INDEX(State_Region!$B$2:$B$26,MATCH(TRIM(A1890),State_Region!$A$2:$A$26,0))</f>
        <v>North</v>
      </c>
      <c r="C1890" s="3" t="s">
        <v>230</v>
      </c>
      <c r="D1890" s="3" t="str">
        <f>INDEX(Port_Type!$B$2:$B$227,MATCH(TRIM(C1890),Port_Type!$A$2:$A$227,0))</f>
        <v>Air Cargo</v>
      </c>
      <c r="E1890" s="3" t="s">
        <v>45</v>
      </c>
      <c r="F1890" s="3" t="str">
        <f>INDEX(Product_Category!$B$2:$B$45,MATCH(TRIM(E1890),Product_Category!$A$2:$A$45,0))</f>
        <v>Fresh Fruits &amp; Vegetables</v>
      </c>
      <c r="G1890" s="4">
        <v>0.02</v>
      </c>
      <c r="H1890" s="4">
        <v>0.01</v>
      </c>
      <c r="I1890" s="4">
        <v>0</v>
      </c>
      <c r="J1890" s="4">
        <v>12.55</v>
      </c>
      <c r="K1890" s="4">
        <v>5.07</v>
      </c>
      <c r="L1890" s="4">
        <v>1.02</v>
      </c>
      <c r="M1890" s="4">
        <f t="shared" si="87"/>
        <v>-0.01</v>
      </c>
      <c r="N1890" s="4">
        <f t="shared" si="88"/>
        <v>-7.48</v>
      </c>
      <c r="O1890" s="4">
        <f t="shared" si="89"/>
        <v>-0.01</v>
      </c>
      <c r="P1890" s="3" t="s">
        <v>19</v>
      </c>
    </row>
    <row r="1891" spans="1:16" x14ac:dyDescent="0.35">
      <c r="A1891" s="3" t="s">
        <v>20</v>
      </c>
      <c r="B1891" s="3" t="str">
        <f>INDEX(State_Region!$B$2:$B$26,MATCH(TRIM(A1891),State_Region!$A$2:$A$26,0))</f>
        <v>West</v>
      </c>
      <c r="C1891" s="3" t="s">
        <v>111</v>
      </c>
      <c r="D1891" s="3" t="str">
        <f>INDEX(Port_Type!$B$2:$B$227,MATCH(TRIM(C1891),Port_Type!$A$2:$A$227,0))</f>
        <v>Inland ICD / CFS</v>
      </c>
      <c r="E1891" s="3" t="s">
        <v>48</v>
      </c>
      <c r="F1891" s="3" t="str">
        <f>INDEX(Product_Category!$B$2:$B$45,MATCH(TRIM(E1891),Product_Category!$A$2:$A$45,0))</f>
        <v>Processed Foods</v>
      </c>
      <c r="G1891" s="4">
        <v>0.79</v>
      </c>
      <c r="H1891" s="4">
        <v>0.09</v>
      </c>
      <c r="I1891" s="4">
        <v>0</v>
      </c>
      <c r="J1891" s="4">
        <v>478.74</v>
      </c>
      <c r="K1891" s="4">
        <v>75.180000000000007</v>
      </c>
      <c r="L1891" s="4">
        <v>0.47</v>
      </c>
      <c r="M1891" s="4">
        <f t="shared" si="87"/>
        <v>-0.70000000000000007</v>
      </c>
      <c r="N1891" s="4">
        <f t="shared" si="88"/>
        <v>-403.56</v>
      </c>
      <c r="O1891" s="4">
        <f t="shared" si="89"/>
        <v>-0.09</v>
      </c>
      <c r="P1891" s="3" t="s">
        <v>19</v>
      </c>
    </row>
    <row r="1892" spans="1:16" x14ac:dyDescent="0.35">
      <c r="A1892" s="3" t="s">
        <v>77</v>
      </c>
      <c r="B1892" s="3" t="str">
        <f>INDEX(State_Region!$B$2:$B$26,MATCH(TRIM(A1892),State_Region!$A$2:$A$26,0))</f>
        <v>South</v>
      </c>
      <c r="C1892" s="3" t="s">
        <v>157</v>
      </c>
      <c r="D1892" s="3" t="str">
        <f>INDEX(Port_Type!$B$2:$B$227,MATCH(TRIM(C1892),Port_Type!$A$2:$A$227,0))</f>
        <v>Air Cargo</v>
      </c>
      <c r="E1892" s="3" t="s">
        <v>55</v>
      </c>
      <c r="F1892" s="3" t="str">
        <f>INDEX(Product_Category!$B$2:$B$45,MATCH(TRIM(E1892),Product_Category!$A$2:$A$45,0))</f>
        <v>Fresh Fruits &amp; Vegetables</v>
      </c>
      <c r="G1892" s="4">
        <v>0.04</v>
      </c>
      <c r="H1892" s="4">
        <v>0</v>
      </c>
      <c r="I1892" s="4">
        <v>0</v>
      </c>
      <c r="J1892" s="4">
        <v>45.37</v>
      </c>
      <c r="K1892" s="4">
        <v>2.41</v>
      </c>
      <c r="L1892" s="4">
        <v>0.64</v>
      </c>
      <c r="M1892" s="4">
        <f t="shared" si="87"/>
        <v>-0.04</v>
      </c>
      <c r="N1892" s="4">
        <f t="shared" si="88"/>
        <v>-42.959999999999994</v>
      </c>
      <c r="O1892" s="4">
        <f t="shared" si="89"/>
        <v>0</v>
      </c>
      <c r="P1892" s="3" t="s">
        <v>19</v>
      </c>
    </row>
    <row r="1893" spans="1:16" x14ac:dyDescent="0.35">
      <c r="A1893" s="3" t="s">
        <v>251</v>
      </c>
      <c r="B1893" s="3" t="str">
        <f>INDEX(State_Region!$B$2:$B$26,MATCH(TRIM(A1893),State_Region!$A$2:$A$26,0))</f>
        <v>South</v>
      </c>
      <c r="C1893" s="3" t="s">
        <v>252</v>
      </c>
      <c r="D1893" s="3" t="str">
        <f>INDEX(Port_Type!$B$2:$B$227,MATCH(TRIM(C1893),Port_Type!$A$2:$A$227,0))</f>
        <v>Inland ICD / CFS</v>
      </c>
      <c r="E1893" s="3" t="s">
        <v>126</v>
      </c>
      <c r="F1893" s="3" t="str">
        <f>INDEX(Product_Category!$B$2:$B$45,MATCH(TRIM(E1893),Product_Category!$A$2:$A$45,0))</f>
        <v>Cereals &amp; Grains</v>
      </c>
      <c r="G1893" s="4">
        <v>0</v>
      </c>
      <c r="H1893" s="4">
        <v>0</v>
      </c>
      <c r="I1893" s="4">
        <v>0</v>
      </c>
      <c r="J1893" s="4">
        <v>0.2</v>
      </c>
      <c r="K1893" s="4">
        <v>0.6</v>
      </c>
      <c r="L1893" s="4">
        <v>0.66</v>
      </c>
      <c r="M1893" s="4">
        <f t="shared" si="87"/>
        <v>0</v>
      </c>
      <c r="N1893" s="4">
        <f t="shared" si="88"/>
        <v>0.39999999999999997</v>
      </c>
      <c r="O1893" s="4">
        <f t="shared" si="89"/>
        <v>0</v>
      </c>
      <c r="P1893" s="3" t="s">
        <v>19</v>
      </c>
    </row>
    <row r="1894" spans="1:16" x14ac:dyDescent="0.35">
      <c r="A1894" s="3" t="s">
        <v>66</v>
      </c>
      <c r="B1894" s="3" t="str">
        <f>INDEX(State_Region!$B$2:$B$26,MATCH(TRIM(A1894),State_Region!$A$2:$A$26,0))</f>
        <v>North</v>
      </c>
      <c r="C1894" s="3" t="s">
        <v>208</v>
      </c>
      <c r="D1894" s="3" t="str">
        <f>INDEX(Port_Type!$B$2:$B$227,MATCH(TRIM(C1894),Port_Type!$A$2:$A$227,0))</f>
        <v>Inland ICD / CFS</v>
      </c>
      <c r="E1894" s="3" t="s">
        <v>72</v>
      </c>
      <c r="F1894" s="3" t="str">
        <f>INDEX(Product_Category!$B$2:$B$45,MATCH(TRIM(E1894),Product_Category!$A$2:$A$45,0))</f>
        <v>Dairy, Poultry &amp; Honey</v>
      </c>
      <c r="G1894" s="4">
        <v>0.1</v>
      </c>
      <c r="H1894" s="4">
        <v>0</v>
      </c>
      <c r="I1894" s="4">
        <v>0</v>
      </c>
      <c r="J1894" s="4">
        <v>13.57</v>
      </c>
      <c r="K1894" s="4">
        <v>0</v>
      </c>
      <c r="L1894" s="4">
        <v>1.19</v>
      </c>
      <c r="M1894" s="4">
        <f t="shared" si="87"/>
        <v>-0.1</v>
      </c>
      <c r="N1894" s="4">
        <f t="shared" si="88"/>
        <v>-13.57</v>
      </c>
      <c r="O1894" s="4">
        <f t="shared" si="89"/>
        <v>0</v>
      </c>
      <c r="P1894" s="3" t="s">
        <v>19</v>
      </c>
    </row>
    <row r="1895" spans="1:16" x14ac:dyDescent="0.35">
      <c r="A1895" s="3" t="s">
        <v>35</v>
      </c>
      <c r="B1895" s="3" t="str">
        <f>INDEX(State_Region!$B$2:$B$26,MATCH(TRIM(A1895),State_Region!$A$2:$A$26,0))</f>
        <v>North</v>
      </c>
      <c r="C1895" s="3" t="s">
        <v>38</v>
      </c>
      <c r="D1895" s="3" t="str">
        <f>INDEX(Port_Type!$B$2:$B$227,MATCH(TRIM(C1895),Port_Type!$A$2:$A$227,0))</f>
        <v>Inland ICD / CFS</v>
      </c>
      <c r="E1895" s="3" t="s">
        <v>51</v>
      </c>
      <c r="F1895" s="3" t="str">
        <f>INDEX(Product_Category!$B$2:$B$45,MATCH(TRIM(E1895),Product_Category!$A$2:$A$45,0))</f>
        <v>Nuts &amp; Oilseeds</v>
      </c>
      <c r="G1895" s="4">
        <v>0</v>
      </c>
      <c r="H1895" s="4">
        <v>0.01</v>
      </c>
      <c r="I1895" s="4">
        <v>0</v>
      </c>
      <c r="J1895" s="4">
        <v>0.25</v>
      </c>
      <c r="K1895" s="4">
        <v>3.79</v>
      </c>
      <c r="L1895" s="4">
        <v>0.46</v>
      </c>
      <c r="M1895" s="4">
        <f t="shared" si="87"/>
        <v>0.01</v>
      </c>
      <c r="N1895" s="4">
        <f t="shared" si="88"/>
        <v>3.54</v>
      </c>
      <c r="O1895" s="4">
        <f t="shared" si="89"/>
        <v>-0.01</v>
      </c>
      <c r="P1895" s="3" t="s">
        <v>19</v>
      </c>
    </row>
    <row r="1896" spans="1:16" x14ac:dyDescent="0.35">
      <c r="A1896" s="3" t="s">
        <v>20</v>
      </c>
      <c r="B1896" s="3" t="str">
        <f>INDEX(State_Region!$B$2:$B$26,MATCH(TRIM(A1896),State_Region!$A$2:$A$26,0))</f>
        <v>West</v>
      </c>
      <c r="C1896" s="3" t="s">
        <v>145</v>
      </c>
      <c r="D1896" s="3" t="str">
        <f>INDEX(Port_Type!$B$2:$B$227,MATCH(TRIM(C1896),Port_Type!$A$2:$A$227,0))</f>
        <v>Inland ICD / CFS</v>
      </c>
      <c r="E1896" s="3" t="s">
        <v>62</v>
      </c>
      <c r="F1896" s="3" t="str">
        <f>INDEX(Product_Category!$B$2:$B$45,MATCH(TRIM(E1896),Product_Category!$A$2:$A$45,0))</f>
        <v>Cereals &amp; Grains</v>
      </c>
      <c r="G1896" s="4">
        <v>0</v>
      </c>
      <c r="H1896" s="4">
        <v>0</v>
      </c>
      <c r="I1896" s="4">
        <v>0</v>
      </c>
      <c r="J1896" s="4">
        <v>0</v>
      </c>
      <c r="K1896" s="4">
        <v>0</v>
      </c>
      <c r="L1896" s="4">
        <v>0.35</v>
      </c>
      <c r="M1896" s="4">
        <f t="shared" si="87"/>
        <v>0</v>
      </c>
      <c r="N1896" s="4">
        <f t="shared" si="88"/>
        <v>0</v>
      </c>
      <c r="O1896" s="4">
        <f t="shared" si="89"/>
        <v>0</v>
      </c>
      <c r="P1896" s="3" t="s">
        <v>19</v>
      </c>
    </row>
    <row r="1897" spans="1:16" x14ac:dyDescent="0.35">
      <c r="A1897" s="3" t="s">
        <v>251</v>
      </c>
      <c r="B1897" s="3" t="str">
        <f>INDEX(State_Region!$B$2:$B$26,MATCH(TRIM(A1897),State_Region!$A$2:$A$26,0))</f>
        <v>South</v>
      </c>
      <c r="C1897" s="3" t="s">
        <v>252</v>
      </c>
      <c r="D1897" s="3" t="str">
        <f>INDEX(Port_Type!$B$2:$B$227,MATCH(TRIM(C1897),Port_Type!$A$2:$A$227,0))</f>
        <v>Inland ICD / CFS</v>
      </c>
      <c r="E1897" s="3" t="s">
        <v>144</v>
      </c>
      <c r="F1897" s="3" t="str">
        <f>INDEX(Product_Category!$B$2:$B$45,MATCH(TRIM(E1897),Product_Category!$A$2:$A$45,0))</f>
        <v>Cereals &amp; Grains</v>
      </c>
      <c r="G1897" s="4">
        <v>0.01</v>
      </c>
      <c r="H1897" s="4">
        <v>0.01</v>
      </c>
      <c r="I1897" s="4">
        <v>0</v>
      </c>
      <c r="J1897" s="4">
        <v>6.95</v>
      </c>
      <c r="K1897" s="4">
        <v>4.74</v>
      </c>
      <c r="L1897" s="4">
        <v>0.79</v>
      </c>
      <c r="M1897" s="4">
        <f t="shared" si="87"/>
        <v>0</v>
      </c>
      <c r="N1897" s="4">
        <f t="shared" si="88"/>
        <v>-2.21</v>
      </c>
      <c r="O1897" s="4">
        <f t="shared" si="89"/>
        <v>-0.01</v>
      </c>
      <c r="P1897" s="3" t="s">
        <v>19</v>
      </c>
    </row>
    <row r="1898" spans="1:16" x14ac:dyDescent="0.35">
      <c r="A1898" s="3" t="s">
        <v>23</v>
      </c>
      <c r="B1898" s="3" t="str">
        <f>INDEX(State_Region!$B$2:$B$26,MATCH(TRIM(A1898),State_Region!$A$2:$A$26,0))</f>
        <v>North</v>
      </c>
      <c r="C1898" s="3" t="s">
        <v>182</v>
      </c>
      <c r="D1898" s="3" t="str">
        <f>INDEX(Port_Type!$B$2:$B$227,MATCH(TRIM(C1898),Port_Type!$A$2:$A$227,0))</f>
        <v>Air Cargo</v>
      </c>
      <c r="E1898" s="3" t="s">
        <v>45</v>
      </c>
      <c r="F1898" s="3" t="str">
        <f>INDEX(Product_Category!$B$2:$B$45,MATCH(TRIM(E1898),Product_Category!$A$2:$A$45,0))</f>
        <v>Fresh Fruits &amp; Vegetables</v>
      </c>
      <c r="G1898" s="4">
        <v>0.02</v>
      </c>
      <c r="H1898" s="4">
        <v>0.03</v>
      </c>
      <c r="I1898" s="4">
        <v>0</v>
      </c>
      <c r="J1898" s="4">
        <v>10.23</v>
      </c>
      <c r="K1898" s="4">
        <v>19.52</v>
      </c>
      <c r="L1898" s="4">
        <v>0.45</v>
      </c>
      <c r="M1898" s="4">
        <f t="shared" si="87"/>
        <v>9.9999999999999985E-3</v>
      </c>
      <c r="N1898" s="4">
        <f t="shared" si="88"/>
        <v>9.2899999999999991</v>
      </c>
      <c r="O1898" s="4">
        <f t="shared" si="89"/>
        <v>-0.03</v>
      </c>
      <c r="P1898" s="3" t="s">
        <v>19</v>
      </c>
    </row>
    <row r="1899" spans="1:16" x14ac:dyDescent="0.35">
      <c r="A1899" s="3" t="s">
        <v>40</v>
      </c>
      <c r="B1899" s="3" t="str">
        <f>INDEX(State_Region!$B$2:$B$26,MATCH(TRIM(A1899),State_Region!$A$2:$A$26,0))</f>
        <v>South</v>
      </c>
      <c r="C1899" s="3" t="s">
        <v>211</v>
      </c>
      <c r="D1899" s="3" t="str">
        <f>INDEX(Port_Type!$B$2:$B$227,MATCH(TRIM(C1899),Port_Type!$A$2:$A$227,0))</f>
        <v>Air Cargo</v>
      </c>
      <c r="E1899" s="3" t="s">
        <v>54</v>
      </c>
      <c r="F1899" s="3" t="str">
        <f>INDEX(Product_Category!$B$2:$B$45,MATCH(TRIM(E1899),Product_Category!$A$2:$A$45,0))</f>
        <v>Processed Foods</v>
      </c>
      <c r="G1899" s="4">
        <v>0</v>
      </c>
      <c r="H1899" s="4">
        <v>0</v>
      </c>
      <c r="I1899" s="4">
        <v>0</v>
      </c>
      <c r="J1899" s="4">
        <v>0.2</v>
      </c>
      <c r="K1899" s="4">
        <v>0.12</v>
      </c>
      <c r="L1899" s="4">
        <v>7.0000000000000007E-2</v>
      </c>
      <c r="M1899" s="4">
        <f t="shared" si="87"/>
        <v>0</v>
      </c>
      <c r="N1899" s="4">
        <f t="shared" si="88"/>
        <v>-8.0000000000000016E-2</v>
      </c>
      <c r="O1899" s="4">
        <f t="shared" si="89"/>
        <v>0</v>
      </c>
      <c r="P1899" s="3" t="s">
        <v>19</v>
      </c>
    </row>
    <row r="1900" spans="1:16" x14ac:dyDescent="0.35">
      <c r="A1900" s="3" t="s">
        <v>23</v>
      </c>
      <c r="B1900" s="3" t="str">
        <f>INDEX(State_Region!$B$2:$B$26,MATCH(TRIM(A1900),State_Region!$A$2:$A$26,0))</f>
        <v>North</v>
      </c>
      <c r="C1900" s="3" t="s">
        <v>123</v>
      </c>
      <c r="D1900" s="3" t="str">
        <f>INDEX(Port_Type!$B$2:$B$227,MATCH(TRIM(C1900),Port_Type!$A$2:$A$227,0))</f>
        <v>Land Border / Rail</v>
      </c>
      <c r="E1900" s="3" t="s">
        <v>151</v>
      </c>
      <c r="F1900" s="3" t="str">
        <f>INDEX(Product_Category!$B$2:$B$45,MATCH(TRIM(E1900),Product_Category!$A$2:$A$45,0))</f>
        <v>Processed Foods</v>
      </c>
      <c r="G1900" s="4">
        <v>0</v>
      </c>
      <c r="H1900" s="4">
        <v>0.04</v>
      </c>
      <c r="I1900" s="4">
        <v>0</v>
      </c>
      <c r="J1900" s="4">
        <v>0</v>
      </c>
      <c r="K1900" s="4">
        <v>91.52</v>
      </c>
      <c r="L1900" s="4">
        <v>1.5</v>
      </c>
      <c r="M1900" s="4">
        <f t="shared" si="87"/>
        <v>0.04</v>
      </c>
      <c r="N1900" s="4">
        <f t="shared" si="88"/>
        <v>91.52</v>
      </c>
      <c r="O1900" s="4">
        <f t="shared" si="89"/>
        <v>-0.04</v>
      </c>
      <c r="P1900" s="3" t="s">
        <v>19</v>
      </c>
    </row>
    <row r="1901" spans="1:16" x14ac:dyDescent="0.35">
      <c r="A1901" s="3" t="s">
        <v>23</v>
      </c>
      <c r="B1901" s="3" t="str">
        <f>INDEX(State_Region!$B$2:$B$26,MATCH(TRIM(A1901),State_Region!$A$2:$A$26,0))</f>
        <v>North</v>
      </c>
      <c r="C1901" s="3" t="s">
        <v>34</v>
      </c>
      <c r="D1901" s="3" t="str">
        <f>INDEX(Port_Type!$B$2:$B$227,MATCH(TRIM(C1901),Port_Type!$A$2:$A$227,0))</f>
        <v>Inland ICD / CFS</v>
      </c>
      <c r="E1901" s="3" t="s">
        <v>42</v>
      </c>
      <c r="F1901" s="3" t="str">
        <f>INDEX(Product_Category!$B$2:$B$45,MATCH(TRIM(E1901),Product_Category!$A$2:$A$45,0))</f>
        <v>Processed Foods</v>
      </c>
      <c r="G1901" s="4">
        <v>0</v>
      </c>
      <c r="H1901" s="4">
        <v>0</v>
      </c>
      <c r="I1901" s="4">
        <v>0</v>
      </c>
      <c r="J1901" s="4">
        <v>1.75</v>
      </c>
      <c r="K1901" s="4">
        <v>0</v>
      </c>
      <c r="L1901" s="4">
        <v>0.18</v>
      </c>
      <c r="M1901" s="4">
        <f t="shared" si="87"/>
        <v>0</v>
      </c>
      <c r="N1901" s="4">
        <f t="shared" si="88"/>
        <v>-1.75</v>
      </c>
      <c r="O1901" s="4">
        <f t="shared" si="89"/>
        <v>0</v>
      </c>
      <c r="P1901" s="3" t="s">
        <v>19</v>
      </c>
    </row>
    <row r="1902" spans="1:16" x14ac:dyDescent="0.35">
      <c r="A1902" s="3" t="s">
        <v>77</v>
      </c>
      <c r="B1902" s="3" t="str">
        <f>INDEX(State_Region!$B$2:$B$26,MATCH(TRIM(A1902),State_Region!$A$2:$A$26,0))</f>
        <v>South</v>
      </c>
      <c r="C1902" s="3" t="s">
        <v>168</v>
      </c>
      <c r="D1902" s="3" t="str">
        <f>INDEX(Port_Type!$B$2:$B$227,MATCH(TRIM(C1902),Port_Type!$A$2:$A$227,0))</f>
        <v>Air Cargo</v>
      </c>
      <c r="E1902" s="3" t="s">
        <v>59</v>
      </c>
      <c r="F1902" s="3" t="str">
        <f>INDEX(Product_Category!$B$2:$B$45,MATCH(TRIM(E1902),Product_Category!$A$2:$A$45,0))</f>
        <v>Processed Foods</v>
      </c>
      <c r="G1902" s="4">
        <v>0</v>
      </c>
      <c r="H1902" s="4">
        <v>0</v>
      </c>
      <c r="I1902" s="4">
        <v>0</v>
      </c>
      <c r="J1902" s="4">
        <v>0.23</v>
      </c>
      <c r="K1902" s="4">
        <v>0.22</v>
      </c>
      <c r="L1902" s="4">
        <v>0.13</v>
      </c>
      <c r="M1902" s="4">
        <f t="shared" si="87"/>
        <v>0</v>
      </c>
      <c r="N1902" s="4">
        <f t="shared" si="88"/>
        <v>-1.0000000000000009E-2</v>
      </c>
      <c r="O1902" s="4">
        <f t="shared" si="89"/>
        <v>0</v>
      </c>
      <c r="P1902" s="3" t="s">
        <v>19</v>
      </c>
    </row>
    <row r="1903" spans="1:16" x14ac:dyDescent="0.35">
      <c r="A1903" s="3" t="s">
        <v>31</v>
      </c>
      <c r="B1903" s="3" t="str">
        <f>INDEX(State_Region!$B$2:$B$26,MATCH(TRIM(A1903),State_Region!$A$2:$A$26,0))</f>
        <v>East</v>
      </c>
      <c r="C1903" s="3" t="s">
        <v>32</v>
      </c>
      <c r="D1903" s="3" t="str">
        <f>INDEX(Port_Type!$B$2:$B$227,MATCH(TRIM(C1903),Port_Type!$A$2:$A$227,0))</f>
        <v>Sea Port</v>
      </c>
      <c r="E1903" s="3" t="s">
        <v>46</v>
      </c>
      <c r="F1903" s="3" t="str">
        <f>INDEX(Product_Category!$B$2:$B$45,MATCH(TRIM(E1903),Product_Category!$A$2:$A$45,0))</f>
        <v>Others</v>
      </c>
      <c r="G1903" s="4">
        <v>0</v>
      </c>
      <c r="H1903" s="4">
        <v>0</v>
      </c>
      <c r="I1903" s="4">
        <v>0</v>
      </c>
      <c r="J1903" s="4">
        <v>0</v>
      </c>
      <c r="K1903" s="4">
        <v>0.6</v>
      </c>
      <c r="L1903" s="4">
        <v>0.2</v>
      </c>
      <c r="M1903" s="4">
        <f t="shared" si="87"/>
        <v>0</v>
      </c>
      <c r="N1903" s="4">
        <f t="shared" si="88"/>
        <v>0.6</v>
      </c>
      <c r="O1903" s="4">
        <f t="shared" si="89"/>
        <v>0</v>
      </c>
      <c r="P1903" s="3" t="s">
        <v>19</v>
      </c>
    </row>
    <row r="1904" spans="1:16" x14ac:dyDescent="0.35">
      <c r="A1904" s="3" t="s">
        <v>231</v>
      </c>
      <c r="B1904" s="3" t="str">
        <f>INDEX(State_Region!$B$2:$B$26,MATCH(TRIM(A1904),State_Region!$A$2:$A$26,0))</f>
        <v>North-East</v>
      </c>
      <c r="C1904" s="3" t="s">
        <v>236</v>
      </c>
      <c r="D1904" s="3" t="str">
        <f>INDEX(Port_Type!$B$2:$B$227,MATCH(TRIM(C1904),Port_Type!$A$2:$A$227,0))</f>
        <v>Land Border / Rail</v>
      </c>
      <c r="E1904" s="3" t="s">
        <v>33</v>
      </c>
      <c r="F1904" s="3" t="str">
        <f>INDEX(Product_Category!$B$2:$B$45,MATCH(TRIM(E1904),Product_Category!$A$2:$A$45,0))</f>
        <v>Pulses</v>
      </c>
      <c r="G1904" s="4">
        <v>0</v>
      </c>
      <c r="H1904" s="4">
        <v>0.02</v>
      </c>
      <c r="I1904" s="4">
        <v>0</v>
      </c>
      <c r="J1904" s="4">
        <v>1.34</v>
      </c>
      <c r="K1904" s="4">
        <v>18.93</v>
      </c>
      <c r="L1904" s="4">
        <v>1.07</v>
      </c>
      <c r="M1904" s="4">
        <f t="shared" si="87"/>
        <v>0.02</v>
      </c>
      <c r="N1904" s="4">
        <f t="shared" si="88"/>
        <v>17.59</v>
      </c>
      <c r="O1904" s="4">
        <f t="shared" si="89"/>
        <v>-0.02</v>
      </c>
      <c r="P1904" s="3" t="s">
        <v>19</v>
      </c>
    </row>
    <row r="1905" spans="1:16" x14ac:dyDescent="0.35">
      <c r="A1905" s="3" t="s">
        <v>57</v>
      </c>
      <c r="B1905" s="3" t="str">
        <f>INDEX(State_Region!$B$2:$B$26,MATCH(TRIM(A1905),State_Region!$A$2:$A$26,0))</f>
        <v>Central</v>
      </c>
      <c r="C1905" s="3" t="s">
        <v>175</v>
      </c>
      <c r="D1905" s="3" t="str">
        <f>INDEX(Port_Type!$B$2:$B$227,MATCH(TRIM(C1905),Port_Type!$A$2:$A$227,0))</f>
        <v>Inland ICD / CFS</v>
      </c>
      <c r="E1905" s="3" t="s">
        <v>54</v>
      </c>
      <c r="F1905" s="3" t="str">
        <f>INDEX(Product_Category!$B$2:$B$45,MATCH(TRIM(E1905),Product_Category!$A$2:$A$45,0))</f>
        <v>Processed Foods</v>
      </c>
      <c r="G1905" s="4">
        <v>0</v>
      </c>
      <c r="H1905" s="4">
        <v>0.01</v>
      </c>
      <c r="I1905" s="4">
        <v>0</v>
      </c>
      <c r="J1905" s="4">
        <v>0</v>
      </c>
      <c r="K1905" s="4">
        <v>0.52</v>
      </c>
      <c r="L1905" s="4">
        <v>0.06</v>
      </c>
      <c r="M1905" s="4">
        <f t="shared" si="87"/>
        <v>0.01</v>
      </c>
      <c r="N1905" s="4">
        <f t="shared" si="88"/>
        <v>0.52</v>
      </c>
      <c r="O1905" s="4">
        <f t="shared" si="89"/>
        <v>-0.01</v>
      </c>
      <c r="P1905" s="3" t="s">
        <v>19</v>
      </c>
    </row>
    <row r="1906" spans="1:16" x14ac:dyDescent="0.35">
      <c r="A1906" s="3" t="s">
        <v>66</v>
      </c>
      <c r="B1906" s="3" t="str">
        <f>INDEX(State_Region!$B$2:$B$26,MATCH(TRIM(A1906),State_Region!$A$2:$A$26,0))</f>
        <v>North</v>
      </c>
      <c r="C1906" s="3" t="s">
        <v>108</v>
      </c>
      <c r="D1906" s="3" t="str">
        <f>INDEX(Port_Type!$B$2:$B$227,MATCH(TRIM(C1906),Port_Type!$A$2:$A$227,0))</f>
        <v>Inland ICD / CFS</v>
      </c>
      <c r="E1906" s="3" t="s">
        <v>51</v>
      </c>
      <c r="F1906" s="3" t="str">
        <f>INDEX(Product_Category!$B$2:$B$45,MATCH(TRIM(E1906),Product_Category!$A$2:$A$45,0))</f>
        <v>Nuts &amp; Oilseeds</v>
      </c>
      <c r="G1906" s="4">
        <v>0</v>
      </c>
      <c r="H1906" s="4">
        <v>0</v>
      </c>
      <c r="I1906" s="4">
        <v>0</v>
      </c>
      <c r="J1906" s="4">
        <v>0</v>
      </c>
      <c r="K1906" s="4">
        <v>0</v>
      </c>
      <c r="L1906" s="4">
        <v>0.45</v>
      </c>
      <c r="M1906" s="4">
        <f t="shared" si="87"/>
        <v>0</v>
      </c>
      <c r="N1906" s="4">
        <f t="shared" si="88"/>
        <v>0</v>
      </c>
      <c r="O1906" s="4">
        <f t="shared" si="89"/>
        <v>0</v>
      </c>
      <c r="P1906" s="3" t="s">
        <v>19</v>
      </c>
    </row>
    <row r="1907" spans="1:16" x14ac:dyDescent="0.35">
      <c r="A1907" s="3" t="s">
        <v>77</v>
      </c>
      <c r="B1907" s="3" t="str">
        <f>INDEX(State_Region!$B$2:$B$26,MATCH(TRIM(A1907),State_Region!$A$2:$A$26,0))</f>
        <v>South</v>
      </c>
      <c r="C1907" s="3" t="s">
        <v>168</v>
      </c>
      <c r="D1907" s="3" t="str">
        <f>INDEX(Port_Type!$B$2:$B$227,MATCH(TRIM(C1907),Port_Type!$A$2:$A$227,0))</f>
        <v>Air Cargo</v>
      </c>
      <c r="E1907" s="3" t="s">
        <v>181</v>
      </c>
      <c r="F1907" s="3" t="str">
        <f>INDEX(Product_Category!$B$2:$B$45,MATCH(TRIM(E1907),Product_Category!$A$2:$A$45,0))</f>
        <v>Nuts &amp; Oilseeds</v>
      </c>
      <c r="G1907" s="4">
        <v>0</v>
      </c>
      <c r="H1907" s="4">
        <v>0</v>
      </c>
      <c r="I1907" s="4">
        <v>0</v>
      </c>
      <c r="J1907" s="4">
        <v>0</v>
      </c>
      <c r="K1907" s="4">
        <v>0.01</v>
      </c>
      <c r="L1907" s="4">
        <v>0.06</v>
      </c>
      <c r="M1907" s="4">
        <f t="shared" si="87"/>
        <v>0</v>
      </c>
      <c r="N1907" s="4">
        <f t="shared" si="88"/>
        <v>0.01</v>
      </c>
      <c r="O1907" s="4">
        <f t="shared" si="89"/>
        <v>0</v>
      </c>
      <c r="P1907" s="3" t="s">
        <v>19</v>
      </c>
    </row>
    <row r="1908" spans="1:16" x14ac:dyDescent="0.35">
      <c r="A1908" s="3" t="s">
        <v>66</v>
      </c>
      <c r="B1908" s="3" t="str">
        <f>INDEX(State_Region!$B$2:$B$26,MATCH(TRIM(A1908),State_Region!$A$2:$A$26,0))</f>
        <v>North</v>
      </c>
      <c r="C1908" s="3" t="s">
        <v>100</v>
      </c>
      <c r="D1908" s="3" t="str">
        <f>INDEX(Port_Type!$B$2:$B$227,MATCH(TRIM(C1908),Port_Type!$A$2:$A$227,0))</f>
        <v>Inland ICD / CFS</v>
      </c>
      <c r="E1908" s="3" t="s">
        <v>45</v>
      </c>
      <c r="F1908" s="3" t="str">
        <f>INDEX(Product_Category!$B$2:$B$45,MATCH(TRIM(E1908),Product_Category!$A$2:$A$45,0))</f>
        <v>Fresh Fruits &amp; Vegetables</v>
      </c>
      <c r="G1908" s="4">
        <v>0</v>
      </c>
      <c r="H1908" s="4">
        <v>0</v>
      </c>
      <c r="I1908" s="4">
        <v>0</v>
      </c>
      <c r="J1908" s="4">
        <v>0</v>
      </c>
      <c r="K1908" s="4">
        <v>0</v>
      </c>
      <c r="L1908" s="4">
        <v>0.2</v>
      </c>
      <c r="M1908" s="4">
        <f t="shared" si="87"/>
        <v>0</v>
      </c>
      <c r="N1908" s="4">
        <f t="shared" si="88"/>
        <v>0</v>
      </c>
      <c r="O1908" s="4">
        <f t="shared" si="89"/>
        <v>0</v>
      </c>
      <c r="P1908" s="3" t="s">
        <v>19</v>
      </c>
    </row>
    <row r="1909" spans="1:16" x14ac:dyDescent="0.35">
      <c r="A1909" s="3" t="s">
        <v>31</v>
      </c>
      <c r="B1909" s="3" t="str">
        <f>INDEX(State_Region!$B$2:$B$26,MATCH(TRIM(A1909),State_Region!$A$2:$A$26,0))</f>
        <v>East</v>
      </c>
      <c r="C1909" s="3" t="s">
        <v>101</v>
      </c>
      <c r="D1909" s="3" t="str">
        <f>INDEX(Port_Type!$B$2:$B$227,MATCH(TRIM(C1909),Port_Type!$A$2:$A$227,0))</f>
        <v>Land Border / Rail</v>
      </c>
      <c r="E1909" s="3" t="s">
        <v>150</v>
      </c>
      <c r="F1909" s="3" t="str">
        <f>INDEX(Product_Category!$B$2:$B$45,MATCH(TRIM(E1909),Product_Category!$A$2:$A$45,0))</f>
        <v>Nuts &amp; Oilseeds</v>
      </c>
      <c r="G1909" s="4">
        <v>0</v>
      </c>
      <c r="H1909" s="4">
        <v>0</v>
      </c>
      <c r="I1909" s="4">
        <v>0</v>
      </c>
      <c r="J1909" s="4">
        <v>0</v>
      </c>
      <c r="K1909" s="4">
        <v>0.4</v>
      </c>
      <c r="L1909" s="4">
        <v>0.15</v>
      </c>
      <c r="M1909" s="4">
        <f t="shared" si="87"/>
        <v>0</v>
      </c>
      <c r="N1909" s="4">
        <f t="shared" si="88"/>
        <v>0.4</v>
      </c>
      <c r="O1909" s="4">
        <f t="shared" si="89"/>
        <v>0</v>
      </c>
      <c r="P1909" s="3" t="s">
        <v>19</v>
      </c>
    </row>
    <row r="1910" spans="1:16" x14ac:dyDescent="0.35">
      <c r="A1910" s="3" t="s">
        <v>66</v>
      </c>
      <c r="B1910" s="3" t="str">
        <f>INDEX(State_Region!$B$2:$B$26,MATCH(TRIM(A1910),State_Region!$A$2:$A$26,0))</f>
        <v>North</v>
      </c>
      <c r="C1910" s="3" t="s">
        <v>108</v>
      </c>
      <c r="D1910" s="3" t="str">
        <f>INDEX(Port_Type!$B$2:$B$227,MATCH(TRIM(C1910),Port_Type!$A$2:$A$227,0))</f>
        <v>Inland ICD / CFS</v>
      </c>
      <c r="E1910" s="3" t="s">
        <v>144</v>
      </c>
      <c r="F1910" s="3" t="str">
        <f>INDEX(Product_Category!$B$2:$B$45,MATCH(TRIM(E1910),Product_Category!$A$2:$A$45,0))</f>
        <v>Cereals &amp; Grains</v>
      </c>
      <c r="G1910" s="4">
        <v>0</v>
      </c>
      <c r="H1910" s="4">
        <v>0.02</v>
      </c>
      <c r="I1910" s="4">
        <v>0</v>
      </c>
      <c r="J1910" s="4">
        <v>0.2</v>
      </c>
      <c r="K1910" s="4">
        <v>20.86</v>
      </c>
      <c r="L1910" s="4">
        <v>1.05</v>
      </c>
      <c r="M1910" s="4">
        <f t="shared" si="87"/>
        <v>0.02</v>
      </c>
      <c r="N1910" s="4">
        <f t="shared" si="88"/>
        <v>20.66</v>
      </c>
      <c r="O1910" s="4">
        <f t="shared" si="89"/>
        <v>-0.02</v>
      </c>
      <c r="P1910" s="3" t="s">
        <v>19</v>
      </c>
    </row>
    <row r="1911" spans="1:16" x14ac:dyDescent="0.35">
      <c r="A1911" s="3" t="s">
        <v>74</v>
      </c>
      <c r="B1911" s="3" t="str">
        <f>INDEX(State_Region!$B$2:$B$26,MATCH(TRIM(A1911),State_Region!$A$2:$A$26,0))</f>
        <v>South</v>
      </c>
      <c r="C1911" s="3" t="s">
        <v>137</v>
      </c>
      <c r="D1911" s="3" t="str">
        <f>INDEX(Port_Type!$B$2:$B$227,MATCH(TRIM(C1911),Port_Type!$A$2:$A$227,0))</f>
        <v>Air Cargo</v>
      </c>
      <c r="E1911" s="3" t="s">
        <v>174</v>
      </c>
      <c r="F1911" s="3" t="str">
        <f>INDEX(Product_Category!$B$2:$B$45,MATCH(TRIM(E1911),Product_Category!$A$2:$A$45,0))</f>
        <v>Dairy, Poultry &amp; Honey</v>
      </c>
      <c r="G1911" s="4">
        <v>7.0000000000000007E-2</v>
      </c>
      <c r="H1911" s="4">
        <v>0.09</v>
      </c>
      <c r="I1911" s="4">
        <v>0</v>
      </c>
      <c r="J1911" s="4">
        <v>2.56</v>
      </c>
      <c r="K1911" s="4">
        <v>16.89</v>
      </c>
      <c r="L1911" s="4">
        <v>0.1</v>
      </c>
      <c r="M1911" s="4">
        <f t="shared" si="87"/>
        <v>1.999999999999999E-2</v>
      </c>
      <c r="N1911" s="4">
        <f t="shared" si="88"/>
        <v>14.33</v>
      </c>
      <c r="O1911" s="4">
        <f t="shared" si="89"/>
        <v>-0.09</v>
      </c>
      <c r="P1911" s="3" t="s">
        <v>19</v>
      </c>
    </row>
    <row r="1912" spans="1:16" x14ac:dyDescent="0.35">
      <c r="A1912" s="3" t="s">
        <v>77</v>
      </c>
      <c r="B1912" s="3" t="str">
        <f>INDEX(State_Region!$B$2:$B$26,MATCH(TRIM(A1912),State_Region!$A$2:$A$26,0))</f>
        <v>South</v>
      </c>
      <c r="C1912" s="3" t="s">
        <v>78</v>
      </c>
      <c r="D1912" s="3" t="str">
        <f>INDEX(Port_Type!$B$2:$B$227,MATCH(TRIM(C1912),Port_Type!$A$2:$A$227,0))</f>
        <v>Sea Port</v>
      </c>
      <c r="E1912" s="3" t="s">
        <v>51</v>
      </c>
      <c r="F1912" s="3" t="str">
        <f>INDEX(Product_Category!$B$2:$B$45,MATCH(TRIM(E1912),Product_Category!$A$2:$A$45,0))</f>
        <v>Nuts &amp; Oilseeds</v>
      </c>
      <c r="G1912" s="4">
        <v>0</v>
      </c>
      <c r="H1912" s="4">
        <v>0.03</v>
      </c>
      <c r="I1912" s="4">
        <v>0</v>
      </c>
      <c r="J1912" s="4">
        <v>1.91</v>
      </c>
      <c r="K1912" s="4">
        <v>22.05</v>
      </c>
      <c r="L1912" s="4">
        <v>0.71</v>
      </c>
      <c r="M1912" s="4">
        <f t="shared" si="87"/>
        <v>0.03</v>
      </c>
      <c r="N1912" s="4">
        <f t="shared" si="88"/>
        <v>20.14</v>
      </c>
      <c r="O1912" s="4">
        <f t="shared" si="89"/>
        <v>-0.03</v>
      </c>
      <c r="P1912" s="3" t="s">
        <v>19</v>
      </c>
    </row>
    <row r="1913" spans="1:16" x14ac:dyDescent="0.35">
      <c r="A1913" s="3" t="s">
        <v>31</v>
      </c>
      <c r="B1913" s="3" t="str">
        <f>INDEX(State_Region!$B$2:$B$26,MATCH(TRIM(A1913),State_Region!$A$2:$A$26,0))</f>
        <v>East</v>
      </c>
      <c r="C1913" s="3" t="s">
        <v>215</v>
      </c>
      <c r="D1913" s="3" t="str">
        <f>INDEX(Port_Type!$B$2:$B$227,MATCH(TRIM(C1913),Port_Type!$A$2:$A$227,0))</f>
        <v>Land Border / Rail</v>
      </c>
      <c r="E1913" s="3" t="s">
        <v>59</v>
      </c>
      <c r="F1913" s="3" t="str">
        <f>INDEX(Product_Category!$B$2:$B$45,MATCH(TRIM(E1913),Product_Category!$A$2:$A$45,0))</f>
        <v>Processed Foods</v>
      </c>
      <c r="G1913" s="4">
        <v>0</v>
      </c>
      <c r="H1913" s="4">
        <v>0</v>
      </c>
      <c r="I1913" s="4">
        <v>0</v>
      </c>
      <c r="J1913" s="4">
        <v>1.43</v>
      </c>
      <c r="K1913" s="4">
        <v>0.91</v>
      </c>
      <c r="L1913" s="4">
        <v>0.38</v>
      </c>
      <c r="M1913" s="4">
        <f t="shared" si="87"/>
        <v>0</v>
      </c>
      <c r="N1913" s="4">
        <f t="shared" si="88"/>
        <v>-0.51999999999999991</v>
      </c>
      <c r="O1913" s="4">
        <f t="shared" si="89"/>
        <v>0</v>
      </c>
      <c r="P1913" s="3" t="s">
        <v>19</v>
      </c>
    </row>
    <row r="1914" spans="1:16" x14ac:dyDescent="0.35">
      <c r="A1914" s="3" t="s">
        <v>94</v>
      </c>
      <c r="B1914" s="3" t="str">
        <f>INDEX(State_Region!$B$2:$B$26,MATCH(TRIM(A1914),State_Region!$A$2:$A$26,0))</f>
        <v>East</v>
      </c>
      <c r="C1914" s="3" t="s">
        <v>112</v>
      </c>
      <c r="D1914" s="3" t="str">
        <f>INDEX(Port_Type!$B$2:$B$227,MATCH(TRIM(C1914),Port_Type!$A$2:$A$227,0))</f>
        <v>Land Border / Rail</v>
      </c>
      <c r="E1914" s="3" t="s">
        <v>114</v>
      </c>
      <c r="F1914" s="3" t="str">
        <f>INDEX(Product_Category!$B$2:$B$45,MATCH(TRIM(E1914),Product_Category!$A$2:$A$45,0))</f>
        <v>Dairy, Poultry &amp; Honey</v>
      </c>
      <c r="G1914" s="4">
        <v>0</v>
      </c>
      <c r="H1914" s="4">
        <v>0</v>
      </c>
      <c r="I1914" s="4">
        <v>0</v>
      </c>
      <c r="J1914" s="4">
        <v>0</v>
      </c>
      <c r="K1914" s="4">
        <v>0.18</v>
      </c>
      <c r="L1914" s="4">
        <v>0.72</v>
      </c>
      <c r="M1914" s="4">
        <f t="shared" si="87"/>
        <v>0</v>
      </c>
      <c r="N1914" s="4">
        <f t="shared" si="88"/>
        <v>0.18</v>
      </c>
      <c r="O1914" s="4">
        <f t="shared" si="89"/>
        <v>0</v>
      </c>
      <c r="P1914" s="3" t="s">
        <v>19</v>
      </c>
    </row>
    <row r="1915" spans="1:16" x14ac:dyDescent="0.35">
      <c r="A1915" s="3" t="s">
        <v>25</v>
      </c>
      <c r="B1915" s="3" t="str">
        <f>INDEX(State_Region!$B$2:$B$26,MATCH(TRIM(A1915),State_Region!$A$2:$A$26,0))</f>
        <v>South</v>
      </c>
      <c r="C1915" s="3" t="s">
        <v>29</v>
      </c>
      <c r="D1915" s="3" t="str">
        <f>INDEX(Port_Type!$B$2:$B$227,MATCH(TRIM(C1915),Port_Type!$A$2:$A$227,0))</f>
        <v>Sea Port</v>
      </c>
      <c r="E1915" s="3" t="s">
        <v>55</v>
      </c>
      <c r="F1915" s="3" t="str">
        <f>INDEX(Product_Category!$B$2:$B$45,MATCH(TRIM(E1915),Product_Category!$A$2:$A$45,0))</f>
        <v>Fresh Fruits &amp; Vegetables</v>
      </c>
      <c r="G1915" s="4">
        <v>0</v>
      </c>
      <c r="H1915" s="4">
        <v>0</v>
      </c>
      <c r="I1915" s="4">
        <v>0</v>
      </c>
      <c r="J1915" s="4">
        <v>0</v>
      </c>
      <c r="K1915" s="4">
        <v>0.35</v>
      </c>
      <c r="L1915" s="4">
        <v>0.6</v>
      </c>
      <c r="M1915" s="4">
        <f t="shared" si="87"/>
        <v>0</v>
      </c>
      <c r="N1915" s="4">
        <f t="shared" si="88"/>
        <v>0.35</v>
      </c>
      <c r="O1915" s="4">
        <f t="shared" si="89"/>
        <v>0</v>
      </c>
      <c r="P1915" s="3" t="s">
        <v>19</v>
      </c>
    </row>
    <row r="1916" spans="1:16" x14ac:dyDescent="0.35">
      <c r="A1916" s="3" t="s">
        <v>23</v>
      </c>
      <c r="B1916" s="3" t="str">
        <f>INDEX(State_Region!$B$2:$B$26,MATCH(TRIM(A1916),State_Region!$A$2:$A$26,0))</f>
        <v>North</v>
      </c>
      <c r="C1916" s="3" t="s">
        <v>228</v>
      </c>
      <c r="D1916" s="3" t="str">
        <f>INDEX(Port_Type!$B$2:$B$227,MATCH(TRIM(C1916),Port_Type!$A$2:$A$227,0))</f>
        <v>SEZ / EPZ</v>
      </c>
      <c r="E1916" s="3" t="s">
        <v>45</v>
      </c>
      <c r="F1916" s="3" t="str">
        <f>INDEX(Product_Category!$B$2:$B$45,MATCH(TRIM(E1916),Product_Category!$A$2:$A$45,0))</f>
        <v>Fresh Fruits &amp; Vegetables</v>
      </c>
      <c r="G1916" s="4">
        <v>0</v>
      </c>
      <c r="H1916" s="4">
        <v>0</v>
      </c>
      <c r="I1916" s="4">
        <v>0</v>
      </c>
      <c r="J1916" s="4">
        <v>0.3</v>
      </c>
      <c r="K1916" s="4">
        <v>0.05</v>
      </c>
      <c r="L1916" s="4">
        <v>0.05</v>
      </c>
      <c r="M1916" s="4">
        <f t="shared" si="87"/>
        <v>0</v>
      </c>
      <c r="N1916" s="4">
        <f t="shared" si="88"/>
        <v>-0.25</v>
      </c>
      <c r="O1916" s="4">
        <f t="shared" si="89"/>
        <v>0</v>
      </c>
      <c r="P1916" s="3" t="s">
        <v>19</v>
      </c>
    </row>
    <row r="1917" spans="1:16" x14ac:dyDescent="0.35">
      <c r="A1917" s="3" t="s">
        <v>23</v>
      </c>
      <c r="B1917" s="3" t="str">
        <f>INDEX(State_Region!$B$2:$B$26,MATCH(TRIM(A1917),State_Region!$A$2:$A$26,0))</f>
        <v>North</v>
      </c>
      <c r="C1917" s="3" t="s">
        <v>44</v>
      </c>
      <c r="D1917" s="3" t="str">
        <f>INDEX(Port_Type!$B$2:$B$227,MATCH(TRIM(C1917),Port_Type!$A$2:$A$227,0))</f>
        <v>Inland ICD / CFS</v>
      </c>
      <c r="E1917" s="3" t="s">
        <v>122</v>
      </c>
      <c r="F1917" s="3" t="str">
        <f>INDEX(Product_Category!$B$2:$B$45,MATCH(TRIM(E1917),Product_Category!$A$2:$A$45,0))</f>
        <v>Others</v>
      </c>
      <c r="G1917" s="4">
        <v>0.11</v>
      </c>
      <c r="H1917" s="4">
        <v>0.01</v>
      </c>
      <c r="I1917" s="4">
        <v>0</v>
      </c>
      <c r="J1917" s="4">
        <v>10.94</v>
      </c>
      <c r="K1917" s="4">
        <v>1.64</v>
      </c>
      <c r="L1917" s="4">
        <v>0.02</v>
      </c>
      <c r="M1917" s="4">
        <f t="shared" si="87"/>
        <v>-0.1</v>
      </c>
      <c r="N1917" s="4">
        <f t="shared" si="88"/>
        <v>-9.2999999999999989</v>
      </c>
      <c r="O1917" s="4">
        <f t="shared" si="89"/>
        <v>-0.01</v>
      </c>
      <c r="P1917" s="3" t="s">
        <v>19</v>
      </c>
    </row>
    <row r="1918" spans="1:16" x14ac:dyDescent="0.35">
      <c r="A1918" s="3" t="s">
        <v>40</v>
      </c>
      <c r="B1918" s="3" t="str">
        <f>INDEX(State_Region!$B$2:$B$26,MATCH(TRIM(A1918),State_Region!$A$2:$A$26,0))</f>
        <v>South</v>
      </c>
      <c r="C1918" s="3" t="s">
        <v>107</v>
      </c>
      <c r="D1918" s="3" t="str">
        <f>INDEX(Port_Type!$B$2:$B$227,MATCH(TRIM(C1918),Port_Type!$A$2:$A$227,0))</f>
        <v>Sea Port</v>
      </c>
      <c r="E1918" s="3" t="s">
        <v>51</v>
      </c>
      <c r="F1918" s="3" t="str">
        <f>INDEX(Product_Category!$B$2:$B$45,MATCH(TRIM(E1918),Product_Category!$A$2:$A$45,0))</f>
        <v>Nuts &amp; Oilseeds</v>
      </c>
      <c r="G1918" s="4">
        <v>0.45</v>
      </c>
      <c r="H1918" s="4">
        <v>0</v>
      </c>
      <c r="I1918" s="4">
        <v>0</v>
      </c>
      <c r="J1918" s="4">
        <v>328.47</v>
      </c>
      <c r="K1918" s="4">
        <v>1.71</v>
      </c>
      <c r="L1918" s="4">
        <v>0.34</v>
      </c>
      <c r="M1918" s="4">
        <f t="shared" si="87"/>
        <v>-0.45</v>
      </c>
      <c r="N1918" s="4">
        <f t="shared" si="88"/>
        <v>-326.76000000000005</v>
      </c>
      <c r="O1918" s="4">
        <f t="shared" si="89"/>
        <v>0</v>
      </c>
      <c r="P1918" s="3" t="s">
        <v>19</v>
      </c>
    </row>
    <row r="1919" spans="1:16" x14ac:dyDescent="0.35">
      <c r="A1919" s="3" t="s">
        <v>23</v>
      </c>
      <c r="B1919" s="3" t="str">
        <f>INDEX(State_Region!$B$2:$B$26,MATCH(TRIM(A1919),State_Region!$A$2:$A$26,0))</f>
        <v>North</v>
      </c>
      <c r="C1919" s="3" t="s">
        <v>228</v>
      </c>
      <c r="D1919" s="3" t="str">
        <f>INDEX(Port_Type!$B$2:$B$227,MATCH(TRIM(C1919),Port_Type!$A$2:$A$227,0))</f>
        <v>SEZ / EPZ</v>
      </c>
      <c r="E1919" s="3" t="s">
        <v>53</v>
      </c>
      <c r="F1919" s="3" t="str">
        <f>INDEX(Product_Category!$B$2:$B$45,MATCH(TRIM(E1919),Product_Category!$A$2:$A$45,0))</f>
        <v>Processed Foods</v>
      </c>
      <c r="G1919" s="4">
        <v>0</v>
      </c>
      <c r="H1919" s="4">
        <v>0</v>
      </c>
      <c r="I1919" s="4">
        <v>0</v>
      </c>
      <c r="J1919" s="4">
        <v>0</v>
      </c>
      <c r="K1919" s="4">
        <v>0</v>
      </c>
      <c r="L1919" s="4">
        <v>0.25</v>
      </c>
      <c r="M1919" s="4">
        <f t="shared" si="87"/>
        <v>0</v>
      </c>
      <c r="N1919" s="4">
        <f t="shared" si="88"/>
        <v>0</v>
      </c>
      <c r="O1919" s="4">
        <f t="shared" si="89"/>
        <v>0</v>
      </c>
      <c r="P1919" s="3" t="s">
        <v>19</v>
      </c>
    </row>
    <row r="1920" spans="1:16" x14ac:dyDescent="0.35">
      <c r="A1920" s="3" t="s">
        <v>23</v>
      </c>
      <c r="B1920" s="3" t="str">
        <f>INDEX(State_Region!$B$2:$B$26,MATCH(TRIM(A1920),State_Region!$A$2:$A$26,0))</f>
        <v>North</v>
      </c>
      <c r="C1920" s="3" t="s">
        <v>120</v>
      </c>
      <c r="D1920" s="3" t="str">
        <f>INDEX(Port_Type!$B$2:$B$227,MATCH(TRIM(C1920),Port_Type!$A$2:$A$227,0))</f>
        <v>Inland ICD / CFS</v>
      </c>
      <c r="E1920" s="3" t="s">
        <v>48</v>
      </c>
      <c r="F1920" s="3" t="str">
        <f>INDEX(Product_Category!$B$2:$B$45,MATCH(TRIM(E1920),Product_Category!$A$2:$A$45,0))</f>
        <v>Processed Foods</v>
      </c>
      <c r="G1920" s="4">
        <v>0.05</v>
      </c>
      <c r="H1920" s="4">
        <v>0.15</v>
      </c>
      <c r="I1920" s="4">
        <v>0</v>
      </c>
      <c r="J1920" s="4">
        <v>23.11</v>
      </c>
      <c r="K1920" s="4">
        <v>165.73</v>
      </c>
      <c r="L1920" s="4">
        <v>0.36</v>
      </c>
      <c r="M1920" s="4">
        <f t="shared" si="87"/>
        <v>9.9999999999999992E-2</v>
      </c>
      <c r="N1920" s="4">
        <f t="shared" si="88"/>
        <v>142.62</v>
      </c>
      <c r="O1920" s="4">
        <f t="shared" si="89"/>
        <v>-0.15</v>
      </c>
      <c r="P1920" s="3" t="s">
        <v>19</v>
      </c>
    </row>
    <row r="1921" spans="1:16" x14ac:dyDescent="0.35">
      <c r="A1921" s="3" t="s">
        <v>35</v>
      </c>
      <c r="B1921" s="3" t="str">
        <f>INDEX(State_Region!$B$2:$B$26,MATCH(TRIM(A1921),State_Region!$A$2:$A$26,0))</f>
        <v>North</v>
      </c>
      <c r="C1921" s="3" t="s">
        <v>36</v>
      </c>
      <c r="D1921" s="3" t="str">
        <f>INDEX(Port_Type!$B$2:$B$227,MATCH(TRIM(C1921),Port_Type!$A$2:$A$227,0))</f>
        <v>Inland ICD / CFS</v>
      </c>
      <c r="E1921" s="3" t="s">
        <v>51</v>
      </c>
      <c r="F1921" s="3" t="str">
        <f>INDEX(Product_Category!$B$2:$B$45,MATCH(TRIM(E1921),Product_Category!$A$2:$A$45,0))</f>
        <v>Nuts &amp; Oilseeds</v>
      </c>
      <c r="G1921" s="4">
        <v>0</v>
      </c>
      <c r="H1921" s="4">
        <v>0</v>
      </c>
      <c r="I1921" s="4">
        <v>0</v>
      </c>
      <c r="J1921" s="4">
        <v>1.08</v>
      </c>
      <c r="K1921" s="4">
        <v>0.11</v>
      </c>
      <c r="L1921" s="4">
        <v>0.2</v>
      </c>
      <c r="M1921" s="4">
        <f t="shared" si="87"/>
        <v>0</v>
      </c>
      <c r="N1921" s="4">
        <f t="shared" si="88"/>
        <v>-0.97000000000000008</v>
      </c>
      <c r="O1921" s="4">
        <f t="shared" si="89"/>
        <v>0</v>
      </c>
      <c r="P1921" s="3" t="s">
        <v>19</v>
      </c>
    </row>
    <row r="1922" spans="1:16" x14ac:dyDescent="0.35">
      <c r="A1922" s="3" t="s">
        <v>77</v>
      </c>
      <c r="B1922" s="3" t="str">
        <f>INDEX(State_Region!$B$2:$B$26,MATCH(TRIM(A1922),State_Region!$A$2:$A$26,0))</f>
        <v>South</v>
      </c>
      <c r="C1922" s="3" t="s">
        <v>216</v>
      </c>
      <c r="D1922" s="3" t="str">
        <f>INDEX(Port_Type!$B$2:$B$227,MATCH(TRIM(C1922),Port_Type!$A$2:$A$227,0))</f>
        <v>Air Cargo</v>
      </c>
      <c r="E1922" s="3" t="s">
        <v>53</v>
      </c>
      <c r="F1922" s="3" t="str">
        <f>INDEX(Product_Category!$B$2:$B$45,MATCH(TRIM(E1922),Product_Category!$A$2:$A$45,0))</f>
        <v>Processed Foods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  <c r="L1922" s="4">
        <v>0.1</v>
      </c>
      <c r="M1922" s="4">
        <f t="shared" ref="M1922:M1985" si="90">H1922-G1922</f>
        <v>0</v>
      </c>
      <c r="N1922" s="4">
        <f t="shared" ref="N1922:N1985" si="91">K1922-J1922</f>
        <v>0</v>
      </c>
      <c r="O1922" s="4">
        <f t="shared" ref="O1922:O1985" si="92">I1922-H1922</f>
        <v>0</v>
      </c>
      <c r="P1922" s="3" t="s">
        <v>19</v>
      </c>
    </row>
    <row r="1923" spans="1:16" x14ac:dyDescent="0.35">
      <c r="A1923" s="3" t="s">
        <v>57</v>
      </c>
      <c r="B1923" s="3" t="str">
        <f>INDEX(State_Region!$B$2:$B$26,MATCH(TRIM(A1923),State_Region!$A$2:$A$26,0))</f>
        <v>Central</v>
      </c>
      <c r="C1923" s="3" t="s">
        <v>161</v>
      </c>
      <c r="D1923" s="3" t="str">
        <f>INDEX(Port_Type!$B$2:$B$227,MATCH(TRIM(C1923),Port_Type!$A$2:$A$227,0))</f>
        <v>Inland ICD / CFS</v>
      </c>
      <c r="E1923" s="3" t="s">
        <v>27</v>
      </c>
      <c r="F1923" s="3" t="str">
        <f>INDEX(Product_Category!$B$2:$B$45,MATCH(TRIM(E1923),Product_Category!$A$2:$A$45,0))</f>
        <v>Cereals &amp; Grains</v>
      </c>
      <c r="G1923" s="4">
        <v>0</v>
      </c>
      <c r="H1923" s="4">
        <v>0</v>
      </c>
      <c r="I1923" s="4">
        <v>0</v>
      </c>
      <c r="J1923" s="4">
        <v>1.95</v>
      </c>
      <c r="K1923" s="4">
        <v>2.41</v>
      </c>
      <c r="L1923" s="4">
        <v>1.34</v>
      </c>
      <c r="M1923" s="4">
        <f t="shared" si="90"/>
        <v>0</v>
      </c>
      <c r="N1923" s="4">
        <f t="shared" si="91"/>
        <v>0.46000000000000019</v>
      </c>
      <c r="O1923" s="4">
        <f t="shared" si="92"/>
        <v>0</v>
      </c>
      <c r="P1923" s="3" t="s">
        <v>19</v>
      </c>
    </row>
    <row r="1924" spans="1:16" x14ac:dyDescent="0.35">
      <c r="A1924" s="3" t="s">
        <v>57</v>
      </c>
      <c r="B1924" s="3" t="str">
        <f>INDEX(State_Region!$B$2:$B$26,MATCH(TRIM(A1924),State_Region!$A$2:$A$26,0))</f>
        <v>Central</v>
      </c>
      <c r="C1924" s="3" t="s">
        <v>161</v>
      </c>
      <c r="D1924" s="3" t="str">
        <f>INDEX(Port_Type!$B$2:$B$227,MATCH(TRIM(C1924),Port_Type!$A$2:$A$227,0))</f>
        <v>Inland ICD / CFS</v>
      </c>
      <c r="E1924" s="3" t="s">
        <v>126</v>
      </c>
      <c r="F1924" s="3" t="str">
        <f>INDEX(Product_Category!$B$2:$B$45,MATCH(TRIM(E1924),Product_Category!$A$2:$A$45,0))</f>
        <v>Cereals &amp; Grains</v>
      </c>
      <c r="G1924" s="4">
        <v>0</v>
      </c>
      <c r="H1924" s="4">
        <v>0</v>
      </c>
      <c r="I1924" s="4">
        <v>0</v>
      </c>
      <c r="J1924" s="4">
        <v>0</v>
      </c>
      <c r="K1924" s="4">
        <v>0</v>
      </c>
      <c r="L1924" s="4">
        <v>0.42</v>
      </c>
      <c r="M1924" s="4">
        <f t="shared" si="90"/>
        <v>0</v>
      </c>
      <c r="N1924" s="4">
        <f t="shared" si="91"/>
        <v>0</v>
      </c>
      <c r="O1924" s="4">
        <f t="shared" si="92"/>
        <v>0</v>
      </c>
      <c r="P1924" s="3" t="s">
        <v>19</v>
      </c>
    </row>
    <row r="1925" spans="1:16" x14ac:dyDescent="0.35">
      <c r="A1925" s="3" t="s">
        <v>23</v>
      </c>
      <c r="B1925" s="3" t="str">
        <f>INDEX(State_Region!$B$2:$B$26,MATCH(TRIM(A1925),State_Region!$A$2:$A$26,0))</f>
        <v>North</v>
      </c>
      <c r="C1925" s="3" t="s">
        <v>136</v>
      </c>
      <c r="D1925" s="3" t="str">
        <f>INDEX(Port_Type!$B$2:$B$227,MATCH(TRIM(C1925),Port_Type!$A$2:$A$227,0))</f>
        <v>Inland ICD / CFS</v>
      </c>
      <c r="E1925" s="3" t="s">
        <v>126</v>
      </c>
      <c r="F1925" s="3" t="str">
        <f>INDEX(Product_Category!$B$2:$B$45,MATCH(TRIM(E1925),Product_Category!$A$2:$A$45,0))</f>
        <v>Cereals &amp; Grains</v>
      </c>
      <c r="G1925" s="4">
        <v>0.01</v>
      </c>
      <c r="H1925" s="4">
        <v>0</v>
      </c>
      <c r="I1925" s="4">
        <v>0</v>
      </c>
      <c r="J1925" s="4">
        <v>5.61</v>
      </c>
      <c r="K1925" s="4">
        <v>0.94</v>
      </c>
      <c r="L1925" s="4">
        <v>0.27</v>
      </c>
      <c r="M1925" s="4">
        <f t="shared" si="90"/>
        <v>-0.01</v>
      </c>
      <c r="N1925" s="4">
        <f t="shared" si="91"/>
        <v>-4.67</v>
      </c>
      <c r="O1925" s="4">
        <f t="shared" si="92"/>
        <v>0</v>
      </c>
      <c r="P1925" s="3" t="s">
        <v>19</v>
      </c>
    </row>
    <row r="1926" spans="1:16" x14ac:dyDescent="0.35">
      <c r="A1926" s="3" t="s">
        <v>16</v>
      </c>
      <c r="B1926" s="3" t="str">
        <f>INDEX(State_Region!$B$2:$B$26,MATCH(TRIM(A1926),State_Region!$A$2:$A$26,0))</f>
        <v>West</v>
      </c>
      <c r="C1926" s="3" t="s">
        <v>109</v>
      </c>
      <c r="D1926" s="3" t="str">
        <f>INDEX(Port_Type!$B$2:$B$227,MATCH(TRIM(C1926),Port_Type!$A$2:$A$227,0))</f>
        <v>SEZ / EPZ</v>
      </c>
      <c r="E1926" s="3" t="s">
        <v>122</v>
      </c>
      <c r="F1926" s="3" t="str">
        <f>INDEX(Product_Category!$B$2:$B$45,MATCH(TRIM(E1926),Product_Category!$A$2:$A$45,0))</f>
        <v>Others</v>
      </c>
      <c r="G1926" s="4">
        <v>0</v>
      </c>
      <c r="H1926" s="4">
        <v>0</v>
      </c>
      <c r="I1926" s="4">
        <v>0</v>
      </c>
      <c r="J1926" s="4">
        <v>0.1</v>
      </c>
      <c r="K1926" s="4">
        <v>0.12</v>
      </c>
      <c r="L1926" s="4">
        <v>7.0000000000000007E-2</v>
      </c>
      <c r="M1926" s="4">
        <f t="shared" si="90"/>
        <v>0</v>
      </c>
      <c r="N1926" s="4">
        <f t="shared" si="91"/>
        <v>1.999999999999999E-2</v>
      </c>
      <c r="O1926" s="4">
        <f t="shared" si="92"/>
        <v>0</v>
      </c>
      <c r="P1926" s="3" t="s">
        <v>19</v>
      </c>
    </row>
    <row r="1927" spans="1:16" x14ac:dyDescent="0.35">
      <c r="A1927" s="3" t="s">
        <v>57</v>
      </c>
      <c r="B1927" s="3" t="str">
        <f>INDEX(State_Region!$B$2:$B$26,MATCH(TRIM(A1927),State_Region!$A$2:$A$26,0))</f>
        <v>Central</v>
      </c>
      <c r="C1927" s="3" t="s">
        <v>162</v>
      </c>
      <c r="D1927" s="3" t="str">
        <f>INDEX(Port_Type!$B$2:$B$227,MATCH(TRIM(C1927),Port_Type!$A$2:$A$227,0))</f>
        <v>Inland ICD / CFS</v>
      </c>
      <c r="E1927" s="3" t="s">
        <v>42</v>
      </c>
      <c r="F1927" s="3" t="str">
        <f>INDEX(Product_Category!$B$2:$B$45,MATCH(TRIM(E1927),Product_Category!$A$2:$A$45,0))</f>
        <v>Processed Foods</v>
      </c>
      <c r="G1927" s="4">
        <v>0.09</v>
      </c>
      <c r="H1927" s="4">
        <v>0.05</v>
      </c>
      <c r="I1927" s="4">
        <v>0</v>
      </c>
      <c r="J1927" s="4">
        <v>38.29</v>
      </c>
      <c r="K1927" s="4">
        <v>14.6</v>
      </c>
      <c r="L1927" s="4">
        <v>0.22</v>
      </c>
      <c r="M1927" s="4">
        <f t="shared" si="90"/>
        <v>-3.9999999999999994E-2</v>
      </c>
      <c r="N1927" s="4">
        <f t="shared" si="91"/>
        <v>-23.689999999999998</v>
      </c>
      <c r="O1927" s="4">
        <f t="shared" si="92"/>
        <v>-0.05</v>
      </c>
      <c r="P1927" s="3" t="s">
        <v>19</v>
      </c>
    </row>
    <row r="1928" spans="1:16" x14ac:dyDescent="0.35">
      <c r="A1928" s="3" t="s">
        <v>40</v>
      </c>
      <c r="B1928" s="3" t="str">
        <f>INDEX(State_Region!$B$2:$B$26,MATCH(TRIM(A1928),State_Region!$A$2:$A$26,0))</f>
        <v>South</v>
      </c>
      <c r="C1928" s="3" t="s">
        <v>194</v>
      </c>
      <c r="D1928" s="3" t="str">
        <f>INDEX(Port_Type!$B$2:$B$227,MATCH(TRIM(C1928),Port_Type!$A$2:$A$227,0))</f>
        <v>Air Cargo</v>
      </c>
      <c r="E1928" s="3" t="s">
        <v>54</v>
      </c>
      <c r="F1928" s="3" t="str">
        <f>INDEX(Product_Category!$B$2:$B$45,MATCH(TRIM(E1928),Product_Category!$A$2:$A$45,0))</f>
        <v>Processed Foods</v>
      </c>
      <c r="G1928" s="4">
        <v>0</v>
      </c>
      <c r="H1928" s="4">
        <v>0</v>
      </c>
      <c r="I1928" s="4">
        <v>0</v>
      </c>
      <c r="J1928" s="4">
        <v>2.4500000000000002</v>
      </c>
      <c r="K1928" s="4">
        <v>3.37</v>
      </c>
      <c r="L1928" s="4">
        <v>1</v>
      </c>
      <c r="M1928" s="4">
        <f t="shared" si="90"/>
        <v>0</v>
      </c>
      <c r="N1928" s="4">
        <f t="shared" si="91"/>
        <v>0.91999999999999993</v>
      </c>
      <c r="O1928" s="4">
        <f t="shared" si="92"/>
        <v>0</v>
      </c>
      <c r="P1928" s="3" t="s">
        <v>19</v>
      </c>
    </row>
    <row r="1929" spans="1:16" x14ac:dyDescent="0.35">
      <c r="A1929" s="3" t="s">
        <v>77</v>
      </c>
      <c r="B1929" s="3" t="str">
        <f>INDEX(State_Region!$B$2:$B$26,MATCH(TRIM(A1929),State_Region!$A$2:$A$26,0))</f>
        <v>South</v>
      </c>
      <c r="C1929" s="3" t="s">
        <v>168</v>
      </c>
      <c r="D1929" s="3" t="str">
        <f>INDEX(Port_Type!$B$2:$B$227,MATCH(TRIM(C1929),Port_Type!$A$2:$A$227,0))</f>
        <v>Air Cargo</v>
      </c>
      <c r="E1929" s="3" t="s">
        <v>42</v>
      </c>
      <c r="F1929" s="3" t="str">
        <f>INDEX(Product_Category!$B$2:$B$45,MATCH(TRIM(E1929),Product_Category!$A$2:$A$45,0))</f>
        <v>Processed Foods</v>
      </c>
      <c r="G1929" s="4">
        <v>0.02</v>
      </c>
      <c r="H1929" s="4">
        <v>0</v>
      </c>
      <c r="I1929" s="4">
        <v>0</v>
      </c>
      <c r="J1929" s="4">
        <v>12.15</v>
      </c>
      <c r="K1929" s="4">
        <v>1.54</v>
      </c>
      <c r="L1929" s="4">
        <v>0.14000000000000001</v>
      </c>
      <c r="M1929" s="4">
        <f t="shared" si="90"/>
        <v>-0.02</v>
      </c>
      <c r="N1929" s="4">
        <f t="shared" si="91"/>
        <v>-10.61</v>
      </c>
      <c r="O1929" s="4">
        <f t="shared" si="92"/>
        <v>0</v>
      </c>
      <c r="P1929" s="3" t="s">
        <v>19</v>
      </c>
    </row>
    <row r="1930" spans="1:16" x14ac:dyDescent="0.35">
      <c r="A1930" s="3" t="s">
        <v>20</v>
      </c>
      <c r="B1930" s="3" t="str">
        <f>INDEX(State_Region!$B$2:$B$26,MATCH(TRIM(A1930),State_Region!$A$2:$A$26,0))</f>
        <v>West</v>
      </c>
      <c r="C1930" s="3" t="s">
        <v>173</v>
      </c>
      <c r="D1930" s="3" t="str">
        <f>INDEX(Port_Type!$B$2:$B$227,MATCH(TRIM(C1930),Port_Type!$A$2:$A$227,0))</f>
        <v>Inland ICD / CFS</v>
      </c>
      <c r="E1930" s="3" t="s">
        <v>69</v>
      </c>
      <c r="F1930" s="3" t="str">
        <f>INDEX(Product_Category!$B$2:$B$45,MATCH(TRIM(E1930),Product_Category!$A$2:$A$45,0))</f>
        <v>Others</v>
      </c>
      <c r="G1930" s="4">
        <v>0</v>
      </c>
      <c r="H1930" s="4">
        <v>0</v>
      </c>
      <c r="I1930" s="4">
        <v>0</v>
      </c>
      <c r="J1930" s="4">
        <v>0.16</v>
      </c>
      <c r="K1930" s="4">
        <v>0.18</v>
      </c>
      <c r="L1930" s="4">
        <v>0.2</v>
      </c>
      <c r="M1930" s="4">
        <f t="shared" si="90"/>
        <v>0</v>
      </c>
      <c r="N1930" s="4">
        <f t="shared" si="91"/>
        <v>1.999999999999999E-2</v>
      </c>
      <c r="O1930" s="4">
        <f t="shared" si="92"/>
        <v>0</v>
      </c>
      <c r="P1930" s="3" t="s">
        <v>19</v>
      </c>
    </row>
    <row r="1931" spans="1:16" x14ac:dyDescent="0.35">
      <c r="A1931" s="3" t="s">
        <v>49</v>
      </c>
      <c r="B1931" s="3" t="str">
        <f>INDEX(State_Region!$B$2:$B$26,MATCH(TRIM(A1931),State_Region!$A$2:$A$26,0))</f>
        <v>North</v>
      </c>
      <c r="C1931" s="3" t="s">
        <v>176</v>
      </c>
      <c r="D1931" s="3" t="str">
        <f>INDEX(Port_Type!$B$2:$B$227,MATCH(TRIM(C1931),Port_Type!$A$2:$A$227,0))</f>
        <v>Inland ICD / CFS</v>
      </c>
      <c r="E1931" s="3" t="s">
        <v>170</v>
      </c>
      <c r="F1931" s="3" t="str">
        <f>INDEX(Product_Category!$B$2:$B$45,MATCH(TRIM(E1931),Product_Category!$A$2:$A$45,0))</f>
        <v>Others</v>
      </c>
      <c r="G1931" s="4">
        <v>0.01</v>
      </c>
      <c r="H1931" s="4">
        <v>0</v>
      </c>
      <c r="I1931" s="4">
        <v>0</v>
      </c>
      <c r="J1931" s="4">
        <v>0.66</v>
      </c>
      <c r="K1931" s="4">
        <v>0.23</v>
      </c>
      <c r="L1931" s="4">
        <v>0.1</v>
      </c>
      <c r="M1931" s="4">
        <f t="shared" si="90"/>
        <v>-0.01</v>
      </c>
      <c r="N1931" s="4">
        <f t="shared" si="91"/>
        <v>-0.43000000000000005</v>
      </c>
      <c r="O1931" s="4">
        <f t="shared" si="92"/>
        <v>0</v>
      </c>
      <c r="P1931" s="3" t="s">
        <v>19</v>
      </c>
    </row>
    <row r="1932" spans="1:16" x14ac:dyDescent="0.35">
      <c r="A1932" s="3" t="s">
        <v>40</v>
      </c>
      <c r="B1932" s="3" t="str">
        <f>INDEX(State_Region!$B$2:$B$26,MATCH(TRIM(A1932),State_Region!$A$2:$A$26,0))</f>
        <v>South</v>
      </c>
      <c r="C1932" s="3" t="s">
        <v>183</v>
      </c>
      <c r="D1932" s="3" t="str">
        <f>INDEX(Port_Type!$B$2:$B$227,MATCH(TRIM(C1932),Port_Type!$A$2:$A$227,0))</f>
        <v>Inland ICD / CFS</v>
      </c>
      <c r="E1932" s="3" t="s">
        <v>81</v>
      </c>
      <c r="F1932" s="3" t="str">
        <f>INDEX(Product_Category!$B$2:$B$45,MATCH(TRIM(E1932),Product_Category!$A$2:$A$45,0))</f>
        <v>Processed Foods</v>
      </c>
      <c r="G1932" s="4">
        <v>0</v>
      </c>
      <c r="H1932" s="4">
        <v>0</v>
      </c>
      <c r="I1932" s="4">
        <v>0</v>
      </c>
      <c r="J1932" s="4">
        <v>3.34</v>
      </c>
      <c r="K1932" s="4">
        <v>6.68</v>
      </c>
      <c r="L1932" s="4">
        <v>0.76</v>
      </c>
      <c r="M1932" s="4">
        <f t="shared" si="90"/>
        <v>0</v>
      </c>
      <c r="N1932" s="4">
        <f t="shared" si="91"/>
        <v>3.34</v>
      </c>
      <c r="O1932" s="4">
        <f t="shared" si="92"/>
        <v>0</v>
      </c>
      <c r="P1932" s="3" t="s">
        <v>19</v>
      </c>
    </row>
    <row r="1933" spans="1:16" x14ac:dyDescent="0.35">
      <c r="A1933" s="3" t="s">
        <v>77</v>
      </c>
      <c r="B1933" s="3" t="str">
        <f>INDEX(State_Region!$B$2:$B$26,MATCH(TRIM(A1933),State_Region!$A$2:$A$26,0))</f>
        <v>South</v>
      </c>
      <c r="C1933" s="3" t="s">
        <v>168</v>
      </c>
      <c r="D1933" s="3" t="str">
        <f>INDEX(Port_Type!$B$2:$B$227,MATCH(TRIM(C1933),Port_Type!$A$2:$A$227,0))</f>
        <v>Air Cargo</v>
      </c>
      <c r="E1933" s="3" t="s">
        <v>118</v>
      </c>
      <c r="F1933" s="3" t="str">
        <f>INDEX(Product_Category!$B$2:$B$45,MATCH(TRIM(E1933),Product_Category!$A$2:$A$45,0))</f>
        <v>Dairy, Poultry &amp; Honey</v>
      </c>
      <c r="G1933" s="4">
        <v>0.01</v>
      </c>
      <c r="H1933" s="4">
        <v>0.02</v>
      </c>
      <c r="I1933" s="4">
        <v>0</v>
      </c>
      <c r="J1933" s="4">
        <v>1.48</v>
      </c>
      <c r="K1933" s="4">
        <v>1.46</v>
      </c>
      <c r="L1933" s="4">
        <v>0.17</v>
      </c>
      <c r="M1933" s="4">
        <f t="shared" si="90"/>
        <v>0.01</v>
      </c>
      <c r="N1933" s="4">
        <f t="shared" si="91"/>
        <v>-2.0000000000000018E-2</v>
      </c>
      <c r="O1933" s="4">
        <f t="shared" si="92"/>
        <v>-0.02</v>
      </c>
      <c r="P1933" s="3" t="s">
        <v>19</v>
      </c>
    </row>
    <row r="1934" spans="1:16" x14ac:dyDescent="0.35">
      <c r="A1934" s="3" t="s">
        <v>251</v>
      </c>
      <c r="B1934" s="3" t="str">
        <f>INDEX(State_Region!$B$2:$B$26,MATCH(TRIM(A1934),State_Region!$A$2:$A$26,0))</f>
        <v>South</v>
      </c>
      <c r="C1934" s="3" t="s">
        <v>252</v>
      </c>
      <c r="D1934" s="3" t="str">
        <f>INDEX(Port_Type!$B$2:$B$227,MATCH(TRIM(C1934),Port_Type!$A$2:$A$227,0))</f>
        <v>Inland ICD / CFS</v>
      </c>
      <c r="E1934" s="3" t="s">
        <v>33</v>
      </c>
      <c r="F1934" s="3" t="str">
        <f>INDEX(Product_Category!$B$2:$B$45,MATCH(TRIM(E1934),Product_Category!$A$2:$A$45,0))</f>
        <v>Pulses</v>
      </c>
      <c r="G1934" s="4">
        <v>0</v>
      </c>
      <c r="H1934" s="4">
        <v>0.01</v>
      </c>
      <c r="I1934" s="4">
        <v>0</v>
      </c>
      <c r="J1934" s="4">
        <v>0</v>
      </c>
      <c r="K1934" s="4">
        <v>2.8</v>
      </c>
      <c r="L1934" s="4">
        <v>0.5</v>
      </c>
      <c r="M1934" s="4">
        <f t="shared" si="90"/>
        <v>0.01</v>
      </c>
      <c r="N1934" s="4">
        <f t="shared" si="91"/>
        <v>2.8</v>
      </c>
      <c r="O1934" s="4">
        <f t="shared" si="92"/>
        <v>-0.01</v>
      </c>
      <c r="P1934" s="3" t="s">
        <v>19</v>
      </c>
    </row>
    <row r="1935" spans="1:16" x14ac:dyDescent="0.35">
      <c r="A1935" s="3" t="s">
        <v>20</v>
      </c>
      <c r="B1935" s="3" t="str">
        <f>INDEX(State_Region!$B$2:$B$26,MATCH(TRIM(A1935),State_Region!$A$2:$A$26,0))</f>
        <v>West</v>
      </c>
      <c r="C1935" s="3" t="s">
        <v>173</v>
      </c>
      <c r="D1935" s="3" t="str">
        <f>INDEX(Port_Type!$B$2:$B$227,MATCH(TRIM(C1935),Port_Type!$A$2:$A$227,0))</f>
        <v>Inland ICD / CFS</v>
      </c>
      <c r="E1935" s="3" t="s">
        <v>144</v>
      </c>
      <c r="F1935" s="3" t="str">
        <f>INDEX(Product_Category!$B$2:$B$45,MATCH(TRIM(E1935),Product_Category!$A$2:$A$45,0))</f>
        <v>Cereals &amp; Grains</v>
      </c>
      <c r="G1935" s="4">
        <v>0</v>
      </c>
      <c r="H1935" s="4">
        <v>0</v>
      </c>
      <c r="I1935" s="4">
        <v>0</v>
      </c>
      <c r="J1935" s="4">
        <v>1.2</v>
      </c>
      <c r="K1935" s="4">
        <v>2.63</v>
      </c>
      <c r="L1935" s="4">
        <v>0.56999999999999995</v>
      </c>
      <c r="M1935" s="4">
        <f t="shared" si="90"/>
        <v>0</v>
      </c>
      <c r="N1935" s="4">
        <f t="shared" si="91"/>
        <v>1.43</v>
      </c>
      <c r="O1935" s="4">
        <f t="shared" si="92"/>
        <v>0</v>
      </c>
      <c r="P1935" s="3" t="s">
        <v>19</v>
      </c>
    </row>
    <row r="1936" spans="1:16" x14ac:dyDescent="0.35">
      <c r="A1936" s="3" t="s">
        <v>16</v>
      </c>
      <c r="B1936" s="3" t="str">
        <f>INDEX(State_Region!$B$2:$B$26,MATCH(TRIM(A1936),State_Region!$A$2:$A$26,0))</f>
        <v>West</v>
      </c>
      <c r="C1936" s="3" t="s">
        <v>115</v>
      </c>
      <c r="D1936" s="3" t="str">
        <f>INDEX(Port_Type!$B$2:$B$227,MATCH(TRIM(C1936),Port_Type!$A$2:$A$227,0))</f>
        <v>Inland ICD / CFS</v>
      </c>
      <c r="E1936" s="3" t="s">
        <v>45</v>
      </c>
      <c r="F1936" s="3" t="str">
        <f>INDEX(Product_Category!$B$2:$B$45,MATCH(TRIM(E1936),Product_Category!$A$2:$A$45,0))</f>
        <v>Fresh Fruits &amp; Vegetables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0.1</v>
      </c>
      <c r="M1936" s="4">
        <f t="shared" si="90"/>
        <v>0</v>
      </c>
      <c r="N1936" s="4">
        <f t="shared" si="91"/>
        <v>0</v>
      </c>
      <c r="O1936" s="4">
        <f t="shared" si="92"/>
        <v>0</v>
      </c>
      <c r="P1936" s="3" t="s">
        <v>19</v>
      </c>
    </row>
    <row r="1937" spans="1:16" x14ac:dyDescent="0.35">
      <c r="A1937" s="3" t="s">
        <v>20</v>
      </c>
      <c r="B1937" s="3" t="str">
        <f>INDEX(State_Region!$B$2:$B$26,MATCH(TRIM(A1937),State_Region!$A$2:$A$26,0))</f>
        <v>West</v>
      </c>
      <c r="C1937" s="3" t="s">
        <v>145</v>
      </c>
      <c r="D1937" s="3" t="str">
        <f>INDEX(Port_Type!$B$2:$B$227,MATCH(TRIM(C1937),Port_Type!$A$2:$A$227,0))</f>
        <v>Inland ICD / CFS</v>
      </c>
      <c r="E1937" s="3" t="s">
        <v>84</v>
      </c>
      <c r="F1937" s="3" t="str">
        <f>INDEX(Product_Category!$B$2:$B$45,MATCH(TRIM(E1937),Product_Category!$A$2:$A$45,0))</f>
        <v>Nuts &amp; Oilseeds</v>
      </c>
      <c r="G1937" s="4">
        <v>0</v>
      </c>
      <c r="H1937" s="4">
        <v>0</v>
      </c>
      <c r="I1937" s="4">
        <v>0</v>
      </c>
      <c r="J1937" s="4">
        <v>0</v>
      </c>
      <c r="K1937" s="4">
        <v>0.01</v>
      </c>
      <c r="L1937" s="4">
        <v>0.06</v>
      </c>
      <c r="M1937" s="4">
        <f t="shared" si="90"/>
        <v>0</v>
      </c>
      <c r="N1937" s="4">
        <f t="shared" si="91"/>
        <v>0.01</v>
      </c>
      <c r="O1937" s="4">
        <f t="shared" si="92"/>
        <v>0</v>
      </c>
      <c r="P1937" s="3" t="s">
        <v>19</v>
      </c>
    </row>
    <row r="1938" spans="1:16" x14ac:dyDescent="0.35">
      <c r="A1938" s="3" t="s">
        <v>20</v>
      </c>
      <c r="B1938" s="3" t="str">
        <f>INDEX(State_Region!$B$2:$B$26,MATCH(TRIM(A1938),State_Region!$A$2:$A$26,0))</f>
        <v>West</v>
      </c>
      <c r="C1938" s="3" t="s">
        <v>134</v>
      </c>
      <c r="D1938" s="3" t="str">
        <f>INDEX(Port_Type!$B$2:$B$227,MATCH(TRIM(C1938),Port_Type!$A$2:$A$227,0))</f>
        <v>Inland ICD / CFS</v>
      </c>
      <c r="E1938" s="3" t="s">
        <v>65</v>
      </c>
      <c r="F1938" s="3" t="str">
        <f>INDEX(Product_Category!$B$2:$B$45,MATCH(TRIM(E1938),Product_Category!$A$2:$A$45,0))</f>
        <v>Cereals &amp; Grains</v>
      </c>
      <c r="G1938" s="4">
        <v>0</v>
      </c>
      <c r="H1938" s="4">
        <v>0</v>
      </c>
      <c r="I1938" s="4">
        <v>0</v>
      </c>
      <c r="J1938" s="4">
        <v>0</v>
      </c>
      <c r="K1938" s="4">
        <v>0.17</v>
      </c>
      <c r="L1938" s="4">
        <v>0.2</v>
      </c>
      <c r="M1938" s="4">
        <f t="shared" si="90"/>
        <v>0</v>
      </c>
      <c r="N1938" s="4">
        <f t="shared" si="91"/>
        <v>0.17</v>
      </c>
      <c r="O1938" s="4">
        <f t="shared" si="92"/>
        <v>0</v>
      </c>
      <c r="P1938" s="3" t="s">
        <v>19</v>
      </c>
    </row>
    <row r="1939" spans="1:16" x14ac:dyDescent="0.35">
      <c r="A1939" s="3" t="s">
        <v>251</v>
      </c>
      <c r="B1939" s="3" t="str">
        <f>INDEX(State_Region!$B$2:$B$26,MATCH(TRIM(A1939),State_Region!$A$2:$A$26,0))</f>
        <v>South</v>
      </c>
      <c r="C1939" s="3" t="s">
        <v>252</v>
      </c>
      <c r="D1939" s="3" t="str">
        <f>INDEX(Port_Type!$B$2:$B$227,MATCH(TRIM(C1939),Port_Type!$A$2:$A$227,0))</f>
        <v>Inland ICD / CFS</v>
      </c>
      <c r="E1939" s="3" t="s">
        <v>150</v>
      </c>
      <c r="F1939" s="3" t="str">
        <f>INDEX(Product_Category!$B$2:$B$45,MATCH(TRIM(E1939),Product_Category!$A$2:$A$45,0))</f>
        <v>Nuts &amp; Oilseeds</v>
      </c>
      <c r="G1939" s="4">
        <v>0</v>
      </c>
      <c r="H1939" s="4">
        <v>0.01</v>
      </c>
      <c r="I1939" s="4">
        <v>0</v>
      </c>
      <c r="J1939" s="4">
        <v>0</v>
      </c>
      <c r="K1939" s="4">
        <v>0.43</v>
      </c>
      <c r="L1939" s="4">
        <v>0.04</v>
      </c>
      <c r="M1939" s="4">
        <f t="shared" si="90"/>
        <v>0.01</v>
      </c>
      <c r="N1939" s="4">
        <f t="shared" si="91"/>
        <v>0.43</v>
      </c>
      <c r="O1939" s="4">
        <f t="shared" si="92"/>
        <v>-0.01</v>
      </c>
      <c r="P1939" s="3" t="s">
        <v>19</v>
      </c>
    </row>
    <row r="1940" spans="1:16" x14ac:dyDescent="0.35">
      <c r="A1940" s="3" t="s">
        <v>23</v>
      </c>
      <c r="B1940" s="3" t="str">
        <f>INDEX(State_Region!$B$2:$B$26,MATCH(TRIM(A1940),State_Region!$A$2:$A$26,0))</f>
        <v>North</v>
      </c>
      <c r="C1940" s="3" t="s">
        <v>136</v>
      </c>
      <c r="D1940" s="3" t="str">
        <f>INDEX(Port_Type!$B$2:$B$227,MATCH(TRIM(C1940),Port_Type!$A$2:$A$227,0))</f>
        <v>Inland ICD / CFS</v>
      </c>
      <c r="E1940" s="3" t="s">
        <v>42</v>
      </c>
      <c r="F1940" s="3" t="str">
        <f>INDEX(Product_Category!$B$2:$B$45,MATCH(TRIM(E1940),Product_Category!$A$2:$A$45,0))</f>
        <v>Processed Foods</v>
      </c>
      <c r="G1940" s="4">
        <v>0.01</v>
      </c>
      <c r="H1940" s="4">
        <v>0.01</v>
      </c>
      <c r="I1940" s="4">
        <v>0</v>
      </c>
      <c r="J1940" s="4">
        <v>4.5199999999999996</v>
      </c>
      <c r="K1940" s="4">
        <v>5.82</v>
      </c>
      <c r="L1940" s="4">
        <v>0.12</v>
      </c>
      <c r="M1940" s="4">
        <f t="shared" si="90"/>
        <v>0</v>
      </c>
      <c r="N1940" s="4">
        <f t="shared" si="91"/>
        <v>1.3000000000000007</v>
      </c>
      <c r="O1940" s="4">
        <f t="shared" si="92"/>
        <v>-0.01</v>
      </c>
      <c r="P1940" s="3" t="s">
        <v>19</v>
      </c>
    </row>
    <row r="1941" spans="1:16" x14ac:dyDescent="0.35">
      <c r="A1941" s="3" t="s">
        <v>66</v>
      </c>
      <c r="B1941" s="3" t="str">
        <f>INDEX(State_Region!$B$2:$B$26,MATCH(TRIM(A1941),State_Region!$A$2:$A$26,0))</f>
        <v>North</v>
      </c>
      <c r="C1941" s="3" t="s">
        <v>100</v>
      </c>
      <c r="D1941" s="3" t="str">
        <f>INDEX(Port_Type!$B$2:$B$227,MATCH(TRIM(C1941),Port_Type!$A$2:$A$227,0))</f>
        <v>Inland ICD / CFS</v>
      </c>
      <c r="E1941" s="3" t="s">
        <v>53</v>
      </c>
      <c r="F1941" s="3" t="str">
        <f>INDEX(Product_Category!$B$2:$B$45,MATCH(TRIM(E1941),Product_Category!$A$2:$A$45,0))</f>
        <v>Processed Foods</v>
      </c>
      <c r="G1941" s="4">
        <v>0</v>
      </c>
      <c r="H1941" s="4">
        <v>0.01</v>
      </c>
      <c r="I1941" s="4">
        <v>0</v>
      </c>
      <c r="J1941" s="4">
        <v>0</v>
      </c>
      <c r="K1941" s="4">
        <v>7.87</v>
      </c>
      <c r="L1941" s="4">
        <v>0.08</v>
      </c>
      <c r="M1941" s="4">
        <f t="shared" si="90"/>
        <v>0.01</v>
      </c>
      <c r="N1941" s="4">
        <f t="shared" si="91"/>
        <v>7.87</v>
      </c>
      <c r="O1941" s="4">
        <f t="shared" si="92"/>
        <v>-0.01</v>
      </c>
      <c r="P1941" s="3" t="s">
        <v>19</v>
      </c>
    </row>
    <row r="1942" spans="1:16" x14ac:dyDescent="0.35">
      <c r="A1942" s="3" t="s">
        <v>40</v>
      </c>
      <c r="B1942" s="3" t="str">
        <f>INDEX(State_Region!$B$2:$B$26,MATCH(TRIM(A1942),State_Region!$A$2:$A$26,0))</f>
        <v>South</v>
      </c>
      <c r="C1942" s="3" t="s">
        <v>183</v>
      </c>
      <c r="D1942" s="3" t="str">
        <f>INDEX(Port_Type!$B$2:$B$227,MATCH(TRIM(C1942),Port_Type!$A$2:$A$227,0))</f>
        <v>Inland ICD / CFS</v>
      </c>
      <c r="E1942" s="3" t="s">
        <v>102</v>
      </c>
      <c r="F1942" s="3" t="str">
        <f>INDEX(Product_Category!$B$2:$B$45,MATCH(TRIM(E1942),Product_Category!$A$2:$A$45,0))</f>
        <v>Fresh Fruits &amp; Vegetables</v>
      </c>
      <c r="G1942" s="4">
        <v>0.01</v>
      </c>
      <c r="H1942" s="4">
        <v>0.03</v>
      </c>
      <c r="I1942" s="4">
        <v>0</v>
      </c>
      <c r="J1942" s="4">
        <v>12.5</v>
      </c>
      <c r="K1942" s="4">
        <v>123</v>
      </c>
      <c r="L1942" s="4">
        <v>0.48</v>
      </c>
      <c r="M1942" s="4">
        <f t="shared" si="90"/>
        <v>1.9999999999999997E-2</v>
      </c>
      <c r="N1942" s="4">
        <f t="shared" si="91"/>
        <v>110.5</v>
      </c>
      <c r="O1942" s="4">
        <f t="shared" si="92"/>
        <v>-0.03</v>
      </c>
      <c r="P1942" s="3" t="s">
        <v>19</v>
      </c>
    </row>
    <row r="1943" spans="1:16" x14ac:dyDescent="0.35">
      <c r="A1943" s="3" t="s">
        <v>94</v>
      </c>
      <c r="B1943" s="3" t="str">
        <f>INDEX(State_Region!$B$2:$B$26,MATCH(TRIM(A1943),State_Region!$A$2:$A$26,0))</f>
        <v>East</v>
      </c>
      <c r="C1943" s="3" t="s">
        <v>95</v>
      </c>
      <c r="D1943" s="3" t="str">
        <f>INDEX(Port_Type!$B$2:$B$227,MATCH(TRIM(C1943),Port_Type!$A$2:$A$227,0))</f>
        <v>Land Border / Rail</v>
      </c>
      <c r="E1943" s="3" t="s">
        <v>81</v>
      </c>
      <c r="F1943" s="3" t="str">
        <f>INDEX(Product_Category!$B$2:$B$45,MATCH(TRIM(E1943),Product_Category!$A$2:$A$45,0))</f>
        <v>Processed Foods</v>
      </c>
      <c r="G1943" s="4">
        <v>0.01</v>
      </c>
      <c r="H1943" s="4">
        <v>0.01</v>
      </c>
      <c r="I1943" s="4">
        <v>0</v>
      </c>
      <c r="J1943" s="4">
        <v>4.22</v>
      </c>
      <c r="K1943" s="4">
        <v>20.51</v>
      </c>
      <c r="L1943" s="4">
        <v>0.1</v>
      </c>
      <c r="M1943" s="4">
        <f t="shared" si="90"/>
        <v>0</v>
      </c>
      <c r="N1943" s="4">
        <f t="shared" si="91"/>
        <v>16.290000000000003</v>
      </c>
      <c r="O1943" s="4">
        <f t="shared" si="92"/>
        <v>-0.01</v>
      </c>
      <c r="P1943" s="3" t="s">
        <v>19</v>
      </c>
    </row>
    <row r="1944" spans="1:16" x14ac:dyDescent="0.35">
      <c r="A1944" s="3" t="s">
        <v>49</v>
      </c>
      <c r="B1944" s="3" t="str">
        <f>INDEX(State_Region!$B$2:$B$26,MATCH(TRIM(A1944),State_Region!$A$2:$A$26,0))</f>
        <v>North</v>
      </c>
      <c r="C1944" s="3" t="s">
        <v>70</v>
      </c>
      <c r="D1944" s="3" t="str">
        <f>INDEX(Port_Type!$B$2:$B$227,MATCH(TRIM(C1944),Port_Type!$A$2:$A$227,0))</f>
        <v>Inland ICD / CFS</v>
      </c>
      <c r="E1944" s="3" t="s">
        <v>102</v>
      </c>
      <c r="F1944" s="3" t="str">
        <f>INDEX(Product_Category!$B$2:$B$45,MATCH(TRIM(E1944),Product_Category!$A$2:$A$45,0))</f>
        <v>Fresh Fruits &amp; Vegetables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0.25</v>
      </c>
      <c r="M1944" s="4">
        <f t="shared" si="90"/>
        <v>0</v>
      </c>
      <c r="N1944" s="4">
        <f t="shared" si="91"/>
        <v>0</v>
      </c>
      <c r="O1944" s="4">
        <f t="shared" si="92"/>
        <v>0</v>
      </c>
      <c r="P1944" s="3" t="s">
        <v>19</v>
      </c>
    </row>
    <row r="1945" spans="1:16" x14ac:dyDescent="0.35">
      <c r="A1945" s="3" t="s">
        <v>159</v>
      </c>
      <c r="B1945" s="3" t="str">
        <f>INDEX(State_Region!$B$2:$B$26,MATCH(TRIM(A1945),State_Region!$A$2:$A$26,0))</f>
        <v>North-East</v>
      </c>
      <c r="C1945" s="3" t="s">
        <v>186</v>
      </c>
      <c r="D1945" s="3" t="str">
        <f>INDEX(Port_Type!$B$2:$B$227,MATCH(TRIM(C1945),Port_Type!$A$2:$A$227,0))</f>
        <v>Land Border / Rail</v>
      </c>
      <c r="E1945" s="3" t="s">
        <v>81</v>
      </c>
      <c r="F1945" s="3" t="str">
        <f>INDEX(Product_Category!$B$2:$B$45,MATCH(TRIM(E1945),Product_Category!$A$2:$A$45,0))</f>
        <v>Processed Foods</v>
      </c>
      <c r="G1945" s="4">
        <v>0</v>
      </c>
      <c r="H1945" s="4">
        <v>0</v>
      </c>
      <c r="I1945" s="4">
        <v>0</v>
      </c>
      <c r="J1945" s="4">
        <v>0</v>
      </c>
      <c r="K1945" s="4">
        <v>0</v>
      </c>
      <c r="L1945" s="4">
        <v>3.87</v>
      </c>
      <c r="M1945" s="4">
        <f t="shared" si="90"/>
        <v>0</v>
      </c>
      <c r="N1945" s="4">
        <f t="shared" si="91"/>
        <v>0</v>
      </c>
      <c r="O1945" s="4">
        <f t="shared" si="92"/>
        <v>0</v>
      </c>
      <c r="P1945" s="3" t="s">
        <v>19</v>
      </c>
    </row>
    <row r="1946" spans="1:16" x14ac:dyDescent="0.35">
      <c r="A1946" s="3" t="s">
        <v>20</v>
      </c>
      <c r="B1946" s="3" t="str">
        <f>INDEX(State_Region!$B$2:$B$26,MATCH(TRIM(A1946),State_Region!$A$2:$A$26,0))</f>
        <v>West</v>
      </c>
      <c r="C1946" s="3" t="s">
        <v>56</v>
      </c>
      <c r="D1946" s="3" t="str">
        <f>INDEX(Port_Type!$B$2:$B$227,MATCH(TRIM(C1946),Port_Type!$A$2:$A$227,0))</f>
        <v>Inland ICD / CFS</v>
      </c>
      <c r="E1946" s="3" t="s">
        <v>46</v>
      </c>
      <c r="F1946" s="3" t="str">
        <f>INDEX(Product_Category!$B$2:$B$45,MATCH(TRIM(E1946),Product_Category!$A$2:$A$45,0))</f>
        <v>Others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0.25</v>
      </c>
      <c r="M1946" s="4">
        <f t="shared" si="90"/>
        <v>0</v>
      </c>
      <c r="N1946" s="4">
        <f t="shared" si="91"/>
        <v>0</v>
      </c>
      <c r="O1946" s="4">
        <f t="shared" si="92"/>
        <v>0</v>
      </c>
      <c r="P1946" s="3" t="s">
        <v>19</v>
      </c>
    </row>
    <row r="1947" spans="1:16" x14ac:dyDescent="0.35">
      <c r="A1947" s="3" t="s">
        <v>159</v>
      </c>
      <c r="B1947" s="3" t="str">
        <f>INDEX(State_Region!$B$2:$B$26,MATCH(TRIM(A1947),State_Region!$A$2:$A$26,0))</f>
        <v>North-East</v>
      </c>
      <c r="C1947" s="3" t="s">
        <v>186</v>
      </c>
      <c r="D1947" s="3" t="str">
        <f>INDEX(Port_Type!$B$2:$B$227,MATCH(TRIM(C1947),Port_Type!$A$2:$A$227,0))</f>
        <v>Land Border / Rail</v>
      </c>
      <c r="E1947" s="3" t="s">
        <v>54</v>
      </c>
      <c r="F1947" s="3" t="str">
        <f>INDEX(Product_Category!$B$2:$B$45,MATCH(TRIM(E1947),Product_Category!$A$2:$A$45,0))</f>
        <v>Processed Foods</v>
      </c>
      <c r="G1947" s="4">
        <v>0.01</v>
      </c>
      <c r="H1947" s="4">
        <v>0</v>
      </c>
      <c r="I1947" s="4">
        <v>0</v>
      </c>
      <c r="J1947" s="4">
        <v>5.35</v>
      </c>
      <c r="K1947" s="4">
        <v>0.02</v>
      </c>
      <c r="L1947" s="4">
        <v>0.1</v>
      </c>
      <c r="M1947" s="4">
        <f t="shared" si="90"/>
        <v>-0.01</v>
      </c>
      <c r="N1947" s="4">
        <f t="shared" si="91"/>
        <v>-5.33</v>
      </c>
      <c r="O1947" s="4">
        <f t="shared" si="92"/>
        <v>0</v>
      </c>
      <c r="P1947" s="3" t="s">
        <v>19</v>
      </c>
    </row>
    <row r="1948" spans="1:16" x14ac:dyDescent="0.35">
      <c r="A1948" s="3" t="s">
        <v>25</v>
      </c>
      <c r="B1948" s="3" t="str">
        <f>INDEX(State_Region!$B$2:$B$26,MATCH(TRIM(A1948),State_Region!$A$2:$A$26,0))</f>
        <v>South</v>
      </c>
      <c r="C1948" s="3" t="s">
        <v>29</v>
      </c>
      <c r="D1948" s="3" t="str">
        <f>INDEX(Port_Type!$B$2:$B$227,MATCH(TRIM(C1948),Port_Type!$A$2:$A$227,0))</f>
        <v>Sea Port</v>
      </c>
      <c r="E1948" s="3" t="s">
        <v>45</v>
      </c>
      <c r="F1948" s="3" t="str">
        <f>INDEX(Product_Category!$B$2:$B$45,MATCH(TRIM(E1948),Product_Category!$A$2:$A$45,0))</f>
        <v>Fresh Fruits &amp; Vegetables</v>
      </c>
      <c r="G1948" s="4">
        <v>0</v>
      </c>
      <c r="H1948" s="4">
        <v>0.56000000000000005</v>
      </c>
      <c r="I1948" s="4">
        <v>0</v>
      </c>
      <c r="J1948" s="4">
        <v>0.06</v>
      </c>
      <c r="K1948" s="4">
        <v>660.56</v>
      </c>
      <c r="L1948" s="4">
        <v>0.25</v>
      </c>
      <c r="M1948" s="4">
        <f t="shared" si="90"/>
        <v>0.56000000000000005</v>
      </c>
      <c r="N1948" s="4">
        <f t="shared" si="91"/>
        <v>660.5</v>
      </c>
      <c r="O1948" s="4">
        <f t="shared" si="92"/>
        <v>-0.56000000000000005</v>
      </c>
      <c r="P1948" s="3" t="s">
        <v>19</v>
      </c>
    </row>
    <row r="1949" spans="1:16" x14ac:dyDescent="0.35">
      <c r="A1949" s="3" t="s">
        <v>77</v>
      </c>
      <c r="B1949" s="3" t="str">
        <f>INDEX(State_Region!$B$2:$B$26,MATCH(TRIM(A1949),State_Region!$A$2:$A$26,0))</f>
        <v>South</v>
      </c>
      <c r="C1949" s="3" t="s">
        <v>168</v>
      </c>
      <c r="D1949" s="3" t="str">
        <f>INDEX(Port_Type!$B$2:$B$227,MATCH(TRIM(C1949),Port_Type!$A$2:$A$227,0))</f>
        <v>Air Cargo</v>
      </c>
      <c r="E1949" s="3" t="s">
        <v>84</v>
      </c>
      <c r="F1949" s="3" t="str">
        <f>INDEX(Product_Category!$B$2:$B$45,MATCH(TRIM(E1949),Product_Category!$A$2:$A$45,0))</f>
        <v>Nuts &amp; Oilseeds</v>
      </c>
      <c r="G1949" s="4">
        <v>0</v>
      </c>
      <c r="H1949" s="4">
        <v>0</v>
      </c>
      <c r="I1949" s="4">
        <v>0</v>
      </c>
      <c r="J1949" s="4">
        <v>0.13</v>
      </c>
      <c r="K1949" s="4">
        <v>0.03</v>
      </c>
      <c r="L1949" s="4">
        <v>0.06</v>
      </c>
      <c r="M1949" s="4">
        <f t="shared" si="90"/>
        <v>0</v>
      </c>
      <c r="N1949" s="4">
        <f t="shared" si="91"/>
        <v>-0.1</v>
      </c>
      <c r="O1949" s="4">
        <f t="shared" si="92"/>
        <v>0</v>
      </c>
      <c r="P1949" s="3" t="s">
        <v>19</v>
      </c>
    </row>
    <row r="1950" spans="1:16" x14ac:dyDescent="0.35">
      <c r="A1950" s="3" t="s">
        <v>189</v>
      </c>
      <c r="B1950" s="3" t="str">
        <f>INDEX(State_Region!$B$2:$B$26,MATCH(TRIM(A1950),State_Region!$A$2:$A$26,0))</f>
        <v>North</v>
      </c>
      <c r="C1950" s="3" t="s">
        <v>193</v>
      </c>
      <c r="D1950" s="3" t="str">
        <f>INDEX(Port_Type!$B$2:$B$227,MATCH(TRIM(C1950),Port_Type!$A$2:$A$227,0))</f>
        <v>Inland ICD / CFS</v>
      </c>
      <c r="E1950" s="3" t="s">
        <v>33</v>
      </c>
      <c r="F1950" s="3" t="str">
        <f>INDEX(Product_Category!$B$2:$B$45,MATCH(TRIM(E1950),Product_Category!$A$2:$A$45,0))</f>
        <v>Pulses</v>
      </c>
      <c r="G1950" s="4">
        <v>0.06</v>
      </c>
      <c r="H1950" s="4">
        <v>0.11</v>
      </c>
      <c r="I1950" s="4">
        <v>0</v>
      </c>
      <c r="J1950" s="4">
        <v>26.26</v>
      </c>
      <c r="K1950" s="4">
        <v>56.89</v>
      </c>
      <c r="L1950" s="4">
        <v>0.91</v>
      </c>
      <c r="M1950" s="4">
        <f t="shared" si="90"/>
        <v>0.05</v>
      </c>
      <c r="N1950" s="4">
        <f t="shared" si="91"/>
        <v>30.63</v>
      </c>
      <c r="O1950" s="4">
        <f t="shared" si="92"/>
        <v>-0.11</v>
      </c>
      <c r="P1950" s="3" t="s">
        <v>19</v>
      </c>
    </row>
    <row r="1951" spans="1:16" x14ac:dyDescent="0.35">
      <c r="A1951" s="3" t="s">
        <v>16</v>
      </c>
      <c r="B1951" s="3" t="str">
        <f>INDEX(State_Region!$B$2:$B$26,MATCH(TRIM(A1951),State_Region!$A$2:$A$26,0))</f>
        <v>West</v>
      </c>
      <c r="C1951" s="3" t="s">
        <v>109</v>
      </c>
      <c r="D1951" s="3" t="str">
        <f>INDEX(Port_Type!$B$2:$B$227,MATCH(TRIM(C1951),Port_Type!$A$2:$A$227,0))</f>
        <v>SEZ / EPZ</v>
      </c>
      <c r="E1951" s="3" t="s">
        <v>118</v>
      </c>
      <c r="F1951" s="3" t="str">
        <f>INDEX(Product_Category!$B$2:$B$45,MATCH(TRIM(E1951),Product_Category!$A$2:$A$45,0))</f>
        <v>Dairy, Poultry &amp; Honey</v>
      </c>
      <c r="G1951" s="4">
        <v>0.01</v>
      </c>
      <c r="H1951" s="4">
        <v>0.01</v>
      </c>
      <c r="I1951" s="4">
        <v>0</v>
      </c>
      <c r="J1951" s="4">
        <v>0.94</v>
      </c>
      <c r="K1951" s="4">
        <v>1.58</v>
      </c>
      <c r="L1951" s="4">
        <v>0.24</v>
      </c>
      <c r="M1951" s="4">
        <f t="shared" si="90"/>
        <v>0</v>
      </c>
      <c r="N1951" s="4">
        <f t="shared" si="91"/>
        <v>0.64000000000000012</v>
      </c>
      <c r="O1951" s="4">
        <f t="shared" si="92"/>
        <v>-0.01</v>
      </c>
      <c r="P1951" s="3" t="s">
        <v>19</v>
      </c>
    </row>
    <row r="1952" spans="1:16" x14ac:dyDescent="0.35">
      <c r="A1952" s="3" t="s">
        <v>49</v>
      </c>
      <c r="B1952" s="3" t="str">
        <f>INDEX(State_Region!$B$2:$B$26,MATCH(TRIM(A1952),State_Region!$A$2:$A$26,0))</f>
        <v>North</v>
      </c>
      <c r="C1952" s="3" t="s">
        <v>237</v>
      </c>
      <c r="D1952" s="3" t="str">
        <f>INDEX(Port_Type!$B$2:$B$227,MATCH(TRIM(C1952),Port_Type!$A$2:$A$227,0))</f>
        <v>Air Cargo</v>
      </c>
      <c r="E1952" s="3" t="s">
        <v>48</v>
      </c>
      <c r="F1952" s="3" t="str">
        <f>INDEX(Product_Category!$B$2:$B$45,MATCH(TRIM(E1952),Product_Category!$A$2:$A$45,0))</f>
        <v>Processed Foods</v>
      </c>
      <c r="G1952" s="4">
        <v>0</v>
      </c>
      <c r="H1952" s="4">
        <v>0</v>
      </c>
      <c r="I1952" s="4">
        <v>0</v>
      </c>
      <c r="J1952" s="4">
        <v>0.04</v>
      </c>
      <c r="K1952" s="4">
        <v>0.05</v>
      </c>
      <c r="L1952" s="4">
        <v>0.66</v>
      </c>
      <c r="M1952" s="4">
        <f t="shared" si="90"/>
        <v>0</v>
      </c>
      <c r="N1952" s="4">
        <f t="shared" si="91"/>
        <v>1.0000000000000002E-2</v>
      </c>
      <c r="O1952" s="4">
        <f t="shared" si="92"/>
        <v>0</v>
      </c>
      <c r="P1952" s="3" t="s">
        <v>19</v>
      </c>
    </row>
    <row r="1953" spans="1:16" x14ac:dyDescent="0.35">
      <c r="A1953" s="3" t="s">
        <v>20</v>
      </c>
      <c r="B1953" s="3" t="str">
        <f>INDEX(State_Region!$B$2:$B$26,MATCH(TRIM(A1953),State_Region!$A$2:$A$26,0))</f>
        <v>West</v>
      </c>
      <c r="C1953" s="3" t="s">
        <v>245</v>
      </c>
      <c r="D1953" s="3" t="str">
        <f>INDEX(Port_Type!$B$2:$B$227,MATCH(TRIM(C1953),Port_Type!$A$2:$A$227,0))</f>
        <v>Air Cargo</v>
      </c>
      <c r="E1953" s="3" t="s">
        <v>45</v>
      </c>
      <c r="F1953" s="3" t="str">
        <f>INDEX(Product_Category!$B$2:$B$45,MATCH(TRIM(E1953),Product_Category!$A$2:$A$45,0))</f>
        <v>Fresh Fruits &amp; Vegetables</v>
      </c>
      <c r="G1953" s="4">
        <v>0</v>
      </c>
      <c r="H1953" s="4">
        <v>0</v>
      </c>
      <c r="I1953" s="4">
        <v>0</v>
      </c>
      <c r="J1953" s="4">
        <v>0.21</v>
      </c>
      <c r="K1953" s="4">
        <v>1.02</v>
      </c>
      <c r="L1953" s="4">
        <v>0.47</v>
      </c>
      <c r="M1953" s="4">
        <f t="shared" si="90"/>
        <v>0</v>
      </c>
      <c r="N1953" s="4">
        <f t="shared" si="91"/>
        <v>0.81</v>
      </c>
      <c r="O1953" s="4">
        <f t="shared" si="92"/>
        <v>0</v>
      </c>
      <c r="P1953" s="3" t="s">
        <v>19</v>
      </c>
    </row>
    <row r="1954" spans="1:16" x14ac:dyDescent="0.35">
      <c r="A1954" s="3" t="s">
        <v>20</v>
      </c>
      <c r="B1954" s="3" t="str">
        <f>INDEX(State_Region!$B$2:$B$26,MATCH(TRIM(A1954),State_Region!$A$2:$A$26,0))</f>
        <v>West</v>
      </c>
      <c r="C1954" s="3" t="s">
        <v>173</v>
      </c>
      <c r="D1954" s="3" t="str">
        <f>INDEX(Port_Type!$B$2:$B$227,MATCH(TRIM(C1954),Port_Type!$A$2:$A$227,0))</f>
        <v>Inland ICD / CFS</v>
      </c>
      <c r="E1954" s="3" t="s">
        <v>84</v>
      </c>
      <c r="F1954" s="3" t="str">
        <f>INDEX(Product_Category!$B$2:$B$45,MATCH(TRIM(E1954),Product_Category!$A$2:$A$45,0))</f>
        <v>Nuts &amp; Oilseeds</v>
      </c>
      <c r="G1954" s="4">
        <v>0</v>
      </c>
      <c r="H1954" s="4">
        <v>0</v>
      </c>
      <c r="I1954" s="4">
        <v>0</v>
      </c>
      <c r="J1954" s="4">
        <v>0</v>
      </c>
      <c r="K1954" s="4">
        <v>0.28999999999999998</v>
      </c>
      <c r="L1954" s="4">
        <v>0.2</v>
      </c>
      <c r="M1954" s="4">
        <f t="shared" si="90"/>
        <v>0</v>
      </c>
      <c r="N1954" s="4">
        <f t="shared" si="91"/>
        <v>0.28999999999999998</v>
      </c>
      <c r="O1954" s="4">
        <f t="shared" si="92"/>
        <v>0</v>
      </c>
      <c r="P1954" s="3" t="s">
        <v>19</v>
      </c>
    </row>
    <row r="1955" spans="1:16" x14ac:dyDescent="0.35">
      <c r="A1955" s="3" t="s">
        <v>66</v>
      </c>
      <c r="B1955" s="3" t="str">
        <f>INDEX(State_Region!$B$2:$B$26,MATCH(TRIM(A1955),State_Region!$A$2:$A$26,0))</f>
        <v>North</v>
      </c>
      <c r="C1955" s="3" t="s">
        <v>108</v>
      </c>
      <c r="D1955" s="3" t="str">
        <f>INDEX(Port_Type!$B$2:$B$227,MATCH(TRIM(C1955),Port_Type!$A$2:$A$227,0))</f>
        <v>Inland ICD / CFS</v>
      </c>
      <c r="E1955" s="3" t="s">
        <v>46</v>
      </c>
      <c r="F1955" s="3" t="str">
        <f>INDEX(Product_Category!$B$2:$B$45,MATCH(TRIM(E1955),Product_Category!$A$2:$A$45,0))</f>
        <v>Others</v>
      </c>
      <c r="G1955" s="4">
        <v>0</v>
      </c>
      <c r="H1955" s="4">
        <v>0</v>
      </c>
      <c r="I1955" s="4">
        <v>0</v>
      </c>
      <c r="J1955" s="4">
        <v>0</v>
      </c>
      <c r="K1955" s="4">
        <v>0</v>
      </c>
      <c r="L1955" s="4">
        <v>0.54</v>
      </c>
      <c r="M1955" s="4">
        <f t="shared" si="90"/>
        <v>0</v>
      </c>
      <c r="N1955" s="4">
        <f t="shared" si="91"/>
        <v>0</v>
      </c>
      <c r="O1955" s="4">
        <f t="shared" si="92"/>
        <v>0</v>
      </c>
      <c r="P1955" s="3" t="s">
        <v>19</v>
      </c>
    </row>
    <row r="1956" spans="1:16" x14ac:dyDescent="0.35">
      <c r="A1956" s="3" t="s">
        <v>16</v>
      </c>
      <c r="B1956" s="3" t="str">
        <f>INDEX(State_Region!$B$2:$B$26,MATCH(TRIM(A1956),State_Region!$A$2:$A$26,0))</f>
        <v>West</v>
      </c>
      <c r="C1956" s="3" t="s">
        <v>135</v>
      </c>
      <c r="D1956" s="3" t="str">
        <f>INDEX(Port_Type!$B$2:$B$227,MATCH(TRIM(C1956),Port_Type!$A$2:$A$227,0))</f>
        <v>Air Cargo</v>
      </c>
      <c r="E1956" s="3" t="s">
        <v>151</v>
      </c>
      <c r="F1956" s="3" t="str">
        <f>INDEX(Product_Category!$B$2:$B$45,MATCH(TRIM(E1956),Product_Category!$A$2:$A$45,0))</f>
        <v>Processed Foods</v>
      </c>
      <c r="G1956" s="4">
        <v>0</v>
      </c>
      <c r="H1956" s="4">
        <v>0</v>
      </c>
      <c r="I1956" s="4">
        <v>0</v>
      </c>
      <c r="J1956" s="4">
        <v>0</v>
      </c>
      <c r="K1956" s="4">
        <v>0.48</v>
      </c>
      <c r="L1956" s="4">
        <v>0.13</v>
      </c>
      <c r="M1956" s="4">
        <f t="shared" si="90"/>
        <v>0</v>
      </c>
      <c r="N1956" s="4">
        <f t="shared" si="91"/>
        <v>0.48</v>
      </c>
      <c r="O1956" s="4">
        <f t="shared" si="92"/>
        <v>0</v>
      </c>
      <c r="P1956" s="3" t="s">
        <v>19</v>
      </c>
    </row>
    <row r="1957" spans="1:16" x14ac:dyDescent="0.35">
      <c r="A1957" s="3" t="s">
        <v>57</v>
      </c>
      <c r="B1957" s="3" t="str">
        <f>INDEX(State_Region!$B$2:$B$26,MATCH(TRIM(A1957),State_Region!$A$2:$A$26,0))</f>
        <v>Central</v>
      </c>
      <c r="C1957" s="3" t="s">
        <v>161</v>
      </c>
      <c r="D1957" s="3" t="str">
        <f>INDEX(Port_Type!$B$2:$B$227,MATCH(TRIM(C1957),Port_Type!$A$2:$A$227,0))</f>
        <v>Inland ICD / CFS</v>
      </c>
      <c r="E1957" s="3" t="s">
        <v>84</v>
      </c>
      <c r="F1957" s="3" t="str">
        <f>INDEX(Product_Category!$B$2:$B$45,MATCH(TRIM(E1957),Product_Category!$A$2:$A$45,0))</f>
        <v>Nuts &amp; Oilseeds</v>
      </c>
      <c r="G1957" s="4">
        <v>0</v>
      </c>
      <c r="H1957" s="4">
        <v>0</v>
      </c>
      <c r="I1957" s="4">
        <v>0</v>
      </c>
      <c r="J1957" s="4">
        <v>0.38</v>
      </c>
      <c r="K1957" s="4">
        <v>0</v>
      </c>
      <c r="L1957" s="4">
        <v>0.04</v>
      </c>
      <c r="M1957" s="4">
        <f t="shared" si="90"/>
        <v>0</v>
      </c>
      <c r="N1957" s="4">
        <f t="shared" si="91"/>
        <v>-0.38</v>
      </c>
      <c r="O1957" s="4">
        <f t="shared" si="92"/>
        <v>0</v>
      </c>
      <c r="P1957" s="3" t="s">
        <v>19</v>
      </c>
    </row>
    <row r="1958" spans="1:16" x14ac:dyDescent="0.35">
      <c r="A1958" s="3" t="s">
        <v>23</v>
      </c>
      <c r="B1958" s="3" t="str">
        <f>INDEX(State_Region!$B$2:$B$26,MATCH(TRIM(A1958),State_Region!$A$2:$A$26,0))</f>
        <v>North</v>
      </c>
      <c r="C1958" s="3" t="s">
        <v>123</v>
      </c>
      <c r="D1958" s="3" t="str">
        <f>INDEX(Port_Type!$B$2:$B$227,MATCH(TRIM(C1958),Port_Type!$A$2:$A$227,0))</f>
        <v>Land Border / Rail</v>
      </c>
      <c r="E1958" s="3" t="s">
        <v>69</v>
      </c>
      <c r="F1958" s="3" t="str">
        <f>INDEX(Product_Category!$B$2:$B$45,MATCH(TRIM(E1958),Product_Category!$A$2:$A$45,0))</f>
        <v>Others</v>
      </c>
      <c r="G1958" s="4">
        <v>0.08</v>
      </c>
      <c r="H1958" s="4">
        <v>7.0000000000000007E-2</v>
      </c>
      <c r="I1958" s="4">
        <v>0</v>
      </c>
      <c r="J1958" s="4">
        <v>48.17</v>
      </c>
      <c r="K1958" s="4">
        <v>46.47</v>
      </c>
      <c r="L1958" s="4">
        <v>0.6</v>
      </c>
      <c r="M1958" s="4">
        <f t="shared" si="90"/>
        <v>-9.999999999999995E-3</v>
      </c>
      <c r="N1958" s="4">
        <f t="shared" si="91"/>
        <v>-1.7000000000000028</v>
      </c>
      <c r="O1958" s="4">
        <f t="shared" si="92"/>
        <v>-7.0000000000000007E-2</v>
      </c>
      <c r="P1958" s="3" t="s">
        <v>19</v>
      </c>
    </row>
    <row r="1959" spans="1:16" x14ac:dyDescent="0.35">
      <c r="A1959" s="3" t="s">
        <v>86</v>
      </c>
      <c r="B1959" s="3" t="str">
        <f>INDEX(State_Region!$B$2:$B$26,MATCH(TRIM(A1959),State_Region!$A$2:$A$26,0))</f>
        <v>North</v>
      </c>
      <c r="C1959" s="3" t="s">
        <v>207</v>
      </c>
      <c r="D1959" s="3" t="str">
        <f>INDEX(Port_Type!$B$2:$B$227,MATCH(TRIM(C1959),Port_Type!$A$2:$A$227,0))</f>
        <v>Inland ICD / CFS</v>
      </c>
      <c r="E1959" s="3" t="s">
        <v>179</v>
      </c>
      <c r="F1959" s="3" t="str">
        <f>INDEX(Product_Category!$B$2:$B$45,MATCH(TRIM(E1959),Product_Category!$A$2:$A$45,0))</f>
        <v>Nuts &amp; Oilseeds</v>
      </c>
      <c r="G1959" s="4">
        <v>0</v>
      </c>
      <c r="H1959" s="4">
        <v>0</v>
      </c>
      <c r="I1959" s="4">
        <v>0</v>
      </c>
      <c r="J1959" s="4">
        <v>0.06</v>
      </c>
      <c r="K1959" s="4">
        <v>0.32</v>
      </c>
      <c r="L1959" s="4">
        <v>7.0000000000000007E-2</v>
      </c>
      <c r="M1959" s="4">
        <f t="shared" si="90"/>
        <v>0</v>
      </c>
      <c r="N1959" s="4">
        <f t="shared" si="91"/>
        <v>0.26</v>
      </c>
      <c r="O1959" s="4">
        <f t="shared" si="92"/>
        <v>0</v>
      </c>
      <c r="P1959" s="3" t="s">
        <v>19</v>
      </c>
    </row>
    <row r="1960" spans="1:16" x14ac:dyDescent="0.35">
      <c r="A1960" s="3" t="s">
        <v>35</v>
      </c>
      <c r="B1960" s="3" t="str">
        <f>INDEX(State_Region!$B$2:$B$26,MATCH(TRIM(A1960),State_Region!$A$2:$A$26,0))</f>
        <v>North</v>
      </c>
      <c r="C1960" s="3" t="s">
        <v>38</v>
      </c>
      <c r="D1960" s="3" t="str">
        <f>INDEX(Port_Type!$B$2:$B$227,MATCH(TRIM(C1960),Port_Type!$A$2:$A$227,0))</f>
        <v>Inland ICD / CFS</v>
      </c>
      <c r="E1960" s="3" t="s">
        <v>84</v>
      </c>
      <c r="F1960" s="3" t="str">
        <f>INDEX(Product_Category!$B$2:$B$45,MATCH(TRIM(E1960),Product_Category!$A$2:$A$45,0))</f>
        <v>Nuts &amp; Oilseeds</v>
      </c>
      <c r="G1960" s="4">
        <v>0.01</v>
      </c>
      <c r="H1960" s="4">
        <v>0.03</v>
      </c>
      <c r="I1960" s="4">
        <v>0</v>
      </c>
      <c r="J1960" s="4">
        <v>0.92</v>
      </c>
      <c r="K1960" s="4">
        <v>3.8</v>
      </c>
      <c r="L1960" s="4">
        <v>0.52</v>
      </c>
      <c r="M1960" s="4">
        <f t="shared" si="90"/>
        <v>1.9999999999999997E-2</v>
      </c>
      <c r="N1960" s="4">
        <f t="shared" si="91"/>
        <v>2.88</v>
      </c>
      <c r="O1960" s="4">
        <f t="shared" si="92"/>
        <v>-0.03</v>
      </c>
      <c r="P1960" s="3" t="s">
        <v>19</v>
      </c>
    </row>
    <row r="1961" spans="1:16" x14ac:dyDescent="0.35">
      <c r="A1961" s="3" t="s">
        <v>86</v>
      </c>
      <c r="B1961" s="3" t="str">
        <f>INDEX(State_Region!$B$2:$B$26,MATCH(TRIM(A1961),State_Region!$A$2:$A$26,0))</f>
        <v>North</v>
      </c>
      <c r="C1961" s="3" t="s">
        <v>106</v>
      </c>
      <c r="D1961" s="3" t="str">
        <f>INDEX(Port_Type!$B$2:$B$227,MATCH(TRIM(C1961),Port_Type!$A$2:$A$227,0))</f>
        <v>Inland ICD / CFS</v>
      </c>
      <c r="E1961" s="3" t="s">
        <v>84</v>
      </c>
      <c r="F1961" s="3" t="str">
        <f>INDEX(Product_Category!$B$2:$B$45,MATCH(TRIM(E1961),Product_Category!$A$2:$A$45,0))</f>
        <v>Nuts &amp; Oilseeds</v>
      </c>
      <c r="G1961" s="4">
        <v>0.01</v>
      </c>
      <c r="H1961" s="4">
        <v>0</v>
      </c>
      <c r="I1961" s="4">
        <v>0</v>
      </c>
      <c r="J1961" s="4">
        <v>0.91</v>
      </c>
      <c r="K1961" s="4">
        <v>0.32</v>
      </c>
      <c r="L1961" s="4">
        <v>0.05</v>
      </c>
      <c r="M1961" s="4">
        <f t="shared" si="90"/>
        <v>-0.01</v>
      </c>
      <c r="N1961" s="4">
        <f t="shared" si="91"/>
        <v>-0.59000000000000008</v>
      </c>
      <c r="O1961" s="4">
        <f t="shared" si="92"/>
        <v>0</v>
      </c>
      <c r="P1961" s="3" t="s">
        <v>19</v>
      </c>
    </row>
    <row r="1962" spans="1:16" x14ac:dyDescent="0.35">
      <c r="A1962" s="3" t="s">
        <v>16</v>
      </c>
      <c r="B1962" s="3" t="str">
        <f>INDEX(State_Region!$B$2:$B$26,MATCH(TRIM(A1962),State_Region!$A$2:$A$26,0))</f>
        <v>West</v>
      </c>
      <c r="C1962" s="3" t="s">
        <v>115</v>
      </c>
      <c r="D1962" s="3" t="str">
        <f>INDEX(Port_Type!$B$2:$B$227,MATCH(TRIM(C1962),Port_Type!$A$2:$A$227,0))</f>
        <v>Inland ICD / CFS</v>
      </c>
      <c r="E1962" s="3" t="s">
        <v>59</v>
      </c>
      <c r="F1962" s="3" t="str">
        <f>INDEX(Product_Category!$B$2:$B$45,MATCH(TRIM(E1962),Product_Category!$A$2:$A$45,0))</f>
        <v>Processed Foods</v>
      </c>
      <c r="G1962" s="4">
        <v>0</v>
      </c>
      <c r="H1962" s="4">
        <v>0</v>
      </c>
      <c r="I1962" s="4">
        <v>0</v>
      </c>
      <c r="J1962" s="4">
        <v>0</v>
      </c>
      <c r="K1962" s="4">
        <v>0.33</v>
      </c>
      <c r="L1962" s="4">
        <v>0.15</v>
      </c>
      <c r="M1962" s="4">
        <f t="shared" si="90"/>
        <v>0</v>
      </c>
      <c r="N1962" s="4">
        <f t="shared" si="91"/>
        <v>0.33</v>
      </c>
      <c r="O1962" s="4">
        <f t="shared" si="92"/>
        <v>0</v>
      </c>
      <c r="P1962" s="3" t="s">
        <v>19</v>
      </c>
    </row>
    <row r="1963" spans="1:16" x14ac:dyDescent="0.35">
      <c r="A1963" s="3" t="s">
        <v>49</v>
      </c>
      <c r="B1963" s="3" t="str">
        <f>INDEX(State_Region!$B$2:$B$26,MATCH(TRIM(A1963),State_Region!$A$2:$A$26,0))</f>
        <v>North</v>
      </c>
      <c r="C1963" s="3" t="s">
        <v>237</v>
      </c>
      <c r="D1963" s="3" t="str">
        <f>INDEX(Port_Type!$B$2:$B$227,MATCH(TRIM(C1963),Port_Type!$A$2:$A$227,0))</f>
        <v>Air Cargo</v>
      </c>
      <c r="E1963" s="3" t="s">
        <v>72</v>
      </c>
      <c r="F1963" s="3" t="str">
        <f>INDEX(Product_Category!$B$2:$B$45,MATCH(TRIM(E1963),Product_Category!$A$2:$A$45,0))</f>
        <v>Dairy, Poultry &amp; Honey</v>
      </c>
      <c r="G1963" s="4">
        <v>0</v>
      </c>
      <c r="H1963" s="4">
        <v>0</v>
      </c>
      <c r="I1963" s="4">
        <v>0</v>
      </c>
      <c r="J1963" s="4">
        <v>0</v>
      </c>
      <c r="K1963" s="4">
        <v>0</v>
      </c>
      <c r="L1963" s="4">
        <v>0.2</v>
      </c>
      <c r="M1963" s="4">
        <f t="shared" si="90"/>
        <v>0</v>
      </c>
      <c r="N1963" s="4">
        <f t="shared" si="91"/>
        <v>0</v>
      </c>
      <c r="O1963" s="4">
        <f t="shared" si="92"/>
        <v>0</v>
      </c>
      <c r="P1963" s="3" t="s">
        <v>19</v>
      </c>
    </row>
    <row r="1964" spans="1:16" x14ac:dyDescent="0.35">
      <c r="A1964" s="3" t="s">
        <v>40</v>
      </c>
      <c r="B1964" s="3" t="str">
        <f>INDEX(State_Region!$B$2:$B$26,MATCH(TRIM(A1964),State_Region!$A$2:$A$26,0))</f>
        <v>South</v>
      </c>
      <c r="C1964" s="3" t="s">
        <v>183</v>
      </c>
      <c r="D1964" s="3" t="str">
        <f>INDEX(Port_Type!$B$2:$B$227,MATCH(TRIM(C1964),Port_Type!$A$2:$A$227,0))</f>
        <v>Inland ICD / CFS</v>
      </c>
      <c r="E1964" s="3" t="s">
        <v>62</v>
      </c>
      <c r="F1964" s="3" t="str">
        <f>INDEX(Product_Category!$B$2:$B$45,MATCH(TRIM(E1964),Product_Category!$A$2:$A$45,0))</f>
        <v>Cereals &amp; Grains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>
        <v>0.37</v>
      </c>
      <c r="M1964" s="4">
        <f t="shared" si="90"/>
        <v>0</v>
      </c>
      <c r="N1964" s="4">
        <f t="shared" si="91"/>
        <v>0</v>
      </c>
      <c r="O1964" s="4">
        <f t="shared" si="92"/>
        <v>0</v>
      </c>
      <c r="P1964" s="3" t="s">
        <v>19</v>
      </c>
    </row>
    <row r="1965" spans="1:16" x14ac:dyDescent="0.35">
      <c r="A1965" s="3" t="s">
        <v>40</v>
      </c>
      <c r="B1965" s="3" t="str">
        <f>INDEX(State_Region!$B$2:$B$26,MATCH(TRIM(A1965),State_Region!$A$2:$A$26,0))</f>
        <v>South</v>
      </c>
      <c r="C1965" s="3" t="s">
        <v>164</v>
      </c>
      <c r="D1965" s="3" t="str">
        <f>INDEX(Port_Type!$B$2:$B$227,MATCH(TRIM(C1965),Port_Type!$A$2:$A$227,0))</f>
        <v>Air Cargo</v>
      </c>
      <c r="E1965" s="3" t="s">
        <v>18</v>
      </c>
      <c r="F1965" s="3" t="str">
        <f>INDEX(Product_Category!$B$2:$B$45,MATCH(TRIM(E1965),Product_Category!$A$2:$A$45,0))</f>
        <v>Cereals &amp; Grains</v>
      </c>
      <c r="G1965" s="4">
        <v>0</v>
      </c>
      <c r="H1965" s="4">
        <v>0</v>
      </c>
      <c r="I1965" s="4">
        <v>0</v>
      </c>
      <c r="J1965" s="4">
        <v>0</v>
      </c>
      <c r="K1965" s="4">
        <v>0.35</v>
      </c>
      <c r="L1965" s="4">
        <v>0.4</v>
      </c>
      <c r="M1965" s="4">
        <f t="shared" si="90"/>
        <v>0</v>
      </c>
      <c r="N1965" s="4">
        <f t="shared" si="91"/>
        <v>0.35</v>
      </c>
      <c r="O1965" s="4">
        <f t="shared" si="92"/>
        <v>0</v>
      </c>
      <c r="P1965" s="3" t="s">
        <v>19</v>
      </c>
    </row>
    <row r="1966" spans="1:16" x14ac:dyDescent="0.35">
      <c r="A1966" s="3" t="s">
        <v>86</v>
      </c>
      <c r="B1966" s="3" t="str">
        <f>INDEX(State_Region!$B$2:$B$26,MATCH(TRIM(A1966),State_Region!$A$2:$A$26,0))</f>
        <v>North</v>
      </c>
      <c r="C1966" s="3" t="s">
        <v>87</v>
      </c>
      <c r="D1966" s="3" t="str">
        <f>INDEX(Port_Type!$B$2:$B$227,MATCH(TRIM(C1966),Port_Type!$A$2:$A$227,0))</f>
        <v>Air Cargo</v>
      </c>
      <c r="E1966" s="3" t="s">
        <v>181</v>
      </c>
      <c r="F1966" s="3" t="str">
        <f>INDEX(Product_Category!$B$2:$B$45,MATCH(TRIM(E1966),Product_Category!$A$2:$A$45,0))</f>
        <v>Nuts &amp; Oilseeds</v>
      </c>
      <c r="G1966" s="4">
        <v>0</v>
      </c>
      <c r="H1966" s="4">
        <v>0</v>
      </c>
      <c r="I1966" s="4">
        <v>0</v>
      </c>
      <c r="J1966" s="4">
        <v>0.11</v>
      </c>
      <c r="K1966" s="4">
        <v>0.04</v>
      </c>
      <c r="L1966" s="4">
        <v>0.01</v>
      </c>
      <c r="M1966" s="4">
        <f t="shared" si="90"/>
        <v>0</v>
      </c>
      <c r="N1966" s="4">
        <f t="shared" si="91"/>
        <v>-7.0000000000000007E-2</v>
      </c>
      <c r="O1966" s="4">
        <f t="shared" si="92"/>
        <v>0</v>
      </c>
      <c r="P1966" s="3" t="s">
        <v>19</v>
      </c>
    </row>
    <row r="1967" spans="1:16" x14ac:dyDescent="0.35">
      <c r="A1967" s="3" t="s">
        <v>94</v>
      </c>
      <c r="B1967" s="3" t="str">
        <f>INDEX(State_Region!$B$2:$B$26,MATCH(TRIM(A1967),State_Region!$A$2:$A$26,0))</f>
        <v>East</v>
      </c>
      <c r="C1967" s="3" t="s">
        <v>95</v>
      </c>
      <c r="D1967" s="3" t="str">
        <f>INDEX(Port_Type!$B$2:$B$227,MATCH(TRIM(C1967),Port_Type!$A$2:$A$227,0))</f>
        <v>Land Border / Rail</v>
      </c>
      <c r="E1967" s="3" t="s">
        <v>181</v>
      </c>
      <c r="F1967" s="3" t="str">
        <f>INDEX(Product_Category!$B$2:$B$45,MATCH(TRIM(E1967),Product_Category!$A$2:$A$45,0))</f>
        <v>Nuts &amp; Oilseeds</v>
      </c>
      <c r="G1967" s="4">
        <v>0</v>
      </c>
      <c r="H1967" s="4">
        <v>0</v>
      </c>
      <c r="I1967" s="4">
        <v>0</v>
      </c>
      <c r="J1967" s="4">
        <v>0.1</v>
      </c>
      <c r="K1967" s="4">
        <v>1.4</v>
      </c>
      <c r="L1967" s="4">
        <v>0.02</v>
      </c>
      <c r="M1967" s="4">
        <f t="shared" si="90"/>
        <v>0</v>
      </c>
      <c r="N1967" s="4">
        <f t="shared" si="91"/>
        <v>1.2999999999999998</v>
      </c>
      <c r="O1967" s="4">
        <f t="shared" si="92"/>
        <v>0</v>
      </c>
      <c r="P1967" s="3" t="s">
        <v>19</v>
      </c>
    </row>
    <row r="1968" spans="1:16" x14ac:dyDescent="0.35">
      <c r="A1968" s="3" t="s">
        <v>86</v>
      </c>
      <c r="B1968" s="3" t="str">
        <f>INDEX(State_Region!$B$2:$B$26,MATCH(TRIM(A1968),State_Region!$A$2:$A$26,0))</f>
        <v>North</v>
      </c>
      <c r="C1968" s="3" t="s">
        <v>106</v>
      </c>
      <c r="D1968" s="3" t="str">
        <f>INDEX(Port_Type!$B$2:$B$227,MATCH(TRIM(C1968),Port_Type!$A$2:$A$227,0))</f>
        <v>Inland ICD / CFS</v>
      </c>
      <c r="E1968" s="3" t="s">
        <v>62</v>
      </c>
      <c r="F1968" s="3" t="str">
        <f>INDEX(Product_Category!$B$2:$B$45,MATCH(TRIM(E1968),Product_Category!$A$2:$A$45,0))</f>
        <v>Cereals &amp; Grains</v>
      </c>
      <c r="G1968" s="4">
        <v>0.01</v>
      </c>
      <c r="H1968" s="4">
        <v>0</v>
      </c>
      <c r="I1968" s="4">
        <v>0</v>
      </c>
      <c r="J1968" s="4">
        <v>4</v>
      </c>
      <c r="K1968" s="4">
        <v>0</v>
      </c>
      <c r="L1968" s="4">
        <v>0.02</v>
      </c>
      <c r="M1968" s="4">
        <f t="shared" si="90"/>
        <v>-0.01</v>
      </c>
      <c r="N1968" s="4">
        <f t="shared" si="91"/>
        <v>-4</v>
      </c>
      <c r="O1968" s="4">
        <f t="shared" si="92"/>
        <v>0</v>
      </c>
      <c r="P1968" s="3" t="s">
        <v>19</v>
      </c>
    </row>
    <row r="1969" spans="1:16" x14ac:dyDescent="0.35">
      <c r="A1969" s="3" t="s">
        <v>86</v>
      </c>
      <c r="B1969" s="3" t="str">
        <f>INDEX(State_Region!$B$2:$B$26,MATCH(TRIM(A1969),State_Region!$A$2:$A$26,0))</f>
        <v>North</v>
      </c>
      <c r="C1969" s="3" t="s">
        <v>207</v>
      </c>
      <c r="D1969" s="3" t="str">
        <f>INDEX(Port_Type!$B$2:$B$227,MATCH(TRIM(C1969),Port_Type!$A$2:$A$227,0))</f>
        <v>Inland ICD / CFS</v>
      </c>
      <c r="E1969" s="3" t="s">
        <v>60</v>
      </c>
      <c r="F1969" s="3" t="str">
        <f>INDEX(Product_Category!$B$2:$B$45,MATCH(TRIM(E1969),Product_Category!$A$2:$A$45,0))</f>
        <v>Processed Foods</v>
      </c>
      <c r="G1969" s="4">
        <v>0</v>
      </c>
      <c r="H1969" s="4">
        <v>0</v>
      </c>
      <c r="I1969" s="4">
        <v>0</v>
      </c>
      <c r="J1969" s="4">
        <v>0</v>
      </c>
      <c r="K1969" s="4">
        <v>0.24</v>
      </c>
      <c r="L1969" s="4">
        <v>0.25</v>
      </c>
      <c r="M1969" s="4">
        <f t="shared" si="90"/>
        <v>0</v>
      </c>
      <c r="N1969" s="4">
        <f t="shared" si="91"/>
        <v>0.24</v>
      </c>
      <c r="O1969" s="4">
        <f t="shared" si="92"/>
        <v>0</v>
      </c>
      <c r="P1969" s="3" t="s">
        <v>19</v>
      </c>
    </row>
    <row r="1970" spans="1:16" x14ac:dyDescent="0.35">
      <c r="A1970" s="3" t="s">
        <v>40</v>
      </c>
      <c r="B1970" s="3" t="str">
        <f>INDEX(State_Region!$B$2:$B$26,MATCH(TRIM(A1970),State_Region!$A$2:$A$26,0))</f>
        <v>South</v>
      </c>
      <c r="C1970" s="3" t="s">
        <v>117</v>
      </c>
      <c r="D1970" s="3" t="str">
        <f>INDEX(Port_Type!$B$2:$B$227,MATCH(TRIM(C1970),Port_Type!$A$2:$A$227,0))</f>
        <v>Sea Port</v>
      </c>
      <c r="E1970" s="3" t="s">
        <v>46</v>
      </c>
      <c r="F1970" s="3" t="str">
        <f>INDEX(Product_Category!$B$2:$B$45,MATCH(TRIM(E1970),Product_Category!$A$2:$A$45,0))</f>
        <v>Others</v>
      </c>
      <c r="G1970" s="4">
        <v>0.01</v>
      </c>
      <c r="H1970" s="4">
        <v>0</v>
      </c>
      <c r="I1970" s="4">
        <v>0</v>
      </c>
      <c r="J1970" s="4">
        <v>11.23</v>
      </c>
      <c r="K1970" s="4">
        <v>0</v>
      </c>
      <c r="L1970" s="4">
        <v>0.3</v>
      </c>
      <c r="M1970" s="4">
        <f t="shared" si="90"/>
        <v>-0.01</v>
      </c>
      <c r="N1970" s="4">
        <f t="shared" si="91"/>
        <v>-11.23</v>
      </c>
      <c r="O1970" s="4">
        <f t="shared" si="92"/>
        <v>0</v>
      </c>
      <c r="P1970" s="3" t="s">
        <v>19</v>
      </c>
    </row>
    <row r="1971" spans="1:16" x14ac:dyDescent="0.35">
      <c r="A1971" s="3" t="s">
        <v>94</v>
      </c>
      <c r="B1971" s="3" t="str">
        <f>INDEX(State_Region!$B$2:$B$26,MATCH(TRIM(A1971),State_Region!$A$2:$A$26,0))</f>
        <v>East</v>
      </c>
      <c r="C1971" s="3" t="s">
        <v>112</v>
      </c>
      <c r="D1971" s="3" t="str">
        <f>INDEX(Port_Type!$B$2:$B$227,MATCH(TRIM(C1971),Port_Type!$A$2:$A$227,0))</f>
        <v>Land Border / Rail</v>
      </c>
      <c r="E1971" s="3" t="s">
        <v>181</v>
      </c>
      <c r="F1971" s="3" t="str">
        <f>INDEX(Product_Category!$B$2:$B$45,MATCH(TRIM(E1971),Product_Category!$A$2:$A$45,0))</f>
        <v>Nuts &amp; Oilseeds</v>
      </c>
      <c r="G1971" s="4">
        <v>0</v>
      </c>
      <c r="H1971" s="4">
        <v>0</v>
      </c>
      <c r="I1971" s="4">
        <v>0</v>
      </c>
      <c r="J1971" s="4">
        <v>0</v>
      </c>
      <c r="K1971" s="4">
        <v>0</v>
      </c>
      <c r="L1971" s="4">
        <v>0.06</v>
      </c>
      <c r="M1971" s="4">
        <f t="shared" si="90"/>
        <v>0</v>
      </c>
      <c r="N1971" s="4">
        <f t="shared" si="91"/>
        <v>0</v>
      </c>
      <c r="O1971" s="4">
        <f t="shared" si="92"/>
        <v>0</v>
      </c>
      <c r="P1971" s="3" t="s">
        <v>19</v>
      </c>
    </row>
    <row r="1972" spans="1:16" x14ac:dyDescent="0.35">
      <c r="A1972" s="3" t="s">
        <v>49</v>
      </c>
      <c r="B1972" s="3" t="str">
        <f>INDEX(State_Region!$B$2:$B$26,MATCH(TRIM(A1972),State_Region!$A$2:$A$26,0))</f>
        <v>North</v>
      </c>
      <c r="C1972" s="3" t="s">
        <v>176</v>
      </c>
      <c r="D1972" s="3" t="str">
        <f>INDEX(Port_Type!$B$2:$B$227,MATCH(TRIM(C1972),Port_Type!$A$2:$A$227,0))</f>
        <v>Inland ICD / CFS</v>
      </c>
      <c r="E1972" s="3" t="s">
        <v>27</v>
      </c>
      <c r="F1972" s="3" t="str">
        <f>INDEX(Product_Category!$B$2:$B$45,MATCH(TRIM(E1972),Product_Category!$A$2:$A$45,0))</f>
        <v>Cereals &amp; Grains</v>
      </c>
      <c r="G1972" s="4">
        <v>0.02</v>
      </c>
      <c r="H1972" s="4">
        <v>0.1</v>
      </c>
      <c r="I1972" s="4">
        <v>0</v>
      </c>
      <c r="J1972" s="4">
        <v>17.43</v>
      </c>
      <c r="K1972" s="4">
        <v>78.010000000000005</v>
      </c>
      <c r="L1972" s="4">
        <v>0.4</v>
      </c>
      <c r="M1972" s="4">
        <f t="shared" si="90"/>
        <v>0.08</v>
      </c>
      <c r="N1972" s="4">
        <f t="shared" si="91"/>
        <v>60.580000000000005</v>
      </c>
      <c r="O1972" s="4">
        <f t="shared" si="92"/>
        <v>-0.1</v>
      </c>
      <c r="P1972" s="3" t="s">
        <v>19</v>
      </c>
    </row>
    <row r="1973" spans="1:16" x14ac:dyDescent="0.35">
      <c r="A1973" s="3" t="s">
        <v>31</v>
      </c>
      <c r="B1973" s="3" t="str">
        <f>INDEX(State_Region!$B$2:$B$26,MATCH(TRIM(A1973),State_Region!$A$2:$A$26,0))</f>
        <v>East</v>
      </c>
      <c r="C1973" s="3" t="s">
        <v>192</v>
      </c>
      <c r="D1973" s="3" t="str">
        <f>INDEX(Port_Type!$B$2:$B$227,MATCH(TRIM(C1973),Port_Type!$A$2:$A$227,0))</f>
        <v>Air Cargo</v>
      </c>
      <c r="E1973" s="3" t="s">
        <v>59</v>
      </c>
      <c r="F1973" s="3" t="str">
        <f>INDEX(Product_Category!$B$2:$B$45,MATCH(TRIM(E1973),Product_Category!$A$2:$A$45,0))</f>
        <v>Processed Foods</v>
      </c>
      <c r="G1973" s="4">
        <v>0</v>
      </c>
      <c r="H1973" s="4">
        <v>0</v>
      </c>
      <c r="I1973" s="4">
        <v>0</v>
      </c>
      <c r="J1973" s="4">
        <v>0.01</v>
      </c>
      <c r="K1973" s="4">
        <v>0</v>
      </c>
      <c r="L1973" s="4">
        <v>0.2</v>
      </c>
      <c r="M1973" s="4">
        <f t="shared" si="90"/>
        <v>0</v>
      </c>
      <c r="N1973" s="4">
        <f t="shared" si="91"/>
        <v>-0.01</v>
      </c>
      <c r="O1973" s="4">
        <f t="shared" si="92"/>
        <v>0</v>
      </c>
      <c r="P1973" s="3" t="s">
        <v>19</v>
      </c>
    </row>
    <row r="1974" spans="1:16" x14ac:dyDescent="0.35">
      <c r="A1974" s="3" t="s">
        <v>79</v>
      </c>
      <c r="B1974" s="3" t="str">
        <f>INDEX(State_Region!$B$2:$B$26,MATCH(TRIM(A1974),State_Region!$A$2:$A$26,0))</f>
        <v>South</v>
      </c>
      <c r="C1974" s="3" t="s">
        <v>226</v>
      </c>
      <c r="D1974" s="3" t="str">
        <f>INDEX(Port_Type!$B$2:$B$227,MATCH(TRIM(C1974),Port_Type!$A$2:$A$227,0))</f>
        <v>Air Cargo</v>
      </c>
      <c r="E1974" s="3" t="s">
        <v>48</v>
      </c>
      <c r="F1974" s="3" t="str">
        <f>INDEX(Product_Category!$B$2:$B$45,MATCH(TRIM(E1974),Product_Category!$A$2:$A$45,0))</f>
        <v>Processed Foods</v>
      </c>
      <c r="G1974" s="4">
        <v>0.01</v>
      </c>
      <c r="H1974" s="4">
        <v>0</v>
      </c>
      <c r="I1974" s="4">
        <v>0</v>
      </c>
      <c r="J1974" s="4">
        <v>3.85</v>
      </c>
      <c r="K1974" s="4">
        <v>0.37</v>
      </c>
      <c r="L1974" s="4">
        <v>0.21</v>
      </c>
      <c r="M1974" s="4">
        <f t="shared" si="90"/>
        <v>-0.01</v>
      </c>
      <c r="N1974" s="4">
        <f t="shared" si="91"/>
        <v>-3.48</v>
      </c>
      <c r="O1974" s="4">
        <f t="shared" si="92"/>
        <v>0</v>
      </c>
      <c r="P1974" s="3" t="s">
        <v>19</v>
      </c>
    </row>
    <row r="1975" spans="1:16" x14ac:dyDescent="0.35">
      <c r="A1975" s="3" t="s">
        <v>79</v>
      </c>
      <c r="B1975" s="3" t="str">
        <f>INDEX(State_Region!$B$2:$B$26,MATCH(TRIM(A1975),State_Region!$A$2:$A$26,0))</f>
        <v>South</v>
      </c>
      <c r="C1975" s="3" t="s">
        <v>264</v>
      </c>
      <c r="D1975" s="3" t="str">
        <f>INDEX(Port_Type!$B$2:$B$227,MATCH(TRIM(C1975),Port_Type!$A$2:$A$227,0))</f>
        <v>SEZ / EPZ</v>
      </c>
      <c r="E1975" s="3" t="s">
        <v>53</v>
      </c>
      <c r="F1975" s="3" t="str">
        <f>INDEX(Product_Category!$B$2:$B$45,MATCH(TRIM(E1975),Product_Category!$A$2:$A$45,0))</f>
        <v>Processed Foods</v>
      </c>
      <c r="G1975" s="4">
        <v>0.01</v>
      </c>
      <c r="H1975" s="4">
        <v>0</v>
      </c>
      <c r="I1975" s="4">
        <v>0</v>
      </c>
      <c r="J1975" s="4">
        <v>0.46</v>
      </c>
      <c r="K1975" s="4">
        <v>0.17</v>
      </c>
      <c r="L1975" s="4">
        <v>0.03</v>
      </c>
      <c r="M1975" s="4">
        <f t="shared" si="90"/>
        <v>-0.01</v>
      </c>
      <c r="N1975" s="4">
        <f t="shared" si="91"/>
        <v>-0.29000000000000004</v>
      </c>
      <c r="O1975" s="4">
        <f t="shared" si="92"/>
        <v>0</v>
      </c>
      <c r="P1975" s="3" t="s">
        <v>19</v>
      </c>
    </row>
    <row r="1976" spans="1:16" x14ac:dyDescent="0.35">
      <c r="A1976" s="3" t="s">
        <v>57</v>
      </c>
      <c r="B1976" s="3" t="str">
        <f>INDEX(State_Region!$B$2:$B$26,MATCH(TRIM(A1976),State_Region!$A$2:$A$26,0))</f>
        <v>Central</v>
      </c>
      <c r="C1976" s="3" t="s">
        <v>197</v>
      </c>
      <c r="D1976" s="3" t="str">
        <f>INDEX(Port_Type!$B$2:$B$227,MATCH(TRIM(C1976),Port_Type!$A$2:$A$227,0))</f>
        <v>Air Cargo</v>
      </c>
      <c r="E1976" s="3" t="s">
        <v>42</v>
      </c>
      <c r="F1976" s="3" t="str">
        <f>INDEX(Product_Category!$B$2:$B$45,MATCH(TRIM(E1976),Product_Category!$A$2:$A$45,0))</f>
        <v>Processed Foods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4">
        <v>1.02</v>
      </c>
      <c r="M1976" s="4">
        <f t="shared" si="90"/>
        <v>0</v>
      </c>
      <c r="N1976" s="4">
        <f t="shared" si="91"/>
        <v>0</v>
      </c>
      <c r="O1976" s="4">
        <f t="shared" si="92"/>
        <v>0</v>
      </c>
      <c r="P1976" s="3" t="s">
        <v>19</v>
      </c>
    </row>
    <row r="1977" spans="1:16" x14ac:dyDescent="0.35">
      <c r="A1977" s="3" t="s">
        <v>79</v>
      </c>
      <c r="B1977" s="3" t="str">
        <f>INDEX(State_Region!$B$2:$B$26,MATCH(TRIM(A1977),State_Region!$A$2:$A$26,0))</f>
        <v>South</v>
      </c>
      <c r="C1977" s="3" t="s">
        <v>92</v>
      </c>
      <c r="D1977" s="3" t="str">
        <f>INDEX(Port_Type!$B$2:$B$227,MATCH(TRIM(C1977),Port_Type!$A$2:$A$227,0))</f>
        <v>Air Cargo</v>
      </c>
      <c r="E1977" s="3" t="s">
        <v>33</v>
      </c>
      <c r="F1977" s="3" t="str">
        <f>INDEX(Product_Category!$B$2:$B$45,MATCH(TRIM(E1977),Product_Category!$A$2:$A$45,0))</f>
        <v>Pulses</v>
      </c>
      <c r="G1977" s="4">
        <v>0</v>
      </c>
      <c r="H1977" s="4">
        <v>0</v>
      </c>
      <c r="I1977" s="4">
        <v>0</v>
      </c>
      <c r="J1977" s="4">
        <v>0.28999999999999998</v>
      </c>
      <c r="K1977" s="4">
        <v>1.53</v>
      </c>
      <c r="L1977" s="4">
        <v>0.05</v>
      </c>
      <c r="M1977" s="4">
        <f t="shared" si="90"/>
        <v>0</v>
      </c>
      <c r="N1977" s="4">
        <f t="shared" si="91"/>
        <v>1.24</v>
      </c>
      <c r="O1977" s="4">
        <f t="shared" si="92"/>
        <v>0</v>
      </c>
      <c r="P1977" s="3" t="s">
        <v>19</v>
      </c>
    </row>
    <row r="1978" spans="1:16" x14ac:dyDescent="0.35">
      <c r="A1978" s="3" t="s">
        <v>66</v>
      </c>
      <c r="B1978" s="3" t="str">
        <f>INDEX(State_Region!$B$2:$B$26,MATCH(TRIM(A1978),State_Region!$A$2:$A$26,0))</f>
        <v>North</v>
      </c>
      <c r="C1978" s="3" t="s">
        <v>127</v>
      </c>
      <c r="D1978" s="3" t="str">
        <f>INDEX(Port_Type!$B$2:$B$227,MATCH(TRIM(C1978),Port_Type!$A$2:$A$227,0))</f>
        <v>Inland ICD / CFS</v>
      </c>
      <c r="E1978" s="3" t="s">
        <v>59</v>
      </c>
      <c r="F1978" s="3" t="str">
        <f>INDEX(Product_Category!$B$2:$B$45,MATCH(TRIM(E1978),Product_Category!$A$2:$A$45,0))</f>
        <v>Processed Foods</v>
      </c>
      <c r="G1978" s="4">
        <v>0.08</v>
      </c>
      <c r="H1978" s="4">
        <v>0</v>
      </c>
      <c r="I1978" s="4">
        <v>0</v>
      </c>
      <c r="J1978" s="4">
        <v>39.1</v>
      </c>
      <c r="K1978" s="4">
        <v>0.05</v>
      </c>
      <c r="L1978" s="4">
        <v>0.12</v>
      </c>
      <c r="M1978" s="4">
        <f t="shared" si="90"/>
        <v>-0.08</v>
      </c>
      <c r="N1978" s="4">
        <f t="shared" si="91"/>
        <v>-39.050000000000004</v>
      </c>
      <c r="O1978" s="4">
        <f t="shared" si="92"/>
        <v>0</v>
      </c>
      <c r="P1978" s="3" t="s">
        <v>19</v>
      </c>
    </row>
    <row r="1979" spans="1:16" x14ac:dyDescent="0.35">
      <c r="A1979" s="3" t="s">
        <v>20</v>
      </c>
      <c r="B1979" s="3" t="str">
        <f>INDEX(State_Region!$B$2:$B$26,MATCH(TRIM(A1979),State_Region!$A$2:$A$26,0))</f>
        <v>West</v>
      </c>
      <c r="C1979" s="3" t="s">
        <v>173</v>
      </c>
      <c r="D1979" s="3" t="str">
        <f>INDEX(Port_Type!$B$2:$B$227,MATCH(TRIM(C1979),Port_Type!$A$2:$A$227,0))</f>
        <v>Inland ICD / CFS</v>
      </c>
      <c r="E1979" s="3" t="s">
        <v>126</v>
      </c>
      <c r="F1979" s="3" t="str">
        <f>INDEX(Product_Category!$B$2:$B$45,MATCH(TRIM(E1979),Product_Category!$A$2:$A$45,0))</f>
        <v>Cereals &amp; Grains</v>
      </c>
      <c r="G1979" s="4">
        <v>0.01</v>
      </c>
      <c r="H1979" s="4">
        <v>0</v>
      </c>
      <c r="I1979" s="4">
        <v>0</v>
      </c>
      <c r="J1979" s="4">
        <v>2.1800000000000002</v>
      </c>
      <c r="K1979" s="4">
        <v>0.24</v>
      </c>
      <c r="L1979" s="4">
        <v>0.18</v>
      </c>
      <c r="M1979" s="4">
        <f t="shared" si="90"/>
        <v>-0.01</v>
      </c>
      <c r="N1979" s="4">
        <f t="shared" si="91"/>
        <v>-1.9400000000000002</v>
      </c>
      <c r="O1979" s="4">
        <f t="shared" si="92"/>
        <v>0</v>
      </c>
      <c r="P1979" s="3" t="s">
        <v>19</v>
      </c>
    </row>
    <row r="1980" spans="1:16" x14ac:dyDescent="0.35">
      <c r="A1980" s="3" t="s">
        <v>79</v>
      </c>
      <c r="B1980" s="3" t="str">
        <f>INDEX(State_Region!$B$2:$B$26,MATCH(TRIM(A1980),State_Region!$A$2:$A$26,0))</f>
        <v>South</v>
      </c>
      <c r="C1980" s="3" t="s">
        <v>92</v>
      </c>
      <c r="D1980" s="3" t="str">
        <f>INDEX(Port_Type!$B$2:$B$227,MATCH(TRIM(C1980),Port_Type!$A$2:$A$227,0))</f>
        <v>Air Cargo</v>
      </c>
      <c r="E1980" s="3" t="s">
        <v>62</v>
      </c>
      <c r="F1980" s="3" t="str">
        <f>INDEX(Product_Category!$B$2:$B$45,MATCH(TRIM(E1980),Product_Category!$A$2:$A$45,0))</f>
        <v>Cereals &amp; Grains</v>
      </c>
      <c r="G1980" s="4">
        <v>0</v>
      </c>
      <c r="H1980" s="4">
        <v>0.01</v>
      </c>
      <c r="I1980" s="4">
        <v>0</v>
      </c>
      <c r="J1980" s="4">
        <v>0.92</v>
      </c>
      <c r="K1980" s="4">
        <v>0.9</v>
      </c>
      <c r="L1980" s="4">
        <v>0.3</v>
      </c>
      <c r="M1980" s="4">
        <f t="shared" si="90"/>
        <v>0.01</v>
      </c>
      <c r="N1980" s="4">
        <f t="shared" si="91"/>
        <v>-2.0000000000000018E-2</v>
      </c>
      <c r="O1980" s="4">
        <f t="shared" si="92"/>
        <v>-0.01</v>
      </c>
      <c r="P1980" s="3" t="s">
        <v>19</v>
      </c>
    </row>
    <row r="1981" spans="1:16" x14ac:dyDescent="0.35">
      <c r="A1981" s="3" t="s">
        <v>159</v>
      </c>
      <c r="B1981" s="3" t="str">
        <f>INDEX(State_Region!$B$2:$B$26,MATCH(TRIM(A1981),State_Region!$A$2:$A$26,0))</f>
        <v>North-East</v>
      </c>
      <c r="C1981" s="3" t="s">
        <v>160</v>
      </c>
      <c r="D1981" s="3" t="str">
        <f>INDEX(Port_Type!$B$2:$B$227,MATCH(TRIM(C1981),Port_Type!$A$2:$A$227,0))</f>
        <v>Land Border / Rail</v>
      </c>
      <c r="E1981" s="3" t="s">
        <v>51</v>
      </c>
      <c r="F1981" s="3" t="str">
        <f>INDEX(Product_Category!$B$2:$B$45,MATCH(TRIM(E1981),Product_Category!$A$2:$A$45,0))</f>
        <v>Nuts &amp; Oilseeds</v>
      </c>
      <c r="G1981" s="4">
        <v>0</v>
      </c>
      <c r="H1981" s="4">
        <v>0</v>
      </c>
      <c r="I1981" s="4">
        <v>0</v>
      </c>
      <c r="J1981" s="4">
        <v>0</v>
      </c>
      <c r="K1981" s="4">
        <v>0.53</v>
      </c>
      <c r="L1981" s="4">
        <v>0.21</v>
      </c>
      <c r="M1981" s="4">
        <f t="shared" si="90"/>
        <v>0</v>
      </c>
      <c r="N1981" s="4">
        <f t="shared" si="91"/>
        <v>0.53</v>
      </c>
      <c r="O1981" s="4">
        <f t="shared" si="92"/>
        <v>0</v>
      </c>
      <c r="P1981" s="3" t="s">
        <v>19</v>
      </c>
    </row>
    <row r="1982" spans="1:16" x14ac:dyDescent="0.35">
      <c r="A1982" s="3" t="s">
        <v>74</v>
      </c>
      <c r="B1982" s="3" t="str">
        <f>INDEX(State_Region!$B$2:$B$26,MATCH(TRIM(A1982),State_Region!$A$2:$A$26,0))</f>
        <v>South</v>
      </c>
      <c r="C1982" s="3" t="s">
        <v>75</v>
      </c>
      <c r="D1982" s="3" t="str">
        <f>INDEX(Port_Type!$B$2:$B$227,MATCH(TRIM(C1982),Port_Type!$A$2:$A$227,0))</f>
        <v>Inland ICD / CFS</v>
      </c>
      <c r="E1982" s="3" t="s">
        <v>84</v>
      </c>
      <c r="F1982" s="3" t="str">
        <f>INDEX(Product_Category!$B$2:$B$45,MATCH(TRIM(E1982),Product_Category!$A$2:$A$45,0))</f>
        <v>Nuts &amp; Oilseeds</v>
      </c>
      <c r="G1982" s="4">
        <v>0.01</v>
      </c>
      <c r="H1982" s="4">
        <v>0</v>
      </c>
      <c r="I1982" s="4">
        <v>0</v>
      </c>
      <c r="J1982" s="4">
        <v>0.28999999999999998</v>
      </c>
      <c r="K1982" s="4">
        <v>0.4</v>
      </c>
      <c r="L1982" s="4">
        <v>0.05</v>
      </c>
      <c r="M1982" s="4">
        <f t="shared" si="90"/>
        <v>-0.01</v>
      </c>
      <c r="N1982" s="4">
        <f t="shared" si="91"/>
        <v>0.11000000000000004</v>
      </c>
      <c r="O1982" s="4">
        <f t="shared" si="92"/>
        <v>0</v>
      </c>
      <c r="P1982" s="3" t="s">
        <v>19</v>
      </c>
    </row>
    <row r="1983" spans="1:16" x14ac:dyDescent="0.35">
      <c r="A1983" s="3" t="s">
        <v>40</v>
      </c>
      <c r="B1983" s="3" t="str">
        <f>INDEX(State_Region!$B$2:$B$26,MATCH(TRIM(A1983),State_Region!$A$2:$A$26,0))</f>
        <v>South</v>
      </c>
      <c r="C1983" s="3" t="s">
        <v>194</v>
      </c>
      <c r="D1983" s="3" t="str">
        <f>INDEX(Port_Type!$B$2:$B$227,MATCH(TRIM(C1983),Port_Type!$A$2:$A$227,0))</f>
        <v>Air Cargo</v>
      </c>
      <c r="E1983" s="3" t="s">
        <v>33</v>
      </c>
      <c r="F1983" s="3" t="str">
        <f>INDEX(Product_Category!$B$2:$B$45,MATCH(TRIM(E1983),Product_Category!$A$2:$A$45,0))</f>
        <v>Pulses</v>
      </c>
      <c r="G1983" s="4">
        <v>0</v>
      </c>
      <c r="H1983" s="4">
        <v>0</v>
      </c>
      <c r="I1983" s="4">
        <v>0</v>
      </c>
      <c r="J1983" s="4">
        <v>0.19</v>
      </c>
      <c r="K1983" s="4">
        <v>1.57</v>
      </c>
      <c r="L1983" s="4">
        <v>0.17</v>
      </c>
      <c r="M1983" s="4">
        <f t="shared" si="90"/>
        <v>0</v>
      </c>
      <c r="N1983" s="4">
        <f t="shared" si="91"/>
        <v>1.3800000000000001</v>
      </c>
      <c r="O1983" s="4">
        <f t="shared" si="92"/>
        <v>0</v>
      </c>
      <c r="P1983" s="3" t="s">
        <v>19</v>
      </c>
    </row>
    <row r="1984" spans="1:16" x14ac:dyDescent="0.35">
      <c r="A1984" s="3" t="s">
        <v>31</v>
      </c>
      <c r="B1984" s="3" t="str">
        <f>INDEX(State_Region!$B$2:$B$26,MATCH(TRIM(A1984),State_Region!$A$2:$A$26,0))</f>
        <v>East</v>
      </c>
      <c r="C1984" s="3" t="s">
        <v>141</v>
      </c>
      <c r="D1984" s="3" t="str">
        <f>INDEX(Port_Type!$B$2:$B$227,MATCH(TRIM(C1984),Port_Type!$A$2:$A$227,0))</f>
        <v>Land Border / Rail</v>
      </c>
      <c r="E1984" s="3" t="s">
        <v>174</v>
      </c>
      <c r="F1984" s="3" t="str">
        <f>INDEX(Product_Category!$B$2:$B$45,MATCH(TRIM(E1984),Product_Category!$A$2:$A$45,0))</f>
        <v>Dairy, Poultry &amp; Honey</v>
      </c>
      <c r="G1984" s="4">
        <v>0</v>
      </c>
      <c r="H1984" s="4">
        <v>0</v>
      </c>
      <c r="I1984" s="4">
        <v>0</v>
      </c>
      <c r="J1984" s="4">
        <v>0.1</v>
      </c>
      <c r="K1984" s="4">
        <v>0.1</v>
      </c>
      <c r="L1984" s="4">
        <v>0.05</v>
      </c>
      <c r="M1984" s="4">
        <f t="shared" si="90"/>
        <v>0</v>
      </c>
      <c r="N1984" s="4">
        <f t="shared" si="91"/>
        <v>0</v>
      </c>
      <c r="O1984" s="4">
        <f t="shared" si="92"/>
        <v>0</v>
      </c>
      <c r="P1984" s="3" t="s">
        <v>19</v>
      </c>
    </row>
    <row r="1985" spans="1:16" x14ac:dyDescent="0.35">
      <c r="A1985" s="3" t="s">
        <v>23</v>
      </c>
      <c r="B1985" s="3" t="str">
        <f>INDEX(State_Region!$B$2:$B$26,MATCH(TRIM(A1985),State_Region!$A$2:$A$26,0))</f>
        <v>North</v>
      </c>
      <c r="C1985" s="3" t="s">
        <v>124</v>
      </c>
      <c r="D1985" s="3" t="str">
        <f>INDEX(Port_Type!$B$2:$B$227,MATCH(TRIM(C1985),Port_Type!$A$2:$A$227,0))</f>
        <v>Inland ICD / CFS</v>
      </c>
      <c r="E1985" s="3" t="s">
        <v>170</v>
      </c>
      <c r="F1985" s="3" t="str">
        <f>INDEX(Product_Category!$B$2:$B$45,MATCH(TRIM(E1985),Product_Category!$A$2:$A$45,0))</f>
        <v>Others</v>
      </c>
      <c r="G1985" s="4">
        <v>0</v>
      </c>
      <c r="H1985" s="4">
        <v>0</v>
      </c>
      <c r="I1985" s="4">
        <v>0</v>
      </c>
      <c r="J1985" s="4">
        <v>0</v>
      </c>
      <c r="K1985" s="4">
        <v>0</v>
      </c>
      <c r="L1985" s="4">
        <v>2.7</v>
      </c>
      <c r="M1985" s="4">
        <f t="shared" si="90"/>
        <v>0</v>
      </c>
      <c r="N1985" s="4">
        <f t="shared" si="91"/>
        <v>0</v>
      </c>
      <c r="O1985" s="4">
        <f t="shared" si="92"/>
        <v>0</v>
      </c>
      <c r="P1985" s="3" t="s">
        <v>19</v>
      </c>
    </row>
    <row r="1986" spans="1:16" x14ac:dyDescent="0.35">
      <c r="A1986" s="3" t="s">
        <v>35</v>
      </c>
      <c r="B1986" s="3" t="str">
        <f>INDEX(State_Region!$B$2:$B$26,MATCH(TRIM(A1986),State_Region!$A$2:$A$26,0))</f>
        <v>North</v>
      </c>
      <c r="C1986" s="3" t="s">
        <v>38</v>
      </c>
      <c r="D1986" s="3" t="str">
        <f>INDEX(Port_Type!$B$2:$B$227,MATCH(TRIM(C1986),Port_Type!$A$2:$A$227,0))</f>
        <v>Inland ICD / CFS</v>
      </c>
      <c r="E1986" s="3" t="s">
        <v>150</v>
      </c>
      <c r="F1986" s="3" t="str">
        <f>INDEX(Product_Category!$B$2:$B$45,MATCH(TRIM(E1986),Product_Category!$A$2:$A$45,0))</f>
        <v>Nuts &amp; Oilseeds</v>
      </c>
      <c r="G1986" s="4">
        <v>0</v>
      </c>
      <c r="H1986" s="4">
        <v>0.01</v>
      </c>
      <c r="I1986" s="4">
        <v>0</v>
      </c>
      <c r="J1986" s="4">
        <v>0.01</v>
      </c>
      <c r="K1986" s="4">
        <v>0.5</v>
      </c>
      <c r="L1986" s="4">
        <v>0.05</v>
      </c>
      <c r="M1986" s="4">
        <f t="shared" ref="M1986:M2049" si="93">H1986-G1986</f>
        <v>0.01</v>
      </c>
      <c r="N1986" s="4">
        <f t="shared" ref="N1986:N2049" si="94">K1986-J1986</f>
        <v>0.49</v>
      </c>
      <c r="O1986" s="4">
        <f t="shared" ref="O1986:O2049" si="95">I1986-H1986</f>
        <v>-0.01</v>
      </c>
      <c r="P1986" s="3" t="s">
        <v>19</v>
      </c>
    </row>
    <row r="1987" spans="1:16" x14ac:dyDescent="0.35">
      <c r="A1987" s="3" t="s">
        <v>20</v>
      </c>
      <c r="B1987" s="3" t="str">
        <f>INDEX(State_Region!$B$2:$B$26,MATCH(TRIM(A1987),State_Region!$A$2:$A$26,0))</f>
        <v>West</v>
      </c>
      <c r="C1987" s="3" t="s">
        <v>68</v>
      </c>
      <c r="D1987" s="3" t="str">
        <f>INDEX(Port_Type!$B$2:$B$227,MATCH(TRIM(C1987),Port_Type!$A$2:$A$227,0))</f>
        <v>Air Cargo</v>
      </c>
      <c r="E1987" s="3" t="s">
        <v>118</v>
      </c>
      <c r="F1987" s="3" t="str">
        <f>INDEX(Product_Category!$B$2:$B$45,MATCH(TRIM(E1987),Product_Category!$A$2:$A$45,0))</f>
        <v>Dairy, Poultry &amp; Honey</v>
      </c>
      <c r="G1987" s="4">
        <v>0</v>
      </c>
      <c r="H1987" s="4">
        <v>0</v>
      </c>
      <c r="I1987" s="4">
        <v>0</v>
      </c>
      <c r="J1987" s="4">
        <v>0.23</v>
      </c>
      <c r="K1987" s="4">
        <v>0.16</v>
      </c>
      <c r="L1987" s="4">
        <v>0.17</v>
      </c>
      <c r="M1987" s="4">
        <f t="shared" si="93"/>
        <v>0</v>
      </c>
      <c r="N1987" s="4">
        <f t="shared" si="94"/>
        <v>-7.0000000000000007E-2</v>
      </c>
      <c r="O1987" s="4">
        <f t="shared" si="95"/>
        <v>0</v>
      </c>
      <c r="P1987" s="3" t="s">
        <v>19</v>
      </c>
    </row>
    <row r="1988" spans="1:16" x14ac:dyDescent="0.35">
      <c r="A1988" s="3" t="s">
        <v>40</v>
      </c>
      <c r="B1988" s="3" t="str">
        <f>INDEX(State_Region!$B$2:$B$26,MATCH(TRIM(A1988),State_Region!$A$2:$A$26,0))</f>
        <v>South</v>
      </c>
      <c r="C1988" s="3" t="s">
        <v>117</v>
      </c>
      <c r="D1988" s="3" t="str">
        <f>INDEX(Port_Type!$B$2:$B$227,MATCH(TRIM(C1988),Port_Type!$A$2:$A$227,0))</f>
        <v>Sea Port</v>
      </c>
      <c r="E1988" s="3" t="s">
        <v>181</v>
      </c>
      <c r="F1988" s="3" t="str">
        <f>INDEX(Product_Category!$B$2:$B$45,MATCH(TRIM(E1988),Product_Category!$A$2:$A$45,0))</f>
        <v>Nuts &amp; Oilseeds</v>
      </c>
      <c r="G1988" s="4">
        <v>0.02</v>
      </c>
      <c r="H1988" s="4">
        <v>0</v>
      </c>
      <c r="I1988" s="4">
        <v>0</v>
      </c>
      <c r="J1988" s="4">
        <v>1.41</v>
      </c>
      <c r="K1988" s="4">
        <v>0.01</v>
      </c>
      <c r="L1988" s="4">
        <v>0.2</v>
      </c>
      <c r="M1988" s="4">
        <f t="shared" si="93"/>
        <v>-0.02</v>
      </c>
      <c r="N1988" s="4">
        <f t="shared" si="94"/>
        <v>-1.4</v>
      </c>
      <c r="O1988" s="4">
        <f t="shared" si="95"/>
        <v>0</v>
      </c>
      <c r="P1988" s="3" t="s">
        <v>19</v>
      </c>
    </row>
    <row r="1989" spans="1:16" x14ac:dyDescent="0.35">
      <c r="A1989" s="3" t="s">
        <v>31</v>
      </c>
      <c r="B1989" s="3" t="str">
        <f>INDEX(State_Region!$B$2:$B$26,MATCH(TRIM(A1989),State_Region!$A$2:$A$26,0))</f>
        <v>East</v>
      </c>
      <c r="C1989" s="3" t="s">
        <v>215</v>
      </c>
      <c r="D1989" s="3" t="str">
        <f>INDEX(Port_Type!$B$2:$B$227,MATCH(TRIM(C1989),Port_Type!$A$2:$A$227,0))</f>
        <v>Land Border / Rail</v>
      </c>
      <c r="E1989" s="3" t="s">
        <v>51</v>
      </c>
      <c r="F1989" s="3" t="str">
        <f>INDEX(Product_Category!$B$2:$B$45,MATCH(TRIM(E1989),Product_Category!$A$2:$A$45,0))</f>
        <v>Nuts &amp; Oilseeds</v>
      </c>
      <c r="G1989" s="4">
        <v>0</v>
      </c>
      <c r="H1989" s="4">
        <v>0</v>
      </c>
      <c r="I1989" s="4">
        <v>0</v>
      </c>
      <c r="J1989" s="4">
        <v>0.28999999999999998</v>
      </c>
      <c r="K1989" s="4">
        <v>0.13</v>
      </c>
      <c r="L1989" s="4">
        <v>0.18</v>
      </c>
      <c r="M1989" s="4">
        <f t="shared" si="93"/>
        <v>0</v>
      </c>
      <c r="N1989" s="4">
        <f t="shared" si="94"/>
        <v>-0.15999999999999998</v>
      </c>
      <c r="O1989" s="4">
        <f t="shared" si="95"/>
        <v>0</v>
      </c>
      <c r="P1989" s="3" t="s">
        <v>19</v>
      </c>
    </row>
    <row r="1990" spans="1:16" x14ac:dyDescent="0.35">
      <c r="A1990" s="3" t="s">
        <v>77</v>
      </c>
      <c r="B1990" s="3" t="str">
        <f>INDEX(State_Region!$B$2:$B$26,MATCH(TRIM(A1990),State_Region!$A$2:$A$26,0))</f>
        <v>South</v>
      </c>
      <c r="C1990" s="3" t="s">
        <v>214</v>
      </c>
      <c r="D1990" s="3" t="str">
        <f>INDEX(Port_Type!$B$2:$B$227,MATCH(TRIM(C1990),Port_Type!$A$2:$A$227,0))</f>
        <v>SEZ / EPZ</v>
      </c>
      <c r="E1990" s="3" t="s">
        <v>65</v>
      </c>
      <c r="F1990" s="3" t="str">
        <f>INDEX(Product_Category!$B$2:$B$45,MATCH(TRIM(E1990),Product_Category!$A$2:$A$45,0))</f>
        <v>Cereals &amp; Grains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0.22</v>
      </c>
      <c r="M1990" s="4">
        <f t="shared" si="93"/>
        <v>0</v>
      </c>
      <c r="N1990" s="4">
        <f t="shared" si="94"/>
        <v>0</v>
      </c>
      <c r="O1990" s="4">
        <f t="shared" si="95"/>
        <v>0</v>
      </c>
      <c r="P1990" s="3" t="s">
        <v>19</v>
      </c>
    </row>
    <row r="1991" spans="1:16" x14ac:dyDescent="0.35">
      <c r="A1991" s="3" t="s">
        <v>31</v>
      </c>
      <c r="B1991" s="3" t="str">
        <f>INDEX(State_Region!$B$2:$B$26,MATCH(TRIM(A1991),State_Region!$A$2:$A$26,0))</f>
        <v>East</v>
      </c>
      <c r="C1991" s="3" t="s">
        <v>101</v>
      </c>
      <c r="D1991" s="3" t="str">
        <f>INDEX(Port_Type!$B$2:$B$227,MATCH(TRIM(C1991),Port_Type!$A$2:$A$227,0))</f>
        <v>Land Border / Rail</v>
      </c>
      <c r="E1991" s="3" t="s">
        <v>122</v>
      </c>
      <c r="F1991" s="3" t="str">
        <f>INDEX(Product_Category!$B$2:$B$45,MATCH(TRIM(E1991),Product_Category!$A$2:$A$45,0))</f>
        <v>Others</v>
      </c>
      <c r="G1991" s="4">
        <v>0</v>
      </c>
      <c r="H1991" s="4">
        <v>0</v>
      </c>
      <c r="I1991" s="4">
        <v>0</v>
      </c>
      <c r="J1991" s="4">
        <v>0</v>
      </c>
      <c r="K1991" s="4">
        <v>1.18</v>
      </c>
      <c r="L1991" s="4">
        <v>0.2</v>
      </c>
      <c r="M1991" s="4">
        <f t="shared" si="93"/>
        <v>0</v>
      </c>
      <c r="N1991" s="4">
        <f t="shared" si="94"/>
        <v>1.18</v>
      </c>
      <c r="O1991" s="4">
        <f t="shared" si="95"/>
        <v>0</v>
      </c>
      <c r="P1991" s="3" t="s">
        <v>19</v>
      </c>
    </row>
    <row r="1992" spans="1:16" x14ac:dyDescent="0.35">
      <c r="A1992" s="3" t="s">
        <v>57</v>
      </c>
      <c r="B1992" s="3" t="str">
        <f>INDEX(State_Region!$B$2:$B$26,MATCH(TRIM(A1992),State_Region!$A$2:$A$26,0))</f>
        <v>Central</v>
      </c>
      <c r="C1992" s="3" t="s">
        <v>161</v>
      </c>
      <c r="D1992" s="3" t="str">
        <f>INDEX(Port_Type!$B$2:$B$227,MATCH(TRIM(C1992),Port_Type!$A$2:$A$227,0))</f>
        <v>Inland ICD / CFS</v>
      </c>
      <c r="E1992" s="3" t="s">
        <v>181</v>
      </c>
      <c r="F1992" s="3" t="str">
        <f>INDEX(Product_Category!$B$2:$B$45,MATCH(TRIM(E1992),Product_Category!$A$2:$A$45,0))</f>
        <v>Nuts &amp; Oilseeds</v>
      </c>
      <c r="G1992" s="4">
        <v>0</v>
      </c>
      <c r="H1992" s="4">
        <v>0</v>
      </c>
      <c r="I1992" s="4">
        <v>0</v>
      </c>
      <c r="J1992" s="4">
        <v>0.03</v>
      </c>
      <c r="K1992" s="4">
        <v>0.05</v>
      </c>
      <c r="L1992" s="4">
        <v>0.05</v>
      </c>
      <c r="M1992" s="4">
        <f t="shared" si="93"/>
        <v>0</v>
      </c>
      <c r="N1992" s="4">
        <f t="shared" si="94"/>
        <v>2.0000000000000004E-2</v>
      </c>
      <c r="O1992" s="4">
        <f t="shared" si="95"/>
        <v>0</v>
      </c>
      <c r="P1992" s="3" t="s">
        <v>19</v>
      </c>
    </row>
    <row r="1993" spans="1:16" x14ac:dyDescent="0.35">
      <c r="A1993" s="3" t="s">
        <v>77</v>
      </c>
      <c r="B1993" s="3" t="str">
        <f>INDEX(State_Region!$B$2:$B$26,MATCH(TRIM(A1993),State_Region!$A$2:$A$26,0))</f>
        <v>South</v>
      </c>
      <c r="C1993" s="3" t="s">
        <v>132</v>
      </c>
      <c r="D1993" s="3" t="str">
        <f>INDEX(Port_Type!$B$2:$B$227,MATCH(TRIM(C1993),Port_Type!$A$2:$A$227,0))</f>
        <v>Air Cargo</v>
      </c>
      <c r="E1993" s="3" t="s">
        <v>116</v>
      </c>
      <c r="F1993" s="3" t="str">
        <f>INDEX(Product_Category!$B$2:$B$45,MATCH(TRIM(E1993),Product_Category!$A$2:$A$45,0))</f>
        <v>Others</v>
      </c>
      <c r="G1993" s="4">
        <v>0.09</v>
      </c>
      <c r="H1993" s="4">
        <v>0.05</v>
      </c>
      <c r="I1993" s="4">
        <v>0</v>
      </c>
      <c r="J1993" s="4">
        <v>1.33</v>
      </c>
      <c r="K1993" s="4">
        <v>1.4</v>
      </c>
      <c r="L1993" s="4">
        <v>0.01</v>
      </c>
      <c r="M1993" s="4">
        <f t="shared" si="93"/>
        <v>-3.9999999999999994E-2</v>
      </c>
      <c r="N1993" s="4">
        <f t="shared" si="94"/>
        <v>6.999999999999984E-2</v>
      </c>
      <c r="O1993" s="4">
        <f t="shared" si="95"/>
        <v>-0.05</v>
      </c>
      <c r="P1993" s="3" t="s">
        <v>19</v>
      </c>
    </row>
    <row r="1994" spans="1:16" x14ac:dyDescent="0.35">
      <c r="A1994" s="3" t="s">
        <v>16</v>
      </c>
      <c r="B1994" s="3" t="str">
        <f>INDEX(State_Region!$B$2:$B$26,MATCH(TRIM(A1994),State_Region!$A$2:$A$26,0))</f>
        <v>West</v>
      </c>
      <c r="C1994" s="3" t="s">
        <v>140</v>
      </c>
      <c r="D1994" s="3" t="str">
        <f>INDEX(Port_Type!$B$2:$B$227,MATCH(TRIM(C1994),Port_Type!$A$2:$A$227,0))</f>
        <v>SEZ / EPZ</v>
      </c>
      <c r="E1994" s="3" t="s">
        <v>54</v>
      </c>
      <c r="F1994" s="3" t="str">
        <f>INDEX(Product_Category!$B$2:$B$45,MATCH(TRIM(E1994),Product_Category!$A$2:$A$45,0))</f>
        <v>Processed Foods</v>
      </c>
      <c r="G1994" s="4">
        <v>0.08</v>
      </c>
      <c r="H1994" s="4">
        <v>0.28999999999999998</v>
      </c>
      <c r="I1994" s="4">
        <v>0</v>
      </c>
      <c r="J1994" s="4">
        <v>6.69</v>
      </c>
      <c r="K1994" s="4">
        <v>61.71</v>
      </c>
      <c r="L1994" s="4">
        <v>0.08</v>
      </c>
      <c r="M1994" s="4">
        <f t="shared" si="93"/>
        <v>0.20999999999999996</v>
      </c>
      <c r="N1994" s="4">
        <f t="shared" si="94"/>
        <v>55.02</v>
      </c>
      <c r="O1994" s="4">
        <f t="shared" si="95"/>
        <v>-0.28999999999999998</v>
      </c>
      <c r="P1994" s="3" t="s">
        <v>19</v>
      </c>
    </row>
    <row r="1995" spans="1:16" x14ac:dyDescent="0.35">
      <c r="A1995" s="3" t="s">
        <v>20</v>
      </c>
      <c r="B1995" s="3" t="str">
        <f>INDEX(State_Region!$B$2:$B$26,MATCH(TRIM(A1995),State_Region!$A$2:$A$26,0))</f>
        <v>West</v>
      </c>
      <c r="C1995" s="3" t="s">
        <v>134</v>
      </c>
      <c r="D1995" s="3" t="str">
        <f>INDEX(Port_Type!$B$2:$B$227,MATCH(TRIM(C1995),Port_Type!$A$2:$A$227,0))</f>
        <v>Inland ICD / CFS</v>
      </c>
      <c r="E1995" s="3" t="s">
        <v>27</v>
      </c>
      <c r="F1995" s="3" t="str">
        <f>INDEX(Product_Category!$B$2:$B$45,MATCH(TRIM(E1995),Product_Category!$A$2:$A$45,0))</f>
        <v>Cereals &amp; Grains</v>
      </c>
      <c r="G1995" s="4">
        <v>0</v>
      </c>
      <c r="H1995" s="4">
        <v>0</v>
      </c>
      <c r="I1995" s="4">
        <v>0</v>
      </c>
      <c r="J1995" s="4">
        <v>0</v>
      </c>
      <c r="K1995" s="4">
        <v>0</v>
      </c>
      <c r="L1995" s="4">
        <v>0.38</v>
      </c>
      <c r="M1995" s="4">
        <f t="shared" si="93"/>
        <v>0</v>
      </c>
      <c r="N1995" s="4">
        <f t="shared" si="94"/>
        <v>0</v>
      </c>
      <c r="O1995" s="4">
        <f t="shared" si="95"/>
        <v>0</v>
      </c>
      <c r="P1995" s="3" t="s">
        <v>19</v>
      </c>
    </row>
    <row r="1996" spans="1:16" x14ac:dyDescent="0.35">
      <c r="A1996" s="3" t="s">
        <v>40</v>
      </c>
      <c r="B1996" s="3" t="str">
        <f>INDEX(State_Region!$B$2:$B$26,MATCH(TRIM(A1996),State_Region!$A$2:$A$26,0))</f>
        <v>South</v>
      </c>
      <c r="C1996" s="3" t="s">
        <v>41</v>
      </c>
      <c r="D1996" s="3" t="str">
        <f>INDEX(Port_Type!$B$2:$B$227,MATCH(TRIM(C1996),Port_Type!$A$2:$A$227,0))</f>
        <v>Sea Port</v>
      </c>
      <c r="E1996" s="3" t="s">
        <v>113</v>
      </c>
      <c r="F1996" s="3" t="str">
        <f>INDEX(Product_Category!$B$2:$B$45,MATCH(TRIM(E1996),Product_Category!$A$2:$A$45,0))</f>
        <v>Cereals &amp; Grains</v>
      </c>
      <c r="G1996" s="4">
        <v>0</v>
      </c>
      <c r="H1996" s="4">
        <v>0</v>
      </c>
      <c r="I1996" s="4">
        <v>0</v>
      </c>
      <c r="J1996" s="4">
        <v>0</v>
      </c>
      <c r="K1996" s="4">
        <v>0.02</v>
      </c>
      <c r="L1996" s="4">
        <v>0.2</v>
      </c>
      <c r="M1996" s="4">
        <f t="shared" si="93"/>
        <v>0</v>
      </c>
      <c r="N1996" s="4">
        <f t="shared" si="94"/>
        <v>0.02</v>
      </c>
      <c r="O1996" s="4">
        <f t="shared" si="95"/>
        <v>0</v>
      </c>
      <c r="P1996" s="3" t="s">
        <v>19</v>
      </c>
    </row>
    <row r="1997" spans="1:16" x14ac:dyDescent="0.35">
      <c r="A1997" s="3" t="s">
        <v>31</v>
      </c>
      <c r="B1997" s="3" t="str">
        <f>INDEX(State_Region!$B$2:$B$26,MATCH(TRIM(A1997),State_Region!$A$2:$A$26,0))</f>
        <v>East</v>
      </c>
      <c r="C1997" s="3" t="s">
        <v>141</v>
      </c>
      <c r="D1997" s="3" t="str">
        <f>INDEX(Port_Type!$B$2:$B$227,MATCH(TRIM(C1997),Port_Type!$A$2:$A$227,0))</f>
        <v>Land Border / Rail</v>
      </c>
      <c r="E1997" s="3" t="s">
        <v>126</v>
      </c>
      <c r="F1997" s="3" t="str">
        <f>INDEX(Product_Category!$B$2:$B$45,MATCH(TRIM(E1997),Product_Category!$A$2:$A$45,0))</f>
        <v>Cereals &amp; Grains</v>
      </c>
      <c r="G1997" s="4">
        <v>0.04</v>
      </c>
      <c r="H1997" s="4">
        <v>0.03</v>
      </c>
      <c r="I1997" s="4">
        <v>0</v>
      </c>
      <c r="J1997" s="4">
        <v>152.55000000000001</v>
      </c>
      <c r="K1997" s="4">
        <v>82.88</v>
      </c>
      <c r="L1997" s="4">
        <v>0.3</v>
      </c>
      <c r="M1997" s="4">
        <f t="shared" si="93"/>
        <v>-1.0000000000000002E-2</v>
      </c>
      <c r="N1997" s="4">
        <f t="shared" si="94"/>
        <v>-69.670000000000016</v>
      </c>
      <c r="O1997" s="4">
        <f t="shared" si="95"/>
        <v>-0.03</v>
      </c>
      <c r="P1997" s="3" t="s">
        <v>19</v>
      </c>
    </row>
    <row r="1998" spans="1:16" x14ac:dyDescent="0.35">
      <c r="A1998" s="3" t="s">
        <v>31</v>
      </c>
      <c r="B1998" s="3" t="str">
        <f>INDEX(State_Region!$B$2:$B$26,MATCH(TRIM(A1998),State_Region!$A$2:$A$26,0))</f>
        <v>East</v>
      </c>
      <c r="C1998" s="3" t="s">
        <v>215</v>
      </c>
      <c r="D1998" s="3" t="str">
        <f>INDEX(Port_Type!$B$2:$B$227,MATCH(TRIM(C1998),Port_Type!$A$2:$A$227,0))</f>
        <v>Land Border / Rail</v>
      </c>
      <c r="E1998" s="3" t="s">
        <v>170</v>
      </c>
      <c r="F1998" s="3" t="str">
        <f>INDEX(Product_Category!$B$2:$B$45,MATCH(TRIM(E1998),Product_Category!$A$2:$A$45,0))</f>
        <v>Others</v>
      </c>
      <c r="G1998" s="4">
        <v>0.01</v>
      </c>
      <c r="H1998" s="4">
        <v>0</v>
      </c>
      <c r="I1998" s="4">
        <v>0</v>
      </c>
      <c r="J1998" s="4">
        <v>13.54</v>
      </c>
      <c r="K1998" s="4">
        <v>1.47</v>
      </c>
      <c r="L1998" s="4">
        <v>0.18</v>
      </c>
      <c r="M1998" s="4">
        <f t="shared" si="93"/>
        <v>-0.01</v>
      </c>
      <c r="N1998" s="4">
        <f t="shared" si="94"/>
        <v>-12.069999999999999</v>
      </c>
      <c r="O1998" s="4">
        <f t="shared" si="95"/>
        <v>0</v>
      </c>
      <c r="P1998" s="3" t="s">
        <v>19</v>
      </c>
    </row>
    <row r="1999" spans="1:16" x14ac:dyDescent="0.35">
      <c r="A1999" s="3" t="s">
        <v>16</v>
      </c>
      <c r="B1999" s="3" t="str">
        <f>INDEX(State_Region!$B$2:$B$26,MATCH(TRIM(A1999),State_Region!$A$2:$A$26,0))</f>
        <v>West</v>
      </c>
      <c r="C1999" s="3" t="s">
        <v>109</v>
      </c>
      <c r="D1999" s="3" t="str">
        <f>INDEX(Port_Type!$B$2:$B$227,MATCH(TRIM(C1999),Port_Type!$A$2:$A$227,0))</f>
        <v>SEZ / EPZ</v>
      </c>
      <c r="E1999" s="3" t="s">
        <v>179</v>
      </c>
      <c r="F1999" s="3" t="str">
        <f>INDEX(Product_Category!$B$2:$B$45,MATCH(TRIM(E1999),Product_Category!$A$2:$A$45,0))</f>
        <v>Nuts &amp; Oilseeds</v>
      </c>
      <c r="G1999" s="4">
        <v>0.01</v>
      </c>
      <c r="H1999" s="4">
        <v>0.01</v>
      </c>
      <c r="I1999" s="4">
        <v>0</v>
      </c>
      <c r="J1999" s="4">
        <v>0.85</v>
      </c>
      <c r="K1999" s="4">
        <v>0.53</v>
      </c>
      <c r="L1999" s="4">
        <v>0.02</v>
      </c>
      <c r="M1999" s="4">
        <f t="shared" si="93"/>
        <v>0</v>
      </c>
      <c r="N1999" s="4">
        <f t="shared" si="94"/>
        <v>-0.31999999999999995</v>
      </c>
      <c r="O1999" s="4">
        <f t="shared" si="95"/>
        <v>-0.01</v>
      </c>
      <c r="P1999" s="3" t="s">
        <v>19</v>
      </c>
    </row>
    <row r="2000" spans="1:16" x14ac:dyDescent="0.35">
      <c r="A2000" s="3" t="s">
        <v>49</v>
      </c>
      <c r="B2000" s="3" t="str">
        <f>INDEX(State_Region!$B$2:$B$26,MATCH(TRIM(A2000),State_Region!$A$2:$A$26,0))</f>
        <v>North</v>
      </c>
      <c r="C2000" s="3" t="s">
        <v>237</v>
      </c>
      <c r="D2000" s="3" t="str">
        <f>INDEX(Port_Type!$B$2:$B$227,MATCH(TRIM(C2000),Port_Type!$A$2:$A$227,0))</f>
        <v>Air Cargo</v>
      </c>
      <c r="E2000" s="3" t="s">
        <v>42</v>
      </c>
      <c r="F2000" s="3" t="str">
        <f>INDEX(Product_Category!$B$2:$B$45,MATCH(TRIM(E2000),Product_Category!$A$2:$A$45,0))</f>
        <v>Processed Foods</v>
      </c>
      <c r="G2000" s="4">
        <v>0.05</v>
      </c>
      <c r="H2000" s="4">
        <v>0</v>
      </c>
      <c r="I2000" s="4">
        <v>0</v>
      </c>
      <c r="J2000" s="4">
        <v>116.31</v>
      </c>
      <c r="K2000" s="4">
        <v>4.75</v>
      </c>
      <c r="L2000" s="4">
        <v>0.5</v>
      </c>
      <c r="M2000" s="4">
        <f t="shared" si="93"/>
        <v>-0.05</v>
      </c>
      <c r="N2000" s="4">
        <f t="shared" si="94"/>
        <v>-111.56</v>
      </c>
      <c r="O2000" s="4">
        <f t="shared" si="95"/>
        <v>0</v>
      </c>
      <c r="P2000" s="3" t="s">
        <v>19</v>
      </c>
    </row>
    <row r="2001" spans="1:16" x14ac:dyDescent="0.35">
      <c r="A2001" s="3" t="s">
        <v>66</v>
      </c>
      <c r="B2001" s="3" t="str">
        <f>INDEX(State_Region!$B$2:$B$26,MATCH(TRIM(A2001),State_Region!$A$2:$A$26,0))</f>
        <v>North</v>
      </c>
      <c r="C2001" s="3" t="s">
        <v>208</v>
      </c>
      <c r="D2001" s="3" t="str">
        <f>INDEX(Port_Type!$B$2:$B$227,MATCH(TRIM(C2001),Port_Type!$A$2:$A$227,0))</f>
        <v>Inland ICD / CFS</v>
      </c>
      <c r="E2001" s="3" t="s">
        <v>84</v>
      </c>
      <c r="F2001" s="3" t="str">
        <f>INDEX(Product_Category!$B$2:$B$45,MATCH(TRIM(E2001),Product_Category!$A$2:$A$45,0))</f>
        <v>Nuts &amp; Oilseeds</v>
      </c>
      <c r="G2001" s="4">
        <v>0</v>
      </c>
      <c r="H2001" s="4">
        <v>0</v>
      </c>
      <c r="I2001" s="4">
        <v>0</v>
      </c>
      <c r="J2001" s="4">
        <v>0.21</v>
      </c>
      <c r="K2001" s="4">
        <v>0</v>
      </c>
      <c r="L2001" s="4">
        <v>0.1</v>
      </c>
      <c r="M2001" s="4">
        <f t="shared" si="93"/>
        <v>0</v>
      </c>
      <c r="N2001" s="4">
        <f t="shared" si="94"/>
        <v>-0.21</v>
      </c>
      <c r="O2001" s="4">
        <f t="shared" si="95"/>
        <v>0</v>
      </c>
      <c r="P2001" s="3" t="s">
        <v>19</v>
      </c>
    </row>
    <row r="2002" spans="1:16" x14ac:dyDescent="0.35">
      <c r="A2002" s="3" t="s">
        <v>20</v>
      </c>
      <c r="B2002" s="3" t="str">
        <f>INDEX(State_Region!$B$2:$B$26,MATCH(TRIM(A2002),State_Region!$A$2:$A$26,0))</f>
        <v>West</v>
      </c>
      <c r="C2002" s="3" t="s">
        <v>265</v>
      </c>
      <c r="D2002" s="3" t="str">
        <f>INDEX(Port_Type!$B$2:$B$227,MATCH(TRIM(C2002),Port_Type!$A$2:$A$227,0))</f>
        <v>Sea Port</v>
      </c>
      <c r="E2002" s="3" t="s">
        <v>102</v>
      </c>
      <c r="F2002" s="3" t="str">
        <f>INDEX(Product_Category!$B$2:$B$45,MATCH(TRIM(E2002),Product_Category!$A$2:$A$45,0))</f>
        <v>Fresh Fruits &amp; Vegetables</v>
      </c>
      <c r="G2002" s="4">
        <v>0</v>
      </c>
      <c r="H2002" s="4">
        <v>0</v>
      </c>
      <c r="I2002" s="4">
        <v>0</v>
      </c>
      <c r="J2002" s="4">
        <v>0</v>
      </c>
      <c r="K2002" s="4">
        <v>1.89</v>
      </c>
      <c r="L2002" s="4">
        <v>0.15</v>
      </c>
      <c r="M2002" s="4">
        <f t="shared" si="93"/>
        <v>0</v>
      </c>
      <c r="N2002" s="4">
        <f t="shared" si="94"/>
        <v>1.89</v>
      </c>
      <c r="O2002" s="4">
        <f t="shared" si="95"/>
        <v>0</v>
      </c>
      <c r="P2002" s="3" t="s">
        <v>19</v>
      </c>
    </row>
    <row r="2003" spans="1:16" x14ac:dyDescent="0.35">
      <c r="A2003" s="3" t="s">
        <v>231</v>
      </c>
      <c r="B2003" s="3" t="str">
        <f>INDEX(State_Region!$B$2:$B$26,MATCH(TRIM(A2003),State_Region!$A$2:$A$26,0))</f>
        <v>North-East</v>
      </c>
      <c r="C2003" s="3" t="s">
        <v>232</v>
      </c>
      <c r="D2003" s="3" t="str">
        <f>INDEX(Port_Type!$B$2:$B$227,MATCH(TRIM(C2003),Port_Type!$A$2:$A$227,0))</f>
        <v>Land Border / Rail</v>
      </c>
      <c r="E2003" s="3" t="s">
        <v>126</v>
      </c>
      <c r="F2003" s="3" t="str">
        <f>INDEX(Product_Category!$B$2:$B$45,MATCH(TRIM(E2003),Product_Category!$A$2:$A$45,0))</f>
        <v>Cereals &amp; Grains</v>
      </c>
      <c r="G2003" s="4">
        <v>0</v>
      </c>
      <c r="H2003" s="4">
        <v>0</v>
      </c>
      <c r="I2003" s="4">
        <v>0</v>
      </c>
      <c r="J2003" s="4">
        <v>0.02</v>
      </c>
      <c r="K2003" s="4">
        <v>0.03</v>
      </c>
      <c r="L2003" s="4">
        <v>0.5</v>
      </c>
      <c r="M2003" s="4">
        <f t="shared" si="93"/>
        <v>0</v>
      </c>
      <c r="N2003" s="4">
        <f t="shared" si="94"/>
        <v>9.9999999999999985E-3</v>
      </c>
      <c r="O2003" s="4">
        <f t="shared" si="95"/>
        <v>0</v>
      </c>
      <c r="P2003" s="3" t="s">
        <v>19</v>
      </c>
    </row>
    <row r="2004" spans="1:16" x14ac:dyDescent="0.35">
      <c r="A2004" s="3" t="s">
        <v>16</v>
      </c>
      <c r="B2004" s="3" t="str">
        <f>INDEX(State_Region!$B$2:$B$26,MATCH(TRIM(A2004),State_Region!$A$2:$A$26,0))</f>
        <v>West</v>
      </c>
      <c r="C2004" s="3" t="s">
        <v>17</v>
      </c>
      <c r="D2004" s="3" t="str">
        <f>INDEX(Port_Type!$B$2:$B$227,MATCH(TRIM(C2004),Port_Type!$A$2:$A$227,0))</f>
        <v>Sea Port</v>
      </c>
      <c r="E2004" s="3" t="s">
        <v>81</v>
      </c>
      <c r="F2004" s="3" t="str">
        <f>INDEX(Product_Category!$B$2:$B$45,MATCH(TRIM(E2004),Product_Category!$A$2:$A$45,0))</f>
        <v>Processed Foods</v>
      </c>
      <c r="G2004" s="4">
        <v>0</v>
      </c>
      <c r="H2004" s="4">
        <v>0</v>
      </c>
      <c r="I2004" s="4">
        <v>0</v>
      </c>
      <c r="J2004" s="4">
        <v>1.54</v>
      </c>
      <c r="K2004" s="4">
        <v>0.85</v>
      </c>
      <c r="L2004" s="4">
        <v>0.18</v>
      </c>
      <c r="M2004" s="4">
        <f t="shared" si="93"/>
        <v>0</v>
      </c>
      <c r="N2004" s="4">
        <f t="shared" si="94"/>
        <v>-0.69000000000000006</v>
      </c>
      <c r="O2004" s="4">
        <f t="shared" si="95"/>
        <v>0</v>
      </c>
      <c r="P2004" s="3" t="s">
        <v>19</v>
      </c>
    </row>
    <row r="2005" spans="1:16" x14ac:dyDescent="0.35">
      <c r="A2005" s="3" t="s">
        <v>23</v>
      </c>
      <c r="B2005" s="3" t="str">
        <f>INDEX(State_Region!$B$2:$B$26,MATCH(TRIM(A2005),State_Region!$A$2:$A$26,0))</f>
        <v>North</v>
      </c>
      <c r="C2005" s="3" t="s">
        <v>120</v>
      </c>
      <c r="D2005" s="3" t="str">
        <f>INDEX(Port_Type!$B$2:$B$227,MATCH(TRIM(C2005),Port_Type!$A$2:$A$227,0))</f>
        <v>Inland ICD / CFS</v>
      </c>
      <c r="E2005" s="3" t="s">
        <v>144</v>
      </c>
      <c r="F2005" s="3" t="str">
        <f>INDEX(Product_Category!$B$2:$B$45,MATCH(TRIM(E2005),Product_Category!$A$2:$A$45,0))</f>
        <v>Cereals &amp; Grains</v>
      </c>
      <c r="G2005" s="4">
        <v>0</v>
      </c>
      <c r="H2005" s="4">
        <v>0</v>
      </c>
      <c r="I2005" s="4">
        <v>0</v>
      </c>
      <c r="J2005" s="4">
        <v>0</v>
      </c>
      <c r="K2005" s="4">
        <v>0</v>
      </c>
      <c r="L2005" s="4">
        <v>0.1</v>
      </c>
      <c r="M2005" s="4">
        <f t="shared" si="93"/>
        <v>0</v>
      </c>
      <c r="N2005" s="4">
        <f t="shared" si="94"/>
        <v>0</v>
      </c>
      <c r="O2005" s="4">
        <f t="shared" si="95"/>
        <v>0</v>
      </c>
      <c r="P2005" s="3" t="s">
        <v>19</v>
      </c>
    </row>
    <row r="2006" spans="1:16" x14ac:dyDescent="0.35">
      <c r="A2006" s="3" t="s">
        <v>79</v>
      </c>
      <c r="B2006" s="3" t="str">
        <f>INDEX(State_Region!$B$2:$B$26,MATCH(TRIM(A2006),State_Region!$A$2:$A$26,0))</f>
        <v>South</v>
      </c>
      <c r="C2006" s="3" t="s">
        <v>92</v>
      </c>
      <c r="D2006" s="3" t="str">
        <f>INDEX(Port_Type!$B$2:$B$227,MATCH(TRIM(C2006),Port_Type!$A$2:$A$227,0))</f>
        <v>Air Cargo</v>
      </c>
      <c r="E2006" s="3" t="s">
        <v>126</v>
      </c>
      <c r="F2006" s="3" t="str">
        <f>INDEX(Product_Category!$B$2:$B$45,MATCH(TRIM(E2006),Product_Category!$A$2:$A$45,0))</f>
        <v>Cereals &amp; Grains</v>
      </c>
      <c r="G2006" s="4">
        <v>0</v>
      </c>
      <c r="H2006" s="4">
        <v>0</v>
      </c>
      <c r="I2006" s="4">
        <v>0</v>
      </c>
      <c r="J2006" s="4">
        <v>1.89</v>
      </c>
      <c r="K2006" s="4">
        <v>0.45</v>
      </c>
      <c r="L2006" s="4">
        <v>0.06</v>
      </c>
      <c r="M2006" s="4">
        <f t="shared" si="93"/>
        <v>0</v>
      </c>
      <c r="N2006" s="4">
        <f t="shared" si="94"/>
        <v>-1.44</v>
      </c>
      <c r="O2006" s="4">
        <f t="shared" si="95"/>
        <v>0</v>
      </c>
      <c r="P2006" s="3" t="s">
        <v>19</v>
      </c>
    </row>
    <row r="2007" spans="1:16" x14ac:dyDescent="0.35">
      <c r="A2007" s="3" t="s">
        <v>23</v>
      </c>
      <c r="B2007" s="3" t="str">
        <f>INDEX(State_Region!$B$2:$B$26,MATCH(TRIM(A2007),State_Region!$A$2:$A$26,0))</f>
        <v>North</v>
      </c>
      <c r="C2007" s="3" t="s">
        <v>44</v>
      </c>
      <c r="D2007" s="3" t="str">
        <f>INDEX(Port_Type!$B$2:$B$227,MATCH(TRIM(C2007),Port_Type!$A$2:$A$227,0))</f>
        <v>Inland ICD / CFS</v>
      </c>
      <c r="E2007" s="3" t="s">
        <v>84</v>
      </c>
      <c r="F2007" s="3" t="str">
        <f>INDEX(Product_Category!$B$2:$B$45,MATCH(TRIM(E2007),Product_Category!$A$2:$A$45,0))</f>
        <v>Nuts &amp; Oilseeds</v>
      </c>
      <c r="G2007" s="4">
        <v>0.03</v>
      </c>
      <c r="H2007" s="4">
        <v>0</v>
      </c>
      <c r="I2007" s="4">
        <v>0</v>
      </c>
      <c r="J2007" s="4">
        <v>4.3899999999999997</v>
      </c>
      <c r="K2007" s="4">
        <v>0.06</v>
      </c>
      <c r="L2007" s="4">
        <v>0.02</v>
      </c>
      <c r="M2007" s="4">
        <f t="shared" si="93"/>
        <v>-0.03</v>
      </c>
      <c r="N2007" s="4">
        <f t="shared" si="94"/>
        <v>-4.33</v>
      </c>
      <c r="O2007" s="4">
        <f t="shared" si="95"/>
        <v>0</v>
      </c>
      <c r="P2007" s="3" t="s">
        <v>19</v>
      </c>
    </row>
    <row r="2008" spans="1:16" x14ac:dyDescent="0.35">
      <c r="A2008" s="3" t="s">
        <v>77</v>
      </c>
      <c r="B2008" s="3" t="str">
        <f>INDEX(State_Region!$B$2:$B$26,MATCH(TRIM(A2008),State_Region!$A$2:$A$26,0))</f>
        <v>South</v>
      </c>
      <c r="C2008" s="3" t="s">
        <v>168</v>
      </c>
      <c r="D2008" s="3" t="str">
        <f>INDEX(Port_Type!$B$2:$B$227,MATCH(TRIM(C2008),Port_Type!$A$2:$A$227,0))</f>
        <v>Air Cargo</v>
      </c>
      <c r="E2008" s="3" t="s">
        <v>72</v>
      </c>
      <c r="F2008" s="3" t="str">
        <f>INDEX(Product_Category!$B$2:$B$45,MATCH(TRIM(E2008),Product_Category!$A$2:$A$45,0))</f>
        <v>Dairy, Poultry &amp; Honey</v>
      </c>
      <c r="G2008" s="4">
        <v>0.01</v>
      </c>
      <c r="H2008" s="4">
        <v>0.02</v>
      </c>
      <c r="I2008" s="4">
        <v>0</v>
      </c>
      <c r="J2008" s="4">
        <v>2.3199999999999998</v>
      </c>
      <c r="K2008" s="4">
        <v>1.0900000000000001</v>
      </c>
      <c r="L2008" s="4">
        <v>0.1</v>
      </c>
      <c r="M2008" s="4">
        <f t="shared" si="93"/>
        <v>0.01</v>
      </c>
      <c r="N2008" s="4">
        <f t="shared" si="94"/>
        <v>-1.2299999999999998</v>
      </c>
      <c r="O2008" s="4">
        <f t="shared" si="95"/>
        <v>-0.02</v>
      </c>
      <c r="P2008" s="3" t="s">
        <v>19</v>
      </c>
    </row>
    <row r="2009" spans="1:16" x14ac:dyDescent="0.35">
      <c r="A2009" s="3" t="s">
        <v>74</v>
      </c>
      <c r="B2009" s="3" t="str">
        <f>INDEX(State_Region!$B$2:$B$26,MATCH(TRIM(A2009),State_Region!$A$2:$A$26,0))</f>
        <v>South</v>
      </c>
      <c r="C2009" s="3" t="s">
        <v>137</v>
      </c>
      <c r="D2009" s="3" t="str">
        <f>INDEX(Port_Type!$B$2:$B$227,MATCH(TRIM(C2009),Port_Type!$A$2:$A$227,0))</f>
        <v>Air Cargo</v>
      </c>
      <c r="E2009" s="3" t="s">
        <v>126</v>
      </c>
      <c r="F2009" s="3" t="str">
        <f>INDEX(Product_Category!$B$2:$B$45,MATCH(TRIM(E2009),Product_Category!$A$2:$A$45,0))</f>
        <v>Cereals &amp; Grains</v>
      </c>
      <c r="G2009" s="4">
        <v>0</v>
      </c>
      <c r="H2009" s="4">
        <v>0</v>
      </c>
      <c r="I2009" s="4">
        <v>0</v>
      </c>
      <c r="J2009" s="4">
        <v>0.79</v>
      </c>
      <c r="K2009" s="4">
        <v>0.17</v>
      </c>
      <c r="L2009" s="4">
        <v>0.15</v>
      </c>
      <c r="M2009" s="4">
        <f t="shared" si="93"/>
        <v>0</v>
      </c>
      <c r="N2009" s="4">
        <f t="shared" si="94"/>
        <v>-0.62</v>
      </c>
      <c r="O2009" s="4">
        <f t="shared" si="95"/>
        <v>0</v>
      </c>
      <c r="P2009" s="3" t="s">
        <v>19</v>
      </c>
    </row>
    <row r="2010" spans="1:16" x14ac:dyDescent="0.35">
      <c r="A2010" s="3" t="s">
        <v>79</v>
      </c>
      <c r="B2010" s="3" t="str">
        <f>INDEX(State_Region!$B$2:$B$26,MATCH(TRIM(A2010),State_Region!$A$2:$A$26,0))</f>
        <v>South</v>
      </c>
      <c r="C2010" s="3" t="s">
        <v>80</v>
      </c>
      <c r="D2010" s="3" t="str">
        <f>INDEX(Port_Type!$B$2:$B$227,MATCH(TRIM(C2010),Port_Type!$A$2:$A$227,0))</f>
        <v>Inland ICD / CFS</v>
      </c>
      <c r="E2010" s="3" t="s">
        <v>122</v>
      </c>
      <c r="F2010" s="3" t="str">
        <f>INDEX(Product_Category!$B$2:$B$45,MATCH(TRIM(E2010),Product_Category!$A$2:$A$45,0))</f>
        <v>Others</v>
      </c>
      <c r="G2010" s="4">
        <v>0.03</v>
      </c>
      <c r="H2010" s="4">
        <v>0.01</v>
      </c>
      <c r="I2010" s="4">
        <v>0</v>
      </c>
      <c r="J2010" s="4">
        <v>6.2</v>
      </c>
      <c r="K2010" s="4">
        <v>0.32</v>
      </c>
      <c r="L2010" s="4">
        <v>0.03</v>
      </c>
      <c r="M2010" s="4">
        <f t="shared" si="93"/>
        <v>-1.9999999999999997E-2</v>
      </c>
      <c r="N2010" s="4">
        <f t="shared" si="94"/>
        <v>-5.88</v>
      </c>
      <c r="O2010" s="4">
        <f t="shared" si="95"/>
        <v>-0.01</v>
      </c>
      <c r="P2010" s="3" t="s">
        <v>19</v>
      </c>
    </row>
    <row r="2011" spans="1:16" x14ac:dyDescent="0.35">
      <c r="A2011" s="3" t="s">
        <v>16</v>
      </c>
      <c r="B2011" s="3" t="str">
        <f>INDEX(State_Region!$B$2:$B$26,MATCH(TRIM(A2011),State_Region!$A$2:$A$26,0))</f>
        <v>West</v>
      </c>
      <c r="C2011" s="3" t="s">
        <v>135</v>
      </c>
      <c r="D2011" s="3" t="str">
        <f>INDEX(Port_Type!$B$2:$B$227,MATCH(TRIM(C2011),Port_Type!$A$2:$A$227,0))</f>
        <v>Air Cargo</v>
      </c>
      <c r="E2011" s="3" t="s">
        <v>62</v>
      </c>
      <c r="F2011" s="3" t="str">
        <f>INDEX(Product_Category!$B$2:$B$45,MATCH(TRIM(E2011),Product_Category!$A$2:$A$45,0))</f>
        <v>Cereals &amp; Grains</v>
      </c>
      <c r="G2011" s="4">
        <v>0</v>
      </c>
      <c r="H2011" s="4">
        <v>0</v>
      </c>
      <c r="I2011" s="4">
        <v>0</v>
      </c>
      <c r="J2011" s="4">
        <v>0</v>
      </c>
      <c r="K2011" s="4">
        <v>0</v>
      </c>
      <c r="L2011" s="4">
        <v>0.13</v>
      </c>
      <c r="M2011" s="4">
        <f t="shared" si="93"/>
        <v>0</v>
      </c>
      <c r="N2011" s="4">
        <f t="shared" si="94"/>
        <v>0</v>
      </c>
      <c r="O2011" s="4">
        <f t="shared" si="95"/>
        <v>0</v>
      </c>
      <c r="P2011" s="3" t="s">
        <v>19</v>
      </c>
    </row>
    <row r="2012" spans="1:16" x14ac:dyDescent="0.35">
      <c r="A2012" s="3" t="s">
        <v>49</v>
      </c>
      <c r="B2012" s="3" t="str">
        <f>INDEX(State_Region!$B$2:$B$26,MATCH(TRIM(A2012),State_Region!$A$2:$A$26,0))</f>
        <v>North</v>
      </c>
      <c r="C2012" s="3" t="s">
        <v>176</v>
      </c>
      <c r="D2012" s="3" t="str">
        <f>INDEX(Port_Type!$B$2:$B$227,MATCH(TRIM(C2012),Port_Type!$A$2:$A$227,0))</f>
        <v>Inland ICD / CFS</v>
      </c>
      <c r="E2012" s="3" t="s">
        <v>51</v>
      </c>
      <c r="F2012" s="3" t="str">
        <f>INDEX(Product_Category!$B$2:$B$45,MATCH(TRIM(E2012),Product_Category!$A$2:$A$45,0))</f>
        <v>Nuts &amp; Oilseeds</v>
      </c>
      <c r="G2012" s="4">
        <v>0</v>
      </c>
      <c r="H2012" s="4">
        <v>0.01</v>
      </c>
      <c r="I2012" s="4">
        <v>0</v>
      </c>
      <c r="J2012" s="4">
        <v>2.84</v>
      </c>
      <c r="K2012" s="4">
        <v>5.49</v>
      </c>
      <c r="L2012" s="4">
        <v>0.1</v>
      </c>
      <c r="M2012" s="4">
        <f t="shared" si="93"/>
        <v>0.01</v>
      </c>
      <c r="N2012" s="4">
        <f t="shared" si="94"/>
        <v>2.6500000000000004</v>
      </c>
      <c r="O2012" s="4">
        <f t="shared" si="95"/>
        <v>-0.01</v>
      </c>
      <c r="P2012" s="3" t="s">
        <v>19</v>
      </c>
    </row>
    <row r="2013" spans="1:16" x14ac:dyDescent="0.35">
      <c r="A2013" s="3" t="s">
        <v>40</v>
      </c>
      <c r="B2013" s="3" t="str">
        <f>INDEX(State_Region!$B$2:$B$26,MATCH(TRIM(A2013),State_Region!$A$2:$A$26,0))</f>
        <v>South</v>
      </c>
      <c r="C2013" s="3" t="s">
        <v>194</v>
      </c>
      <c r="D2013" s="3" t="str">
        <f>INDEX(Port_Type!$B$2:$B$227,MATCH(TRIM(C2013),Port_Type!$A$2:$A$227,0))</f>
        <v>Air Cargo</v>
      </c>
      <c r="E2013" s="3" t="s">
        <v>59</v>
      </c>
      <c r="F2013" s="3" t="str">
        <f>INDEX(Product_Category!$B$2:$B$45,MATCH(TRIM(E2013),Product_Category!$A$2:$A$45,0))</f>
        <v>Processed Foods</v>
      </c>
      <c r="G2013" s="4">
        <v>0</v>
      </c>
      <c r="H2013" s="4">
        <v>0</v>
      </c>
      <c r="I2013" s="4">
        <v>0</v>
      </c>
      <c r="J2013" s="4">
        <v>0.36</v>
      </c>
      <c r="K2013" s="4">
        <v>0.13</v>
      </c>
      <c r="L2013" s="4">
        <v>0.04</v>
      </c>
      <c r="M2013" s="4">
        <f t="shared" si="93"/>
        <v>0</v>
      </c>
      <c r="N2013" s="4">
        <f t="shared" si="94"/>
        <v>-0.22999999999999998</v>
      </c>
      <c r="O2013" s="4">
        <f t="shared" si="95"/>
        <v>0</v>
      </c>
      <c r="P2013" s="3" t="s">
        <v>19</v>
      </c>
    </row>
    <row r="2014" spans="1:16" x14ac:dyDescent="0.35">
      <c r="A2014" s="3" t="s">
        <v>57</v>
      </c>
      <c r="B2014" s="3" t="str">
        <f>INDEX(State_Region!$B$2:$B$26,MATCH(TRIM(A2014),State_Region!$A$2:$A$26,0))</f>
        <v>Central</v>
      </c>
      <c r="C2014" s="3" t="s">
        <v>197</v>
      </c>
      <c r="D2014" s="3" t="str">
        <f>INDEX(Port_Type!$B$2:$B$227,MATCH(TRIM(C2014),Port_Type!$A$2:$A$227,0))</f>
        <v>Air Cargo</v>
      </c>
      <c r="E2014" s="3" t="s">
        <v>53</v>
      </c>
      <c r="F2014" s="3" t="str">
        <f>INDEX(Product_Category!$B$2:$B$45,MATCH(TRIM(E2014),Product_Category!$A$2:$A$45,0))</f>
        <v>Processed Foods</v>
      </c>
      <c r="G2014" s="4">
        <v>0</v>
      </c>
      <c r="H2014" s="4">
        <v>0.01</v>
      </c>
      <c r="I2014" s="4">
        <v>0</v>
      </c>
      <c r="J2014" s="4">
        <v>0.06</v>
      </c>
      <c r="K2014" s="4">
        <v>0.71</v>
      </c>
      <c r="L2014" s="4">
        <v>0.2</v>
      </c>
      <c r="M2014" s="4">
        <f t="shared" si="93"/>
        <v>0.01</v>
      </c>
      <c r="N2014" s="4">
        <f t="shared" si="94"/>
        <v>0.64999999999999991</v>
      </c>
      <c r="O2014" s="4">
        <f t="shared" si="95"/>
        <v>-0.01</v>
      </c>
      <c r="P2014" s="3" t="s">
        <v>19</v>
      </c>
    </row>
    <row r="2015" spans="1:16" x14ac:dyDescent="0.35">
      <c r="A2015" s="3" t="s">
        <v>23</v>
      </c>
      <c r="B2015" s="3" t="str">
        <f>INDEX(State_Region!$B$2:$B$26,MATCH(TRIM(A2015),State_Region!$A$2:$A$26,0))</f>
        <v>North</v>
      </c>
      <c r="C2015" s="3" t="s">
        <v>123</v>
      </c>
      <c r="D2015" s="3" t="str">
        <f>INDEX(Port_Type!$B$2:$B$227,MATCH(TRIM(C2015),Port_Type!$A$2:$A$227,0))</f>
        <v>Land Border / Rail</v>
      </c>
      <c r="E2015" s="3" t="s">
        <v>170</v>
      </c>
      <c r="F2015" s="3" t="str">
        <f>INDEX(Product_Category!$B$2:$B$45,MATCH(TRIM(E2015),Product_Category!$A$2:$A$45,0))</f>
        <v>Others</v>
      </c>
      <c r="G2015" s="4">
        <v>2.76</v>
      </c>
      <c r="H2015" s="4">
        <v>0</v>
      </c>
      <c r="I2015" s="4">
        <v>0</v>
      </c>
      <c r="J2015" s="4">
        <v>539.03</v>
      </c>
      <c r="K2015" s="4">
        <v>0</v>
      </c>
      <c r="L2015" s="4">
        <v>0.01</v>
      </c>
      <c r="M2015" s="4">
        <f t="shared" si="93"/>
        <v>-2.76</v>
      </c>
      <c r="N2015" s="4">
        <f t="shared" si="94"/>
        <v>-539.03</v>
      </c>
      <c r="O2015" s="4">
        <f t="shared" si="95"/>
        <v>0</v>
      </c>
      <c r="P2015" s="3" t="s">
        <v>19</v>
      </c>
    </row>
    <row r="2016" spans="1:16" x14ac:dyDescent="0.35">
      <c r="A2016" s="3" t="s">
        <v>231</v>
      </c>
      <c r="B2016" s="3" t="str">
        <f>INDEX(State_Region!$B$2:$B$26,MATCH(TRIM(A2016),State_Region!$A$2:$A$26,0))</f>
        <v>North-East</v>
      </c>
      <c r="C2016" s="3" t="s">
        <v>232</v>
      </c>
      <c r="D2016" s="3" t="str">
        <f>INDEX(Port_Type!$B$2:$B$227,MATCH(TRIM(C2016),Port_Type!$A$2:$A$227,0))</f>
        <v>Land Border / Rail</v>
      </c>
      <c r="E2016" s="3" t="s">
        <v>84</v>
      </c>
      <c r="F2016" s="3" t="str">
        <f>INDEX(Product_Category!$B$2:$B$45,MATCH(TRIM(E2016),Product_Category!$A$2:$A$45,0))</f>
        <v>Nuts &amp; Oilseeds</v>
      </c>
      <c r="G2016" s="4">
        <v>0</v>
      </c>
      <c r="H2016" s="4">
        <v>0</v>
      </c>
      <c r="I2016" s="4">
        <v>0</v>
      </c>
      <c r="J2016" s="4">
        <v>7.0000000000000007E-2</v>
      </c>
      <c r="K2016" s="4">
        <v>0.09</v>
      </c>
      <c r="L2016" s="4">
        <v>0.05</v>
      </c>
      <c r="M2016" s="4">
        <f t="shared" si="93"/>
        <v>0</v>
      </c>
      <c r="N2016" s="4">
        <f t="shared" si="94"/>
        <v>1.999999999999999E-2</v>
      </c>
      <c r="O2016" s="4">
        <f t="shared" si="95"/>
        <v>0</v>
      </c>
      <c r="P2016" s="3" t="s">
        <v>19</v>
      </c>
    </row>
    <row r="2017" spans="1:16" x14ac:dyDescent="0.35">
      <c r="A2017" s="3" t="s">
        <v>94</v>
      </c>
      <c r="B2017" s="3" t="str">
        <f>INDEX(State_Region!$B$2:$B$26,MATCH(TRIM(A2017),State_Region!$A$2:$A$26,0))</f>
        <v>East</v>
      </c>
      <c r="C2017" s="3" t="s">
        <v>188</v>
      </c>
      <c r="D2017" s="3" t="str">
        <f>INDEX(Port_Type!$B$2:$B$227,MATCH(TRIM(C2017),Port_Type!$A$2:$A$227,0))</f>
        <v>Land Border / Rail</v>
      </c>
      <c r="E2017" s="3" t="s">
        <v>116</v>
      </c>
      <c r="F2017" s="3" t="str">
        <f>INDEX(Product_Category!$B$2:$B$45,MATCH(TRIM(E2017),Product_Category!$A$2:$A$45,0))</f>
        <v>Others</v>
      </c>
      <c r="G2017" s="4">
        <v>0</v>
      </c>
      <c r="H2017" s="4">
        <v>0</v>
      </c>
      <c r="I2017" s="4">
        <v>0</v>
      </c>
      <c r="J2017" s="4">
        <v>0</v>
      </c>
      <c r="K2017" s="4">
        <v>0</v>
      </c>
      <c r="L2017" s="4">
        <v>0.2</v>
      </c>
      <c r="M2017" s="4">
        <f t="shared" si="93"/>
        <v>0</v>
      </c>
      <c r="N2017" s="4">
        <f t="shared" si="94"/>
        <v>0</v>
      </c>
      <c r="O2017" s="4">
        <f t="shared" si="95"/>
        <v>0</v>
      </c>
      <c r="P2017" s="3" t="s">
        <v>19</v>
      </c>
    </row>
    <row r="2018" spans="1:16" x14ac:dyDescent="0.35">
      <c r="A2018" s="3" t="s">
        <v>31</v>
      </c>
      <c r="B2018" s="3" t="str">
        <f>INDEX(State_Region!$B$2:$B$26,MATCH(TRIM(A2018),State_Region!$A$2:$A$26,0))</f>
        <v>East</v>
      </c>
      <c r="C2018" s="3" t="s">
        <v>131</v>
      </c>
      <c r="D2018" s="3" t="str">
        <f>INDEX(Port_Type!$B$2:$B$227,MATCH(TRIM(C2018),Port_Type!$A$2:$A$227,0))</f>
        <v>Land Border / Rail</v>
      </c>
      <c r="E2018" s="3" t="s">
        <v>46</v>
      </c>
      <c r="F2018" s="3" t="str">
        <f>INDEX(Product_Category!$B$2:$B$45,MATCH(TRIM(E2018),Product_Category!$A$2:$A$45,0))</f>
        <v>Others</v>
      </c>
      <c r="G2018" s="4">
        <v>0.02</v>
      </c>
      <c r="H2018" s="4">
        <v>0</v>
      </c>
      <c r="I2018" s="4">
        <v>0</v>
      </c>
      <c r="J2018" s="4">
        <v>2.17</v>
      </c>
      <c r="K2018" s="4">
        <v>0.26</v>
      </c>
      <c r="L2018" s="4">
        <v>0.16</v>
      </c>
      <c r="M2018" s="4">
        <f t="shared" si="93"/>
        <v>-0.02</v>
      </c>
      <c r="N2018" s="4">
        <f t="shared" si="94"/>
        <v>-1.91</v>
      </c>
      <c r="O2018" s="4">
        <f t="shared" si="95"/>
        <v>0</v>
      </c>
      <c r="P2018" s="3" t="s">
        <v>19</v>
      </c>
    </row>
    <row r="2019" spans="1:16" x14ac:dyDescent="0.35">
      <c r="A2019" s="3" t="s">
        <v>129</v>
      </c>
      <c r="B2019" s="3" t="str">
        <f>INDEX(State_Region!$B$2:$B$26,MATCH(TRIM(A2019),State_Region!$A$2:$A$26,0))</f>
        <v>East</v>
      </c>
      <c r="C2019" s="3" t="s">
        <v>147</v>
      </c>
      <c r="D2019" s="3" t="str">
        <f>INDEX(Port_Type!$B$2:$B$227,MATCH(TRIM(C2019),Port_Type!$A$2:$A$227,0))</f>
        <v>Land Border / Rail</v>
      </c>
      <c r="E2019" s="3" t="s">
        <v>179</v>
      </c>
      <c r="F2019" s="3" t="str">
        <f>INDEX(Product_Category!$B$2:$B$45,MATCH(TRIM(E2019),Product_Category!$A$2:$A$45,0))</f>
        <v>Nuts &amp; Oilseeds</v>
      </c>
      <c r="G2019" s="4">
        <v>0.06</v>
      </c>
      <c r="H2019" s="4">
        <v>0</v>
      </c>
      <c r="I2019" s="4">
        <v>0</v>
      </c>
      <c r="J2019" s="4">
        <v>12.52</v>
      </c>
      <c r="K2019" s="4">
        <v>0</v>
      </c>
      <c r="L2019" s="4">
        <v>0.1</v>
      </c>
      <c r="M2019" s="4">
        <f t="shared" si="93"/>
        <v>-0.06</v>
      </c>
      <c r="N2019" s="4">
        <f t="shared" si="94"/>
        <v>-12.52</v>
      </c>
      <c r="O2019" s="4">
        <f t="shared" si="95"/>
        <v>0</v>
      </c>
      <c r="P2019" s="3" t="s">
        <v>19</v>
      </c>
    </row>
    <row r="2020" spans="1:16" x14ac:dyDescent="0.35">
      <c r="A2020" s="3" t="s">
        <v>86</v>
      </c>
      <c r="B2020" s="3" t="str">
        <f>INDEX(State_Region!$B$2:$B$26,MATCH(TRIM(A2020),State_Region!$A$2:$A$26,0))</f>
        <v>North</v>
      </c>
      <c r="C2020" s="3" t="s">
        <v>207</v>
      </c>
      <c r="D2020" s="3" t="str">
        <f>INDEX(Port_Type!$B$2:$B$227,MATCH(TRIM(C2020),Port_Type!$A$2:$A$227,0))</f>
        <v>Inland ICD / CFS</v>
      </c>
      <c r="E2020" s="3" t="s">
        <v>69</v>
      </c>
      <c r="F2020" s="3" t="str">
        <f>INDEX(Product_Category!$B$2:$B$45,MATCH(TRIM(E2020),Product_Category!$A$2:$A$45,0))</f>
        <v>Others</v>
      </c>
      <c r="G2020" s="4">
        <v>0</v>
      </c>
      <c r="H2020" s="4">
        <v>0</v>
      </c>
      <c r="I2020" s="4">
        <v>0</v>
      </c>
      <c r="J2020" s="4">
        <v>0</v>
      </c>
      <c r="K2020" s="4">
        <v>0</v>
      </c>
      <c r="L2020" s="4">
        <v>0.06</v>
      </c>
      <c r="M2020" s="4">
        <f t="shared" si="93"/>
        <v>0</v>
      </c>
      <c r="N2020" s="4">
        <f t="shared" si="94"/>
        <v>0</v>
      </c>
      <c r="O2020" s="4">
        <f t="shared" si="95"/>
        <v>0</v>
      </c>
      <c r="P2020" s="3" t="s">
        <v>19</v>
      </c>
    </row>
    <row r="2021" spans="1:16" x14ac:dyDescent="0.35">
      <c r="A2021" s="3" t="s">
        <v>79</v>
      </c>
      <c r="B2021" s="3" t="str">
        <f>INDEX(State_Region!$B$2:$B$26,MATCH(TRIM(A2021),State_Region!$A$2:$A$26,0))</f>
        <v>South</v>
      </c>
      <c r="C2021" s="3" t="s">
        <v>80</v>
      </c>
      <c r="D2021" s="3" t="str">
        <f>INDEX(Port_Type!$B$2:$B$227,MATCH(TRIM(C2021),Port_Type!$A$2:$A$227,0))</f>
        <v>Inland ICD / CFS</v>
      </c>
      <c r="E2021" s="3" t="s">
        <v>118</v>
      </c>
      <c r="F2021" s="3" t="str">
        <f>INDEX(Product_Category!$B$2:$B$45,MATCH(TRIM(E2021),Product_Category!$A$2:$A$45,0))</f>
        <v>Dairy, Poultry &amp; Honey</v>
      </c>
      <c r="G2021" s="4">
        <v>0.01</v>
      </c>
      <c r="H2021" s="4">
        <v>0</v>
      </c>
      <c r="I2021" s="4">
        <v>0</v>
      </c>
      <c r="J2021" s="4">
        <v>1.67</v>
      </c>
      <c r="K2021" s="4">
        <v>0.24</v>
      </c>
      <c r="L2021" s="4">
        <v>7.0000000000000007E-2</v>
      </c>
      <c r="M2021" s="4">
        <f t="shared" si="93"/>
        <v>-0.01</v>
      </c>
      <c r="N2021" s="4">
        <f t="shared" si="94"/>
        <v>-1.43</v>
      </c>
      <c r="O2021" s="4">
        <f t="shared" si="95"/>
        <v>0</v>
      </c>
      <c r="P2021" s="3" t="s">
        <v>19</v>
      </c>
    </row>
    <row r="2022" spans="1:16" x14ac:dyDescent="0.35">
      <c r="A2022" s="3" t="s">
        <v>86</v>
      </c>
      <c r="B2022" s="3" t="str">
        <f>INDEX(State_Region!$B$2:$B$26,MATCH(TRIM(A2022),State_Region!$A$2:$A$26,0))</f>
        <v>North</v>
      </c>
      <c r="C2022" s="3" t="s">
        <v>87</v>
      </c>
      <c r="D2022" s="3" t="str">
        <f>INDEX(Port_Type!$B$2:$B$227,MATCH(TRIM(C2022),Port_Type!$A$2:$A$227,0))</f>
        <v>Air Cargo</v>
      </c>
      <c r="E2022" s="3" t="s">
        <v>65</v>
      </c>
      <c r="F2022" s="3" t="str">
        <f>INDEX(Product_Category!$B$2:$B$45,MATCH(TRIM(E2022),Product_Category!$A$2:$A$45,0))</f>
        <v>Cereals &amp; Grains</v>
      </c>
      <c r="G2022" s="4">
        <v>0.01</v>
      </c>
      <c r="H2022" s="4">
        <v>0</v>
      </c>
      <c r="I2022" s="4">
        <v>0</v>
      </c>
      <c r="J2022" s="4">
        <v>2.94</v>
      </c>
      <c r="K2022" s="4">
        <v>1.71</v>
      </c>
      <c r="L2022" s="4">
        <v>0.57999999999999996</v>
      </c>
      <c r="M2022" s="4">
        <f t="shared" si="93"/>
        <v>-0.01</v>
      </c>
      <c r="N2022" s="4">
        <f t="shared" si="94"/>
        <v>-1.23</v>
      </c>
      <c r="O2022" s="4">
        <f t="shared" si="95"/>
        <v>0</v>
      </c>
      <c r="P2022" s="3" t="s">
        <v>19</v>
      </c>
    </row>
    <row r="2023" spans="1:16" x14ac:dyDescent="0.35">
      <c r="A2023" s="3" t="s">
        <v>94</v>
      </c>
      <c r="B2023" s="3" t="str">
        <f>INDEX(State_Region!$B$2:$B$26,MATCH(TRIM(A2023),State_Region!$A$2:$A$26,0))</f>
        <v>East</v>
      </c>
      <c r="C2023" s="3" t="s">
        <v>112</v>
      </c>
      <c r="D2023" s="3" t="str">
        <f>INDEX(Port_Type!$B$2:$B$227,MATCH(TRIM(C2023),Port_Type!$A$2:$A$227,0))</f>
        <v>Land Border / Rail</v>
      </c>
      <c r="E2023" s="3" t="s">
        <v>76</v>
      </c>
      <c r="F2023" s="3" t="str">
        <f>INDEX(Product_Category!$B$2:$B$45,MATCH(TRIM(E2023),Product_Category!$A$2:$A$45,0))</f>
        <v>Fresh Fruits &amp; Vegetables</v>
      </c>
      <c r="G2023" s="4">
        <v>0.01</v>
      </c>
      <c r="H2023" s="4">
        <v>0.03</v>
      </c>
      <c r="I2023" s="4">
        <v>0</v>
      </c>
      <c r="J2023" s="4">
        <v>38.69</v>
      </c>
      <c r="K2023" s="4">
        <v>63.96</v>
      </c>
      <c r="L2023" s="4">
        <v>0.61</v>
      </c>
      <c r="M2023" s="4">
        <f t="shared" si="93"/>
        <v>1.9999999999999997E-2</v>
      </c>
      <c r="N2023" s="4">
        <f t="shared" si="94"/>
        <v>25.270000000000003</v>
      </c>
      <c r="O2023" s="4">
        <f t="shared" si="95"/>
        <v>-0.03</v>
      </c>
      <c r="P2023" s="3" t="s">
        <v>19</v>
      </c>
    </row>
    <row r="2024" spans="1:16" x14ac:dyDescent="0.35">
      <c r="A2024" s="3" t="s">
        <v>77</v>
      </c>
      <c r="B2024" s="3" t="str">
        <f>INDEX(State_Region!$B$2:$B$26,MATCH(TRIM(A2024),State_Region!$A$2:$A$26,0))</f>
        <v>South</v>
      </c>
      <c r="C2024" s="3" t="s">
        <v>78</v>
      </c>
      <c r="D2024" s="3" t="str">
        <f>INDEX(Port_Type!$B$2:$B$227,MATCH(TRIM(C2024),Port_Type!$A$2:$A$227,0))</f>
        <v>Sea Port</v>
      </c>
      <c r="E2024" s="3" t="s">
        <v>62</v>
      </c>
      <c r="F2024" s="3" t="str">
        <f>INDEX(Product_Category!$B$2:$B$45,MATCH(TRIM(E2024),Product_Category!$A$2:$A$45,0))</f>
        <v>Cereals &amp; Grains</v>
      </c>
      <c r="G2024" s="4">
        <v>0</v>
      </c>
      <c r="H2024" s="4">
        <v>0.05</v>
      </c>
      <c r="I2024" s="4">
        <v>0</v>
      </c>
      <c r="J2024" s="4">
        <v>2.77</v>
      </c>
      <c r="K2024" s="4">
        <v>153.47</v>
      </c>
      <c r="L2024" s="4">
        <v>0.28999999999999998</v>
      </c>
      <c r="M2024" s="4">
        <f t="shared" si="93"/>
        <v>0.05</v>
      </c>
      <c r="N2024" s="4">
        <f t="shared" si="94"/>
        <v>150.69999999999999</v>
      </c>
      <c r="O2024" s="4">
        <f t="shared" si="95"/>
        <v>-0.05</v>
      </c>
      <c r="P2024" s="3" t="s">
        <v>19</v>
      </c>
    </row>
    <row r="2025" spans="1:16" x14ac:dyDescent="0.35">
      <c r="A2025" s="3" t="s">
        <v>77</v>
      </c>
      <c r="B2025" s="3" t="str">
        <f>INDEX(State_Region!$B$2:$B$26,MATCH(TRIM(A2025),State_Region!$A$2:$A$26,0))</f>
        <v>South</v>
      </c>
      <c r="C2025" s="3" t="s">
        <v>78</v>
      </c>
      <c r="D2025" s="3" t="str">
        <f>INDEX(Port_Type!$B$2:$B$227,MATCH(TRIM(C2025),Port_Type!$A$2:$A$227,0))</f>
        <v>Sea Port</v>
      </c>
      <c r="E2025" s="3" t="s">
        <v>118</v>
      </c>
      <c r="F2025" s="3" t="str">
        <f>INDEX(Product_Category!$B$2:$B$45,MATCH(TRIM(E2025),Product_Category!$A$2:$A$45,0))</f>
        <v>Dairy, Poultry &amp; Honey</v>
      </c>
      <c r="G2025" s="4">
        <v>0.04</v>
      </c>
      <c r="H2025" s="4">
        <v>0.06</v>
      </c>
      <c r="I2025" s="4">
        <v>0</v>
      </c>
      <c r="J2025" s="4">
        <v>11.55</v>
      </c>
      <c r="K2025" s="4">
        <v>8.7799999999999994</v>
      </c>
      <c r="L2025" s="4">
        <v>0.01</v>
      </c>
      <c r="M2025" s="4">
        <f t="shared" si="93"/>
        <v>1.9999999999999997E-2</v>
      </c>
      <c r="N2025" s="4">
        <f t="shared" si="94"/>
        <v>-2.7700000000000014</v>
      </c>
      <c r="O2025" s="4">
        <f t="shared" si="95"/>
        <v>-0.06</v>
      </c>
      <c r="P2025" s="3" t="s">
        <v>19</v>
      </c>
    </row>
    <row r="2026" spans="1:16" x14ac:dyDescent="0.35">
      <c r="A2026" s="3" t="s">
        <v>40</v>
      </c>
      <c r="B2026" s="3" t="str">
        <f>INDEX(State_Region!$B$2:$B$26,MATCH(TRIM(A2026),State_Region!$A$2:$A$26,0))</f>
        <v>South</v>
      </c>
      <c r="C2026" s="3" t="s">
        <v>194</v>
      </c>
      <c r="D2026" s="3" t="str">
        <f>INDEX(Port_Type!$B$2:$B$227,MATCH(TRIM(C2026),Port_Type!$A$2:$A$227,0))</f>
        <v>Air Cargo</v>
      </c>
      <c r="E2026" s="3" t="s">
        <v>55</v>
      </c>
      <c r="F2026" s="3" t="str">
        <f>INDEX(Product_Category!$B$2:$B$45,MATCH(TRIM(E2026),Product_Category!$A$2:$A$45,0))</f>
        <v>Fresh Fruits &amp; Vegetables</v>
      </c>
      <c r="G2026" s="4">
        <v>0</v>
      </c>
      <c r="H2026" s="4">
        <v>0</v>
      </c>
      <c r="I2026" s="4">
        <v>0</v>
      </c>
      <c r="J2026" s="4">
        <v>3.42</v>
      </c>
      <c r="K2026" s="4">
        <v>3.88</v>
      </c>
      <c r="L2026" s="4">
        <v>0.1</v>
      </c>
      <c r="M2026" s="4">
        <f t="shared" si="93"/>
        <v>0</v>
      </c>
      <c r="N2026" s="4">
        <f t="shared" si="94"/>
        <v>0.45999999999999996</v>
      </c>
      <c r="O2026" s="4">
        <f t="shared" si="95"/>
        <v>0</v>
      </c>
      <c r="P2026" s="3" t="s">
        <v>19</v>
      </c>
    </row>
    <row r="2027" spans="1:16" x14ac:dyDescent="0.35">
      <c r="A2027" s="3" t="s">
        <v>20</v>
      </c>
      <c r="B2027" s="3" t="str">
        <f>INDEX(State_Region!$B$2:$B$26,MATCH(TRIM(A2027),State_Region!$A$2:$A$26,0))</f>
        <v>West</v>
      </c>
      <c r="C2027" s="3" t="s">
        <v>68</v>
      </c>
      <c r="D2027" s="3" t="str">
        <f>INDEX(Port_Type!$B$2:$B$227,MATCH(TRIM(C2027),Port_Type!$A$2:$A$227,0))</f>
        <v>Air Cargo</v>
      </c>
      <c r="E2027" s="3" t="s">
        <v>116</v>
      </c>
      <c r="F2027" s="3" t="str">
        <f>INDEX(Product_Category!$B$2:$B$45,MATCH(TRIM(E2027),Product_Category!$A$2:$A$45,0))</f>
        <v>Others</v>
      </c>
      <c r="G2027" s="4">
        <v>0</v>
      </c>
      <c r="H2027" s="4">
        <v>0</v>
      </c>
      <c r="I2027" s="4">
        <v>0</v>
      </c>
      <c r="J2027" s="4">
        <v>0</v>
      </c>
      <c r="K2027" s="4">
        <v>0.1</v>
      </c>
      <c r="L2027" s="4">
        <v>0</v>
      </c>
      <c r="M2027" s="4">
        <f t="shared" si="93"/>
        <v>0</v>
      </c>
      <c r="N2027" s="4">
        <f t="shared" si="94"/>
        <v>0.1</v>
      </c>
      <c r="O2027" s="4">
        <f t="shared" si="95"/>
        <v>0</v>
      </c>
      <c r="P2027" s="3" t="s">
        <v>19</v>
      </c>
    </row>
    <row r="2028" spans="1:16" x14ac:dyDescent="0.35">
      <c r="A2028" s="3" t="s">
        <v>79</v>
      </c>
      <c r="B2028" s="3" t="str">
        <f>INDEX(State_Region!$B$2:$B$26,MATCH(TRIM(A2028),State_Region!$A$2:$A$26,0))</f>
        <v>South</v>
      </c>
      <c r="C2028" s="3" t="s">
        <v>92</v>
      </c>
      <c r="D2028" s="3" t="str">
        <f>INDEX(Port_Type!$B$2:$B$227,MATCH(TRIM(C2028),Port_Type!$A$2:$A$227,0))</f>
        <v>Air Cargo</v>
      </c>
      <c r="E2028" s="3" t="s">
        <v>144</v>
      </c>
      <c r="F2028" s="3" t="str">
        <f>INDEX(Product_Category!$B$2:$B$45,MATCH(TRIM(E2028),Product_Category!$A$2:$A$45,0))</f>
        <v>Cereals &amp; Grains</v>
      </c>
      <c r="G2028" s="4">
        <v>0</v>
      </c>
      <c r="H2028" s="4">
        <v>0</v>
      </c>
      <c r="I2028" s="4">
        <v>0</v>
      </c>
      <c r="J2028" s="4">
        <v>0.65</v>
      </c>
      <c r="K2028" s="4">
        <v>0.14000000000000001</v>
      </c>
      <c r="L2028" s="4">
        <v>0.21</v>
      </c>
      <c r="M2028" s="4">
        <f t="shared" si="93"/>
        <v>0</v>
      </c>
      <c r="N2028" s="4">
        <f t="shared" si="94"/>
        <v>-0.51</v>
      </c>
      <c r="O2028" s="4">
        <f t="shared" si="95"/>
        <v>0</v>
      </c>
      <c r="P2028" s="3" t="s">
        <v>19</v>
      </c>
    </row>
    <row r="2029" spans="1:16" x14ac:dyDescent="0.35">
      <c r="A2029" s="3" t="s">
        <v>23</v>
      </c>
      <c r="B2029" s="3" t="str">
        <f>INDEX(State_Region!$B$2:$B$26,MATCH(TRIM(A2029),State_Region!$A$2:$A$26,0))</f>
        <v>North</v>
      </c>
      <c r="C2029" s="3" t="s">
        <v>120</v>
      </c>
      <c r="D2029" s="3" t="str">
        <f>INDEX(Port_Type!$B$2:$B$227,MATCH(TRIM(C2029),Port_Type!$A$2:$A$227,0))</f>
        <v>Inland ICD / CFS</v>
      </c>
      <c r="E2029" s="3" t="s">
        <v>170</v>
      </c>
      <c r="F2029" s="3" t="str">
        <f>INDEX(Product_Category!$B$2:$B$45,MATCH(TRIM(E2029),Product_Category!$A$2:$A$45,0))</f>
        <v>Others</v>
      </c>
      <c r="G2029" s="4">
        <v>0</v>
      </c>
      <c r="H2029" s="4">
        <v>0</v>
      </c>
      <c r="I2029" s="4">
        <v>0</v>
      </c>
      <c r="J2029" s="4">
        <v>0</v>
      </c>
      <c r="K2029" s="4">
        <v>0.01</v>
      </c>
      <c r="L2029" s="4">
        <v>0.02</v>
      </c>
      <c r="M2029" s="4">
        <f t="shared" si="93"/>
        <v>0</v>
      </c>
      <c r="N2029" s="4">
        <f t="shared" si="94"/>
        <v>0.01</v>
      </c>
      <c r="O2029" s="4">
        <f t="shared" si="95"/>
        <v>0</v>
      </c>
      <c r="P2029" s="3" t="s">
        <v>19</v>
      </c>
    </row>
    <row r="2030" spans="1:16" x14ac:dyDescent="0.35">
      <c r="A2030" s="3" t="s">
        <v>79</v>
      </c>
      <c r="B2030" s="3" t="str">
        <f>INDEX(State_Region!$B$2:$B$26,MATCH(TRIM(A2030),State_Region!$A$2:$A$26,0))</f>
        <v>South</v>
      </c>
      <c r="C2030" s="3" t="s">
        <v>92</v>
      </c>
      <c r="D2030" s="3" t="str">
        <f>INDEX(Port_Type!$B$2:$B$227,MATCH(TRIM(C2030),Port_Type!$A$2:$A$227,0))</f>
        <v>Air Cargo</v>
      </c>
      <c r="E2030" s="3" t="s">
        <v>150</v>
      </c>
      <c r="F2030" s="3" t="str">
        <f>INDEX(Product_Category!$B$2:$B$45,MATCH(TRIM(E2030),Product_Category!$A$2:$A$45,0))</f>
        <v>Nuts &amp; Oilseeds</v>
      </c>
      <c r="G2030" s="4">
        <v>0</v>
      </c>
      <c r="H2030" s="4">
        <v>0.01</v>
      </c>
      <c r="I2030" s="4">
        <v>0</v>
      </c>
      <c r="J2030" s="4">
        <v>0.04</v>
      </c>
      <c r="K2030" s="4">
        <v>0.61</v>
      </c>
      <c r="L2030" s="4">
        <v>0.01</v>
      </c>
      <c r="M2030" s="4">
        <f t="shared" si="93"/>
        <v>0.01</v>
      </c>
      <c r="N2030" s="4">
        <f t="shared" si="94"/>
        <v>0.56999999999999995</v>
      </c>
      <c r="O2030" s="4">
        <f t="shared" si="95"/>
        <v>-0.01</v>
      </c>
      <c r="P2030" s="3" t="s">
        <v>19</v>
      </c>
    </row>
    <row r="2031" spans="1:16" x14ac:dyDescent="0.35">
      <c r="A2031" s="3" t="s">
        <v>40</v>
      </c>
      <c r="B2031" s="3" t="str">
        <f>INDEX(State_Region!$B$2:$B$26,MATCH(TRIM(A2031),State_Region!$A$2:$A$26,0))</f>
        <v>South</v>
      </c>
      <c r="C2031" s="3" t="s">
        <v>194</v>
      </c>
      <c r="D2031" s="3" t="str">
        <f>INDEX(Port_Type!$B$2:$B$227,MATCH(TRIM(C2031),Port_Type!$A$2:$A$227,0))</f>
        <v>Air Cargo</v>
      </c>
      <c r="E2031" s="3" t="s">
        <v>84</v>
      </c>
      <c r="F2031" s="3" t="str">
        <f>INDEX(Product_Category!$B$2:$B$45,MATCH(TRIM(E2031),Product_Category!$A$2:$A$45,0))</f>
        <v>Nuts &amp; Oilseeds</v>
      </c>
      <c r="G2031" s="4">
        <v>0</v>
      </c>
      <c r="H2031" s="4">
        <v>0</v>
      </c>
      <c r="I2031" s="4">
        <v>0</v>
      </c>
      <c r="J2031" s="4">
        <v>0</v>
      </c>
      <c r="K2031" s="4">
        <v>0.19</v>
      </c>
      <c r="L2031" s="4">
        <v>7.0000000000000007E-2</v>
      </c>
      <c r="M2031" s="4">
        <f t="shared" si="93"/>
        <v>0</v>
      </c>
      <c r="N2031" s="4">
        <f t="shared" si="94"/>
        <v>0.19</v>
      </c>
      <c r="O2031" s="4">
        <f t="shared" si="95"/>
        <v>0</v>
      </c>
      <c r="P2031" s="3" t="s">
        <v>19</v>
      </c>
    </row>
    <row r="2032" spans="1:16" x14ac:dyDescent="0.35">
      <c r="A2032" s="3" t="s">
        <v>40</v>
      </c>
      <c r="B2032" s="3" t="str">
        <f>INDEX(State_Region!$B$2:$B$26,MATCH(TRIM(A2032),State_Region!$A$2:$A$26,0))</f>
        <v>South</v>
      </c>
      <c r="C2032" s="3" t="s">
        <v>220</v>
      </c>
      <c r="D2032" s="3" t="str">
        <f>INDEX(Port_Type!$B$2:$B$227,MATCH(TRIM(C2032),Port_Type!$A$2:$A$227,0))</f>
        <v>Inland ICD / CFS</v>
      </c>
      <c r="E2032" s="3" t="s">
        <v>126</v>
      </c>
      <c r="F2032" s="3" t="str">
        <f>INDEX(Product_Category!$B$2:$B$45,MATCH(TRIM(E2032),Product_Category!$A$2:$A$45,0))</f>
        <v>Cereals &amp; Grains</v>
      </c>
      <c r="G2032" s="4">
        <v>0</v>
      </c>
      <c r="H2032" s="4">
        <v>0</v>
      </c>
      <c r="I2032" s="4">
        <v>0</v>
      </c>
      <c r="J2032" s="4">
        <v>0.03</v>
      </c>
      <c r="K2032" s="4">
        <v>0.06</v>
      </c>
      <c r="L2032" s="4">
        <v>0.11</v>
      </c>
      <c r="M2032" s="4">
        <f t="shared" si="93"/>
        <v>0</v>
      </c>
      <c r="N2032" s="4">
        <f t="shared" si="94"/>
        <v>0.03</v>
      </c>
      <c r="O2032" s="4">
        <f t="shared" si="95"/>
        <v>0</v>
      </c>
      <c r="P2032" s="3" t="s">
        <v>19</v>
      </c>
    </row>
    <row r="2033" spans="1:16" x14ac:dyDescent="0.35">
      <c r="A2033" s="3" t="s">
        <v>66</v>
      </c>
      <c r="B2033" s="3" t="str">
        <f>INDEX(State_Region!$B$2:$B$26,MATCH(TRIM(A2033),State_Region!$A$2:$A$26,0))</f>
        <v>North</v>
      </c>
      <c r="C2033" s="3" t="s">
        <v>127</v>
      </c>
      <c r="D2033" s="3" t="str">
        <f>INDEX(Port_Type!$B$2:$B$227,MATCH(TRIM(C2033),Port_Type!$A$2:$A$227,0))</f>
        <v>Inland ICD / CFS</v>
      </c>
      <c r="E2033" s="3" t="s">
        <v>84</v>
      </c>
      <c r="F2033" s="3" t="str">
        <f>INDEX(Product_Category!$B$2:$B$45,MATCH(TRIM(E2033),Product_Category!$A$2:$A$45,0))</f>
        <v>Nuts &amp; Oilseeds</v>
      </c>
      <c r="G2033" s="4">
        <v>0.1</v>
      </c>
      <c r="H2033" s="4">
        <v>0</v>
      </c>
      <c r="I2033" s="4">
        <v>0</v>
      </c>
      <c r="J2033" s="4">
        <v>12.6</v>
      </c>
      <c r="K2033" s="4">
        <v>0.02</v>
      </c>
      <c r="L2033" s="4">
        <v>0.01</v>
      </c>
      <c r="M2033" s="4">
        <f t="shared" si="93"/>
        <v>-0.1</v>
      </c>
      <c r="N2033" s="4">
        <f t="shared" si="94"/>
        <v>-12.58</v>
      </c>
      <c r="O2033" s="4">
        <f t="shared" si="95"/>
        <v>0</v>
      </c>
      <c r="P2033" s="3" t="s">
        <v>19</v>
      </c>
    </row>
    <row r="2034" spans="1:16" x14ac:dyDescent="0.35">
      <c r="A2034" s="3" t="s">
        <v>23</v>
      </c>
      <c r="B2034" s="3" t="str">
        <f>INDEX(State_Region!$B$2:$B$26,MATCH(TRIM(A2034),State_Region!$A$2:$A$26,0))</f>
        <v>North</v>
      </c>
      <c r="C2034" s="3" t="s">
        <v>230</v>
      </c>
      <c r="D2034" s="3" t="str">
        <f>INDEX(Port_Type!$B$2:$B$227,MATCH(TRIM(C2034),Port_Type!$A$2:$A$227,0))</f>
        <v>Air Cargo</v>
      </c>
      <c r="E2034" s="3" t="s">
        <v>42</v>
      </c>
      <c r="F2034" s="3" t="str">
        <f>INDEX(Product_Category!$B$2:$B$45,MATCH(TRIM(E2034),Product_Category!$A$2:$A$45,0))</f>
        <v>Processed Foods</v>
      </c>
      <c r="G2034" s="4">
        <v>0</v>
      </c>
      <c r="H2034" s="4">
        <v>0</v>
      </c>
      <c r="I2034" s="4">
        <v>0</v>
      </c>
      <c r="J2034" s="4">
        <v>0.82</v>
      </c>
      <c r="K2034" s="4">
        <v>0</v>
      </c>
      <c r="L2034" s="4">
        <v>0.45</v>
      </c>
      <c r="M2034" s="4">
        <f t="shared" si="93"/>
        <v>0</v>
      </c>
      <c r="N2034" s="4">
        <f t="shared" si="94"/>
        <v>-0.82</v>
      </c>
      <c r="O2034" s="4">
        <f t="shared" si="95"/>
        <v>0</v>
      </c>
      <c r="P2034" s="3" t="s">
        <v>19</v>
      </c>
    </row>
    <row r="2035" spans="1:16" x14ac:dyDescent="0.35">
      <c r="A2035" s="3" t="s">
        <v>35</v>
      </c>
      <c r="B2035" s="3" t="str">
        <f>INDEX(State_Region!$B$2:$B$26,MATCH(TRIM(A2035),State_Region!$A$2:$A$26,0))</f>
        <v>North</v>
      </c>
      <c r="C2035" s="3" t="s">
        <v>165</v>
      </c>
      <c r="D2035" s="3" t="str">
        <f>INDEX(Port_Type!$B$2:$B$227,MATCH(TRIM(C2035),Port_Type!$A$2:$A$227,0))</f>
        <v>Inland ICD / CFS</v>
      </c>
      <c r="E2035" s="3" t="s">
        <v>181</v>
      </c>
      <c r="F2035" s="3" t="str">
        <f>INDEX(Product_Category!$B$2:$B$45,MATCH(TRIM(E2035),Product_Category!$A$2:$A$45,0))</f>
        <v>Nuts &amp; Oilseeds</v>
      </c>
      <c r="G2035" s="4">
        <v>0</v>
      </c>
      <c r="H2035" s="4">
        <v>0</v>
      </c>
      <c r="I2035" s="4">
        <v>0</v>
      </c>
      <c r="J2035" s="4">
        <v>0</v>
      </c>
      <c r="K2035" s="4">
        <v>7.0000000000000007E-2</v>
      </c>
      <c r="L2035" s="4">
        <v>0.01</v>
      </c>
      <c r="M2035" s="4">
        <f t="shared" si="93"/>
        <v>0</v>
      </c>
      <c r="N2035" s="4">
        <f t="shared" si="94"/>
        <v>7.0000000000000007E-2</v>
      </c>
      <c r="O2035" s="4">
        <f t="shared" si="95"/>
        <v>0</v>
      </c>
      <c r="P2035" s="3" t="s">
        <v>19</v>
      </c>
    </row>
    <row r="2036" spans="1:16" x14ac:dyDescent="0.35">
      <c r="A2036" s="3" t="s">
        <v>23</v>
      </c>
      <c r="B2036" s="3" t="str">
        <f>INDEX(State_Region!$B$2:$B$26,MATCH(TRIM(A2036),State_Region!$A$2:$A$26,0))</f>
        <v>North</v>
      </c>
      <c r="C2036" s="3" t="s">
        <v>44</v>
      </c>
      <c r="D2036" s="3" t="str">
        <f>INDEX(Port_Type!$B$2:$B$227,MATCH(TRIM(C2036),Port_Type!$A$2:$A$227,0))</f>
        <v>Inland ICD / CFS</v>
      </c>
      <c r="E2036" s="3" t="s">
        <v>55</v>
      </c>
      <c r="F2036" s="3" t="str">
        <f>INDEX(Product_Category!$B$2:$B$45,MATCH(TRIM(E2036),Product_Category!$A$2:$A$45,0))</f>
        <v>Fresh Fruits &amp; Vegetables</v>
      </c>
      <c r="G2036" s="4">
        <v>0</v>
      </c>
      <c r="H2036" s="4">
        <v>0</v>
      </c>
      <c r="I2036" s="4">
        <v>0</v>
      </c>
      <c r="J2036" s="4">
        <v>0</v>
      </c>
      <c r="K2036" s="4">
        <v>0</v>
      </c>
      <c r="L2036" s="4">
        <v>0.45</v>
      </c>
      <c r="M2036" s="4">
        <f t="shared" si="93"/>
        <v>0</v>
      </c>
      <c r="N2036" s="4">
        <f t="shared" si="94"/>
        <v>0</v>
      </c>
      <c r="O2036" s="4">
        <f t="shared" si="95"/>
        <v>0</v>
      </c>
      <c r="P2036" s="3" t="s">
        <v>19</v>
      </c>
    </row>
    <row r="2037" spans="1:16" x14ac:dyDescent="0.35">
      <c r="A2037" s="3" t="s">
        <v>231</v>
      </c>
      <c r="B2037" s="3" t="str">
        <f>INDEX(State_Region!$B$2:$B$26,MATCH(TRIM(A2037),State_Region!$A$2:$A$26,0))</f>
        <v>North-East</v>
      </c>
      <c r="C2037" s="3" t="s">
        <v>232</v>
      </c>
      <c r="D2037" s="3" t="str">
        <f>INDEX(Port_Type!$B$2:$B$227,MATCH(TRIM(C2037),Port_Type!$A$2:$A$227,0))</f>
        <v>Land Border / Rail</v>
      </c>
      <c r="E2037" s="3" t="s">
        <v>118</v>
      </c>
      <c r="F2037" s="3" t="str">
        <f>INDEX(Product_Category!$B$2:$B$45,MATCH(TRIM(E2037),Product_Category!$A$2:$A$45,0))</f>
        <v>Dairy, Poultry &amp; Honey</v>
      </c>
      <c r="G2037" s="4">
        <v>0</v>
      </c>
      <c r="H2037" s="4">
        <v>0</v>
      </c>
      <c r="I2037" s="4">
        <v>0</v>
      </c>
      <c r="J2037" s="4">
        <v>0.28999999999999998</v>
      </c>
      <c r="K2037" s="4">
        <v>0.11</v>
      </c>
      <c r="L2037" s="4">
        <v>0.16</v>
      </c>
      <c r="M2037" s="4">
        <f t="shared" si="93"/>
        <v>0</v>
      </c>
      <c r="N2037" s="4">
        <f t="shared" si="94"/>
        <v>-0.18</v>
      </c>
      <c r="O2037" s="4">
        <f t="shared" si="95"/>
        <v>0</v>
      </c>
      <c r="P2037" s="3" t="s">
        <v>19</v>
      </c>
    </row>
    <row r="2038" spans="1:16" x14ac:dyDescent="0.35">
      <c r="A2038" s="3" t="s">
        <v>40</v>
      </c>
      <c r="B2038" s="3" t="str">
        <f>INDEX(State_Region!$B$2:$B$26,MATCH(TRIM(A2038),State_Region!$A$2:$A$26,0))</f>
        <v>South</v>
      </c>
      <c r="C2038" s="3" t="s">
        <v>164</v>
      </c>
      <c r="D2038" s="3" t="str">
        <f>INDEX(Port_Type!$B$2:$B$227,MATCH(TRIM(C2038),Port_Type!$A$2:$A$227,0))</f>
        <v>Air Cargo</v>
      </c>
      <c r="E2038" s="3" t="s">
        <v>27</v>
      </c>
      <c r="F2038" s="3" t="str">
        <f>INDEX(Product_Category!$B$2:$B$45,MATCH(TRIM(E2038),Product_Category!$A$2:$A$45,0))</f>
        <v>Cereals &amp; Grains</v>
      </c>
      <c r="G2038" s="4">
        <v>0</v>
      </c>
      <c r="H2038" s="4">
        <v>0.01</v>
      </c>
      <c r="I2038" s="4">
        <v>0</v>
      </c>
      <c r="J2038" s="4">
        <v>0.28999999999999998</v>
      </c>
      <c r="K2038" s="4">
        <v>3.85</v>
      </c>
      <c r="L2038" s="4">
        <v>0.01</v>
      </c>
      <c r="M2038" s="4">
        <f t="shared" si="93"/>
        <v>0.01</v>
      </c>
      <c r="N2038" s="4">
        <f t="shared" si="94"/>
        <v>3.56</v>
      </c>
      <c r="O2038" s="4">
        <f t="shared" si="95"/>
        <v>-0.01</v>
      </c>
      <c r="P2038" s="3" t="s">
        <v>19</v>
      </c>
    </row>
    <row r="2039" spans="1:16" x14ac:dyDescent="0.35">
      <c r="A2039" s="3" t="s">
        <v>20</v>
      </c>
      <c r="B2039" s="3" t="str">
        <f>INDEX(State_Region!$B$2:$B$26,MATCH(TRIM(A2039),State_Region!$A$2:$A$26,0))</f>
        <v>West</v>
      </c>
      <c r="C2039" s="3" t="s">
        <v>68</v>
      </c>
      <c r="D2039" s="3" t="str">
        <f>INDEX(Port_Type!$B$2:$B$227,MATCH(TRIM(C2039),Port_Type!$A$2:$A$227,0))</f>
        <v>Air Cargo</v>
      </c>
      <c r="E2039" s="3" t="s">
        <v>22</v>
      </c>
      <c r="F2039" s="3" t="str">
        <f>INDEX(Product_Category!$B$2:$B$45,MATCH(TRIM(E2039),Product_Category!$A$2:$A$45,0))</f>
        <v>Meat &amp; Animal Products</v>
      </c>
      <c r="G2039" s="4">
        <v>0.16</v>
      </c>
      <c r="H2039" s="4">
        <v>0.04</v>
      </c>
      <c r="I2039" s="4">
        <v>0</v>
      </c>
      <c r="J2039" s="4">
        <v>20.49</v>
      </c>
      <c r="K2039" s="4">
        <v>6.97</v>
      </c>
      <c r="L2039" s="4">
        <v>0.09</v>
      </c>
      <c r="M2039" s="4">
        <f t="shared" si="93"/>
        <v>-0.12</v>
      </c>
      <c r="N2039" s="4">
        <f t="shared" si="94"/>
        <v>-13.52</v>
      </c>
      <c r="O2039" s="4">
        <f t="shared" si="95"/>
        <v>-0.04</v>
      </c>
      <c r="P2039" s="3" t="s">
        <v>19</v>
      </c>
    </row>
    <row r="2040" spans="1:16" x14ac:dyDescent="0.35">
      <c r="A2040" s="3" t="s">
        <v>20</v>
      </c>
      <c r="B2040" s="3" t="str">
        <f>INDEX(State_Region!$B$2:$B$26,MATCH(TRIM(A2040),State_Region!$A$2:$A$26,0))</f>
        <v>West</v>
      </c>
      <c r="C2040" s="3" t="s">
        <v>265</v>
      </c>
      <c r="D2040" s="3" t="str">
        <f>INDEX(Port_Type!$B$2:$B$227,MATCH(TRIM(C2040),Port_Type!$A$2:$A$227,0))</f>
        <v>Sea Port</v>
      </c>
      <c r="E2040" s="3" t="s">
        <v>45</v>
      </c>
      <c r="F2040" s="3" t="str">
        <f>INDEX(Product_Category!$B$2:$B$45,MATCH(TRIM(E2040),Product_Category!$A$2:$A$45,0))</f>
        <v>Fresh Fruits &amp; Vegetables</v>
      </c>
      <c r="G2040" s="4">
        <v>0</v>
      </c>
      <c r="H2040" s="4">
        <v>0</v>
      </c>
      <c r="I2040" s="4">
        <v>0</v>
      </c>
      <c r="J2040" s="4">
        <v>0</v>
      </c>
      <c r="K2040" s="4">
        <v>0.91</v>
      </c>
      <c r="L2040" s="4">
        <v>0.06</v>
      </c>
      <c r="M2040" s="4">
        <f t="shared" si="93"/>
        <v>0</v>
      </c>
      <c r="N2040" s="4">
        <f t="shared" si="94"/>
        <v>0.91</v>
      </c>
      <c r="O2040" s="4">
        <f t="shared" si="95"/>
        <v>0</v>
      </c>
      <c r="P2040" s="3" t="s">
        <v>19</v>
      </c>
    </row>
    <row r="2041" spans="1:16" x14ac:dyDescent="0.35">
      <c r="A2041" s="3" t="s">
        <v>79</v>
      </c>
      <c r="B2041" s="3" t="str">
        <f>INDEX(State_Region!$B$2:$B$26,MATCH(TRIM(A2041),State_Region!$A$2:$A$26,0))</f>
        <v>South</v>
      </c>
      <c r="C2041" s="3" t="s">
        <v>226</v>
      </c>
      <c r="D2041" s="3" t="str">
        <f>INDEX(Port_Type!$B$2:$B$227,MATCH(TRIM(C2041),Port_Type!$A$2:$A$227,0))</f>
        <v>Air Cargo</v>
      </c>
      <c r="E2041" s="3" t="s">
        <v>122</v>
      </c>
      <c r="F2041" s="3" t="str">
        <f>INDEX(Product_Category!$B$2:$B$45,MATCH(TRIM(E2041),Product_Category!$A$2:$A$45,0))</f>
        <v>Others</v>
      </c>
      <c r="G2041" s="4">
        <v>0</v>
      </c>
      <c r="H2041" s="4">
        <v>0.02</v>
      </c>
      <c r="I2041" s="4">
        <v>0</v>
      </c>
      <c r="J2041" s="4">
        <v>1.82</v>
      </c>
      <c r="K2041" s="4">
        <v>22.06</v>
      </c>
      <c r="L2041" s="4">
        <v>0.17</v>
      </c>
      <c r="M2041" s="4">
        <f t="shared" si="93"/>
        <v>0.02</v>
      </c>
      <c r="N2041" s="4">
        <f t="shared" si="94"/>
        <v>20.239999999999998</v>
      </c>
      <c r="O2041" s="4">
        <f t="shared" si="95"/>
        <v>-0.02</v>
      </c>
      <c r="P2041" s="3" t="s">
        <v>19</v>
      </c>
    </row>
    <row r="2042" spans="1:16" x14ac:dyDescent="0.35">
      <c r="A2042" s="3" t="s">
        <v>86</v>
      </c>
      <c r="B2042" s="3" t="str">
        <f>INDEX(State_Region!$B$2:$B$26,MATCH(TRIM(A2042),State_Region!$A$2:$A$26,0))</f>
        <v>North</v>
      </c>
      <c r="C2042" s="3" t="s">
        <v>207</v>
      </c>
      <c r="D2042" s="3" t="str">
        <f>INDEX(Port_Type!$B$2:$B$227,MATCH(TRIM(C2042),Port_Type!$A$2:$A$227,0))</f>
        <v>Inland ICD / CFS</v>
      </c>
      <c r="E2042" s="3" t="s">
        <v>126</v>
      </c>
      <c r="F2042" s="3" t="str">
        <f>INDEX(Product_Category!$B$2:$B$45,MATCH(TRIM(E2042),Product_Category!$A$2:$A$45,0))</f>
        <v>Cereals &amp; Grains</v>
      </c>
      <c r="G2042" s="4">
        <v>0.01</v>
      </c>
      <c r="H2042" s="4">
        <v>0</v>
      </c>
      <c r="I2042" s="4">
        <v>0</v>
      </c>
      <c r="J2042" s="4">
        <v>2.42</v>
      </c>
      <c r="K2042" s="4">
        <v>1.0900000000000001</v>
      </c>
      <c r="L2042" s="4">
        <v>0.16</v>
      </c>
      <c r="M2042" s="4">
        <f t="shared" si="93"/>
        <v>-0.01</v>
      </c>
      <c r="N2042" s="4">
        <f t="shared" si="94"/>
        <v>-1.3299999999999998</v>
      </c>
      <c r="O2042" s="4">
        <f t="shared" si="95"/>
        <v>0</v>
      </c>
      <c r="P2042" s="3" t="s">
        <v>19</v>
      </c>
    </row>
    <row r="2043" spans="1:16" x14ac:dyDescent="0.35">
      <c r="A2043" s="3" t="s">
        <v>231</v>
      </c>
      <c r="B2043" s="3" t="str">
        <f>INDEX(State_Region!$B$2:$B$26,MATCH(TRIM(A2043),State_Region!$A$2:$A$26,0))</f>
        <v>North-East</v>
      </c>
      <c r="C2043" s="3" t="s">
        <v>236</v>
      </c>
      <c r="D2043" s="3" t="str">
        <f>INDEX(Port_Type!$B$2:$B$227,MATCH(TRIM(C2043),Port_Type!$A$2:$A$227,0))</f>
        <v>Land Border / Rail</v>
      </c>
      <c r="E2043" s="3" t="s">
        <v>42</v>
      </c>
      <c r="F2043" s="3" t="str">
        <f>INDEX(Product_Category!$B$2:$B$45,MATCH(TRIM(E2043),Product_Category!$A$2:$A$45,0))</f>
        <v>Processed Foods</v>
      </c>
      <c r="G2043" s="4">
        <v>0</v>
      </c>
      <c r="H2043" s="4">
        <v>0</v>
      </c>
      <c r="I2043" s="4">
        <v>0</v>
      </c>
      <c r="J2043" s="4">
        <v>0</v>
      </c>
      <c r="K2043" s="4">
        <v>1.48</v>
      </c>
      <c r="L2043" s="4">
        <v>0.06</v>
      </c>
      <c r="M2043" s="4">
        <f t="shared" si="93"/>
        <v>0</v>
      </c>
      <c r="N2043" s="4">
        <f t="shared" si="94"/>
        <v>1.48</v>
      </c>
      <c r="O2043" s="4">
        <f t="shared" si="95"/>
        <v>0</v>
      </c>
      <c r="P2043" s="3" t="s">
        <v>19</v>
      </c>
    </row>
    <row r="2044" spans="1:16" x14ac:dyDescent="0.35">
      <c r="A2044" s="3" t="s">
        <v>77</v>
      </c>
      <c r="B2044" s="3" t="str">
        <f>INDEX(State_Region!$B$2:$B$26,MATCH(TRIM(A2044),State_Region!$A$2:$A$26,0))</f>
        <v>South</v>
      </c>
      <c r="C2044" s="3" t="s">
        <v>214</v>
      </c>
      <c r="D2044" s="3" t="str">
        <f>INDEX(Port_Type!$B$2:$B$227,MATCH(TRIM(C2044),Port_Type!$A$2:$A$227,0))</f>
        <v>SEZ / EPZ</v>
      </c>
      <c r="E2044" s="3" t="s">
        <v>45</v>
      </c>
      <c r="F2044" s="3" t="str">
        <f>INDEX(Product_Category!$B$2:$B$45,MATCH(TRIM(E2044),Product_Category!$A$2:$A$45,0))</f>
        <v>Fresh Fruits &amp; Vegetables</v>
      </c>
      <c r="G2044" s="4">
        <v>0</v>
      </c>
      <c r="H2044" s="4">
        <v>0</v>
      </c>
      <c r="I2044" s="4">
        <v>0</v>
      </c>
      <c r="J2044" s="4">
        <v>0</v>
      </c>
      <c r="K2044" s="4">
        <v>0</v>
      </c>
      <c r="L2044" s="4">
        <v>0.06</v>
      </c>
      <c r="M2044" s="4">
        <f t="shared" si="93"/>
        <v>0</v>
      </c>
      <c r="N2044" s="4">
        <f t="shared" si="94"/>
        <v>0</v>
      </c>
      <c r="O2044" s="4">
        <f t="shared" si="95"/>
        <v>0</v>
      </c>
      <c r="P2044" s="3" t="s">
        <v>19</v>
      </c>
    </row>
    <row r="2045" spans="1:16" x14ac:dyDescent="0.35">
      <c r="A2045" s="3" t="s">
        <v>77</v>
      </c>
      <c r="B2045" s="3" t="str">
        <f>INDEX(State_Region!$B$2:$B$26,MATCH(TRIM(A2045),State_Region!$A$2:$A$26,0))</f>
        <v>South</v>
      </c>
      <c r="C2045" s="3" t="s">
        <v>214</v>
      </c>
      <c r="D2045" s="3" t="str">
        <f>INDEX(Port_Type!$B$2:$B$227,MATCH(TRIM(C2045),Port_Type!$A$2:$A$227,0))</f>
        <v>SEZ / EPZ</v>
      </c>
      <c r="E2045" s="3" t="s">
        <v>27</v>
      </c>
      <c r="F2045" s="3" t="str">
        <f>INDEX(Product_Category!$B$2:$B$45,MATCH(TRIM(E2045),Product_Category!$A$2:$A$45,0))</f>
        <v>Cereals &amp; Grains</v>
      </c>
      <c r="G2045" s="4">
        <v>0</v>
      </c>
      <c r="H2045" s="4">
        <v>0</v>
      </c>
      <c r="I2045" s="4">
        <v>0</v>
      </c>
      <c r="J2045" s="4">
        <v>0</v>
      </c>
      <c r="K2045" s="4">
        <v>0</v>
      </c>
      <c r="L2045" s="4">
        <v>0.14000000000000001</v>
      </c>
      <c r="M2045" s="4">
        <f t="shared" si="93"/>
        <v>0</v>
      </c>
      <c r="N2045" s="4">
        <f t="shared" si="94"/>
        <v>0</v>
      </c>
      <c r="O2045" s="4">
        <f t="shared" si="95"/>
        <v>0</v>
      </c>
      <c r="P2045" s="3" t="s">
        <v>19</v>
      </c>
    </row>
    <row r="2046" spans="1:16" x14ac:dyDescent="0.35">
      <c r="A2046" s="3" t="s">
        <v>23</v>
      </c>
      <c r="B2046" s="3" t="str">
        <f>INDEX(State_Region!$B$2:$B$26,MATCH(TRIM(A2046),State_Region!$A$2:$A$26,0))</f>
        <v>North</v>
      </c>
      <c r="C2046" s="3" t="s">
        <v>24</v>
      </c>
      <c r="D2046" s="3" t="str">
        <f>INDEX(Port_Type!$B$2:$B$227,MATCH(TRIM(C2046),Port_Type!$A$2:$A$227,0))</f>
        <v>Inland ICD / CFS</v>
      </c>
      <c r="E2046" s="3" t="s">
        <v>51</v>
      </c>
      <c r="F2046" s="3" t="str">
        <f>INDEX(Product_Category!$B$2:$B$45,MATCH(TRIM(E2046),Product_Category!$A$2:$A$45,0))</f>
        <v>Nuts &amp; Oilseeds</v>
      </c>
      <c r="G2046" s="4">
        <v>0</v>
      </c>
      <c r="H2046" s="4">
        <v>0</v>
      </c>
      <c r="I2046" s="4">
        <v>0</v>
      </c>
      <c r="J2046" s="4">
        <v>0</v>
      </c>
      <c r="K2046" s="4">
        <v>0.1</v>
      </c>
      <c r="L2046" s="4">
        <v>0.1</v>
      </c>
      <c r="M2046" s="4">
        <f t="shared" si="93"/>
        <v>0</v>
      </c>
      <c r="N2046" s="4">
        <f t="shared" si="94"/>
        <v>0.1</v>
      </c>
      <c r="O2046" s="4">
        <f t="shared" si="95"/>
        <v>0</v>
      </c>
      <c r="P2046" s="3" t="s">
        <v>19</v>
      </c>
    </row>
    <row r="2047" spans="1:16" x14ac:dyDescent="0.35">
      <c r="A2047" s="3" t="s">
        <v>94</v>
      </c>
      <c r="B2047" s="3" t="str">
        <f>INDEX(State_Region!$B$2:$B$26,MATCH(TRIM(A2047),State_Region!$A$2:$A$26,0))</f>
        <v>East</v>
      </c>
      <c r="C2047" s="3" t="s">
        <v>112</v>
      </c>
      <c r="D2047" s="3" t="str">
        <f>INDEX(Port_Type!$B$2:$B$227,MATCH(TRIM(C2047),Port_Type!$A$2:$A$227,0))</f>
        <v>Land Border / Rail</v>
      </c>
      <c r="E2047" s="3" t="s">
        <v>46</v>
      </c>
      <c r="F2047" s="3" t="str">
        <f>INDEX(Product_Category!$B$2:$B$45,MATCH(TRIM(E2047),Product_Category!$A$2:$A$45,0))</f>
        <v>Others</v>
      </c>
      <c r="G2047" s="4">
        <v>0</v>
      </c>
      <c r="H2047" s="4">
        <v>0.01</v>
      </c>
      <c r="I2047" s="4">
        <v>0</v>
      </c>
      <c r="J2047" s="4">
        <v>1.55</v>
      </c>
      <c r="K2047" s="4">
        <v>11.8</v>
      </c>
      <c r="L2047" s="4">
        <v>0.3</v>
      </c>
      <c r="M2047" s="4">
        <f t="shared" si="93"/>
        <v>0.01</v>
      </c>
      <c r="N2047" s="4">
        <f t="shared" si="94"/>
        <v>10.25</v>
      </c>
      <c r="O2047" s="4">
        <f t="shared" si="95"/>
        <v>-0.01</v>
      </c>
      <c r="P2047" s="3" t="s">
        <v>19</v>
      </c>
    </row>
    <row r="2048" spans="1:16" x14ac:dyDescent="0.35">
      <c r="A2048" s="3" t="s">
        <v>20</v>
      </c>
      <c r="B2048" s="3" t="str">
        <f>INDEX(State_Region!$B$2:$B$26,MATCH(TRIM(A2048),State_Region!$A$2:$A$26,0))</f>
        <v>West</v>
      </c>
      <c r="C2048" s="3" t="s">
        <v>68</v>
      </c>
      <c r="D2048" s="3" t="str">
        <f>INDEX(Port_Type!$B$2:$B$227,MATCH(TRIM(C2048),Port_Type!$A$2:$A$227,0))</f>
        <v>Air Cargo</v>
      </c>
      <c r="E2048" s="3" t="s">
        <v>142</v>
      </c>
      <c r="F2048" s="3" t="str">
        <f>INDEX(Product_Category!$B$2:$B$45,MATCH(TRIM(E2048),Product_Category!$A$2:$A$45,0))</f>
        <v>Nuts &amp; Oilseeds</v>
      </c>
      <c r="G2048" s="4">
        <v>0.01</v>
      </c>
      <c r="H2048" s="4">
        <v>0</v>
      </c>
      <c r="I2048" s="4">
        <v>0</v>
      </c>
      <c r="J2048" s="4">
        <v>11.48</v>
      </c>
      <c r="K2048" s="4">
        <v>0</v>
      </c>
      <c r="L2048" s="4">
        <v>0.01</v>
      </c>
      <c r="M2048" s="4">
        <f t="shared" si="93"/>
        <v>-0.01</v>
      </c>
      <c r="N2048" s="4">
        <f t="shared" si="94"/>
        <v>-11.48</v>
      </c>
      <c r="O2048" s="4">
        <f t="shared" si="95"/>
        <v>0</v>
      </c>
      <c r="P2048" s="3" t="s">
        <v>19</v>
      </c>
    </row>
    <row r="2049" spans="1:16" x14ac:dyDescent="0.35">
      <c r="A2049" s="3" t="s">
        <v>66</v>
      </c>
      <c r="B2049" s="3" t="str">
        <f>INDEX(State_Region!$B$2:$B$26,MATCH(TRIM(A2049),State_Region!$A$2:$A$26,0))</f>
        <v>North</v>
      </c>
      <c r="C2049" s="3" t="s">
        <v>108</v>
      </c>
      <c r="D2049" s="3" t="str">
        <f>INDEX(Port_Type!$B$2:$B$227,MATCH(TRIM(C2049),Port_Type!$A$2:$A$227,0))</f>
        <v>Inland ICD / CFS</v>
      </c>
      <c r="E2049" s="3" t="s">
        <v>62</v>
      </c>
      <c r="F2049" s="3" t="str">
        <f>INDEX(Product_Category!$B$2:$B$45,MATCH(TRIM(E2049),Product_Category!$A$2:$A$45,0))</f>
        <v>Cereals &amp; Grains</v>
      </c>
      <c r="G2049" s="4">
        <v>0</v>
      </c>
      <c r="H2049" s="4">
        <v>0</v>
      </c>
      <c r="I2049" s="4">
        <v>0</v>
      </c>
      <c r="J2049" s="4">
        <v>0</v>
      </c>
      <c r="K2049" s="4">
        <v>0</v>
      </c>
      <c r="L2049" s="4">
        <v>0.15</v>
      </c>
      <c r="M2049" s="4">
        <f t="shared" si="93"/>
        <v>0</v>
      </c>
      <c r="N2049" s="4">
        <f t="shared" si="94"/>
        <v>0</v>
      </c>
      <c r="O2049" s="4">
        <f t="shared" si="95"/>
        <v>0</v>
      </c>
      <c r="P2049" s="3" t="s">
        <v>19</v>
      </c>
    </row>
    <row r="2050" spans="1:16" x14ac:dyDescent="0.35">
      <c r="A2050" s="3" t="s">
        <v>86</v>
      </c>
      <c r="B2050" s="3" t="str">
        <f>INDEX(State_Region!$B$2:$B$26,MATCH(TRIM(A2050),State_Region!$A$2:$A$26,0))</f>
        <v>North</v>
      </c>
      <c r="C2050" s="3" t="s">
        <v>106</v>
      </c>
      <c r="D2050" s="3" t="str">
        <f>INDEX(Port_Type!$B$2:$B$227,MATCH(TRIM(C2050),Port_Type!$A$2:$A$227,0))</f>
        <v>Inland ICD / CFS</v>
      </c>
      <c r="E2050" s="3" t="s">
        <v>51</v>
      </c>
      <c r="F2050" s="3" t="str">
        <f>INDEX(Product_Category!$B$2:$B$45,MATCH(TRIM(E2050),Product_Category!$A$2:$A$45,0))</f>
        <v>Nuts &amp; Oilseeds</v>
      </c>
      <c r="G2050" s="4">
        <v>0</v>
      </c>
      <c r="H2050" s="4">
        <v>0</v>
      </c>
      <c r="I2050" s="4">
        <v>0</v>
      </c>
      <c r="J2050" s="4">
        <v>0.45</v>
      </c>
      <c r="K2050" s="4">
        <v>0</v>
      </c>
      <c r="L2050" s="4">
        <v>0.09</v>
      </c>
      <c r="M2050" s="4">
        <f t="shared" ref="M2050:M2113" si="96">H2050-G2050</f>
        <v>0</v>
      </c>
      <c r="N2050" s="4">
        <f t="shared" ref="N2050:N2113" si="97">K2050-J2050</f>
        <v>-0.45</v>
      </c>
      <c r="O2050" s="4">
        <f t="shared" ref="O2050:O2113" si="98">I2050-H2050</f>
        <v>0</v>
      </c>
      <c r="P2050" s="3" t="s">
        <v>19</v>
      </c>
    </row>
    <row r="2051" spans="1:16" x14ac:dyDescent="0.35">
      <c r="A2051" s="3" t="s">
        <v>66</v>
      </c>
      <c r="B2051" s="3" t="str">
        <f>INDEX(State_Region!$B$2:$B$26,MATCH(TRIM(A2051),State_Region!$A$2:$A$26,0))</f>
        <v>North</v>
      </c>
      <c r="C2051" s="3" t="s">
        <v>108</v>
      </c>
      <c r="D2051" s="3" t="str">
        <f>INDEX(Port_Type!$B$2:$B$227,MATCH(TRIM(C2051),Port_Type!$A$2:$A$227,0))</f>
        <v>Inland ICD / CFS</v>
      </c>
      <c r="E2051" s="3" t="s">
        <v>151</v>
      </c>
      <c r="F2051" s="3" t="str">
        <f>INDEX(Product_Category!$B$2:$B$45,MATCH(TRIM(E2051),Product_Category!$A$2:$A$45,0))</f>
        <v>Processed Foods</v>
      </c>
      <c r="G2051" s="4">
        <v>0</v>
      </c>
      <c r="H2051" s="4">
        <v>0</v>
      </c>
      <c r="I2051" s="4">
        <v>0</v>
      </c>
      <c r="J2051" s="4">
        <v>0</v>
      </c>
      <c r="K2051" s="4">
        <v>0</v>
      </c>
      <c r="L2051" s="4">
        <v>0.1</v>
      </c>
      <c r="M2051" s="4">
        <f t="shared" si="96"/>
        <v>0</v>
      </c>
      <c r="N2051" s="4">
        <f t="shared" si="97"/>
        <v>0</v>
      </c>
      <c r="O2051" s="4">
        <f t="shared" si="98"/>
        <v>0</v>
      </c>
      <c r="P2051" s="3" t="s">
        <v>19</v>
      </c>
    </row>
    <row r="2052" spans="1:16" x14ac:dyDescent="0.35">
      <c r="A2052" s="3" t="s">
        <v>94</v>
      </c>
      <c r="B2052" s="3" t="str">
        <f>INDEX(State_Region!$B$2:$B$26,MATCH(TRIM(A2052),State_Region!$A$2:$A$26,0))</f>
        <v>East</v>
      </c>
      <c r="C2052" s="3" t="s">
        <v>95</v>
      </c>
      <c r="D2052" s="3" t="str">
        <f>INDEX(Port_Type!$B$2:$B$227,MATCH(TRIM(C2052),Port_Type!$A$2:$A$227,0))</f>
        <v>Land Border / Rail</v>
      </c>
      <c r="E2052" s="3" t="s">
        <v>179</v>
      </c>
      <c r="F2052" s="3" t="str">
        <f>INDEX(Product_Category!$B$2:$B$45,MATCH(TRIM(E2052),Product_Category!$A$2:$A$45,0))</f>
        <v>Nuts &amp; Oilseeds</v>
      </c>
      <c r="G2052" s="4">
        <v>0</v>
      </c>
      <c r="H2052" s="4">
        <v>0.01</v>
      </c>
      <c r="I2052" s="4">
        <v>0</v>
      </c>
      <c r="J2052" s="4">
        <v>0.36</v>
      </c>
      <c r="K2052" s="4">
        <v>1.1000000000000001</v>
      </c>
      <c r="L2052" s="4">
        <v>7.0000000000000007E-2</v>
      </c>
      <c r="M2052" s="4">
        <f t="shared" si="96"/>
        <v>0.01</v>
      </c>
      <c r="N2052" s="4">
        <f t="shared" si="97"/>
        <v>0.7400000000000001</v>
      </c>
      <c r="O2052" s="4">
        <f t="shared" si="98"/>
        <v>-0.01</v>
      </c>
      <c r="P2052" s="3" t="s">
        <v>19</v>
      </c>
    </row>
    <row r="2053" spans="1:16" x14ac:dyDescent="0.35">
      <c r="A2053" s="3" t="s">
        <v>23</v>
      </c>
      <c r="B2053" s="3" t="str">
        <f>INDEX(State_Region!$B$2:$B$26,MATCH(TRIM(A2053),State_Region!$A$2:$A$26,0))</f>
        <v>North</v>
      </c>
      <c r="C2053" s="3" t="s">
        <v>191</v>
      </c>
      <c r="D2053" s="3" t="str">
        <f>INDEX(Port_Type!$B$2:$B$227,MATCH(TRIM(C2053),Port_Type!$A$2:$A$227,0))</f>
        <v>Land Border / Rail</v>
      </c>
      <c r="E2053" s="3" t="s">
        <v>170</v>
      </c>
      <c r="F2053" s="3" t="str">
        <f>INDEX(Product_Category!$B$2:$B$45,MATCH(TRIM(E2053),Product_Category!$A$2:$A$45,0))</f>
        <v>Others</v>
      </c>
      <c r="G2053" s="4">
        <v>0</v>
      </c>
      <c r="H2053" s="4">
        <v>0</v>
      </c>
      <c r="I2053" s="4">
        <v>0</v>
      </c>
      <c r="J2053" s="4">
        <v>0</v>
      </c>
      <c r="K2053" s="4">
        <v>0</v>
      </c>
      <c r="L2053" s="4">
        <v>0.06</v>
      </c>
      <c r="M2053" s="4">
        <f t="shared" si="96"/>
        <v>0</v>
      </c>
      <c r="N2053" s="4">
        <f t="shared" si="97"/>
        <v>0</v>
      </c>
      <c r="O2053" s="4">
        <f t="shared" si="98"/>
        <v>0</v>
      </c>
      <c r="P2053" s="3" t="s">
        <v>19</v>
      </c>
    </row>
    <row r="2054" spans="1:16" x14ac:dyDescent="0.35">
      <c r="A2054" s="3" t="s">
        <v>231</v>
      </c>
      <c r="B2054" s="3" t="str">
        <f>INDEX(State_Region!$B$2:$B$26,MATCH(TRIM(A2054),State_Region!$A$2:$A$26,0))</f>
        <v>North-East</v>
      </c>
      <c r="C2054" s="3" t="s">
        <v>236</v>
      </c>
      <c r="D2054" s="3" t="str">
        <f>INDEX(Port_Type!$B$2:$B$227,MATCH(TRIM(C2054),Port_Type!$A$2:$A$227,0))</f>
        <v>Land Border / Rail</v>
      </c>
      <c r="E2054" s="3" t="s">
        <v>76</v>
      </c>
      <c r="F2054" s="3" t="str">
        <f>INDEX(Product_Category!$B$2:$B$45,MATCH(TRIM(E2054),Product_Category!$A$2:$A$45,0))</f>
        <v>Fresh Fruits &amp; Vegetables</v>
      </c>
      <c r="G2054" s="4">
        <v>0</v>
      </c>
      <c r="H2054" s="4">
        <v>0</v>
      </c>
      <c r="I2054" s="4">
        <v>0</v>
      </c>
      <c r="J2054" s="4">
        <v>0</v>
      </c>
      <c r="K2054" s="4">
        <v>1.62</v>
      </c>
      <c r="L2054" s="4">
        <v>0.38</v>
      </c>
      <c r="M2054" s="4">
        <f t="shared" si="96"/>
        <v>0</v>
      </c>
      <c r="N2054" s="4">
        <f t="shared" si="97"/>
        <v>1.62</v>
      </c>
      <c r="O2054" s="4">
        <f t="shared" si="98"/>
        <v>0</v>
      </c>
      <c r="P2054" s="3" t="s">
        <v>19</v>
      </c>
    </row>
    <row r="2055" spans="1:16" x14ac:dyDescent="0.35">
      <c r="A2055" s="3" t="s">
        <v>231</v>
      </c>
      <c r="B2055" s="3" t="str">
        <f>INDEX(State_Region!$B$2:$B$26,MATCH(TRIM(A2055),State_Region!$A$2:$A$26,0))</f>
        <v>North-East</v>
      </c>
      <c r="C2055" s="3" t="s">
        <v>232</v>
      </c>
      <c r="D2055" s="3" t="str">
        <f>INDEX(Port_Type!$B$2:$B$227,MATCH(TRIM(C2055),Port_Type!$A$2:$A$227,0))</f>
        <v>Land Border / Rail</v>
      </c>
      <c r="E2055" s="3" t="s">
        <v>76</v>
      </c>
      <c r="F2055" s="3" t="str">
        <f>INDEX(Product_Category!$B$2:$B$45,MATCH(TRIM(E2055),Product_Category!$A$2:$A$45,0))</f>
        <v>Fresh Fruits &amp; Vegetables</v>
      </c>
      <c r="G2055" s="4">
        <v>0</v>
      </c>
      <c r="H2055" s="4">
        <v>0.01</v>
      </c>
      <c r="I2055" s="4">
        <v>0</v>
      </c>
      <c r="J2055" s="4">
        <v>0</v>
      </c>
      <c r="K2055" s="4">
        <v>26.72</v>
      </c>
      <c r="L2055" s="4">
        <v>0.3</v>
      </c>
      <c r="M2055" s="4">
        <f t="shared" si="96"/>
        <v>0.01</v>
      </c>
      <c r="N2055" s="4">
        <f t="shared" si="97"/>
        <v>26.72</v>
      </c>
      <c r="O2055" s="4">
        <f t="shared" si="98"/>
        <v>-0.01</v>
      </c>
      <c r="P2055" s="3" t="s">
        <v>19</v>
      </c>
    </row>
    <row r="2056" spans="1:16" x14ac:dyDescent="0.35">
      <c r="A2056" s="3" t="s">
        <v>31</v>
      </c>
      <c r="B2056" s="3" t="str">
        <f>INDEX(State_Region!$B$2:$B$26,MATCH(TRIM(A2056),State_Region!$A$2:$A$26,0))</f>
        <v>East</v>
      </c>
      <c r="C2056" s="3" t="s">
        <v>131</v>
      </c>
      <c r="D2056" s="3" t="str">
        <f>INDEX(Port_Type!$B$2:$B$227,MATCH(TRIM(C2056),Port_Type!$A$2:$A$227,0))</f>
        <v>Land Border / Rail</v>
      </c>
      <c r="E2056" s="3" t="s">
        <v>174</v>
      </c>
      <c r="F2056" s="3" t="str">
        <f>INDEX(Product_Category!$B$2:$B$45,MATCH(TRIM(E2056),Product_Category!$A$2:$A$45,0))</f>
        <v>Dairy, Poultry &amp; Honey</v>
      </c>
      <c r="G2056" s="4">
        <v>0</v>
      </c>
      <c r="H2056" s="4">
        <v>0</v>
      </c>
      <c r="I2056" s="4">
        <v>0</v>
      </c>
      <c r="J2056" s="4">
        <v>0.01</v>
      </c>
      <c r="K2056" s="4">
        <v>0</v>
      </c>
      <c r="L2056" s="4">
        <v>0</v>
      </c>
      <c r="M2056" s="4">
        <f t="shared" si="96"/>
        <v>0</v>
      </c>
      <c r="N2056" s="4">
        <f t="shared" si="97"/>
        <v>-0.01</v>
      </c>
      <c r="O2056" s="4">
        <f t="shared" si="98"/>
        <v>0</v>
      </c>
      <c r="P2056" s="3" t="s">
        <v>19</v>
      </c>
    </row>
    <row r="2057" spans="1:16" x14ac:dyDescent="0.35">
      <c r="A2057" s="3" t="s">
        <v>40</v>
      </c>
      <c r="B2057" s="3" t="str">
        <f>INDEX(State_Region!$B$2:$B$26,MATCH(TRIM(A2057),State_Region!$A$2:$A$26,0))</f>
        <v>South</v>
      </c>
      <c r="C2057" s="3" t="s">
        <v>107</v>
      </c>
      <c r="D2057" s="3" t="str">
        <f>INDEX(Port_Type!$B$2:$B$227,MATCH(TRIM(C2057),Port_Type!$A$2:$A$227,0))</f>
        <v>Sea Port</v>
      </c>
      <c r="E2057" s="3" t="s">
        <v>150</v>
      </c>
      <c r="F2057" s="3" t="str">
        <f>INDEX(Product_Category!$B$2:$B$45,MATCH(TRIM(E2057),Product_Category!$A$2:$A$45,0))</f>
        <v>Nuts &amp; Oilseeds</v>
      </c>
      <c r="G2057" s="4">
        <v>0</v>
      </c>
      <c r="H2057" s="4">
        <v>0</v>
      </c>
      <c r="I2057" s="4">
        <v>0</v>
      </c>
      <c r="J2057" s="4">
        <v>0.03</v>
      </c>
      <c r="K2057" s="4">
        <v>0.24</v>
      </c>
      <c r="L2057" s="4">
        <v>0.01</v>
      </c>
      <c r="M2057" s="4">
        <f t="shared" si="96"/>
        <v>0</v>
      </c>
      <c r="N2057" s="4">
        <f t="shared" si="97"/>
        <v>0.21</v>
      </c>
      <c r="O2057" s="4">
        <f t="shared" si="98"/>
        <v>0</v>
      </c>
      <c r="P2057" s="3" t="s">
        <v>19</v>
      </c>
    </row>
    <row r="2058" spans="1:16" x14ac:dyDescent="0.35">
      <c r="A2058" s="3" t="s">
        <v>31</v>
      </c>
      <c r="B2058" s="3" t="str">
        <f>INDEX(State_Region!$B$2:$B$26,MATCH(TRIM(A2058),State_Region!$A$2:$A$26,0))</f>
        <v>East</v>
      </c>
      <c r="C2058" s="3" t="s">
        <v>146</v>
      </c>
      <c r="D2058" s="3" t="str">
        <f>INDEX(Port_Type!$B$2:$B$227,MATCH(TRIM(C2058),Port_Type!$A$2:$A$227,0))</f>
        <v>Land Border / Rail</v>
      </c>
      <c r="E2058" s="3" t="s">
        <v>65</v>
      </c>
      <c r="F2058" s="3" t="str">
        <f>INDEX(Product_Category!$B$2:$B$45,MATCH(TRIM(E2058),Product_Category!$A$2:$A$45,0))</f>
        <v>Cereals &amp; Grains</v>
      </c>
      <c r="G2058" s="4">
        <v>0</v>
      </c>
      <c r="H2058" s="4">
        <v>0</v>
      </c>
      <c r="I2058" s="4">
        <v>0</v>
      </c>
      <c r="J2058" s="4">
        <v>0</v>
      </c>
      <c r="K2058" s="4">
        <v>0</v>
      </c>
      <c r="L2058" s="4">
        <v>0.22</v>
      </c>
      <c r="M2058" s="4">
        <f t="shared" si="96"/>
        <v>0</v>
      </c>
      <c r="N2058" s="4">
        <f t="shared" si="97"/>
        <v>0</v>
      </c>
      <c r="O2058" s="4">
        <f t="shared" si="98"/>
        <v>0</v>
      </c>
      <c r="P2058" s="3" t="s">
        <v>19</v>
      </c>
    </row>
    <row r="2059" spans="1:16" x14ac:dyDescent="0.35">
      <c r="A2059" s="3" t="s">
        <v>40</v>
      </c>
      <c r="B2059" s="3" t="str">
        <f>INDEX(State_Region!$B$2:$B$26,MATCH(TRIM(A2059),State_Region!$A$2:$A$26,0))</f>
        <v>South</v>
      </c>
      <c r="C2059" s="3" t="s">
        <v>183</v>
      </c>
      <c r="D2059" s="3" t="str">
        <f>INDEX(Port_Type!$B$2:$B$227,MATCH(TRIM(C2059),Port_Type!$A$2:$A$227,0))</f>
        <v>Inland ICD / CFS</v>
      </c>
      <c r="E2059" s="3" t="s">
        <v>45</v>
      </c>
      <c r="F2059" s="3" t="str">
        <f>INDEX(Product_Category!$B$2:$B$45,MATCH(TRIM(E2059),Product_Category!$A$2:$A$45,0))</f>
        <v>Fresh Fruits &amp; Vegetables</v>
      </c>
      <c r="G2059" s="4">
        <v>0</v>
      </c>
      <c r="H2059" s="4">
        <v>0</v>
      </c>
      <c r="I2059" s="4">
        <v>0</v>
      </c>
      <c r="J2059" s="4">
        <v>1.27</v>
      </c>
      <c r="K2059" s="4">
        <v>0.28000000000000003</v>
      </c>
      <c r="L2059" s="4">
        <v>0.03</v>
      </c>
      <c r="M2059" s="4">
        <f t="shared" si="96"/>
        <v>0</v>
      </c>
      <c r="N2059" s="4">
        <f t="shared" si="97"/>
        <v>-0.99</v>
      </c>
      <c r="O2059" s="4">
        <f t="shared" si="98"/>
        <v>0</v>
      </c>
      <c r="P2059" s="3" t="s">
        <v>19</v>
      </c>
    </row>
    <row r="2060" spans="1:16" x14ac:dyDescent="0.35">
      <c r="A2060" s="3" t="s">
        <v>231</v>
      </c>
      <c r="B2060" s="3" t="str">
        <f>INDEX(State_Region!$B$2:$B$26,MATCH(TRIM(A2060),State_Region!$A$2:$A$26,0))</f>
        <v>North-East</v>
      </c>
      <c r="C2060" s="3" t="s">
        <v>232</v>
      </c>
      <c r="D2060" s="3" t="str">
        <f>INDEX(Port_Type!$B$2:$B$227,MATCH(TRIM(C2060),Port_Type!$A$2:$A$227,0))</f>
        <v>Land Border / Rail</v>
      </c>
      <c r="E2060" s="3" t="s">
        <v>51</v>
      </c>
      <c r="F2060" s="3" t="str">
        <f>INDEX(Product_Category!$B$2:$B$45,MATCH(TRIM(E2060),Product_Category!$A$2:$A$45,0))</f>
        <v>Nuts &amp; Oilseeds</v>
      </c>
      <c r="G2060" s="4">
        <v>0</v>
      </c>
      <c r="H2060" s="4">
        <v>0</v>
      </c>
      <c r="I2060" s="4">
        <v>0</v>
      </c>
      <c r="J2060" s="4">
        <v>0.21</v>
      </c>
      <c r="K2060" s="4">
        <v>0.36</v>
      </c>
      <c r="L2060" s="4">
        <v>0.06</v>
      </c>
      <c r="M2060" s="4">
        <f t="shared" si="96"/>
        <v>0</v>
      </c>
      <c r="N2060" s="4">
        <f t="shared" si="97"/>
        <v>0.15</v>
      </c>
      <c r="O2060" s="4">
        <f t="shared" si="98"/>
        <v>0</v>
      </c>
      <c r="P2060" s="3" t="s">
        <v>19</v>
      </c>
    </row>
    <row r="2061" spans="1:16" x14ac:dyDescent="0.35">
      <c r="A2061" s="3" t="s">
        <v>231</v>
      </c>
      <c r="B2061" s="3" t="str">
        <f>INDEX(State_Region!$B$2:$B$26,MATCH(TRIM(A2061),State_Region!$A$2:$A$26,0))</f>
        <v>North-East</v>
      </c>
      <c r="C2061" s="3" t="s">
        <v>236</v>
      </c>
      <c r="D2061" s="3" t="str">
        <f>INDEX(Port_Type!$B$2:$B$227,MATCH(TRIM(C2061),Port_Type!$A$2:$A$227,0))</f>
        <v>Land Border / Rail</v>
      </c>
      <c r="E2061" s="3" t="s">
        <v>81</v>
      </c>
      <c r="F2061" s="3" t="str">
        <f>INDEX(Product_Category!$B$2:$B$45,MATCH(TRIM(E2061),Product_Category!$A$2:$A$45,0))</f>
        <v>Processed Foods</v>
      </c>
      <c r="G2061" s="4">
        <v>0</v>
      </c>
      <c r="H2061" s="4">
        <v>0</v>
      </c>
      <c r="I2061" s="4">
        <v>0</v>
      </c>
      <c r="J2061" s="4">
        <v>0</v>
      </c>
      <c r="K2061" s="4">
        <v>2.2000000000000002</v>
      </c>
      <c r="L2061" s="4">
        <v>0.47</v>
      </c>
      <c r="M2061" s="4">
        <f t="shared" si="96"/>
        <v>0</v>
      </c>
      <c r="N2061" s="4">
        <f t="shared" si="97"/>
        <v>2.2000000000000002</v>
      </c>
      <c r="O2061" s="4">
        <f t="shared" si="98"/>
        <v>0</v>
      </c>
      <c r="P2061" s="3" t="s">
        <v>19</v>
      </c>
    </row>
    <row r="2062" spans="1:16" x14ac:dyDescent="0.35">
      <c r="A2062" s="3" t="s">
        <v>16</v>
      </c>
      <c r="B2062" s="3" t="str">
        <f>INDEX(State_Region!$B$2:$B$26,MATCH(TRIM(A2062),State_Region!$A$2:$A$26,0))</f>
        <v>West</v>
      </c>
      <c r="C2062" s="3" t="s">
        <v>135</v>
      </c>
      <c r="D2062" s="3" t="str">
        <f>INDEX(Port_Type!$B$2:$B$227,MATCH(TRIM(C2062),Port_Type!$A$2:$A$227,0))</f>
        <v>Air Cargo</v>
      </c>
      <c r="E2062" s="3" t="s">
        <v>174</v>
      </c>
      <c r="F2062" s="3" t="str">
        <f>INDEX(Product_Category!$B$2:$B$45,MATCH(TRIM(E2062),Product_Category!$A$2:$A$45,0))</f>
        <v>Dairy, Poultry &amp; Honey</v>
      </c>
      <c r="G2062" s="4">
        <v>0.01</v>
      </c>
      <c r="H2062" s="4">
        <v>0.02</v>
      </c>
      <c r="I2062" s="4">
        <v>0</v>
      </c>
      <c r="J2062" s="4">
        <v>0.1</v>
      </c>
      <c r="K2062" s="4">
        <v>1</v>
      </c>
      <c r="L2062" s="4">
        <v>0.01</v>
      </c>
      <c r="M2062" s="4">
        <f t="shared" si="96"/>
        <v>0.01</v>
      </c>
      <c r="N2062" s="4">
        <f t="shared" si="97"/>
        <v>0.9</v>
      </c>
      <c r="O2062" s="4">
        <f t="shared" si="98"/>
        <v>-0.02</v>
      </c>
      <c r="P2062" s="3" t="s">
        <v>19</v>
      </c>
    </row>
    <row r="2063" spans="1:16" x14ac:dyDescent="0.35">
      <c r="A2063" s="3" t="s">
        <v>20</v>
      </c>
      <c r="B2063" s="3" t="str">
        <f>INDEX(State_Region!$B$2:$B$26,MATCH(TRIM(A2063),State_Region!$A$2:$A$26,0))</f>
        <v>West</v>
      </c>
      <c r="C2063" s="3" t="s">
        <v>111</v>
      </c>
      <c r="D2063" s="3" t="str">
        <f>INDEX(Port_Type!$B$2:$B$227,MATCH(TRIM(C2063),Port_Type!$A$2:$A$227,0))</f>
        <v>Inland ICD / CFS</v>
      </c>
      <c r="E2063" s="3" t="s">
        <v>53</v>
      </c>
      <c r="F2063" s="3" t="str">
        <f>INDEX(Product_Category!$B$2:$B$45,MATCH(TRIM(E2063),Product_Category!$A$2:$A$45,0))</f>
        <v>Processed Foods</v>
      </c>
      <c r="G2063" s="4">
        <v>0</v>
      </c>
      <c r="H2063" s="4">
        <v>0.03</v>
      </c>
      <c r="I2063" s="4">
        <v>0</v>
      </c>
      <c r="J2063" s="4">
        <v>0</v>
      </c>
      <c r="K2063" s="4">
        <v>58.23</v>
      </c>
      <c r="L2063" s="4">
        <v>0.04</v>
      </c>
      <c r="M2063" s="4">
        <f t="shared" si="96"/>
        <v>0.03</v>
      </c>
      <c r="N2063" s="4">
        <f t="shared" si="97"/>
        <v>58.23</v>
      </c>
      <c r="O2063" s="4">
        <f t="shared" si="98"/>
        <v>-0.03</v>
      </c>
      <c r="P2063" s="3" t="s">
        <v>19</v>
      </c>
    </row>
    <row r="2064" spans="1:16" x14ac:dyDescent="0.35">
      <c r="A2064" s="3" t="s">
        <v>16</v>
      </c>
      <c r="B2064" s="3" t="str">
        <f>INDEX(State_Region!$B$2:$B$26,MATCH(TRIM(A2064),State_Region!$A$2:$A$26,0))</f>
        <v>West</v>
      </c>
      <c r="C2064" s="3" t="s">
        <v>109</v>
      </c>
      <c r="D2064" s="3" t="str">
        <f>INDEX(Port_Type!$B$2:$B$227,MATCH(TRIM(C2064),Port_Type!$A$2:$A$227,0))</f>
        <v>SEZ / EPZ</v>
      </c>
      <c r="E2064" s="3" t="s">
        <v>69</v>
      </c>
      <c r="F2064" s="3" t="str">
        <f>INDEX(Product_Category!$B$2:$B$45,MATCH(TRIM(E2064),Product_Category!$A$2:$A$45,0))</f>
        <v>Others</v>
      </c>
      <c r="G2064" s="4">
        <v>0</v>
      </c>
      <c r="H2064" s="4">
        <v>0</v>
      </c>
      <c r="I2064" s="4">
        <v>0</v>
      </c>
      <c r="J2064" s="4">
        <v>0.2</v>
      </c>
      <c r="K2064" s="4">
        <v>1.08</v>
      </c>
      <c r="L2064" s="4">
        <v>0.02</v>
      </c>
      <c r="M2064" s="4">
        <f t="shared" si="96"/>
        <v>0</v>
      </c>
      <c r="N2064" s="4">
        <f t="shared" si="97"/>
        <v>0.88000000000000012</v>
      </c>
      <c r="O2064" s="4">
        <f t="shared" si="98"/>
        <v>0</v>
      </c>
      <c r="P2064" s="3" t="s">
        <v>19</v>
      </c>
    </row>
    <row r="2065" spans="1:16" x14ac:dyDescent="0.35">
      <c r="A2065" s="3" t="s">
        <v>231</v>
      </c>
      <c r="B2065" s="3" t="str">
        <f>INDEX(State_Region!$B$2:$B$26,MATCH(TRIM(A2065),State_Region!$A$2:$A$26,0))</f>
        <v>North-East</v>
      </c>
      <c r="C2065" s="3" t="s">
        <v>236</v>
      </c>
      <c r="D2065" s="3" t="str">
        <f>INDEX(Port_Type!$B$2:$B$227,MATCH(TRIM(C2065),Port_Type!$A$2:$A$227,0))</f>
        <v>Land Border / Rail</v>
      </c>
      <c r="E2065" s="3" t="s">
        <v>170</v>
      </c>
      <c r="F2065" s="3" t="str">
        <f>INDEX(Product_Category!$B$2:$B$45,MATCH(TRIM(E2065),Product_Category!$A$2:$A$45,0))</f>
        <v>Others</v>
      </c>
      <c r="G2065" s="4">
        <v>0</v>
      </c>
      <c r="H2065" s="4">
        <v>0</v>
      </c>
      <c r="I2065" s="4">
        <v>0</v>
      </c>
      <c r="J2065" s="4">
        <v>0</v>
      </c>
      <c r="K2065" s="4">
        <v>0.27</v>
      </c>
      <c r="L2065" s="4">
        <v>7.0000000000000007E-2</v>
      </c>
      <c r="M2065" s="4">
        <f t="shared" si="96"/>
        <v>0</v>
      </c>
      <c r="N2065" s="4">
        <f t="shared" si="97"/>
        <v>0.27</v>
      </c>
      <c r="O2065" s="4">
        <f t="shared" si="98"/>
        <v>0</v>
      </c>
      <c r="P2065" s="3" t="s">
        <v>19</v>
      </c>
    </row>
    <row r="2066" spans="1:16" x14ac:dyDescent="0.35">
      <c r="A2066" s="3" t="s">
        <v>20</v>
      </c>
      <c r="B2066" s="3" t="str">
        <f>INDEX(State_Region!$B$2:$B$26,MATCH(TRIM(A2066),State_Region!$A$2:$A$26,0))</f>
        <v>West</v>
      </c>
      <c r="C2066" s="3" t="s">
        <v>145</v>
      </c>
      <c r="D2066" s="3" t="str">
        <f>INDEX(Port_Type!$B$2:$B$227,MATCH(TRIM(C2066),Port_Type!$A$2:$A$227,0))</f>
        <v>Inland ICD / CFS</v>
      </c>
      <c r="E2066" s="3" t="s">
        <v>65</v>
      </c>
      <c r="F2066" s="3" t="str">
        <f>INDEX(Product_Category!$B$2:$B$45,MATCH(TRIM(E2066),Product_Category!$A$2:$A$45,0))</f>
        <v>Cereals &amp; Grains</v>
      </c>
      <c r="G2066" s="4">
        <v>0</v>
      </c>
      <c r="H2066" s="4">
        <v>0.16</v>
      </c>
      <c r="I2066" s="4">
        <v>0</v>
      </c>
      <c r="J2066" s="4">
        <v>0</v>
      </c>
      <c r="K2066" s="4">
        <v>42.1</v>
      </c>
      <c r="L2066" s="4">
        <v>0.06</v>
      </c>
      <c r="M2066" s="4">
        <f t="shared" si="96"/>
        <v>0.16</v>
      </c>
      <c r="N2066" s="4">
        <f t="shared" si="97"/>
        <v>42.1</v>
      </c>
      <c r="O2066" s="4">
        <f t="shared" si="98"/>
        <v>-0.16</v>
      </c>
      <c r="P2066" s="3" t="s">
        <v>19</v>
      </c>
    </row>
    <row r="2067" spans="1:16" x14ac:dyDescent="0.35">
      <c r="A2067" s="3" t="s">
        <v>35</v>
      </c>
      <c r="B2067" s="3" t="str">
        <f>INDEX(State_Region!$B$2:$B$26,MATCH(TRIM(A2067),State_Region!$A$2:$A$26,0))</f>
        <v>North</v>
      </c>
      <c r="C2067" s="3" t="s">
        <v>165</v>
      </c>
      <c r="D2067" s="3" t="str">
        <f>INDEX(Port_Type!$B$2:$B$227,MATCH(TRIM(C2067),Port_Type!$A$2:$A$227,0))</f>
        <v>Inland ICD / CFS</v>
      </c>
      <c r="E2067" s="3" t="s">
        <v>62</v>
      </c>
      <c r="F2067" s="3" t="str">
        <f>INDEX(Product_Category!$B$2:$B$45,MATCH(TRIM(E2067),Product_Category!$A$2:$A$45,0))</f>
        <v>Cereals &amp; Grains</v>
      </c>
      <c r="G2067" s="4">
        <v>0</v>
      </c>
      <c r="H2067" s="4">
        <v>0</v>
      </c>
      <c r="I2067" s="4">
        <v>0</v>
      </c>
      <c r="J2067" s="4">
        <v>0</v>
      </c>
      <c r="K2067" s="4">
        <v>0</v>
      </c>
      <c r="L2067" s="4">
        <v>0.12</v>
      </c>
      <c r="M2067" s="4">
        <f t="shared" si="96"/>
        <v>0</v>
      </c>
      <c r="N2067" s="4">
        <f t="shared" si="97"/>
        <v>0</v>
      </c>
      <c r="O2067" s="4">
        <f t="shared" si="98"/>
        <v>0</v>
      </c>
      <c r="P2067" s="3" t="s">
        <v>19</v>
      </c>
    </row>
    <row r="2068" spans="1:16" x14ac:dyDescent="0.35">
      <c r="A2068" s="3" t="s">
        <v>77</v>
      </c>
      <c r="B2068" s="3" t="str">
        <f>INDEX(State_Region!$B$2:$B$26,MATCH(TRIM(A2068),State_Region!$A$2:$A$26,0))</f>
        <v>South</v>
      </c>
      <c r="C2068" s="3" t="s">
        <v>168</v>
      </c>
      <c r="D2068" s="3" t="str">
        <f>INDEX(Port_Type!$B$2:$B$227,MATCH(TRIM(C2068),Port_Type!$A$2:$A$227,0))</f>
        <v>Air Cargo</v>
      </c>
      <c r="E2068" s="3" t="s">
        <v>53</v>
      </c>
      <c r="F2068" s="3" t="str">
        <f>INDEX(Product_Category!$B$2:$B$45,MATCH(TRIM(E2068),Product_Category!$A$2:$A$45,0))</f>
        <v>Processed Foods</v>
      </c>
      <c r="G2068" s="4">
        <v>0</v>
      </c>
      <c r="H2068" s="4">
        <v>0</v>
      </c>
      <c r="I2068" s="4">
        <v>0</v>
      </c>
      <c r="J2068" s="4">
        <v>0.41</v>
      </c>
      <c r="K2068" s="4">
        <v>0.36</v>
      </c>
      <c r="L2068" s="4">
        <v>0</v>
      </c>
      <c r="M2068" s="4">
        <f t="shared" si="96"/>
        <v>0</v>
      </c>
      <c r="N2068" s="4">
        <f t="shared" si="97"/>
        <v>-4.9999999999999989E-2</v>
      </c>
      <c r="O2068" s="4">
        <f t="shared" si="98"/>
        <v>0</v>
      </c>
      <c r="P2068" s="3" t="s">
        <v>19</v>
      </c>
    </row>
    <row r="2069" spans="1:16" x14ac:dyDescent="0.35">
      <c r="A2069" s="3" t="s">
        <v>40</v>
      </c>
      <c r="B2069" s="3" t="str">
        <f>INDEX(State_Region!$B$2:$B$26,MATCH(TRIM(A2069),State_Region!$A$2:$A$26,0))</f>
        <v>South</v>
      </c>
      <c r="C2069" s="3" t="s">
        <v>164</v>
      </c>
      <c r="D2069" s="3" t="str">
        <f>INDEX(Port_Type!$B$2:$B$227,MATCH(TRIM(C2069),Port_Type!$A$2:$A$227,0))</f>
        <v>Air Cargo</v>
      </c>
      <c r="E2069" s="3" t="s">
        <v>126</v>
      </c>
      <c r="F2069" s="3" t="str">
        <f>INDEX(Product_Category!$B$2:$B$45,MATCH(TRIM(E2069),Product_Category!$A$2:$A$45,0))</f>
        <v>Cereals &amp; Grains</v>
      </c>
      <c r="G2069" s="4">
        <v>0.03</v>
      </c>
      <c r="H2069" s="4">
        <v>0</v>
      </c>
      <c r="I2069" s="4">
        <v>0</v>
      </c>
      <c r="J2069" s="4">
        <v>8.3699999999999992</v>
      </c>
      <c r="K2069" s="4">
        <v>0.2</v>
      </c>
      <c r="L2069" s="4">
        <v>0.02</v>
      </c>
      <c r="M2069" s="4">
        <f t="shared" si="96"/>
        <v>-0.03</v>
      </c>
      <c r="N2069" s="4">
        <f t="shared" si="97"/>
        <v>-8.17</v>
      </c>
      <c r="O2069" s="4">
        <f t="shared" si="98"/>
        <v>0</v>
      </c>
      <c r="P2069" s="3" t="s">
        <v>19</v>
      </c>
    </row>
    <row r="2070" spans="1:16" x14ac:dyDescent="0.35">
      <c r="A2070" s="3" t="s">
        <v>31</v>
      </c>
      <c r="B2070" s="3" t="str">
        <f>INDEX(State_Region!$B$2:$B$26,MATCH(TRIM(A2070),State_Region!$A$2:$A$26,0))</f>
        <v>East</v>
      </c>
      <c r="C2070" s="3" t="s">
        <v>101</v>
      </c>
      <c r="D2070" s="3" t="str">
        <f>INDEX(Port_Type!$B$2:$B$227,MATCH(TRIM(C2070),Port_Type!$A$2:$A$227,0))</f>
        <v>Land Border / Rail</v>
      </c>
      <c r="E2070" s="3" t="s">
        <v>59</v>
      </c>
      <c r="F2070" s="3" t="str">
        <f>INDEX(Product_Category!$B$2:$B$45,MATCH(TRIM(E2070),Product_Category!$A$2:$A$45,0))</f>
        <v>Processed Foods</v>
      </c>
      <c r="G2070" s="4">
        <v>0</v>
      </c>
      <c r="H2070" s="4">
        <v>0.01</v>
      </c>
      <c r="I2070" s="4">
        <v>0</v>
      </c>
      <c r="J2070" s="4">
        <v>0</v>
      </c>
      <c r="K2070" s="4">
        <v>7.07</v>
      </c>
      <c r="L2070" s="4">
        <v>0.08</v>
      </c>
      <c r="M2070" s="4">
        <f t="shared" si="96"/>
        <v>0.01</v>
      </c>
      <c r="N2070" s="4">
        <f t="shared" si="97"/>
        <v>7.07</v>
      </c>
      <c r="O2070" s="4">
        <f t="shared" si="98"/>
        <v>-0.01</v>
      </c>
      <c r="P2070" s="3" t="s">
        <v>19</v>
      </c>
    </row>
    <row r="2071" spans="1:16" x14ac:dyDescent="0.35">
      <c r="A2071" s="3" t="s">
        <v>16</v>
      </c>
      <c r="B2071" s="3" t="str">
        <f>INDEX(State_Region!$B$2:$B$26,MATCH(TRIM(A2071),State_Region!$A$2:$A$26,0))</f>
        <v>West</v>
      </c>
      <c r="C2071" s="3" t="s">
        <v>135</v>
      </c>
      <c r="D2071" s="3" t="str">
        <f>INDEX(Port_Type!$B$2:$B$227,MATCH(TRIM(C2071),Port_Type!$A$2:$A$227,0))</f>
        <v>Air Cargo</v>
      </c>
      <c r="E2071" s="3" t="s">
        <v>144</v>
      </c>
      <c r="F2071" s="3" t="str">
        <f>INDEX(Product_Category!$B$2:$B$45,MATCH(TRIM(E2071),Product_Category!$A$2:$A$45,0))</f>
        <v>Cereals &amp; Grains</v>
      </c>
      <c r="G2071" s="4">
        <v>0</v>
      </c>
      <c r="H2071" s="4">
        <v>0</v>
      </c>
      <c r="I2071" s="4">
        <v>0</v>
      </c>
      <c r="J2071" s="4">
        <v>0</v>
      </c>
      <c r="K2071" s="4">
        <v>0.15</v>
      </c>
      <c r="L2071" s="4">
        <v>0.06</v>
      </c>
      <c r="M2071" s="4">
        <f t="shared" si="96"/>
        <v>0</v>
      </c>
      <c r="N2071" s="4">
        <f t="shared" si="97"/>
        <v>0.15</v>
      </c>
      <c r="O2071" s="4">
        <f t="shared" si="98"/>
        <v>0</v>
      </c>
      <c r="P2071" s="3" t="s">
        <v>19</v>
      </c>
    </row>
    <row r="2072" spans="1:16" x14ac:dyDescent="0.35">
      <c r="A2072" s="3" t="s">
        <v>166</v>
      </c>
      <c r="B2072" s="3" t="str">
        <f>INDEX(State_Region!$B$2:$B$26,MATCH(TRIM(A2072),State_Region!$A$2:$A$26,0))</f>
        <v>West</v>
      </c>
      <c r="C2072" s="3" t="s">
        <v>248</v>
      </c>
      <c r="D2072" s="3" t="str">
        <f>INDEX(Port_Type!$B$2:$B$227,MATCH(TRIM(C2072),Port_Type!$A$2:$A$227,0))</f>
        <v>Air Cargo</v>
      </c>
      <c r="E2072" s="3" t="s">
        <v>151</v>
      </c>
      <c r="F2072" s="3" t="str">
        <f>INDEX(Product_Category!$B$2:$B$45,MATCH(TRIM(E2072),Product_Category!$A$2:$A$45,0))</f>
        <v>Processed Foods</v>
      </c>
      <c r="G2072" s="4">
        <v>0</v>
      </c>
      <c r="H2072" s="4">
        <v>0.02</v>
      </c>
      <c r="I2072" s="4">
        <v>0</v>
      </c>
      <c r="J2072" s="4">
        <v>0</v>
      </c>
      <c r="K2072" s="4">
        <v>6.01</v>
      </c>
      <c r="L2072" s="4">
        <v>0.01</v>
      </c>
      <c r="M2072" s="4">
        <f t="shared" si="96"/>
        <v>0.02</v>
      </c>
      <c r="N2072" s="4">
        <f t="shared" si="97"/>
        <v>6.01</v>
      </c>
      <c r="O2072" s="4">
        <f t="shared" si="98"/>
        <v>-0.02</v>
      </c>
      <c r="P2072" s="3" t="s">
        <v>19</v>
      </c>
    </row>
    <row r="2073" spans="1:16" x14ac:dyDescent="0.35">
      <c r="A2073" s="3" t="s">
        <v>20</v>
      </c>
      <c r="B2073" s="3" t="str">
        <f>INDEX(State_Region!$B$2:$B$26,MATCH(TRIM(A2073),State_Region!$A$2:$A$26,0))</f>
        <v>West</v>
      </c>
      <c r="C2073" s="3" t="s">
        <v>68</v>
      </c>
      <c r="D2073" s="3" t="str">
        <f>INDEX(Port_Type!$B$2:$B$227,MATCH(TRIM(C2073),Port_Type!$A$2:$A$227,0))</f>
        <v>Air Cargo</v>
      </c>
      <c r="E2073" s="3" t="s">
        <v>27</v>
      </c>
      <c r="F2073" s="3" t="str">
        <f>INDEX(Product_Category!$B$2:$B$45,MATCH(TRIM(E2073),Product_Category!$A$2:$A$45,0))</f>
        <v>Cereals &amp; Grains</v>
      </c>
      <c r="G2073" s="4">
        <v>0.01</v>
      </c>
      <c r="H2073" s="4">
        <v>0</v>
      </c>
      <c r="I2073" s="4">
        <v>0</v>
      </c>
      <c r="J2073" s="4">
        <v>2.39</v>
      </c>
      <c r="K2073" s="4">
        <v>0.5</v>
      </c>
      <c r="L2073" s="4">
        <v>0.2</v>
      </c>
      <c r="M2073" s="4">
        <f t="shared" si="96"/>
        <v>-0.01</v>
      </c>
      <c r="N2073" s="4">
        <f t="shared" si="97"/>
        <v>-1.8900000000000001</v>
      </c>
      <c r="O2073" s="4">
        <f t="shared" si="98"/>
        <v>0</v>
      </c>
      <c r="P2073" s="3" t="s">
        <v>19</v>
      </c>
    </row>
    <row r="2074" spans="1:16" x14ac:dyDescent="0.35">
      <c r="A2074" s="3" t="s">
        <v>23</v>
      </c>
      <c r="B2074" s="3" t="str">
        <f>INDEX(State_Region!$B$2:$B$26,MATCH(TRIM(A2074),State_Region!$A$2:$A$26,0))</f>
        <v>North</v>
      </c>
      <c r="C2074" s="3" t="s">
        <v>136</v>
      </c>
      <c r="D2074" s="3" t="str">
        <f>INDEX(Port_Type!$B$2:$B$227,MATCH(TRIM(C2074),Port_Type!$A$2:$A$227,0))</f>
        <v>Inland ICD / CFS</v>
      </c>
      <c r="E2074" s="3" t="s">
        <v>54</v>
      </c>
      <c r="F2074" s="3" t="str">
        <f>INDEX(Product_Category!$B$2:$B$45,MATCH(TRIM(E2074),Product_Category!$A$2:$A$45,0))</f>
        <v>Processed Foods</v>
      </c>
      <c r="G2074" s="4">
        <v>0</v>
      </c>
      <c r="H2074" s="4">
        <v>0.01</v>
      </c>
      <c r="I2074" s="4">
        <v>0</v>
      </c>
      <c r="J2074" s="4">
        <v>0.92</v>
      </c>
      <c r="K2074" s="4">
        <v>3.03</v>
      </c>
      <c r="L2074" s="4">
        <v>0.06</v>
      </c>
      <c r="M2074" s="4">
        <f t="shared" si="96"/>
        <v>0.01</v>
      </c>
      <c r="N2074" s="4">
        <f t="shared" si="97"/>
        <v>2.11</v>
      </c>
      <c r="O2074" s="4">
        <f t="shared" si="98"/>
        <v>-0.01</v>
      </c>
      <c r="P2074" s="3" t="s">
        <v>19</v>
      </c>
    </row>
    <row r="2075" spans="1:16" x14ac:dyDescent="0.35">
      <c r="A2075" s="3" t="s">
        <v>40</v>
      </c>
      <c r="B2075" s="3" t="str">
        <f>INDEX(State_Region!$B$2:$B$26,MATCH(TRIM(A2075),State_Region!$A$2:$A$26,0))</f>
        <v>South</v>
      </c>
      <c r="C2075" s="3" t="s">
        <v>107</v>
      </c>
      <c r="D2075" s="3" t="str">
        <f>INDEX(Port_Type!$B$2:$B$227,MATCH(TRIM(C2075),Port_Type!$A$2:$A$227,0))</f>
        <v>Sea Port</v>
      </c>
      <c r="E2075" s="3" t="s">
        <v>69</v>
      </c>
      <c r="F2075" s="3" t="str">
        <f>INDEX(Product_Category!$B$2:$B$45,MATCH(TRIM(E2075),Product_Category!$A$2:$A$45,0))</f>
        <v>Others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  <c r="L2075" s="4">
        <v>0.01</v>
      </c>
      <c r="M2075" s="4">
        <f t="shared" si="96"/>
        <v>0</v>
      </c>
      <c r="N2075" s="4">
        <f t="shared" si="97"/>
        <v>0</v>
      </c>
      <c r="O2075" s="4">
        <f t="shared" si="98"/>
        <v>0</v>
      </c>
      <c r="P2075" s="3" t="s">
        <v>19</v>
      </c>
    </row>
    <row r="2076" spans="1:16" x14ac:dyDescent="0.35">
      <c r="A2076" s="3" t="s">
        <v>20</v>
      </c>
      <c r="B2076" s="3" t="str">
        <f>INDEX(State_Region!$B$2:$B$26,MATCH(TRIM(A2076),State_Region!$A$2:$A$26,0))</f>
        <v>West</v>
      </c>
      <c r="C2076" s="3" t="s">
        <v>265</v>
      </c>
      <c r="D2076" s="3" t="str">
        <f>INDEX(Port_Type!$B$2:$B$227,MATCH(TRIM(C2076),Port_Type!$A$2:$A$227,0))</f>
        <v>Sea Port</v>
      </c>
      <c r="E2076" s="3" t="s">
        <v>39</v>
      </c>
      <c r="F2076" s="3" t="str">
        <f>INDEX(Product_Category!$B$2:$B$45,MATCH(TRIM(E2076),Product_Category!$A$2:$A$45,0))</f>
        <v>Processed Foods</v>
      </c>
      <c r="G2076" s="4">
        <v>0</v>
      </c>
      <c r="H2076" s="4">
        <v>0</v>
      </c>
      <c r="I2076" s="4">
        <v>0</v>
      </c>
      <c r="J2076" s="4">
        <v>0</v>
      </c>
      <c r="K2076" s="4">
        <v>0.67</v>
      </c>
      <c r="L2076" s="4">
        <v>0.1</v>
      </c>
      <c r="M2076" s="4">
        <f t="shared" si="96"/>
        <v>0</v>
      </c>
      <c r="N2076" s="4">
        <f t="shared" si="97"/>
        <v>0.67</v>
      </c>
      <c r="O2076" s="4">
        <f t="shared" si="98"/>
        <v>0</v>
      </c>
      <c r="P2076" s="3" t="s">
        <v>19</v>
      </c>
    </row>
    <row r="2077" spans="1:16" x14ac:dyDescent="0.35">
      <c r="A2077" s="3" t="s">
        <v>40</v>
      </c>
      <c r="B2077" s="3" t="str">
        <f>INDEX(State_Region!$B$2:$B$26,MATCH(TRIM(A2077),State_Region!$A$2:$A$26,0))</f>
        <v>South</v>
      </c>
      <c r="C2077" s="3" t="s">
        <v>164</v>
      </c>
      <c r="D2077" s="3" t="str">
        <f>INDEX(Port_Type!$B$2:$B$227,MATCH(TRIM(C2077),Port_Type!$A$2:$A$227,0))</f>
        <v>Air Cargo</v>
      </c>
      <c r="E2077" s="3" t="s">
        <v>150</v>
      </c>
      <c r="F2077" s="3" t="str">
        <f>INDEX(Product_Category!$B$2:$B$45,MATCH(TRIM(E2077),Product_Category!$A$2:$A$45,0))</f>
        <v>Nuts &amp; Oilseeds</v>
      </c>
      <c r="G2077" s="4">
        <v>0</v>
      </c>
      <c r="H2077" s="4">
        <v>0</v>
      </c>
      <c r="I2077" s="4">
        <v>0</v>
      </c>
      <c r="J2077" s="4">
        <v>0.17</v>
      </c>
      <c r="K2077" s="4">
        <v>0.42</v>
      </c>
      <c r="L2077" s="4">
        <v>0.04</v>
      </c>
      <c r="M2077" s="4">
        <f t="shared" si="96"/>
        <v>0</v>
      </c>
      <c r="N2077" s="4">
        <f t="shared" si="97"/>
        <v>0.24999999999999997</v>
      </c>
      <c r="O2077" s="4">
        <f t="shared" si="98"/>
        <v>0</v>
      </c>
      <c r="P2077" s="3" t="s">
        <v>19</v>
      </c>
    </row>
    <row r="2078" spans="1:16" x14ac:dyDescent="0.35">
      <c r="A2078" s="3" t="s">
        <v>94</v>
      </c>
      <c r="B2078" s="3" t="str">
        <f>INDEX(State_Region!$B$2:$B$26,MATCH(TRIM(A2078),State_Region!$A$2:$A$26,0))</f>
        <v>East</v>
      </c>
      <c r="C2078" s="3" t="s">
        <v>188</v>
      </c>
      <c r="D2078" s="3" t="str">
        <f>INDEX(Port_Type!$B$2:$B$227,MATCH(TRIM(C2078),Port_Type!$A$2:$A$227,0))</f>
        <v>Land Border / Rail</v>
      </c>
      <c r="E2078" s="3" t="s">
        <v>59</v>
      </c>
      <c r="F2078" s="3" t="str">
        <f>INDEX(Product_Category!$B$2:$B$45,MATCH(TRIM(E2078),Product_Category!$A$2:$A$45,0))</f>
        <v>Processed Foods</v>
      </c>
      <c r="G2078" s="4">
        <v>0</v>
      </c>
      <c r="H2078" s="4">
        <v>0.05</v>
      </c>
      <c r="I2078" s="4">
        <v>0</v>
      </c>
      <c r="J2078" s="4">
        <v>0.38</v>
      </c>
      <c r="K2078" s="4">
        <v>10.63</v>
      </c>
      <c r="L2078" s="4">
        <v>0.04</v>
      </c>
      <c r="M2078" s="4">
        <f t="shared" si="96"/>
        <v>0.05</v>
      </c>
      <c r="N2078" s="4">
        <f t="shared" si="97"/>
        <v>10.25</v>
      </c>
      <c r="O2078" s="4">
        <f t="shared" si="98"/>
        <v>-0.05</v>
      </c>
      <c r="P2078" s="3" t="s">
        <v>19</v>
      </c>
    </row>
    <row r="2079" spans="1:16" x14ac:dyDescent="0.35">
      <c r="A2079" s="3" t="s">
        <v>20</v>
      </c>
      <c r="B2079" s="3" t="str">
        <f>INDEX(State_Region!$B$2:$B$26,MATCH(TRIM(A2079),State_Region!$A$2:$A$26,0))</f>
        <v>West</v>
      </c>
      <c r="C2079" s="3" t="s">
        <v>265</v>
      </c>
      <c r="D2079" s="3" t="str">
        <f>INDEX(Port_Type!$B$2:$B$227,MATCH(TRIM(C2079),Port_Type!$A$2:$A$227,0))</f>
        <v>Sea Port</v>
      </c>
      <c r="E2079" s="3" t="s">
        <v>48</v>
      </c>
      <c r="F2079" s="3" t="str">
        <f>INDEX(Product_Category!$B$2:$B$45,MATCH(TRIM(E2079),Product_Category!$A$2:$A$45,0))</f>
        <v>Processed Foods</v>
      </c>
      <c r="G2079" s="4">
        <v>0</v>
      </c>
      <c r="H2079" s="4">
        <v>0</v>
      </c>
      <c r="I2079" s="4">
        <v>0</v>
      </c>
      <c r="J2079" s="4">
        <v>0</v>
      </c>
      <c r="K2079" s="4">
        <v>0.78</v>
      </c>
      <c r="L2079" s="4">
        <v>0.25</v>
      </c>
      <c r="M2079" s="4">
        <f t="shared" si="96"/>
        <v>0</v>
      </c>
      <c r="N2079" s="4">
        <f t="shared" si="97"/>
        <v>0.78</v>
      </c>
      <c r="O2079" s="4">
        <f t="shared" si="98"/>
        <v>0</v>
      </c>
      <c r="P2079" s="3" t="s">
        <v>19</v>
      </c>
    </row>
    <row r="2080" spans="1:16" x14ac:dyDescent="0.35">
      <c r="A2080" s="3" t="s">
        <v>23</v>
      </c>
      <c r="B2080" s="3" t="str">
        <f>INDEX(State_Region!$B$2:$B$26,MATCH(TRIM(A2080),State_Region!$A$2:$A$26,0))</f>
        <v>North</v>
      </c>
      <c r="C2080" s="3" t="s">
        <v>44</v>
      </c>
      <c r="D2080" s="3" t="str">
        <f>INDEX(Port_Type!$B$2:$B$227,MATCH(TRIM(C2080),Port_Type!$A$2:$A$227,0))</f>
        <v>Inland ICD / CFS</v>
      </c>
      <c r="E2080" s="3" t="s">
        <v>51</v>
      </c>
      <c r="F2080" s="3" t="str">
        <f>INDEX(Product_Category!$B$2:$B$45,MATCH(TRIM(E2080),Product_Category!$A$2:$A$45,0))</f>
        <v>Nuts &amp; Oilseeds</v>
      </c>
      <c r="G2080" s="4">
        <v>0</v>
      </c>
      <c r="H2080" s="4">
        <v>0</v>
      </c>
      <c r="I2080" s="4">
        <v>0</v>
      </c>
      <c r="J2080" s="4">
        <v>0.95</v>
      </c>
      <c r="K2080" s="4">
        <v>0.16</v>
      </c>
      <c r="L2080" s="4">
        <v>0.02</v>
      </c>
      <c r="M2080" s="4">
        <f t="shared" si="96"/>
        <v>0</v>
      </c>
      <c r="N2080" s="4">
        <f t="shared" si="97"/>
        <v>-0.78999999999999992</v>
      </c>
      <c r="O2080" s="4">
        <f t="shared" si="98"/>
        <v>0</v>
      </c>
      <c r="P2080" s="3" t="s">
        <v>19</v>
      </c>
    </row>
    <row r="2081" spans="1:16" x14ac:dyDescent="0.35">
      <c r="A2081" s="3" t="s">
        <v>231</v>
      </c>
      <c r="B2081" s="3" t="str">
        <f>INDEX(State_Region!$B$2:$B$26,MATCH(TRIM(A2081),State_Region!$A$2:$A$26,0))</f>
        <v>North-East</v>
      </c>
      <c r="C2081" s="3" t="s">
        <v>236</v>
      </c>
      <c r="D2081" s="3" t="str">
        <f>INDEX(Port_Type!$B$2:$B$227,MATCH(TRIM(C2081),Port_Type!$A$2:$A$227,0))</f>
        <v>Land Border / Rail</v>
      </c>
      <c r="E2081" s="3" t="s">
        <v>53</v>
      </c>
      <c r="F2081" s="3" t="str">
        <f>INDEX(Product_Category!$B$2:$B$45,MATCH(TRIM(E2081),Product_Category!$A$2:$A$45,0))</f>
        <v>Processed Foods</v>
      </c>
      <c r="G2081" s="4">
        <v>0</v>
      </c>
      <c r="H2081" s="4">
        <v>0</v>
      </c>
      <c r="I2081" s="4">
        <v>0</v>
      </c>
      <c r="J2081" s="4">
        <v>0.1</v>
      </c>
      <c r="K2081" s="4">
        <v>0.54</v>
      </c>
      <c r="L2081" s="4">
        <v>0.11</v>
      </c>
      <c r="M2081" s="4">
        <f t="shared" si="96"/>
        <v>0</v>
      </c>
      <c r="N2081" s="4">
        <f t="shared" si="97"/>
        <v>0.44000000000000006</v>
      </c>
      <c r="O2081" s="4">
        <f t="shared" si="98"/>
        <v>0</v>
      </c>
      <c r="P2081" s="3" t="s">
        <v>19</v>
      </c>
    </row>
    <row r="2082" spans="1:16" x14ac:dyDescent="0.35">
      <c r="A2082" s="3" t="s">
        <v>35</v>
      </c>
      <c r="B2082" s="3" t="str">
        <f>INDEX(State_Region!$B$2:$B$26,MATCH(TRIM(A2082),State_Region!$A$2:$A$26,0))</f>
        <v>North</v>
      </c>
      <c r="C2082" s="3" t="s">
        <v>165</v>
      </c>
      <c r="D2082" s="3" t="str">
        <f>INDEX(Port_Type!$B$2:$B$227,MATCH(TRIM(C2082),Port_Type!$A$2:$A$227,0))</f>
        <v>Inland ICD / CFS</v>
      </c>
      <c r="E2082" s="3" t="s">
        <v>221</v>
      </c>
      <c r="F2082" s="3" t="str">
        <f>INDEX(Product_Category!$B$2:$B$45,MATCH(TRIM(E2082),Product_Category!$A$2:$A$45,0))</f>
        <v>Meat &amp; Animal Products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  <c r="L2082" s="4">
        <v>0.11</v>
      </c>
      <c r="M2082" s="4">
        <f t="shared" si="96"/>
        <v>0</v>
      </c>
      <c r="N2082" s="4">
        <f t="shared" si="97"/>
        <v>0</v>
      </c>
      <c r="O2082" s="4">
        <f t="shared" si="98"/>
        <v>0</v>
      </c>
      <c r="P2082" s="3" t="s">
        <v>19</v>
      </c>
    </row>
    <row r="2083" spans="1:16" x14ac:dyDescent="0.35">
      <c r="A2083" s="3" t="s">
        <v>23</v>
      </c>
      <c r="B2083" s="3" t="str">
        <f>INDEX(State_Region!$B$2:$B$26,MATCH(TRIM(A2083),State_Region!$A$2:$A$26,0))</f>
        <v>North</v>
      </c>
      <c r="C2083" s="3" t="s">
        <v>185</v>
      </c>
      <c r="D2083" s="3" t="str">
        <f>INDEX(Port_Type!$B$2:$B$227,MATCH(TRIM(C2083),Port_Type!$A$2:$A$227,0))</f>
        <v>Land Border / Rail</v>
      </c>
      <c r="E2083" s="3" t="s">
        <v>53</v>
      </c>
      <c r="F2083" s="3" t="str">
        <f>INDEX(Product_Category!$B$2:$B$45,MATCH(TRIM(E2083),Product_Category!$A$2:$A$45,0))</f>
        <v>Processed Foods</v>
      </c>
      <c r="G2083" s="4">
        <v>0.26</v>
      </c>
      <c r="H2083" s="4">
        <v>0</v>
      </c>
      <c r="I2083" s="4">
        <v>0</v>
      </c>
      <c r="J2083" s="4">
        <v>1092.32</v>
      </c>
      <c r="K2083" s="4">
        <v>0</v>
      </c>
      <c r="L2083" s="4">
        <v>0.14000000000000001</v>
      </c>
      <c r="M2083" s="4">
        <f t="shared" si="96"/>
        <v>-0.26</v>
      </c>
      <c r="N2083" s="4">
        <f t="shared" si="97"/>
        <v>-1092.32</v>
      </c>
      <c r="O2083" s="4">
        <f t="shared" si="98"/>
        <v>0</v>
      </c>
      <c r="P2083" s="3" t="s">
        <v>19</v>
      </c>
    </row>
    <row r="2084" spans="1:16" x14ac:dyDescent="0.35">
      <c r="A2084" s="3" t="s">
        <v>16</v>
      </c>
      <c r="B2084" s="3" t="str">
        <f>INDEX(State_Region!$B$2:$B$26,MATCH(TRIM(A2084),State_Region!$A$2:$A$26,0))</f>
        <v>West</v>
      </c>
      <c r="C2084" s="3" t="s">
        <v>135</v>
      </c>
      <c r="D2084" s="3" t="str">
        <f>INDEX(Port_Type!$B$2:$B$227,MATCH(TRIM(C2084),Port_Type!$A$2:$A$227,0))</f>
        <v>Air Cargo</v>
      </c>
      <c r="E2084" s="3" t="s">
        <v>81</v>
      </c>
      <c r="F2084" s="3" t="str">
        <f>INDEX(Product_Category!$B$2:$B$45,MATCH(TRIM(E2084),Product_Category!$A$2:$A$45,0))</f>
        <v>Processed Foods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  <c r="L2084" s="4">
        <v>7.0000000000000007E-2</v>
      </c>
      <c r="M2084" s="4">
        <f t="shared" si="96"/>
        <v>0</v>
      </c>
      <c r="N2084" s="4">
        <f t="shared" si="97"/>
        <v>0</v>
      </c>
      <c r="O2084" s="4">
        <f t="shared" si="98"/>
        <v>0</v>
      </c>
      <c r="P2084" s="3" t="s">
        <v>19</v>
      </c>
    </row>
    <row r="2085" spans="1:16" x14ac:dyDescent="0.35">
      <c r="A2085" s="3" t="s">
        <v>40</v>
      </c>
      <c r="B2085" s="3" t="str">
        <f>INDEX(State_Region!$B$2:$B$26,MATCH(TRIM(A2085),State_Region!$A$2:$A$26,0))</f>
        <v>South</v>
      </c>
      <c r="C2085" s="3" t="s">
        <v>194</v>
      </c>
      <c r="D2085" s="3" t="str">
        <f>INDEX(Port_Type!$B$2:$B$227,MATCH(TRIM(C2085),Port_Type!$A$2:$A$227,0))</f>
        <v>Air Cargo</v>
      </c>
      <c r="E2085" s="3" t="s">
        <v>144</v>
      </c>
      <c r="F2085" s="3" t="str">
        <f>INDEX(Product_Category!$B$2:$B$45,MATCH(TRIM(E2085),Product_Category!$A$2:$A$45,0))</f>
        <v>Cereals &amp; Grains</v>
      </c>
      <c r="G2085" s="4">
        <v>0</v>
      </c>
      <c r="H2085" s="4">
        <v>0.02</v>
      </c>
      <c r="I2085" s="4">
        <v>0</v>
      </c>
      <c r="J2085" s="4">
        <v>0.09</v>
      </c>
      <c r="K2085" s="4">
        <v>8.25</v>
      </c>
      <c r="L2085" s="4">
        <v>7.0000000000000007E-2</v>
      </c>
      <c r="M2085" s="4">
        <f t="shared" si="96"/>
        <v>0.02</v>
      </c>
      <c r="N2085" s="4">
        <f t="shared" si="97"/>
        <v>8.16</v>
      </c>
      <c r="O2085" s="4">
        <f t="shared" si="98"/>
        <v>-0.02</v>
      </c>
      <c r="P2085" s="3" t="s">
        <v>19</v>
      </c>
    </row>
    <row r="2086" spans="1:16" x14ac:dyDescent="0.35">
      <c r="A2086" s="3" t="s">
        <v>66</v>
      </c>
      <c r="B2086" s="3" t="str">
        <f>INDEX(State_Region!$B$2:$B$26,MATCH(TRIM(A2086),State_Region!$A$2:$A$26,0))</f>
        <v>North</v>
      </c>
      <c r="C2086" s="3" t="s">
        <v>108</v>
      </c>
      <c r="D2086" s="3" t="str">
        <f>INDEX(Port_Type!$B$2:$B$227,MATCH(TRIM(C2086),Port_Type!$A$2:$A$227,0))</f>
        <v>Inland ICD / CFS</v>
      </c>
      <c r="E2086" s="3" t="s">
        <v>84</v>
      </c>
      <c r="F2086" s="3" t="str">
        <f>INDEX(Product_Category!$B$2:$B$45,MATCH(TRIM(E2086),Product_Category!$A$2:$A$45,0))</f>
        <v>Nuts &amp; Oilseeds</v>
      </c>
      <c r="G2086" s="4">
        <v>0</v>
      </c>
      <c r="H2086" s="4">
        <v>0</v>
      </c>
      <c r="I2086" s="4">
        <v>0</v>
      </c>
      <c r="J2086" s="4">
        <v>0</v>
      </c>
      <c r="K2086" s="4">
        <v>0.01</v>
      </c>
      <c r="L2086" s="4">
        <v>0.01</v>
      </c>
      <c r="M2086" s="4">
        <f t="shared" si="96"/>
        <v>0</v>
      </c>
      <c r="N2086" s="4">
        <f t="shared" si="97"/>
        <v>0.01</v>
      </c>
      <c r="O2086" s="4">
        <f t="shared" si="98"/>
        <v>0</v>
      </c>
      <c r="P2086" s="3" t="s">
        <v>19</v>
      </c>
    </row>
    <row r="2087" spans="1:16" x14ac:dyDescent="0.35">
      <c r="A2087" s="3" t="s">
        <v>79</v>
      </c>
      <c r="B2087" s="3" t="str">
        <f>INDEX(State_Region!$B$2:$B$26,MATCH(TRIM(A2087),State_Region!$A$2:$A$26,0))</f>
        <v>South</v>
      </c>
      <c r="C2087" s="3" t="s">
        <v>92</v>
      </c>
      <c r="D2087" s="3" t="str">
        <f>INDEX(Port_Type!$B$2:$B$227,MATCH(TRIM(C2087),Port_Type!$A$2:$A$227,0))</f>
        <v>Air Cargo</v>
      </c>
      <c r="E2087" s="3" t="s">
        <v>114</v>
      </c>
      <c r="F2087" s="3" t="str">
        <f>INDEX(Product_Category!$B$2:$B$45,MATCH(TRIM(E2087),Product_Category!$A$2:$A$45,0))</f>
        <v>Dairy, Poultry &amp; Honey</v>
      </c>
      <c r="G2087" s="4">
        <v>0</v>
      </c>
      <c r="H2087" s="4">
        <v>0</v>
      </c>
      <c r="I2087" s="4">
        <v>0</v>
      </c>
      <c r="J2087" s="4">
        <v>0</v>
      </c>
      <c r="K2087" s="4">
        <v>0</v>
      </c>
      <c r="L2087" s="4">
        <v>0</v>
      </c>
      <c r="M2087" s="4">
        <f t="shared" si="96"/>
        <v>0</v>
      </c>
      <c r="N2087" s="4">
        <f t="shared" si="97"/>
        <v>0</v>
      </c>
      <c r="O2087" s="4">
        <f t="shared" si="98"/>
        <v>0</v>
      </c>
      <c r="P2087" s="3" t="s">
        <v>19</v>
      </c>
    </row>
    <row r="2088" spans="1:16" x14ac:dyDescent="0.35">
      <c r="A2088" s="3" t="s">
        <v>77</v>
      </c>
      <c r="B2088" s="3" t="str">
        <f>INDEX(State_Region!$B$2:$B$26,MATCH(TRIM(A2088),State_Region!$A$2:$A$26,0))</f>
        <v>South</v>
      </c>
      <c r="C2088" s="3" t="s">
        <v>168</v>
      </c>
      <c r="D2088" s="3" t="str">
        <f>INDEX(Port_Type!$B$2:$B$227,MATCH(TRIM(C2088),Port_Type!$A$2:$A$227,0))</f>
        <v>Air Cargo</v>
      </c>
      <c r="E2088" s="3" t="s">
        <v>81</v>
      </c>
      <c r="F2088" s="3" t="str">
        <f>INDEX(Product_Category!$B$2:$B$45,MATCH(TRIM(E2088),Product_Category!$A$2:$A$45,0))</f>
        <v>Processed Foods</v>
      </c>
      <c r="G2088" s="4">
        <v>0</v>
      </c>
      <c r="H2088" s="4">
        <v>0</v>
      </c>
      <c r="I2088" s="4">
        <v>0</v>
      </c>
      <c r="J2088" s="4">
        <v>0</v>
      </c>
      <c r="K2088" s="4">
        <v>0.03</v>
      </c>
      <c r="L2088" s="4">
        <v>0.18</v>
      </c>
      <c r="M2088" s="4">
        <f t="shared" si="96"/>
        <v>0</v>
      </c>
      <c r="N2088" s="4">
        <f t="shared" si="97"/>
        <v>0.03</v>
      </c>
      <c r="O2088" s="4">
        <f t="shared" si="98"/>
        <v>0</v>
      </c>
      <c r="P2088" s="3" t="s">
        <v>19</v>
      </c>
    </row>
    <row r="2089" spans="1:16" x14ac:dyDescent="0.35">
      <c r="A2089" s="3" t="s">
        <v>31</v>
      </c>
      <c r="B2089" s="3" t="str">
        <f>INDEX(State_Region!$B$2:$B$26,MATCH(TRIM(A2089),State_Region!$A$2:$A$26,0))</f>
        <v>East</v>
      </c>
      <c r="C2089" s="3" t="s">
        <v>192</v>
      </c>
      <c r="D2089" s="3" t="str">
        <f>INDEX(Port_Type!$B$2:$B$227,MATCH(TRIM(C2089),Port_Type!$A$2:$A$227,0))</f>
        <v>Air Cargo</v>
      </c>
      <c r="E2089" s="3" t="s">
        <v>33</v>
      </c>
      <c r="F2089" s="3" t="str">
        <f>INDEX(Product_Category!$B$2:$B$45,MATCH(TRIM(E2089),Product_Category!$A$2:$A$45,0))</f>
        <v>Pulses</v>
      </c>
      <c r="G2089" s="4">
        <v>0</v>
      </c>
      <c r="H2089" s="4">
        <v>0</v>
      </c>
      <c r="I2089" s="4">
        <v>0</v>
      </c>
      <c r="J2089" s="4">
        <v>0.25</v>
      </c>
      <c r="K2089" s="4">
        <v>2.58</v>
      </c>
      <c r="L2089" s="4">
        <v>0.08</v>
      </c>
      <c r="M2089" s="4">
        <f t="shared" si="96"/>
        <v>0</v>
      </c>
      <c r="N2089" s="4">
        <f t="shared" si="97"/>
        <v>2.33</v>
      </c>
      <c r="O2089" s="4">
        <f t="shared" si="98"/>
        <v>0</v>
      </c>
      <c r="P2089" s="3" t="s">
        <v>19</v>
      </c>
    </row>
    <row r="2090" spans="1:16" x14ac:dyDescent="0.35">
      <c r="A2090" s="3" t="s">
        <v>31</v>
      </c>
      <c r="B2090" s="3" t="str">
        <f>INDEX(State_Region!$B$2:$B$26,MATCH(TRIM(A2090),State_Region!$A$2:$A$26,0))</f>
        <v>East</v>
      </c>
      <c r="C2090" s="3" t="s">
        <v>215</v>
      </c>
      <c r="D2090" s="3" t="str">
        <f>INDEX(Port_Type!$B$2:$B$227,MATCH(TRIM(C2090),Port_Type!$A$2:$A$227,0))</f>
        <v>Land Border / Rail</v>
      </c>
      <c r="E2090" s="3" t="s">
        <v>181</v>
      </c>
      <c r="F2090" s="3" t="str">
        <f>INDEX(Product_Category!$B$2:$B$45,MATCH(TRIM(E2090),Product_Category!$A$2:$A$45,0))</f>
        <v>Nuts &amp; Oilseeds</v>
      </c>
      <c r="G2090" s="4">
        <v>0</v>
      </c>
      <c r="H2090" s="4">
        <v>0</v>
      </c>
      <c r="I2090" s="4">
        <v>0</v>
      </c>
      <c r="J2090" s="4">
        <v>7.0000000000000007E-2</v>
      </c>
      <c r="K2090" s="4">
        <v>0.02</v>
      </c>
      <c r="L2090" s="4">
        <v>0</v>
      </c>
      <c r="M2090" s="4">
        <f t="shared" si="96"/>
        <v>0</v>
      </c>
      <c r="N2090" s="4">
        <f t="shared" si="97"/>
        <v>-0.05</v>
      </c>
      <c r="O2090" s="4">
        <f t="shared" si="98"/>
        <v>0</v>
      </c>
      <c r="P2090" s="3" t="s">
        <v>19</v>
      </c>
    </row>
    <row r="2091" spans="1:16" x14ac:dyDescent="0.35">
      <c r="A2091" s="3" t="s">
        <v>159</v>
      </c>
      <c r="B2091" s="3" t="str">
        <f>INDEX(State_Region!$B$2:$B$26,MATCH(TRIM(A2091),State_Region!$A$2:$A$26,0))</f>
        <v>North-East</v>
      </c>
      <c r="C2091" s="3" t="s">
        <v>186</v>
      </c>
      <c r="D2091" s="3" t="str">
        <f>INDEX(Port_Type!$B$2:$B$227,MATCH(TRIM(C2091),Port_Type!$A$2:$A$227,0))</f>
        <v>Land Border / Rail</v>
      </c>
      <c r="E2091" s="3" t="s">
        <v>126</v>
      </c>
      <c r="F2091" s="3" t="str">
        <f>INDEX(Product_Category!$B$2:$B$45,MATCH(TRIM(E2091),Product_Category!$A$2:$A$45,0))</f>
        <v>Cereals &amp; Grains</v>
      </c>
      <c r="G2091" s="4">
        <v>0</v>
      </c>
      <c r="H2091" s="4">
        <v>0</v>
      </c>
      <c r="I2091" s="4">
        <v>0</v>
      </c>
      <c r="J2091" s="4">
        <v>0.01</v>
      </c>
      <c r="K2091" s="4">
        <v>0</v>
      </c>
      <c r="L2091" s="4">
        <v>0.01</v>
      </c>
      <c r="M2091" s="4">
        <f t="shared" si="96"/>
        <v>0</v>
      </c>
      <c r="N2091" s="4">
        <f t="shared" si="97"/>
        <v>-0.01</v>
      </c>
      <c r="O2091" s="4">
        <f t="shared" si="98"/>
        <v>0</v>
      </c>
      <c r="P2091" s="3" t="s">
        <v>19</v>
      </c>
    </row>
    <row r="2092" spans="1:16" x14ac:dyDescent="0.35">
      <c r="A2092" s="3" t="s">
        <v>40</v>
      </c>
      <c r="B2092" s="3" t="str">
        <f>INDEX(State_Region!$B$2:$B$26,MATCH(TRIM(A2092),State_Region!$A$2:$A$26,0))</f>
        <v>South</v>
      </c>
      <c r="C2092" s="3" t="s">
        <v>183</v>
      </c>
      <c r="D2092" s="3" t="str">
        <f>INDEX(Port_Type!$B$2:$B$227,MATCH(TRIM(C2092),Port_Type!$A$2:$A$227,0))</f>
        <v>Inland ICD / CFS</v>
      </c>
      <c r="E2092" s="3" t="s">
        <v>59</v>
      </c>
      <c r="F2092" s="3" t="str">
        <f>INDEX(Product_Category!$B$2:$B$45,MATCH(TRIM(E2092),Product_Category!$A$2:$A$45,0))</f>
        <v>Processed Foods</v>
      </c>
      <c r="G2092" s="4">
        <v>0</v>
      </c>
      <c r="H2092" s="4">
        <v>0.02</v>
      </c>
      <c r="I2092" s="4">
        <v>0</v>
      </c>
      <c r="J2092" s="4">
        <v>1.1599999999999999</v>
      </c>
      <c r="K2092" s="4">
        <v>2</v>
      </c>
      <c r="L2092" s="4">
        <v>0.05</v>
      </c>
      <c r="M2092" s="4">
        <f t="shared" si="96"/>
        <v>0.02</v>
      </c>
      <c r="N2092" s="4">
        <f t="shared" si="97"/>
        <v>0.84000000000000008</v>
      </c>
      <c r="O2092" s="4">
        <f t="shared" si="98"/>
        <v>-0.02</v>
      </c>
      <c r="P2092" s="3" t="s">
        <v>19</v>
      </c>
    </row>
    <row r="2093" spans="1:16" x14ac:dyDescent="0.35">
      <c r="A2093" s="3" t="s">
        <v>49</v>
      </c>
      <c r="B2093" s="3" t="str">
        <f>INDEX(State_Region!$B$2:$B$26,MATCH(TRIM(A2093),State_Region!$A$2:$A$26,0))</f>
        <v>North</v>
      </c>
      <c r="C2093" s="3" t="s">
        <v>237</v>
      </c>
      <c r="D2093" s="3" t="str">
        <f>INDEX(Port_Type!$B$2:$B$227,MATCH(TRIM(C2093),Port_Type!$A$2:$A$227,0))</f>
        <v>Air Cargo</v>
      </c>
      <c r="E2093" s="3" t="s">
        <v>54</v>
      </c>
      <c r="F2093" s="3" t="str">
        <f>INDEX(Product_Category!$B$2:$B$45,MATCH(TRIM(E2093),Product_Category!$A$2:$A$45,0))</f>
        <v>Processed Foods</v>
      </c>
      <c r="G2093" s="4">
        <v>0</v>
      </c>
      <c r="H2093" s="4">
        <v>0</v>
      </c>
      <c r="I2093" s="4">
        <v>0</v>
      </c>
      <c r="J2093" s="4">
        <v>0.9</v>
      </c>
      <c r="K2093" s="4">
        <v>0.57999999999999996</v>
      </c>
      <c r="L2093" s="4">
        <v>0.14000000000000001</v>
      </c>
      <c r="M2093" s="4">
        <f t="shared" si="96"/>
        <v>0</v>
      </c>
      <c r="N2093" s="4">
        <f t="shared" si="97"/>
        <v>-0.32000000000000006</v>
      </c>
      <c r="O2093" s="4">
        <f t="shared" si="98"/>
        <v>0</v>
      </c>
      <c r="P2093" s="3" t="s">
        <v>19</v>
      </c>
    </row>
    <row r="2094" spans="1:16" x14ac:dyDescent="0.35">
      <c r="A2094" s="3" t="s">
        <v>231</v>
      </c>
      <c r="B2094" s="3" t="str">
        <f>INDEX(State_Region!$B$2:$B$26,MATCH(TRIM(A2094),State_Region!$A$2:$A$26,0))</f>
        <v>North-East</v>
      </c>
      <c r="C2094" s="3" t="s">
        <v>232</v>
      </c>
      <c r="D2094" s="3" t="str">
        <f>INDEX(Port_Type!$B$2:$B$227,MATCH(TRIM(C2094),Port_Type!$A$2:$A$227,0))</f>
        <v>Land Border / Rail</v>
      </c>
      <c r="E2094" s="3" t="s">
        <v>81</v>
      </c>
      <c r="F2094" s="3" t="str">
        <f>INDEX(Product_Category!$B$2:$B$45,MATCH(TRIM(E2094),Product_Category!$A$2:$A$45,0))</f>
        <v>Processed Foods</v>
      </c>
      <c r="G2094" s="4">
        <v>0</v>
      </c>
      <c r="H2094" s="4">
        <v>0</v>
      </c>
      <c r="I2094" s="4">
        <v>0</v>
      </c>
      <c r="J2094" s="4">
        <v>0.1</v>
      </c>
      <c r="K2094" s="4">
        <v>0.08</v>
      </c>
      <c r="L2094" s="4">
        <v>0.3</v>
      </c>
      <c r="M2094" s="4">
        <f t="shared" si="96"/>
        <v>0</v>
      </c>
      <c r="N2094" s="4">
        <f t="shared" si="97"/>
        <v>-2.0000000000000004E-2</v>
      </c>
      <c r="O2094" s="4">
        <f t="shared" si="98"/>
        <v>0</v>
      </c>
      <c r="P2094" s="3" t="s">
        <v>19</v>
      </c>
    </row>
    <row r="2095" spans="1:16" x14ac:dyDescent="0.35">
      <c r="A2095" s="3" t="s">
        <v>35</v>
      </c>
      <c r="B2095" s="3" t="str">
        <f>INDEX(State_Region!$B$2:$B$26,MATCH(TRIM(A2095),State_Region!$A$2:$A$26,0))</f>
        <v>North</v>
      </c>
      <c r="C2095" s="3" t="s">
        <v>165</v>
      </c>
      <c r="D2095" s="3" t="str">
        <f>INDEX(Port_Type!$B$2:$B$227,MATCH(TRIM(C2095),Port_Type!$A$2:$A$227,0))</f>
        <v>Inland ICD / CFS</v>
      </c>
      <c r="E2095" s="3" t="s">
        <v>122</v>
      </c>
      <c r="F2095" s="3" t="str">
        <f>INDEX(Product_Category!$B$2:$B$45,MATCH(TRIM(E2095),Product_Category!$A$2:$A$45,0))</f>
        <v>Others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  <c r="L2095" s="4">
        <v>0.03</v>
      </c>
      <c r="M2095" s="4">
        <f t="shared" si="96"/>
        <v>0</v>
      </c>
      <c r="N2095" s="4">
        <f t="shared" si="97"/>
        <v>0</v>
      </c>
      <c r="O2095" s="4">
        <f t="shared" si="98"/>
        <v>0</v>
      </c>
      <c r="P2095" s="3" t="s">
        <v>19</v>
      </c>
    </row>
    <row r="2096" spans="1:16" x14ac:dyDescent="0.35">
      <c r="A2096" s="3" t="s">
        <v>79</v>
      </c>
      <c r="B2096" s="3" t="str">
        <f>INDEX(State_Region!$B$2:$B$26,MATCH(TRIM(A2096),State_Region!$A$2:$A$26,0))</f>
        <v>South</v>
      </c>
      <c r="C2096" s="3" t="s">
        <v>264</v>
      </c>
      <c r="D2096" s="3" t="str">
        <f>INDEX(Port_Type!$B$2:$B$227,MATCH(TRIM(C2096),Port_Type!$A$2:$A$227,0))</f>
        <v>SEZ / EPZ</v>
      </c>
      <c r="E2096" s="3" t="s">
        <v>39</v>
      </c>
      <c r="F2096" s="3" t="str">
        <f>INDEX(Product_Category!$B$2:$B$45,MATCH(TRIM(E2096),Product_Category!$A$2:$A$45,0))</f>
        <v>Processed Foods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  <c r="L2096" s="4">
        <v>0.41</v>
      </c>
      <c r="M2096" s="4">
        <f t="shared" si="96"/>
        <v>0</v>
      </c>
      <c r="N2096" s="4">
        <f t="shared" si="97"/>
        <v>0</v>
      </c>
      <c r="O2096" s="4">
        <f t="shared" si="98"/>
        <v>0</v>
      </c>
      <c r="P2096" s="3" t="s">
        <v>19</v>
      </c>
    </row>
    <row r="2097" spans="1:16" x14ac:dyDescent="0.35">
      <c r="A2097" s="3" t="s">
        <v>20</v>
      </c>
      <c r="B2097" s="3" t="str">
        <f>INDEX(State_Region!$B$2:$B$26,MATCH(TRIM(A2097),State_Region!$A$2:$A$26,0))</f>
        <v>West</v>
      </c>
      <c r="C2097" s="3" t="s">
        <v>245</v>
      </c>
      <c r="D2097" s="3" t="str">
        <f>INDEX(Port_Type!$B$2:$B$227,MATCH(TRIM(C2097),Port_Type!$A$2:$A$227,0))</f>
        <v>Air Cargo</v>
      </c>
      <c r="E2097" s="3" t="s">
        <v>42</v>
      </c>
      <c r="F2097" s="3" t="str">
        <f>INDEX(Product_Category!$B$2:$B$45,MATCH(TRIM(E2097),Product_Category!$A$2:$A$45,0))</f>
        <v>Processed Foods</v>
      </c>
      <c r="G2097" s="4">
        <v>0</v>
      </c>
      <c r="H2097" s="4">
        <v>0</v>
      </c>
      <c r="I2097" s="4">
        <v>0</v>
      </c>
      <c r="J2097" s="4">
        <v>0</v>
      </c>
      <c r="K2097" s="4">
        <v>1.91</v>
      </c>
      <c r="L2097" s="4">
        <v>0.19</v>
      </c>
      <c r="M2097" s="4">
        <f t="shared" si="96"/>
        <v>0</v>
      </c>
      <c r="N2097" s="4">
        <f t="shared" si="97"/>
        <v>1.91</v>
      </c>
      <c r="O2097" s="4">
        <f t="shared" si="98"/>
        <v>0</v>
      </c>
      <c r="P2097" s="3" t="s">
        <v>19</v>
      </c>
    </row>
    <row r="2098" spans="1:16" x14ac:dyDescent="0.35">
      <c r="A2098" s="3" t="s">
        <v>31</v>
      </c>
      <c r="B2098" s="3" t="str">
        <f>INDEX(State_Region!$B$2:$B$26,MATCH(TRIM(A2098),State_Region!$A$2:$A$26,0))</f>
        <v>East</v>
      </c>
      <c r="C2098" s="3" t="s">
        <v>139</v>
      </c>
      <c r="D2098" s="3" t="str">
        <f>INDEX(Port_Type!$B$2:$B$227,MATCH(TRIM(C2098),Port_Type!$A$2:$A$227,0))</f>
        <v>Land Border / Rail</v>
      </c>
      <c r="E2098" s="3" t="s">
        <v>46</v>
      </c>
      <c r="F2098" s="3" t="str">
        <f>INDEX(Product_Category!$B$2:$B$45,MATCH(TRIM(E2098),Product_Category!$A$2:$A$45,0))</f>
        <v>Others</v>
      </c>
      <c r="G2098" s="4">
        <v>0</v>
      </c>
      <c r="H2098" s="4">
        <v>0</v>
      </c>
      <c r="I2098" s="4">
        <v>0</v>
      </c>
      <c r="J2098" s="4">
        <v>0.05</v>
      </c>
      <c r="K2098" s="4">
        <v>0.33</v>
      </c>
      <c r="L2098" s="4">
        <v>0.05</v>
      </c>
      <c r="M2098" s="4">
        <f t="shared" si="96"/>
        <v>0</v>
      </c>
      <c r="N2098" s="4">
        <f t="shared" si="97"/>
        <v>0.28000000000000003</v>
      </c>
      <c r="O2098" s="4">
        <f t="shared" si="98"/>
        <v>0</v>
      </c>
      <c r="P2098" s="3" t="s">
        <v>19</v>
      </c>
    </row>
    <row r="2099" spans="1:16" x14ac:dyDescent="0.35">
      <c r="A2099" s="3" t="s">
        <v>49</v>
      </c>
      <c r="B2099" s="3" t="str">
        <f>INDEX(State_Region!$B$2:$B$26,MATCH(TRIM(A2099),State_Region!$A$2:$A$26,0))</f>
        <v>North</v>
      </c>
      <c r="C2099" s="3" t="s">
        <v>234</v>
      </c>
      <c r="D2099" s="3" t="str">
        <f>INDEX(Port_Type!$B$2:$B$227,MATCH(TRIM(C2099),Port_Type!$A$2:$A$227,0))</f>
        <v>SEZ / EPZ</v>
      </c>
      <c r="E2099" s="3" t="s">
        <v>53</v>
      </c>
      <c r="F2099" s="3" t="str">
        <f>INDEX(Product_Category!$B$2:$B$45,MATCH(TRIM(E2099),Product_Category!$A$2:$A$45,0))</f>
        <v>Processed Foods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  <c r="L2099" s="4">
        <v>0.2</v>
      </c>
      <c r="M2099" s="4">
        <f t="shared" si="96"/>
        <v>0</v>
      </c>
      <c r="N2099" s="4">
        <f t="shared" si="97"/>
        <v>0</v>
      </c>
      <c r="O2099" s="4">
        <f t="shared" si="98"/>
        <v>0</v>
      </c>
      <c r="P2099" s="3" t="s">
        <v>19</v>
      </c>
    </row>
    <row r="2100" spans="1:16" x14ac:dyDescent="0.35">
      <c r="A2100" s="3" t="s">
        <v>77</v>
      </c>
      <c r="B2100" s="3" t="str">
        <f>INDEX(State_Region!$B$2:$B$26,MATCH(TRIM(A2100),State_Region!$A$2:$A$26,0))</f>
        <v>South</v>
      </c>
      <c r="C2100" s="3" t="s">
        <v>168</v>
      </c>
      <c r="D2100" s="3" t="str">
        <f>INDEX(Port_Type!$B$2:$B$227,MATCH(TRIM(C2100),Port_Type!$A$2:$A$227,0))</f>
        <v>Air Cargo</v>
      </c>
      <c r="E2100" s="3" t="s">
        <v>33</v>
      </c>
      <c r="F2100" s="3" t="str">
        <f>INDEX(Product_Category!$B$2:$B$45,MATCH(TRIM(E2100),Product_Category!$A$2:$A$45,0))</f>
        <v>Pulses</v>
      </c>
      <c r="G2100" s="4">
        <v>0</v>
      </c>
      <c r="H2100" s="4">
        <v>0</v>
      </c>
      <c r="I2100" s="4">
        <v>0</v>
      </c>
      <c r="J2100" s="4">
        <v>0</v>
      </c>
      <c r="K2100" s="4">
        <v>4.55</v>
      </c>
      <c r="L2100" s="4">
        <v>0.34</v>
      </c>
      <c r="M2100" s="4">
        <f t="shared" si="96"/>
        <v>0</v>
      </c>
      <c r="N2100" s="4">
        <f t="shared" si="97"/>
        <v>4.55</v>
      </c>
      <c r="O2100" s="4">
        <f t="shared" si="98"/>
        <v>0</v>
      </c>
      <c r="P2100" s="3" t="s">
        <v>19</v>
      </c>
    </row>
    <row r="2101" spans="1:16" x14ac:dyDescent="0.35">
      <c r="A2101" s="3" t="s">
        <v>20</v>
      </c>
      <c r="B2101" s="3" t="str">
        <f>INDEX(State_Region!$B$2:$B$26,MATCH(TRIM(A2101),State_Region!$A$2:$A$26,0))</f>
        <v>West</v>
      </c>
      <c r="C2101" s="3" t="s">
        <v>265</v>
      </c>
      <c r="D2101" s="3" t="str">
        <f>INDEX(Port_Type!$B$2:$B$227,MATCH(TRIM(C2101),Port_Type!$A$2:$A$227,0))</f>
        <v>Sea Port</v>
      </c>
      <c r="E2101" s="3" t="s">
        <v>72</v>
      </c>
      <c r="F2101" s="3" t="str">
        <f>INDEX(Product_Category!$B$2:$B$45,MATCH(TRIM(E2101),Product_Category!$A$2:$A$45,0))</f>
        <v>Dairy, Poultry &amp; Honey</v>
      </c>
      <c r="G2101" s="4">
        <v>0</v>
      </c>
      <c r="H2101" s="4">
        <v>0</v>
      </c>
      <c r="I2101" s="4">
        <v>0</v>
      </c>
      <c r="J2101" s="4">
        <v>0</v>
      </c>
      <c r="K2101" s="4">
        <v>0.63</v>
      </c>
      <c r="L2101" s="4">
        <v>0.02</v>
      </c>
      <c r="M2101" s="4">
        <f t="shared" si="96"/>
        <v>0</v>
      </c>
      <c r="N2101" s="4">
        <f t="shared" si="97"/>
        <v>0.63</v>
      </c>
      <c r="O2101" s="4">
        <f t="shared" si="98"/>
        <v>0</v>
      </c>
      <c r="P2101" s="3" t="s">
        <v>19</v>
      </c>
    </row>
    <row r="2102" spans="1:16" x14ac:dyDescent="0.35">
      <c r="A2102" s="3" t="s">
        <v>49</v>
      </c>
      <c r="B2102" s="3" t="str">
        <f>INDEX(State_Region!$B$2:$B$26,MATCH(TRIM(A2102),State_Region!$A$2:$A$26,0))</f>
        <v>North</v>
      </c>
      <c r="C2102" s="3" t="s">
        <v>176</v>
      </c>
      <c r="D2102" s="3" t="str">
        <f>INDEX(Port_Type!$B$2:$B$227,MATCH(TRIM(C2102),Port_Type!$A$2:$A$227,0))</f>
        <v>Inland ICD / CFS</v>
      </c>
      <c r="E2102" s="3" t="s">
        <v>126</v>
      </c>
      <c r="F2102" s="3" t="str">
        <f>INDEX(Product_Category!$B$2:$B$45,MATCH(TRIM(E2102),Product_Category!$A$2:$A$45,0))</f>
        <v>Cereals &amp; Grains</v>
      </c>
      <c r="G2102" s="4">
        <v>0.01</v>
      </c>
      <c r="H2102" s="4">
        <v>0</v>
      </c>
      <c r="I2102" s="4">
        <v>0</v>
      </c>
      <c r="J2102" s="4">
        <v>5.42</v>
      </c>
      <c r="K2102" s="4">
        <v>0.73</v>
      </c>
      <c r="L2102" s="4">
        <v>0.06</v>
      </c>
      <c r="M2102" s="4">
        <f t="shared" si="96"/>
        <v>-0.01</v>
      </c>
      <c r="N2102" s="4">
        <f t="shared" si="97"/>
        <v>-4.6899999999999995</v>
      </c>
      <c r="O2102" s="4">
        <f t="shared" si="98"/>
        <v>0</v>
      </c>
      <c r="P2102" s="3" t="s">
        <v>19</v>
      </c>
    </row>
    <row r="2103" spans="1:16" x14ac:dyDescent="0.35">
      <c r="A2103" s="3" t="s">
        <v>20</v>
      </c>
      <c r="B2103" s="3" t="str">
        <f>INDEX(State_Region!$B$2:$B$26,MATCH(TRIM(A2103),State_Region!$A$2:$A$26,0))</f>
        <v>West</v>
      </c>
      <c r="C2103" s="3" t="s">
        <v>145</v>
      </c>
      <c r="D2103" s="3" t="str">
        <f>INDEX(Port_Type!$B$2:$B$227,MATCH(TRIM(C2103),Port_Type!$A$2:$A$227,0))</f>
        <v>Inland ICD / CFS</v>
      </c>
      <c r="E2103" s="3" t="s">
        <v>144</v>
      </c>
      <c r="F2103" s="3" t="str">
        <f>INDEX(Product_Category!$B$2:$B$45,MATCH(TRIM(E2103),Product_Category!$A$2:$A$45,0))</f>
        <v>Cereals &amp; Grains</v>
      </c>
      <c r="G2103" s="4">
        <v>0</v>
      </c>
      <c r="H2103" s="4">
        <v>0.01</v>
      </c>
      <c r="I2103" s="4">
        <v>0</v>
      </c>
      <c r="J2103" s="4">
        <v>0</v>
      </c>
      <c r="K2103" s="4">
        <v>5.94</v>
      </c>
      <c r="L2103" s="4">
        <v>0.06</v>
      </c>
      <c r="M2103" s="4">
        <f t="shared" si="96"/>
        <v>0.01</v>
      </c>
      <c r="N2103" s="4">
        <f t="shared" si="97"/>
        <v>5.94</v>
      </c>
      <c r="O2103" s="4">
        <f t="shared" si="98"/>
        <v>-0.01</v>
      </c>
      <c r="P2103" s="3" t="s">
        <v>19</v>
      </c>
    </row>
    <row r="2104" spans="1:16" x14ac:dyDescent="0.35">
      <c r="A2104" s="3" t="s">
        <v>77</v>
      </c>
      <c r="B2104" s="3" t="str">
        <f>INDEX(State_Region!$B$2:$B$26,MATCH(TRIM(A2104),State_Region!$A$2:$A$26,0))</f>
        <v>South</v>
      </c>
      <c r="C2104" s="3" t="s">
        <v>168</v>
      </c>
      <c r="D2104" s="3" t="str">
        <f>INDEX(Port_Type!$B$2:$B$227,MATCH(TRIM(C2104),Port_Type!$A$2:$A$227,0))</f>
        <v>Air Cargo</v>
      </c>
      <c r="E2104" s="3" t="s">
        <v>65</v>
      </c>
      <c r="F2104" s="3" t="str">
        <f>INDEX(Product_Category!$B$2:$B$45,MATCH(TRIM(E2104),Product_Category!$A$2:$A$45,0))</f>
        <v>Cereals &amp; Grains</v>
      </c>
      <c r="G2104" s="4">
        <v>0</v>
      </c>
      <c r="H2104" s="4">
        <v>0</v>
      </c>
      <c r="I2104" s="4">
        <v>0</v>
      </c>
      <c r="J2104" s="4">
        <v>0.61</v>
      </c>
      <c r="K2104" s="4">
        <v>0.46</v>
      </c>
      <c r="L2104" s="4">
        <v>0.02</v>
      </c>
      <c r="M2104" s="4">
        <f t="shared" si="96"/>
        <v>0</v>
      </c>
      <c r="N2104" s="4">
        <f t="shared" si="97"/>
        <v>-0.14999999999999997</v>
      </c>
      <c r="O2104" s="4">
        <f t="shared" si="98"/>
        <v>0</v>
      </c>
      <c r="P2104" s="3" t="s">
        <v>19</v>
      </c>
    </row>
    <row r="2105" spans="1:16" x14ac:dyDescent="0.35">
      <c r="A2105" s="3" t="s">
        <v>231</v>
      </c>
      <c r="B2105" s="3" t="str">
        <f>INDEX(State_Region!$B$2:$B$26,MATCH(TRIM(A2105),State_Region!$A$2:$A$26,0))</f>
        <v>North-East</v>
      </c>
      <c r="C2105" s="3" t="s">
        <v>236</v>
      </c>
      <c r="D2105" s="3" t="str">
        <f>INDEX(Port_Type!$B$2:$B$227,MATCH(TRIM(C2105),Port_Type!$A$2:$A$227,0))</f>
        <v>Land Border / Rail</v>
      </c>
      <c r="E2105" s="3" t="s">
        <v>59</v>
      </c>
      <c r="F2105" s="3" t="str">
        <f>INDEX(Product_Category!$B$2:$B$45,MATCH(TRIM(E2105),Product_Category!$A$2:$A$45,0))</f>
        <v>Processed Foods</v>
      </c>
      <c r="G2105" s="4">
        <v>0</v>
      </c>
      <c r="H2105" s="4">
        <v>0</v>
      </c>
      <c r="I2105" s="4">
        <v>0</v>
      </c>
      <c r="J2105" s="4">
        <v>0</v>
      </c>
      <c r="K2105" s="4">
        <v>0.02</v>
      </c>
      <c r="L2105" s="4">
        <v>0.03</v>
      </c>
      <c r="M2105" s="4">
        <f t="shared" si="96"/>
        <v>0</v>
      </c>
      <c r="N2105" s="4">
        <f t="shared" si="97"/>
        <v>0.02</v>
      </c>
      <c r="O2105" s="4">
        <f t="shared" si="98"/>
        <v>0</v>
      </c>
      <c r="P2105" s="3" t="s">
        <v>19</v>
      </c>
    </row>
    <row r="2106" spans="1:16" x14ac:dyDescent="0.35">
      <c r="A2106" s="3" t="s">
        <v>40</v>
      </c>
      <c r="B2106" s="3" t="str">
        <f>INDEX(State_Region!$B$2:$B$26,MATCH(TRIM(A2106),State_Region!$A$2:$A$26,0))</f>
        <v>South</v>
      </c>
      <c r="C2106" s="3" t="s">
        <v>183</v>
      </c>
      <c r="D2106" s="3" t="str">
        <f>INDEX(Port_Type!$B$2:$B$227,MATCH(TRIM(C2106),Port_Type!$A$2:$A$227,0))</f>
        <v>Inland ICD / CFS</v>
      </c>
      <c r="E2106" s="3" t="s">
        <v>18</v>
      </c>
      <c r="F2106" s="3" t="str">
        <f>INDEX(Product_Category!$B$2:$B$45,MATCH(TRIM(E2106),Product_Category!$A$2:$A$45,0))</f>
        <v>Cereals &amp; Grains</v>
      </c>
      <c r="G2106" s="4">
        <v>0</v>
      </c>
      <c r="H2106" s="4">
        <v>0.01</v>
      </c>
      <c r="I2106" s="4">
        <v>0</v>
      </c>
      <c r="J2106" s="4">
        <v>2.23</v>
      </c>
      <c r="K2106" s="4">
        <v>6.42</v>
      </c>
      <c r="L2106" s="4">
        <v>0.1</v>
      </c>
      <c r="M2106" s="4">
        <f t="shared" si="96"/>
        <v>0.01</v>
      </c>
      <c r="N2106" s="4">
        <f t="shared" si="97"/>
        <v>4.1899999999999995</v>
      </c>
      <c r="O2106" s="4">
        <f t="shared" si="98"/>
        <v>-0.01</v>
      </c>
      <c r="P2106" s="3" t="s">
        <v>19</v>
      </c>
    </row>
    <row r="2107" spans="1:16" x14ac:dyDescent="0.35">
      <c r="A2107" s="3" t="s">
        <v>40</v>
      </c>
      <c r="B2107" s="3" t="str">
        <f>INDEX(State_Region!$B$2:$B$26,MATCH(TRIM(A2107),State_Region!$A$2:$A$26,0))</f>
        <v>South</v>
      </c>
      <c r="C2107" s="3" t="s">
        <v>229</v>
      </c>
      <c r="D2107" s="3" t="str">
        <f>INDEX(Port_Type!$B$2:$B$227,MATCH(TRIM(C2107),Port_Type!$A$2:$A$227,0))</f>
        <v>Inland ICD / CFS</v>
      </c>
      <c r="E2107" s="3" t="s">
        <v>102</v>
      </c>
      <c r="F2107" s="3" t="str">
        <f>INDEX(Product_Category!$B$2:$B$45,MATCH(TRIM(E2107),Product_Category!$A$2:$A$45,0))</f>
        <v>Fresh Fruits &amp; Vegetables</v>
      </c>
      <c r="G2107" s="4">
        <v>0.01</v>
      </c>
      <c r="H2107" s="4">
        <v>0.01</v>
      </c>
      <c r="I2107" s="4">
        <v>0</v>
      </c>
      <c r="J2107" s="4">
        <v>7.35</v>
      </c>
      <c r="K2107" s="4">
        <v>15.63</v>
      </c>
      <c r="L2107" s="4">
        <v>0</v>
      </c>
      <c r="M2107" s="4">
        <f t="shared" si="96"/>
        <v>0</v>
      </c>
      <c r="N2107" s="4">
        <f t="shared" si="97"/>
        <v>8.2800000000000011</v>
      </c>
      <c r="O2107" s="4">
        <f t="shared" si="98"/>
        <v>-0.01</v>
      </c>
      <c r="P2107" s="3" t="s">
        <v>19</v>
      </c>
    </row>
    <row r="2108" spans="1:16" x14ac:dyDescent="0.35">
      <c r="A2108" s="3" t="s">
        <v>40</v>
      </c>
      <c r="B2108" s="3" t="str">
        <f>INDEX(State_Region!$B$2:$B$26,MATCH(TRIM(A2108),State_Region!$A$2:$A$26,0))</f>
        <v>South</v>
      </c>
      <c r="C2108" s="3" t="s">
        <v>220</v>
      </c>
      <c r="D2108" s="3" t="str">
        <f>INDEX(Port_Type!$B$2:$B$227,MATCH(TRIM(C2108),Port_Type!$A$2:$A$227,0))</f>
        <v>Inland ICD / CFS</v>
      </c>
      <c r="E2108" s="3" t="s">
        <v>18</v>
      </c>
      <c r="F2108" s="3" t="str">
        <f>INDEX(Product_Category!$B$2:$B$45,MATCH(TRIM(E2108),Product_Category!$A$2:$A$45,0))</f>
        <v>Cereals &amp; Grains</v>
      </c>
      <c r="G2108" s="4">
        <v>0</v>
      </c>
      <c r="H2108" s="4">
        <v>0</v>
      </c>
      <c r="I2108" s="4">
        <v>0</v>
      </c>
      <c r="J2108" s="4">
        <v>1.02</v>
      </c>
      <c r="K2108" s="4">
        <v>0</v>
      </c>
      <c r="L2108" s="4">
        <v>0</v>
      </c>
      <c r="M2108" s="4">
        <f t="shared" si="96"/>
        <v>0</v>
      </c>
      <c r="N2108" s="4">
        <f t="shared" si="97"/>
        <v>-1.02</v>
      </c>
      <c r="O2108" s="4">
        <f t="shared" si="98"/>
        <v>0</v>
      </c>
      <c r="P2108" s="3" t="s">
        <v>19</v>
      </c>
    </row>
    <row r="2109" spans="1:16" x14ac:dyDescent="0.35">
      <c r="A2109" s="3" t="s">
        <v>40</v>
      </c>
      <c r="B2109" s="3" t="str">
        <f>INDEX(State_Region!$B$2:$B$26,MATCH(TRIM(A2109),State_Region!$A$2:$A$26,0))</f>
        <v>South</v>
      </c>
      <c r="C2109" s="3" t="s">
        <v>220</v>
      </c>
      <c r="D2109" s="3" t="str">
        <f>INDEX(Port_Type!$B$2:$B$227,MATCH(TRIM(C2109),Port_Type!$A$2:$A$227,0))</f>
        <v>Inland ICD / CFS</v>
      </c>
      <c r="E2109" s="3" t="s">
        <v>84</v>
      </c>
      <c r="F2109" s="3" t="str">
        <f>INDEX(Product_Category!$B$2:$B$45,MATCH(TRIM(E2109),Product_Category!$A$2:$A$45,0))</f>
        <v>Nuts &amp; Oilseeds</v>
      </c>
      <c r="G2109" s="4">
        <v>0</v>
      </c>
      <c r="H2109" s="4">
        <v>0.01</v>
      </c>
      <c r="I2109" s="4">
        <v>0</v>
      </c>
      <c r="J2109" s="4">
        <v>0.11</v>
      </c>
      <c r="K2109" s="4">
        <v>1.45</v>
      </c>
      <c r="L2109" s="4">
        <v>0</v>
      </c>
      <c r="M2109" s="4">
        <f t="shared" si="96"/>
        <v>0.01</v>
      </c>
      <c r="N2109" s="4">
        <f t="shared" si="97"/>
        <v>1.3399999999999999</v>
      </c>
      <c r="O2109" s="4">
        <f t="shared" si="98"/>
        <v>-0.01</v>
      </c>
      <c r="P2109" s="3" t="s">
        <v>19</v>
      </c>
    </row>
    <row r="2110" spans="1:16" x14ac:dyDescent="0.35">
      <c r="A2110" s="3" t="s">
        <v>77</v>
      </c>
      <c r="B2110" s="3" t="str">
        <f>INDEX(State_Region!$B$2:$B$26,MATCH(TRIM(A2110),State_Region!$A$2:$A$26,0))</f>
        <v>South</v>
      </c>
      <c r="C2110" s="3" t="s">
        <v>168</v>
      </c>
      <c r="D2110" s="3" t="str">
        <f>INDEX(Port_Type!$B$2:$B$227,MATCH(TRIM(C2110),Port_Type!$A$2:$A$227,0))</f>
        <v>Air Cargo</v>
      </c>
      <c r="E2110" s="3" t="s">
        <v>83</v>
      </c>
      <c r="F2110" s="3" t="str">
        <f>INDEX(Product_Category!$B$2:$B$45,MATCH(TRIM(E2110),Product_Category!$A$2:$A$45,0))</f>
        <v>Fresh Fruits &amp; Vegetables</v>
      </c>
      <c r="G2110" s="4">
        <v>0</v>
      </c>
      <c r="H2110" s="4">
        <v>0</v>
      </c>
      <c r="I2110" s="4">
        <v>0</v>
      </c>
      <c r="J2110" s="4">
        <v>0</v>
      </c>
      <c r="K2110" s="4">
        <v>0.14000000000000001</v>
      </c>
      <c r="L2110" s="4">
        <v>0</v>
      </c>
      <c r="M2110" s="4">
        <f t="shared" si="96"/>
        <v>0</v>
      </c>
      <c r="N2110" s="4">
        <f t="shared" si="97"/>
        <v>0.14000000000000001</v>
      </c>
      <c r="O2110" s="4">
        <f t="shared" si="98"/>
        <v>0</v>
      </c>
      <c r="P2110" s="3" t="s">
        <v>19</v>
      </c>
    </row>
    <row r="2111" spans="1:16" x14ac:dyDescent="0.35">
      <c r="A2111" s="3" t="s">
        <v>40</v>
      </c>
      <c r="B2111" s="3" t="str">
        <f>INDEX(State_Region!$B$2:$B$26,MATCH(TRIM(A2111),State_Region!$A$2:$A$26,0))</f>
        <v>South</v>
      </c>
      <c r="C2111" s="3" t="s">
        <v>220</v>
      </c>
      <c r="D2111" s="3" t="str">
        <f>INDEX(Port_Type!$B$2:$B$227,MATCH(TRIM(C2111),Port_Type!$A$2:$A$227,0))</f>
        <v>Inland ICD / CFS</v>
      </c>
      <c r="E2111" s="3" t="s">
        <v>69</v>
      </c>
      <c r="F2111" s="3" t="str">
        <f>INDEX(Product_Category!$B$2:$B$45,MATCH(TRIM(E2111),Product_Category!$A$2:$A$45,0))</f>
        <v>Others</v>
      </c>
      <c r="G2111" s="4">
        <v>0</v>
      </c>
      <c r="H2111" s="4">
        <v>0</v>
      </c>
      <c r="I2111" s="4">
        <v>0</v>
      </c>
      <c r="J2111" s="4">
        <v>0</v>
      </c>
      <c r="K2111" s="4">
        <v>0.13</v>
      </c>
      <c r="L2111" s="4">
        <v>0</v>
      </c>
      <c r="M2111" s="4">
        <f t="shared" si="96"/>
        <v>0</v>
      </c>
      <c r="N2111" s="4">
        <f t="shared" si="97"/>
        <v>0.13</v>
      </c>
      <c r="O2111" s="4">
        <f t="shared" si="98"/>
        <v>0</v>
      </c>
      <c r="P2111" s="3" t="s">
        <v>19</v>
      </c>
    </row>
    <row r="2112" spans="1:16" x14ac:dyDescent="0.35">
      <c r="A2112" s="3" t="s">
        <v>77</v>
      </c>
      <c r="B2112" s="3" t="str">
        <f>INDEX(State_Region!$B$2:$B$26,MATCH(TRIM(A2112),State_Region!$A$2:$A$26,0))</f>
        <v>South</v>
      </c>
      <c r="C2112" s="3" t="s">
        <v>168</v>
      </c>
      <c r="D2112" s="3" t="str">
        <f>INDEX(Port_Type!$B$2:$B$227,MATCH(TRIM(C2112),Port_Type!$A$2:$A$227,0))</f>
        <v>Air Cargo</v>
      </c>
      <c r="E2112" s="3" t="s">
        <v>179</v>
      </c>
      <c r="F2112" s="3" t="str">
        <f>INDEX(Product_Category!$B$2:$B$45,MATCH(TRIM(E2112),Product_Category!$A$2:$A$45,0))</f>
        <v>Nuts &amp; Oilseeds</v>
      </c>
      <c r="G2112" s="4">
        <v>0</v>
      </c>
      <c r="H2112" s="4">
        <v>0</v>
      </c>
      <c r="I2112" s="4">
        <v>0</v>
      </c>
      <c r="J2112" s="4">
        <v>0.01</v>
      </c>
      <c r="K2112" s="4">
        <v>0</v>
      </c>
      <c r="L2112" s="4">
        <v>0</v>
      </c>
      <c r="M2112" s="4">
        <f t="shared" si="96"/>
        <v>0</v>
      </c>
      <c r="N2112" s="4">
        <f t="shared" si="97"/>
        <v>-0.01</v>
      </c>
      <c r="O2112" s="4">
        <f t="shared" si="98"/>
        <v>0</v>
      </c>
      <c r="P2112" s="3" t="s">
        <v>19</v>
      </c>
    </row>
    <row r="2113" spans="1:16" x14ac:dyDescent="0.35">
      <c r="A2113" s="3" t="s">
        <v>40</v>
      </c>
      <c r="B2113" s="3" t="str">
        <f>INDEX(State_Region!$B$2:$B$26,MATCH(TRIM(A2113),State_Region!$A$2:$A$26,0))</f>
        <v>South</v>
      </c>
      <c r="C2113" s="3" t="s">
        <v>220</v>
      </c>
      <c r="D2113" s="3" t="str">
        <f>INDEX(Port_Type!$B$2:$B$227,MATCH(TRIM(C2113),Port_Type!$A$2:$A$227,0))</f>
        <v>Inland ICD / CFS</v>
      </c>
      <c r="E2113" s="3" t="s">
        <v>118</v>
      </c>
      <c r="F2113" s="3" t="str">
        <f>INDEX(Product_Category!$B$2:$B$45,MATCH(TRIM(E2113),Product_Category!$A$2:$A$45,0))</f>
        <v>Dairy, Poultry &amp; Honey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  <c r="L2113" s="4">
        <v>0</v>
      </c>
      <c r="M2113" s="4">
        <f t="shared" si="96"/>
        <v>0</v>
      </c>
      <c r="N2113" s="4">
        <f t="shared" si="97"/>
        <v>0</v>
      </c>
      <c r="O2113" s="4">
        <f t="shared" si="98"/>
        <v>0</v>
      </c>
      <c r="P2113" s="3" t="s">
        <v>19</v>
      </c>
    </row>
    <row r="2114" spans="1:16" x14ac:dyDescent="0.35">
      <c r="A2114" s="3" t="s">
        <v>77</v>
      </c>
      <c r="B2114" s="3" t="str">
        <f>INDEX(State_Region!$B$2:$B$26,MATCH(TRIM(A2114),State_Region!$A$2:$A$26,0))</f>
        <v>South</v>
      </c>
      <c r="C2114" s="3" t="s">
        <v>149</v>
      </c>
      <c r="D2114" s="3" t="str">
        <f>INDEX(Port_Type!$B$2:$B$227,MATCH(TRIM(C2114),Port_Type!$A$2:$A$227,0))</f>
        <v>SEZ / EPZ</v>
      </c>
      <c r="E2114" s="3" t="s">
        <v>181</v>
      </c>
      <c r="F2114" s="3" t="str">
        <f>INDEX(Product_Category!$B$2:$B$45,MATCH(TRIM(E2114),Product_Category!$A$2:$A$45,0))</f>
        <v>Nuts &amp; Oilseeds</v>
      </c>
      <c r="G2114" s="4">
        <v>0</v>
      </c>
      <c r="H2114" s="4">
        <v>0</v>
      </c>
      <c r="I2114" s="4">
        <v>0</v>
      </c>
      <c r="J2114" s="4">
        <v>0</v>
      </c>
      <c r="K2114" s="4">
        <v>0.02</v>
      </c>
      <c r="L2114" s="4">
        <v>0</v>
      </c>
      <c r="M2114" s="4">
        <f t="shared" ref="M2114:M2177" si="99">H2114-G2114</f>
        <v>0</v>
      </c>
      <c r="N2114" s="4">
        <f t="shared" ref="N2114:N2177" si="100">K2114-J2114</f>
        <v>0.02</v>
      </c>
      <c r="O2114" s="4">
        <f t="shared" ref="O2114:O2177" si="101">I2114-H2114</f>
        <v>0</v>
      </c>
      <c r="P2114" s="3" t="s">
        <v>19</v>
      </c>
    </row>
    <row r="2115" spans="1:16" x14ac:dyDescent="0.35">
      <c r="A2115" s="3" t="s">
        <v>40</v>
      </c>
      <c r="B2115" s="3" t="str">
        <f>INDEX(State_Region!$B$2:$B$26,MATCH(TRIM(A2115),State_Region!$A$2:$A$26,0))</f>
        <v>South</v>
      </c>
      <c r="C2115" s="3" t="s">
        <v>220</v>
      </c>
      <c r="D2115" s="3" t="str">
        <f>INDEX(Port_Type!$B$2:$B$227,MATCH(TRIM(C2115),Port_Type!$A$2:$A$227,0))</f>
        <v>Inland ICD / CFS</v>
      </c>
      <c r="E2115" s="3" t="s">
        <v>116</v>
      </c>
      <c r="F2115" s="3" t="str">
        <f>INDEX(Product_Category!$B$2:$B$45,MATCH(TRIM(E2115),Product_Category!$A$2:$A$45,0))</f>
        <v>Others</v>
      </c>
      <c r="G2115" s="4">
        <v>0</v>
      </c>
      <c r="H2115" s="4">
        <v>0</v>
      </c>
      <c r="I2115" s="4">
        <v>0</v>
      </c>
      <c r="J2115" s="4">
        <v>0.25</v>
      </c>
      <c r="K2115" s="4">
        <v>0</v>
      </c>
      <c r="L2115" s="4">
        <v>0</v>
      </c>
      <c r="M2115" s="4">
        <f t="shared" si="99"/>
        <v>0</v>
      </c>
      <c r="N2115" s="4">
        <f t="shared" si="100"/>
        <v>-0.25</v>
      </c>
      <c r="O2115" s="4">
        <f t="shared" si="101"/>
        <v>0</v>
      </c>
      <c r="P2115" s="3" t="s">
        <v>19</v>
      </c>
    </row>
    <row r="2116" spans="1:16" x14ac:dyDescent="0.35">
      <c r="A2116" s="3" t="s">
        <v>77</v>
      </c>
      <c r="B2116" s="3" t="str">
        <f>INDEX(State_Region!$B$2:$B$26,MATCH(TRIM(A2116),State_Region!$A$2:$A$26,0))</f>
        <v>South</v>
      </c>
      <c r="C2116" s="3" t="s">
        <v>149</v>
      </c>
      <c r="D2116" s="3" t="str">
        <f>INDEX(Port_Type!$B$2:$B$227,MATCH(TRIM(C2116),Port_Type!$A$2:$A$227,0))</f>
        <v>SEZ / EPZ</v>
      </c>
      <c r="E2116" s="3" t="s">
        <v>33</v>
      </c>
      <c r="F2116" s="3" t="str">
        <f>INDEX(Product_Category!$B$2:$B$45,MATCH(TRIM(E2116),Product_Category!$A$2:$A$45,0))</f>
        <v>Pulses</v>
      </c>
      <c r="G2116" s="4">
        <v>0</v>
      </c>
      <c r="H2116" s="4">
        <v>0</v>
      </c>
      <c r="I2116" s="4">
        <v>0</v>
      </c>
      <c r="J2116" s="4">
        <v>1</v>
      </c>
      <c r="K2116" s="4">
        <v>0</v>
      </c>
      <c r="L2116" s="4">
        <v>0</v>
      </c>
      <c r="M2116" s="4">
        <f t="shared" si="99"/>
        <v>0</v>
      </c>
      <c r="N2116" s="4">
        <f t="shared" si="100"/>
        <v>-1</v>
      </c>
      <c r="O2116" s="4">
        <f t="shared" si="101"/>
        <v>0</v>
      </c>
      <c r="P2116" s="3" t="s">
        <v>19</v>
      </c>
    </row>
    <row r="2117" spans="1:16" x14ac:dyDescent="0.35">
      <c r="A2117" s="3" t="s">
        <v>77</v>
      </c>
      <c r="B2117" s="3" t="str">
        <f>INDEX(State_Region!$B$2:$B$26,MATCH(TRIM(A2117),State_Region!$A$2:$A$26,0))</f>
        <v>South</v>
      </c>
      <c r="C2117" s="3" t="s">
        <v>149</v>
      </c>
      <c r="D2117" s="3" t="str">
        <f>INDEX(Port_Type!$B$2:$B$227,MATCH(TRIM(C2117),Port_Type!$A$2:$A$227,0))</f>
        <v>SEZ / EPZ</v>
      </c>
      <c r="E2117" s="3" t="s">
        <v>170</v>
      </c>
      <c r="F2117" s="3" t="str">
        <f>INDEX(Product_Category!$B$2:$B$45,MATCH(TRIM(E2117),Product_Category!$A$2:$A$45,0))</f>
        <v>Others</v>
      </c>
      <c r="G2117" s="4">
        <v>0</v>
      </c>
      <c r="H2117" s="4">
        <v>0</v>
      </c>
      <c r="I2117" s="4">
        <v>0</v>
      </c>
      <c r="J2117" s="4">
        <v>0.01</v>
      </c>
      <c r="K2117" s="4">
        <v>0</v>
      </c>
      <c r="L2117" s="4">
        <v>0</v>
      </c>
      <c r="M2117" s="4">
        <f t="shared" si="99"/>
        <v>0</v>
      </c>
      <c r="N2117" s="4">
        <f t="shared" si="100"/>
        <v>-0.01</v>
      </c>
      <c r="O2117" s="4">
        <f t="shared" si="101"/>
        <v>0</v>
      </c>
      <c r="P2117" s="3" t="s">
        <v>19</v>
      </c>
    </row>
    <row r="2118" spans="1:16" x14ac:dyDescent="0.35">
      <c r="A2118" s="3" t="s">
        <v>40</v>
      </c>
      <c r="B2118" s="3" t="str">
        <f>INDEX(State_Region!$B$2:$B$26,MATCH(TRIM(A2118),State_Region!$A$2:$A$26,0))</f>
        <v>South</v>
      </c>
      <c r="C2118" s="3" t="s">
        <v>220</v>
      </c>
      <c r="D2118" s="3" t="str">
        <f>INDEX(Port_Type!$B$2:$B$227,MATCH(TRIM(C2118),Port_Type!$A$2:$A$227,0))</f>
        <v>Inland ICD / CFS</v>
      </c>
      <c r="E2118" s="3" t="s">
        <v>181</v>
      </c>
      <c r="F2118" s="3" t="str">
        <f>INDEX(Product_Category!$B$2:$B$45,MATCH(TRIM(E2118),Product_Category!$A$2:$A$45,0))</f>
        <v>Nuts &amp; Oilseeds</v>
      </c>
      <c r="G2118" s="4">
        <v>0</v>
      </c>
      <c r="H2118" s="4">
        <v>0</v>
      </c>
      <c r="I2118" s="4">
        <v>0</v>
      </c>
      <c r="J2118" s="4">
        <v>0.01</v>
      </c>
      <c r="K2118" s="4">
        <v>0</v>
      </c>
      <c r="L2118" s="4">
        <v>0</v>
      </c>
      <c r="M2118" s="4">
        <f t="shared" si="99"/>
        <v>0</v>
      </c>
      <c r="N2118" s="4">
        <f t="shared" si="100"/>
        <v>-0.01</v>
      </c>
      <c r="O2118" s="4">
        <f t="shared" si="101"/>
        <v>0</v>
      </c>
      <c r="P2118" s="3" t="s">
        <v>19</v>
      </c>
    </row>
    <row r="2119" spans="1:16" x14ac:dyDescent="0.35">
      <c r="A2119" s="3" t="s">
        <v>77</v>
      </c>
      <c r="B2119" s="3" t="str">
        <f>INDEX(State_Region!$B$2:$B$26,MATCH(TRIM(A2119),State_Region!$A$2:$A$26,0))</f>
        <v>South</v>
      </c>
      <c r="C2119" s="3" t="s">
        <v>149</v>
      </c>
      <c r="D2119" s="3" t="str">
        <f>INDEX(Port_Type!$B$2:$B$227,MATCH(TRIM(C2119),Port_Type!$A$2:$A$227,0))</f>
        <v>SEZ / EPZ</v>
      </c>
      <c r="E2119" s="3" t="s">
        <v>144</v>
      </c>
      <c r="F2119" s="3" t="str">
        <f>INDEX(Product_Category!$B$2:$B$45,MATCH(TRIM(E2119),Product_Category!$A$2:$A$45,0))</f>
        <v>Cereals &amp; Grains</v>
      </c>
      <c r="G2119" s="4">
        <v>0</v>
      </c>
      <c r="H2119" s="4">
        <v>0</v>
      </c>
      <c r="I2119" s="4">
        <v>0</v>
      </c>
      <c r="J2119" s="4">
        <v>0.12</v>
      </c>
      <c r="K2119" s="4">
        <v>0</v>
      </c>
      <c r="L2119" s="4">
        <v>0</v>
      </c>
      <c r="M2119" s="4">
        <f t="shared" si="99"/>
        <v>0</v>
      </c>
      <c r="N2119" s="4">
        <f t="shared" si="100"/>
        <v>-0.12</v>
      </c>
      <c r="O2119" s="4">
        <f t="shared" si="101"/>
        <v>0</v>
      </c>
      <c r="P2119" s="3" t="s">
        <v>19</v>
      </c>
    </row>
    <row r="2120" spans="1:16" x14ac:dyDescent="0.35">
      <c r="A2120" s="3" t="s">
        <v>40</v>
      </c>
      <c r="B2120" s="3" t="str">
        <f>INDEX(State_Region!$B$2:$B$26,MATCH(TRIM(A2120),State_Region!$A$2:$A$26,0))</f>
        <v>South</v>
      </c>
      <c r="C2120" s="3" t="s">
        <v>64</v>
      </c>
      <c r="D2120" s="3" t="str">
        <f>INDEX(Port_Type!$B$2:$B$227,MATCH(TRIM(C2120),Port_Type!$A$2:$A$227,0))</f>
        <v>Inland ICD / CFS</v>
      </c>
      <c r="E2120" s="3" t="s">
        <v>60</v>
      </c>
      <c r="F2120" s="3" t="str">
        <f>INDEX(Product_Category!$B$2:$B$45,MATCH(TRIM(E2120),Product_Category!$A$2:$A$45,0))</f>
        <v>Processed Foods</v>
      </c>
      <c r="G2120" s="4">
        <v>0</v>
      </c>
      <c r="H2120" s="4">
        <v>0.04</v>
      </c>
      <c r="I2120" s="4">
        <v>0</v>
      </c>
      <c r="J2120" s="4">
        <v>0</v>
      </c>
      <c r="K2120" s="4">
        <v>31.1</v>
      </c>
      <c r="L2120" s="4">
        <v>0</v>
      </c>
      <c r="M2120" s="4">
        <f t="shared" si="99"/>
        <v>0.04</v>
      </c>
      <c r="N2120" s="4">
        <f t="shared" si="100"/>
        <v>31.1</v>
      </c>
      <c r="O2120" s="4">
        <f t="shared" si="101"/>
        <v>-0.04</v>
      </c>
      <c r="P2120" s="3" t="s">
        <v>19</v>
      </c>
    </row>
    <row r="2121" spans="1:16" x14ac:dyDescent="0.35">
      <c r="A2121" s="3" t="s">
        <v>77</v>
      </c>
      <c r="B2121" s="3" t="str">
        <f>INDEX(State_Region!$B$2:$B$26,MATCH(TRIM(A2121),State_Region!$A$2:$A$26,0))</f>
        <v>South</v>
      </c>
      <c r="C2121" s="3" t="s">
        <v>149</v>
      </c>
      <c r="D2121" s="3" t="str">
        <f>INDEX(Port_Type!$B$2:$B$227,MATCH(TRIM(C2121),Port_Type!$A$2:$A$227,0))</f>
        <v>SEZ / EPZ</v>
      </c>
      <c r="E2121" s="3" t="s">
        <v>65</v>
      </c>
      <c r="F2121" s="3" t="str">
        <f>INDEX(Product_Category!$B$2:$B$45,MATCH(TRIM(E2121),Product_Category!$A$2:$A$45,0))</f>
        <v>Cereals &amp; Grains</v>
      </c>
      <c r="G2121" s="4">
        <v>0</v>
      </c>
      <c r="H2121" s="4">
        <v>0.01</v>
      </c>
      <c r="I2121" s="4">
        <v>0</v>
      </c>
      <c r="J2121" s="4">
        <v>0</v>
      </c>
      <c r="K2121" s="4">
        <v>3.66</v>
      </c>
      <c r="L2121" s="4">
        <v>0</v>
      </c>
      <c r="M2121" s="4">
        <f t="shared" si="99"/>
        <v>0.01</v>
      </c>
      <c r="N2121" s="4">
        <f t="shared" si="100"/>
        <v>3.66</v>
      </c>
      <c r="O2121" s="4">
        <f t="shared" si="101"/>
        <v>-0.01</v>
      </c>
      <c r="P2121" s="3" t="s">
        <v>19</v>
      </c>
    </row>
    <row r="2122" spans="1:16" x14ac:dyDescent="0.35">
      <c r="A2122" s="3" t="s">
        <v>77</v>
      </c>
      <c r="B2122" s="3" t="str">
        <f>INDEX(State_Region!$B$2:$B$26,MATCH(TRIM(A2122),State_Region!$A$2:$A$26,0))</f>
        <v>South</v>
      </c>
      <c r="C2122" s="3" t="s">
        <v>149</v>
      </c>
      <c r="D2122" s="3" t="str">
        <f>INDEX(Port_Type!$B$2:$B$227,MATCH(TRIM(C2122),Port_Type!$A$2:$A$227,0))</f>
        <v>SEZ / EPZ</v>
      </c>
      <c r="E2122" s="3" t="s">
        <v>55</v>
      </c>
      <c r="F2122" s="3" t="str">
        <f>INDEX(Product_Category!$B$2:$B$45,MATCH(TRIM(E2122),Product_Category!$A$2:$A$45,0))</f>
        <v>Fresh Fruits &amp; Vegetables</v>
      </c>
      <c r="G2122" s="4">
        <v>0</v>
      </c>
      <c r="H2122" s="4">
        <v>0</v>
      </c>
      <c r="I2122" s="4">
        <v>0</v>
      </c>
      <c r="J2122" s="4">
        <v>5.2</v>
      </c>
      <c r="K2122" s="4">
        <v>0</v>
      </c>
      <c r="L2122" s="4">
        <v>0</v>
      </c>
      <c r="M2122" s="4">
        <f t="shared" si="99"/>
        <v>0</v>
      </c>
      <c r="N2122" s="4">
        <f t="shared" si="100"/>
        <v>-5.2</v>
      </c>
      <c r="O2122" s="4">
        <f t="shared" si="101"/>
        <v>0</v>
      </c>
      <c r="P2122" s="3" t="s">
        <v>19</v>
      </c>
    </row>
    <row r="2123" spans="1:16" x14ac:dyDescent="0.35">
      <c r="A2123" s="3" t="s">
        <v>40</v>
      </c>
      <c r="B2123" s="3" t="str">
        <f>INDEX(State_Region!$B$2:$B$26,MATCH(TRIM(A2123),State_Region!$A$2:$A$26,0))</f>
        <v>South</v>
      </c>
      <c r="C2123" s="3" t="s">
        <v>64</v>
      </c>
      <c r="D2123" s="3" t="str">
        <f>INDEX(Port_Type!$B$2:$B$227,MATCH(TRIM(C2123),Port_Type!$A$2:$A$227,0))</f>
        <v>Inland ICD / CFS</v>
      </c>
      <c r="E2123" s="3" t="s">
        <v>179</v>
      </c>
      <c r="F2123" s="3" t="str">
        <f>INDEX(Product_Category!$B$2:$B$45,MATCH(TRIM(E2123),Product_Category!$A$2:$A$45,0))</f>
        <v>Nuts &amp; Oilseeds</v>
      </c>
      <c r="G2123" s="4">
        <v>0</v>
      </c>
      <c r="H2123" s="4">
        <v>0</v>
      </c>
      <c r="I2123" s="4">
        <v>0</v>
      </c>
      <c r="J2123" s="4">
        <v>0.69</v>
      </c>
      <c r="K2123" s="4">
        <v>0</v>
      </c>
      <c r="L2123" s="4">
        <v>0</v>
      </c>
      <c r="M2123" s="4">
        <f t="shared" si="99"/>
        <v>0</v>
      </c>
      <c r="N2123" s="4">
        <f t="shared" si="100"/>
        <v>-0.69</v>
      </c>
      <c r="O2123" s="4">
        <f t="shared" si="101"/>
        <v>0</v>
      </c>
      <c r="P2123" s="3" t="s">
        <v>19</v>
      </c>
    </row>
    <row r="2124" spans="1:16" x14ac:dyDescent="0.35">
      <c r="A2124" s="3" t="s">
        <v>40</v>
      </c>
      <c r="B2124" s="3" t="str">
        <f>INDEX(State_Region!$B$2:$B$26,MATCH(TRIM(A2124),State_Region!$A$2:$A$26,0))</f>
        <v>South</v>
      </c>
      <c r="C2124" s="3" t="s">
        <v>64</v>
      </c>
      <c r="D2124" s="3" t="str">
        <f>INDEX(Port_Type!$B$2:$B$227,MATCH(TRIM(C2124),Port_Type!$A$2:$A$227,0))</f>
        <v>Inland ICD / CFS</v>
      </c>
      <c r="E2124" s="3" t="s">
        <v>150</v>
      </c>
      <c r="F2124" s="3" t="str">
        <f>INDEX(Product_Category!$B$2:$B$45,MATCH(TRIM(E2124),Product_Category!$A$2:$A$45,0))</f>
        <v>Nuts &amp; Oilseeds</v>
      </c>
      <c r="G2124" s="4">
        <v>0</v>
      </c>
      <c r="H2124" s="4">
        <v>0</v>
      </c>
      <c r="I2124" s="4">
        <v>0</v>
      </c>
      <c r="J2124" s="4">
        <v>0</v>
      </c>
      <c r="K2124" s="4">
        <v>0.21</v>
      </c>
      <c r="L2124" s="4">
        <v>0</v>
      </c>
      <c r="M2124" s="4">
        <f t="shared" si="99"/>
        <v>0</v>
      </c>
      <c r="N2124" s="4">
        <f t="shared" si="100"/>
        <v>0.21</v>
      </c>
      <c r="O2124" s="4">
        <f t="shared" si="101"/>
        <v>0</v>
      </c>
      <c r="P2124" s="3" t="s">
        <v>19</v>
      </c>
    </row>
    <row r="2125" spans="1:16" x14ac:dyDescent="0.35">
      <c r="A2125" s="3" t="s">
        <v>40</v>
      </c>
      <c r="B2125" s="3" t="str">
        <f>INDEX(State_Region!$B$2:$B$26,MATCH(TRIM(A2125),State_Region!$A$2:$A$26,0))</f>
        <v>South</v>
      </c>
      <c r="C2125" s="3" t="s">
        <v>64</v>
      </c>
      <c r="D2125" s="3" t="str">
        <f>INDEX(Port_Type!$B$2:$B$227,MATCH(TRIM(C2125),Port_Type!$A$2:$A$227,0))</f>
        <v>Inland ICD / CFS</v>
      </c>
      <c r="E2125" s="3" t="s">
        <v>142</v>
      </c>
      <c r="F2125" s="3" t="str">
        <f>INDEX(Product_Category!$B$2:$B$45,MATCH(TRIM(E2125),Product_Category!$A$2:$A$45,0))</f>
        <v>Nuts &amp; Oilseeds</v>
      </c>
      <c r="G2125" s="4">
        <v>0</v>
      </c>
      <c r="H2125" s="4">
        <v>0.02</v>
      </c>
      <c r="I2125" s="4">
        <v>0</v>
      </c>
      <c r="J2125" s="4">
        <v>0.23</v>
      </c>
      <c r="K2125" s="4">
        <v>27.46</v>
      </c>
      <c r="L2125" s="4">
        <v>0</v>
      </c>
      <c r="M2125" s="4">
        <f t="shared" si="99"/>
        <v>0.02</v>
      </c>
      <c r="N2125" s="4">
        <f t="shared" si="100"/>
        <v>27.23</v>
      </c>
      <c r="O2125" s="4">
        <f t="shared" si="101"/>
        <v>-0.02</v>
      </c>
      <c r="P2125" s="3" t="s">
        <v>19</v>
      </c>
    </row>
    <row r="2126" spans="1:16" x14ac:dyDescent="0.35">
      <c r="A2126" s="3" t="s">
        <v>40</v>
      </c>
      <c r="B2126" s="3" t="str">
        <f>INDEX(State_Region!$B$2:$B$26,MATCH(TRIM(A2126),State_Region!$A$2:$A$26,0))</f>
        <v>South</v>
      </c>
      <c r="C2126" s="3" t="s">
        <v>64</v>
      </c>
      <c r="D2126" s="3" t="str">
        <f>INDEX(Port_Type!$B$2:$B$227,MATCH(TRIM(C2126),Port_Type!$A$2:$A$227,0))</f>
        <v>Inland ICD / CFS</v>
      </c>
      <c r="E2126" s="3" t="s">
        <v>122</v>
      </c>
      <c r="F2126" s="3" t="str">
        <f>INDEX(Product_Category!$B$2:$B$45,MATCH(TRIM(E2126),Product_Category!$A$2:$A$45,0))</f>
        <v>Others</v>
      </c>
      <c r="G2126" s="4">
        <v>0</v>
      </c>
      <c r="H2126" s="4">
        <v>0.18</v>
      </c>
      <c r="I2126" s="4">
        <v>0</v>
      </c>
      <c r="J2126" s="4">
        <v>0</v>
      </c>
      <c r="K2126" s="4">
        <v>161.5</v>
      </c>
      <c r="L2126" s="4">
        <v>0</v>
      </c>
      <c r="M2126" s="4">
        <f t="shared" si="99"/>
        <v>0.18</v>
      </c>
      <c r="N2126" s="4">
        <f t="shared" si="100"/>
        <v>161.5</v>
      </c>
      <c r="O2126" s="4">
        <f t="shared" si="101"/>
        <v>-0.18</v>
      </c>
      <c r="P2126" s="3" t="s">
        <v>19</v>
      </c>
    </row>
    <row r="2127" spans="1:16" x14ac:dyDescent="0.35">
      <c r="A2127" s="3" t="s">
        <v>40</v>
      </c>
      <c r="B2127" s="3" t="str">
        <f>INDEX(State_Region!$B$2:$B$26,MATCH(TRIM(A2127),State_Region!$A$2:$A$26,0))</f>
        <v>South</v>
      </c>
      <c r="C2127" s="3" t="s">
        <v>64</v>
      </c>
      <c r="D2127" s="3" t="str">
        <f>INDEX(Port_Type!$B$2:$B$227,MATCH(TRIM(C2127),Port_Type!$A$2:$A$227,0))</f>
        <v>Inland ICD / CFS</v>
      </c>
      <c r="E2127" s="3" t="s">
        <v>69</v>
      </c>
      <c r="F2127" s="3" t="str">
        <f>INDEX(Product_Category!$B$2:$B$45,MATCH(TRIM(E2127),Product_Category!$A$2:$A$45,0))</f>
        <v>Others</v>
      </c>
      <c r="G2127" s="4">
        <v>0.3</v>
      </c>
      <c r="H2127" s="4">
        <v>0.28999999999999998</v>
      </c>
      <c r="I2127" s="4">
        <v>0</v>
      </c>
      <c r="J2127" s="4">
        <v>168.51</v>
      </c>
      <c r="K2127" s="4">
        <v>367.95</v>
      </c>
      <c r="L2127" s="4">
        <v>0</v>
      </c>
      <c r="M2127" s="4">
        <f t="shared" si="99"/>
        <v>-1.0000000000000009E-2</v>
      </c>
      <c r="N2127" s="4">
        <f t="shared" si="100"/>
        <v>199.44</v>
      </c>
      <c r="O2127" s="4">
        <f t="shared" si="101"/>
        <v>-0.28999999999999998</v>
      </c>
      <c r="P2127" s="3" t="s">
        <v>19</v>
      </c>
    </row>
    <row r="2128" spans="1:16" x14ac:dyDescent="0.35">
      <c r="A2128" s="3" t="s">
        <v>40</v>
      </c>
      <c r="B2128" s="3" t="str">
        <f>INDEX(State_Region!$B$2:$B$26,MATCH(TRIM(A2128),State_Region!$A$2:$A$26,0))</f>
        <v>South</v>
      </c>
      <c r="C2128" s="3" t="s">
        <v>64</v>
      </c>
      <c r="D2128" s="3" t="str">
        <f>INDEX(Port_Type!$B$2:$B$227,MATCH(TRIM(C2128),Port_Type!$A$2:$A$227,0))</f>
        <v>Inland ICD / CFS</v>
      </c>
      <c r="E2128" s="3" t="s">
        <v>46</v>
      </c>
      <c r="F2128" s="3" t="str">
        <f>INDEX(Product_Category!$B$2:$B$45,MATCH(TRIM(E2128),Product_Category!$A$2:$A$45,0))</f>
        <v>Others</v>
      </c>
      <c r="G2128" s="4">
        <v>0</v>
      </c>
      <c r="H2128" s="4">
        <v>0</v>
      </c>
      <c r="I2128" s="4">
        <v>0</v>
      </c>
      <c r="J2128" s="4">
        <v>0</v>
      </c>
      <c r="K2128" s="4">
        <v>3</v>
      </c>
      <c r="L2128" s="4">
        <v>0</v>
      </c>
      <c r="M2128" s="4">
        <f t="shared" si="99"/>
        <v>0</v>
      </c>
      <c r="N2128" s="4">
        <f t="shared" si="100"/>
        <v>3</v>
      </c>
      <c r="O2128" s="4">
        <f t="shared" si="101"/>
        <v>0</v>
      </c>
      <c r="P2128" s="3" t="s">
        <v>19</v>
      </c>
    </row>
    <row r="2129" spans="1:16" x14ac:dyDescent="0.35">
      <c r="A2129" s="3" t="s">
        <v>77</v>
      </c>
      <c r="B2129" s="3" t="str">
        <f>INDEX(State_Region!$B$2:$B$26,MATCH(TRIM(A2129),State_Region!$A$2:$A$26,0))</f>
        <v>South</v>
      </c>
      <c r="C2129" s="3" t="s">
        <v>216</v>
      </c>
      <c r="D2129" s="3" t="str">
        <f>INDEX(Port_Type!$B$2:$B$227,MATCH(TRIM(C2129),Port_Type!$A$2:$A$227,0))</f>
        <v>Air Cargo</v>
      </c>
      <c r="E2129" s="3" t="s">
        <v>55</v>
      </c>
      <c r="F2129" s="3" t="str">
        <f>INDEX(Product_Category!$B$2:$B$45,MATCH(TRIM(E2129),Product_Category!$A$2:$A$45,0))</f>
        <v>Fresh Fruits &amp; Vegetables</v>
      </c>
      <c r="G2129" s="4">
        <v>0</v>
      </c>
      <c r="H2129" s="4">
        <v>0</v>
      </c>
      <c r="I2129" s="4">
        <v>0</v>
      </c>
      <c r="J2129" s="4">
        <v>2.97</v>
      </c>
      <c r="K2129" s="4">
        <v>0</v>
      </c>
      <c r="L2129" s="4">
        <v>0</v>
      </c>
      <c r="M2129" s="4">
        <f t="shared" si="99"/>
        <v>0</v>
      </c>
      <c r="N2129" s="4">
        <f t="shared" si="100"/>
        <v>-2.97</v>
      </c>
      <c r="O2129" s="4">
        <f t="shared" si="101"/>
        <v>0</v>
      </c>
      <c r="P2129" s="3" t="s">
        <v>19</v>
      </c>
    </row>
    <row r="2130" spans="1:16" x14ac:dyDescent="0.35">
      <c r="A2130" s="3" t="s">
        <v>77</v>
      </c>
      <c r="B2130" s="3" t="str">
        <f>INDEX(State_Region!$B$2:$B$26,MATCH(TRIM(A2130),State_Region!$A$2:$A$26,0))</f>
        <v>South</v>
      </c>
      <c r="C2130" s="3" t="s">
        <v>216</v>
      </c>
      <c r="D2130" s="3" t="str">
        <f>INDEX(Port_Type!$B$2:$B$227,MATCH(TRIM(C2130),Port_Type!$A$2:$A$227,0))</f>
        <v>Air Cargo</v>
      </c>
      <c r="E2130" s="3" t="s">
        <v>179</v>
      </c>
      <c r="F2130" s="3" t="str">
        <f>INDEX(Product_Category!$B$2:$B$45,MATCH(TRIM(E2130),Product_Category!$A$2:$A$45,0))</f>
        <v>Nuts &amp; Oilseeds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  <c r="L2130" s="4">
        <v>0</v>
      </c>
      <c r="M2130" s="4">
        <f t="shared" si="99"/>
        <v>0</v>
      </c>
      <c r="N2130" s="4">
        <f t="shared" si="100"/>
        <v>0</v>
      </c>
      <c r="O2130" s="4">
        <f t="shared" si="101"/>
        <v>0</v>
      </c>
      <c r="P2130" s="3" t="s">
        <v>19</v>
      </c>
    </row>
    <row r="2131" spans="1:16" x14ac:dyDescent="0.35">
      <c r="A2131" s="3" t="s">
        <v>77</v>
      </c>
      <c r="B2131" s="3" t="str">
        <f>INDEX(State_Region!$B$2:$B$26,MATCH(TRIM(A2131),State_Region!$A$2:$A$26,0))</f>
        <v>South</v>
      </c>
      <c r="C2131" s="3" t="s">
        <v>266</v>
      </c>
      <c r="D2131" s="3" t="str">
        <f>INDEX(Port_Type!$B$2:$B$227,MATCH(TRIM(C2131),Port_Type!$A$2:$A$227,0))</f>
        <v>Inland ICD / CFS</v>
      </c>
      <c r="E2131" s="3" t="s">
        <v>48</v>
      </c>
      <c r="F2131" s="3" t="str">
        <f>INDEX(Product_Category!$B$2:$B$45,MATCH(TRIM(E2131),Product_Category!$A$2:$A$45,0))</f>
        <v>Processed Foods</v>
      </c>
      <c r="G2131" s="4">
        <v>0</v>
      </c>
      <c r="H2131" s="4">
        <v>0</v>
      </c>
      <c r="I2131" s="4">
        <v>0</v>
      </c>
      <c r="J2131" s="4">
        <v>0</v>
      </c>
      <c r="K2131" s="4">
        <v>0.17</v>
      </c>
      <c r="L2131" s="4">
        <v>0</v>
      </c>
      <c r="M2131" s="4">
        <f t="shared" si="99"/>
        <v>0</v>
      </c>
      <c r="N2131" s="4">
        <f t="shared" si="100"/>
        <v>0.17</v>
      </c>
      <c r="O2131" s="4">
        <f t="shared" si="101"/>
        <v>0</v>
      </c>
      <c r="P2131" s="3" t="s">
        <v>19</v>
      </c>
    </row>
    <row r="2132" spans="1:16" x14ac:dyDescent="0.35">
      <c r="A2132" s="3" t="s">
        <v>40</v>
      </c>
      <c r="B2132" s="3" t="str">
        <f>INDEX(State_Region!$B$2:$B$26,MATCH(TRIM(A2132),State_Region!$A$2:$A$26,0))</f>
        <v>South</v>
      </c>
      <c r="C2132" s="3" t="s">
        <v>64</v>
      </c>
      <c r="D2132" s="3" t="str">
        <f>INDEX(Port_Type!$B$2:$B$227,MATCH(TRIM(C2132),Port_Type!$A$2:$A$227,0))</f>
        <v>Inland ICD / CFS</v>
      </c>
      <c r="E2132" s="3" t="s">
        <v>118</v>
      </c>
      <c r="F2132" s="3" t="str">
        <f>INDEX(Product_Category!$B$2:$B$45,MATCH(TRIM(E2132),Product_Category!$A$2:$A$45,0))</f>
        <v>Dairy, Poultry &amp; Honey</v>
      </c>
      <c r="G2132" s="4">
        <v>0</v>
      </c>
      <c r="H2132" s="4">
        <v>0</v>
      </c>
      <c r="I2132" s="4">
        <v>0</v>
      </c>
      <c r="J2132" s="4">
        <v>0.01</v>
      </c>
      <c r="K2132" s="4">
        <v>0</v>
      </c>
      <c r="L2132" s="4">
        <v>0</v>
      </c>
      <c r="M2132" s="4">
        <f t="shared" si="99"/>
        <v>0</v>
      </c>
      <c r="N2132" s="4">
        <f t="shared" si="100"/>
        <v>-0.01</v>
      </c>
      <c r="O2132" s="4">
        <f t="shared" si="101"/>
        <v>0</v>
      </c>
      <c r="P2132" s="3" t="s">
        <v>19</v>
      </c>
    </row>
    <row r="2133" spans="1:16" x14ac:dyDescent="0.35">
      <c r="A2133" s="3" t="s">
        <v>40</v>
      </c>
      <c r="B2133" s="3" t="str">
        <f>INDEX(State_Region!$B$2:$B$26,MATCH(TRIM(A2133),State_Region!$A$2:$A$26,0))</f>
        <v>South</v>
      </c>
      <c r="C2133" s="3" t="s">
        <v>64</v>
      </c>
      <c r="D2133" s="3" t="str">
        <f>INDEX(Port_Type!$B$2:$B$227,MATCH(TRIM(C2133),Port_Type!$A$2:$A$227,0))</f>
        <v>Inland ICD / CFS</v>
      </c>
      <c r="E2133" s="3" t="s">
        <v>170</v>
      </c>
      <c r="F2133" s="3" t="str">
        <f>INDEX(Product_Category!$B$2:$B$45,MATCH(TRIM(E2133),Product_Category!$A$2:$A$45,0))</f>
        <v>Others</v>
      </c>
      <c r="G2133" s="4">
        <v>0</v>
      </c>
      <c r="H2133" s="4">
        <v>0</v>
      </c>
      <c r="I2133" s="4">
        <v>0</v>
      </c>
      <c r="J2133" s="4">
        <v>0</v>
      </c>
      <c r="K2133" s="4">
        <v>0.27</v>
      </c>
      <c r="L2133" s="4">
        <v>0</v>
      </c>
      <c r="M2133" s="4">
        <f t="shared" si="99"/>
        <v>0</v>
      </c>
      <c r="N2133" s="4">
        <f t="shared" si="100"/>
        <v>0.27</v>
      </c>
      <c r="O2133" s="4">
        <f t="shared" si="101"/>
        <v>0</v>
      </c>
      <c r="P2133" s="3" t="s">
        <v>19</v>
      </c>
    </row>
    <row r="2134" spans="1:16" x14ac:dyDescent="0.35">
      <c r="A2134" s="3" t="s">
        <v>77</v>
      </c>
      <c r="B2134" s="3" t="str">
        <f>INDEX(State_Region!$B$2:$B$26,MATCH(TRIM(A2134),State_Region!$A$2:$A$26,0))</f>
        <v>South</v>
      </c>
      <c r="C2134" s="3" t="s">
        <v>78</v>
      </c>
      <c r="D2134" s="3" t="str">
        <f>INDEX(Port_Type!$B$2:$B$227,MATCH(TRIM(C2134),Port_Type!$A$2:$A$227,0))</f>
        <v>Sea Port</v>
      </c>
      <c r="E2134" s="3" t="s">
        <v>83</v>
      </c>
      <c r="F2134" s="3" t="str">
        <f>INDEX(Product_Category!$B$2:$B$45,MATCH(TRIM(E2134),Product_Category!$A$2:$A$45,0))</f>
        <v>Fresh Fruits &amp; Vegetables</v>
      </c>
      <c r="G2134" s="4">
        <v>0</v>
      </c>
      <c r="H2134" s="4">
        <v>0</v>
      </c>
      <c r="I2134" s="4">
        <v>0</v>
      </c>
      <c r="J2134" s="4">
        <v>0</v>
      </c>
      <c r="K2134" s="4">
        <v>0.25</v>
      </c>
      <c r="L2134" s="4">
        <v>0</v>
      </c>
      <c r="M2134" s="4">
        <f t="shared" si="99"/>
        <v>0</v>
      </c>
      <c r="N2134" s="4">
        <f t="shared" si="100"/>
        <v>0.25</v>
      </c>
      <c r="O2134" s="4">
        <f t="shared" si="101"/>
        <v>0</v>
      </c>
      <c r="P2134" s="3" t="s">
        <v>19</v>
      </c>
    </row>
    <row r="2135" spans="1:16" x14ac:dyDescent="0.35">
      <c r="A2135" s="3" t="s">
        <v>77</v>
      </c>
      <c r="B2135" s="3" t="str">
        <f>INDEX(State_Region!$B$2:$B$26,MATCH(TRIM(A2135),State_Region!$A$2:$A$26,0))</f>
        <v>South</v>
      </c>
      <c r="C2135" s="3" t="s">
        <v>78</v>
      </c>
      <c r="D2135" s="3" t="str">
        <f>INDEX(Port_Type!$B$2:$B$227,MATCH(TRIM(C2135),Port_Type!$A$2:$A$227,0))</f>
        <v>Sea Port</v>
      </c>
      <c r="E2135" s="3" t="s">
        <v>179</v>
      </c>
      <c r="F2135" s="3" t="str">
        <f>INDEX(Product_Category!$B$2:$B$45,MATCH(TRIM(E2135),Product_Category!$A$2:$A$45,0))</f>
        <v>Nuts &amp; Oilseeds</v>
      </c>
      <c r="G2135" s="4">
        <v>0.05</v>
      </c>
      <c r="H2135" s="4">
        <v>0.44</v>
      </c>
      <c r="I2135" s="4">
        <v>0</v>
      </c>
      <c r="J2135" s="4">
        <v>4.42</v>
      </c>
      <c r="K2135" s="4">
        <v>309.42</v>
      </c>
      <c r="L2135" s="4">
        <v>0</v>
      </c>
      <c r="M2135" s="4">
        <f t="shared" si="99"/>
        <v>0.39</v>
      </c>
      <c r="N2135" s="4">
        <f t="shared" si="100"/>
        <v>305</v>
      </c>
      <c r="O2135" s="4">
        <f t="shared" si="101"/>
        <v>-0.44</v>
      </c>
      <c r="P2135" s="3" t="s">
        <v>19</v>
      </c>
    </row>
    <row r="2136" spans="1:16" x14ac:dyDescent="0.35">
      <c r="A2136" s="3" t="s">
        <v>77</v>
      </c>
      <c r="B2136" s="3" t="str">
        <f>INDEX(State_Region!$B$2:$B$26,MATCH(TRIM(A2136),State_Region!$A$2:$A$26,0))</f>
        <v>South</v>
      </c>
      <c r="C2136" s="3" t="s">
        <v>78</v>
      </c>
      <c r="D2136" s="3" t="str">
        <f>INDEX(Port_Type!$B$2:$B$227,MATCH(TRIM(C2136),Port_Type!$A$2:$A$227,0))</f>
        <v>Sea Port</v>
      </c>
      <c r="E2136" s="3" t="s">
        <v>22</v>
      </c>
      <c r="F2136" s="3" t="str">
        <f>INDEX(Product_Category!$B$2:$B$45,MATCH(TRIM(E2136),Product_Category!$A$2:$A$45,0))</f>
        <v>Meat &amp; Animal Products</v>
      </c>
      <c r="G2136" s="4">
        <v>0</v>
      </c>
      <c r="H2136" s="4">
        <v>0.01</v>
      </c>
      <c r="I2136" s="4">
        <v>0</v>
      </c>
      <c r="J2136" s="4">
        <v>0</v>
      </c>
      <c r="K2136" s="4">
        <v>0.5</v>
      </c>
      <c r="L2136" s="4">
        <v>0</v>
      </c>
      <c r="M2136" s="4">
        <f t="shared" si="99"/>
        <v>0.01</v>
      </c>
      <c r="N2136" s="4">
        <f t="shared" si="100"/>
        <v>0.5</v>
      </c>
      <c r="O2136" s="4">
        <f t="shared" si="101"/>
        <v>-0.01</v>
      </c>
      <c r="P2136" s="3" t="s">
        <v>19</v>
      </c>
    </row>
    <row r="2137" spans="1:16" x14ac:dyDescent="0.35">
      <c r="A2137" s="3" t="s">
        <v>40</v>
      </c>
      <c r="B2137" s="3" t="str">
        <f>INDEX(State_Region!$B$2:$B$26,MATCH(TRIM(A2137),State_Region!$A$2:$A$26,0))</f>
        <v>South</v>
      </c>
      <c r="C2137" s="3" t="s">
        <v>64</v>
      </c>
      <c r="D2137" s="3" t="str">
        <f>INDEX(Port_Type!$B$2:$B$227,MATCH(TRIM(C2137),Port_Type!$A$2:$A$227,0))</f>
        <v>Inland ICD / CFS</v>
      </c>
      <c r="E2137" s="3" t="s">
        <v>181</v>
      </c>
      <c r="F2137" s="3" t="str">
        <f>INDEX(Product_Category!$B$2:$B$45,MATCH(TRIM(E2137),Product_Category!$A$2:$A$45,0))</f>
        <v>Nuts &amp; Oilseeds</v>
      </c>
      <c r="G2137" s="4">
        <v>0</v>
      </c>
      <c r="H2137" s="4">
        <v>0</v>
      </c>
      <c r="I2137" s="4">
        <v>0</v>
      </c>
      <c r="J2137" s="4">
        <v>0</v>
      </c>
      <c r="K2137" s="4">
        <v>0.39</v>
      </c>
      <c r="L2137" s="4">
        <v>0</v>
      </c>
      <c r="M2137" s="4">
        <f t="shared" si="99"/>
        <v>0</v>
      </c>
      <c r="N2137" s="4">
        <f t="shared" si="100"/>
        <v>0.39</v>
      </c>
      <c r="O2137" s="4">
        <f t="shared" si="101"/>
        <v>0</v>
      </c>
      <c r="P2137" s="3" t="s">
        <v>19</v>
      </c>
    </row>
    <row r="2138" spans="1:16" x14ac:dyDescent="0.35">
      <c r="A2138" s="3" t="s">
        <v>40</v>
      </c>
      <c r="B2138" s="3" t="str">
        <f>INDEX(State_Region!$B$2:$B$26,MATCH(TRIM(A2138),State_Region!$A$2:$A$26,0))</f>
        <v>South</v>
      </c>
      <c r="C2138" s="3" t="s">
        <v>267</v>
      </c>
      <c r="D2138" s="3" t="str">
        <f>INDEX(Port_Type!$B$2:$B$227,MATCH(TRIM(C2138),Port_Type!$A$2:$A$227,0))</f>
        <v>Inland ICD / CFS</v>
      </c>
      <c r="E2138" s="3" t="s">
        <v>84</v>
      </c>
      <c r="F2138" s="3" t="str">
        <f>INDEX(Product_Category!$B$2:$B$45,MATCH(TRIM(E2138),Product_Category!$A$2:$A$45,0))</f>
        <v>Nuts &amp; Oilseeds</v>
      </c>
      <c r="G2138" s="4">
        <v>0</v>
      </c>
      <c r="H2138" s="4">
        <v>0</v>
      </c>
      <c r="I2138" s="4">
        <v>0</v>
      </c>
      <c r="J2138" s="4">
        <v>0.2</v>
      </c>
      <c r="K2138" s="4">
        <v>0.4</v>
      </c>
      <c r="L2138" s="4">
        <v>0</v>
      </c>
      <c r="M2138" s="4">
        <f t="shared" si="99"/>
        <v>0</v>
      </c>
      <c r="N2138" s="4">
        <f t="shared" si="100"/>
        <v>0.2</v>
      </c>
      <c r="O2138" s="4">
        <f t="shared" si="101"/>
        <v>0</v>
      </c>
      <c r="P2138" s="3" t="s">
        <v>19</v>
      </c>
    </row>
    <row r="2139" spans="1:16" x14ac:dyDescent="0.35">
      <c r="A2139" s="3" t="s">
        <v>40</v>
      </c>
      <c r="B2139" s="3" t="str">
        <f>INDEX(State_Region!$B$2:$B$26,MATCH(TRIM(A2139),State_Region!$A$2:$A$26,0))</f>
        <v>South</v>
      </c>
      <c r="C2139" s="3" t="s">
        <v>267</v>
      </c>
      <c r="D2139" s="3" t="str">
        <f>INDEX(Port_Type!$B$2:$B$227,MATCH(TRIM(C2139),Port_Type!$A$2:$A$227,0))</f>
        <v>Inland ICD / CFS</v>
      </c>
      <c r="E2139" s="3" t="s">
        <v>150</v>
      </c>
      <c r="F2139" s="3" t="str">
        <f>INDEX(Product_Category!$B$2:$B$45,MATCH(TRIM(E2139),Product_Category!$A$2:$A$45,0))</f>
        <v>Nuts &amp; Oilseeds</v>
      </c>
      <c r="G2139" s="4">
        <v>0</v>
      </c>
      <c r="H2139" s="4">
        <v>0</v>
      </c>
      <c r="I2139" s="4">
        <v>0</v>
      </c>
      <c r="J2139" s="4">
        <v>0.1</v>
      </c>
      <c r="K2139" s="4">
        <v>0</v>
      </c>
      <c r="L2139" s="4">
        <v>0</v>
      </c>
      <c r="M2139" s="4">
        <f t="shared" si="99"/>
        <v>0</v>
      </c>
      <c r="N2139" s="4">
        <f t="shared" si="100"/>
        <v>-0.1</v>
      </c>
      <c r="O2139" s="4">
        <f t="shared" si="101"/>
        <v>0</v>
      </c>
      <c r="P2139" s="3" t="s">
        <v>19</v>
      </c>
    </row>
    <row r="2140" spans="1:16" x14ac:dyDescent="0.35">
      <c r="A2140" s="3" t="s">
        <v>40</v>
      </c>
      <c r="B2140" s="3" t="str">
        <f>INDEX(State_Region!$B$2:$B$26,MATCH(TRIM(A2140),State_Region!$A$2:$A$26,0))</f>
        <v>South</v>
      </c>
      <c r="C2140" s="3" t="s">
        <v>267</v>
      </c>
      <c r="D2140" s="3" t="str">
        <f>INDEX(Port_Type!$B$2:$B$227,MATCH(TRIM(C2140),Port_Type!$A$2:$A$227,0))</f>
        <v>Inland ICD / CFS</v>
      </c>
      <c r="E2140" s="3" t="s">
        <v>48</v>
      </c>
      <c r="F2140" s="3" t="str">
        <f>INDEX(Product_Category!$B$2:$B$45,MATCH(TRIM(E2140),Product_Category!$A$2:$A$45,0))</f>
        <v>Processed Foods</v>
      </c>
      <c r="G2140" s="4">
        <v>0.13</v>
      </c>
      <c r="H2140" s="4">
        <v>0.02</v>
      </c>
      <c r="I2140" s="4">
        <v>0</v>
      </c>
      <c r="J2140" s="4">
        <v>63.52</v>
      </c>
      <c r="K2140" s="4">
        <v>7.34</v>
      </c>
      <c r="L2140" s="4">
        <v>0</v>
      </c>
      <c r="M2140" s="4">
        <f t="shared" si="99"/>
        <v>-0.11</v>
      </c>
      <c r="N2140" s="4">
        <f t="shared" si="100"/>
        <v>-56.180000000000007</v>
      </c>
      <c r="O2140" s="4">
        <f t="shared" si="101"/>
        <v>-0.02</v>
      </c>
      <c r="P2140" s="3" t="s">
        <v>19</v>
      </c>
    </row>
    <row r="2141" spans="1:16" x14ac:dyDescent="0.35">
      <c r="A2141" s="3" t="s">
        <v>40</v>
      </c>
      <c r="B2141" s="3" t="str">
        <f>INDEX(State_Region!$B$2:$B$26,MATCH(TRIM(A2141),State_Region!$A$2:$A$26,0))</f>
        <v>South</v>
      </c>
      <c r="C2141" s="3" t="s">
        <v>267</v>
      </c>
      <c r="D2141" s="3" t="str">
        <f>INDEX(Port_Type!$B$2:$B$227,MATCH(TRIM(C2141),Port_Type!$A$2:$A$227,0))</f>
        <v>Inland ICD / CFS</v>
      </c>
      <c r="E2141" s="3" t="s">
        <v>59</v>
      </c>
      <c r="F2141" s="3" t="str">
        <f>INDEX(Product_Category!$B$2:$B$45,MATCH(TRIM(E2141),Product_Category!$A$2:$A$45,0))</f>
        <v>Processed Foods</v>
      </c>
      <c r="G2141" s="4">
        <v>0.01</v>
      </c>
      <c r="H2141" s="4">
        <v>0</v>
      </c>
      <c r="I2141" s="4">
        <v>0</v>
      </c>
      <c r="J2141" s="4">
        <v>2.44</v>
      </c>
      <c r="K2141" s="4">
        <v>0</v>
      </c>
      <c r="L2141" s="4">
        <v>0</v>
      </c>
      <c r="M2141" s="4">
        <f t="shared" si="99"/>
        <v>-0.01</v>
      </c>
      <c r="N2141" s="4">
        <f t="shared" si="100"/>
        <v>-2.44</v>
      </c>
      <c r="O2141" s="4">
        <f t="shared" si="101"/>
        <v>0</v>
      </c>
      <c r="P2141" s="3" t="s">
        <v>19</v>
      </c>
    </row>
    <row r="2142" spans="1:16" x14ac:dyDescent="0.35">
      <c r="A2142" s="3" t="s">
        <v>40</v>
      </c>
      <c r="B2142" s="3" t="str">
        <f>INDEX(State_Region!$B$2:$B$26,MATCH(TRIM(A2142),State_Region!$A$2:$A$26,0))</f>
        <v>South</v>
      </c>
      <c r="C2142" s="3" t="s">
        <v>267</v>
      </c>
      <c r="D2142" s="3" t="str">
        <f>INDEX(Port_Type!$B$2:$B$227,MATCH(TRIM(C2142),Port_Type!$A$2:$A$227,0))</f>
        <v>Inland ICD / CFS</v>
      </c>
      <c r="E2142" s="3" t="s">
        <v>72</v>
      </c>
      <c r="F2142" s="3" t="str">
        <f>INDEX(Product_Category!$B$2:$B$45,MATCH(TRIM(E2142),Product_Category!$A$2:$A$45,0))</f>
        <v>Dairy, Poultry &amp; Honey</v>
      </c>
      <c r="G2142" s="4">
        <v>0.32</v>
      </c>
      <c r="H2142" s="4">
        <v>0.03</v>
      </c>
      <c r="I2142" s="4">
        <v>0</v>
      </c>
      <c r="J2142" s="4">
        <v>42.2</v>
      </c>
      <c r="K2142" s="4">
        <v>3.17</v>
      </c>
      <c r="L2142" s="4">
        <v>0</v>
      </c>
      <c r="M2142" s="4">
        <f t="shared" si="99"/>
        <v>-0.29000000000000004</v>
      </c>
      <c r="N2142" s="4">
        <f t="shared" si="100"/>
        <v>-39.03</v>
      </c>
      <c r="O2142" s="4">
        <f t="shared" si="101"/>
        <v>-0.03</v>
      </c>
      <c r="P2142" s="3" t="s">
        <v>19</v>
      </c>
    </row>
    <row r="2143" spans="1:16" x14ac:dyDescent="0.35">
      <c r="A2143" s="3" t="s">
        <v>40</v>
      </c>
      <c r="B2143" s="3" t="str">
        <f>INDEX(State_Region!$B$2:$B$26,MATCH(TRIM(A2143),State_Region!$A$2:$A$26,0))</f>
        <v>South</v>
      </c>
      <c r="C2143" s="3" t="s">
        <v>267</v>
      </c>
      <c r="D2143" s="3" t="str">
        <f>INDEX(Port_Type!$B$2:$B$227,MATCH(TRIM(C2143),Port_Type!$A$2:$A$227,0))</f>
        <v>Inland ICD / CFS</v>
      </c>
      <c r="E2143" s="3" t="s">
        <v>53</v>
      </c>
      <c r="F2143" s="3" t="str">
        <f>INDEX(Product_Category!$B$2:$B$45,MATCH(TRIM(E2143),Product_Category!$A$2:$A$45,0))</f>
        <v>Processed Foods</v>
      </c>
      <c r="G2143" s="4">
        <v>0.18</v>
      </c>
      <c r="H2143" s="4">
        <v>0.01</v>
      </c>
      <c r="I2143" s="4">
        <v>0</v>
      </c>
      <c r="J2143" s="4">
        <v>141.72999999999999</v>
      </c>
      <c r="K2143" s="4">
        <v>3.5</v>
      </c>
      <c r="L2143" s="4">
        <v>0</v>
      </c>
      <c r="M2143" s="4">
        <f t="shared" si="99"/>
        <v>-0.16999999999999998</v>
      </c>
      <c r="N2143" s="4">
        <f t="shared" si="100"/>
        <v>-138.22999999999999</v>
      </c>
      <c r="O2143" s="4">
        <f t="shared" si="101"/>
        <v>-0.01</v>
      </c>
      <c r="P2143" s="3" t="s">
        <v>19</v>
      </c>
    </row>
    <row r="2144" spans="1:16" x14ac:dyDescent="0.35">
      <c r="A2144" s="3" t="s">
        <v>40</v>
      </c>
      <c r="B2144" s="3" t="str">
        <f>INDEX(State_Region!$B$2:$B$26,MATCH(TRIM(A2144),State_Region!$A$2:$A$26,0))</f>
        <v>South</v>
      </c>
      <c r="C2144" s="3" t="s">
        <v>267</v>
      </c>
      <c r="D2144" s="3" t="str">
        <f>INDEX(Port_Type!$B$2:$B$227,MATCH(TRIM(C2144),Port_Type!$A$2:$A$227,0))</f>
        <v>Inland ICD / CFS</v>
      </c>
      <c r="E2144" s="3" t="s">
        <v>65</v>
      </c>
      <c r="F2144" s="3" t="str">
        <f>INDEX(Product_Category!$B$2:$B$45,MATCH(TRIM(E2144),Product_Category!$A$2:$A$45,0))</f>
        <v>Cereals &amp; Grains</v>
      </c>
      <c r="G2144" s="4">
        <v>0.03</v>
      </c>
      <c r="H2144" s="4">
        <v>0</v>
      </c>
      <c r="I2144" s="4">
        <v>0</v>
      </c>
      <c r="J2144" s="4">
        <v>31.38</v>
      </c>
      <c r="K2144" s="4">
        <v>1</v>
      </c>
      <c r="L2144" s="4">
        <v>0</v>
      </c>
      <c r="M2144" s="4">
        <f t="shared" si="99"/>
        <v>-0.03</v>
      </c>
      <c r="N2144" s="4">
        <f t="shared" si="100"/>
        <v>-30.38</v>
      </c>
      <c r="O2144" s="4">
        <f t="shared" si="101"/>
        <v>0</v>
      </c>
      <c r="P2144" s="3" t="s">
        <v>19</v>
      </c>
    </row>
    <row r="2145" spans="1:16" x14ac:dyDescent="0.35">
      <c r="A2145" s="3" t="s">
        <v>40</v>
      </c>
      <c r="B2145" s="3" t="str">
        <f>INDEX(State_Region!$B$2:$B$26,MATCH(TRIM(A2145),State_Region!$A$2:$A$26,0))</f>
        <v>South</v>
      </c>
      <c r="C2145" s="3" t="s">
        <v>267</v>
      </c>
      <c r="D2145" s="3" t="str">
        <f>INDEX(Port_Type!$B$2:$B$227,MATCH(TRIM(C2145),Port_Type!$A$2:$A$227,0))</f>
        <v>Inland ICD / CFS</v>
      </c>
      <c r="E2145" s="3" t="s">
        <v>144</v>
      </c>
      <c r="F2145" s="3" t="str">
        <f>INDEX(Product_Category!$B$2:$B$45,MATCH(TRIM(E2145),Product_Category!$A$2:$A$45,0))</f>
        <v>Cereals &amp; Grains</v>
      </c>
      <c r="G2145" s="4">
        <v>0</v>
      </c>
      <c r="H2145" s="4">
        <v>0</v>
      </c>
      <c r="I2145" s="4">
        <v>0</v>
      </c>
      <c r="J2145" s="4">
        <v>1.93</v>
      </c>
      <c r="K2145" s="4">
        <v>0</v>
      </c>
      <c r="L2145" s="4">
        <v>0</v>
      </c>
      <c r="M2145" s="4">
        <f t="shared" si="99"/>
        <v>0</v>
      </c>
      <c r="N2145" s="4">
        <f t="shared" si="100"/>
        <v>-1.93</v>
      </c>
      <c r="O2145" s="4">
        <f t="shared" si="101"/>
        <v>0</v>
      </c>
      <c r="P2145" s="3" t="s">
        <v>19</v>
      </c>
    </row>
    <row r="2146" spans="1:16" x14ac:dyDescent="0.35">
      <c r="A2146" s="3" t="s">
        <v>40</v>
      </c>
      <c r="B2146" s="3" t="str">
        <f>INDEX(State_Region!$B$2:$B$26,MATCH(TRIM(A2146),State_Region!$A$2:$A$26,0))</f>
        <v>South</v>
      </c>
      <c r="C2146" s="3" t="s">
        <v>267</v>
      </c>
      <c r="D2146" s="3" t="str">
        <f>INDEX(Port_Type!$B$2:$B$227,MATCH(TRIM(C2146),Port_Type!$A$2:$A$227,0))</f>
        <v>Inland ICD / CFS</v>
      </c>
      <c r="E2146" s="3" t="s">
        <v>39</v>
      </c>
      <c r="F2146" s="3" t="str">
        <f>INDEX(Product_Category!$B$2:$B$45,MATCH(TRIM(E2146),Product_Category!$A$2:$A$45,0))</f>
        <v>Processed Foods</v>
      </c>
      <c r="G2146" s="4">
        <v>0.15</v>
      </c>
      <c r="H2146" s="4">
        <v>0</v>
      </c>
      <c r="I2146" s="4">
        <v>0</v>
      </c>
      <c r="J2146" s="4">
        <v>64.62</v>
      </c>
      <c r="K2146" s="4">
        <v>0.61</v>
      </c>
      <c r="L2146" s="4">
        <v>0</v>
      </c>
      <c r="M2146" s="4">
        <f t="shared" si="99"/>
        <v>-0.15</v>
      </c>
      <c r="N2146" s="4">
        <f t="shared" si="100"/>
        <v>-64.010000000000005</v>
      </c>
      <c r="O2146" s="4">
        <f t="shared" si="101"/>
        <v>0</v>
      </c>
      <c r="P2146" s="3" t="s">
        <v>19</v>
      </c>
    </row>
    <row r="2147" spans="1:16" x14ac:dyDescent="0.35">
      <c r="A2147" s="3" t="s">
        <v>40</v>
      </c>
      <c r="B2147" s="3" t="str">
        <f>INDEX(State_Region!$B$2:$B$26,MATCH(TRIM(A2147),State_Region!$A$2:$A$26,0))</f>
        <v>South</v>
      </c>
      <c r="C2147" s="3" t="s">
        <v>267</v>
      </c>
      <c r="D2147" s="3" t="str">
        <f>INDEX(Port_Type!$B$2:$B$227,MATCH(TRIM(C2147),Port_Type!$A$2:$A$227,0))</f>
        <v>Inland ICD / CFS</v>
      </c>
      <c r="E2147" s="3" t="s">
        <v>45</v>
      </c>
      <c r="F2147" s="3" t="str">
        <f>INDEX(Product_Category!$B$2:$B$45,MATCH(TRIM(E2147),Product_Category!$A$2:$A$45,0))</f>
        <v>Fresh Fruits &amp; Vegetables</v>
      </c>
      <c r="G2147" s="4">
        <v>0</v>
      </c>
      <c r="H2147" s="4">
        <v>0</v>
      </c>
      <c r="I2147" s="4">
        <v>0</v>
      </c>
      <c r="J2147" s="4">
        <v>0.2</v>
      </c>
      <c r="K2147" s="4">
        <v>0</v>
      </c>
      <c r="L2147" s="4">
        <v>0</v>
      </c>
      <c r="M2147" s="4">
        <f t="shared" si="99"/>
        <v>0</v>
      </c>
      <c r="N2147" s="4">
        <f t="shared" si="100"/>
        <v>-0.2</v>
      </c>
      <c r="O2147" s="4">
        <f t="shared" si="101"/>
        <v>0</v>
      </c>
      <c r="P2147" s="3" t="s">
        <v>19</v>
      </c>
    </row>
    <row r="2148" spans="1:16" x14ac:dyDescent="0.35">
      <c r="A2148" s="3" t="s">
        <v>40</v>
      </c>
      <c r="B2148" s="3" t="str">
        <f>INDEX(State_Region!$B$2:$B$26,MATCH(TRIM(A2148),State_Region!$A$2:$A$26,0))</f>
        <v>South</v>
      </c>
      <c r="C2148" s="3" t="s">
        <v>267</v>
      </c>
      <c r="D2148" s="3" t="str">
        <f>INDEX(Port_Type!$B$2:$B$227,MATCH(TRIM(C2148),Port_Type!$A$2:$A$227,0))</f>
        <v>Inland ICD / CFS</v>
      </c>
      <c r="E2148" s="3" t="s">
        <v>170</v>
      </c>
      <c r="F2148" s="3" t="str">
        <f>INDEX(Product_Category!$B$2:$B$45,MATCH(TRIM(E2148),Product_Category!$A$2:$A$45,0))</f>
        <v>Others</v>
      </c>
      <c r="G2148" s="4">
        <v>0.02</v>
      </c>
      <c r="H2148" s="4">
        <v>0</v>
      </c>
      <c r="I2148" s="4">
        <v>0</v>
      </c>
      <c r="J2148" s="4">
        <v>1.94</v>
      </c>
      <c r="K2148" s="4">
        <v>0</v>
      </c>
      <c r="L2148" s="4">
        <v>0</v>
      </c>
      <c r="M2148" s="4">
        <f t="shared" si="99"/>
        <v>-0.02</v>
      </c>
      <c r="N2148" s="4">
        <f t="shared" si="100"/>
        <v>-1.94</v>
      </c>
      <c r="O2148" s="4">
        <f t="shared" si="101"/>
        <v>0</v>
      </c>
      <c r="P2148" s="3" t="s">
        <v>19</v>
      </c>
    </row>
    <row r="2149" spans="1:16" x14ac:dyDescent="0.35">
      <c r="A2149" s="3" t="s">
        <v>40</v>
      </c>
      <c r="B2149" s="3" t="str">
        <f>INDEX(State_Region!$B$2:$B$26,MATCH(TRIM(A2149),State_Region!$A$2:$A$26,0))</f>
        <v>South</v>
      </c>
      <c r="C2149" s="3" t="s">
        <v>267</v>
      </c>
      <c r="D2149" s="3" t="str">
        <f>INDEX(Port_Type!$B$2:$B$227,MATCH(TRIM(C2149),Port_Type!$A$2:$A$227,0))</f>
        <v>Inland ICD / CFS</v>
      </c>
      <c r="E2149" s="3" t="s">
        <v>54</v>
      </c>
      <c r="F2149" s="3" t="str">
        <f>INDEX(Product_Category!$B$2:$B$45,MATCH(TRIM(E2149),Product_Category!$A$2:$A$45,0))</f>
        <v>Processed Foods</v>
      </c>
      <c r="G2149" s="4">
        <v>0.1</v>
      </c>
      <c r="H2149" s="4">
        <v>0</v>
      </c>
      <c r="I2149" s="4">
        <v>0</v>
      </c>
      <c r="J2149" s="4">
        <v>54.65</v>
      </c>
      <c r="K2149" s="4">
        <v>0.2</v>
      </c>
      <c r="L2149" s="4">
        <v>0</v>
      </c>
      <c r="M2149" s="4">
        <f t="shared" si="99"/>
        <v>-0.1</v>
      </c>
      <c r="N2149" s="4">
        <f t="shared" si="100"/>
        <v>-54.449999999999996</v>
      </c>
      <c r="O2149" s="4">
        <f t="shared" si="101"/>
        <v>0</v>
      </c>
      <c r="P2149" s="3" t="s">
        <v>19</v>
      </c>
    </row>
    <row r="2150" spans="1:16" x14ac:dyDescent="0.35">
      <c r="A2150" s="3" t="s">
        <v>40</v>
      </c>
      <c r="B2150" s="3" t="str">
        <f>INDEX(State_Region!$B$2:$B$26,MATCH(TRIM(A2150),State_Region!$A$2:$A$26,0))</f>
        <v>South</v>
      </c>
      <c r="C2150" s="3" t="s">
        <v>267</v>
      </c>
      <c r="D2150" s="3" t="str">
        <f>INDEX(Port_Type!$B$2:$B$227,MATCH(TRIM(C2150),Port_Type!$A$2:$A$227,0))</f>
        <v>Inland ICD / CFS</v>
      </c>
      <c r="E2150" s="3" t="s">
        <v>42</v>
      </c>
      <c r="F2150" s="3" t="str">
        <f>INDEX(Product_Category!$B$2:$B$45,MATCH(TRIM(E2150),Product_Category!$A$2:$A$45,0))</f>
        <v>Processed Foods</v>
      </c>
      <c r="G2150" s="4">
        <v>0</v>
      </c>
      <c r="H2150" s="4">
        <v>0</v>
      </c>
      <c r="I2150" s="4">
        <v>0</v>
      </c>
      <c r="J2150" s="4">
        <v>1.73</v>
      </c>
      <c r="K2150" s="4">
        <v>0</v>
      </c>
      <c r="L2150" s="4">
        <v>0</v>
      </c>
      <c r="M2150" s="4">
        <f t="shared" si="99"/>
        <v>0</v>
      </c>
      <c r="N2150" s="4">
        <f t="shared" si="100"/>
        <v>-1.73</v>
      </c>
      <c r="O2150" s="4">
        <f t="shared" si="101"/>
        <v>0</v>
      </c>
      <c r="P2150" s="3" t="s">
        <v>19</v>
      </c>
    </row>
    <row r="2151" spans="1:16" x14ac:dyDescent="0.35">
      <c r="A2151" s="3" t="s">
        <v>40</v>
      </c>
      <c r="B2151" s="3" t="str">
        <f>INDEX(State_Region!$B$2:$B$26,MATCH(TRIM(A2151),State_Region!$A$2:$A$26,0))</f>
        <v>South</v>
      </c>
      <c r="C2151" s="3" t="s">
        <v>267</v>
      </c>
      <c r="D2151" s="3" t="str">
        <f>INDEX(Port_Type!$B$2:$B$227,MATCH(TRIM(C2151),Port_Type!$A$2:$A$227,0))</f>
        <v>Inland ICD / CFS</v>
      </c>
      <c r="E2151" s="3" t="s">
        <v>33</v>
      </c>
      <c r="F2151" s="3" t="str">
        <f>INDEX(Product_Category!$B$2:$B$45,MATCH(TRIM(E2151),Product_Category!$A$2:$A$45,0))</f>
        <v>Pulses</v>
      </c>
      <c r="G2151" s="4">
        <v>0.01</v>
      </c>
      <c r="H2151" s="4">
        <v>0</v>
      </c>
      <c r="I2151" s="4">
        <v>0</v>
      </c>
      <c r="J2151" s="4">
        <v>5.63</v>
      </c>
      <c r="K2151" s="4">
        <v>0</v>
      </c>
      <c r="L2151" s="4">
        <v>0</v>
      </c>
      <c r="M2151" s="4">
        <f t="shared" si="99"/>
        <v>-0.01</v>
      </c>
      <c r="N2151" s="4">
        <f t="shared" si="100"/>
        <v>-5.63</v>
      </c>
      <c r="O2151" s="4">
        <f t="shared" si="101"/>
        <v>0</v>
      </c>
      <c r="P2151" s="3" t="s">
        <v>19</v>
      </c>
    </row>
    <row r="2152" spans="1:16" x14ac:dyDescent="0.35">
      <c r="A2152" s="3" t="s">
        <v>77</v>
      </c>
      <c r="B2152" s="3" t="str">
        <f>INDEX(State_Region!$B$2:$B$26,MATCH(TRIM(A2152),State_Region!$A$2:$A$26,0))</f>
        <v>South</v>
      </c>
      <c r="C2152" s="3" t="s">
        <v>78</v>
      </c>
      <c r="D2152" s="3" t="str">
        <f>INDEX(Port_Type!$B$2:$B$227,MATCH(TRIM(C2152),Port_Type!$A$2:$A$227,0))</f>
        <v>Sea Port</v>
      </c>
      <c r="E2152" s="3" t="s">
        <v>174</v>
      </c>
      <c r="F2152" s="3" t="str">
        <f>INDEX(Product_Category!$B$2:$B$45,MATCH(TRIM(E2152),Product_Category!$A$2:$A$45,0))</f>
        <v>Dairy, Poultry &amp; Honey</v>
      </c>
      <c r="G2152" s="4">
        <v>0.09</v>
      </c>
      <c r="H2152" s="4">
        <v>0</v>
      </c>
      <c r="I2152" s="4">
        <v>0</v>
      </c>
      <c r="J2152" s="4">
        <v>7.38</v>
      </c>
      <c r="K2152" s="4">
        <v>0</v>
      </c>
      <c r="L2152" s="4">
        <v>0</v>
      </c>
      <c r="M2152" s="4">
        <f t="shared" si="99"/>
        <v>-0.09</v>
      </c>
      <c r="N2152" s="4">
        <f t="shared" si="100"/>
        <v>-7.38</v>
      </c>
      <c r="O2152" s="4">
        <f t="shared" si="101"/>
        <v>0</v>
      </c>
      <c r="P2152" s="3" t="s">
        <v>19</v>
      </c>
    </row>
    <row r="2153" spans="1:16" x14ac:dyDescent="0.35">
      <c r="A2153" s="3" t="s">
        <v>40</v>
      </c>
      <c r="B2153" s="3" t="str">
        <f>INDEX(State_Region!$B$2:$B$26,MATCH(TRIM(A2153),State_Region!$A$2:$A$26,0))</f>
        <v>South</v>
      </c>
      <c r="C2153" s="3" t="s">
        <v>183</v>
      </c>
      <c r="D2153" s="3" t="str">
        <f>INDEX(Port_Type!$B$2:$B$227,MATCH(TRIM(C2153),Port_Type!$A$2:$A$227,0))</f>
        <v>Inland ICD / CFS</v>
      </c>
      <c r="E2153" s="3" t="s">
        <v>22</v>
      </c>
      <c r="F2153" s="3" t="str">
        <f>INDEX(Product_Category!$B$2:$B$45,MATCH(TRIM(E2153),Product_Category!$A$2:$A$45,0))</f>
        <v>Meat &amp; Animal Products</v>
      </c>
      <c r="G2153" s="4">
        <v>0</v>
      </c>
      <c r="H2153" s="4">
        <v>0.7</v>
      </c>
      <c r="I2153" s="4">
        <v>0</v>
      </c>
      <c r="J2153" s="4">
        <v>0</v>
      </c>
      <c r="K2153" s="4">
        <v>205.28</v>
      </c>
      <c r="L2153" s="4">
        <v>0</v>
      </c>
      <c r="M2153" s="4">
        <f t="shared" si="99"/>
        <v>0.7</v>
      </c>
      <c r="N2153" s="4">
        <f t="shared" si="100"/>
        <v>205.28</v>
      </c>
      <c r="O2153" s="4">
        <f t="shared" si="101"/>
        <v>-0.7</v>
      </c>
      <c r="P2153" s="3" t="s">
        <v>19</v>
      </c>
    </row>
    <row r="2154" spans="1:16" x14ac:dyDescent="0.35">
      <c r="A2154" s="3" t="s">
        <v>77</v>
      </c>
      <c r="B2154" s="3" t="str">
        <f>INDEX(State_Region!$B$2:$B$26,MATCH(TRIM(A2154),State_Region!$A$2:$A$26,0))</f>
        <v>South</v>
      </c>
      <c r="C2154" s="3" t="s">
        <v>132</v>
      </c>
      <c r="D2154" s="3" t="str">
        <f>INDEX(Port_Type!$B$2:$B$227,MATCH(TRIM(C2154),Port_Type!$A$2:$A$227,0))</f>
        <v>Air Cargo</v>
      </c>
      <c r="E2154" s="3" t="s">
        <v>93</v>
      </c>
      <c r="F2154" s="3" t="str">
        <f>INDEX(Product_Category!$B$2:$B$45,MATCH(TRIM(E2154),Product_Category!$A$2:$A$45,0))</f>
        <v>Meat &amp; Animal Products</v>
      </c>
      <c r="G2154" s="4">
        <v>0</v>
      </c>
      <c r="H2154" s="4">
        <v>0</v>
      </c>
      <c r="I2154" s="4">
        <v>0</v>
      </c>
      <c r="J2154" s="4">
        <v>0.14000000000000001</v>
      </c>
      <c r="K2154" s="4">
        <v>0</v>
      </c>
      <c r="L2154" s="4">
        <v>0</v>
      </c>
      <c r="M2154" s="4">
        <f t="shared" si="99"/>
        <v>0</v>
      </c>
      <c r="N2154" s="4">
        <f t="shared" si="100"/>
        <v>-0.14000000000000001</v>
      </c>
      <c r="O2154" s="4">
        <f t="shared" si="101"/>
        <v>0</v>
      </c>
      <c r="P2154" s="3" t="s">
        <v>19</v>
      </c>
    </row>
    <row r="2155" spans="1:16" x14ac:dyDescent="0.35">
      <c r="A2155" s="3" t="s">
        <v>40</v>
      </c>
      <c r="B2155" s="3" t="str">
        <f>INDEX(State_Region!$B$2:$B$26,MATCH(TRIM(A2155),State_Region!$A$2:$A$26,0))</f>
        <v>South</v>
      </c>
      <c r="C2155" s="3" t="s">
        <v>183</v>
      </c>
      <c r="D2155" s="3" t="str">
        <f>INDEX(Port_Type!$B$2:$B$227,MATCH(TRIM(C2155),Port_Type!$A$2:$A$227,0))</f>
        <v>Inland ICD / CFS</v>
      </c>
      <c r="E2155" s="3" t="s">
        <v>179</v>
      </c>
      <c r="F2155" s="3" t="str">
        <f>INDEX(Product_Category!$B$2:$B$45,MATCH(TRIM(E2155),Product_Category!$A$2:$A$45,0))</f>
        <v>Nuts &amp; Oilseeds</v>
      </c>
      <c r="G2155" s="4">
        <v>0</v>
      </c>
      <c r="H2155" s="4">
        <v>0.43</v>
      </c>
      <c r="I2155" s="4">
        <v>0</v>
      </c>
      <c r="J2155" s="4">
        <v>0</v>
      </c>
      <c r="K2155" s="4">
        <v>376.88</v>
      </c>
      <c r="L2155" s="4">
        <v>0</v>
      </c>
      <c r="M2155" s="4">
        <f t="shared" si="99"/>
        <v>0.43</v>
      </c>
      <c r="N2155" s="4">
        <f t="shared" si="100"/>
        <v>376.88</v>
      </c>
      <c r="O2155" s="4">
        <f t="shared" si="101"/>
        <v>-0.43</v>
      </c>
      <c r="P2155" s="3" t="s">
        <v>19</v>
      </c>
    </row>
    <row r="2156" spans="1:16" x14ac:dyDescent="0.35">
      <c r="A2156" s="3" t="s">
        <v>77</v>
      </c>
      <c r="B2156" s="3" t="str">
        <f>INDEX(State_Region!$B$2:$B$26,MATCH(TRIM(A2156),State_Region!$A$2:$A$26,0))</f>
        <v>South</v>
      </c>
      <c r="C2156" s="3" t="s">
        <v>132</v>
      </c>
      <c r="D2156" s="3" t="str">
        <f>INDEX(Port_Type!$B$2:$B$227,MATCH(TRIM(C2156),Port_Type!$A$2:$A$227,0))</f>
        <v>Air Cargo</v>
      </c>
      <c r="E2156" s="3" t="s">
        <v>221</v>
      </c>
      <c r="F2156" s="3" t="str">
        <f>INDEX(Product_Category!$B$2:$B$45,MATCH(TRIM(E2156),Product_Category!$A$2:$A$45,0))</f>
        <v>Meat &amp; Animal Products</v>
      </c>
      <c r="G2156" s="4">
        <v>0.01</v>
      </c>
      <c r="H2156" s="4">
        <v>0</v>
      </c>
      <c r="I2156" s="4">
        <v>0</v>
      </c>
      <c r="J2156" s="4">
        <v>0.5</v>
      </c>
      <c r="K2156" s="4">
        <v>0</v>
      </c>
      <c r="L2156" s="4">
        <v>0</v>
      </c>
      <c r="M2156" s="4">
        <f t="shared" si="99"/>
        <v>-0.01</v>
      </c>
      <c r="N2156" s="4">
        <f t="shared" si="100"/>
        <v>-0.5</v>
      </c>
      <c r="O2156" s="4">
        <f t="shared" si="101"/>
        <v>0</v>
      </c>
      <c r="P2156" s="3" t="s">
        <v>19</v>
      </c>
    </row>
    <row r="2157" spans="1:16" x14ac:dyDescent="0.35">
      <c r="A2157" s="3" t="s">
        <v>77</v>
      </c>
      <c r="B2157" s="3" t="str">
        <f>INDEX(State_Region!$B$2:$B$26,MATCH(TRIM(A2157),State_Region!$A$2:$A$26,0))</f>
        <v>South</v>
      </c>
      <c r="C2157" s="3" t="s">
        <v>132</v>
      </c>
      <c r="D2157" s="3" t="str">
        <f>INDEX(Port_Type!$B$2:$B$227,MATCH(TRIM(C2157),Port_Type!$A$2:$A$227,0))</f>
        <v>Air Cargo</v>
      </c>
      <c r="E2157" s="3" t="s">
        <v>128</v>
      </c>
      <c r="F2157" s="3" t="str">
        <f>INDEX(Product_Category!$B$2:$B$45,MATCH(TRIM(E2157),Product_Category!$A$2:$A$45,0))</f>
        <v>Dairy, Poultry &amp; Honey</v>
      </c>
      <c r="G2157" s="4">
        <v>7.0000000000000007E-2</v>
      </c>
      <c r="H2157" s="4">
        <v>0</v>
      </c>
      <c r="I2157" s="4">
        <v>0</v>
      </c>
      <c r="J2157" s="4">
        <v>3.16</v>
      </c>
      <c r="K2157" s="4">
        <v>0</v>
      </c>
      <c r="L2157" s="4">
        <v>0</v>
      </c>
      <c r="M2157" s="4">
        <f t="shared" si="99"/>
        <v>-7.0000000000000007E-2</v>
      </c>
      <c r="N2157" s="4">
        <f t="shared" si="100"/>
        <v>-3.16</v>
      </c>
      <c r="O2157" s="4">
        <f t="shared" si="101"/>
        <v>0</v>
      </c>
      <c r="P2157" s="3" t="s">
        <v>19</v>
      </c>
    </row>
    <row r="2158" spans="1:16" x14ac:dyDescent="0.35">
      <c r="A2158" s="3" t="s">
        <v>40</v>
      </c>
      <c r="B2158" s="3" t="str">
        <f>INDEX(State_Region!$B$2:$B$26,MATCH(TRIM(A2158),State_Region!$A$2:$A$26,0))</f>
        <v>South</v>
      </c>
      <c r="C2158" s="3" t="s">
        <v>183</v>
      </c>
      <c r="D2158" s="3" t="str">
        <f>INDEX(Port_Type!$B$2:$B$227,MATCH(TRIM(C2158),Port_Type!$A$2:$A$227,0))</f>
        <v>Inland ICD / CFS</v>
      </c>
      <c r="E2158" s="3" t="s">
        <v>69</v>
      </c>
      <c r="F2158" s="3" t="str">
        <f>INDEX(Product_Category!$B$2:$B$45,MATCH(TRIM(E2158),Product_Category!$A$2:$A$45,0))</f>
        <v>Others</v>
      </c>
      <c r="G2158" s="4">
        <v>0</v>
      </c>
      <c r="H2158" s="4">
        <v>0</v>
      </c>
      <c r="I2158" s="4">
        <v>0</v>
      </c>
      <c r="J2158" s="4">
        <v>0.09</v>
      </c>
      <c r="K2158" s="4">
        <v>0.09</v>
      </c>
      <c r="L2158" s="4">
        <v>0</v>
      </c>
      <c r="M2158" s="4">
        <f t="shared" si="99"/>
        <v>0</v>
      </c>
      <c r="N2158" s="4">
        <f t="shared" si="100"/>
        <v>0</v>
      </c>
      <c r="O2158" s="4">
        <f t="shared" si="101"/>
        <v>0</v>
      </c>
      <c r="P2158" s="3" t="s">
        <v>19</v>
      </c>
    </row>
    <row r="2159" spans="1:16" x14ac:dyDescent="0.35">
      <c r="A2159" s="3" t="s">
        <v>40</v>
      </c>
      <c r="B2159" s="3" t="str">
        <f>INDEX(State_Region!$B$2:$B$26,MATCH(TRIM(A2159),State_Region!$A$2:$A$26,0))</f>
        <v>South</v>
      </c>
      <c r="C2159" s="3" t="s">
        <v>183</v>
      </c>
      <c r="D2159" s="3" t="str">
        <f>INDEX(Port_Type!$B$2:$B$227,MATCH(TRIM(C2159),Port_Type!$A$2:$A$227,0))</f>
        <v>Inland ICD / CFS</v>
      </c>
      <c r="E2159" s="3" t="s">
        <v>51</v>
      </c>
      <c r="F2159" s="3" t="str">
        <f>INDEX(Product_Category!$B$2:$B$45,MATCH(TRIM(E2159),Product_Category!$A$2:$A$45,0))</f>
        <v>Nuts &amp; Oilseeds</v>
      </c>
      <c r="G2159" s="4">
        <v>0</v>
      </c>
      <c r="H2159" s="4">
        <v>0</v>
      </c>
      <c r="I2159" s="4">
        <v>0</v>
      </c>
      <c r="J2159" s="4">
        <v>0.03</v>
      </c>
      <c r="K2159" s="4">
        <v>0.04</v>
      </c>
      <c r="L2159" s="4">
        <v>0</v>
      </c>
      <c r="M2159" s="4">
        <f t="shared" si="99"/>
        <v>0</v>
      </c>
      <c r="N2159" s="4">
        <f t="shared" si="100"/>
        <v>1.0000000000000002E-2</v>
      </c>
      <c r="O2159" s="4">
        <f t="shared" si="101"/>
        <v>0</v>
      </c>
      <c r="P2159" s="3" t="s">
        <v>19</v>
      </c>
    </row>
    <row r="2160" spans="1:16" x14ac:dyDescent="0.35">
      <c r="A2160" s="3" t="s">
        <v>40</v>
      </c>
      <c r="B2160" s="3" t="str">
        <f>INDEX(State_Region!$B$2:$B$26,MATCH(TRIM(A2160),State_Region!$A$2:$A$26,0))</f>
        <v>South</v>
      </c>
      <c r="C2160" s="3" t="s">
        <v>183</v>
      </c>
      <c r="D2160" s="3" t="str">
        <f>INDEX(Port_Type!$B$2:$B$227,MATCH(TRIM(C2160),Port_Type!$A$2:$A$227,0))</f>
        <v>Inland ICD / CFS</v>
      </c>
      <c r="E2160" s="3" t="s">
        <v>151</v>
      </c>
      <c r="F2160" s="3" t="str">
        <f>INDEX(Product_Category!$B$2:$B$45,MATCH(TRIM(E2160),Product_Category!$A$2:$A$45,0))</f>
        <v>Processed Foods</v>
      </c>
      <c r="G2160" s="4">
        <v>0</v>
      </c>
      <c r="H2160" s="4">
        <v>0</v>
      </c>
      <c r="I2160" s="4">
        <v>0</v>
      </c>
      <c r="J2160" s="4">
        <v>0</v>
      </c>
      <c r="K2160" s="4">
        <v>1.72</v>
      </c>
      <c r="L2160" s="4">
        <v>0</v>
      </c>
      <c r="M2160" s="4">
        <f t="shared" si="99"/>
        <v>0</v>
      </c>
      <c r="N2160" s="4">
        <f t="shared" si="100"/>
        <v>1.72</v>
      </c>
      <c r="O2160" s="4">
        <f t="shared" si="101"/>
        <v>0</v>
      </c>
      <c r="P2160" s="3" t="s">
        <v>19</v>
      </c>
    </row>
    <row r="2161" spans="1:16" x14ac:dyDescent="0.35">
      <c r="A2161" s="3" t="s">
        <v>77</v>
      </c>
      <c r="B2161" s="3" t="str">
        <f>INDEX(State_Region!$B$2:$B$26,MATCH(TRIM(A2161),State_Region!$A$2:$A$26,0))</f>
        <v>South</v>
      </c>
      <c r="C2161" s="3" t="s">
        <v>132</v>
      </c>
      <c r="D2161" s="3" t="str">
        <f>INDEX(Port_Type!$B$2:$B$227,MATCH(TRIM(C2161),Port_Type!$A$2:$A$227,0))</f>
        <v>Air Cargo</v>
      </c>
      <c r="E2161" s="3" t="s">
        <v>126</v>
      </c>
      <c r="F2161" s="3" t="str">
        <f>INDEX(Product_Category!$B$2:$B$45,MATCH(TRIM(E2161),Product_Category!$A$2:$A$45,0))</f>
        <v>Cereals &amp; Grains</v>
      </c>
      <c r="G2161" s="4">
        <v>0</v>
      </c>
      <c r="H2161" s="4">
        <v>0</v>
      </c>
      <c r="I2161" s="4">
        <v>0</v>
      </c>
      <c r="J2161" s="4">
        <v>0.05</v>
      </c>
      <c r="K2161" s="4">
        <v>0.92</v>
      </c>
      <c r="L2161" s="4">
        <v>0</v>
      </c>
      <c r="M2161" s="4">
        <f t="shared" si="99"/>
        <v>0</v>
      </c>
      <c r="N2161" s="4">
        <f t="shared" si="100"/>
        <v>0.87</v>
      </c>
      <c r="O2161" s="4">
        <f t="shared" si="101"/>
        <v>0</v>
      </c>
      <c r="P2161" s="3" t="s">
        <v>19</v>
      </c>
    </row>
    <row r="2162" spans="1:16" x14ac:dyDescent="0.35">
      <c r="A2162" s="3" t="s">
        <v>77</v>
      </c>
      <c r="B2162" s="3" t="str">
        <f>INDEX(State_Region!$B$2:$B$26,MATCH(TRIM(A2162),State_Region!$A$2:$A$26,0))</f>
        <v>South</v>
      </c>
      <c r="C2162" s="3" t="s">
        <v>132</v>
      </c>
      <c r="D2162" s="3" t="str">
        <f>INDEX(Port_Type!$B$2:$B$227,MATCH(TRIM(C2162),Port_Type!$A$2:$A$227,0))</f>
        <v>Air Cargo</v>
      </c>
      <c r="E2162" s="3" t="s">
        <v>144</v>
      </c>
      <c r="F2162" s="3" t="str">
        <f>INDEX(Product_Category!$B$2:$B$45,MATCH(TRIM(E2162),Product_Category!$A$2:$A$45,0))</f>
        <v>Cereals &amp; Grains</v>
      </c>
      <c r="G2162" s="4">
        <v>0</v>
      </c>
      <c r="H2162" s="4">
        <v>0</v>
      </c>
      <c r="I2162" s="4">
        <v>0</v>
      </c>
      <c r="J2162" s="4">
        <v>0</v>
      </c>
      <c r="K2162" s="4">
        <v>0.42</v>
      </c>
      <c r="L2162" s="4">
        <v>0</v>
      </c>
      <c r="M2162" s="4">
        <f t="shared" si="99"/>
        <v>0</v>
      </c>
      <c r="N2162" s="4">
        <f t="shared" si="100"/>
        <v>0.42</v>
      </c>
      <c r="O2162" s="4">
        <f t="shared" si="101"/>
        <v>0</v>
      </c>
      <c r="P2162" s="3" t="s">
        <v>19</v>
      </c>
    </row>
    <row r="2163" spans="1:16" x14ac:dyDescent="0.35">
      <c r="A2163" s="3" t="s">
        <v>40</v>
      </c>
      <c r="B2163" s="3" t="str">
        <f>INDEX(State_Region!$B$2:$B$26,MATCH(TRIM(A2163),State_Region!$A$2:$A$26,0))</f>
        <v>South</v>
      </c>
      <c r="C2163" s="3" t="s">
        <v>183</v>
      </c>
      <c r="D2163" s="3" t="str">
        <f>INDEX(Port_Type!$B$2:$B$227,MATCH(TRIM(C2163),Port_Type!$A$2:$A$227,0))</f>
        <v>Inland ICD / CFS</v>
      </c>
      <c r="E2163" s="3" t="s">
        <v>118</v>
      </c>
      <c r="F2163" s="3" t="str">
        <f>INDEX(Product_Category!$B$2:$B$45,MATCH(TRIM(E2163),Product_Category!$A$2:$A$45,0))</f>
        <v>Dairy, Poultry &amp; Honey</v>
      </c>
      <c r="G2163" s="4">
        <v>0</v>
      </c>
      <c r="H2163" s="4">
        <v>0</v>
      </c>
      <c r="I2163" s="4">
        <v>0</v>
      </c>
      <c r="J2163" s="4">
        <v>0.17</v>
      </c>
      <c r="K2163" s="4">
        <v>7.0000000000000007E-2</v>
      </c>
      <c r="L2163" s="4">
        <v>0</v>
      </c>
      <c r="M2163" s="4">
        <f t="shared" si="99"/>
        <v>0</v>
      </c>
      <c r="N2163" s="4">
        <f t="shared" si="100"/>
        <v>-0.1</v>
      </c>
      <c r="O2163" s="4">
        <f t="shared" si="101"/>
        <v>0</v>
      </c>
      <c r="P2163" s="3" t="s">
        <v>19</v>
      </c>
    </row>
    <row r="2164" spans="1:16" x14ac:dyDescent="0.35">
      <c r="A2164" s="3" t="s">
        <v>77</v>
      </c>
      <c r="B2164" s="3" t="str">
        <f>INDEX(State_Region!$B$2:$B$26,MATCH(TRIM(A2164),State_Region!$A$2:$A$26,0))</f>
        <v>South</v>
      </c>
      <c r="C2164" s="3" t="s">
        <v>132</v>
      </c>
      <c r="D2164" s="3" t="str">
        <f>INDEX(Port_Type!$B$2:$B$227,MATCH(TRIM(C2164),Port_Type!$A$2:$A$227,0))</f>
        <v>Air Cargo</v>
      </c>
      <c r="E2164" s="3" t="s">
        <v>151</v>
      </c>
      <c r="F2164" s="3" t="str">
        <f>INDEX(Product_Category!$B$2:$B$45,MATCH(TRIM(E2164),Product_Category!$A$2:$A$45,0))</f>
        <v>Processed Foods</v>
      </c>
      <c r="G2164" s="4">
        <v>0</v>
      </c>
      <c r="H2164" s="4">
        <v>0</v>
      </c>
      <c r="I2164" s="4">
        <v>0</v>
      </c>
      <c r="J2164" s="4">
        <v>7.0000000000000007E-2</v>
      </c>
      <c r="K2164" s="4">
        <v>0</v>
      </c>
      <c r="L2164" s="4">
        <v>0</v>
      </c>
      <c r="M2164" s="4">
        <f t="shared" si="99"/>
        <v>0</v>
      </c>
      <c r="N2164" s="4">
        <f t="shared" si="100"/>
        <v>-7.0000000000000007E-2</v>
      </c>
      <c r="O2164" s="4">
        <f t="shared" si="101"/>
        <v>0</v>
      </c>
      <c r="P2164" s="3" t="s">
        <v>19</v>
      </c>
    </row>
    <row r="2165" spans="1:16" x14ac:dyDescent="0.35">
      <c r="A2165" s="3" t="s">
        <v>40</v>
      </c>
      <c r="B2165" s="3" t="str">
        <f>INDEX(State_Region!$B$2:$B$26,MATCH(TRIM(A2165),State_Region!$A$2:$A$26,0))</f>
        <v>South</v>
      </c>
      <c r="C2165" s="3" t="s">
        <v>183</v>
      </c>
      <c r="D2165" s="3" t="str">
        <f>INDEX(Port_Type!$B$2:$B$227,MATCH(TRIM(C2165),Port_Type!$A$2:$A$227,0))</f>
        <v>Inland ICD / CFS</v>
      </c>
      <c r="E2165" s="3" t="s">
        <v>170</v>
      </c>
      <c r="F2165" s="3" t="str">
        <f>INDEX(Product_Category!$B$2:$B$45,MATCH(TRIM(E2165),Product_Category!$A$2:$A$45,0))</f>
        <v>Others</v>
      </c>
      <c r="G2165" s="4">
        <v>0.08</v>
      </c>
      <c r="H2165" s="4">
        <v>0.02</v>
      </c>
      <c r="I2165" s="4">
        <v>0</v>
      </c>
      <c r="J2165" s="4">
        <v>18.32</v>
      </c>
      <c r="K2165" s="4">
        <v>1.41</v>
      </c>
      <c r="L2165" s="4">
        <v>0</v>
      </c>
      <c r="M2165" s="4">
        <f t="shared" si="99"/>
        <v>-0.06</v>
      </c>
      <c r="N2165" s="4">
        <f t="shared" si="100"/>
        <v>-16.91</v>
      </c>
      <c r="O2165" s="4">
        <f t="shared" si="101"/>
        <v>-0.02</v>
      </c>
      <c r="P2165" s="3" t="s">
        <v>19</v>
      </c>
    </row>
    <row r="2166" spans="1:16" x14ac:dyDescent="0.35">
      <c r="A2166" s="3" t="s">
        <v>77</v>
      </c>
      <c r="B2166" s="3" t="str">
        <f>INDEX(State_Region!$B$2:$B$26,MATCH(TRIM(A2166),State_Region!$A$2:$A$26,0))</f>
        <v>South</v>
      </c>
      <c r="C2166" s="3" t="s">
        <v>132</v>
      </c>
      <c r="D2166" s="3" t="str">
        <f>INDEX(Port_Type!$B$2:$B$227,MATCH(TRIM(C2166),Port_Type!$A$2:$A$227,0))</f>
        <v>Air Cargo</v>
      </c>
      <c r="E2166" s="3" t="s">
        <v>62</v>
      </c>
      <c r="F2166" s="3" t="str">
        <f>INDEX(Product_Category!$B$2:$B$45,MATCH(TRIM(E2166),Product_Category!$A$2:$A$45,0))</f>
        <v>Cereals &amp; Grains</v>
      </c>
      <c r="G2166" s="4">
        <v>0</v>
      </c>
      <c r="H2166" s="4">
        <v>0</v>
      </c>
      <c r="I2166" s="4">
        <v>0</v>
      </c>
      <c r="J2166" s="4">
        <v>0</v>
      </c>
      <c r="K2166" s="4">
        <v>0.15</v>
      </c>
      <c r="L2166" s="4">
        <v>0</v>
      </c>
      <c r="M2166" s="4">
        <f t="shared" si="99"/>
        <v>0</v>
      </c>
      <c r="N2166" s="4">
        <f t="shared" si="100"/>
        <v>0.15</v>
      </c>
      <c r="O2166" s="4">
        <f t="shared" si="101"/>
        <v>0</v>
      </c>
      <c r="P2166" s="3" t="s">
        <v>19</v>
      </c>
    </row>
    <row r="2167" spans="1:16" x14ac:dyDescent="0.35">
      <c r="A2167" s="3" t="s">
        <v>77</v>
      </c>
      <c r="B2167" s="3" t="str">
        <f>INDEX(State_Region!$B$2:$B$26,MATCH(TRIM(A2167),State_Region!$A$2:$A$26,0))</f>
        <v>South</v>
      </c>
      <c r="C2167" s="3" t="s">
        <v>132</v>
      </c>
      <c r="D2167" s="3" t="str">
        <f>INDEX(Port_Type!$B$2:$B$227,MATCH(TRIM(C2167),Port_Type!$A$2:$A$227,0))</f>
        <v>Air Cargo</v>
      </c>
      <c r="E2167" s="3" t="s">
        <v>46</v>
      </c>
      <c r="F2167" s="3" t="str">
        <f>INDEX(Product_Category!$B$2:$B$45,MATCH(TRIM(E2167),Product_Category!$A$2:$A$45,0))</f>
        <v>Others</v>
      </c>
      <c r="G2167" s="4">
        <v>0</v>
      </c>
      <c r="H2167" s="4">
        <v>0</v>
      </c>
      <c r="I2167" s="4">
        <v>0</v>
      </c>
      <c r="J2167" s="4">
        <v>0.03</v>
      </c>
      <c r="K2167" s="4">
        <v>0</v>
      </c>
      <c r="L2167" s="4">
        <v>0</v>
      </c>
      <c r="M2167" s="4">
        <f t="shared" si="99"/>
        <v>0</v>
      </c>
      <c r="N2167" s="4">
        <f t="shared" si="100"/>
        <v>-0.03</v>
      </c>
      <c r="O2167" s="4">
        <f t="shared" si="101"/>
        <v>0</v>
      </c>
      <c r="P2167" s="3" t="s">
        <v>19</v>
      </c>
    </row>
    <row r="2168" spans="1:16" x14ac:dyDescent="0.35">
      <c r="A2168" s="3" t="s">
        <v>77</v>
      </c>
      <c r="B2168" s="3" t="str">
        <f>INDEX(State_Region!$B$2:$B$26,MATCH(TRIM(A2168),State_Region!$A$2:$A$26,0))</f>
        <v>South</v>
      </c>
      <c r="C2168" s="3" t="s">
        <v>132</v>
      </c>
      <c r="D2168" s="3" t="str">
        <f>INDEX(Port_Type!$B$2:$B$227,MATCH(TRIM(C2168),Port_Type!$A$2:$A$227,0))</f>
        <v>Air Cargo</v>
      </c>
      <c r="E2168" s="3" t="s">
        <v>51</v>
      </c>
      <c r="F2168" s="3" t="str">
        <f>INDEX(Product_Category!$B$2:$B$45,MATCH(TRIM(E2168),Product_Category!$A$2:$A$45,0))</f>
        <v>Nuts &amp; Oilseeds</v>
      </c>
      <c r="G2168" s="4">
        <v>0</v>
      </c>
      <c r="H2168" s="4">
        <v>0</v>
      </c>
      <c r="I2168" s="4">
        <v>0</v>
      </c>
      <c r="J2168" s="4">
        <v>0.42</v>
      </c>
      <c r="K2168" s="4">
        <v>0</v>
      </c>
      <c r="L2168" s="4">
        <v>0</v>
      </c>
      <c r="M2168" s="4">
        <f t="shared" si="99"/>
        <v>0</v>
      </c>
      <c r="N2168" s="4">
        <f t="shared" si="100"/>
        <v>-0.42</v>
      </c>
      <c r="O2168" s="4">
        <f t="shared" si="101"/>
        <v>0</v>
      </c>
      <c r="P2168" s="3" t="s">
        <v>19</v>
      </c>
    </row>
    <row r="2169" spans="1:16" x14ac:dyDescent="0.35">
      <c r="A2169" s="3" t="s">
        <v>40</v>
      </c>
      <c r="B2169" s="3" t="str">
        <f>INDEX(State_Region!$B$2:$B$26,MATCH(TRIM(A2169),State_Region!$A$2:$A$26,0))</f>
        <v>South</v>
      </c>
      <c r="C2169" s="3" t="s">
        <v>183</v>
      </c>
      <c r="D2169" s="3" t="str">
        <f>INDEX(Port_Type!$B$2:$B$227,MATCH(TRIM(C2169),Port_Type!$A$2:$A$227,0))</f>
        <v>Inland ICD / CFS</v>
      </c>
      <c r="E2169" s="3" t="s">
        <v>93</v>
      </c>
      <c r="F2169" s="3" t="str">
        <f>INDEX(Product_Category!$B$2:$B$45,MATCH(TRIM(E2169),Product_Category!$A$2:$A$45,0))</f>
        <v>Meat &amp; Animal Products</v>
      </c>
      <c r="G2169" s="4">
        <v>0</v>
      </c>
      <c r="H2169" s="4">
        <v>0.78</v>
      </c>
      <c r="I2169" s="4">
        <v>0</v>
      </c>
      <c r="J2169" s="4">
        <v>0</v>
      </c>
      <c r="K2169" s="4">
        <v>238.77</v>
      </c>
      <c r="L2169" s="4">
        <v>0</v>
      </c>
      <c r="M2169" s="4">
        <f t="shared" si="99"/>
        <v>0.78</v>
      </c>
      <c r="N2169" s="4">
        <f t="shared" si="100"/>
        <v>238.77</v>
      </c>
      <c r="O2169" s="4">
        <f t="shared" si="101"/>
        <v>-0.78</v>
      </c>
      <c r="P2169" s="3" t="s">
        <v>19</v>
      </c>
    </row>
    <row r="2170" spans="1:16" x14ac:dyDescent="0.35">
      <c r="A2170" s="3" t="s">
        <v>40</v>
      </c>
      <c r="B2170" s="3" t="str">
        <f>INDEX(State_Region!$B$2:$B$26,MATCH(TRIM(A2170),State_Region!$A$2:$A$26,0))</f>
        <v>South</v>
      </c>
      <c r="C2170" s="3" t="s">
        <v>268</v>
      </c>
      <c r="D2170" s="3" t="str">
        <f>INDEX(Port_Type!$B$2:$B$227,MATCH(TRIM(C2170),Port_Type!$A$2:$A$227,0))</f>
        <v>SEZ / EPZ</v>
      </c>
      <c r="E2170" s="3" t="s">
        <v>53</v>
      </c>
      <c r="F2170" s="3" t="str">
        <f>INDEX(Product_Category!$B$2:$B$45,MATCH(TRIM(E2170),Product_Category!$A$2:$A$45,0))</f>
        <v>Processed Foods</v>
      </c>
      <c r="G2170" s="4">
        <v>0.41</v>
      </c>
      <c r="H2170" s="4">
        <v>0</v>
      </c>
      <c r="I2170" s="4">
        <v>0</v>
      </c>
      <c r="J2170" s="4">
        <v>157.32</v>
      </c>
      <c r="K2170" s="4">
        <v>0</v>
      </c>
      <c r="L2170" s="4">
        <v>0</v>
      </c>
      <c r="M2170" s="4">
        <f t="shared" si="99"/>
        <v>-0.41</v>
      </c>
      <c r="N2170" s="4">
        <f t="shared" si="100"/>
        <v>-157.32</v>
      </c>
      <c r="O2170" s="4">
        <f t="shared" si="101"/>
        <v>0</v>
      </c>
      <c r="P2170" s="3" t="s">
        <v>19</v>
      </c>
    </row>
    <row r="2171" spans="1:16" x14ac:dyDescent="0.35">
      <c r="A2171" s="3" t="s">
        <v>40</v>
      </c>
      <c r="B2171" s="3" t="str">
        <f>INDEX(State_Region!$B$2:$B$26,MATCH(TRIM(A2171),State_Region!$A$2:$A$26,0))</f>
        <v>South</v>
      </c>
      <c r="C2171" s="3" t="s">
        <v>269</v>
      </c>
      <c r="D2171" s="3" t="str">
        <f>INDEX(Port_Type!$B$2:$B$227,MATCH(TRIM(C2171),Port_Type!$A$2:$A$227,0))</f>
        <v>Inland ICD / CFS</v>
      </c>
      <c r="E2171" s="3" t="s">
        <v>60</v>
      </c>
      <c r="F2171" s="3" t="str">
        <f>INDEX(Product_Category!$B$2:$B$45,MATCH(TRIM(E2171),Product_Category!$A$2:$A$45,0))</f>
        <v>Processed Foods</v>
      </c>
      <c r="G2171" s="4">
        <v>0</v>
      </c>
      <c r="H2171" s="4">
        <v>0.57999999999999996</v>
      </c>
      <c r="I2171" s="4">
        <v>0</v>
      </c>
      <c r="J2171" s="4">
        <v>0</v>
      </c>
      <c r="K2171" s="4">
        <v>14.11</v>
      </c>
      <c r="L2171" s="4">
        <v>0</v>
      </c>
      <c r="M2171" s="4">
        <f t="shared" si="99"/>
        <v>0.57999999999999996</v>
      </c>
      <c r="N2171" s="4">
        <f t="shared" si="100"/>
        <v>14.11</v>
      </c>
      <c r="O2171" s="4">
        <f t="shared" si="101"/>
        <v>-0.57999999999999996</v>
      </c>
      <c r="P2171" s="3" t="s">
        <v>19</v>
      </c>
    </row>
    <row r="2172" spans="1:16" x14ac:dyDescent="0.35">
      <c r="A2172" s="3" t="s">
        <v>40</v>
      </c>
      <c r="B2172" s="3" t="str">
        <f>INDEX(State_Region!$B$2:$B$26,MATCH(TRIM(A2172),State_Region!$A$2:$A$26,0))</f>
        <v>South</v>
      </c>
      <c r="C2172" s="3" t="s">
        <v>269</v>
      </c>
      <c r="D2172" s="3" t="str">
        <f>INDEX(Port_Type!$B$2:$B$227,MATCH(TRIM(C2172),Port_Type!$A$2:$A$227,0))</f>
        <v>Inland ICD / CFS</v>
      </c>
      <c r="E2172" s="3" t="s">
        <v>84</v>
      </c>
      <c r="F2172" s="3" t="str">
        <f>INDEX(Product_Category!$B$2:$B$45,MATCH(TRIM(E2172),Product_Category!$A$2:$A$45,0))</f>
        <v>Nuts &amp; Oilseeds</v>
      </c>
      <c r="G2172" s="4">
        <v>0</v>
      </c>
      <c r="H2172" s="4">
        <v>0</v>
      </c>
      <c r="I2172" s="4">
        <v>0</v>
      </c>
      <c r="J2172" s="4">
        <v>0.01</v>
      </c>
      <c r="K2172" s="4">
        <v>0</v>
      </c>
      <c r="L2172" s="4">
        <v>0</v>
      </c>
      <c r="M2172" s="4">
        <f t="shared" si="99"/>
        <v>0</v>
      </c>
      <c r="N2172" s="4">
        <f t="shared" si="100"/>
        <v>-0.01</v>
      </c>
      <c r="O2172" s="4">
        <f t="shared" si="101"/>
        <v>0</v>
      </c>
      <c r="P2172" s="3" t="s">
        <v>19</v>
      </c>
    </row>
    <row r="2173" spans="1:16" x14ac:dyDescent="0.35">
      <c r="A2173" s="3" t="s">
        <v>40</v>
      </c>
      <c r="B2173" s="3" t="str">
        <f>INDEX(State_Region!$B$2:$B$26,MATCH(TRIM(A2173),State_Region!$A$2:$A$26,0))</f>
        <v>South</v>
      </c>
      <c r="C2173" s="3" t="s">
        <v>269</v>
      </c>
      <c r="D2173" s="3" t="str">
        <f>INDEX(Port_Type!$B$2:$B$227,MATCH(TRIM(C2173),Port_Type!$A$2:$A$227,0))</f>
        <v>Inland ICD / CFS</v>
      </c>
      <c r="E2173" s="3" t="s">
        <v>48</v>
      </c>
      <c r="F2173" s="3" t="str">
        <f>INDEX(Product_Category!$B$2:$B$45,MATCH(TRIM(E2173),Product_Category!$A$2:$A$45,0))</f>
        <v>Processed Foods</v>
      </c>
      <c r="G2173" s="4">
        <v>0.05</v>
      </c>
      <c r="H2173" s="4">
        <v>0</v>
      </c>
      <c r="I2173" s="4">
        <v>0</v>
      </c>
      <c r="J2173" s="4">
        <v>17.32</v>
      </c>
      <c r="K2173" s="4">
        <v>0</v>
      </c>
      <c r="L2173" s="4">
        <v>0</v>
      </c>
      <c r="M2173" s="4">
        <f t="shared" si="99"/>
        <v>-0.05</v>
      </c>
      <c r="N2173" s="4">
        <f t="shared" si="100"/>
        <v>-17.32</v>
      </c>
      <c r="O2173" s="4">
        <f t="shared" si="101"/>
        <v>0</v>
      </c>
      <c r="P2173" s="3" t="s">
        <v>19</v>
      </c>
    </row>
    <row r="2174" spans="1:16" x14ac:dyDescent="0.35">
      <c r="A2174" s="3" t="s">
        <v>40</v>
      </c>
      <c r="B2174" s="3" t="str">
        <f>INDEX(State_Region!$B$2:$B$26,MATCH(TRIM(A2174),State_Region!$A$2:$A$26,0))</f>
        <v>South</v>
      </c>
      <c r="C2174" s="3" t="s">
        <v>269</v>
      </c>
      <c r="D2174" s="3" t="str">
        <f>INDEX(Port_Type!$B$2:$B$227,MATCH(TRIM(C2174),Port_Type!$A$2:$A$227,0))</f>
        <v>Inland ICD / CFS</v>
      </c>
      <c r="E2174" s="3" t="s">
        <v>59</v>
      </c>
      <c r="F2174" s="3" t="str">
        <f>INDEX(Product_Category!$B$2:$B$45,MATCH(TRIM(E2174),Product_Category!$A$2:$A$45,0))</f>
        <v>Processed Foods</v>
      </c>
      <c r="G2174" s="4">
        <v>0.09</v>
      </c>
      <c r="H2174" s="4">
        <v>0.01</v>
      </c>
      <c r="I2174" s="4">
        <v>0</v>
      </c>
      <c r="J2174" s="4">
        <v>1.99</v>
      </c>
      <c r="K2174" s="4">
        <v>1.1000000000000001</v>
      </c>
      <c r="L2174" s="4">
        <v>0</v>
      </c>
      <c r="M2174" s="4">
        <f t="shared" si="99"/>
        <v>-0.08</v>
      </c>
      <c r="N2174" s="4">
        <f t="shared" si="100"/>
        <v>-0.8899999999999999</v>
      </c>
      <c r="O2174" s="4">
        <f t="shared" si="101"/>
        <v>-0.01</v>
      </c>
      <c r="P2174" s="3" t="s">
        <v>19</v>
      </c>
    </row>
    <row r="2175" spans="1:16" x14ac:dyDescent="0.35">
      <c r="A2175" s="3" t="s">
        <v>40</v>
      </c>
      <c r="B2175" s="3" t="str">
        <f>INDEX(State_Region!$B$2:$B$26,MATCH(TRIM(A2175),State_Region!$A$2:$A$26,0))</f>
        <v>South</v>
      </c>
      <c r="C2175" s="3" t="s">
        <v>269</v>
      </c>
      <c r="D2175" s="3" t="str">
        <f>INDEX(Port_Type!$B$2:$B$227,MATCH(TRIM(C2175),Port_Type!$A$2:$A$227,0))</f>
        <v>Inland ICD / CFS</v>
      </c>
      <c r="E2175" s="3" t="s">
        <v>72</v>
      </c>
      <c r="F2175" s="3" t="str">
        <f>INDEX(Product_Category!$B$2:$B$45,MATCH(TRIM(E2175),Product_Category!$A$2:$A$45,0))</f>
        <v>Dairy, Poultry &amp; Honey</v>
      </c>
      <c r="G2175" s="4">
        <v>0</v>
      </c>
      <c r="H2175" s="4">
        <v>0</v>
      </c>
      <c r="I2175" s="4">
        <v>0</v>
      </c>
      <c r="J2175" s="4">
        <v>0.05</v>
      </c>
      <c r="K2175" s="4">
        <v>0</v>
      </c>
      <c r="L2175" s="4">
        <v>0</v>
      </c>
      <c r="M2175" s="4">
        <f t="shared" si="99"/>
        <v>0</v>
      </c>
      <c r="N2175" s="4">
        <f t="shared" si="100"/>
        <v>-0.05</v>
      </c>
      <c r="O2175" s="4">
        <f t="shared" si="101"/>
        <v>0</v>
      </c>
      <c r="P2175" s="3" t="s">
        <v>19</v>
      </c>
    </row>
    <row r="2176" spans="1:16" x14ac:dyDescent="0.35">
      <c r="A2176" s="3" t="s">
        <v>40</v>
      </c>
      <c r="B2176" s="3" t="str">
        <f>INDEX(State_Region!$B$2:$B$26,MATCH(TRIM(A2176),State_Region!$A$2:$A$26,0))</f>
        <v>South</v>
      </c>
      <c r="C2176" s="3" t="s">
        <v>269</v>
      </c>
      <c r="D2176" s="3" t="str">
        <f>INDEX(Port_Type!$B$2:$B$227,MATCH(TRIM(C2176),Port_Type!$A$2:$A$227,0))</f>
        <v>Inland ICD / CFS</v>
      </c>
      <c r="E2176" s="3" t="s">
        <v>53</v>
      </c>
      <c r="F2176" s="3" t="str">
        <f>INDEX(Product_Category!$B$2:$B$45,MATCH(TRIM(E2176),Product_Category!$A$2:$A$45,0))</f>
        <v>Processed Foods</v>
      </c>
      <c r="G2176" s="4">
        <v>0.01</v>
      </c>
      <c r="H2176" s="4">
        <v>0</v>
      </c>
      <c r="I2176" s="4">
        <v>0</v>
      </c>
      <c r="J2176" s="4">
        <v>5.74</v>
      </c>
      <c r="K2176" s="4">
        <v>1</v>
      </c>
      <c r="L2176" s="4">
        <v>0</v>
      </c>
      <c r="M2176" s="4">
        <f t="shared" si="99"/>
        <v>-0.01</v>
      </c>
      <c r="N2176" s="4">
        <f t="shared" si="100"/>
        <v>-4.74</v>
      </c>
      <c r="O2176" s="4">
        <f t="shared" si="101"/>
        <v>0</v>
      </c>
      <c r="P2176" s="3" t="s">
        <v>19</v>
      </c>
    </row>
    <row r="2177" spans="1:16" x14ac:dyDescent="0.35">
      <c r="A2177" s="3" t="s">
        <v>40</v>
      </c>
      <c r="B2177" s="3" t="str">
        <f>INDEX(State_Region!$B$2:$B$26,MATCH(TRIM(A2177),State_Region!$A$2:$A$26,0))</f>
        <v>South</v>
      </c>
      <c r="C2177" s="3" t="s">
        <v>269</v>
      </c>
      <c r="D2177" s="3" t="str">
        <f>INDEX(Port_Type!$B$2:$B$227,MATCH(TRIM(C2177),Port_Type!$A$2:$A$227,0))</f>
        <v>Inland ICD / CFS</v>
      </c>
      <c r="E2177" s="3" t="s">
        <v>65</v>
      </c>
      <c r="F2177" s="3" t="str">
        <f>INDEX(Product_Category!$B$2:$B$45,MATCH(TRIM(E2177),Product_Category!$A$2:$A$45,0))</f>
        <v>Cereals &amp; Grains</v>
      </c>
      <c r="G2177" s="4">
        <v>0</v>
      </c>
      <c r="H2177" s="4">
        <v>0</v>
      </c>
      <c r="I2177" s="4">
        <v>0</v>
      </c>
      <c r="J2177" s="4">
        <v>0.51</v>
      </c>
      <c r="K2177" s="4">
        <v>0</v>
      </c>
      <c r="L2177" s="4">
        <v>0</v>
      </c>
      <c r="M2177" s="4">
        <f t="shared" si="99"/>
        <v>0</v>
      </c>
      <c r="N2177" s="4">
        <f t="shared" si="100"/>
        <v>-0.51</v>
      </c>
      <c r="O2177" s="4">
        <f t="shared" si="101"/>
        <v>0</v>
      </c>
      <c r="P2177" s="3" t="s">
        <v>19</v>
      </c>
    </row>
    <row r="2178" spans="1:16" x14ac:dyDescent="0.35">
      <c r="A2178" s="3" t="s">
        <v>40</v>
      </c>
      <c r="B2178" s="3" t="str">
        <f>INDEX(State_Region!$B$2:$B$26,MATCH(TRIM(A2178),State_Region!$A$2:$A$26,0))</f>
        <v>South</v>
      </c>
      <c r="C2178" s="3" t="s">
        <v>269</v>
      </c>
      <c r="D2178" s="3" t="str">
        <f>INDEX(Port_Type!$B$2:$B$227,MATCH(TRIM(C2178),Port_Type!$A$2:$A$227,0))</f>
        <v>Inland ICD / CFS</v>
      </c>
      <c r="E2178" s="3" t="s">
        <v>144</v>
      </c>
      <c r="F2178" s="3" t="str">
        <f>INDEX(Product_Category!$B$2:$B$45,MATCH(TRIM(E2178),Product_Category!$A$2:$A$45,0))</f>
        <v>Cereals &amp; Grains</v>
      </c>
      <c r="G2178" s="4">
        <v>0</v>
      </c>
      <c r="H2178" s="4">
        <v>0</v>
      </c>
      <c r="I2178" s="4">
        <v>0</v>
      </c>
      <c r="J2178" s="4">
        <v>0.1</v>
      </c>
      <c r="K2178" s="4">
        <v>0</v>
      </c>
      <c r="L2178" s="4">
        <v>0</v>
      </c>
      <c r="M2178" s="4">
        <f t="shared" ref="M2178:M2241" si="102">H2178-G2178</f>
        <v>0</v>
      </c>
      <c r="N2178" s="4">
        <f t="shared" ref="N2178:N2241" si="103">K2178-J2178</f>
        <v>-0.1</v>
      </c>
      <c r="O2178" s="4">
        <f t="shared" ref="O2178:O2241" si="104">I2178-H2178</f>
        <v>0</v>
      </c>
      <c r="P2178" s="3" t="s">
        <v>19</v>
      </c>
    </row>
    <row r="2179" spans="1:16" x14ac:dyDescent="0.35">
      <c r="A2179" s="3" t="s">
        <v>40</v>
      </c>
      <c r="B2179" s="3" t="str">
        <f>INDEX(State_Region!$B$2:$B$26,MATCH(TRIM(A2179),State_Region!$A$2:$A$26,0))</f>
        <v>South</v>
      </c>
      <c r="C2179" s="3" t="s">
        <v>269</v>
      </c>
      <c r="D2179" s="3" t="str">
        <f>INDEX(Port_Type!$B$2:$B$227,MATCH(TRIM(C2179),Port_Type!$A$2:$A$227,0))</f>
        <v>Inland ICD / CFS</v>
      </c>
      <c r="E2179" s="3" t="s">
        <v>39</v>
      </c>
      <c r="F2179" s="3" t="str">
        <f>INDEX(Product_Category!$B$2:$B$45,MATCH(TRIM(E2179),Product_Category!$A$2:$A$45,0))</f>
        <v>Processed Foods</v>
      </c>
      <c r="G2179" s="4">
        <v>0.01</v>
      </c>
      <c r="H2179" s="4">
        <v>0</v>
      </c>
      <c r="I2179" s="4">
        <v>0</v>
      </c>
      <c r="J2179" s="4">
        <v>0.63</v>
      </c>
      <c r="K2179" s="4">
        <v>0</v>
      </c>
      <c r="L2179" s="4">
        <v>0</v>
      </c>
      <c r="M2179" s="4">
        <f t="shared" si="102"/>
        <v>-0.01</v>
      </c>
      <c r="N2179" s="4">
        <f t="shared" si="103"/>
        <v>-0.63</v>
      </c>
      <c r="O2179" s="4">
        <f t="shared" si="104"/>
        <v>0</v>
      </c>
      <c r="P2179" s="3" t="s">
        <v>19</v>
      </c>
    </row>
    <row r="2180" spans="1:16" x14ac:dyDescent="0.35">
      <c r="A2180" s="3" t="s">
        <v>40</v>
      </c>
      <c r="B2180" s="3" t="str">
        <f>INDEX(State_Region!$B$2:$B$26,MATCH(TRIM(A2180),State_Region!$A$2:$A$26,0))</f>
        <v>South</v>
      </c>
      <c r="C2180" s="3" t="s">
        <v>269</v>
      </c>
      <c r="D2180" s="3" t="str">
        <f>INDEX(Port_Type!$B$2:$B$227,MATCH(TRIM(C2180),Port_Type!$A$2:$A$227,0))</f>
        <v>Inland ICD / CFS</v>
      </c>
      <c r="E2180" s="3" t="s">
        <v>27</v>
      </c>
      <c r="F2180" s="3" t="str">
        <f>INDEX(Product_Category!$B$2:$B$45,MATCH(TRIM(E2180),Product_Category!$A$2:$A$45,0))</f>
        <v>Cereals &amp; Grains</v>
      </c>
      <c r="G2180" s="4">
        <v>0.03</v>
      </c>
      <c r="H2180" s="4">
        <v>0</v>
      </c>
      <c r="I2180" s="4">
        <v>0</v>
      </c>
      <c r="J2180" s="4">
        <v>31.52</v>
      </c>
      <c r="K2180" s="4">
        <v>0</v>
      </c>
      <c r="L2180" s="4">
        <v>0</v>
      </c>
      <c r="M2180" s="4">
        <f t="shared" si="102"/>
        <v>-0.03</v>
      </c>
      <c r="N2180" s="4">
        <f t="shared" si="103"/>
        <v>-31.52</v>
      </c>
      <c r="O2180" s="4">
        <f t="shared" si="104"/>
        <v>0</v>
      </c>
      <c r="P2180" s="3" t="s">
        <v>19</v>
      </c>
    </row>
    <row r="2181" spans="1:16" x14ac:dyDescent="0.35">
      <c r="A2181" s="3" t="s">
        <v>40</v>
      </c>
      <c r="B2181" s="3" t="str">
        <f>INDEX(State_Region!$B$2:$B$26,MATCH(TRIM(A2181),State_Region!$A$2:$A$26,0))</f>
        <v>South</v>
      </c>
      <c r="C2181" s="3" t="s">
        <v>269</v>
      </c>
      <c r="D2181" s="3" t="str">
        <f>INDEX(Port_Type!$B$2:$B$227,MATCH(TRIM(C2181),Port_Type!$A$2:$A$227,0))</f>
        <v>Inland ICD / CFS</v>
      </c>
      <c r="E2181" s="3" t="s">
        <v>126</v>
      </c>
      <c r="F2181" s="3" t="str">
        <f>INDEX(Product_Category!$B$2:$B$45,MATCH(TRIM(E2181),Product_Category!$A$2:$A$45,0))</f>
        <v>Cereals &amp; Grains</v>
      </c>
      <c r="G2181" s="4">
        <v>0</v>
      </c>
      <c r="H2181" s="4">
        <v>0</v>
      </c>
      <c r="I2181" s="4">
        <v>0</v>
      </c>
      <c r="J2181" s="4">
        <v>1</v>
      </c>
      <c r="K2181" s="4">
        <v>0</v>
      </c>
      <c r="L2181" s="4">
        <v>0</v>
      </c>
      <c r="M2181" s="4">
        <f t="shared" si="102"/>
        <v>0</v>
      </c>
      <c r="N2181" s="4">
        <f t="shared" si="103"/>
        <v>-1</v>
      </c>
      <c r="O2181" s="4">
        <f t="shared" si="104"/>
        <v>0</v>
      </c>
      <c r="P2181" s="3" t="s">
        <v>19</v>
      </c>
    </row>
    <row r="2182" spans="1:16" x14ac:dyDescent="0.35">
      <c r="A2182" s="3" t="s">
        <v>40</v>
      </c>
      <c r="B2182" s="3" t="str">
        <f>INDEX(State_Region!$B$2:$B$26,MATCH(TRIM(A2182),State_Region!$A$2:$A$26,0))</f>
        <v>South</v>
      </c>
      <c r="C2182" s="3" t="s">
        <v>269</v>
      </c>
      <c r="D2182" s="3" t="str">
        <f>INDEX(Port_Type!$B$2:$B$227,MATCH(TRIM(C2182),Port_Type!$A$2:$A$227,0))</f>
        <v>Inland ICD / CFS</v>
      </c>
      <c r="E2182" s="3" t="s">
        <v>170</v>
      </c>
      <c r="F2182" s="3" t="str">
        <f>INDEX(Product_Category!$B$2:$B$45,MATCH(TRIM(E2182),Product_Category!$A$2:$A$45,0))</f>
        <v>Others</v>
      </c>
      <c r="G2182" s="4">
        <v>2.1800000000000002</v>
      </c>
      <c r="H2182" s="4">
        <v>0</v>
      </c>
      <c r="I2182" s="4">
        <v>0</v>
      </c>
      <c r="J2182" s="4">
        <v>430.45</v>
      </c>
      <c r="K2182" s="4">
        <v>0</v>
      </c>
      <c r="L2182" s="4">
        <v>0</v>
      </c>
      <c r="M2182" s="4">
        <f t="shared" si="102"/>
        <v>-2.1800000000000002</v>
      </c>
      <c r="N2182" s="4">
        <f t="shared" si="103"/>
        <v>-430.45</v>
      </c>
      <c r="O2182" s="4">
        <f t="shared" si="104"/>
        <v>0</v>
      </c>
      <c r="P2182" s="3" t="s">
        <v>19</v>
      </c>
    </row>
    <row r="2183" spans="1:16" x14ac:dyDescent="0.35">
      <c r="A2183" s="3" t="s">
        <v>40</v>
      </c>
      <c r="B2183" s="3" t="str">
        <f>INDEX(State_Region!$B$2:$B$26,MATCH(TRIM(A2183),State_Region!$A$2:$A$26,0))</f>
        <v>South</v>
      </c>
      <c r="C2183" s="3" t="s">
        <v>269</v>
      </c>
      <c r="D2183" s="3" t="str">
        <f>INDEX(Port_Type!$B$2:$B$227,MATCH(TRIM(C2183),Port_Type!$A$2:$A$227,0))</f>
        <v>Inland ICD / CFS</v>
      </c>
      <c r="E2183" s="3" t="s">
        <v>54</v>
      </c>
      <c r="F2183" s="3" t="str">
        <f>INDEX(Product_Category!$B$2:$B$45,MATCH(TRIM(E2183),Product_Category!$A$2:$A$45,0))</f>
        <v>Processed Foods</v>
      </c>
      <c r="G2183" s="4">
        <v>0</v>
      </c>
      <c r="H2183" s="4">
        <v>0</v>
      </c>
      <c r="I2183" s="4">
        <v>0</v>
      </c>
      <c r="J2183" s="4">
        <v>0.04</v>
      </c>
      <c r="K2183" s="4">
        <v>0</v>
      </c>
      <c r="L2183" s="4">
        <v>0</v>
      </c>
      <c r="M2183" s="4">
        <f t="shared" si="102"/>
        <v>0</v>
      </c>
      <c r="N2183" s="4">
        <f t="shared" si="103"/>
        <v>-0.04</v>
      </c>
      <c r="O2183" s="4">
        <f t="shared" si="104"/>
        <v>0</v>
      </c>
      <c r="P2183" s="3" t="s">
        <v>19</v>
      </c>
    </row>
    <row r="2184" spans="1:16" x14ac:dyDescent="0.35">
      <c r="A2184" s="3" t="s">
        <v>40</v>
      </c>
      <c r="B2184" s="3" t="str">
        <f>INDEX(State_Region!$B$2:$B$26,MATCH(TRIM(A2184),State_Region!$A$2:$A$26,0))</f>
        <v>South</v>
      </c>
      <c r="C2184" s="3" t="s">
        <v>269</v>
      </c>
      <c r="D2184" s="3" t="str">
        <f>INDEX(Port_Type!$B$2:$B$227,MATCH(TRIM(C2184),Port_Type!$A$2:$A$227,0))</f>
        <v>Inland ICD / CFS</v>
      </c>
      <c r="E2184" s="3" t="s">
        <v>42</v>
      </c>
      <c r="F2184" s="3" t="str">
        <f>INDEX(Product_Category!$B$2:$B$45,MATCH(TRIM(E2184),Product_Category!$A$2:$A$45,0))</f>
        <v>Processed Foods</v>
      </c>
      <c r="G2184" s="4">
        <v>0.01</v>
      </c>
      <c r="H2184" s="4">
        <v>0</v>
      </c>
      <c r="I2184" s="4">
        <v>0</v>
      </c>
      <c r="J2184" s="4">
        <v>1.21</v>
      </c>
      <c r="K2184" s="4">
        <v>0</v>
      </c>
      <c r="L2184" s="4">
        <v>0</v>
      </c>
      <c r="M2184" s="4">
        <f t="shared" si="102"/>
        <v>-0.01</v>
      </c>
      <c r="N2184" s="4">
        <f t="shared" si="103"/>
        <v>-1.21</v>
      </c>
      <c r="O2184" s="4">
        <f t="shared" si="104"/>
        <v>0</v>
      </c>
      <c r="P2184" s="3" t="s">
        <v>19</v>
      </c>
    </row>
    <row r="2185" spans="1:16" x14ac:dyDescent="0.35">
      <c r="A2185" s="3" t="s">
        <v>40</v>
      </c>
      <c r="B2185" s="3" t="str">
        <f>INDEX(State_Region!$B$2:$B$26,MATCH(TRIM(A2185),State_Region!$A$2:$A$26,0))</f>
        <v>South</v>
      </c>
      <c r="C2185" s="3" t="s">
        <v>269</v>
      </c>
      <c r="D2185" s="3" t="str">
        <f>INDEX(Port_Type!$B$2:$B$227,MATCH(TRIM(C2185),Port_Type!$A$2:$A$227,0))</f>
        <v>Inland ICD / CFS</v>
      </c>
      <c r="E2185" s="3" t="s">
        <v>33</v>
      </c>
      <c r="F2185" s="3" t="str">
        <f>INDEX(Product_Category!$B$2:$B$45,MATCH(TRIM(E2185),Product_Category!$A$2:$A$45,0))</f>
        <v>Pulses</v>
      </c>
      <c r="G2185" s="4">
        <v>0</v>
      </c>
      <c r="H2185" s="4">
        <v>0</v>
      </c>
      <c r="I2185" s="4">
        <v>0</v>
      </c>
      <c r="J2185" s="4">
        <v>0.03</v>
      </c>
      <c r="K2185" s="4">
        <v>0</v>
      </c>
      <c r="L2185" s="4">
        <v>0</v>
      </c>
      <c r="M2185" s="4">
        <f t="shared" si="102"/>
        <v>0</v>
      </c>
      <c r="N2185" s="4">
        <f t="shared" si="103"/>
        <v>-0.03</v>
      </c>
      <c r="O2185" s="4">
        <f t="shared" si="104"/>
        <v>0</v>
      </c>
      <c r="P2185" s="3" t="s">
        <v>19</v>
      </c>
    </row>
    <row r="2186" spans="1:16" x14ac:dyDescent="0.35">
      <c r="A2186" s="3" t="s">
        <v>77</v>
      </c>
      <c r="B2186" s="3" t="str">
        <f>INDEX(State_Region!$B$2:$B$26,MATCH(TRIM(A2186),State_Region!$A$2:$A$26,0))</f>
        <v>South</v>
      </c>
      <c r="C2186" s="3" t="s">
        <v>132</v>
      </c>
      <c r="D2186" s="3" t="str">
        <f>INDEX(Port_Type!$B$2:$B$227,MATCH(TRIM(C2186),Port_Type!$A$2:$A$227,0))</f>
        <v>Air Cargo</v>
      </c>
      <c r="E2186" s="3" t="s">
        <v>83</v>
      </c>
      <c r="F2186" s="3" t="str">
        <f>INDEX(Product_Category!$B$2:$B$45,MATCH(TRIM(E2186),Product_Category!$A$2:$A$45,0))</f>
        <v>Fresh Fruits &amp; Vegetables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  <c r="L2186" s="4">
        <v>0.01</v>
      </c>
      <c r="M2186" s="4">
        <f t="shared" si="102"/>
        <v>0</v>
      </c>
      <c r="N2186" s="4">
        <f t="shared" si="103"/>
        <v>0</v>
      </c>
      <c r="O2186" s="4">
        <f t="shared" si="104"/>
        <v>0</v>
      </c>
      <c r="P2186" s="3" t="s">
        <v>19</v>
      </c>
    </row>
    <row r="2187" spans="1:16" x14ac:dyDescent="0.35">
      <c r="A2187" s="3" t="s">
        <v>77</v>
      </c>
      <c r="B2187" s="3" t="str">
        <f>INDEX(State_Region!$B$2:$B$26,MATCH(TRIM(A2187),State_Region!$A$2:$A$26,0))</f>
        <v>South</v>
      </c>
      <c r="C2187" s="3" t="s">
        <v>132</v>
      </c>
      <c r="D2187" s="3" t="str">
        <f>INDEX(Port_Type!$B$2:$B$227,MATCH(TRIM(C2187),Port_Type!$A$2:$A$227,0))</f>
        <v>Air Cargo</v>
      </c>
      <c r="E2187" s="3" t="s">
        <v>81</v>
      </c>
      <c r="F2187" s="3" t="str">
        <f>INDEX(Product_Category!$B$2:$B$45,MATCH(TRIM(E2187),Product_Category!$A$2:$A$45,0))</f>
        <v>Processed Foods</v>
      </c>
      <c r="G2187" s="4">
        <v>0</v>
      </c>
      <c r="H2187" s="4">
        <v>0</v>
      </c>
      <c r="I2187" s="4">
        <v>0</v>
      </c>
      <c r="J2187" s="4">
        <v>0.6</v>
      </c>
      <c r="K2187" s="4">
        <v>0.05</v>
      </c>
      <c r="L2187" s="4">
        <v>0</v>
      </c>
      <c r="M2187" s="4">
        <f t="shared" si="102"/>
        <v>0</v>
      </c>
      <c r="N2187" s="4">
        <f t="shared" si="103"/>
        <v>-0.54999999999999993</v>
      </c>
      <c r="O2187" s="4">
        <f t="shared" si="104"/>
        <v>0</v>
      </c>
      <c r="P2187" s="3" t="s">
        <v>19</v>
      </c>
    </row>
    <row r="2188" spans="1:16" x14ac:dyDescent="0.35">
      <c r="A2188" s="3" t="s">
        <v>77</v>
      </c>
      <c r="B2188" s="3" t="str">
        <f>INDEX(State_Region!$B$2:$B$26,MATCH(TRIM(A2188),State_Region!$A$2:$A$26,0))</f>
        <v>South</v>
      </c>
      <c r="C2188" s="3" t="s">
        <v>132</v>
      </c>
      <c r="D2188" s="3" t="str">
        <f>INDEX(Port_Type!$B$2:$B$227,MATCH(TRIM(C2188),Port_Type!$A$2:$A$227,0))</f>
        <v>Air Cargo</v>
      </c>
      <c r="E2188" s="3" t="s">
        <v>142</v>
      </c>
      <c r="F2188" s="3" t="str">
        <f>INDEX(Product_Category!$B$2:$B$45,MATCH(TRIM(E2188),Product_Category!$A$2:$A$45,0))</f>
        <v>Nuts &amp; Oilseeds</v>
      </c>
      <c r="G2188" s="4">
        <v>0</v>
      </c>
      <c r="H2188" s="4">
        <v>0</v>
      </c>
      <c r="I2188" s="4">
        <v>0</v>
      </c>
      <c r="J2188" s="4">
        <v>0.03</v>
      </c>
      <c r="K2188" s="4">
        <v>0</v>
      </c>
      <c r="L2188" s="4">
        <v>0</v>
      </c>
      <c r="M2188" s="4">
        <f t="shared" si="102"/>
        <v>0</v>
      </c>
      <c r="N2188" s="4">
        <f t="shared" si="103"/>
        <v>-0.03</v>
      </c>
      <c r="O2188" s="4">
        <f t="shared" si="104"/>
        <v>0</v>
      </c>
      <c r="P2188" s="3" t="s">
        <v>19</v>
      </c>
    </row>
    <row r="2189" spans="1:16" x14ac:dyDescent="0.35">
      <c r="A2189" s="3" t="s">
        <v>40</v>
      </c>
      <c r="B2189" s="3" t="str">
        <f>INDEX(State_Region!$B$2:$B$26,MATCH(TRIM(A2189),State_Region!$A$2:$A$26,0))</f>
        <v>South</v>
      </c>
      <c r="C2189" s="3" t="s">
        <v>117</v>
      </c>
      <c r="D2189" s="3" t="str">
        <f>INDEX(Port_Type!$B$2:$B$227,MATCH(TRIM(C2189),Port_Type!$A$2:$A$227,0))</f>
        <v>Sea Port</v>
      </c>
      <c r="E2189" s="3" t="s">
        <v>22</v>
      </c>
      <c r="F2189" s="3" t="str">
        <f>INDEX(Product_Category!$B$2:$B$45,MATCH(TRIM(E2189),Product_Category!$A$2:$A$45,0))</f>
        <v>Meat &amp; Animal Products</v>
      </c>
      <c r="G2189" s="4">
        <v>4.1100000000000003</v>
      </c>
      <c r="H2189" s="4">
        <v>0</v>
      </c>
      <c r="I2189" s="4">
        <v>0</v>
      </c>
      <c r="J2189" s="4">
        <v>1683.69</v>
      </c>
      <c r="K2189" s="4">
        <v>0</v>
      </c>
      <c r="L2189" s="4">
        <v>0</v>
      </c>
      <c r="M2189" s="4">
        <f t="shared" si="102"/>
        <v>-4.1100000000000003</v>
      </c>
      <c r="N2189" s="4">
        <f t="shared" si="103"/>
        <v>-1683.69</v>
      </c>
      <c r="O2189" s="4">
        <f t="shared" si="104"/>
        <v>0</v>
      </c>
      <c r="P2189" s="3" t="s">
        <v>19</v>
      </c>
    </row>
    <row r="2190" spans="1:16" x14ac:dyDescent="0.35">
      <c r="A2190" s="3" t="s">
        <v>40</v>
      </c>
      <c r="B2190" s="3" t="str">
        <f>INDEX(State_Region!$B$2:$B$26,MATCH(TRIM(A2190),State_Region!$A$2:$A$26,0))</f>
        <v>South</v>
      </c>
      <c r="C2190" s="3" t="s">
        <v>117</v>
      </c>
      <c r="D2190" s="3" t="str">
        <f>INDEX(Port_Type!$B$2:$B$227,MATCH(TRIM(C2190),Port_Type!$A$2:$A$227,0))</f>
        <v>Sea Port</v>
      </c>
      <c r="E2190" s="3" t="s">
        <v>114</v>
      </c>
      <c r="F2190" s="3" t="str">
        <f>INDEX(Product_Category!$B$2:$B$45,MATCH(TRIM(E2190),Product_Category!$A$2:$A$45,0))</f>
        <v>Dairy, Poultry &amp; Honey</v>
      </c>
      <c r="G2190" s="4">
        <v>0.01</v>
      </c>
      <c r="H2190" s="4">
        <v>0</v>
      </c>
      <c r="I2190" s="4">
        <v>0</v>
      </c>
      <c r="J2190" s="4">
        <v>6.48</v>
      </c>
      <c r="K2190" s="4">
        <v>0</v>
      </c>
      <c r="L2190" s="4">
        <v>0</v>
      </c>
      <c r="M2190" s="4">
        <f t="shared" si="102"/>
        <v>-0.01</v>
      </c>
      <c r="N2190" s="4">
        <f t="shared" si="103"/>
        <v>-6.48</v>
      </c>
      <c r="O2190" s="4">
        <f t="shared" si="104"/>
        <v>0</v>
      </c>
      <c r="P2190" s="3" t="s">
        <v>19</v>
      </c>
    </row>
    <row r="2191" spans="1:16" x14ac:dyDescent="0.35">
      <c r="A2191" s="3" t="s">
        <v>77</v>
      </c>
      <c r="B2191" s="3" t="str">
        <f>INDEX(State_Region!$B$2:$B$26,MATCH(TRIM(A2191),State_Region!$A$2:$A$26,0))</f>
        <v>South</v>
      </c>
      <c r="C2191" s="3" t="s">
        <v>132</v>
      </c>
      <c r="D2191" s="3" t="str">
        <f>INDEX(Port_Type!$B$2:$B$227,MATCH(TRIM(C2191),Port_Type!$A$2:$A$227,0))</f>
        <v>Air Cargo</v>
      </c>
      <c r="E2191" s="3" t="s">
        <v>18</v>
      </c>
      <c r="F2191" s="3" t="str">
        <f>INDEX(Product_Category!$B$2:$B$45,MATCH(TRIM(E2191),Product_Category!$A$2:$A$45,0))</f>
        <v>Cereals &amp; Grains</v>
      </c>
      <c r="G2191" s="4">
        <v>0</v>
      </c>
      <c r="H2191" s="4">
        <v>0</v>
      </c>
      <c r="I2191" s="4">
        <v>0</v>
      </c>
      <c r="J2191" s="4">
        <v>0</v>
      </c>
      <c r="K2191" s="4">
        <v>0.01</v>
      </c>
      <c r="L2191" s="4">
        <v>0</v>
      </c>
      <c r="M2191" s="4">
        <f t="shared" si="102"/>
        <v>0</v>
      </c>
      <c r="N2191" s="4">
        <f t="shared" si="103"/>
        <v>0.01</v>
      </c>
      <c r="O2191" s="4">
        <f t="shared" si="104"/>
        <v>0</v>
      </c>
      <c r="P2191" s="3" t="s">
        <v>19</v>
      </c>
    </row>
    <row r="2192" spans="1:16" x14ac:dyDescent="0.35">
      <c r="A2192" s="3" t="s">
        <v>40</v>
      </c>
      <c r="B2192" s="3" t="str">
        <f>INDEX(State_Region!$B$2:$B$26,MATCH(TRIM(A2192),State_Region!$A$2:$A$26,0))</f>
        <v>South</v>
      </c>
      <c r="C2192" s="3" t="s">
        <v>117</v>
      </c>
      <c r="D2192" s="3" t="str">
        <f>INDEX(Port_Type!$B$2:$B$227,MATCH(TRIM(C2192),Port_Type!$A$2:$A$227,0))</f>
        <v>Sea Port</v>
      </c>
      <c r="E2192" s="3" t="s">
        <v>179</v>
      </c>
      <c r="F2192" s="3" t="str">
        <f>INDEX(Product_Category!$B$2:$B$45,MATCH(TRIM(E2192),Product_Category!$A$2:$A$45,0))</f>
        <v>Nuts &amp; Oilseeds</v>
      </c>
      <c r="G2192" s="4">
        <v>0.01</v>
      </c>
      <c r="H2192" s="4">
        <v>0</v>
      </c>
      <c r="I2192" s="4">
        <v>0</v>
      </c>
      <c r="J2192" s="4">
        <v>0.49</v>
      </c>
      <c r="K2192" s="4">
        <v>0</v>
      </c>
      <c r="L2192" s="4">
        <v>0</v>
      </c>
      <c r="M2192" s="4">
        <f t="shared" si="102"/>
        <v>-0.01</v>
      </c>
      <c r="N2192" s="4">
        <f t="shared" si="103"/>
        <v>-0.49</v>
      </c>
      <c r="O2192" s="4">
        <f t="shared" si="104"/>
        <v>0</v>
      </c>
      <c r="P2192" s="3" t="s">
        <v>19</v>
      </c>
    </row>
    <row r="2193" spans="1:16" x14ac:dyDescent="0.35">
      <c r="A2193" s="3" t="s">
        <v>40</v>
      </c>
      <c r="B2193" s="3" t="str">
        <f>INDEX(State_Region!$B$2:$B$26,MATCH(TRIM(A2193),State_Region!$A$2:$A$26,0))</f>
        <v>South</v>
      </c>
      <c r="C2193" s="3" t="s">
        <v>117</v>
      </c>
      <c r="D2193" s="3" t="str">
        <f>INDEX(Port_Type!$B$2:$B$227,MATCH(TRIM(C2193),Port_Type!$A$2:$A$227,0))</f>
        <v>Sea Port</v>
      </c>
      <c r="E2193" s="3" t="s">
        <v>150</v>
      </c>
      <c r="F2193" s="3" t="str">
        <f>INDEX(Product_Category!$B$2:$B$45,MATCH(TRIM(E2193),Product_Category!$A$2:$A$45,0))</f>
        <v>Nuts &amp; Oilseeds</v>
      </c>
      <c r="G2193" s="4">
        <v>0</v>
      </c>
      <c r="H2193" s="4">
        <v>0</v>
      </c>
      <c r="I2193" s="4">
        <v>0</v>
      </c>
      <c r="J2193" s="4">
        <v>0</v>
      </c>
      <c r="K2193" s="4">
        <v>7.0000000000000007E-2</v>
      </c>
      <c r="L2193" s="4">
        <v>0</v>
      </c>
      <c r="M2193" s="4">
        <f t="shared" si="102"/>
        <v>0</v>
      </c>
      <c r="N2193" s="4">
        <f t="shared" si="103"/>
        <v>7.0000000000000007E-2</v>
      </c>
      <c r="O2193" s="4">
        <f t="shared" si="104"/>
        <v>0</v>
      </c>
      <c r="P2193" s="3" t="s">
        <v>19</v>
      </c>
    </row>
    <row r="2194" spans="1:16" x14ac:dyDescent="0.35">
      <c r="A2194" s="3" t="s">
        <v>77</v>
      </c>
      <c r="B2194" s="3" t="str">
        <f>INDEX(State_Region!$B$2:$B$26,MATCH(TRIM(A2194),State_Region!$A$2:$A$26,0))</f>
        <v>South</v>
      </c>
      <c r="C2194" s="3" t="s">
        <v>132</v>
      </c>
      <c r="D2194" s="3" t="str">
        <f>INDEX(Port_Type!$B$2:$B$227,MATCH(TRIM(C2194),Port_Type!$A$2:$A$227,0))</f>
        <v>Air Cargo</v>
      </c>
      <c r="E2194" s="3" t="s">
        <v>60</v>
      </c>
      <c r="F2194" s="3" t="str">
        <f>INDEX(Product_Category!$B$2:$B$45,MATCH(TRIM(E2194),Product_Category!$A$2:$A$45,0))</f>
        <v>Processed Foods</v>
      </c>
      <c r="G2194" s="4">
        <v>0</v>
      </c>
      <c r="H2194" s="4">
        <v>0</v>
      </c>
      <c r="I2194" s="4">
        <v>0</v>
      </c>
      <c r="J2194" s="4">
        <v>0.06</v>
      </c>
      <c r="K2194" s="4">
        <v>0</v>
      </c>
      <c r="L2194" s="4">
        <v>0</v>
      </c>
      <c r="M2194" s="4">
        <f t="shared" si="102"/>
        <v>0</v>
      </c>
      <c r="N2194" s="4">
        <f t="shared" si="103"/>
        <v>-0.06</v>
      </c>
      <c r="O2194" s="4">
        <f t="shared" si="104"/>
        <v>0</v>
      </c>
      <c r="P2194" s="3" t="s">
        <v>19</v>
      </c>
    </row>
    <row r="2195" spans="1:16" x14ac:dyDescent="0.35">
      <c r="A2195" s="3" t="s">
        <v>77</v>
      </c>
      <c r="B2195" s="3" t="str">
        <f>INDEX(State_Region!$B$2:$B$26,MATCH(TRIM(A2195),State_Region!$A$2:$A$26,0))</f>
        <v>South</v>
      </c>
      <c r="C2195" s="3" t="s">
        <v>132</v>
      </c>
      <c r="D2195" s="3" t="str">
        <f>INDEX(Port_Type!$B$2:$B$227,MATCH(TRIM(C2195),Port_Type!$A$2:$A$227,0))</f>
        <v>Air Cargo</v>
      </c>
      <c r="E2195" s="3" t="s">
        <v>174</v>
      </c>
      <c r="F2195" s="3" t="str">
        <f>INDEX(Product_Category!$B$2:$B$45,MATCH(TRIM(E2195),Product_Category!$A$2:$A$45,0))</f>
        <v>Dairy, Poultry &amp; Honey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  <c r="L2195" s="4">
        <v>0</v>
      </c>
      <c r="M2195" s="4">
        <f t="shared" si="102"/>
        <v>0</v>
      </c>
      <c r="N2195" s="4">
        <f t="shared" si="103"/>
        <v>0</v>
      </c>
      <c r="O2195" s="4">
        <f t="shared" si="104"/>
        <v>0</v>
      </c>
      <c r="P2195" s="3" t="s">
        <v>19</v>
      </c>
    </row>
    <row r="2196" spans="1:16" x14ac:dyDescent="0.35">
      <c r="A2196" s="3" t="s">
        <v>40</v>
      </c>
      <c r="B2196" s="3" t="str">
        <f>INDEX(State_Region!$B$2:$B$26,MATCH(TRIM(A2196),State_Region!$A$2:$A$26,0))</f>
        <v>South</v>
      </c>
      <c r="C2196" s="3" t="s">
        <v>117</v>
      </c>
      <c r="D2196" s="3" t="str">
        <f>INDEX(Port_Type!$B$2:$B$227,MATCH(TRIM(C2196),Port_Type!$A$2:$A$227,0))</f>
        <v>Sea Port</v>
      </c>
      <c r="E2196" s="3" t="s">
        <v>59</v>
      </c>
      <c r="F2196" s="3" t="str">
        <f>INDEX(Product_Category!$B$2:$B$45,MATCH(TRIM(E2196),Product_Category!$A$2:$A$45,0))</f>
        <v>Processed Foods</v>
      </c>
      <c r="G2196" s="4">
        <v>0</v>
      </c>
      <c r="H2196" s="4">
        <v>0.03</v>
      </c>
      <c r="I2196" s="4">
        <v>0</v>
      </c>
      <c r="J2196" s="4">
        <v>0.16</v>
      </c>
      <c r="K2196" s="4">
        <v>13.93</v>
      </c>
      <c r="L2196" s="4">
        <v>0</v>
      </c>
      <c r="M2196" s="4">
        <f t="shared" si="102"/>
        <v>0.03</v>
      </c>
      <c r="N2196" s="4">
        <f t="shared" si="103"/>
        <v>13.77</v>
      </c>
      <c r="O2196" s="4">
        <f t="shared" si="104"/>
        <v>-0.03</v>
      </c>
      <c r="P2196" s="3" t="s">
        <v>19</v>
      </c>
    </row>
    <row r="2197" spans="1:16" x14ac:dyDescent="0.35">
      <c r="A2197" s="3" t="s">
        <v>77</v>
      </c>
      <c r="B2197" s="3" t="str">
        <f>INDEX(State_Region!$B$2:$B$26,MATCH(TRIM(A2197),State_Region!$A$2:$A$26,0))</f>
        <v>South</v>
      </c>
      <c r="C2197" s="3" t="s">
        <v>157</v>
      </c>
      <c r="D2197" s="3" t="str">
        <f>INDEX(Port_Type!$B$2:$B$227,MATCH(TRIM(C2197),Port_Type!$A$2:$A$227,0))</f>
        <v>Air Cargo</v>
      </c>
      <c r="E2197" s="3" t="s">
        <v>170</v>
      </c>
      <c r="F2197" s="3" t="str">
        <f>INDEX(Product_Category!$B$2:$B$45,MATCH(TRIM(E2197),Product_Category!$A$2:$A$45,0))</f>
        <v>Others</v>
      </c>
      <c r="G2197" s="4">
        <v>0</v>
      </c>
      <c r="H2197" s="4">
        <v>0</v>
      </c>
      <c r="I2197" s="4">
        <v>0</v>
      </c>
      <c r="J2197" s="4">
        <v>3.37</v>
      </c>
      <c r="K2197" s="4">
        <v>0</v>
      </c>
      <c r="L2197" s="4">
        <v>0</v>
      </c>
      <c r="M2197" s="4">
        <f t="shared" si="102"/>
        <v>0</v>
      </c>
      <c r="N2197" s="4">
        <f t="shared" si="103"/>
        <v>-3.37</v>
      </c>
      <c r="O2197" s="4">
        <f t="shared" si="104"/>
        <v>0</v>
      </c>
      <c r="P2197" s="3" t="s">
        <v>19</v>
      </c>
    </row>
    <row r="2198" spans="1:16" x14ac:dyDescent="0.35">
      <c r="A2198" s="3" t="s">
        <v>77</v>
      </c>
      <c r="B2198" s="3" t="str">
        <f>INDEX(State_Region!$B$2:$B$26,MATCH(TRIM(A2198),State_Region!$A$2:$A$26,0))</f>
        <v>South</v>
      </c>
      <c r="C2198" s="3" t="s">
        <v>157</v>
      </c>
      <c r="D2198" s="3" t="str">
        <f>INDEX(Port_Type!$B$2:$B$227,MATCH(TRIM(C2198),Port_Type!$A$2:$A$227,0))</f>
        <v>Air Cargo</v>
      </c>
      <c r="E2198" s="3" t="s">
        <v>27</v>
      </c>
      <c r="F2198" s="3" t="str">
        <f>INDEX(Product_Category!$B$2:$B$45,MATCH(TRIM(E2198),Product_Category!$A$2:$A$45,0))</f>
        <v>Cereals &amp; Grains</v>
      </c>
      <c r="G2198" s="4">
        <v>0</v>
      </c>
      <c r="H2198" s="4">
        <v>0</v>
      </c>
      <c r="I2198" s="4">
        <v>0</v>
      </c>
      <c r="J2198" s="4">
        <v>0</v>
      </c>
      <c r="K2198" s="4">
        <v>0</v>
      </c>
      <c r="L2198" s="4">
        <v>0</v>
      </c>
      <c r="M2198" s="4">
        <f t="shared" si="102"/>
        <v>0</v>
      </c>
      <c r="N2198" s="4">
        <f t="shared" si="103"/>
        <v>0</v>
      </c>
      <c r="O2198" s="4">
        <f t="shared" si="104"/>
        <v>0</v>
      </c>
      <c r="P2198" s="3" t="s">
        <v>19</v>
      </c>
    </row>
    <row r="2199" spans="1:16" x14ac:dyDescent="0.35">
      <c r="A2199" s="3" t="s">
        <v>40</v>
      </c>
      <c r="B2199" s="3" t="str">
        <f>INDEX(State_Region!$B$2:$B$26,MATCH(TRIM(A2199),State_Region!$A$2:$A$26,0))</f>
        <v>South</v>
      </c>
      <c r="C2199" s="3" t="s">
        <v>117</v>
      </c>
      <c r="D2199" s="3" t="str">
        <f>INDEX(Port_Type!$B$2:$B$227,MATCH(TRIM(C2199),Port_Type!$A$2:$A$227,0))</f>
        <v>Sea Port</v>
      </c>
      <c r="E2199" s="3" t="s">
        <v>110</v>
      </c>
      <c r="F2199" s="3" t="str">
        <f>INDEX(Product_Category!$B$2:$B$45,MATCH(TRIM(E2199),Product_Category!$A$2:$A$45,0))</f>
        <v>Dairy, Poultry &amp; Honey</v>
      </c>
      <c r="G2199" s="4">
        <v>1.1599999999999999</v>
      </c>
      <c r="H2199" s="4">
        <v>0</v>
      </c>
      <c r="I2199" s="4">
        <v>0</v>
      </c>
      <c r="J2199" s="4">
        <v>16058.88</v>
      </c>
      <c r="K2199" s="4">
        <v>0</v>
      </c>
      <c r="L2199" s="4">
        <v>0</v>
      </c>
      <c r="M2199" s="4">
        <f t="shared" si="102"/>
        <v>-1.1599999999999999</v>
      </c>
      <c r="N2199" s="4">
        <f t="shared" si="103"/>
        <v>-16058.88</v>
      </c>
      <c r="O2199" s="4">
        <f t="shared" si="104"/>
        <v>0</v>
      </c>
      <c r="P2199" s="3" t="s">
        <v>19</v>
      </c>
    </row>
    <row r="2200" spans="1:16" x14ac:dyDescent="0.35">
      <c r="A2200" s="3" t="s">
        <v>77</v>
      </c>
      <c r="B2200" s="3" t="str">
        <f>INDEX(State_Region!$B$2:$B$26,MATCH(TRIM(A2200),State_Region!$A$2:$A$26,0))</f>
        <v>South</v>
      </c>
      <c r="C2200" s="3" t="s">
        <v>157</v>
      </c>
      <c r="D2200" s="3" t="str">
        <f>INDEX(Port_Type!$B$2:$B$227,MATCH(TRIM(C2200),Port_Type!$A$2:$A$227,0))</f>
        <v>Air Cargo</v>
      </c>
      <c r="E2200" s="3" t="s">
        <v>118</v>
      </c>
      <c r="F2200" s="3" t="str">
        <f>INDEX(Product_Category!$B$2:$B$45,MATCH(TRIM(E2200),Product_Category!$A$2:$A$45,0))</f>
        <v>Dairy, Poultry &amp; Honey</v>
      </c>
      <c r="G2200" s="4">
        <v>0</v>
      </c>
      <c r="H2200" s="4">
        <v>0</v>
      </c>
      <c r="I2200" s="4">
        <v>0</v>
      </c>
      <c r="J2200" s="4">
        <v>0</v>
      </c>
      <c r="K2200" s="4">
        <v>0.2</v>
      </c>
      <c r="L2200" s="4">
        <v>0</v>
      </c>
      <c r="M2200" s="4">
        <f t="shared" si="102"/>
        <v>0</v>
      </c>
      <c r="N2200" s="4">
        <f t="shared" si="103"/>
        <v>0.2</v>
      </c>
      <c r="O2200" s="4">
        <f t="shared" si="104"/>
        <v>0</v>
      </c>
      <c r="P2200" s="3" t="s">
        <v>19</v>
      </c>
    </row>
    <row r="2201" spans="1:16" x14ac:dyDescent="0.35">
      <c r="A2201" s="3" t="s">
        <v>77</v>
      </c>
      <c r="B2201" s="3" t="str">
        <f>INDEX(State_Region!$B$2:$B$26,MATCH(TRIM(A2201),State_Region!$A$2:$A$26,0))</f>
        <v>South</v>
      </c>
      <c r="C2201" s="3" t="s">
        <v>157</v>
      </c>
      <c r="D2201" s="3" t="str">
        <f>INDEX(Port_Type!$B$2:$B$227,MATCH(TRIM(C2201),Port_Type!$A$2:$A$227,0))</f>
        <v>Air Cargo</v>
      </c>
      <c r="E2201" s="3" t="s">
        <v>65</v>
      </c>
      <c r="F2201" s="3" t="str">
        <f>INDEX(Product_Category!$B$2:$B$45,MATCH(TRIM(E2201),Product_Category!$A$2:$A$45,0))</f>
        <v>Cereals &amp; Grains</v>
      </c>
      <c r="G2201" s="4">
        <v>0</v>
      </c>
      <c r="H2201" s="4">
        <v>0</v>
      </c>
      <c r="I2201" s="4">
        <v>0</v>
      </c>
      <c r="J2201" s="4">
        <v>0</v>
      </c>
      <c r="K2201" s="4">
        <v>0.43</v>
      </c>
      <c r="L2201" s="4">
        <v>0</v>
      </c>
      <c r="M2201" s="4">
        <f t="shared" si="102"/>
        <v>0</v>
      </c>
      <c r="N2201" s="4">
        <f t="shared" si="103"/>
        <v>0.43</v>
      </c>
      <c r="O2201" s="4">
        <f t="shared" si="104"/>
        <v>0</v>
      </c>
      <c r="P2201" s="3" t="s">
        <v>19</v>
      </c>
    </row>
    <row r="2202" spans="1:16" x14ac:dyDescent="0.35">
      <c r="A2202" s="3" t="s">
        <v>77</v>
      </c>
      <c r="B2202" s="3" t="str">
        <f>INDEX(State_Region!$B$2:$B$26,MATCH(TRIM(A2202),State_Region!$A$2:$A$26,0))</f>
        <v>South</v>
      </c>
      <c r="C2202" s="3" t="s">
        <v>157</v>
      </c>
      <c r="D2202" s="3" t="str">
        <f>INDEX(Port_Type!$B$2:$B$227,MATCH(TRIM(C2202),Port_Type!$A$2:$A$227,0))</f>
        <v>Air Cargo</v>
      </c>
      <c r="E2202" s="3" t="s">
        <v>151</v>
      </c>
      <c r="F2202" s="3" t="str">
        <f>INDEX(Product_Category!$B$2:$B$45,MATCH(TRIM(E2202),Product_Category!$A$2:$A$45,0))</f>
        <v>Processed Foods</v>
      </c>
      <c r="G2202" s="4">
        <v>0</v>
      </c>
      <c r="H2202" s="4">
        <v>0</v>
      </c>
      <c r="I2202" s="4">
        <v>0</v>
      </c>
      <c r="J2202" s="4">
        <v>0.15</v>
      </c>
      <c r="K2202" s="4">
        <v>0.84</v>
      </c>
      <c r="L2202" s="4">
        <v>0</v>
      </c>
      <c r="M2202" s="4">
        <f t="shared" si="102"/>
        <v>0</v>
      </c>
      <c r="N2202" s="4">
        <f t="shared" si="103"/>
        <v>0.69</v>
      </c>
      <c r="O2202" s="4">
        <f t="shared" si="104"/>
        <v>0</v>
      </c>
      <c r="P2202" s="3" t="s">
        <v>19</v>
      </c>
    </row>
    <row r="2203" spans="1:16" x14ac:dyDescent="0.35">
      <c r="A2203" s="3" t="s">
        <v>77</v>
      </c>
      <c r="B2203" s="3" t="str">
        <f>INDEX(State_Region!$B$2:$B$26,MATCH(TRIM(A2203),State_Region!$A$2:$A$26,0))</f>
        <v>South</v>
      </c>
      <c r="C2203" s="3" t="s">
        <v>157</v>
      </c>
      <c r="D2203" s="3" t="str">
        <f>INDEX(Port_Type!$B$2:$B$227,MATCH(TRIM(C2203),Port_Type!$A$2:$A$227,0))</f>
        <v>Air Cargo</v>
      </c>
      <c r="E2203" s="3" t="s">
        <v>69</v>
      </c>
      <c r="F2203" s="3" t="str">
        <f>INDEX(Product_Category!$B$2:$B$45,MATCH(TRIM(E2203),Product_Category!$A$2:$A$45,0))</f>
        <v>Others</v>
      </c>
      <c r="G2203" s="4">
        <v>0</v>
      </c>
      <c r="H2203" s="4">
        <v>0</v>
      </c>
      <c r="I2203" s="4">
        <v>0</v>
      </c>
      <c r="J2203" s="4">
        <v>0.21</v>
      </c>
      <c r="K2203" s="4">
        <v>0.52</v>
      </c>
      <c r="L2203" s="4">
        <v>0</v>
      </c>
      <c r="M2203" s="4">
        <f t="shared" si="102"/>
        <v>0</v>
      </c>
      <c r="N2203" s="4">
        <f t="shared" si="103"/>
        <v>0.31000000000000005</v>
      </c>
      <c r="O2203" s="4">
        <f t="shared" si="104"/>
        <v>0</v>
      </c>
      <c r="P2203" s="3" t="s">
        <v>19</v>
      </c>
    </row>
    <row r="2204" spans="1:16" x14ac:dyDescent="0.35">
      <c r="A2204" s="3" t="s">
        <v>77</v>
      </c>
      <c r="B2204" s="3" t="str">
        <f>INDEX(State_Region!$B$2:$B$26,MATCH(TRIM(A2204),State_Region!$A$2:$A$26,0))</f>
        <v>South</v>
      </c>
      <c r="C2204" s="3" t="s">
        <v>157</v>
      </c>
      <c r="D2204" s="3" t="str">
        <f>INDEX(Port_Type!$B$2:$B$227,MATCH(TRIM(C2204),Port_Type!$A$2:$A$227,0))</f>
        <v>Air Cargo</v>
      </c>
      <c r="E2204" s="3" t="s">
        <v>72</v>
      </c>
      <c r="F2204" s="3" t="str">
        <f>INDEX(Product_Category!$B$2:$B$45,MATCH(TRIM(E2204),Product_Category!$A$2:$A$45,0))</f>
        <v>Dairy, Poultry &amp; Honey</v>
      </c>
      <c r="G2204" s="4">
        <v>0</v>
      </c>
      <c r="H2204" s="4">
        <v>0</v>
      </c>
      <c r="I2204" s="4">
        <v>0</v>
      </c>
      <c r="J2204" s="4">
        <v>0.03</v>
      </c>
      <c r="K2204" s="4">
        <v>0</v>
      </c>
      <c r="L2204" s="4">
        <v>0</v>
      </c>
      <c r="M2204" s="4">
        <f t="shared" si="102"/>
        <v>0</v>
      </c>
      <c r="N2204" s="4">
        <f t="shared" si="103"/>
        <v>-0.03</v>
      </c>
      <c r="O2204" s="4">
        <f t="shared" si="104"/>
        <v>0</v>
      </c>
      <c r="P2204" s="3" t="s">
        <v>19</v>
      </c>
    </row>
    <row r="2205" spans="1:16" x14ac:dyDescent="0.35">
      <c r="A2205" s="3" t="s">
        <v>77</v>
      </c>
      <c r="B2205" s="3" t="str">
        <f>INDEX(State_Region!$B$2:$B$26,MATCH(TRIM(A2205),State_Region!$A$2:$A$26,0))</f>
        <v>South</v>
      </c>
      <c r="C2205" s="3" t="s">
        <v>157</v>
      </c>
      <c r="D2205" s="3" t="str">
        <f>INDEX(Port_Type!$B$2:$B$227,MATCH(TRIM(C2205),Port_Type!$A$2:$A$227,0))</f>
        <v>Air Cargo</v>
      </c>
      <c r="E2205" s="3" t="s">
        <v>81</v>
      </c>
      <c r="F2205" s="3" t="str">
        <f>INDEX(Product_Category!$B$2:$B$45,MATCH(TRIM(E2205),Product_Category!$A$2:$A$45,0))</f>
        <v>Processed Foods</v>
      </c>
      <c r="G2205" s="4">
        <v>0.02</v>
      </c>
      <c r="H2205" s="4">
        <v>0</v>
      </c>
      <c r="I2205" s="4">
        <v>0</v>
      </c>
      <c r="J2205" s="4">
        <v>16.64</v>
      </c>
      <c r="K2205" s="4">
        <v>0</v>
      </c>
      <c r="L2205" s="4">
        <v>0</v>
      </c>
      <c r="M2205" s="4">
        <f t="shared" si="102"/>
        <v>-0.02</v>
      </c>
      <c r="N2205" s="4">
        <f t="shared" si="103"/>
        <v>-16.64</v>
      </c>
      <c r="O2205" s="4">
        <f t="shared" si="104"/>
        <v>0</v>
      </c>
      <c r="P2205" s="3" t="s">
        <v>19</v>
      </c>
    </row>
    <row r="2206" spans="1:16" x14ac:dyDescent="0.35">
      <c r="A2206" s="3" t="s">
        <v>79</v>
      </c>
      <c r="B2206" s="3" t="str">
        <f>INDEX(State_Region!$B$2:$B$26,MATCH(TRIM(A2206),State_Region!$A$2:$A$26,0))</f>
        <v>South</v>
      </c>
      <c r="C2206" s="3" t="s">
        <v>270</v>
      </c>
      <c r="D2206" s="3" t="str">
        <f>INDEX(Port_Type!$B$2:$B$227,MATCH(TRIM(C2206),Port_Type!$A$2:$A$227,0))</f>
        <v>SEZ / EPZ</v>
      </c>
      <c r="E2206" s="3" t="s">
        <v>39</v>
      </c>
      <c r="F2206" s="3" t="str">
        <f>INDEX(Product_Category!$B$2:$B$45,MATCH(TRIM(E2206),Product_Category!$A$2:$A$45,0))</f>
        <v>Processed Foods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  <c r="L2206" s="4">
        <v>0</v>
      </c>
      <c r="M2206" s="4">
        <f t="shared" si="102"/>
        <v>0</v>
      </c>
      <c r="N2206" s="4">
        <f t="shared" si="103"/>
        <v>0</v>
      </c>
      <c r="O2206" s="4">
        <f t="shared" si="104"/>
        <v>0</v>
      </c>
      <c r="P2206" s="3" t="s">
        <v>19</v>
      </c>
    </row>
    <row r="2207" spans="1:16" x14ac:dyDescent="0.35">
      <c r="A2207" s="3" t="s">
        <v>79</v>
      </c>
      <c r="B2207" s="3" t="str">
        <f>INDEX(State_Region!$B$2:$B$26,MATCH(TRIM(A2207),State_Region!$A$2:$A$26,0))</f>
        <v>South</v>
      </c>
      <c r="C2207" s="3" t="s">
        <v>270</v>
      </c>
      <c r="D2207" s="3" t="str">
        <f>INDEX(Port_Type!$B$2:$B$227,MATCH(TRIM(C2207),Port_Type!$A$2:$A$227,0))</f>
        <v>SEZ / EPZ</v>
      </c>
      <c r="E2207" s="3" t="s">
        <v>142</v>
      </c>
      <c r="F2207" s="3" t="str">
        <f>INDEX(Product_Category!$B$2:$B$45,MATCH(TRIM(E2207),Product_Category!$A$2:$A$45,0))</f>
        <v>Nuts &amp; Oilseeds</v>
      </c>
      <c r="G2207" s="4">
        <v>0</v>
      </c>
      <c r="H2207" s="4">
        <v>0</v>
      </c>
      <c r="I2207" s="4">
        <v>0</v>
      </c>
      <c r="J2207" s="4">
        <v>0</v>
      </c>
      <c r="K2207" s="4">
        <v>0.01</v>
      </c>
      <c r="L2207" s="4">
        <v>0</v>
      </c>
      <c r="M2207" s="4">
        <f t="shared" si="102"/>
        <v>0</v>
      </c>
      <c r="N2207" s="4">
        <f t="shared" si="103"/>
        <v>0.01</v>
      </c>
      <c r="O2207" s="4">
        <f t="shared" si="104"/>
        <v>0</v>
      </c>
      <c r="P2207" s="3" t="s">
        <v>19</v>
      </c>
    </row>
    <row r="2208" spans="1:16" x14ac:dyDescent="0.35">
      <c r="A2208" s="3" t="s">
        <v>79</v>
      </c>
      <c r="B2208" s="3" t="str">
        <f>INDEX(State_Region!$B$2:$B$26,MATCH(TRIM(A2208),State_Region!$A$2:$A$26,0))</f>
        <v>South</v>
      </c>
      <c r="C2208" s="3" t="s">
        <v>91</v>
      </c>
      <c r="D2208" s="3" t="str">
        <f>INDEX(Port_Type!$B$2:$B$227,MATCH(TRIM(C2208),Port_Type!$A$2:$A$227,0))</f>
        <v>Sea Port</v>
      </c>
      <c r="E2208" s="3" t="s">
        <v>33</v>
      </c>
      <c r="F2208" s="3" t="str">
        <f>INDEX(Product_Category!$B$2:$B$45,MATCH(TRIM(E2208),Product_Category!$A$2:$A$45,0))</f>
        <v>Pulses</v>
      </c>
      <c r="G2208" s="4">
        <v>0.04</v>
      </c>
      <c r="H2208" s="4">
        <v>0.05</v>
      </c>
      <c r="I2208" s="4">
        <v>0</v>
      </c>
      <c r="J2208" s="4">
        <v>34.29</v>
      </c>
      <c r="K2208" s="4">
        <v>47.41</v>
      </c>
      <c r="L2208" s="4">
        <v>0</v>
      </c>
      <c r="M2208" s="4">
        <f t="shared" si="102"/>
        <v>1.0000000000000002E-2</v>
      </c>
      <c r="N2208" s="4">
        <f t="shared" si="103"/>
        <v>13.119999999999997</v>
      </c>
      <c r="O2208" s="4">
        <f t="shared" si="104"/>
        <v>-0.05</v>
      </c>
      <c r="P2208" s="3" t="s">
        <v>19</v>
      </c>
    </row>
    <row r="2209" spans="1:16" x14ac:dyDescent="0.35">
      <c r="A2209" s="3" t="s">
        <v>79</v>
      </c>
      <c r="B2209" s="3" t="str">
        <f>INDEX(State_Region!$B$2:$B$26,MATCH(TRIM(A2209),State_Region!$A$2:$A$26,0))</f>
        <v>South</v>
      </c>
      <c r="C2209" s="3" t="s">
        <v>91</v>
      </c>
      <c r="D2209" s="3" t="str">
        <f>INDEX(Port_Type!$B$2:$B$227,MATCH(TRIM(C2209),Port_Type!$A$2:$A$227,0))</f>
        <v>Sea Port</v>
      </c>
      <c r="E2209" s="3" t="s">
        <v>221</v>
      </c>
      <c r="F2209" s="3" t="str">
        <f>INDEX(Product_Category!$B$2:$B$45,MATCH(TRIM(E2209),Product_Category!$A$2:$A$45,0))</f>
        <v>Meat &amp; Animal Products</v>
      </c>
      <c r="G2209" s="4">
        <v>0</v>
      </c>
      <c r="H2209" s="4">
        <v>0</v>
      </c>
      <c r="I2209" s="4">
        <v>0</v>
      </c>
      <c r="J2209" s="4">
        <v>0.11</v>
      </c>
      <c r="K2209" s="4">
        <v>0</v>
      </c>
      <c r="L2209" s="4">
        <v>0</v>
      </c>
      <c r="M2209" s="4">
        <f t="shared" si="102"/>
        <v>0</v>
      </c>
      <c r="N2209" s="4">
        <f t="shared" si="103"/>
        <v>-0.11</v>
      </c>
      <c r="O2209" s="4">
        <f t="shared" si="104"/>
        <v>0</v>
      </c>
      <c r="P2209" s="3" t="s">
        <v>19</v>
      </c>
    </row>
    <row r="2210" spans="1:16" x14ac:dyDescent="0.35">
      <c r="A2210" s="3" t="s">
        <v>79</v>
      </c>
      <c r="B2210" s="3" t="str">
        <f>INDEX(State_Region!$B$2:$B$26,MATCH(TRIM(A2210),State_Region!$A$2:$A$26,0))</f>
        <v>South</v>
      </c>
      <c r="C2210" s="3" t="s">
        <v>91</v>
      </c>
      <c r="D2210" s="3" t="str">
        <f>INDEX(Port_Type!$B$2:$B$227,MATCH(TRIM(C2210),Port_Type!$A$2:$A$227,0))</f>
        <v>Sea Port</v>
      </c>
      <c r="E2210" s="3" t="s">
        <v>102</v>
      </c>
      <c r="F2210" s="3" t="str">
        <f>INDEX(Product_Category!$B$2:$B$45,MATCH(TRIM(E2210),Product_Category!$A$2:$A$45,0))</f>
        <v>Fresh Fruits &amp; Vegetables</v>
      </c>
      <c r="G2210" s="4">
        <v>0.03</v>
      </c>
      <c r="H2210" s="4">
        <v>0.01</v>
      </c>
      <c r="I2210" s="4">
        <v>0</v>
      </c>
      <c r="J2210" s="4">
        <v>34.090000000000003</v>
      </c>
      <c r="K2210" s="4">
        <v>5.66</v>
      </c>
      <c r="L2210" s="4">
        <v>0</v>
      </c>
      <c r="M2210" s="4">
        <f t="shared" si="102"/>
        <v>-1.9999999999999997E-2</v>
      </c>
      <c r="N2210" s="4">
        <f t="shared" si="103"/>
        <v>-28.430000000000003</v>
      </c>
      <c r="O2210" s="4">
        <f t="shared" si="104"/>
        <v>-0.01</v>
      </c>
      <c r="P2210" s="3" t="s">
        <v>19</v>
      </c>
    </row>
    <row r="2211" spans="1:16" x14ac:dyDescent="0.35">
      <c r="A2211" s="3" t="s">
        <v>79</v>
      </c>
      <c r="B2211" s="3" t="str">
        <f>INDEX(State_Region!$B$2:$B$26,MATCH(TRIM(A2211),State_Region!$A$2:$A$26,0))</f>
        <v>South</v>
      </c>
      <c r="C2211" s="3" t="s">
        <v>91</v>
      </c>
      <c r="D2211" s="3" t="str">
        <f>INDEX(Port_Type!$B$2:$B$227,MATCH(TRIM(C2211),Port_Type!$A$2:$A$227,0))</f>
        <v>Sea Port</v>
      </c>
      <c r="E2211" s="3" t="s">
        <v>45</v>
      </c>
      <c r="F2211" s="3" t="str">
        <f>INDEX(Product_Category!$B$2:$B$45,MATCH(TRIM(E2211),Product_Category!$A$2:$A$45,0))</f>
        <v>Fresh Fruits &amp; Vegetables</v>
      </c>
      <c r="G2211" s="4">
        <v>0</v>
      </c>
      <c r="H2211" s="4">
        <v>0.08</v>
      </c>
      <c r="I2211" s="4">
        <v>0</v>
      </c>
      <c r="J2211" s="4">
        <v>1.55</v>
      </c>
      <c r="K2211" s="4">
        <v>40.42</v>
      </c>
      <c r="L2211" s="4">
        <v>0</v>
      </c>
      <c r="M2211" s="4">
        <f t="shared" si="102"/>
        <v>0.08</v>
      </c>
      <c r="N2211" s="4">
        <f t="shared" si="103"/>
        <v>38.870000000000005</v>
      </c>
      <c r="O2211" s="4">
        <f t="shared" si="104"/>
        <v>-0.08</v>
      </c>
      <c r="P2211" s="3" t="s">
        <v>19</v>
      </c>
    </row>
    <row r="2212" spans="1:16" x14ac:dyDescent="0.35">
      <c r="A2212" s="3" t="s">
        <v>79</v>
      </c>
      <c r="B2212" s="3" t="str">
        <f>INDEX(State_Region!$B$2:$B$26,MATCH(TRIM(A2212),State_Region!$A$2:$A$26,0))</f>
        <v>South</v>
      </c>
      <c r="C2212" s="3" t="s">
        <v>91</v>
      </c>
      <c r="D2212" s="3" t="str">
        <f>INDEX(Port_Type!$B$2:$B$227,MATCH(TRIM(C2212),Port_Type!$A$2:$A$227,0))</f>
        <v>Sea Port</v>
      </c>
      <c r="E2212" s="3" t="s">
        <v>118</v>
      </c>
      <c r="F2212" s="3" t="str">
        <f>INDEX(Product_Category!$B$2:$B$45,MATCH(TRIM(E2212),Product_Category!$A$2:$A$45,0))</f>
        <v>Dairy, Poultry &amp; Honey</v>
      </c>
      <c r="G2212" s="4">
        <v>0</v>
      </c>
      <c r="H2212" s="4">
        <v>0</v>
      </c>
      <c r="I2212" s="4">
        <v>0</v>
      </c>
      <c r="J2212" s="4">
        <v>0.2</v>
      </c>
      <c r="K2212" s="4">
        <v>0</v>
      </c>
      <c r="L2212" s="4">
        <v>0</v>
      </c>
      <c r="M2212" s="4">
        <f t="shared" si="102"/>
        <v>0</v>
      </c>
      <c r="N2212" s="4">
        <f t="shared" si="103"/>
        <v>-0.2</v>
      </c>
      <c r="O2212" s="4">
        <f t="shared" si="104"/>
        <v>0</v>
      </c>
      <c r="P2212" s="3" t="s">
        <v>19</v>
      </c>
    </row>
    <row r="2213" spans="1:16" x14ac:dyDescent="0.35">
      <c r="A2213" s="3" t="s">
        <v>79</v>
      </c>
      <c r="B2213" s="3" t="str">
        <f>INDEX(State_Region!$B$2:$B$26,MATCH(TRIM(A2213),State_Region!$A$2:$A$26,0))</f>
        <v>South</v>
      </c>
      <c r="C2213" s="3" t="s">
        <v>91</v>
      </c>
      <c r="D2213" s="3" t="str">
        <f>INDEX(Port_Type!$B$2:$B$227,MATCH(TRIM(C2213),Port_Type!$A$2:$A$227,0))</f>
        <v>Sea Port</v>
      </c>
      <c r="E2213" s="3" t="s">
        <v>65</v>
      </c>
      <c r="F2213" s="3" t="str">
        <f>INDEX(Product_Category!$B$2:$B$45,MATCH(TRIM(E2213),Product_Category!$A$2:$A$45,0))</f>
        <v>Cereals &amp; Grains</v>
      </c>
      <c r="G2213" s="4">
        <v>0</v>
      </c>
      <c r="H2213" s="4">
        <v>0</v>
      </c>
      <c r="I2213" s="4">
        <v>0</v>
      </c>
      <c r="J2213" s="4">
        <v>2.25</v>
      </c>
      <c r="K2213" s="4">
        <v>5.0999999999999996</v>
      </c>
      <c r="L2213" s="4">
        <v>0</v>
      </c>
      <c r="M2213" s="4">
        <f t="shared" si="102"/>
        <v>0</v>
      </c>
      <c r="N2213" s="4">
        <f t="shared" si="103"/>
        <v>2.8499999999999996</v>
      </c>
      <c r="O2213" s="4">
        <f t="shared" si="104"/>
        <v>0</v>
      </c>
      <c r="P2213" s="3" t="s">
        <v>19</v>
      </c>
    </row>
    <row r="2214" spans="1:16" x14ac:dyDescent="0.35">
      <c r="A2214" s="3" t="s">
        <v>79</v>
      </c>
      <c r="B2214" s="3" t="str">
        <f>INDEX(State_Region!$B$2:$B$26,MATCH(TRIM(A2214),State_Region!$A$2:$A$26,0))</f>
        <v>South</v>
      </c>
      <c r="C2214" s="3" t="s">
        <v>91</v>
      </c>
      <c r="D2214" s="3" t="str">
        <f>INDEX(Port_Type!$B$2:$B$227,MATCH(TRIM(C2214),Port_Type!$A$2:$A$227,0))</f>
        <v>Sea Port</v>
      </c>
      <c r="E2214" s="3" t="s">
        <v>122</v>
      </c>
      <c r="F2214" s="3" t="str">
        <f>INDEX(Product_Category!$B$2:$B$45,MATCH(TRIM(E2214),Product_Category!$A$2:$A$45,0))</f>
        <v>Others</v>
      </c>
      <c r="G2214" s="4">
        <v>0</v>
      </c>
      <c r="H2214" s="4">
        <v>0</v>
      </c>
      <c r="I2214" s="4">
        <v>0</v>
      </c>
      <c r="J2214" s="4">
        <v>1.3</v>
      </c>
      <c r="K2214" s="4">
        <v>0</v>
      </c>
      <c r="L2214" s="4">
        <v>0</v>
      </c>
      <c r="M2214" s="4">
        <f t="shared" si="102"/>
        <v>0</v>
      </c>
      <c r="N2214" s="4">
        <f t="shared" si="103"/>
        <v>-1.3</v>
      </c>
      <c r="O2214" s="4">
        <f t="shared" si="104"/>
        <v>0</v>
      </c>
      <c r="P2214" s="3" t="s">
        <v>19</v>
      </c>
    </row>
    <row r="2215" spans="1:16" x14ac:dyDescent="0.35">
      <c r="A2215" s="3" t="s">
        <v>79</v>
      </c>
      <c r="B2215" s="3" t="str">
        <f>INDEX(State_Region!$B$2:$B$26,MATCH(TRIM(A2215),State_Region!$A$2:$A$26,0))</f>
        <v>South</v>
      </c>
      <c r="C2215" s="3" t="s">
        <v>91</v>
      </c>
      <c r="D2215" s="3" t="str">
        <f>INDEX(Port_Type!$B$2:$B$227,MATCH(TRIM(C2215),Port_Type!$A$2:$A$227,0))</f>
        <v>Sea Port</v>
      </c>
      <c r="E2215" s="3" t="s">
        <v>72</v>
      </c>
      <c r="F2215" s="3" t="str">
        <f>INDEX(Product_Category!$B$2:$B$45,MATCH(TRIM(E2215),Product_Category!$A$2:$A$45,0))</f>
        <v>Dairy, Poultry &amp; Honey</v>
      </c>
      <c r="G2215" s="4">
        <v>0.01</v>
      </c>
      <c r="H2215" s="4">
        <v>0</v>
      </c>
      <c r="I2215" s="4">
        <v>0</v>
      </c>
      <c r="J2215" s="4">
        <v>1.58</v>
      </c>
      <c r="K2215" s="4">
        <v>0</v>
      </c>
      <c r="L2215" s="4">
        <v>0</v>
      </c>
      <c r="M2215" s="4">
        <f t="shared" si="102"/>
        <v>-0.01</v>
      </c>
      <c r="N2215" s="4">
        <f t="shared" si="103"/>
        <v>-1.58</v>
      </c>
      <c r="O2215" s="4">
        <f t="shared" si="104"/>
        <v>0</v>
      </c>
      <c r="P2215" s="3" t="s">
        <v>19</v>
      </c>
    </row>
    <row r="2216" spans="1:16" x14ac:dyDescent="0.35">
      <c r="A2216" s="3" t="s">
        <v>79</v>
      </c>
      <c r="B2216" s="3" t="str">
        <f>INDEX(State_Region!$B$2:$B$26,MATCH(TRIM(A2216),State_Region!$A$2:$A$26,0))</f>
        <v>South</v>
      </c>
      <c r="C2216" s="3" t="s">
        <v>91</v>
      </c>
      <c r="D2216" s="3" t="str">
        <f>INDEX(Port_Type!$B$2:$B$227,MATCH(TRIM(C2216),Port_Type!$A$2:$A$227,0))</f>
        <v>Sea Port</v>
      </c>
      <c r="E2216" s="3" t="s">
        <v>150</v>
      </c>
      <c r="F2216" s="3" t="str">
        <f>INDEX(Product_Category!$B$2:$B$45,MATCH(TRIM(E2216),Product_Category!$A$2:$A$45,0))</f>
        <v>Nuts &amp; Oilseeds</v>
      </c>
      <c r="G2216" s="4">
        <v>0.26</v>
      </c>
      <c r="H2216" s="4">
        <v>0.02</v>
      </c>
      <c r="I2216" s="4">
        <v>0</v>
      </c>
      <c r="J2216" s="4">
        <v>92.3</v>
      </c>
      <c r="K2216" s="4">
        <v>1.5</v>
      </c>
      <c r="L2216" s="4">
        <v>0</v>
      </c>
      <c r="M2216" s="4">
        <f t="shared" si="102"/>
        <v>-0.24000000000000002</v>
      </c>
      <c r="N2216" s="4">
        <f t="shared" si="103"/>
        <v>-90.8</v>
      </c>
      <c r="O2216" s="4">
        <f t="shared" si="104"/>
        <v>-0.02</v>
      </c>
      <c r="P2216" s="3" t="s">
        <v>19</v>
      </c>
    </row>
    <row r="2217" spans="1:16" x14ac:dyDescent="0.35">
      <c r="A2217" s="3" t="s">
        <v>79</v>
      </c>
      <c r="B2217" s="3" t="str">
        <f>INDEX(State_Region!$B$2:$B$26,MATCH(TRIM(A2217),State_Region!$A$2:$A$26,0))</f>
        <v>South</v>
      </c>
      <c r="C2217" s="3" t="s">
        <v>91</v>
      </c>
      <c r="D2217" s="3" t="str">
        <f>INDEX(Port_Type!$B$2:$B$227,MATCH(TRIM(C2217),Port_Type!$A$2:$A$227,0))</f>
        <v>Sea Port</v>
      </c>
      <c r="E2217" s="3" t="s">
        <v>179</v>
      </c>
      <c r="F2217" s="3" t="str">
        <f>INDEX(Product_Category!$B$2:$B$45,MATCH(TRIM(E2217),Product_Category!$A$2:$A$45,0))</f>
        <v>Nuts &amp; Oilseeds</v>
      </c>
      <c r="G2217" s="4">
        <v>2.11</v>
      </c>
      <c r="H2217" s="4">
        <v>12.11</v>
      </c>
      <c r="I2217" s="4">
        <v>0</v>
      </c>
      <c r="J2217" s="4">
        <v>1760.16</v>
      </c>
      <c r="K2217" s="4">
        <v>8345.2000000000007</v>
      </c>
      <c r="L2217" s="4">
        <v>0</v>
      </c>
      <c r="M2217" s="4">
        <f t="shared" si="102"/>
        <v>10</v>
      </c>
      <c r="N2217" s="4">
        <f t="shared" si="103"/>
        <v>6585.0400000000009</v>
      </c>
      <c r="O2217" s="4">
        <f t="shared" si="104"/>
        <v>-12.11</v>
      </c>
      <c r="P2217" s="3" t="s">
        <v>19</v>
      </c>
    </row>
    <row r="2218" spans="1:16" x14ac:dyDescent="0.35">
      <c r="A2218" s="3" t="s">
        <v>40</v>
      </c>
      <c r="B2218" s="3" t="str">
        <f>INDEX(State_Region!$B$2:$B$26,MATCH(TRIM(A2218),State_Region!$A$2:$A$26,0))</f>
        <v>South</v>
      </c>
      <c r="C2218" s="3" t="s">
        <v>241</v>
      </c>
      <c r="D2218" s="3" t="str">
        <f>INDEX(Port_Type!$B$2:$B$227,MATCH(TRIM(C2218),Port_Type!$A$2:$A$227,0))</f>
        <v>Air Cargo</v>
      </c>
      <c r="E2218" s="3" t="s">
        <v>179</v>
      </c>
      <c r="F2218" s="3" t="str">
        <f>INDEX(Product_Category!$B$2:$B$45,MATCH(TRIM(E2218),Product_Category!$A$2:$A$45,0))</f>
        <v>Nuts &amp; Oilseeds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  <c r="L2218" s="4">
        <v>0</v>
      </c>
      <c r="M2218" s="4">
        <f t="shared" si="102"/>
        <v>0</v>
      </c>
      <c r="N2218" s="4">
        <f t="shared" si="103"/>
        <v>0</v>
      </c>
      <c r="O2218" s="4">
        <f t="shared" si="104"/>
        <v>0</v>
      </c>
      <c r="P2218" s="3" t="s">
        <v>19</v>
      </c>
    </row>
    <row r="2219" spans="1:16" x14ac:dyDescent="0.35">
      <c r="A2219" s="3" t="s">
        <v>40</v>
      </c>
      <c r="B2219" s="3" t="str">
        <f>INDEX(State_Region!$B$2:$B$26,MATCH(TRIM(A2219),State_Region!$A$2:$A$26,0))</f>
        <v>South</v>
      </c>
      <c r="C2219" s="3" t="s">
        <v>241</v>
      </c>
      <c r="D2219" s="3" t="str">
        <f>INDEX(Port_Type!$B$2:$B$227,MATCH(TRIM(C2219),Port_Type!$A$2:$A$227,0))</f>
        <v>Air Cargo</v>
      </c>
      <c r="E2219" s="3" t="s">
        <v>150</v>
      </c>
      <c r="F2219" s="3" t="str">
        <f>INDEX(Product_Category!$B$2:$B$45,MATCH(TRIM(E2219),Product_Category!$A$2:$A$45,0))</f>
        <v>Nuts &amp; Oilseeds</v>
      </c>
      <c r="G2219" s="4">
        <v>0</v>
      </c>
      <c r="H2219" s="4">
        <v>0</v>
      </c>
      <c r="I2219" s="4">
        <v>0</v>
      </c>
      <c r="J2219" s="4">
        <v>0.04</v>
      </c>
      <c r="K2219" s="4">
        <v>0</v>
      </c>
      <c r="L2219" s="4">
        <v>0</v>
      </c>
      <c r="M2219" s="4">
        <f t="shared" si="102"/>
        <v>0</v>
      </c>
      <c r="N2219" s="4">
        <f t="shared" si="103"/>
        <v>-0.04</v>
      </c>
      <c r="O2219" s="4">
        <f t="shared" si="104"/>
        <v>0</v>
      </c>
      <c r="P2219" s="3" t="s">
        <v>19</v>
      </c>
    </row>
    <row r="2220" spans="1:16" x14ac:dyDescent="0.35">
      <c r="A2220" s="3" t="s">
        <v>40</v>
      </c>
      <c r="B2220" s="3" t="str">
        <f>INDEX(State_Region!$B$2:$B$26,MATCH(TRIM(A2220),State_Region!$A$2:$A$26,0))</f>
        <v>South</v>
      </c>
      <c r="C2220" s="3" t="s">
        <v>241</v>
      </c>
      <c r="D2220" s="3" t="str">
        <f>INDEX(Port_Type!$B$2:$B$227,MATCH(TRIM(C2220),Port_Type!$A$2:$A$227,0))</f>
        <v>Air Cargo</v>
      </c>
      <c r="E2220" s="3" t="s">
        <v>59</v>
      </c>
      <c r="F2220" s="3" t="str">
        <f>INDEX(Product_Category!$B$2:$B$45,MATCH(TRIM(E2220),Product_Category!$A$2:$A$45,0))</f>
        <v>Processed Foods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  <c r="L2220" s="4">
        <v>0</v>
      </c>
      <c r="M2220" s="4">
        <f t="shared" si="102"/>
        <v>0</v>
      </c>
      <c r="N2220" s="4">
        <f t="shared" si="103"/>
        <v>0</v>
      </c>
      <c r="O2220" s="4">
        <f t="shared" si="104"/>
        <v>0</v>
      </c>
      <c r="P2220" s="3" t="s">
        <v>19</v>
      </c>
    </row>
    <row r="2221" spans="1:16" x14ac:dyDescent="0.35">
      <c r="A2221" s="3" t="s">
        <v>79</v>
      </c>
      <c r="B2221" s="3" t="str">
        <f>INDEX(State_Region!$B$2:$B$26,MATCH(TRIM(A2221),State_Region!$A$2:$A$26,0))</f>
        <v>South</v>
      </c>
      <c r="C2221" s="3" t="s">
        <v>226</v>
      </c>
      <c r="D2221" s="3" t="str">
        <f>INDEX(Port_Type!$B$2:$B$227,MATCH(TRIM(C2221),Port_Type!$A$2:$A$227,0))</f>
        <v>Air Cargo</v>
      </c>
      <c r="E2221" s="3" t="s">
        <v>33</v>
      </c>
      <c r="F2221" s="3" t="str">
        <f>INDEX(Product_Category!$B$2:$B$45,MATCH(TRIM(E2221),Product_Category!$A$2:$A$45,0))</f>
        <v>Pulses</v>
      </c>
      <c r="G2221" s="4">
        <v>0</v>
      </c>
      <c r="H2221" s="4">
        <v>0</v>
      </c>
      <c r="I2221" s="4">
        <v>0</v>
      </c>
      <c r="J2221" s="4">
        <v>0</v>
      </c>
      <c r="K2221" s="4">
        <v>0.02</v>
      </c>
      <c r="L2221" s="4">
        <v>0</v>
      </c>
      <c r="M2221" s="4">
        <f t="shared" si="102"/>
        <v>0</v>
      </c>
      <c r="N2221" s="4">
        <f t="shared" si="103"/>
        <v>0.02</v>
      </c>
      <c r="O2221" s="4">
        <f t="shared" si="104"/>
        <v>0</v>
      </c>
      <c r="P2221" s="3" t="s">
        <v>19</v>
      </c>
    </row>
    <row r="2222" spans="1:16" x14ac:dyDescent="0.35">
      <c r="A2222" s="3" t="s">
        <v>40</v>
      </c>
      <c r="B2222" s="3" t="str">
        <f>INDEX(State_Region!$B$2:$B$26,MATCH(TRIM(A2222),State_Region!$A$2:$A$26,0))</f>
        <v>South</v>
      </c>
      <c r="C2222" s="3" t="s">
        <v>241</v>
      </c>
      <c r="D2222" s="3" t="str">
        <f>INDEX(Port_Type!$B$2:$B$227,MATCH(TRIM(C2222),Port_Type!$A$2:$A$227,0))</f>
        <v>Air Cargo</v>
      </c>
      <c r="E2222" s="3" t="s">
        <v>76</v>
      </c>
      <c r="F2222" s="3" t="str">
        <f>INDEX(Product_Category!$B$2:$B$45,MATCH(TRIM(E2222),Product_Category!$A$2:$A$45,0))</f>
        <v>Fresh Fruits &amp; Vegetables</v>
      </c>
      <c r="G2222" s="4">
        <v>0</v>
      </c>
      <c r="H2222" s="4">
        <v>0</v>
      </c>
      <c r="I2222" s="4">
        <v>0</v>
      </c>
      <c r="J2222" s="4">
        <v>0.4</v>
      </c>
      <c r="K2222" s="4">
        <v>1.68</v>
      </c>
      <c r="L2222" s="4">
        <v>0</v>
      </c>
      <c r="M2222" s="4">
        <f t="shared" si="102"/>
        <v>0</v>
      </c>
      <c r="N2222" s="4">
        <f t="shared" si="103"/>
        <v>1.2799999999999998</v>
      </c>
      <c r="O2222" s="4">
        <f t="shared" si="104"/>
        <v>0</v>
      </c>
      <c r="P2222" s="3" t="s">
        <v>19</v>
      </c>
    </row>
    <row r="2223" spans="1:16" x14ac:dyDescent="0.35">
      <c r="A2223" s="3" t="s">
        <v>40</v>
      </c>
      <c r="B2223" s="3" t="str">
        <f>INDEX(State_Region!$B$2:$B$26,MATCH(TRIM(A2223),State_Region!$A$2:$A$26,0))</f>
        <v>South</v>
      </c>
      <c r="C2223" s="3" t="s">
        <v>241</v>
      </c>
      <c r="D2223" s="3" t="str">
        <f>INDEX(Port_Type!$B$2:$B$227,MATCH(TRIM(C2223),Port_Type!$A$2:$A$227,0))</f>
        <v>Air Cargo</v>
      </c>
      <c r="E2223" s="3" t="s">
        <v>55</v>
      </c>
      <c r="F2223" s="3" t="str">
        <f>INDEX(Product_Category!$B$2:$B$45,MATCH(TRIM(E2223),Product_Category!$A$2:$A$45,0))</f>
        <v>Fresh Fruits &amp; Vegetables</v>
      </c>
      <c r="G2223" s="4">
        <v>0</v>
      </c>
      <c r="H2223" s="4">
        <v>0</v>
      </c>
      <c r="I2223" s="4">
        <v>0</v>
      </c>
      <c r="J2223" s="4">
        <v>0.41</v>
      </c>
      <c r="K2223" s="4">
        <v>3.1</v>
      </c>
      <c r="L2223" s="4">
        <v>0</v>
      </c>
      <c r="M2223" s="4">
        <f t="shared" si="102"/>
        <v>0</v>
      </c>
      <c r="N2223" s="4">
        <f t="shared" si="103"/>
        <v>2.69</v>
      </c>
      <c r="O2223" s="4">
        <f t="shared" si="104"/>
        <v>0</v>
      </c>
      <c r="P2223" s="3" t="s">
        <v>19</v>
      </c>
    </row>
    <row r="2224" spans="1:16" x14ac:dyDescent="0.35">
      <c r="A2224" s="3" t="s">
        <v>40</v>
      </c>
      <c r="B2224" s="3" t="str">
        <f>INDEX(State_Region!$B$2:$B$26,MATCH(TRIM(A2224),State_Region!$A$2:$A$26,0))</f>
        <v>South</v>
      </c>
      <c r="C2224" s="3" t="s">
        <v>241</v>
      </c>
      <c r="D2224" s="3" t="str">
        <f>INDEX(Port_Type!$B$2:$B$227,MATCH(TRIM(C2224),Port_Type!$A$2:$A$227,0))</f>
        <v>Air Cargo</v>
      </c>
      <c r="E2224" s="3" t="s">
        <v>51</v>
      </c>
      <c r="F2224" s="3" t="str">
        <f>INDEX(Product_Category!$B$2:$B$45,MATCH(TRIM(E2224),Product_Category!$A$2:$A$45,0))</f>
        <v>Nuts &amp; Oilseeds</v>
      </c>
      <c r="G2224" s="4">
        <v>0</v>
      </c>
      <c r="H2224" s="4">
        <v>0</v>
      </c>
      <c r="I2224" s="4">
        <v>0</v>
      </c>
      <c r="J2224" s="4">
        <v>0.19</v>
      </c>
      <c r="K2224" s="4">
        <v>0</v>
      </c>
      <c r="L2224" s="4">
        <v>0</v>
      </c>
      <c r="M2224" s="4">
        <f t="shared" si="102"/>
        <v>0</v>
      </c>
      <c r="N2224" s="4">
        <f t="shared" si="103"/>
        <v>-0.19</v>
      </c>
      <c r="O2224" s="4">
        <f t="shared" si="104"/>
        <v>0</v>
      </c>
      <c r="P2224" s="3" t="s">
        <v>19</v>
      </c>
    </row>
    <row r="2225" spans="1:16" x14ac:dyDescent="0.35">
      <c r="A2225" s="3" t="s">
        <v>40</v>
      </c>
      <c r="B2225" s="3" t="str">
        <f>INDEX(State_Region!$B$2:$B$26,MATCH(TRIM(A2225),State_Region!$A$2:$A$26,0))</f>
        <v>South</v>
      </c>
      <c r="C2225" s="3" t="s">
        <v>241</v>
      </c>
      <c r="D2225" s="3" t="str">
        <f>INDEX(Port_Type!$B$2:$B$227,MATCH(TRIM(C2225),Port_Type!$A$2:$A$227,0))</f>
        <v>Air Cargo</v>
      </c>
      <c r="E2225" s="3" t="s">
        <v>65</v>
      </c>
      <c r="F2225" s="3" t="str">
        <f>INDEX(Product_Category!$B$2:$B$45,MATCH(TRIM(E2225),Product_Category!$A$2:$A$45,0))</f>
        <v>Cereals &amp; Grains</v>
      </c>
      <c r="G2225" s="4">
        <v>0</v>
      </c>
      <c r="H2225" s="4">
        <v>0</v>
      </c>
      <c r="I2225" s="4">
        <v>0</v>
      </c>
      <c r="J2225" s="4">
        <v>1.55</v>
      </c>
      <c r="K2225" s="4">
        <v>0</v>
      </c>
      <c r="L2225" s="4">
        <v>0.01</v>
      </c>
      <c r="M2225" s="4">
        <f t="shared" si="102"/>
        <v>0</v>
      </c>
      <c r="N2225" s="4">
        <f t="shared" si="103"/>
        <v>-1.55</v>
      </c>
      <c r="O2225" s="4">
        <f t="shared" si="104"/>
        <v>0</v>
      </c>
      <c r="P2225" s="3" t="s">
        <v>19</v>
      </c>
    </row>
    <row r="2226" spans="1:16" x14ac:dyDescent="0.35">
      <c r="A2226" s="3" t="s">
        <v>40</v>
      </c>
      <c r="B2226" s="3" t="str">
        <f>INDEX(State_Region!$B$2:$B$26,MATCH(TRIM(A2226),State_Region!$A$2:$A$26,0))</f>
        <v>South</v>
      </c>
      <c r="C2226" s="3" t="s">
        <v>241</v>
      </c>
      <c r="D2226" s="3" t="str">
        <f>INDEX(Port_Type!$B$2:$B$227,MATCH(TRIM(C2226),Port_Type!$A$2:$A$227,0))</f>
        <v>Air Cargo</v>
      </c>
      <c r="E2226" s="3" t="s">
        <v>144</v>
      </c>
      <c r="F2226" s="3" t="str">
        <f>INDEX(Product_Category!$B$2:$B$45,MATCH(TRIM(E2226),Product_Category!$A$2:$A$45,0))</f>
        <v>Cereals &amp; Grains</v>
      </c>
      <c r="G2226" s="4">
        <v>0</v>
      </c>
      <c r="H2226" s="4">
        <v>0</v>
      </c>
      <c r="I2226" s="4">
        <v>0</v>
      </c>
      <c r="J2226" s="4">
        <v>0.05</v>
      </c>
      <c r="K2226" s="4">
        <v>0.01</v>
      </c>
      <c r="L2226" s="4">
        <v>0</v>
      </c>
      <c r="M2226" s="4">
        <f t="shared" si="102"/>
        <v>0</v>
      </c>
      <c r="N2226" s="4">
        <f t="shared" si="103"/>
        <v>-0.04</v>
      </c>
      <c r="O2226" s="4">
        <f t="shared" si="104"/>
        <v>0</v>
      </c>
      <c r="P2226" s="3" t="s">
        <v>19</v>
      </c>
    </row>
    <row r="2227" spans="1:16" x14ac:dyDescent="0.35">
      <c r="A2227" s="3" t="s">
        <v>40</v>
      </c>
      <c r="B2227" s="3" t="str">
        <f>INDEX(State_Region!$B$2:$B$26,MATCH(TRIM(A2227),State_Region!$A$2:$A$26,0))</f>
        <v>South</v>
      </c>
      <c r="C2227" s="3" t="s">
        <v>241</v>
      </c>
      <c r="D2227" s="3" t="str">
        <f>INDEX(Port_Type!$B$2:$B$227,MATCH(TRIM(C2227),Port_Type!$A$2:$A$227,0))</f>
        <v>Air Cargo</v>
      </c>
      <c r="E2227" s="3" t="s">
        <v>126</v>
      </c>
      <c r="F2227" s="3" t="str">
        <f>INDEX(Product_Category!$B$2:$B$45,MATCH(TRIM(E2227),Product_Category!$A$2:$A$45,0))</f>
        <v>Cereals &amp; Grains</v>
      </c>
      <c r="G2227" s="4">
        <v>0</v>
      </c>
      <c r="H2227" s="4">
        <v>0</v>
      </c>
      <c r="I2227" s="4">
        <v>0</v>
      </c>
      <c r="J2227" s="4">
        <v>0.03</v>
      </c>
      <c r="K2227" s="4">
        <v>0</v>
      </c>
      <c r="L2227" s="4">
        <v>0</v>
      </c>
      <c r="M2227" s="4">
        <f t="shared" si="102"/>
        <v>0</v>
      </c>
      <c r="N2227" s="4">
        <f t="shared" si="103"/>
        <v>-0.03</v>
      </c>
      <c r="O2227" s="4">
        <f t="shared" si="104"/>
        <v>0</v>
      </c>
      <c r="P2227" s="3" t="s">
        <v>19</v>
      </c>
    </row>
    <row r="2228" spans="1:16" x14ac:dyDescent="0.35">
      <c r="A2228" s="3" t="s">
        <v>79</v>
      </c>
      <c r="B2228" s="3" t="str">
        <f>INDEX(State_Region!$B$2:$B$26,MATCH(TRIM(A2228),State_Region!$A$2:$A$26,0))</f>
        <v>South</v>
      </c>
      <c r="C2228" s="3" t="s">
        <v>226</v>
      </c>
      <c r="D2228" s="3" t="str">
        <f>INDEX(Port_Type!$B$2:$B$227,MATCH(TRIM(C2228),Port_Type!$A$2:$A$227,0))</f>
        <v>Air Cargo</v>
      </c>
      <c r="E2228" s="3" t="s">
        <v>54</v>
      </c>
      <c r="F2228" s="3" t="str">
        <f>INDEX(Product_Category!$B$2:$B$45,MATCH(TRIM(E2228),Product_Category!$A$2:$A$45,0))</f>
        <v>Processed Foods</v>
      </c>
      <c r="G2228" s="4">
        <v>0.22</v>
      </c>
      <c r="H2228" s="4">
        <v>0</v>
      </c>
      <c r="I2228" s="4">
        <v>0</v>
      </c>
      <c r="J2228" s="4">
        <v>144.69999999999999</v>
      </c>
      <c r="K2228" s="4">
        <v>0</v>
      </c>
      <c r="L2228" s="4">
        <v>0</v>
      </c>
      <c r="M2228" s="4">
        <f t="shared" si="102"/>
        <v>-0.22</v>
      </c>
      <c r="N2228" s="4">
        <f t="shared" si="103"/>
        <v>-144.69999999999999</v>
      </c>
      <c r="O2228" s="4">
        <f t="shared" si="104"/>
        <v>0</v>
      </c>
      <c r="P2228" s="3" t="s">
        <v>19</v>
      </c>
    </row>
    <row r="2229" spans="1:16" x14ac:dyDescent="0.35">
      <c r="A2229" s="3" t="s">
        <v>40</v>
      </c>
      <c r="B2229" s="3" t="str">
        <f>INDEX(State_Region!$B$2:$B$26,MATCH(TRIM(A2229),State_Region!$A$2:$A$26,0))</f>
        <v>South</v>
      </c>
      <c r="C2229" s="3" t="s">
        <v>241</v>
      </c>
      <c r="D2229" s="3" t="str">
        <f>INDEX(Port_Type!$B$2:$B$227,MATCH(TRIM(C2229),Port_Type!$A$2:$A$227,0))</f>
        <v>Air Cargo</v>
      </c>
      <c r="E2229" s="3" t="s">
        <v>170</v>
      </c>
      <c r="F2229" s="3" t="str">
        <f>INDEX(Product_Category!$B$2:$B$45,MATCH(TRIM(E2229),Product_Category!$A$2:$A$45,0))</f>
        <v>Others</v>
      </c>
      <c r="G2229" s="4">
        <v>0</v>
      </c>
      <c r="H2229" s="4">
        <v>0</v>
      </c>
      <c r="I2229" s="4">
        <v>0</v>
      </c>
      <c r="J2229" s="4">
        <v>0.01</v>
      </c>
      <c r="K2229" s="4">
        <v>0.42</v>
      </c>
      <c r="L2229" s="4">
        <v>0</v>
      </c>
      <c r="M2229" s="4">
        <f t="shared" si="102"/>
        <v>0</v>
      </c>
      <c r="N2229" s="4">
        <f t="shared" si="103"/>
        <v>0.41</v>
      </c>
      <c r="O2229" s="4">
        <f t="shared" si="104"/>
        <v>0</v>
      </c>
      <c r="P2229" s="3" t="s">
        <v>19</v>
      </c>
    </row>
    <row r="2230" spans="1:16" x14ac:dyDescent="0.35">
      <c r="A2230" s="3" t="s">
        <v>79</v>
      </c>
      <c r="B2230" s="3" t="str">
        <f>INDEX(State_Region!$B$2:$B$26,MATCH(TRIM(A2230),State_Region!$A$2:$A$26,0))</f>
        <v>South</v>
      </c>
      <c r="C2230" s="3" t="s">
        <v>226</v>
      </c>
      <c r="D2230" s="3" t="str">
        <f>INDEX(Port_Type!$B$2:$B$227,MATCH(TRIM(C2230),Port_Type!$A$2:$A$227,0))</f>
        <v>Air Cargo</v>
      </c>
      <c r="E2230" s="3" t="s">
        <v>39</v>
      </c>
      <c r="F2230" s="3" t="str">
        <f>INDEX(Product_Category!$B$2:$B$45,MATCH(TRIM(E2230),Product_Category!$A$2:$A$45,0))</f>
        <v>Processed Foods</v>
      </c>
      <c r="G2230" s="4">
        <v>0</v>
      </c>
      <c r="H2230" s="4">
        <v>0</v>
      </c>
      <c r="I2230" s="4">
        <v>0</v>
      </c>
      <c r="J2230" s="4">
        <v>0.65</v>
      </c>
      <c r="K2230" s="4">
        <v>0.2</v>
      </c>
      <c r="L2230" s="4">
        <v>0</v>
      </c>
      <c r="M2230" s="4">
        <f t="shared" si="102"/>
        <v>0</v>
      </c>
      <c r="N2230" s="4">
        <f t="shared" si="103"/>
        <v>-0.45</v>
      </c>
      <c r="O2230" s="4">
        <f t="shared" si="104"/>
        <v>0</v>
      </c>
      <c r="P2230" s="3" t="s">
        <v>19</v>
      </c>
    </row>
    <row r="2231" spans="1:16" x14ac:dyDescent="0.35">
      <c r="A2231" s="3" t="s">
        <v>40</v>
      </c>
      <c r="B2231" s="3" t="str">
        <f>INDEX(State_Region!$B$2:$B$26,MATCH(TRIM(A2231),State_Region!$A$2:$A$26,0))</f>
        <v>South</v>
      </c>
      <c r="C2231" s="3" t="s">
        <v>241</v>
      </c>
      <c r="D2231" s="3" t="str">
        <f>INDEX(Port_Type!$B$2:$B$227,MATCH(TRIM(C2231),Port_Type!$A$2:$A$227,0))</f>
        <v>Air Cargo</v>
      </c>
      <c r="E2231" s="3" t="s">
        <v>42</v>
      </c>
      <c r="F2231" s="3" t="str">
        <f>INDEX(Product_Category!$B$2:$B$45,MATCH(TRIM(E2231),Product_Category!$A$2:$A$45,0))</f>
        <v>Processed Foods</v>
      </c>
      <c r="G2231" s="4">
        <v>0</v>
      </c>
      <c r="H2231" s="4">
        <v>0</v>
      </c>
      <c r="I2231" s="4">
        <v>0</v>
      </c>
      <c r="J2231" s="4">
        <v>3.53</v>
      </c>
      <c r="K2231" s="4">
        <v>0</v>
      </c>
      <c r="L2231" s="4">
        <v>0</v>
      </c>
      <c r="M2231" s="4">
        <f t="shared" si="102"/>
        <v>0</v>
      </c>
      <c r="N2231" s="4">
        <f t="shared" si="103"/>
        <v>-3.53</v>
      </c>
      <c r="O2231" s="4">
        <f t="shared" si="104"/>
        <v>0</v>
      </c>
      <c r="P2231" s="3" t="s">
        <v>19</v>
      </c>
    </row>
    <row r="2232" spans="1:16" x14ac:dyDescent="0.35">
      <c r="A2232" s="3" t="s">
        <v>40</v>
      </c>
      <c r="B2232" s="3" t="str">
        <f>INDEX(State_Region!$B$2:$B$26,MATCH(TRIM(A2232),State_Region!$A$2:$A$26,0))</f>
        <v>South</v>
      </c>
      <c r="C2232" s="3" t="s">
        <v>241</v>
      </c>
      <c r="D2232" s="3" t="str">
        <f>INDEX(Port_Type!$B$2:$B$227,MATCH(TRIM(C2232),Port_Type!$A$2:$A$227,0))</f>
        <v>Air Cargo</v>
      </c>
      <c r="E2232" s="3" t="s">
        <v>33</v>
      </c>
      <c r="F2232" s="3" t="str">
        <f>INDEX(Product_Category!$B$2:$B$45,MATCH(TRIM(E2232),Product_Category!$A$2:$A$45,0))</f>
        <v>Pulses</v>
      </c>
      <c r="G2232" s="4">
        <v>0</v>
      </c>
      <c r="H2232" s="4">
        <v>0</v>
      </c>
      <c r="I2232" s="4">
        <v>0</v>
      </c>
      <c r="J2232" s="4">
        <v>0.03</v>
      </c>
      <c r="K2232" s="4">
        <v>0.4</v>
      </c>
      <c r="L2232" s="4">
        <v>0</v>
      </c>
      <c r="M2232" s="4">
        <f t="shared" si="102"/>
        <v>0</v>
      </c>
      <c r="N2232" s="4">
        <f t="shared" si="103"/>
        <v>0.37</v>
      </c>
      <c r="O2232" s="4">
        <f t="shared" si="104"/>
        <v>0</v>
      </c>
      <c r="P2232" s="3" t="s">
        <v>19</v>
      </c>
    </row>
    <row r="2233" spans="1:16" x14ac:dyDescent="0.35">
      <c r="A2233" s="3" t="s">
        <v>40</v>
      </c>
      <c r="B2233" s="3" t="str">
        <f>INDEX(State_Region!$B$2:$B$26,MATCH(TRIM(A2233),State_Region!$A$2:$A$26,0))</f>
        <v>South</v>
      </c>
      <c r="C2233" s="3" t="s">
        <v>271</v>
      </c>
      <c r="D2233" s="3" t="str">
        <f>INDEX(Port_Type!$B$2:$B$227,MATCH(TRIM(C2233),Port_Type!$A$2:$A$227,0))</f>
        <v>SEZ / EPZ</v>
      </c>
      <c r="E2233" s="3" t="s">
        <v>60</v>
      </c>
      <c r="F2233" s="3" t="str">
        <f>INDEX(Product_Category!$B$2:$B$45,MATCH(TRIM(E2233),Product_Category!$A$2:$A$45,0))</f>
        <v>Processed Foods</v>
      </c>
      <c r="G2233" s="4">
        <v>0.16</v>
      </c>
      <c r="H2233" s="4">
        <v>0</v>
      </c>
      <c r="I2233" s="4">
        <v>0</v>
      </c>
      <c r="J2233" s="4">
        <v>1.23</v>
      </c>
      <c r="K2233" s="4">
        <v>0</v>
      </c>
      <c r="L2233" s="4">
        <v>0</v>
      </c>
      <c r="M2233" s="4">
        <f t="shared" si="102"/>
        <v>-0.16</v>
      </c>
      <c r="N2233" s="4">
        <f t="shared" si="103"/>
        <v>-1.23</v>
      </c>
      <c r="O2233" s="4">
        <f t="shared" si="104"/>
        <v>0</v>
      </c>
      <c r="P2233" s="3" t="s">
        <v>19</v>
      </c>
    </row>
    <row r="2234" spans="1:16" x14ac:dyDescent="0.35">
      <c r="A2234" s="3" t="s">
        <v>40</v>
      </c>
      <c r="B2234" s="3" t="str">
        <f>INDEX(State_Region!$B$2:$B$26,MATCH(TRIM(A2234),State_Region!$A$2:$A$26,0))</f>
        <v>South</v>
      </c>
      <c r="C2234" s="3" t="s">
        <v>196</v>
      </c>
      <c r="D2234" s="3" t="str">
        <f>INDEX(Port_Type!$B$2:$B$227,MATCH(TRIM(C2234),Port_Type!$A$2:$A$227,0))</f>
        <v>SEZ / EPZ</v>
      </c>
      <c r="E2234" s="3" t="s">
        <v>48</v>
      </c>
      <c r="F2234" s="3" t="str">
        <f>INDEX(Product_Category!$B$2:$B$45,MATCH(TRIM(E2234),Product_Category!$A$2:$A$45,0))</f>
        <v>Processed Foods</v>
      </c>
      <c r="G2234" s="4">
        <v>0.1</v>
      </c>
      <c r="H2234" s="4">
        <v>0</v>
      </c>
      <c r="I2234" s="4">
        <v>0</v>
      </c>
      <c r="J2234" s="4">
        <v>37.82</v>
      </c>
      <c r="K2234" s="4">
        <v>0</v>
      </c>
      <c r="L2234" s="4">
        <v>0</v>
      </c>
      <c r="M2234" s="4">
        <f t="shared" si="102"/>
        <v>-0.1</v>
      </c>
      <c r="N2234" s="4">
        <f t="shared" si="103"/>
        <v>-37.82</v>
      </c>
      <c r="O2234" s="4">
        <f t="shared" si="104"/>
        <v>0</v>
      </c>
      <c r="P2234" s="3" t="s">
        <v>19</v>
      </c>
    </row>
    <row r="2235" spans="1:16" x14ac:dyDescent="0.35">
      <c r="A2235" s="3" t="s">
        <v>79</v>
      </c>
      <c r="B2235" s="3" t="str">
        <f>INDEX(State_Region!$B$2:$B$26,MATCH(TRIM(A2235),State_Region!$A$2:$A$26,0))</f>
        <v>South</v>
      </c>
      <c r="C2235" s="3" t="s">
        <v>226</v>
      </c>
      <c r="D2235" s="3" t="str">
        <f>INDEX(Port_Type!$B$2:$B$227,MATCH(TRIM(C2235),Port_Type!$A$2:$A$227,0))</f>
        <v>Air Cargo</v>
      </c>
      <c r="E2235" s="3" t="s">
        <v>144</v>
      </c>
      <c r="F2235" s="3" t="str">
        <f>INDEX(Product_Category!$B$2:$B$45,MATCH(TRIM(E2235),Product_Category!$A$2:$A$45,0))</f>
        <v>Cereals &amp; Grains</v>
      </c>
      <c r="G2235" s="4">
        <v>0</v>
      </c>
      <c r="H2235" s="4">
        <v>0</v>
      </c>
      <c r="I2235" s="4">
        <v>0</v>
      </c>
      <c r="J2235" s="4">
        <v>0.01</v>
      </c>
      <c r="K2235" s="4">
        <v>0</v>
      </c>
      <c r="L2235" s="4">
        <v>0</v>
      </c>
      <c r="M2235" s="4">
        <f t="shared" si="102"/>
        <v>0</v>
      </c>
      <c r="N2235" s="4">
        <f t="shared" si="103"/>
        <v>-0.01</v>
      </c>
      <c r="O2235" s="4">
        <f t="shared" si="104"/>
        <v>0</v>
      </c>
      <c r="P2235" s="3" t="s">
        <v>19</v>
      </c>
    </row>
    <row r="2236" spans="1:16" x14ac:dyDescent="0.35">
      <c r="A2236" s="3" t="s">
        <v>40</v>
      </c>
      <c r="B2236" s="3" t="str">
        <f>INDEX(State_Region!$B$2:$B$26,MATCH(TRIM(A2236),State_Region!$A$2:$A$26,0))</f>
        <v>South</v>
      </c>
      <c r="C2236" s="3" t="s">
        <v>272</v>
      </c>
      <c r="D2236" s="3" t="str">
        <f>INDEX(Port_Type!$B$2:$B$227,MATCH(TRIM(C2236),Port_Type!$A$2:$A$227,0))</f>
        <v>Inland ICD / CFS</v>
      </c>
      <c r="E2236" s="3" t="s">
        <v>81</v>
      </c>
      <c r="F2236" s="3" t="str">
        <f>INDEX(Product_Category!$B$2:$B$45,MATCH(TRIM(E2236),Product_Category!$A$2:$A$45,0))</f>
        <v>Processed Foods</v>
      </c>
      <c r="G2236" s="4">
        <v>0.6</v>
      </c>
      <c r="H2236" s="4">
        <v>0</v>
      </c>
      <c r="I2236" s="4">
        <v>0</v>
      </c>
      <c r="J2236" s="4">
        <v>611.55999999999995</v>
      </c>
      <c r="K2236" s="4">
        <v>0</v>
      </c>
      <c r="L2236" s="4">
        <v>0</v>
      </c>
      <c r="M2236" s="4">
        <f t="shared" si="102"/>
        <v>-0.6</v>
      </c>
      <c r="N2236" s="4">
        <f t="shared" si="103"/>
        <v>-611.55999999999995</v>
      </c>
      <c r="O2236" s="4">
        <f t="shared" si="104"/>
        <v>0</v>
      </c>
      <c r="P2236" s="3" t="s">
        <v>19</v>
      </c>
    </row>
    <row r="2237" spans="1:16" x14ac:dyDescent="0.35">
      <c r="A2237" s="3" t="s">
        <v>40</v>
      </c>
      <c r="B2237" s="3" t="str">
        <f>INDEX(State_Region!$B$2:$B$26,MATCH(TRIM(A2237),State_Region!$A$2:$A$26,0))</f>
        <v>South</v>
      </c>
      <c r="C2237" s="3" t="s">
        <v>272</v>
      </c>
      <c r="D2237" s="3" t="str">
        <f>INDEX(Port_Type!$B$2:$B$227,MATCH(TRIM(C2237),Port_Type!$A$2:$A$227,0))</f>
        <v>Inland ICD / CFS</v>
      </c>
      <c r="E2237" s="3" t="s">
        <v>144</v>
      </c>
      <c r="F2237" s="3" t="str">
        <f>INDEX(Product_Category!$B$2:$B$45,MATCH(TRIM(E2237),Product_Category!$A$2:$A$45,0))</f>
        <v>Cereals &amp; Grains</v>
      </c>
      <c r="G2237" s="4">
        <v>0.42</v>
      </c>
      <c r="H2237" s="4">
        <v>0</v>
      </c>
      <c r="I2237" s="4">
        <v>0</v>
      </c>
      <c r="J2237" s="4">
        <v>632.16999999999996</v>
      </c>
      <c r="K2237" s="4">
        <v>0</v>
      </c>
      <c r="L2237" s="4">
        <v>0</v>
      </c>
      <c r="M2237" s="4">
        <f t="shared" si="102"/>
        <v>-0.42</v>
      </c>
      <c r="N2237" s="4">
        <f t="shared" si="103"/>
        <v>-632.16999999999996</v>
      </c>
      <c r="O2237" s="4">
        <f t="shared" si="104"/>
        <v>0</v>
      </c>
      <c r="P2237" s="3" t="s">
        <v>19</v>
      </c>
    </row>
    <row r="2238" spans="1:16" x14ac:dyDescent="0.35">
      <c r="A2238" s="3" t="s">
        <v>40</v>
      </c>
      <c r="B2238" s="3" t="str">
        <f>INDEX(State_Region!$B$2:$B$26,MATCH(TRIM(A2238),State_Region!$A$2:$A$26,0))</f>
        <v>South</v>
      </c>
      <c r="C2238" s="3" t="s">
        <v>272</v>
      </c>
      <c r="D2238" s="3" t="str">
        <f>INDEX(Port_Type!$B$2:$B$227,MATCH(TRIM(C2238),Port_Type!$A$2:$A$227,0))</f>
        <v>Inland ICD / CFS</v>
      </c>
      <c r="E2238" s="3" t="s">
        <v>126</v>
      </c>
      <c r="F2238" s="3" t="str">
        <f>INDEX(Product_Category!$B$2:$B$45,MATCH(TRIM(E2238),Product_Category!$A$2:$A$45,0))</f>
        <v>Cereals &amp; Grains</v>
      </c>
      <c r="G2238" s="4">
        <v>7.0000000000000007E-2</v>
      </c>
      <c r="H2238" s="4">
        <v>0</v>
      </c>
      <c r="I2238" s="4">
        <v>0</v>
      </c>
      <c r="J2238" s="4">
        <v>40</v>
      </c>
      <c r="K2238" s="4">
        <v>0</v>
      </c>
      <c r="L2238" s="4">
        <v>0</v>
      </c>
      <c r="M2238" s="4">
        <f t="shared" si="102"/>
        <v>-7.0000000000000007E-2</v>
      </c>
      <c r="N2238" s="4">
        <f t="shared" si="103"/>
        <v>-40</v>
      </c>
      <c r="O2238" s="4">
        <f t="shared" si="104"/>
        <v>0</v>
      </c>
      <c r="P2238" s="3" t="s">
        <v>19</v>
      </c>
    </row>
    <row r="2239" spans="1:16" x14ac:dyDescent="0.35">
      <c r="A2239" s="3" t="s">
        <v>40</v>
      </c>
      <c r="B2239" s="3" t="str">
        <f>INDEX(State_Region!$B$2:$B$26,MATCH(TRIM(A2239),State_Region!$A$2:$A$26,0))</f>
        <v>South</v>
      </c>
      <c r="C2239" s="3" t="s">
        <v>272</v>
      </c>
      <c r="D2239" s="3" t="str">
        <f>INDEX(Port_Type!$B$2:$B$227,MATCH(TRIM(C2239),Port_Type!$A$2:$A$227,0))</f>
        <v>Inland ICD / CFS</v>
      </c>
      <c r="E2239" s="3" t="s">
        <v>45</v>
      </c>
      <c r="F2239" s="3" t="str">
        <f>INDEX(Product_Category!$B$2:$B$45,MATCH(TRIM(E2239),Product_Category!$A$2:$A$45,0))</f>
        <v>Fresh Fruits &amp; Vegetables</v>
      </c>
      <c r="G2239" s="4">
        <v>7.0000000000000007E-2</v>
      </c>
      <c r="H2239" s="4">
        <v>0</v>
      </c>
      <c r="I2239" s="4">
        <v>0</v>
      </c>
      <c r="J2239" s="4">
        <v>48</v>
      </c>
      <c r="K2239" s="4">
        <v>0</v>
      </c>
      <c r="L2239" s="4">
        <v>0</v>
      </c>
      <c r="M2239" s="4">
        <f t="shared" si="102"/>
        <v>-7.0000000000000007E-2</v>
      </c>
      <c r="N2239" s="4">
        <f t="shared" si="103"/>
        <v>-48</v>
      </c>
      <c r="O2239" s="4">
        <f t="shared" si="104"/>
        <v>0</v>
      </c>
      <c r="P2239" s="3" t="s">
        <v>19</v>
      </c>
    </row>
    <row r="2240" spans="1:16" x14ac:dyDescent="0.35">
      <c r="A2240" s="3" t="s">
        <v>40</v>
      </c>
      <c r="B2240" s="3" t="str">
        <f>INDEX(State_Region!$B$2:$B$26,MATCH(TRIM(A2240),State_Region!$A$2:$A$26,0))</f>
        <v>South</v>
      </c>
      <c r="C2240" s="3" t="s">
        <v>272</v>
      </c>
      <c r="D2240" s="3" t="str">
        <f>INDEX(Port_Type!$B$2:$B$227,MATCH(TRIM(C2240),Port_Type!$A$2:$A$227,0))</f>
        <v>Inland ICD / CFS</v>
      </c>
      <c r="E2240" s="3" t="s">
        <v>54</v>
      </c>
      <c r="F2240" s="3" t="str">
        <f>INDEX(Product_Category!$B$2:$B$45,MATCH(TRIM(E2240),Product_Category!$A$2:$A$45,0))</f>
        <v>Processed Foods</v>
      </c>
      <c r="G2240" s="4">
        <v>3.84</v>
      </c>
      <c r="H2240" s="4">
        <v>0</v>
      </c>
      <c r="I2240" s="4">
        <v>0</v>
      </c>
      <c r="J2240" s="4">
        <v>3186.77</v>
      </c>
      <c r="K2240" s="4">
        <v>0</v>
      </c>
      <c r="L2240" s="4">
        <v>0</v>
      </c>
      <c r="M2240" s="4">
        <f t="shared" si="102"/>
        <v>-3.84</v>
      </c>
      <c r="N2240" s="4">
        <f t="shared" si="103"/>
        <v>-3186.77</v>
      </c>
      <c r="O2240" s="4">
        <f t="shared" si="104"/>
        <v>0</v>
      </c>
      <c r="P2240" s="3" t="s">
        <v>19</v>
      </c>
    </row>
    <row r="2241" spans="1:16" x14ac:dyDescent="0.35">
      <c r="A2241" s="3" t="s">
        <v>40</v>
      </c>
      <c r="B2241" s="3" t="str">
        <f>INDEX(State_Region!$B$2:$B$26,MATCH(TRIM(A2241),State_Region!$A$2:$A$26,0))</f>
        <v>South</v>
      </c>
      <c r="C2241" s="3" t="s">
        <v>272</v>
      </c>
      <c r="D2241" s="3" t="str">
        <f>INDEX(Port_Type!$B$2:$B$227,MATCH(TRIM(C2241),Port_Type!$A$2:$A$227,0))</f>
        <v>Inland ICD / CFS</v>
      </c>
      <c r="E2241" s="3" t="s">
        <v>42</v>
      </c>
      <c r="F2241" s="3" t="str">
        <f>INDEX(Product_Category!$B$2:$B$45,MATCH(TRIM(E2241),Product_Category!$A$2:$A$45,0))</f>
        <v>Processed Foods</v>
      </c>
      <c r="G2241" s="4">
        <v>0.05</v>
      </c>
      <c r="H2241" s="4">
        <v>0</v>
      </c>
      <c r="I2241" s="4">
        <v>0</v>
      </c>
      <c r="J2241" s="4">
        <v>25.74</v>
      </c>
      <c r="K2241" s="4">
        <v>0</v>
      </c>
      <c r="L2241" s="4">
        <v>0</v>
      </c>
      <c r="M2241" s="4">
        <f t="shared" si="102"/>
        <v>-0.05</v>
      </c>
      <c r="N2241" s="4">
        <f t="shared" si="103"/>
        <v>-25.74</v>
      </c>
      <c r="O2241" s="4">
        <f t="shared" si="104"/>
        <v>0</v>
      </c>
      <c r="P2241" s="3" t="s">
        <v>19</v>
      </c>
    </row>
    <row r="2242" spans="1:16" x14ac:dyDescent="0.35">
      <c r="A2242" s="3" t="s">
        <v>79</v>
      </c>
      <c r="B2242" s="3" t="str">
        <f>INDEX(State_Region!$B$2:$B$26,MATCH(TRIM(A2242),State_Region!$A$2:$A$26,0))</f>
        <v>South</v>
      </c>
      <c r="C2242" s="3" t="s">
        <v>226</v>
      </c>
      <c r="D2242" s="3" t="str">
        <f>INDEX(Port_Type!$B$2:$B$227,MATCH(TRIM(C2242),Port_Type!$A$2:$A$227,0))</f>
        <v>Air Cargo</v>
      </c>
      <c r="E2242" s="3" t="s">
        <v>53</v>
      </c>
      <c r="F2242" s="3" t="str">
        <f>INDEX(Product_Category!$B$2:$B$45,MATCH(TRIM(E2242),Product_Category!$A$2:$A$45,0))</f>
        <v>Processed Foods</v>
      </c>
      <c r="G2242" s="4">
        <v>0</v>
      </c>
      <c r="H2242" s="4">
        <v>0</v>
      </c>
      <c r="I2242" s="4">
        <v>0</v>
      </c>
      <c r="J2242" s="4">
        <v>0.02</v>
      </c>
      <c r="K2242" s="4">
        <v>0</v>
      </c>
      <c r="L2242" s="4">
        <v>0</v>
      </c>
      <c r="M2242" s="4">
        <f t="shared" ref="M2242:M2305" si="105">H2242-G2242</f>
        <v>0</v>
      </c>
      <c r="N2242" s="4">
        <f t="shared" ref="N2242:N2305" si="106">K2242-J2242</f>
        <v>-0.02</v>
      </c>
      <c r="O2242" s="4">
        <f t="shared" ref="O2242:O2305" si="107">I2242-H2242</f>
        <v>0</v>
      </c>
      <c r="P2242" s="3" t="s">
        <v>19</v>
      </c>
    </row>
    <row r="2243" spans="1:16" x14ac:dyDescent="0.35">
      <c r="A2243" s="3" t="s">
        <v>40</v>
      </c>
      <c r="B2243" s="3" t="str">
        <f>INDEX(State_Region!$B$2:$B$26,MATCH(TRIM(A2243),State_Region!$A$2:$A$26,0))</f>
        <v>South</v>
      </c>
      <c r="C2243" s="3" t="s">
        <v>178</v>
      </c>
      <c r="D2243" s="3" t="str">
        <f>INDEX(Port_Type!$B$2:$B$227,MATCH(TRIM(C2243),Port_Type!$A$2:$A$227,0))</f>
        <v>Inland ICD / CFS</v>
      </c>
      <c r="E2243" s="3" t="s">
        <v>48</v>
      </c>
      <c r="F2243" s="3" t="str">
        <f>INDEX(Product_Category!$B$2:$B$45,MATCH(TRIM(E2243),Product_Category!$A$2:$A$45,0))</f>
        <v>Processed Foods</v>
      </c>
      <c r="G2243" s="4">
        <v>0</v>
      </c>
      <c r="H2243" s="4">
        <v>0.01</v>
      </c>
      <c r="I2243" s="4">
        <v>0</v>
      </c>
      <c r="J2243" s="4">
        <v>0</v>
      </c>
      <c r="K2243" s="4">
        <v>2</v>
      </c>
      <c r="L2243" s="4">
        <v>0</v>
      </c>
      <c r="M2243" s="4">
        <f t="shared" si="105"/>
        <v>0.01</v>
      </c>
      <c r="N2243" s="4">
        <f t="shared" si="106"/>
        <v>2</v>
      </c>
      <c r="O2243" s="4">
        <f t="shared" si="107"/>
        <v>-0.01</v>
      </c>
      <c r="P2243" s="3" t="s">
        <v>19</v>
      </c>
    </row>
    <row r="2244" spans="1:16" x14ac:dyDescent="0.35">
      <c r="A2244" s="3" t="s">
        <v>79</v>
      </c>
      <c r="B2244" s="3" t="str">
        <f>INDEX(State_Region!$B$2:$B$26,MATCH(TRIM(A2244),State_Region!$A$2:$A$26,0))</f>
        <v>South</v>
      </c>
      <c r="C2244" s="3" t="s">
        <v>226</v>
      </c>
      <c r="D2244" s="3" t="str">
        <f>INDEX(Port_Type!$B$2:$B$227,MATCH(TRIM(C2244),Port_Type!$A$2:$A$227,0))</f>
        <v>Air Cargo</v>
      </c>
      <c r="E2244" s="3" t="s">
        <v>51</v>
      </c>
      <c r="F2244" s="3" t="str">
        <f>INDEX(Product_Category!$B$2:$B$45,MATCH(TRIM(E2244),Product_Category!$A$2:$A$45,0))</f>
        <v>Nuts &amp; Oilseeds</v>
      </c>
      <c r="G2244" s="4">
        <v>0</v>
      </c>
      <c r="H2244" s="4">
        <v>0</v>
      </c>
      <c r="I2244" s="4">
        <v>0</v>
      </c>
      <c r="J2244" s="4">
        <v>0</v>
      </c>
      <c r="K2244" s="4">
        <v>0.28999999999999998</v>
      </c>
      <c r="L2244" s="4">
        <v>0</v>
      </c>
      <c r="M2244" s="4">
        <f t="shared" si="105"/>
        <v>0</v>
      </c>
      <c r="N2244" s="4">
        <f t="shared" si="106"/>
        <v>0.28999999999999998</v>
      </c>
      <c r="O2244" s="4">
        <f t="shared" si="107"/>
        <v>0</v>
      </c>
      <c r="P2244" s="3" t="s">
        <v>19</v>
      </c>
    </row>
    <row r="2245" spans="1:16" x14ac:dyDescent="0.35">
      <c r="A2245" s="3" t="s">
        <v>40</v>
      </c>
      <c r="B2245" s="3" t="str">
        <f>INDEX(State_Region!$B$2:$B$26,MATCH(TRIM(A2245),State_Region!$A$2:$A$26,0))</f>
        <v>South</v>
      </c>
      <c r="C2245" s="3" t="s">
        <v>178</v>
      </c>
      <c r="D2245" s="3" t="str">
        <f>INDEX(Port_Type!$B$2:$B$227,MATCH(TRIM(C2245),Port_Type!$A$2:$A$227,0))</f>
        <v>Inland ICD / CFS</v>
      </c>
      <c r="E2245" s="3" t="s">
        <v>54</v>
      </c>
      <c r="F2245" s="3" t="str">
        <f>INDEX(Product_Category!$B$2:$B$45,MATCH(TRIM(E2245),Product_Category!$A$2:$A$45,0))</f>
        <v>Processed Foods</v>
      </c>
      <c r="G2245" s="4">
        <v>0</v>
      </c>
      <c r="H2245" s="4">
        <v>0</v>
      </c>
      <c r="I2245" s="4">
        <v>0</v>
      </c>
      <c r="J2245" s="4">
        <v>0</v>
      </c>
      <c r="K2245" s="4">
        <v>0.5</v>
      </c>
      <c r="L2245" s="4">
        <v>0</v>
      </c>
      <c r="M2245" s="4">
        <f t="shared" si="105"/>
        <v>0</v>
      </c>
      <c r="N2245" s="4">
        <f t="shared" si="106"/>
        <v>0.5</v>
      </c>
      <c r="O2245" s="4">
        <f t="shared" si="107"/>
        <v>0</v>
      </c>
      <c r="P2245" s="3" t="s">
        <v>19</v>
      </c>
    </row>
    <row r="2246" spans="1:16" x14ac:dyDescent="0.35">
      <c r="A2246" s="3" t="s">
        <v>79</v>
      </c>
      <c r="B2246" s="3" t="str">
        <f>INDEX(State_Region!$B$2:$B$26,MATCH(TRIM(A2246),State_Region!$A$2:$A$26,0))</f>
        <v>South</v>
      </c>
      <c r="C2246" s="3" t="s">
        <v>226</v>
      </c>
      <c r="D2246" s="3" t="str">
        <f>INDEX(Port_Type!$B$2:$B$227,MATCH(TRIM(C2246),Port_Type!$A$2:$A$227,0))</f>
        <v>Air Cargo</v>
      </c>
      <c r="E2246" s="3" t="s">
        <v>55</v>
      </c>
      <c r="F2246" s="3" t="str">
        <f>INDEX(Product_Category!$B$2:$B$45,MATCH(TRIM(E2246),Product_Category!$A$2:$A$45,0))</f>
        <v>Fresh Fruits &amp; Vegetables</v>
      </c>
      <c r="G2246" s="4">
        <v>0</v>
      </c>
      <c r="H2246" s="4">
        <v>0</v>
      </c>
      <c r="I2246" s="4">
        <v>0</v>
      </c>
      <c r="J2246" s="4">
        <v>0.81</v>
      </c>
      <c r="K2246" s="4">
        <v>0.02</v>
      </c>
      <c r="L2246" s="4">
        <v>0</v>
      </c>
      <c r="M2246" s="4">
        <f t="shared" si="105"/>
        <v>0</v>
      </c>
      <c r="N2246" s="4">
        <f t="shared" si="106"/>
        <v>-0.79</v>
      </c>
      <c r="O2246" s="4">
        <f t="shared" si="107"/>
        <v>0</v>
      </c>
      <c r="P2246" s="3" t="s">
        <v>19</v>
      </c>
    </row>
    <row r="2247" spans="1:16" x14ac:dyDescent="0.35">
      <c r="A2247" s="3" t="s">
        <v>40</v>
      </c>
      <c r="B2247" s="3" t="str">
        <f>INDEX(State_Region!$B$2:$B$26,MATCH(TRIM(A2247),State_Region!$A$2:$A$26,0))</f>
        <v>South</v>
      </c>
      <c r="C2247" s="3" t="s">
        <v>85</v>
      </c>
      <c r="D2247" s="3" t="str">
        <f>INDEX(Port_Type!$B$2:$B$227,MATCH(TRIM(C2247),Port_Type!$A$2:$A$227,0))</f>
        <v>Sea Port</v>
      </c>
      <c r="E2247" s="3" t="s">
        <v>22</v>
      </c>
      <c r="F2247" s="3" t="str">
        <f>INDEX(Product_Category!$B$2:$B$45,MATCH(TRIM(E2247),Product_Category!$A$2:$A$45,0))</f>
        <v>Meat &amp; Animal Products</v>
      </c>
      <c r="G2247" s="4">
        <v>0.22</v>
      </c>
      <c r="H2247" s="4">
        <v>0.05</v>
      </c>
      <c r="I2247" s="4">
        <v>0</v>
      </c>
      <c r="J2247" s="4">
        <v>46.24</v>
      </c>
      <c r="K2247" s="4">
        <v>12.99</v>
      </c>
      <c r="L2247" s="4">
        <v>0</v>
      </c>
      <c r="M2247" s="4">
        <f t="shared" si="105"/>
        <v>-0.16999999999999998</v>
      </c>
      <c r="N2247" s="4">
        <f t="shared" si="106"/>
        <v>-33.25</v>
      </c>
      <c r="O2247" s="4">
        <f t="shared" si="107"/>
        <v>-0.05</v>
      </c>
      <c r="P2247" s="3" t="s">
        <v>19</v>
      </c>
    </row>
    <row r="2248" spans="1:16" x14ac:dyDescent="0.35">
      <c r="A2248" s="3" t="s">
        <v>79</v>
      </c>
      <c r="B2248" s="3" t="str">
        <f>INDEX(State_Region!$B$2:$B$26,MATCH(TRIM(A2248),State_Region!$A$2:$A$26,0))</f>
        <v>South</v>
      </c>
      <c r="C2248" s="3" t="s">
        <v>210</v>
      </c>
      <c r="D2248" s="3" t="str">
        <f>INDEX(Port_Type!$B$2:$B$227,MATCH(TRIM(C2248),Port_Type!$A$2:$A$227,0))</f>
        <v>Inland ICD / CFS</v>
      </c>
      <c r="E2248" s="3" t="s">
        <v>42</v>
      </c>
      <c r="F2248" s="3" t="str">
        <f>INDEX(Product_Category!$B$2:$B$45,MATCH(TRIM(E2248),Product_Category!$A$2:$A$45,0))</f>
        <v>Processed Foods</v>
      </c>
      <c r="G2248" s="4">
        <v>0</v>
      </c>
      <c r="H2248" s="4">
        <v>0.05</v>
      </c>
      <c r="I2248" s="4">
        <v>0</v>
      </c>
      <c r="J2248" s="4">
        <v>0</v>
      </c>
      <c r="K2248" s="4">
        <v>40.56</v>
      </c>
      <c r="L2248" s="4">
        <v>0</v>
      </c>
      <c r="M2248" s="4">
        <f t="shared" si="105"/>
        <v>0.05</v>
      </c>
      <c r="N2248" s="4">
        <f t="shared" si="106"/>
        <v>40.56</v>
      </c>
      <c r="O2248" s="4">
        <f t="shared" si="107"/>
        <v>-0.05</v>
      </c>
      <c r="P2248" s="3" t="s">
        <v>19</v>
      </c>
    </row>
    <row r="2249" spans="1:16" x14ac:dyDescent="0.35">
      <c r="A2249" s="3" t="s">
        <v>79</v>
      </c>
      <c r="B2249" s="3" t="str">
        <f>INDEX(State_Region!$B$2:$B$26,MATCH(TRIM(A2249),State_Region!$A$2:$A$26,0))</f>
        <v>South</v>
      </c>
      <c r="C2249" s="3" t="s">
        <v>210</v>
      </c>
      <c r="D2249" s="3" t="str">
        <f>INDEX(Port_Type!$B$2:$B$227,MATCH(TRIM(C2249),Port_Type!$A$2:$A$227,0))</f>
        <v>Inland ICD / CFS</v>
      </c>
      <c r="E2249" s="3" t="s">
        <v>144</v>
      </c>
      <c r="F2249" s="3" t="str">
        <f>INDEX(Product_Category!$B$2:$B$45,MATCH(TRIM(E2249),Product_Category!$A$2:$A$45,0))</f>
        <v>Cereals &amp; Grains</v>
      </c>
      <c r="G2249" s="4">
        <v>0</v>
      </c>
      <c r="H2249" s="4">
        <v>0.03</v>
      </c>
      <c r="I2249" s="4">
        <v>0</v>
      </c>
      <c r="J2249" s="4">
        <v>0</v>
      </c>
      <c r="K2249" s="4">
        <v>48.92</v>
      </c>
      <c r="L2249" s="4">
        <v>0</v>
      </c>
      <c r="M2249" s="4">
        <f t="shared" si="105"/>
        <v>0.03</v>
      </c>
      <c r="N2249" s="4">
        <f t="shared" si="106"/>
        <v>48.92</v>
      </c>
      <c r="O2249" s="4">
        <f t="shared" si="107"/>
        <v>-0.03</v>
      </c>
      <c r="P2249" s="3" t="s">
        <v>19</v>
      </c>
    </row>
    <row r="2250" spans="1:16" x14ac:dyDescent="0.35">
      <c r="A2250" s="3" t="s">
        <v>79</v>
      </c>
      <c r="B2250" s="3" t="str">
        <f>INDEX(State_Region!$B$2:$B$26,MATCH(TRIM(A2250),State_Region!$A$2:$A$26,0))</f>
        <v>South</v>
      </c>
      <c r="C2250" s="3" t="s">
        <v>210</v>
      </c>
      <c r="D2250" s="3" t="str">
        <f>INDEX(Port_Type!$B$2:$B$227,MATCH(TRIM(C2250),Port_Type!$A$2:$A$227,0))</f>
        <v>Inland ICD / CFS</v>
      </c>
      <c r="E2250" s="3" t="s">
        <v>81</v>
      </c>
      <c r="F2250" s="3" t="str">
        <f>INDEX(Product_Category!$B$2:$B$45,MATCH(TRIM(E2250),Product_Category!$A$2:$A$45,0))</f>
        <v>Processed Foods</v>
      </c>
      <c r="G2250" s="4">
        <v>0</v>
      </c>
      <c r="H2250" s="4">
        <v>0.5</v>
      </c>
      <c r="I2250" s="4">
        <v>0</v>
      </c>
      <c r="J2250" s="4">
        <v>0</v>
      </c>
      <c r="K2250" s="4">
        <v>594.4</v>
      </c>
      <c r="L2250" s="4">
        <v>0</v>
      </c>
      <c r="M2250" s="4">
        <f t="shared" si="105"/>
        <v>0.5</v>
      </c>
      <c r="N2250" s="4">
        <f t="shared" si="106"/>
        <v>594.4</v>
      </c>
      <c r="O2250" s="4">
        <f t="shared" si="107"/>
        <v>-0.5</v>
      </c>
      <c r="P2250" s="3" t="s">
        <v>19</v>
      </c>
    </row>
    <row r="2251" spans="1:16" x14ac:dyDescent="0.35">
      <c r="A2251" s="3" t="s">
        <v>79</v>
      </c>
      <c r="B2251" s="3" t="str">
        <f>INDEX(State_Region!$B$2:$B$26,MATCH(TRIM(A2251),State_Region!$A$2:$A$26,0))</f>
        <v>South</v>
      </c>
      <c r="C2251" s="3" t="s">
        <v>80</v>
      </c>
      <c r="D2251" s="3" t="str">
        <f>INDEX(Port_Type!$B$2:$B$227,MATCH(TRIM(C2251),Port_Type!$A$2:$A$227,0))</f>
        <v>Inland ICD / CFS</v>
      </c>
      <c r="E2251" s="3" t="s">
        <v>113</v>
      </c>
      <c r="F2251" s="3" t="str">
        <f>INDEX(Product_Category!$B$2:$B$45,MATCH(TRIM(E2251),Product_Category!$A$2:$A$45,0))</f>
        <v>Cereals &amp; Grains</v>
      </c>
      <c r="G2251" s="4">
        <v>0.01</v>
      </c>
      <c r="H2251" s="4">
        <v>0</v>
      </c>
      <c r="I2251" s="4">
        <v>0</v>
      </c>
      <c r="J2251" s="4">
        <v>3.5</v>
      </c>
      <c r="K2251" s="4">
        <v>0</v>
      </c>
      <c r="L2251" s="4">
        <v>0</v>
      </c>
      <c r="M2251" s="4">
        <f t="shared" si="105"/>
        <v>-0.01</v>
      </c>
      <c r="N2251" s="4">
        <f t="shared" si="106"/>
        <v>-3.5</v>
      </c>
      <c r="O2251" s="4">
        <f t="shared" si="107"/>
        <v>0</v>
      </c>
      <c r="P2251" s="3" t="s">
        <v>19</v>
      </c>
    </row>
    <row r="2252" spans="1:16" x14ac:dyDescent="0.35">
      <c r="A2252" s="3" t="s">
        <v>79</v>
      </c>
      <c r="B2252" s="3" t="str">
        <f>INDEX(State_Region!$B$2:$B$26,MATCH(TRIM(A2252),State_Region!$A$2:$A$26,0))</f>
        <v>South</v>
      </c>
      <c r="C2252" s="3" t="s">
        <v>80</v>
      </c>
      <c r="D2252" s="3" t="str">
        <f>INDEX(Port_Type!$B$2:$B$227,MATCH(TRIM(C2252),Port_Type!$A$2:$A$227,0))</f>
        <v>Inland ICD / CFS</v>
      </c>
      <c r="E2252" s="3" t="s">
        <v>181</v>
      </c>
      <c r="F2252" s="3" t="str">
        <f>INDEX(Product_Category!$B$2:$B$45,MATCH(TRIM(E2252),Product_Category!$A$2:$A$45,0))</f>
        <v>Nuts &amp; Oilseeds</v>
      </c>
      <c r="G2252" s="4">
        <v>0</v>
      </c>
      <c r="H2252" s="4">
        <v>0</v>
      </c>
      <c r="I2252" s="4">
        <v>0</v>
      </c>
      <c r="J2252" s="4">
        <v>0.12</v>
      </c>
      <c r="K2252" s="4">
        <v>0.1</v>
      </c>
      <c r="L2252" s="4">
        <v>0</v>
      </c>
      <c r="M2252" s="4">
        <f t="shared" si="105"/>
        <v>0</v>
      </c>
      <c r="N2252" s="4">
        <f t="shared" si="106"/>
        <v>-1.999999999999999E-2</v>
      </c>
      <c r="O2252" s="4">
        <f t="shared" si="107"/>
        <v>0</v>
      </c>
      <c r="P2252" s="3" t="s">
        <v>19</v>
      </c>
    </row>
    <row r="2253" spans="1:16" x14ac:dyDescent="0.35">
      <c r="A2253" s="3" t="s">
        <v>79</v>
      </c>
      <c r="B2253" s="3" t="str">
        <f>INDEX(State_Region!$B$2:$B$26,MATCH(TRIM(A2253),State_Region!$A$2:$A$26,0))</f>
        <v>South</v>
      </c>
      <c r="C2253" s="3" t="s">
        <v>80</v>
      </c>
      <c r="D2253" s="3" t="str">
        <f>INDEX(Port_Type!$B$2:$B$227,MATCH(TRIM(C2253),Port_Type!$A$2:$A$227,0))</f>
        <v>Inland ICD / CFS</v>
      </c>
      <c r="E2253" s="3" t="s">
        <v>170</v>
      </c>
      <c r="F2253" s="3" t="str">
        <f>INDEX(Product_Category!$B$2:$B$45,MATCH(TRIM(E2253),Product_Category!$A$2:$A$45,0))</f>
        <v>Others</v>
      </c>
      <c r="G2253" s="4">
        <v>0.76</v>
      </c>
      <c r="H2253" s="4">
        <v>2.4700000000000002</v>
      </c>
      <c r="I2253" s="4">
        <v>0</v>
      </c>
      <c r="J2253" s="4">
        <v>42.56</v>
      </c>
      <c r="K2253" s="4">
        <v>156.75</v>
      </c>
      <c r="L2253" s="4">
        <v>0</v>
      </c>
      <c r="M2253" s="4">
        <f t="shared" si="105"/>
        <v>1.7100000000000002</v>
      </c>
      <c r="N2253" s="4">
        <f t="shared" si="106"/>
        <v>114.19</v>
      </c>
      <c r="O2253" s="4">
        <f t="shared" si="107"/>
        <v>-2.4700000000000002</v>
      </c>
      <c r="P2253" s="3" t="s">
        <v>19</v>
      </c>
    </row>
    <row r="2254" spans="1:16" x14ac:dyDescent="0.35">
      <c r="A2254" s="3" t="s">
        <v>79</v>
      </c>
      <c r="B2254" s="3" t="str">
        <f>INDEX(State_Region!$B$2:$B$26,MATCH(TRIM(A2254),State_Region!$A$2:$A$26,0))</f>
        <v>South</v>
      </c>
      <c r="C2254" s="3" t="s">
        <v>80</v>
      </c>
      <c r="D2254" s="3" t="str">
        <f>INDEX(Port_Type!$B$2:$B$227,MATCH(TRIM(C2254),Port_Type!$A$2:$A$227,0))</f>
        <v>Inland ICD / CFS</v>
      </c>
      <c r="E2254" s="3" t="s">
        <v>116</v>
      </c>
      <c r="F2254" s="3" t="str">
        <f>INDEX(Product_Category!$B$2:$B$45,MATCH(TRIM(E2254),Product_Category!$A$2:$A$45,0))</f>
        <v>Others</v>
      </c>
      <c r="G2254" s="4">
        <v>0</v>
      </c>
      <c r="H2254" s="4">
        <v>0</v>
      </c>
      <c r="I2254" s="4">
        <v>0</v>
      </c>
      <c r="J2254" s="4">
        <v>0</v>
      </c>
      <c r="K2254" s="4">
        <v>1.4</v>
      </c>
      <c r="L2254" s="4">
        <v>0</v>
      </c>
      <c r="M2254" s="4">
        <f t="shared" si="105"/>
        <v>0</v>
      </c>
      <c r="N2254" s="4">
        <f t="shared" si="106"/>
        <v>1.4</v>
      </c>
      <c r="O2254" s="4">
        <f t="shared" si="107"/>
        <v>0</v>
      </c>
      <c r="P2254" s="3" t="s">
        <v>19</v>
      </c>
    </row>
    <row r="2255" spans="1:16" x14ac:dyDescent="0.35">
      <c r="A2255" s="3" t="s">
        <v>79</v>
      </c>
      <c r="B2255" s="3" t="str">
        <f>INDEX(State_Region!$B$2:$B$26,MATCH(TRIM(A2255),State_Region!$A$2:$A$26,0))</f>
        <v>South</v>
      </c>
      <c r="C2255" s="3" t="s">
        <v>80</v>
      </c>
      <c r="D2255" s="3" t="str">
        <f>INDEX(Port_Type!$B$2:$B$227,MATCH(TRIM(C2255),Port_Type!$A$2:$A$227,0))</f>
        <v>Inland ICD / CFS</v>
      </c>
      <c r="E2255" s="3" t="s">
        <v>151</v>
      </c>
      <c r="F2255" s="3" t="str">
        <f>INDEX(Product_Category!$B$2:$B$45,MATCH(TRIM(E2255),Product_Category!$A$2:$A$45,0))</f>
        <v>Processed Foods</v>
      </c>
      <c r="G2255" s="4">
        <v>0.12</v>
      </c>
      <c r="H2255" s="4">
        <v>0.24</v>
      </c>
      <c r="I2255" s="4">
        <v>0</v>
      </c>
      <c r="J2255" s="4">
        <v>67.03</v>
      </c>
      <c r="K2255" s="4">
        <v>166.44</v>
      </c>
      <c r="L2255" s="4">
        <v>0</v>
      </c>
      <c r="M2255" s="4">
        <f t="shared" si="105"/>
        <v>0.12</v>
      </c>
      <c r="N2255" s="4">
        <f t="shared" si="106"/>
        <v>99.41</v>
      </c>
      <c r="O2255" s="4">
        <f t="shared" si="107"/>
        <v>-0.24</v>
      </c>
      <c r="P2255" s="3" t="s">
        <v>19</v>
      </c>
    </row>
    <row r="2256" spans="1:16" x14ac:dyDescent="0.35">
      <c r="A2256" s="3" t="s">
        <v>40</v>
      </c>
      <c r="B2256" s="3" t="str">
        <f>INDEX(State_Region!$B$2:$B$26,MATCH(TRIM(A2256),State_Region!$A$2:$A$26,0))</f>
        <v>South</v>
      </c>
      <c r="C2256" s="3" t="s">
        <v>85</v>
      </c>
      <c r="D2256" s="3" t="str">
        <f>INDEX(Port_Type!$B$2:$B$227,MATCH(TRIM(C2256),Port_Type!$A$2:$A$227,0))</f>
        <v>Sea Port</v>
      </c>
      <c r="E2256" s="3" t="s">
        <v>83</v>
      </c>
      <c r="F2256" s="3" t="str">
        <f>INDEX(Product_Category!$B$2:$B$45,MATCH(TRIM(E2256),Product_Category!$A$2:$A$45,0))</f>
        <v>Fresh Fruits &amp; Vegetables</v>
      </c>
      <c r="G2256" s="4">
        <v>0</v>
      </c>
      <c r="H2256" s="4">
        <v>0</v>
      </c>
      <c r="I2256" s="4">
        <v>0</v>
      </c>
      <c r="J2256" s="4">
        <v>0.99</v>
      </c>
      <c r="K2256" s="4">
        <v>0</v>
      </c>
      <c r="L2256" s="4">
        <v>0</v>
      </c>
      <c r="M2256" s="4">
        <f t="shared" si="105"/>
        <v>0</v>
      </c>
      <c r="N2256" s="4">
        <f t="shared" si="106"/>
        <v>-0.99</v>
      </c>
      <c r="O2256" s="4">
        <f t="shared" si="107"/>
        <v>0</v>
      </c>
      <c r="P2256" s="3" t="s">
        <v>19</v>
      </c>
    </row>
    <row r="2257" spans="1:16" x14ac:dyDescent="0.35">
      <c r="A2257" s="3" t="s">
        <v>79</v>
      </c>
      <c r="B2257" s="3" t="str">
        <f>INDEX(State_Region!$B$2:$B$26,MATCH(TRIM(A2257),State_Region!$A$2:$A$26,0))</f>
        <v>South</v>
      </c>
      <c r="C2257" s="3" t="s">
        <v>80</v>
      </c>
      <c r="D2257" s="3" t="str">
        <f>INDEX(Port_Type!$B$2:$B$227,MATCH(TRIM(C2257),Port_Type!$A$2:$A$227,0))</f>
        <v>Inland ICD / CFS</v>
      </c>
      <c r="E2257" s="3" t="s">
        <v>62</v>
      </c>
      <c r="F2257" s="3" t="str">
        <f>INDEX(Product_Category!$B$2:$B$45,MATCH(TRIM(E2257),Product_Category!$A$2:$A$45,0))</f>
        <v>Cereals &amp; Grains</v>
      </c>
      <c r="G2257" s="4">
        <v>0.09</v>
      </c>
      <c r="H2257" s="4">
        <v>0</v>
      </c>
      <c r="I2257" s="4">
        <v>0</v>
      </c>
      <c r="J2257" s="4">
        <v>235.12</v>
      </c>
      <c r="K2257" s="4">
        <v>0.92</v>
      </c>
      <c r="L2257" s="4">
        <v>0</v>
      </c>
      <c r="M2257" s="4">
        <f t="shared" si="105"/>
        <v>-0.09</v>
      </c>
      <c r="N2257" s="4">
        <f t="shared" si="106"/>
        <v>-234.20000000000002</v>
      </c>
      <c r="O2257" s="4">
        <f t="shared" si="107"/>
        <v>0</v>
      </c>
      <c r="P2257" s="3" t="s">
        <v>19</v>
      </c>
    </row>
    <row r="2258" spans="1:16" x14ac:dyDescent="0.35">
      <c r="A2258" s="3" t="s">
        <v>79</v>
      </c>
      <c r="B2258" s="3" t="str">
        <f>INDEX(State_Region!$B$2:$B$26,MATCH(TRIM(A2258),State_Region!$A$2:$A$26,0))</f>
        <v>South</v>
      </c>
      <c r="C2258" s="3" t="s">
        <v>80</v>
      </c>
      <c r="D2258" s="3" t="str">
        <f>INDEX(Port_Type!$B$2:$B$227,MATCH(TRIM(C2258),Port_Type!$A$2:$A$227,0))</f>
        <v>Inland ICD / CFS</v>
      </c>
      <c r="E2258" s="3" t="s">
        <v>46</v>
      </c>
      <c r="F2258" s="3" t="str">
        <f>INDEX(Product_Category!$B$2:$B$45,MATCH(TRIM(E2258),Product_Category!$A$2:$A$45,0))</f>
        <v>Others</v>
      </c>
      <c r="G2258" s="4">
        <v>0</v>
      </c>
      <c r="H2258" s="4">
        <v>0</v>
      </c>
      <c r="I2258" s="4">
        <v>0</v>
      </c>
      <c r="J2258" s="4">
        <v>0</v>
      </c>
      <c r="K2258" s="4">
        <v>0.5</v>
      </c>
      <c r="L2258" s="4">
        <v>0</v>
      </c>
      <c r="M2258" s="4">
        <f t="shared" si="105"/>
        <v>0</v>
      </c>
      <c r="N2258" s="4">
        <f t="shared" si="106"/>
        <v>0.5</v>
      </c>
      <c r="O2258" s="4">
        <f t="shared" si="107"/>
        <v>0</v>
      </c>
      <c r="P2258" s="3" t="s">
        <v>19</v>
      </c>
    </row>
    <row r="2259" spans="1:16" x14ac:dyDescent="0.35">
      <c r="A2259" s="3" t="s">
        <v>79</v>
      </c>
      <c r="B2259" s="3" t="str">
        <f>INDEX(State_Region!$B$2:$B$26,MATCH(TRIM(A2259),State_Region!$A$2:$A$26,0))</f>
        <v>South</v>
      </c>
      <c r="C2259" s="3" t="s">
        <v>80</v>
      </c>
      <c r="D2259" s="3" t="str">
        <f>INDEX(Port_Type!$B$2:$B$227,MATCH(TRIM(C2259),Port_Type!$A$2:$A$227,0))</f>
        <v>Inland ICD / CFS</v>
      </c>
      <c r="E2259" s="3" t="s">
        <v>51</v>
      </c>
      <c r="F2259" s="3" t="str">
        <f>INDEX(Product_Category!$B$2:$B$45,MATCH(TRIM(E2259),Product_Category!$A$2:$A$45,0))</f>
        <v>Nuts &amp; Oilseeds</v>
      </c>
      <c r="G2259" s="4">
        <v>0</v>
      </c>
      <c r="H2259" s="4">
        <v>0</v>
      </c>
      <c r="I2259" s="4">
        <v>0</v>
      </c>
      <c r="J2259" s="4">
        <v>1.05</v>
      </c>
      <c r="K2259" s="4">
        <v>0.13</v>
      </c>
      <c r="L2259" s="4">
        <v>0.03</v>
      </c>
      <c r="M2259" s="4">
        <f t="shared" si="105"/>
        <v>0</v>
      </c>
      <c r="N2259" s="4">
        <f t="shared" si="106"/>
        <v>-0.92</v>
      </c>
      <c r="O2259" s="4">
        <f t="shared" si="107"/>
        <v>0</v>
      </c>
      <c r="P2259" s="3" t="s">
        <v>19</v>
      </c>
    </row>
    <row r="2260" spans="1:16" x14ac:dyDescent="0.35">
      <c r="A2260" s="3" t="s">
        <v>79</v>
      </c>
      <c r="B2260" s="3" t="str">
        <f>INDEX(State_Region!$B$2:$B$26,MATCH(TRIM(A2260),State_Region!$A$2:$A$26,0))</f>
        <v>South</v>
      </c>
      <c r="C2260" s="3" t="s">
        <v>80</v>
      </c>
      <c r="D2260" s="3" t="str">
        <f>INDEX(Port_Type!$B$2:$B$227,MATCH(TRIM(C2260),Port_Type!$A$2:$A$227,0))</f>
        <v>Inland ICD / CFS</v>
      </c>
      <c r="E2260" s="3" t="s">
        <v>83</v>
      </c>
      <c r="F2260" s="3" t="str">
        <f>INDEX(Product_Category!$B$2:$B$45,MATCH(TRIM(E2260),Product_Category!$A$2:$A$45,0))</f>
        <v>Fresh Fruits &amp; Vegetables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  <c r="L2260" s="4">
        <v>0</v>
      </c>
      <c r="M2260" s="4">
        <f t="shared" si="105"/>
        <v>0</v>
      </c>
      <c r="N2260" s="4">
        <f t="shared" si="106"/>
        <v>0</v>
      </c>
      <c r="O2260" s="4">
        <f t="shared" si="107"/>
        <v>0</v>
      </c>
      <c r="P2260" s="3" t="s">
        <v>19</v>
      </c>
    </row>
    <row r="2261" spans="1:16" x14ac:dyDescent="0.35">
      <c r="A2261" s="3" t="s">
        <v>79</v>
      </c>
      <c r="B2261" s="3" t="str">
        <f>INDEX(State_Region!$B$2:$B$26,MATCH(TRIM(A2261),State_Region!$A$2:$A$26,0))</f>
        <v>South</v>
      </c>
      <c r="C2261" s="3" t="s">
        <v>80</v>
      </c>
      <c r="D2261" s="3" t="str">
        <f>INDEX(Port_Type!$B$2:$B$227,MATCH(TRIM(C2261),Port_Type!$A$2:$A$227,0))</f>
        <v>Inland ICD / CFS</v>
      </c>
      <c r="E2261" s="3" t="s">
        <v>179</v>
      </c>
      <c r="F2261" s="3" t="str">
        <f>INDEX(Product_Category!$B$2:$B$45,MATCH(TRIM(E2261),Product_Category!$A$2:$A$45,0))</f>
        <v>Nuts &amp; Oilseeds</v>
      </c>
      <c r="G2261" s="4">
        <v>0.01</v>
      </c>
      <c r="H2261" s="4">
        <v>0</v>
      </c>
      <c r="I2261" s="4">
        <v>0</v>
      </c>
      <c r="J2261" s="4">
        <v>0.97</v>
      </c>
      <c r="K2261" s="4">
        <v>0.03</v>
      </c>
      <c r="L2261" s="4">
        <v>0</v>
      </c>
      <c r="M2261" s="4">
        <f t="shared" si="105"/>
        <v>-0.01</v>
      </c>
      <c r="N2261" s="4">
        <f t="shared" si="106"/>
        <v>-0.94</v>
      </c>
      <c r="O2261" s="4">
        <f t="shared" si="107"/>
        <v>0</v>
      </c>
      <c r="P2261" s="3" t="s">
        <v>19</v>
      </c>
    </row>
    <row r="2262" spans="1:16" x14ac:dyDescent="0.35">
      <c r="A2262" s="3" t="s">
        <v>79</v>
      </c>
      <c r="B2262" s="3" t="str">
        <f>INDEX(State_Region!$B$2:$B$26,MATCH(TRIM(A2262),State_Region!$A$2:$A$26,0))</f>
        <v>South</v>
      </c>
      <c r="C2262" s="3" t="s">
        <v>80</v>
      </c>
      <c r="D2262" s="3" t="str">
        <f>INDEX(Port_Type!$B$2:$B$227,MATCH(TRIM(C2262),Port_Type!$A$2:$A$227,0))</f>
        <v>Inland ICD / CFS</v>
      </c>
      <c r="E2262" s="3" t="s">
        <v>114</v>
      </c>
      <c r="F2262" s="3" t="str">
        <f>INDEX(Product_Category!$B$2:$B$45,MATCH(TRIM(E2262),Product_Category!$A$2:$A$45,0))</f>
        <v>Dairy, Poultry &amp; Honey</v>
      </c>
      <c r="G2262" s="4">
        <v>0</v>
      </c>
      <c r="H2262" s="4">
        <v>0</v>
      </c>
      <c r="I2262" s="4">
        <v>0</v>
      </c>
      <c r="J2262" s="4">
        <v>0.05</v>
      </c>
      <c r="K2262" s="4">
        <v>0</v>
      </c>
      <c r="L2262" s="4">
        <v>0</v>
      </c>
      <c r="M2262" s="4">
        <f t="shared" si="105"/>
        <v>0</v>
      </c>
      <c r="N2262" s="4">
        <f t="shared" si="106"/>
        <v>-0.05</v>
      </c>
      <c r="O2262" s="4">
        <f t="shared" si="107"/>
        <v>0</v>
      </c>
      <c r="P2262" s="3" t="s">
        <v>19</v>
      </c>
    </row>
    <row r="2263" spans="1:16" x14ac:dyDescent="0.35">
      <c r="A2263" s="3" t="s">
        <v>79</v>
      </c>
      <c r="B2263" s="3" t="str">
        <f>INDEX(State_Region!$B$2:$B$26,MATCH(TRIM(A2263),State_Region!$A$2:$A$26,0))</f>
        <v>South</v>
      </c>
      <c r="C2263" s="3" t="s">
        <v>264</v>
      </c>
      <c r="D2263" s="3" t="str">
        <f>INDEX(Port_Type!$B$2:$B$227,MATCH(TRIM(C2263),Port_Type!$A$2:$A$227,0))</f>
        <v>SEZ / EPZ</v>
      </c>
      <c r="E2263" s="3" t="s">
        <v>174</v>
      </c>
      <c r="F2263" s="3" t="str">
        <f>INDEX(Product_Category!$B$2:$B$45,MATCH(TRIM(E2263),Product_Category!$A$2:$A$45,0))</f>
        <v>Dairy, Poultry &amp; Honey</v>
      </c>
      <c r="G2263" s="4">
        <v>7.0000000000000007E-2</v>
      </c>
      <c r="H2263" s="4">
        <v>0</v>
      </c>
      <c r="I2263" s="4">
        <v>0</v>
      </c>
      <c r="J2263" s="4">
        <v>0</v>
      </c>
      <c r="K2263" s="4">
        <v>0</v>
      </c>
      <c r="L2263" s="4">
        <v>0</v>
      </c>
      <c r="M2263" s="4">
        <f t="shared" si="105"/>
        <v>-7.0000000000000007E-2</v>
      </c>
      <c r="N2263" s="4">
        <f t="shared" si="106"/>
        <v>0</v>
      </c>
      <c r="O2263" s="4">
        <f t="shared" si="107"/>
        <v>0</v>
      </c>
      <c r="P2263" s="3" t="s">
        <v>19</v>
      </c>
    </row>
    <row r="2264" spans="1:16" x14ac:dyDescent="0.35">
      <c r="A2264" s="3" t="s">
        <v>79</v>
      </c>
      <c r="B2264" s="3" t="str">
        <f>INDEX(State_Region!$B$2:$B$26,MATCH(TRIM(A2264),State_Region!$A$2:$A$26,0))</f>
        <v>South</v>
      </c>
      <c r="C2264" s="3" t="s">
        <v>92</v>
      </c>
      <c r="D2264" s="3" t="str">
        <f>INDEX(Port_Type!$B$2:$B$227,MATCH(TRIM(C2264),Port_Type!$A$2:$A$227,0))</f>
        <v>Air Cargo</v>
      </c>
      <c r="E2264" s="3" t="s">
        <v>181</v>
      </c>
      <c r="F2264" s="3" t="str">
        <f>INDEX(Product_Category!$B$2:$B$45,MATCH(TRIM(E2264),Product_Category!$A$2:$A$45,0))</f>
        <v>Nuts &amp; Oilseeds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  <c r="L2264" s="4">
        <v>0</v>
      </c>
      <c r="M2264" s="4">
        <f t="shared" si="105"/>
        <v>0</v>
      </c>
      <c r="N2264" s="4">
        <f t="shared" si="106"/>
        <v>0</v>
      </c>
      <c r="O2264" s="4">
        <f t="shared" si="107"/>
        <v>0</v>
      </c>
      <c r="P2264" s="3" t="s">
        <v>19</v>
      </c>
    </row>
    <row r="2265" spans="1:16" x14ac:dyDescent="0.35">
      <c r="A2265" s="3" t="s">
        <v>79</v>
      </c>
      <c r="B2265" s="3" t="str">
        <f>INDEX(State_Region!$B$2:$B$26,MATCH(TRIM(A2265),State_Region!$A$2:$A$26,0))</f>
        <v>South</v>
      </c>
      <c r="C2265" s="3" t="s">
        <v>92</v>
      </c>
      <c r="D2265" s="3" t="str">
        <f>INDEX(Port_Type!$B$2:$B$227,MATCH(TRIM(C2265),Port_Type!$A$2:$A$227,0))</f>
        <v>Air Cargo</v>
      </c>
      <c r="E2265" s="3" t="s">
        <v>128</v>
      </c>
      <c r="F2265" s="3" t="str">
        <f>INDEX(Product_Category!$B$2:$B$45,MATCH(TRIM(E2265),Product_Category!$A$2:$A$45,0))</f>
        <v>Dairy, Poultry &amp; Honey</v>
      </c>
      <c r="G2265" s="4">
        <v>0</v>
      </c>
      <c r="H2265" s="4">
        <v>0.03</v>
      </c>
      <c r="I2265" s="4">
        <v>0</v>
      </c>
      <c r="J2265" s="4">
        <v>0.12</v>
      </c>
      <c r="K2265" s="4">
        <v>3.42</v>
      </c>
      <c r="L2265" s="4">
        <v>0</v>
      </c>
      <c r="M2265" s="4">
        <f t="shared" si="105"/>
        <v>0.03</v>
      </c>
      <c r="N2265" s="4">
        <f t="shared" si="106"/>
        <v>3.3</v>
      </c>
      <c r="O2265" s="4">
        <f t="shared" si="107"/>
        <v>-0.03</v>
      </c>
      <c r="P2265" s="3" t="s">
        <v>19</v>
      </c>
    </row>
    <row r="2266" spans="1:16" x14ac:dyDescent="0.35">
      <c r="A2266" s="3" t="s">
        <v>79</v>
      </c>
      <c r="B2266" s="3" t="str">
        <f>INDEX(State_Region!$B$2:$B$26,MATCH(TRIM(A2266),State_Region!$A$2:$A$26,0))</f>
        <v>South</v>
      </c>
      <c r="C2266" s="3" t="s">
        <v>92</v>
      </c>
      <c r="D2266" s="3" t="str">
        <f>INDEX(Port_Type!$B$2:$B$227,MATCH(TRIM(C2266),Port_Type!$A$2:$A$227,0))</f>
        <v>Air Cargo</v>
      </c>
      <c r="E2266" s="3" t="s">
        <v>116</v>
      </c>
      <c r="F2266" s="3" t="str">
        <f>INDEX(Product_Category!$B$2:$B$45,MATCH(TRIM(E2266),Product_Category!$A$2:$A$45,0))</f>
        <v>Others</v>
      </c>
      <c r="G2266" s="4">
        <v>0</v>
      </c>
      <c r="H2266" s="4">
        <v>0</v>
      </c>
      <c r="I2266" s="4">
        <v>0</v>
      </c>
      <c r="J2266" s="4">
        <v>0.05</v>
      </c>
      <c r="K2266" s="4">
        <v>0</v>
      </c>
      <c r="L2266" s="4">
        <v>0</v>
      </c>
      <c r="M2266" s="4">
        <f t="shared" si="105"/>
        <v>0</v>
      </c>
      <c r="N2266" s="4">
        <f t="shared" si="106"/>
        <v>-0.05</v>
      </c>
      <c r="O2266" s="4">
        <f t="shared" si="107"/>
        <v>0</v>
      </c>
      <c r="P2266" s="3" t="s">
        <v>19</v>
      </c>
    </row>
    <row r="2267" spans="1:16" x14ac:dyDescent="0.35">
      <c r="A2267" s="3" t="s">
        <v>40</v>
      </c>
      <c r="B2267" s="3" t="str">
        <f>INDEX(State_Region!$B$2:$B$26,MATCH(TRIM(A2267),State_Region!$A$2:$A$26,0))</f>
        <v>South</v>
      </c>
      <c r="C2267" s="3" t="s">
        <v>85</v>
      </c>
      <c r="D2267" s="3" t="str">
        <f>INDEX(Port_Type!$B$2:$B$227,MATCH(TRIM(C2267),Port_Type!$A$2:$A$227,0))</f>
        <v>Sea Port</v>
      </c>
      <c r="E2267" s="3" t="s">
        <v>116</v>
      </c>
      <c r="F2267" s="3" t="str">
        <f>INDEX(Product_Category!$B$2:$B$45,MATCH(TRIM(E2267),Product_Category!$A$2:$A$45,0))</f>
        <v>Others</v>
      </c>
      <c r="G2267" s="4">
        <v>0.03</v>
      </c>
      <c r="H2267" s="4">
        <v>0</v>
      </c>
      <c r="I2267" s="4">
        <v>0</v>
      </c>
      <c r="J2267" s="4">
        <v>41.88</v>
      </c>
      <c r="K2267" s="4">
        <v>0</v>
      </c>
      <c r="L2267" s="4">
        <v>0</v>
      </c>
      <c r="M2267" s="4">
        <f t="shared" si="105"/>
        <v>-0.03</v>
      </c>
      <c r="N2267" s="4">
        <f t="shared" si="106"/>
        <v>-41.88</v>
      </c>
      <c r="O2267" s="4">
        <f t="shared" si="107"/>
        <v>0</v>
      </c>
      <c r="P2267" s="3" t="s">
        <v>19</v>
      </c>
    </row>
    <row r="2268" spans="1:16" x14ac:dyDescent="0.35">
      <c r="A2268" s="3" t="s">
        <v>79</v>
      </c>
      <c r="B2268" s="3" t="str">
        <f>INDEX(State_Region!$B$2:$B$26,MATCH(TRIM(A2268),State_Region!$A$2:$A$26,0))</f>
        <v>South</v>
      </c>
      <c r="C2268" s="3" t="s">
        <v>92</v>
      </c>
      <c r="D2268" s="3" t="str">
        <f>INDEX(Port_Type!$B$2:$B$227,MATCH(TRIM(C2268),Port_Type!$A$2:$A$227,0))</f>
        <v>Air Cargo</v>
      </c>
      <c r="E2268" s="3" t="s">
        <v>27</v>
      </c>
      <c r="F2268" s="3" t="str">
        <f>INDEX(Product_Category!$B$2:$B$45,MATCH(TRIM(E2268),Product_Category!$A$2:$A$45,0))</f>
        <v>Cereals &amp; Grains</v>
      </c>
      <c r="G2268" s="4">
        <v>0</v>
      </c>
      <c r="H2268" s="4">
        <v>0</v>
      </c>
      <c r="I2268" s="4">
        <v>0</v>
      </c>
      <c r="J2268" s="4">
        <v>0.02</v>
      </c>
      <c r="K2268" s="4">
        <v>0.04</v>
      </c>
      <c r="L2268" s="4">
        <v>0.01</v>
      </c>
      <c r="M2268" s="4">
        <f t="shared" si="105"/>
        <v>0</v>
      </c>
      <c r="N2268" s="4">
        <f t="shared" si="106"/>
        <v>0.02</v>
      </c>
      <c r="O2268" s="4">
        <f t="shared" si="107"/>
        <v>0</v>
      </c>
      <c r="P2268" s="3" t="s">
        <v>19</v>
      </c>
    </row>
    <row r="2269" spans="1:16" x14ac:dyDescent="0.35">
      <c r="A2269" s="3" t="s">
        <v>79</v>
      </c>
      <c r="B2269" s="3" t="str">
        <f>INDEX(State_Region!$B$2:$B$26,MATCH(TRIM(A2269),State_Region!$A$2:$A$26,0))</f>
        <v>South</v>
      </c>
      <c r="C2269" s="3" t="s">
        <v>92</v>
      </c>
      <c r="D2269" s="3" t="str">
        <f>INDEX(Port_Type!$B$2:$B$227,MATCH(TRIM(C2269),Port_Type!$A$2:$A$227,0))</f>
        <v>Air Cargo</v>
      </c>
      <c r="E2269" s="3" t="s">
        <v>118</v>
      </c>
      <c r="F2269" s="3" t="str">
        <f>INDEX(Product_Category!$B$2:$B$45,MATCH(TRIM(E2269),Product_Category!$A$2:$A$45,0))</f>
        <v>Dairy, Poultry &amp; Honey</v>
      </c>
      <c r="G2269" s="4">
        <v>0</v>
      </c>
      <c r="H2269" s="4">
        <v>0</v>
      </c>
      <c r="I2269" s="4">
        <v>0</v>
      </c>
      <c r="J2269" s="4">
        <v>0.2</v>
      </c>
      <c r="K2269" s="4">
        <v>0.04</v>
      </c>
      <c r="L2269" s="4">
        <v>0</v>
      </c>
      <c r="M2269" s="4">
        <f t="shared" si="105"/>
        <v>0</v>
      </c>
      <c r="N2269" s="4">
        <f t="shared" si="106"/>
        <v>-0.16</v>
      </c>
      <c r="O2269" s="4">
        <f t="shared" si="107"/>
        <v>0</v>
      </c>
      <c r="P2269" s="3" t="s">
        <v>19</v>
      </c>
    </row>
    <row r="2270" spans="1:16" x14ac:dyDescent="0.35">
      <c r="A2270" s="3" t="s">
        <v>40</v>
      </c>
      <c r="B2270" s="3" t="str">
        <f>INDEX(State_Region!$B$2:$B$26,MATCH(TRIM(A2270),State_Region!$A$2:$A$26,0))</f>
        <v>South</v>
      </c>
      <c r="C2270" s="3" t="s">
        <v>85</v>
      </c>
      <c r="D2270" s="3" t="str">
        <f>INDEX(Port_Type!$B$2:$B$227,MATCH(TRIM(C2270),Port_Type!$A$2:$A$227,0))</f>
        <v>Sea Port</v>
      </c>
      <c r="E2270" s="3" t="s">
        <v>93</v>
      </c>
      <c r="F2270" s="3" t="str">
        <f>INDEX(Product_Category!$B$2:$B$45,MATCH(TRIM(E2270),Product_Category!$A$2:$A$45,0))</f>
        <v>Meat &amp; Animal Products</v>
      </c>
      <c r="G2270" s="4">
        <v>0.55000000000000004</v>
      </c>
      <c r="H2270" s="4">
        <v>7.0000000000000007E-2</v>
      </c>
      <c r="I2270" s="4">
        <v>0</v>
      </c>
      <c r="J2270" s="4">
        <v>140.80000000000001</v>
      </c>
      <c r="K2270" s="4">
        <v>17.57</v>
      </c>
      <c r="L2270" s="4">
        <v>0</v>
      </c>
      <c r="M2270" s="4">
        <f t="shared" si="105"/>
        <v>-0.48000000000000004</v>
      </c>
      <c r="N2270" s="4">
        <f t="shared" si="106"/>
        <v>-123.23000000000002</v>
      </c>
      <c r="O2270" s="4">
        <f t="shared" si="107"/>
        <v>-7.0000000000000007E-2</v>
      </c>
      <c r="P2270" s="3" t="s">
        <v>19</v>
      </c>
    </row>
    <row r="2271" spans="1:16" x14ac:dyDescent="0.35">
      <c r="A2271" s="3" t="s">
        <v>79</v>
      </c>
      <c r="B2271" s="3" t="str">
        <f>INDEX(State_Region!$B$2:$B$26,MATCH(TRIM(A2271),State_Region!$A$2:$A$26,0))</f>
        <v>South</v>
      </c>
      <c r="C2271" s="3" t="s">
        <v>92</v>
      </c>
      <c r="D2271" s="3" t="str">
        <f>INDEX(Port_Type!$B$2:$B$227,MATCH(TRIM(C2271),Port_Type!$A$2:$A$227,0))</f>
        <v>Air Cargo</v>
      </c>
      <c r="E2271" s="3" t="s">
        <v>151</v>
      </c>
      <c r="F2271" s="3" t="str">
        <f>INDEX(Product_Category!$B$2:$B$45,MATCH(TRIM(E2271),Product_Category!$A$2:$A$45,0))</f>
        <v>Processed Foods</v>
      </c>
      <c r="G2271" s="4">
        <v>0</v>
      </c>
      <c r="H2271" s="4">
        <v>0</v>
      </c>
      <c r="I2271" s="4">
        <v>0</v>
      </c>
      <c r="J2271" s="4">
        <v>0.7</v>
      </c>
      <c r="K2271" s="4">
        <v>0.04</v>
      </c>
      <c r="L2271" s="4">
        <v>0</v>
      </c>
      <c r="M2271" s="4">
        <f t="shared" si="105"/>
        <v>0</v>
      </c>
      <c r="N2271" s="4">
        <f t="shared" si="106"/>
        <v>-0.65999999999999992</v>
      </c>
      <c r="O2271" s="4">
        <f t="shared" si="107"/>
        <v>0</v>
      </c>
      <c r="P2271" s="3" t="s">
        <v>19</v>
      </c>
    </row>
    <row r="2272" spans="1:16" x14ac:dyDescent="0.35">
      <c r="A2272" s="3" t="s">
        <v>74</v>
      </c>
      <c r="B2272" s="3" t="str">
        <f>INDEX(State_Region!$B$2:$B$26,MATCH(TRIM(A2272),State_Region!$A$2:$A$26,0))</f>
        <v>South</v>
      </c>
      <c r="C2272" s="3" t="s">
        <v>137</v>
      </c>
      <c r="D2272" s="3" t="str">
        <f>INDEX(Port_Type!$B$2:$B$227,MATCH(TRIM(C2272),Port_Type!$A$2:$A$227,0))</f>
        <v>Air Cargo</v>
      </c>
      <c r="E2272" s="3" t="s">
        <v>22</v>
      </c>
      <c r="F2272" s="3" t="str">
        <f>INDEX(Product_Category!$B$2:$B$45,MATCH(TRIM(E2272),Product_Category!$A$2:$A$45,0))</f>
        <v>Meat &amp; Animal Products</v>
      </c>
      <c r="G2272" s="4">
        <v>0</v>
      </c>
      <c r="H2272" s="4">
        <v>0.24</v>
      </c>
      <c r="I2272" s="4">
        <v>0</v>
      </c>
      <c r="J2272" s="4">
        <v>0</v>
      </c>
      <c r="K2272" s="4">
        <v>42.68</v>
      </c>
      <c r="L2272" s="4">
        <v>0</v>
      </c>
      <c r="M2272" s="4">
        <f t="shared" si="105"/>
        <v>0.24</v>
      </c>
      <c r="N2272" s="4">
        <f t="shared" si="106"/>
        <v>42.68</v>
      </c>
      <c r="O2272" s="4">
        <f t="shared" si="107"/>
        <v>-0.24</v>
      </c>
      <c r="P2272" s="3" t="s">
        <v>19</v>
      </c>
    </row>
    <row r="2273" spans="1:16" x14ac:dyDescent="0.35">
      <c r="A2273" s="3" t="s">
        <v>74</v>
      </c>
      <c r="B2273" s="3" t="str">
        <f>INDEX(State_Region!$B$2:$B$26,MATCH(TRIM(A2273),State_Region!$A$2:$A$26,0))</f>
        <v>South</v>
      </c>
      <c r="C2273" s="3" t="s">
        <v>137</v>
      </c>
      <c r="D2273" s="3" t="str">
        <f>INDEX(Port_Type!$B$2:$B$227,MATCH(TRIM(C2273),Port_Type!$A$2:$A$227,0))</f>
        <v>Air Cargo</v>
      </c>
      <c r="E2273" s="3" t="s">
        <v>114</v>
      </c>
      <c r="F2273" s="3" t="str">
        <f>INDEX(Product_Category!$B$2:$B$45,MATCH(TRIM(E2273),Product_Category!$A$2:$A$45,0))</f>
        <v>Dairy, Poultry &amp; Honey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  <c r="L2273" s="4">
        <v>0</v>
      </c>
      <c r="M2273" s="4">
        <f t="shared" si="105"/>
        <v>0</v>
      </c>
      <c r="N2273" s="4">
        <f t="shared" si="106"/>
        <v>0</v>
      </c>
      <c r="O2273" s="4">
        <f t="shared" si="107"/>
        <v>0</v>
      </c>
      <c r="P2273" s="3" t="s">
        <v>19</v>
      </c>
    </row>
    <row r="2274" spans="1:16" x14ac:dyDescent="0.35">
      <c r="A2274" s="3" t="s">
        <v>74</v>
      </c>
      <c r="B2274" s="3" t="str">
        <f>INDEX(State_Region!$B$2:$B$26,MATCH(TRIM(A2274),State_Region!$A$2:$A$26,0))</f>
        <v>South</v>
      </c>
      <c r="C2274" s="3" t="s">
        <v>137</v>
      </c>
      <c r="D2274" s="3" t="str">
        <f>INDEX(Port_Type!$B$2:$B$227,MATCH(TRIM(C2274),Port_Type!$A$2:$A$227,0))</f>
        <v>Air Cargo</v>
      </c>
      <c r="E2274" s="3" t="s">
        <v>84</v>
      </c>
      <c r="F2274" s="3" t="str">
        <f>INDEX(Product_Category!$B$2:$B$45,MATCH(TRIM(E2274),Product_Category!$A$2:$A$45,0))</f>
        <v>Nuts &amp; Oilseeds</v>
      </c>
      <c r="G2274" s="4">
        <v>0.02</v>
      </c>
      <c r="H2274" s="4">
        <v>0.02</v>
      </c>
      <c r="I2274" s="4">
        <v>0</v>
      </c>
      <c r="J2274" s="4">
        <v>3</v>
      </c>
      <c r="K2274" s="4">
        <v>2.27</v>
      </c>
      <c r="L2274" s="4">
        <v>0</v>
      </c>
      <c r="M2274" s="4">
        <f t="shared" si="105"/>
        <v>0</v>
      </c>
      <c r="N2274" s="4">
        <f t="shared" si="106"/>
        <v>-0.73</v>
      </c>
      <c r="O2274" s="4">
        <f t="shared" si="107"/>
        <v>-0.02</v>
      </c>
      <c r="P2274" s="3" t="s">
        <v>19</v>
      </c>
    </row>
    <row r="2275" spans="1:16" x14ac:dyDescent="0.35">
      <c r="A2275" s="3" t="s">
        <v>79</v>
      </c>
      <c r="B2275" s="3" t="str">
        <f>INDEX(State_Region!$B$2:$B$26,MATCH(TRIM(A2275),State_Region!$A$2:$A$26,0))</f>
        <v>South</v>
      </c>
      <c r="C2275" s="3" t="s">
        <v>92</v>
      </c>
      <c r="D2275" s="3" t="str">
        <f>INDEX(Port_Type!$B$2:$B$227,MATCH(TRIM(C2275),Port_Type!$A$2:$A$227,0))</f>
        <v>Air Cargo</v>
      </c>
      <c r="E2275" s="3" t="s">
        <v>46</v>
      </c>
      <c r="F2275" s="3" t="str">
        <f>INDEX(Product_Category!$B$2:$B$45,MATCH(TRIM(E2275),Product_Category!$A$2:$A$45,0))</f>
        <v>Others</v>
      </c>
      <c r="G2275" s="4">
        <v>0</v>
      </c>
      <c r="H2275" s="4">
        <v>0</v>
      </c>
      <c r="I2275" s="4">
        <v>0</v>
      </c>
      <c r="J2275" s="4">
        <v>0</v>
      </c>
      <c r="K2275" s="4">
        <v>0.02</v>
      </c>
      <c r="L2275" s="4">
        <v>0</v>
      </c>
      <c r="M2275" s="4">
        <f t="shared" si="105"/>
        <v>0</v>
      </c>
      <c r="N2275" s="4">
        <f t="shared" si="106"/>
        <v>0.02</v>
      </c>
      <c r="O2275" s="4">
        <f t="shared" si="107"/>
        <v>0</v>
      </c>
      <c r="P2275" s="3" t="s">
        <v>19</v>
      </c>
    </row>
    <row r="2276" spans="1:16" x14ac:dyDescent="0.35">
      <c r="A2276" s="3" t="s">
        <v>74</v>
      </c>
      <c r="B2276" s="3" t="str">
        <f>INDEX(State_Region!$B$2:$B$26,MATCH(TRIM(A2276),State_Region!$A$2:$A$26,0))</f>
        <v>South</v>
      </c>
      <c r="C2276" s="3" t="s">
        <v>137</v>
      </c>
      <c r="D2276" s="3" t="str">
        <f>INDEX(Port_Type!$B$2:$B$227,MATCH(TRIM(C2276),Port_Type!$A$2:$A$227,0))</f>
        <v>Air Cargo</v>
      </c>
      <c r="E2276" s="3" t="s">
        <v>81</v>
      </c>
      <c r="F2276" s="3" t="str">
        <f>INDEX(Product_Category!$B$2:$B$45,MATCH(TRIM(E2276),Product_Category!$A$2:$A$45,0))</f>
        <v>Processed Foods</v>
      </c>
      <c r="G2276" s="4">
        <v>0</v>
      </c>
      <c r="H2276" s="4">
        <v>0</v>
      </c>
      <c r="I2276" s="4">
        <v>0</v>
      </c>
      <c r="J2276" s="4">
        <v>0.01</v>
      </c>
      <c r="K2276" s="4">
        <v>0</v>
      </c>
      <c r="L2276" s="4">
        <v>0</v>
      </c>
      <c r="M2276" s="4">
        <f t="shared" si="105"/>
        <v>0</v>
      </c>
      <c r="N2276" s="4">
        <f t="shared" si="106"/>
        <v>-0.01</v>
      </c>
      <c r="O2276" s="4">
        <f t="shared" si="107"/>
        <v>0</v>
      </c>
      <c r="P2276" s="3" t="s">
        <v>19</v>
      </c>
    </row>
    <row r="2277" spans="1:16" x14ac:dyDescent="0.35">
      <c r="A2277" s="3" t="s">
        <v>74</v>
      </c>
      <c r="B2277" s="3" t="str">
        <f>INDEX(State_Region!$B$2:$B$26,MATCH(TRIM(A2277),State_Region!$A$2:$A$26,0))</f>
        <v>South</v>
      </c>
      <c r="C2277" s="3" t="s">
        <v>137</v>
      </c>
      <c r="D2277" s="3" t="str">
        <f>INDEX(Port_Type!$B$2:$B$227,MATCH(TRIM(C2277),Port_Type!$A$2:$A$227,0))</f>
        <v>Air Cargo</v>
      </c>
      <c r="E2277" s="3" t="s">
        <v>72</v>
      </c>
      <c r="F2277" s="3" t="str">
        <f>INDEX(Product_Category!$B$2:$B$45,MATCH(TRIM(E2277),Product_Category!$A$2:$A$45,0))</f>
        <v>Dairy, Poultry &amp; Honey</v>
      </c>
      <c r="G2277" s="4">
        <v>0.01</v>
      </c>
      <c r="H2277" s="4">
        <v>0.01</v>
      </c>
      <c r="I2277" s="4">
        <v>0</v>
      </c>
      <c r="J2277" s="4">
        <v>3.23</v>
      </c>
      <c r="K2277" s="4">
        <v>4.28</v>
      </c>
      <c r="L2277" s="4">
        <v>0</v>
      </c>
      <c r="M2277" s="4">
        <f t="shared" si="105"/>
        <v>0</v>
      </c>
      <c r="N2277" s="4">
        <f t="shared" si="106"/>
        <v>1.0500000000000003</v>
      </c>
      <c r="O2277" s="4">
        <f t="shared" si="107"/>
        <v>-0.01</v>
      </c>
      <c r="P2277" s="3" t="s">
        <v>19</v>
      </c>
    </row>
    <row r="2278" spans="1:16" x14ac:dyDescent="0.35">
      <c r="A2278" s="3" t="s">
        <v>79</v>
      </c>
      <c r="B2278" s="3" t="str">
        <f>INDEX(State_Region!$B$2:$B$26,MATCH(TRIM(A2278),State_Region!$A$2:$A$26,0))</f>
        <v>South</v>
      </c>
      <c r="C2278" s="3" t="s">
        <v>92</v>
      </c>
      <c r="D2278" s="3" t="str">
        <f>INDEX(Port_Type!$B$2:$B$227,MATCH(TRIM(C2278),Port_Type!$A$2:$A$227,0))</f>
        <v>Air Cargo</v>
      </c>
      <c r="E2278" s="3" t="s">
        <v>51</v>
      </c>
      <c r="F2278" s="3" t="str">
        <f>INDEX(Product_Category!$B$2:$B$45,MATCH(TRIM(E2278),Product_Category!$A$2:$A$45,0))</f>
        <v>Nuts &amp; Oilseeds</v>
      </c>
      <c r="G2278" s="4">
        <v>0</v>
      </c>
      <c r="H2278" s="4">
        <v>0.01</v>
      </c>
      <c r="I2278" s="4">
        <v>0</v>
      </c>
      <c r="J2278" s="4">
        <v>0</v>
      </c>
      <c r="K2278" s="4">
        <v>7.03</v>
      </c>
      <c r="L2278" s="4">
        <v>0</v>
      </c>
      <c r="M2278" s="4">
        <f t="shared" si="105"/>
        <v>0.01</v>
      </c>
      <c r="N2278" s="4">
        <f t="shared" si="106"/>
        <v>7.03</v>
      </c>
      <c r="O2278" s="4">
        <f t="shared" si="107"/>
        <v>-0.01</v>
      </c>
      <c r="P2278" s="3" t="s">
        <v>19</v>
      </c>
    </row>
    <row r="2279" spans="1:16" x14ac:dyDescent="0.35">
      <c r="A2279" s="3" t="s">
        <v>79</v>
      </c>
      <c r="B2279" s="3" t="str">
        <f>INDEX(State_Region!$B$2:$B$26,MATCH(TRIM(A2279),State_Region!$A$2:$A$26,0))</f>
        <v>South</v>
      </c>
      <c r="C2279" s="3" t="s">
        <v>92</v>
      </c>
      <c r="D2279" s="3" t="str">
        <f>INDEX(Port_Type!$B$2:$B$227,MATCH(TRIM(C2279),Port_Type!$A$2:$A$227,0))</f>
        <v>Air Cargo</v>
      </c>
      <c r="E2279" s="3" t="s">
        <v>83</v>
      </c>
      <c r="F2279" s="3" t="str">
        <f>INDEX(Product_Category!$B$2:$B$45,MATCH(TRIM(E2279),Product_Category!$A$2:$A$45,0))</f>
        <v>Fresh Fruits &amp; Vegetables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  <c r="L2279" s="4">
        <v>0</v>
      </c>
      <c r="M2279" s="4">
        <f t="shared" si="105"/>
        <v>0</v>
      </c>
      <c r="N2279" s="4">
        <f t="shared" si="106"/>
        <v>0</v>
      </c>
      <c r="O2279" s="4">
        <f t="shared" si="107"/>
        <v>0</v>
      </c>
      <c r="P2279" s="3" t="s">
        <v>19</v>
      </c>
    </row>
    <row r="2280" spans="1:16" x14ac:dyDescent="0.35">
      <c r="A2280" s="3" t="s">
        <v>79</v>
      </c>
      <c r="B2280" s="3" t="str">
        <f>INDEX(State_Region!$B$2:$B$26,MATCH(TRIM(A2280),State_Region!$A$2:$A$26,0))</f>
        <v>South</v>
      </c>
      <c r="C2280" s="3" t="s">
        <v>92</v>
      </c>
      <c r="D2280" s="3" t="str">
        <f>INDEX(Port_Type!$B$2:$B$227,MATCH(TRIM(C2280),Port_Type!$A$2:$A$227,0))</f>
        <v>Air Cargo</v>
      </c>
      <c r="E2280" s="3" t="s">
        <v>142</v>
      </c>
      <c r="F2280" s="3" t="str">
        <f>INDEX(Product_Category!$B$2:$B$45,MATCH(TRIM(E2280),Product_Category!$A$2:$A$45,0))</f>
        <v>Nuts &amp; Oilseeds</v>
      </c>
      <c r="G2280" s="4">
        <v>0</v>
      </c>
      <c r="H2280" s="4">
        <v>0.06</v>
      </c>
      <c r="I2280" s="4">
        <v>0</v>
      </c>
      <c r="J2280" s="4">
        <v>0.03</v>
      </c>
      <c r="K2280" s="4">
        <v>1.1000000000000001</v>
      </c>
      <c r="L2280" s="4">
        <v>0</v>
      </c>
      <c r="M2280" s="4">
        <f t="shared" si="105"/>
        <v>0.06</v>
      </c>
      <c r="N2280" s="4">
        <f t="shared" si="106"/>
        <v>1.07</v>
      </c>
      <c r="O2280" s="4">
        <f t="shared" si="107"/>
        <v>-0.06</v>
      </c>
      <c r="P2280" s="3" t="s">
        <v>19</v>
      </c>
    </row>
    <row r="2281" spans="1:16" x14ac:dyDescent="0.35">
      <c r="A2281" s="3" t="s">
        <v>74</v>
      </c>
      <c r="B2281" s="3" t="str">
        <f>INDEX(State_Region!$B$2:$B$26,MATCH(TRIM(A2281),State_Region!$A$2:$A$26,0))</f>
        <v>South</v>
      </c>
      <c r="C2281" s="3" t="s">
        <v>137</v>
      </c>
      <c r="D2281" s="3" t="str">
        <f>INDEX(Port_Type!$B$2:$B$227,MATCH(TRIM(C2281),Port_Type!$A$2:$A$227,0))</f>
        <v>Air Cargo</v>
      </c>
      <c r="E2281" s="3" t="s">
        <v>51</v>
      </c>
      <c r="F2281" s="3" t="str">
        <f>INDEX(Product_Category!$B$2:$B$45,MATCH(TRIM(E2281),Product_Category!$A$2:$A$45,0))</f>
        <v>Nuts &amp; Oilseeds</v>
      </c>
      <c r="G2281" s="4">
        <v>0</v>
      </c>
      <c r="H2281" s="4">
        <v>0</v>
      </c>
      <c r="I2281" s="4">
        <v>0</v>
      </c>
      <c r="J2281" s="4">
        <v>0</v>
      </c>
      <c r="K2281" s="4">
        <v>0.39</v>
      </c>
      <c r="L2281" s="4">
        <v>0</v>
      </c>
      <c r="M2281" s="4">
        <f t="shared" si="105"/>
        <v>0</v>
      </c>
      <c r="N2281" s="4">
        <f t="shared" si="106"/>
        <v>0.39</v>
      </c>
      <c r="O2281" s="4">
        <f t="shared" si="107"/>
        <v>0</v>
      </c>
      <c r="P2281" s="3" t="s">
        <v>19</v>
      </c>
    </row>
    <row r="2282" spans="1:16" x14ac:dyDescent="0.35">
      <c r="A2282" s="3" t="s">
        <v>79</v>
      </c>
      <c r="B2282" s="3" t="str">
        <f>INDEX(State_Region!$B$2:$B$26,MATCH(TRIM(A2282),State_Region!$A$2:$A$26,0))</f>
        <v>South</v>
      </c>
      <c r="C2282" s="3" t="s">
        <v>92</v>
      </c>
      <c r="D2282" s="3" t="str">
        <f>INDEX(Port_Type!$B$2:$B$227,MATCH(TRIM(C2282),Port_Type!$A$2:$A$227,0))</f>
        <v>Air Cargo</v>
      </c>
      <c r="E2282" s="3" t="s">
        <v>18</v>
      </c>
      <c r="F2282" s="3" t="str">
        <f>INDEX(Product_Category!$B$2:$B$45,MATCH(TRIM(E2282),Product_Category!$A$2:$A$45,0))</f>
        <v>Cereals &amp; Grains</v>
      </c>
      <c r="G2282" s="4">
        <v>0</v>
      </c>
      <c r="H2282" s="4">
        <v>0</v>
      </c>
      <c r="I2282" s="4">
        <v>0</v>
      </c>
      <c r="J2282" s="4">
        <v>0.03</v>
      </c>
      <c r="K2282" s="4">
        <v>0.1</v>
      </c>
      <c r="L2282" s="4">
        <v>0</v>
      </c>
      <c r="M2282" s="4">
        <f t="shared" si="105"/>
        <v>0</v>
      </c>
      <c r="N2282" s="4">
        <f t="shared" si="106"/>
        <v>7.0000000000000007E-2</v>
      </c>
      <c r="O2282" s="4">
        <f t="shared" si="107"/>
        <v>0</v>
      </c>
      <c r="P2282" s="3" t="s">
        <v>19</v>
      </c>
    </row>
    <row r="2283" spans="1:16" x14ac:dyDescent="0.35">
      <c r="A2283" s="3" t="s">
        <v>74</v>
      </c>
      <c r="B2283" s="3" t="str">
        <f>INDEX(State_Region!$B$2:$B$26,MATCH(TRIM(A2283),State_Region!$A$2:$A$26,0))</f>
        <v>South</v>
      </c>
      <c r="C2283" s="3" t="s">
        <v>137</v>
      </c>
      <c r="D2283" s="3" t="str">
        <f>INDEX(Port_Type!$B$2:$B$227,MATCH(TRIM(C2283),Port_Type!$A$2:$A$227,0))</f>
        <v>Air Cargo</v>
      </c>
      <c r="E2283" s="3" t="s">
        <v>118</v>
      </c>
      <c r="F2283" s="3" t="str">
        <f>INDEX(Product_Category!$B$2:$B$45,MATCH(TRIM(E2283),Product_Category!$A$2:$A$45,0))</f>
        <v>Dairy, Poultry &amp; Honey</v>
      </c>
      <c r="G2283" s="4">
        <v>0</v>
      </c>
      <c r="H2283" s="4">
        <v>0</v>
      </c>
      <c r="I2283" s="4">
        <v>0</v>
      </c>
      <c r="J2283" s="4">
        <v>0</v>
      </c>
      <c r="K2283" s="4">
        <v>0.01</v>
      </c>
      <c r="L2283" s="4">
        <v>0</v>
      </c>
      <c r="M2283" s="4">
        <f t="shared" si="105"/>
        <v>0</v>
      </c>
      <c r="N2283" s="4">
        <f t="shared" si="106"/>
        <v>0.01</v>
      </c>
      <c r="O2283" s="4">
        <f t="shared" si="107"/>
        <v>0</v>
      </c>
      <c r="P2283" s="3" t="s">
        <v>19</v>
      </c>
    </row>
    <row r="2284" spans="1:16" x14ac:dyDescent="0.35">
      <c r="A2284" s="3" t="s">
        <v>212</v>
      </c>
      <c r="B2284" s="3" t="str">
        <f>INDEX(State_Region!$B$2:$B$26,MATCH(TRIM(A2284),State_Region!$A$2:$A$26,0))</f>
        <v>North</v>
      </c>
      <c r="C2284" s="3" t="s">
        <v>213</v>
      </c>
      <c r="D2284" s="3" t="str">
        <f>INDEX(Port_Type!$B$2:$B$227,MATCH(TRIM(C2284),Port_Type!$A$2:$A$227,0))</f>
        <v>Inland ICD / CFS</v>
      </c>
      <c r="E2284" s="3" t="s">
        <v>48</v>
      </c>
      <c r="F2284" s="3" t="str">
        <f>INDEX(Product_Category!$B$2:$B$45,MATCH(TRIM(E2284),Product_Category!$A$2:$A$45,0))</f>
        <v>Processed Foods</v>
      </c>
      <c r="G2284" s="4">
        <v>0.01</v>
      </c>
      <c r="H2284" s="4">
        <v>0</v>
      </c>
      <c r="I2284" s="4">
        <v>0</v>
      </c>
      <c r="J2284" s="4">
        <v>6.66</v>
      </c>
      <c r="K2284" s="4">
        <v>0</v>
      </c>
      <c r="L2284" s="4">
        <v>0</v>
      </c>
      <c r="M2284" s="4">
        <f t="shared" si="105"/>
        <v>-0.01</v>
      </c>
      <c r="N2284" s="4">
        <f t="shared" si="106"/>
        <v>-6.66</v>
      </c>
      <c r="O2284" s="4">
        <f t="shared" si="107"/>
        <v>0</v>
      </c>
      <c r="P2284" s="3" t="s">
        <v>19</v>
      </c>
    </row>
    <row r="2285" spans="1:16" x14ac:dyDescent="0.35">
      <c r="A2285" s="3" t="s">
        <v>74</v>
      </c>
      <c r="B2285" s="3" t="str">
        <f>INDEX(State_Region!$B$2:$B$26,MATCH(TRIM(A2285),State_Region!$A$2:$A$26,0))</f>
        <v>South</v>
      </c>
      <c r="C2285" s="3" t="s">
        <v>137</v>
      </c>
      <c r="D2285" s="3" t="str">
        <f>INDEX(Port_Type!$B$2:$B$227,MATCH(TRIM(C2285),Port_Type!$A$2:$A$227,0))</f>
        <v>Air Cargo</v>
      </c>
      <c r="E2285" s="3" t="s">
        <v>170</v>
      </c>
      <c r="F2285" s="3" t="str">
        <f>INDEX(Product_Category!$B$2:$B$45,MATCH(TRIM(E2285),Product_Category!$A$2:$A$45,0))</f>
        <v>Others</v>
      </c>
      <c r="G2285" s="4">
        <v>0.53</v>
      </c>
      <c r="H2285" s="4">
        <v>0.01</v>
      </c>
      <c r="I2285" s="4">
        <v>0</v>
      </c>
      <c r="J2285" s="4">
        <v>194.41</v>
      </c>
      <c r="K2285" s="4">
        <v>4.72</v>
      </c>
      <c r="L2285" s="4">
        <v>0</v>
      </c>
      <c r="M2285" s="4">
        <f t="shared" si="105"/>
        <v>-0.52</v>
      </c>
      <c r="N2285" s="4">
        <f t="shared" si="106"/>
        <v>-189.69</v>
      </c>
      <c r="O2285" s="4">
        <f t="shared" si="107"/>
        <v>-0.01</v>
      </c>
      <c r="P2285" s="3" t="s">
        <v>19</v>
      </c>
    </row>
    <row r="2286" spans="1:16" x14ac:dyDescent="0.35">
      <c r="A2286" s="3" t="s">
        <v>74</v>
      </c>
      <c r="B2286" s="3" t="str">
        <f>INDEX(State_Region!$B$2:$B$26,MATCH(TRIM(A2286),State_Region!$A$2:$A$26,0))</f>
        <v>South</v>
      </c>
      <c r="C2286" s="3" t="s">
        <v>137</v>
      </c>
      <c r="D2286" s="3" t="str">
        <f>INDEX(Port_Type!$B$2:$B$227,MATCH(TRIM(C2286),Port_Type!$A$2:$A$227,0))</f>
        <v>Air Cargo</v>
      </c>
      <c r="E2286" s="3" t="s">
        <v>221</v>
      </c>
      <c r="F2286" s="3" t="str">
        <f>INDEX(Product_Category!$B$2:$B$45,MATCH(TRIM(E2286),Product_Category!$A$2:$A$45,0))</f>
        <v>Meat &amp; Animal Products</v>
      </c>
      <c r="G2286" s="4">
        <v>0</v>
      </c>
      <c r="H2286" s="4">
        <v>0</v>
      </c>
      <c r="I2286" s="4">
        <v>0</v>
      </c>
      <c r="J2286" s="4">
        <v>0.02</v>
      </c>
      <c r="K2286" s="4">
        <v>0</v>
      </c>
      <c r="L2286" s="4">
        <v>0</v>
      </c>
      <c r="M2286" s="4">
        <f t="shared" si="105"/>
        <v>0</v>
      </c>
      <c r="N2286" s="4">
        <f t="shared" si="106"/>
        <v>-0.02</v>
      </c>
      <c r="O2286" s="4">
        <f t="shared" si="107"/>
        <v>0</v>
      </c>
      <c r="P2286" s="3" t="s">
        <v>19</v>
      </c>
    </row>
    <row r="2287" spans="1:16" x14ac:dyDescent="0.35">
      <c r="A2287" s="3" t="s">
        <v>35</v>
      </c>
      <c r="B2287" s="3" t="str">
        <f>INDEX(State_Region!$B$2:$B$26,MATCH(TRIM(A2287),State_Region!$A$2:$A$26,0))</f>
        <v>North</v>
      </c>
      <c r="C2287" s="3" t="s">
        <v>165</v>
      </c>
      <c r="D2287" s="3" t="str">
        <f>INDEX(Port_Type!$B$2:$B$227,MATCH(TRIM(C2287),Port_Type!$A$2:$A$227,0))</f>
        <v>Inland ICD / CFS</v>
      </c>
      <c r="E2287" s="3" t="s">
        <v>102</v>
      </c>
      <c r="F2287" s="3" t="str">
        <f>INDEX(Product_Category!$B$2:$B$45,MATCH(TRIM(E2287),Product_Category!$A$2:$A$45,0))</f>
        <v>Fresh Fruits &amp; Vegetables</v>
      </c>
      <c r="G2287" s="4">
        <v>0</v>
      </c>
      <c r="H2287" s="4">
        <v>0</v>
      </c>
      <c r="I2287" s="4">
        <v>0</v>
      </c>
      <c r="J2287" s="4">
        <v>0</v>
      </c>
      <c r="K2287" s="4">
        <v>0.02</v>
      </c>
      <c r="L2287" s="4">
        <v>0</v>
      </c>
      <c r="M2287" s="4">
        <f t="shared" si="105"/>
        <v>0</v>
      </c>
      <c r="N2287" s="4">
        <f t="shared" si="106"/>
        <v>0.02</v>
      </c>
      <c r="O2287" s="4">
        <f t="shared" si="107"/>
        <v>0</v>
      </c>
      <c r="P2287" s="3" t="s">
        <v>19</v>
      </c>
    </row>
    <row r="2288" spans="1:16" x14ac:dyDescent="0.35">
      <c r="A2288" s="3" t="s">
        <v>74</v>
      </c>
      <c r="B2288" s="3" t="str">
        <f>INDEX(State_Region!$B$2:$B$26,MATCH(TRIM(A2288),State_Region!$A$2:$A$26,0))</f>
        <v>South</v>
      </c>
      <c r="C2288" s="3" t="s">
        <v>137</v>
      </c>
      <c r="D2288" s="3" t="str">
        <f>INDEX(Port_Type!$B$2:$B$227,MATCH(TRIM(C2288),Port_Type!$A$2:$A$227,0))</f>
        <v>Air Cargo</v>
      </c>
      <c r="E2288" s="3" t="s">
        <v>33</v>
      </c>
      <c r="F2288" s="3" t="str">
        <f>INDEX(Product_Category!$B$2:$B$45,MATCH(TRIM(E2288),Product_Category!$A$2:$A$45,0))</f>
        <v>Pulses</v>
      </c>
      <c r="G2288" s="4">
        <v>0.01</v>
      </c>
      <c r="H2288" s="4">
        <v>0</v>
      </c>
      <c r="I2288" s="4">
        <v>0</v>
      </c>
      <c r="J2288" s="4">
        <v>4.46</v>
      </c>
      <c r="K2288" s="4">
        <v>0</v>
      </c>
      <c r="L2288" s="4">
        <v>0</v>
      </c>
      <c r="M2288" s="4">
        <f t="shared" si="105"/>
        <v>-0.01</v>
      </c>
      <c r="N2288" s="4">
        <f t="shared" si="106"/>
        <v>-4.46</v>
      </c>
      <c r="O2288" s="4">
        <f t="shared" si="107"/>
        <v>0</v>
      </c>
      <c r="P2288" s="3" t="s">
        <v>19</v>
      </c>
    </row>
    <row r="2289" spans="1:16" x14ac:dyDescent="0.35">
      <c r="A2289" s="3" t="s">
        <v>74</v>
      </c>
      <c r="B2289" s="3" t="str">
        <f>INDEX(State_Region!$B$2:$B$26,MATCH(TRIM(A2289),State_Region!$A$2:$A$26,0))</f>
        <v>South</v>
      </c>
      <c r="C2289" s="3" t="s">
        <v>137</v>
      </c>
      <c r="D2289" s="3" t="str">
        <f>INDEX(Port_Type!$B$2:$B$227,MATCH(TRIM(C2289),Port_Type!$A$2:$A$227,0))</f>
        <v>Air Cargo</v>
      </c>
      <c r="E2289" s="3" t="s">
        <v>93</v>
      </c>
      <c r="F2289" s="3" t="str">
        <f>INDEX(Product_Category!$B$2:$B$45,MATCH(TRIM(E2289),Product_Category!$A$2:$A$45,0))</f>
        <v>Meat &amp; Animal Products</v>
      </c>
      <c r="G2289" s="4">
        <v>0</v>
      </c>
      <c r="H2289" s="4">
        <v>0.08</v>
      </c>
      <c r="I2289" s="4">
        <v>0</v>
      </c>
      <c r="J2289" s="4">
        <v>0</v>
      </c>
      <c r="K2289" s="4">
        <v>10.61</v>
      </c>
      <c r="L2289" s="4">
        <v>0</v>
      </c>
      <c r="M2289" s="4">
        <f t="shared" si="105"/>
        <v>0.08</v>
      </c>
      <c r="N2289" s="4">
        <f t="shared" si="106"/>
        <v>10.61</v>
      </c>
      <c r="O2289" s="4">
        <f t="shared" si="107"/>
        <v>-0.08</v>
      </c>
      <c r="P2289" s="3" t="s">
        <v>19</v>
      </c>
    </row>
    <row r="2290" spans="1:16" x14ac:dyDescent="0.35">
      <c r="A2290" s="3" t="s">
        <v>35</v>
      </c>
      <c r="B2290" s="3" t="str">
        <f>INDEX(State_Region!$B$2:$B$26,MATCH(TRIM(A2290),State_Region!$A$2:$A$26,0))</f>
        <v>North</v>
      </c>
      <c r="C2290" s="3" t="s">
        <v>165</v>
      </c>
      <c r="D2290" s="3" t="str">
        <f>INDEX(Port_Type!$B$2:$B$227,MATCH(TRIM(C2290),Port_Type!$A$2:$A$227,0))</f>
        <v>Inland ICD / CFS</v>
      </c>
      <c r="E2290" s="3" t="s">
        <v>51</v>
      </c>
      <c r="F2290" s="3" t="str">
        <f>INDEX(Product_Category!$B$2:$B$45,MATCH(TRIM(E2290),Product_Category!$A$2:$A$45,0))</f>
        <v>Nuts &amp; Oilseeds</v>
      </c>
      <c r="G2290" s="4">
        <v>0</v>
      </c>
      <c r="H2290" s="4">
        <v>0</v>
      </c>
      <c r="I2290" s="4">
        <v>0</v>
      </c>
      <c r="J2290" s="4">
        <v>0</v>
      </c>
      <c r="K2290" s="4">
        <v>0.1</v>
      </c>
      <c r="L2290" s="4">
        <v>0</v>
      </c>
      <c r="M2290" s="4">
        <f t="shared" si="105"/>
        <v>0</v>
      </c>
      <c r="N2290" s="4">
        <f t="shared" si="106"/>
        <v>0.1</v>
      </c>
      <c r="O2290" s="4">
        <f t="shared" si="107"/>
        <v>0</v>
      </c>
      <c r="P2290" s="3" t="s">
        <v>19</v>
      </c>
    </row>
    <row r="2291" spans="1:16" x14ac:dyDescent="0.35">
      <c r="A2291" s="3" t="s">
        <v>74</v>
      </c>
      <c r="B2291" s="3" t="str">
        <f>INDEX(State_Region!$B$2:$B$26,MATCH(TRIM(A2291),State_Region!$A$2:$A$26,0))</f>
        <v>South</v>
      </c>
      <c r="C2291" s="3" t="s">
        <v>75</v>
      </c>
      <c r="D2291" s="3" t="str">
        <f>INDEX(Port_Type!$B$2:$B$227,MATCH(TRIM(C2291),Port_Type!$A$2:$A$227,0))</f>
        <v>Inland ICD / CFS</v>
      </c>
      <c r="E2291" s="3" t="s">
        <v>114</v>
      </c>
      <c r="F2291" s="3" t="str">
        <f>INDEX(Product_Category!$B$2:$B$45,MATCH(TRIM(E2291),Product_Category!$A$2:$A$45,0))</f>
        <v>Dairy, Poultry &amp; Honey</v>
      </c>
      <c r="G2291" s="4">
        <v>0</v>
      </c>
      <c r="H2291" s="4">
        <v>0</v>
      </c>
      <c r="I2291" s="4">
        <v>0</v>
      </c>
      <c r="J2291" s="4">
        <v>0</v>
      </c>
      <c r="K2291" s="4">
        <v>1</v>
      </c>
      <c r="L2291" s="4">
        <v>0</v>
      </c>
      <c r="M2291" s="4">
        <f t="shared" si="105"/>
        <v>0</v>
      </c>
      <c r="N2291" s="4">
        <f t="shared" si="106"/>
        <v>1</v>
      </c>
      <c r="O2291" s="4">
        <f t="shared" si="107"/>
        <v>0</v>
      </c>
      <c r="P2291" s="3" t="s">
        <v>19</v>
      </c>
    </row>
    <row r="2292" spans="1:16" x14ac:dyDescent="0.35">
      <c r="A2292" s="3" t="s">
        <v>74</v>
      </c>
      <c r="B2292" s="3" t="str">
        <f>INDEX(State_Region!$B$2:$B$26,MATCH(TRIM(A2292),State_Region!$A$2:$A$26,0))</f>
        <v>South</v>
      </c>
      <c r="C2292" s="3" t="s">
        <v>75</v>
      </c>
      <c r="D2292" s="3" t="str">
        <f>INDEX(Port_Type!$B$2:$B$227,MATCH(TRIM(C2292),Port_Type!$A$2:$A$227,0))</f>
        <v>Inland ICD / CFS</v>
      </c>
      <c r="E2292" s="3" t="s">
        <v>142</v>
      </c>
      <c r="F2292" s="3" t="str">
        <f>INDEX(Product_Category!$B$2:$B$45,MATCH(TRIM(E2292),Product_Category!$A$2:$A$45,0))</f>
        <v>Nuts &amp; Oilseeds</v>
      </c>
      <c r="G2292" s="4">
        <v>0</v>
      </c>
      <c r="H2292" s="4">
        <v>0</v>
      </c>
      <c r="I2292" s="4">
        <v>0</v>
      </c>
      <c r="J2292" s="4">
        <v>0.8</v>
      </c>
      <c r="K2292" s="4">
        <v>0.4</v>
      </c>
      <c r="L2292" s="4">
        <v>0</v>
      </c>
      <c r="M2292" s="4">
        <f t="shared" si="105"/>
        <v>0</v>
      </c>
      <c r="N2292" s="4">
        <f t="shared" si="106"/>
        <v>-0.4</v>
      </c>
      <c r="O2292" s="4">
        <f t="shared" si="107"/>
        <v>0</v>
      </c>
      <c r="P2292" s="3" t="s">
        <v>19</v>
      </c>
    </row>
    <row r="2293" spans="1:16" x14ac:dyDescent="0.35">
      <c r="A2293" s="3" t="s">
        <v>35</v>
      </c>
      <c r="B2293" s="3" t="str">
        <f>INDEX(State_Region!$B$2:$B$26,MATCH(TRIM(A2293),State_Region!$A$2:$A$26,0))</f>
        <v>North</v>
      </c>
      <c r="C2293" s="3" t="s">
        <v>165</v>
      </c>
      <c r="D2293" s="3" t="str">
        <f>INDEX(Port_Type!$B$2:$B$227,MATCH(TRIM(C2293),Port_Type!$A$2:$A$227,0))</f>
        <v>Inland ICD / CFS</v>
      </c>
      <c r="E2293" s="3" t="s">
        <v>60</v>
      </c>
      <c r="F2293" s="3" t="str">
        <f>INDEX(Product_Category!$B$2:$B$45,MATCH(TRIM(E2293),Product_Category!$A$2:$A$45,0))</f>
        <v>Processed Foods</v>
      </c>
      <c r="G2293" s="4">
        <v>0</v>
      </c>
      <c r="H2293" s="4">
        <v>0</v>
      </c>
      <c r="I2293" s="4">
        <v>0</v>
      </c>
      <c r="J2293" s="4">
        <v>0</v>
      </c>
      <c r="K2293" s="4">
        <v>0.34</v>
      </c>
      <c r="L2293" s="4">
        <v>0</v>
      </c>
      <c r="M2293" s="4">
        <f t="shared" si="105"/>
        <v>0</v>
      </c>
      <c r="N2293" s="4">
        <f t="shared" si="106"/>
        <v>0.34</v>
      </c>
      <c r="O2293" s="4">
        <f t="shared" si="107"/>
        <v>0</v>
      </c>
      <c r="P2293" s="3" t="s">
        <v>19</v>
      </c>
    </row>
    <row r="2294" spans="1:16" x14ac:dyDescent="0.35">
      <c r="A2294" s="3" t="s">
        <v>35</v>
      </c>
      <c r="B2294" s="3" t="str">
        <f>INDEX(State_Region!$B$2:$B$26,MATCH(TRIM(A2294),State_Region!$A$2:$A$26,0))</f>
        <v>North</v>
      </c>
      <c r="C2294" s="3" t="s">
        <v>38</v>
      </c>
      <c r="D2294" s="3" t="str">
        <f>INDEX(Port_Type!$B$2:$B$227,MATCH(TRIM(C2294),Port_Type!$A$2:$A$227,0))</f>
        <v>Inland ICD / CFS</v>
      </c>
      <c r="E2294" s="3" t="s">
        <v>181</v>
      </c>
      <c r="F2294" s="3" t="str">
        <f>INDEX(Product_Category!$B$2:$B$45,MATCH(TRIM(E2294),Product_Category!$A$2:$A$45,0))</f>
        <v>Nuts &amp; Oilseeds</v>
      </c>
      <c r="G2294" s="4">
        <v>0</v>
      </c>
      <c r="H2294" s="4">
        <v>0</v>
      </c>
      <c r="I2294" s="4">
        <v>0</v>
      </c>
      <c r="J2294" s="4">
        <v>0.04</v>
      </c>
      <c r="K2294" s="4">
        <v>0.01</v>
      </c>
      <c r="L2294" s="4">
        <v>0</v>
      </c>
      <c r="M2294" s="4">
        <f t="shared" si="105"/>
        <v>0</v>
      </c>
      <c r="N2294" s="4">
        <f t="shared" si="106"/>
        <v>-0.03</v>
      </c>
      <c r="O2294" s="4">
        <f t="shared" si="107"/>
        <v>0</v>
      </c>
      <c r="P2294" s="3" t="s">
        <v>19</v>
      </c>
    </row>
    <row r="2295" spans="1:16" x14ac:dyDescent="0.35">
      <c r="A2295" s="3" t="s">
        <v>74</v>
      </c>
      <c r="B2295" s="3" t="str">
        <f>INDEX(State_Region!$B$2:$B$26,MATCH(TRIM(A2295),State_Region!$A$2:$A$26,0))</f>
        <v>South</v>
      </c>
      <c r="C2295" s="3" t="s">
        <v>75</v>
      </c>
      <c r="D2295" s="3" t="str">
        <f>INDEX(Port_Type!$B$2:$B$227,MATCH(TRIM(C2295),Port_Type!$A$2:$A$227,0))</f>
        <v>Inland ICD / CFS</v>
      </c>
      <c r="E2295" s="3" t="s">
        <v>122</v>
      </c>
      <c r="F2295" s="3" t="str">
        <f>INDEX(Product_Category!$B$2:$B$45,MATCH(TRIM(E2295),Product_Category!$A$2:$A$45,0))</f>
        <v>Others</v>
      </c>
      <c r="G2295" s="4">
        <v>0.88</v>
      </c>
      <c r="H2295" s="4">
        <v>1.42</v>
      </c>
      <c r="I2295" s="4">
        <v>0</v>
      </c>
      <c r="J2295" s="4">
        <v>1180.4100000000001</v>
      </c>
      <c r="K2295" s="4">
        <v>3091.14</v>
      </c>
      <c r="L2295" s="4">
        <v>0</v>
      </c>
      <c r="M2295" s="4">
        <f t="shared" si="105"/>
        <v>0.53999999999999992</v>
      </c>
      <c r="N2295" s="4">
        <f t="shared" si="106"/>
        <v>1910.7299999999998</v>
      </c>
      <c r="O2295" s="4">
        <f t="shared" si="107"/>
        <v>-1.42</v>
      </c>
      <c r="P2295" s="3" t="s">
        <v>19</v>
      </c>
    </row>
    <row r="2296" spans="1:16" x14ac:dyDescent="0.35">
      <c r="A2296" s="3" t="s">
        <v>35</v>
      </c>
      <c r="B2296" s="3" t="str">
        <f>INDEX(State_Region!$B$2:$B$26,MATCH(TRIM(A2296),State_Region!$A$2:$A$26,0))</f>
        <v>North</v>
      </c>
      <c r="C2296" s="3" t="s">
        <v>38</v>
      </c>
      <c r="D2296" s="3" t="str">
        <f>INDEX(Port_Type!$B$2:$B$227,MATCH(TRIM(C2296),Port_Type!$A$2:$A$227,0))</f>
        <v>Inland ICD / CFS</v>
      </c>
      <c r="E2296" s="3" t="s">
        <v>93</v>
      </c>
      <c r="F2296" s="3" t="str">
        <f>INDEX(Product_Category!$B$2:$B$45,MATCH(TRIM(E2296),Product_Category!$A$2:$A$45,0))</f>
        <v>Meat &amp; Animal Products</v>
      </c>
      <c r="G2296" s="4">
        <v>0</v>
      </c>
      <c r="H2296" s="4">
        <v>0.08</v>
      </c>
      <c r="I2296" s="4">
        <v>0</v>
      </c>
      <c r="J2296" s="4">
        <v>0</v>
      </c>
      <c r="K2296" s="4">
        <v>28.49</v>
      </c>
      <c r="L2296" s="4">
        <v>0</v>
      </c>
      <c r="M2296" s="4">
        <f t="shared" si="105"/>
        <v>0.08</v>
      </c>
      <c r="N2296" s="4">
        <f t="shared" si="106"/>
        <v>28.49</v>
      </c>
      <c r="O2296" s="4">
        <f t="shared" si="107"/>
        <v>-0.08</v>
      </c>
      <c r="P2296" s="3" t="s">
        <v>19</v>
      </c>
    </row>
    <row r="2297" spans="1:16" x14ac:dyDescent="0.35">
      <c r="A2297" s="3" t="s">
        <v>35</v>
      </c>
      <c r="B2297" s="3" t="str">
        <f>INDEX(State_Region!$B$2:$B$26,MATCH(TRIM(A2297),State_Region!$A$2:$A$26,0))</f>
        <v>North</v>
      </c>
      <c r="C2297" s="3" t="s">
        <v>38</v>
      </c>
      <c r="D2297" s="3" t="str">
        <f>INDEX(Port_Type!$B$2:$B$227,MATCH(TRIM(C2297),Port_Type!$A$2:$A$227,0))</f>
        <v>Inland ICD / CFS</v>
      </c>
      <c r="E2297" s="3" t="s">
        <v>221</v>
      </c>
      <c r="F2297" s="3" t="str">
        <f>INDEX(Product_Category!$B$2:$B$45,MATCH(TRIM(E2297),Product_Category!$A$2:$A$45,0))</f>
        <v>Meat &amp; Animal Products</v>
      </c>
      <c r="G2297" s="4">
        <v>0</v>
      </c>
      <c r="H2297" s="4">
        <v>0.21</v>
      </c>
      <c r="I2297" s="4">
        <v>0</v>
      </c>
      <c r="J2297" s="4">
        <v>0</v>
      </c>
      <c r="K2297" s="4">
        <v>44.18</v>
      </c>
      <c r="L2297" s="4">
        <v>0</v>
      </c>
      <c r="M2297" s="4">
        <f t="shared" si="105"/>
        <v>0.21</v>
      </c>
      <c r="N2297" s="4">
        <f t="shared" si="106"/>
        <v>44.18</v>
      </c>
      <c r="O2297" s="4">
        <f t="shared" si="107"/>
        <v>-0.21</v>
      </c>
      <c r="P2297" s="3" t="s">
        <v>19</v>
      </c>
    </row>
    <row r="2298" spans="1:16" x14ac:dyDescent="0.35">
      <c r="A2298" s="3" t="s">
        <v>35</v>
      </c>
      <c r="B2298" s="3" t="str">
        <f>INDEX(State_Region!$B$2:$B$26,MATCH(TRIM(A2298),State_Region!$A$2:$A$26,0))</f>
        <v>North</v>
      </c>
      <c r="C2298" s="3" t="s">
        <v>38</v>
      </c>
      <c r="D2298" s="3" t="str">
        <f>INDEX(Port_Type!$B$2:$B$227,MATCH(TRIM(C2298),Port_Type!$A$2:$A$227,0))</f>
        <v>Inland ICD / CFS</v>
      </c>
      <c r="E2298" s="3" t="s">
        <v>102</v>
      </c>
      <c r="F2298" s="3" t="str">
        <f>INDEX(Product_Category!$B$2:$B$45,MATCH(TRIM(E2298),Product_Category!$A$2:$A$45,0))</f>
        <v>Fresh Fruits &amp; Vegetables</v>
      </c>
      <c r="G2298" s="4">
        <v>0</v>
      </c>
      <c r="H2298" s="4">
        <v>0.01</v>
      </c>
      <c r="I2298" s="4">
        <v>0</v>
      </c>
      <c r="J2298" s="4">
        <v>4.25</v>
      </c>
      <c r="K2298" s="4">
        <v>4.4800000000000004</v>
      </c>
      <c r="L2298" s="4">
        <v>0</v>
      </c>
      <c r="M2298" s="4">
        <f t="shared" si="105"/>
        <v>0.01</v>
      </c>
      <c r="N2298" s="4">
        <f t="shared" si="106"/>
        <v>0.23000000000000043</v>
      </c>
      <c r="O2298" s="4">
        <f t="shared" si="107"/>
        <v>-0.01</v>
      </c>
      <c r="P2298" s="3" t="s">
        <v>19</v>
      </c>
    </row>
    <row r="2299" spans="1:16" x14ac:dyDescent="0.35">
      <c r="A2299" s="3" t="s">
        <v>35</v>
      </c>
      <c r="B2299" s="3" t="str">
        <f>INDEX(State_Region!$B$2:$B$26,MATCH(TRIM(A2299),State_Region!$A$2:$A$26,0))</f>
        <v>North</v>
      </c>
      <c r="C2299" s="3" t="s">
        <v>38</v>
      </c>
      <c r="D2299" s="3" t="str">
        <f>INDEX(Port_Type!$B$2:$B$227,MATCH(TRIM(C2299),Port_Type!$A$2:$A$227,0))</f>
        <v>Inland ICD / CFS</v>
      </c>
      <c r="E2299" s="3" t="s">
        <v>62</v>
      </c>
      <c r="F2299" s="3" t="str">
        <f>INDEX(Product_Category!$B$2:$B$45,MATCH(TRIM(E2299),Product_Category!$A$2:$A$45,0))</f>
        <v>Cereals &amp; Grains</v>
      </c>
      <c r="G2299" s="4">
        <v>0</v>
      </c>
      <c r="H2299" s="4">
        <v>0</v>
      </c>
      <c r="I2299" s="4">
        <v>0</v>
      </c>
      <c r="J2299" s="4">
        <v>0.05</v>
      </c>
      <c r="K2299" s="4">
        <v>0</v>
      </c>
      <c r="L2299" s="4">
        <v>0</v>
      </c>
      <c r="M2299" s="4">
        <f t="shared" si="105"/>
        <v>0</v>
      </c>
      <c r="N2299" s="4">
        <f t="shared" si="106"/>
        <v>-0.05</v>
      </c>
      <c r="O2299" s="4">
        <f t="shared" si="107"/>
        <v>0</v>
      </c>
      <c r="P2299" s="3" t="s">
        <v>19</v>
      </c>
    </row>
    <row r="2300" spans="1:16" x14ac:dyDescent="0.35">
      <c r="A2300" s="3" t="s">
        <v>74</v>
      </c>
      <c r="B2300" s="3" t="str">
        <f>INDEX(State_Region!$B$2:$B$26,MATCH(TRIM(A2300),State_Region!$A$2:$A$26,0))</f>
        <v>South</v>
      </c>
      <c r="C2300" s="3" t="s">
        <v>75</v>
      </c>
      <c r="D2300" s="3" t="str">
        <f>INDEX(Port_Type!$B$2:$B$227,MATCH(TRIM(C2300),Port_Type!$A$2:$A$227,0))</f>
        <v>Inland ICD / CFS</v>
      </c>
      <c r="E2300" s="3" t="s">
        <v>151</v>
      </c>
      <c r="F2300" s="3" t="str">
        <f>INDEX(Product_Category!$B$2:$B$45,MATCH(TRIM(E2300),Product_Category!$A$2:$A$45,0))</f>
        <v>Processed Foods</v>
      </c>
      <c r="G2300" s="4">
        <v>0</v>
      </c>
      <c r="H2300" s="4">
        <v>0.03</v>
      </c>
      <c r="I2300" s="4">
        <v>0</v>
      </c>
      <c r="J2300" s="4">
        <v>0</v>
      </c>
      <c r="K2300" s="4">
        <v>13.16</v>
      </c>
      <c r="L2300" s="4">
        <v>0</v>
      </c>
      <c r="M2300" s="4">
        <f t="shared" si="105"/>
        <v>0.03</v>
      </c>
      <c r="N2300" s="4">
        <f t="shared" si="106"/>
        <v>13.16</v>
      </c>
      <c r="O2300" s="4">
        <f t="shared" si="107"/>
        <v>-0.03</v>
      </c>
      <c r="P2300" s="3" t="s">
        <v>19</v>
      </c>
    </row>
    <row r="2301" spans="1:16" x14ac:dyDescent="0.35">
      <c r="A2301" s="3" t="s">
        <v>35</v>
      </c>
      <c r="B2301" s="3" t="str">
        <f>INDEX(State_Region!$B$2:$B$26,MATCH(TRIM(A2301),State_Region!$A$2:$A$26,0))</f>
        <v>North</v>
      </c>
      <c r="C2301" s="3" t="s">
        <v>38</v>
      </c>
      <c r="D2301" s="3" t="str">
        <f>INDEX(Port_Type!$B$2:$B$227,MATCH(TRIM(C2301),Port_Type!$A$2:$A$227,0))</f>
        <v>Inland ICD / CFS</v>
      </c>
      <c r="E2301" s="3" t="s">
        <v>46</v>
      </c>
      <c r="F2301" s="3" t="str">
        <f>INDEX(Product_Category!$B$2:$B$45,MATCH(TRIM(E2301),Product_Category!$A$2:$A$45,0))</f>
        <v>Others</v>
      </c>
      <c r="G2301" s="4">
        <v>0.02</v>
      </c>
      <c r="H2301" s="4">
        <v>0</v>
      </c>
      <c r="I2301" s="4">
        <v>0</v>
      </c>
      <c r="J2301" s="4">
        <v>11.54</v>
      </c>
      <c r="K2301" s="4">
        <v>3.2</v>
      </c>
      <c r="L2301" s="4">
        <v>0</v>
      </c>
      <c r="M2301" s="4">
        <f t="shared" si="105"/>
        <v>-0.02</v>
      </c>
      <c r="N2301" s="4">
        <f t="shared" si="106"/>
        <v>-8.34</v>
      </c>
      <c r="O2301" s="4">
        <f t="shared" si="107"/>
        <v>0</v>
      </c>
      <c r="P2301" s="3" t="s">
        <v>19</v>
      </c>
    </row>
    <row r="2302" spans="1:16" x14ac:dyDescent="0.35">
      <c r="A2302" s="3" t="s">
        <v>35</v>
      </c>
      <c r="B2302" s="3" t="str">
        <f>INDEX(State_Region!$B$2:$B$26,MATCH(TRIM(A2302),State_Region!$A$2:$A$26,0))</f>
        <v>North</v>
      </c>
      <c r="C2302" s="3" t="s">
        <v>38</v>
      </c>
      <c r="D2302" s="3" t="str">
        <f>INDEX(Port_Type!$B$2:$B$227,MATCH(TRIM(C2302),Port_Type!$A$2:$A$227,0))</f>
        <v>Inland ICD / CFS</v>
      </c>
      <c r="E2302" s="3" t="s">
        <v>122</v>
      </c>
      <c r="F2302" s="3" t="str">
        <f>INDEX(Product_Category!$B$2:$B$45,MATCH(TRIM(E2302),Product_Category!$A$2:$A$45,0))</f>
        <v>Others</v>
      </c>
      <c r="G2302" s="4">
        <v>0</v>
      </c>
      <c r="H2302" s="4">
        <v>0.02</v>
      </c>
      <c r="I2302" s="4">
        <v>0</v>
      </c>
      <c r="J2302" s="4">
        <v>0.01</v>
      </c>
      <c r="K2302" s="4">
        <v>13.25</v>
      </c>
      <c r="L2302" s="4">
        <v>0</v>
      </c>
      <c r="M2302" s="4">
        <f t="shared" si="105"/>
        <v>0.02</v>
      </c>
      <c r="N2302" s="4">
        <f t="shared" si="106"/>
        <v>13.24</v>
      </c>
      <c r="O2302" s="4">
        <f t="shared" si="107"/>
        <v>-0.02</v>
      </c>
      <c r="P2302" s="3" t="s">
        <v>19</v>
      </c>
    </row>
    <row r="2303" spans="1:16" x14ac:dyDescent="0.35">
      <c r="A2303" s="3" t="s">
        <v>74</v>
      </c>
      <c r="B2303" s="3" t="str">
        <f>INDEX(State_Region!$B$2:$B$26,MATCH(TRIM(A2303),State_Region!$A$2:$A$26,0))</f>
        <v>South</v>
      </c>
      <c r="C2303" s="3" t="s">
        <v>75</v>
      </c>
      <c r="D2303" s="3" t="str">
        <f>INDEX(Port_Type!$B$2:$B$227,MATCH(TRIM(C2303),Port_Type!$A$2:$A$227,0))</f>
        <v>Inland ICD / CFS</v>
      </c>
      <c r="E2303" s="3" t="s">
        <v>118</v>
      </c>
      <c r="F2303" s="3" t="str">
        <f>INDEX(Product_Category!$B$2:$B$45,MATCH(TRIM(E2303),Product_Category!$A$2:$A$45,0))</f>
        <v>Dairy, Poultry &amp; Honey</v>
      </c>
      <c r="G2303" s="4">
        <v>0.01</v>
      </c>
      <c r="H2303" s="4">
        <v>0</v>
      </c>
      <c r="I2303" s="4">
        <v>0</v>
      </c>
      <c r="J2303" s="4">
        <v>2.92</v>
      </c>
      <c r="K2303" s="4">
        <v>0.16</v>
      </c>
      <c r="L2303" s="4">
        <v>0</v>
      </c>
      <c r="M2303" s="4">
        <f t="shared" si="105"/>
        <v>-0.01</v>
      </c>
      <c r="N2303" s="4">
        <f t="shared" si="106"/>
        <v>-2.76</v>
      </c>
      <c r="O2303" s="4">
        <f t="shared" si="107"/>
        <v>0</v>
      </c>
      <c r="P2303" s="3" t="s">
        <v>19</v>
      </c>
    </row>
    <row r="2304" spans="1:16" x14ac:dyDescent="0.35">
      <c r="A2304" s="3" t="s">
        <v>35</v>
      </c>
      <c r="B2304" s="3" t="str">
        <f>INDEX(State_Region!$B$2:$B$26,MATCH(TRIM(A2304),State_Region!$A$2:$A$26,0))</f>
        <v>North</v>
      </c>
      <c r="C2304" s="3" t="s">
        <v>38</v>
      </c>
      <c r="D2304" s="3" t="str">
        <f>INDEX(Port_Type!$B$2:$B$227,MATCH(TRIM(C2304),Port_Type!$A$2:$A$227,0))</f>
        <v>Inland ICD / CFS</v>
      </c>
      <c r="E2304" s="3" t="s">
        <v>81</v>
      </c>
      <c r="F2304" s="3" t="str">
        <f>INDEX(Product_Category!$B$2:$B$45,MATCH(TRIM(E2304),Product_Category!$A$2:$A$45,0))</f>
        <v>Processed Foods</v>
      </c>
      <c r="G2304" s="4">
        <v>0</v>
      </c>
      <c r="H2304" s="4">
        <v>0.01</v>
      </c>
      <c r="I2304" s="4">
        <v>0</v>
      </c>
      <c r="J2304" s="4">
        <v>0</v>
      </c>
      <c r="K2304" s="4">
        <v>2.0699999999999998</v>
      </c>
      <c r="L2304" s="4">
        <v>0</v>
      </c>
      <c r="M2304" s="4">
        <f t="shared" si="105"/>
        <v>0.01</v>
      </c>
      <c r="N2304" s="4">
        <f t="shared" si="106"/>
        <v>2.0699999999999998</v>
      </c>
      <c r="O2304" s="4">
        <f t="shared" si="107"/>
        <v>-0.01</v>
      </c>
      <c r="P2304" s="3" t="s">
        <v>19</v>
      </c>
    </row>
    <row r="2305" spans="1:16" x14ac:dyDescent="0.35">
      <c r="A2305" s="3" t="s">
        <v>35</v>
      </c>
      <c r="B2305" s="3" t="str">
        <f>INDEX(State_Region!$B$2:$B$26,MATCH(TRIM(A2305),State_Region!$A$2:$A$26,0))</f>
        <v>North</v>
      </c>
      <c r="C2305" s="3" t="s">
        <v>38</v>
      </c>
      <c r="D2305" s="3" t="str">
        <f>INDEX(Port_Type!$B$2:$B$227,MATCH(TRIM(C2305),Port_Type!$A$2:$A$227,0))</f>
        <v>Inland ICD / CFS</v>
      </c>
      <c r="E2305" s="3" t="s">
        <v>179</v>
      </c>
      <c r="F2305" s="3" t="str">
        <f>INDEX(Product_Category!$B$2:$B$45,MATCH(TRIM(E2305),Product_Category!$A$2:$A$45,0))</f>
        <v>Nuts &amp; Oilseeds</v>
      </c>
      <c r="G2305" s="4">
        <v>0.02</v>
      </c>
      <c r="H2305" s="4">
        <v>0.01</v>
      </c>
      <c r="I2305" s="4">
        <v>0</v>
      </c>
      <c r="J2305" s="4">
        <v>1.64</v>
      </c>
      <c r="K2305" s="4">
        <v>0.38</v>
      </c>
      <c r="L2305" s="4">
        <v>0</v>
      </c>
      <c r="M2305" s="4">
        <f t="shared" si="105"/>
        <v>-0.01</v>
      </c>
      <c r="N2305" s="4">
        <f t="shared" si="106"/>
        <v>-1.2599999999999998</v>
      </c>
      <c r="O2305" s="4">
        <f t="shared" si="107"/>
        <v>-0.01</v>
      </c>
      <c r="P2305" s="3" t="s">
        <v>19</v>
      </c>
    </row>
    <row r="2306" spans="1:16" x14ac:dyDescent="0.35">
      <c r="A2306" s="3" t="s">
        <v>74</v>
      </c>
      <c r="B2306" s="3" t="str">
        <f>INDEX(State_Region!$B$2:$B$26,MATCH(TRIM(A2306),State_Region!$A$2:$A$26,0))</f>
        <v>South</v>
      </c>
      <c r="C2306" s="3" t="s">
        <v>75</v>
      </c>
      <c r="D2306" s="3" t="str">
        <f>INDEX(Port_Type!$B$2:$B$227,MATCH(TRIM(C2306),Port_Type!$A$2:$A$227,0))</f>
        <v>Inland ICD / CFS</v>
      </c>
      <c r="E2306" s="3" t="s">
        <v>170</v>
      </c>
      <c r="F2306" s="3" t="str">
        <f>INDEX(Product_Category!$B$2:$B$45,MATCH(TRIM(E2306),Product_Category!$A$2:$A$45,0))</f>
        <v>Others</v>
      </c>
      <c r="G2306" s="4">
        <v>0</v>
      </c>
      <c r="H2306" s="4">
        <v>0</v>
      </c>
      <c r="I2306" s="4">
        <v>0</v>
      </c>
      <c r="J2306" s="4">
        <v>0.01</v>
      </c>
      <c r="K2306" s="4">
        <v>0</v>
      </c>
      <c r="L2306" s="4">
        <v>0</v>
      </c>
      <c r="M2306" s="4">
        <f t="shared" ref="M2306:M2369" si="108">H2306-G2306</f>
        <v>0</v>
      </c>
      <c r="N2306" s="4">
        <f t="shared" ref="N2306:N2369" si="109">K2306-J2306</f>
        <v>-0.01</v>
      </c>
      <c r="O2306" s="4">
        <f t="shared" ref="O2306:O2369" si="110">I2306-H2306</f>
        <v>0</v>
      </c>
      <c r="P2306" s="3" t="s">
        <v>19</v>
      </c>
    </row>
    <row r="2307" spans="1:16" x14ac:dyDescent="0.35">
      <c r="A2307" s="3" t="s">
        <v>35</v>
      </c>
      <c r="B2307" s="3" t="str">
        <f>INDEX(State_Region!$B$2:$B$26,MATCH(TRIM(A2307),State_Region!$A$2:$A$26,0))</f>
        <v>North</v>
      </c>
      <c r="C2307" s="3" t="s">
        <v>36</v>
      </c>
      <c r="D2307" s="3" t="str">
        <f>INDEX(Port_Type!$B$2:$B$227,MATCH(TRIM(C2307),Port_Type!$A$2:$A$227,0))</f>
        <v>Inland ICD / CFS</v>
      </c>
      <c r="E2307" s="3" t="s">
        <v>170</v>
      </c>
      <c r="F2307" s="3" t="str">
        <f>INDEX(Product_Category!$B$2:$B$45,MATCH(TRIM(E2307),Product_Category!$A$2:$A$45,0))</f>
        <v>Others</v>
      </c>
      <c r="G2307" s="4">
        <v>0</v>
      </c>
      <c r="H2307" s="4">
        <v>0</v>
      </c>
      <c r="I2307" s="4">
        <v>0</v>
      </c>
      <c r="J2307" s="4">
        <v>0</v>
      </c>
      <c r="K2307" s="4">
        <v>0.42</v>
      </c>
      <c r="L2307" s="4">
        <v>0</v>
      </c>
      <c r="M2307" s="4">
        <f t="shared" si="108"/>
        <v>0</v>
      </c>
      <c r="N2307" s="4">
        <f t="shared" si="109"/>
        <v>0.42</v>
      </c>
      <c r="O2307" s="4">
        <f t="shared" si="110"/>
        <v>0</v>
      </c>
      <c r="P2307" s="3" t="s">
        <v>19</v>
      </c>
    </row>
    <row r="2308" spans="1:16" x14ac:dyDescent="0.35">
      <c r="A2308" s="3" t="s">
        <v>35</v>
      </c>
      <c r="B2308" s="3" t="str">
        <f>INDEX(State_Region!$B$2:$B$26,MATCH(TRIM(A2308),State_Region!$A$2:$A$26,0))</f>
        <v>North</v>
      </c>
      <c r="C2308" s="3" t="s">
        <v>36</v>
      </c>
      <c r="D2308" s="3" t="str">
        <f>INDEX(Port_Type!$B$2:$B$227,MATCH(TRIM(C2308),Port_Type!$A$2:$A$227,0))</f>
        <v>Inland ICD / CFS</v>
      </c>
      <c r="E2308" s="3" t="s">
        <v>116</v>
      </c>
      <c r="F2308" s="3" t="str">
        <f>INDEX(Product_Category!$B$2:$B$45,MATCH(TRIM(E2308),Product_Category!$A$2:$A$45,0))</f>
        <v>Others</v>
      </c>
      <c r="G2308" s="4">
        <v>0.01</v>
      </c>
      <c r="H2308" s="4">
        <v>0</v>
      </c>
      <c r="I2308" s="4">
        <v>0</v>
      </c>
      <c r="J2308" s="4">
        <v>3</v>
      </c>
      <c r="K2308" s="4">
        <v>0</v>
      </c>
      <c r="L2308" s="4">
        <v>0</v>
      </c>
      <c r="M2308" s="4">
        <f t="shared" si="108"/>
        <v>-0.01</v>
      </c>
      <c r="N2308" s="4">
        <f t="shared" si="109"/>
        <v>-3</v>
      </c>
      <c r="O2308" s="4">
        <f t="shared" si="110"/>
        <v>0</v>
      </c>
      <c r="P2308" s="3" t="s">
        <v>19</v>
      </c>
    </row>
    <row r="2309" spans="1:16" x14ac:dyDescent="0.35">
      <c r="A2309" s="3" t="s">
        <v>74</v>
      </c>
      <c r="B2309" s="3" t="str">
        <f>INDEX(State_Region!$B$2:$B$26,MATCH(TRIM(A2309),State_Region!$A$2:$A$26,0))</f>
        <v>South</v>
      </c>
      <c r="C2309" s="3" t="s">
        <v>98</v>
      </c>
      <c r="D2309" s="3" t="str">
        <f>INDEX(Port_Type!$B$2:$B$227,MATCH(TRIM(C2309),Port_Type!$A$2:$A$227,0))</f>
        <v>Inland ICD / CFS</v>
      </c>
      <c r="E2309" s="3" t="s">
        <v>174</v>
      </c>
      <c r="F2309" s="3" t="str">
        <f>INDEX(Product_Category!$B$2:$B$45,MATCH(TRIM(E2309),Product_Category!$A$2:$A$45,0))</f>
        <v>Dairy, Poultry &amp; Honey</v>
      </c>
      <c r="G2309" s="4">
        <v>0</v>
      </c>
      <c r="H2309" s="4">
        <v>0</v>
      </c>
      <c r="I2309" s="4">
        <v>0</v>
      </c>
      <c r="J2309" s="4">
        <v>0</v>
      </c>
      <c r="K2309" s="4">
        <v>3.5</v>
      </c>
      <c r="L2309" s="4">
        <v>0</v>
      </c>
      <c r="M2309" s="4">
        <f t="shared" si="108"/>
        <v>0</v>
      </c>
      <c r="N2309" s="4">
        <f t="shared" si="109"/>
        <v>3.5</v>
      </c>
      <c r="O2309" s="4">
        <f t="shared" si="110"/>
        <v>0</v>
      </c>
      <c r="P2309" s="3" t="s">
        <v>19</v>
      </c>
    </row>
    <row r="2310" spans="1:16" x14ac:dyDescent="0.35">
      <c r="A2310" s="3" t="s">
        <v>35</v>
      </c>
      <c r="B2310" s="3" t="str">
        <f>INDEX(State_Region!$B$2:$B$26,MATCH(TRIM(A2310),State_Region!$A$2:$A$26,0))</f>
        <v>North</v>
      </c>
      <c r="C2310" s="3" t="s">
        <v>36</v>
      </c>
      <c r="D2310" s="3" t="str">
        <f>INDEX(Port_Type!$B$2:$B$227,MATCH(TRIM(C2310),Port_Type!$A$2:$A$227,0))</f>
        <v>Inland ICD / CFS</v>
      </c>
      <c r="E2310" s="3" t="s">
        <v>144</v>
      </c>
      <c r="F2310" s="3" t="str">
        <f>INDEX(Product_Category!$B$2:$B$45,MATCH(TRIM(E2310),Product_Category!$A$2:$A$45,0))</f>
        <v>Cereals &amp; Grains</v>
      </c>
      <c r="G2310" s="4">
        <v>0.01</v>
      </c>
      <c r="H2310" s="4">
        <v>0</v>
      </c>
      <c r="I2310" s="4">
        <v>0</v>
      </c>
      <c r="J2310" s="4">
        <v>24.74</v>
      </c>
      <c r="K2310" s="4">
        <v>0.23</v>
      </c>
      <c r="L2310" s="4">
        <v>0</v>
      </c>
      <c r="M2310" s="4">
        <f t="shared" si="108"/>
        <v>-0.01</v>
      </c>
      <c r="N2310" s="4">
        <f t="shared" si="109"/>
        <v>-24.509999999999998</v>
      </c>
      <c r="O2310" s="4">
        <f t="shared" si="110"/>
        <v>0</v>
      </c>
      <c r="P2310" s="3" t="s">
        <v>19</v>
      </c>
    </row>
    <row r="2311" spans="1:16" x14ac:dyDescent="0.35">
      <c r="A2311" s="3" t="s">
        <v>35</v>
      </c>
      <c r="B2311" s="3" t="str">
        <f>INDEX(State_Region!$B$2:$B$26,MATCH(TRIM(A2311),State_Region!$A$2:$A$26,0))</f>
        <v>North</v>
      </c>
      <c r="C2311" s="3" t="s">
        <v>36</v>
      </c>
      <c r="D2311" s="3" t="str">
        <f>INDEX(Port_Type!$B$2:$B$227,MATCH(TRIM(C2311),Port_Type!$A$2:$A$227,0))</f>
        <v>Inland ICD / CFS</v>
      </c>
      <c r="E2311" s="3" t="s">
        <v>151</v>
      </c>
      <c r="F2311" s="3" t="str">
        <f>INDEX(Product_Category!$B$2:$B$45,MATCH(TRIM(E2311),Product_Category!$A$2:$A$45,0))</f>
        <v>Processed Foods</v>
      </c>
      <c r="G2311" s="4">
        <v>0.03</v>
      </c>
      <c r="H2311" s="4">
        <v>0.03</v>
      </c>
      <c r="I2311" s="4">
        <v>0</v>
      </c>
      <c r="J2311" s="4">
        <v>13.73</v>
      </c>
      <c r="K2311" s="4">
        <v>11.32</v>
      </c>
      <c r="L2311" s="4">
        <v>0</v>
      </c>
      <c r="M2311" s="4">
        <f t="shared" si="108"/>
        <v>0</v>
      </c>
      <c r="N2311" s="4">
        <f t="shared" si="109"/>
        <v>-2.41</v>
      </c>
      <c r="O2311" s="4">
        <f t="shared" si="110"/>
        <v>-0.03</v>
      </c>
      <c r="P2311" s="3" t="s">
        <v>19</v>
      </c>
    </row>
    <row r="2312" spans="1:16" x14ac:dyDescent="0.35">
      <c r="A2312" s="3" t="s">
        <v>35</v>
      </c>
      <c r="B2312" s="3" t="str">
        <f>INDEX(State_Region!$B$2:$B$26,MATCH(TRIM(A2312),State_Region!$A$2:$A$26,0))</f>
        <v>North</v>
      </c>
      <c r="C2312" s="3" t="s">
        <v>36</v>
      </c>
      <c r="D2312" s="3" t="str">
        <f>INDEX(Port_Type!$B$2:$B$227,MATCH(TRIM(C2312),Port_Type!$A$2:$A$227,0))</f>
        <v>Inland ICD / CFS</v>
      </c>
      <c r="E2312" s="3" t="s">
        <v>69</v>
      </c>
      <c r="F2312" s="3" t="str">
        <f>INDEX(Product_Category!$B$2:$B$45,MATCH(TRIM(E2312),Product_Category!$A$2:$A$45,0))</f>
        <v>Others</v>
      </c>
      <c r="G2312" s="4">
        <v>0</v>
      </c>
      <c r="H2312" s="4">
        <v>0.05</v>
      </c>
      <c r="I2312" s="4">
        <v>0</v>
      </c>
      <c r="J2312" s="4">
        <v>0</v>
      </c>
      <c r="K2312" s="4">
        <v>6.2</v>
      </c>
      <c r="L2312" s="4">
        <v>0</v>
      </c>
      <c r="M2312" s="4">
        <f t="shared" si="108"/>
        <v>0.05</v>
      </c>
      <c r="N2312" s="4">
        <f t="shared" si="109"/>
        <v>6.2</v>
      </c>
      <c r="O2312" s="4">
        <f t="shared" si="110"/>
        <v>-0.05</v>
      </c>
      <c r="P2312" s="3" t="s">
        <v>19</v>
      </c>
    </row>
    <row r="2313" spans="1:16" x14ac:dyDescent="0.35">
      <c r="A2313" s="3" t="s">
        <v>74</v>
      </c>
      <c r="B2313" s="3" t="str">
        <f>INDEX(State_Region!$B$2:$B$26,MATCH(TRIM(A2313),State_Region!$A$2:$A$26,0))</f>
        <v>South</v>
      </c>
      <c r="C2313" s="3" t="s">
        <v>98</v>
      </c>
      <c r="D2313" s="3" t="str">
        <f>INDEX(Port_Type!$B$2:$B$227,MATCH(TRIM(C2313),Port_Type!$A$2:$A$227,0))</f>
        <v>Inland ICD / CFS</v>
      </c>
      <c r="E2313" s="3" t="s">
        <v>122</v>
      </c>
      <c r="F2313" s="3" t="str">
        <f>INDEX(Product_Category!$B$2:$B$45,MATCH(TRIM(E2313),Product_Category!$A$2:$A$45,0))</f>
        <v>Others</v>
      </c>
      <c r="G2313" s="4">
        <v>0</v>
      </c>
      <c r="H2313" s="4">
        <v>0.05</v>
      </c>
      <c r="I2313" s="4">
        <v>0</v>
      </c>
      <c r="J2313" s="4">
        <v>0</v>
      </c>
      <c r="K2313" s="4">
        <v>76.59</v>
      </c>
      <c r="L2313" s="4">
        <v>0</v>
      </c>
      <c r="M2313" s="4">
        <f t="shared" si="108"/>
        <v>0.05</v>
      </c>
      <c r="N2313" s="4">
        <f t="shared" si="109"/>
        <v>76.59</v>
      </c>
      <c r="O2313" s="4">
        <f t="shared" si="110"/>
        <v>-0.05</v>
      </c>
      <c r="P2313" s="3" t="s">
        <v>19</v>
      </c>
    </row>
    <row r="2314" spans="1:16" x14ac:dyDescent="0.35">
      <c r="A2314" s="3" t="s">
        <v>74</v>
      </c>
      <c r="B2314" s="3" t="str">
        <f>INDEX(State_Region!$B$2:$B$26,MATCH(TRIM(A2314),State_Region!$A$2:$A$26,0))</f>
        <v>South</v>
      </c>
      <c r="C2314" s="3" t="s">
        <v>98</v>
      </c>
      <c r="D2314" s="3" t="str">
        <f>INDEX(Port_Type!$B$2:$B$227,MATCH(TRIM(C2314),Port_Type!$A$2:$A$227,0))</f>
        <v>Inland ICD / CFS</v>
      </c>
      <c r="E2314" s="3" t="s">
        <v>51</v>
      </c>
      <c r="F2314" s="3" t="str">
        <f>INDEX(Product_Category!$B$2:$B$45,MATCH(TRIM(E2314),Product_Category!$A$2:$A$45,0))</f>
        <v>Nuts &amp; Oilseeds</v>
      </c>
      <c r="G2314" s="4">
        <v>0</v>
      </c>
      <c r="H2314" s="4">
        <v>0.03</v>
      </c>
      <c r="I2314" s="4">
        <v>0</v>
      </c>
      <c r="J2314" s="4">
        <v>0</v>
      </c>
      <c r="K2314" s="4">
        <v>9.9600000000000009</v>
      </c>
      <c r="L2314" s="4">
        <v>0</v>
      </c>
      <c r="M2314" s="4">
        <f t="shared" si="108"/>
        <v>0.03</v>
      </c>
      <c r="N2314" s="4">
        <f t="shared" si="109"/>
        <v>9.9600000000000009</v>
      </c>
      <c r="O2314" s="4">
        <f t="shared" si="110"/>
        <v>-0.03</v>
      </c>
      <c r="P2314" s="3" t="s">
        <v>19</v>
      </c>
    </row>
    <row r="2315" spans="1:16" x14ac:dyDescent="0.35">
      <c r="A2315" s="3" t="s">
        <v>35</v>
      </c>
      <c r="B2315" s="3" t="str">
        <f>INDEX(State_Region!$B$2:$B$26,MATCH(TRIM(A2315),State_Region!$A$2:$A$26,0))</f>
        <v>North</v>
      </c>
      <c r="C2315" s="3" t="s">
        <v>36</v>
      </c>
      <c r="D2315" s="3" t="str">
        <f>INDEX(Port_Type!$B$2:$B$227,MATCH(TRIM(C2315),Port_Type!$A$2:$A$227,0))</f>
        <v>Inland ICD / CFS</v>
      </c>
      <c r="E2315" s="3" t="s">
        <v>122</v>
      </c>
      <c r="F2315" s="3" t="str">
        <f>INDEX(Product_Category!$B$2:$B$45,MATCH(TRIM(E2315),Product_Category!$A$2:$A$45,0))</f>
        <v>Others</v>
      </c>
      <c r="G2315" s="4">
        <v>0</v>
      </c>
      <c r="H2315" s="4">
        <v>0</v>
      </c>
      <c r="I2315" s="4">
        <v>0</v>
      </c>
      <c r="J2315" s="4">
        <v>0</v>
      </c>
      <c r="K2315" s="4">
        <v>0.02</v>
      </c>
      <c r="L2315" s="4">
        <v>0</v>
      </c>
      <c r="M2315" s="4">
        <f t="shared" si="108"/>
        <v>0</v>
      </c>
      <c r="N2315" s="4">
        <f t="shared" si="109"/>
        <v>0.02</v>
      </c>
      <c r="O2315" s="4">
        <f t="shared" si="110"/>
        <v>0</v>
      </c>
      <c r="P2315" s="3" t="s">
        <v>19</v>
      </c>
    </row>
    <row r="2316" spans="1:16" x14ac:dyDescent="0.35">
      <c r="A2316" s="3" t="s">
        <v>35</v>
      </c>
      <c r="B2316" s="3" t="str">
        <f>INDEX(State_Region!$B$2:$B$26,MATCH(TRIM(A2316),State_Region!$A$2:$A$26,0))</f>
        <v>North</v>
      </c>
      <c r="C2316" s="3" t="s">
        <v>36</v>
      </c>
      <c r="D2316" s="3" t="str">
        <f>INDEX(Port_Type!$B$2:$B$227,MATCH(TRIM(C2316),Port_Type!$A$2:$A$227,0))</f>
        <v>Inland ICD / CFS</v>
      </c>
      <c r="E2316" s="3" t="s">
        <v>81</v>
      </c>
      <c r="F2316" s="3" t="str">
        <f>INDEX(Product_Category!$B$2:$B$45,MATCH(TRIM(E2316),Product_Category!$A$2:$A$45,0))</f>
        <v>Processed Foods</v>
      </c>
      <c r="G2316" s="4">
        <v>0</v>
      </c>
      <c r="H2316" s="4">
        <v>0</v>
      </c>
      <c r="I2316" s="4">
        <v>0</v>
      </c>
      <c r="J2316" s="4">
        <v>0</v>
      </c>
      <c r="K2316" s="4">
        <v>0.73</v>
      </c>
      <c r="L2316" s="4">
        <v>0</v>
      </c>
      <c r="M2316" s="4">
        <f t="shared" si="108"/>
        <v>0</v>
      </c>
      <c r="N2316" s="4">
        <f t="shared" si="109"/>
        <v>0.73</v>
      </c>
      <c r="O2316" s="4">
        <f t="shared" si="110"/>
        <v>0</v>
      </c>
      <c r="P2316" s="3" t="s">
        <v>19</v>
      </c>
    </row>
    <row r="2317" spans="1:16" x14ac:dyDescent="0.35">
      <c r="A2317" s="3" t="s">
        <v>74</v>
      </c>
      <c r="B2317" s="3" t="str">
        <f>INDEX(State_Region!$B$2:$B$26,MATCH(TRIM(A2317),State_Region!$A$2:$A$26,0))</f>
        <v>South</v>
      </c>
      <c r="C2317" s="3" t="s">
        <v>98</v>
      </c>
      <c r="D2317" s="3" t="str">
        <f>INDEX(Port_Type!$B$2:$B$227,MATCH(TRIM(C2317),Port_Type!$A$2:$A$227,0))</f>
        <v>Inland ICD / CFS</v>
      </c>
      <c r="E2317" s="3" t="s">
        <v>151</v>
      </c>
      <c r="F2317" s="3" t="str">
        <f>INDEX(Product_Category!$B$2:$B$45,MATCH(TRIM(E2317),Product_Category!$A$2:$A$45,0))</f>
        <v>Processed Foods</v>
      </c>
      <c r="G2317" s="4">
        <v>0</v>
      </c>
      <c r="H2317" s="4">
        <v>0.05</v>
      </c>
      <c r="I2317" s="4">
        <v>0</v>
      </c>
      <c r="J2317" s="4">
        <v>0</v>
      </c>
      <c r="K2317" s="4">
        <v>17.39</v>
      </c>
      <c r="L2317" s="4">
        <v>0</v>
      </c>
      <c r="M2317" s="4">
        <f t="shared" si="108"/>
        <v>0.05</v>
      </c>
      <c r="N2317" s="4">
        <f t="shared" si="109"/>
        <v>17.39</v>
      </c>
      <c r="O2317" s="4">
        <f t="shared" si="110"/>
        <v>-0.05</v>
      </c>
      <c r="P2317" s="3" t="s">
        <v>19</v>
      </c>
    </row>
    <row r="2318" spans="1:16" x14ac:dyDescent="0.35">
      <c r="A2318" s="3" t="s">
        <v>35</v>
      </c>
      <c r="B2318" s="3" t="str">
        <f>INDEX(State_Region!$B$2:$B$26,MATCH(TRIM(A2318),State_Region!$A$2:$A$26,0))</f>
        <v>North</v>
      </c>
      <c r="C2318" s="3" t="s">
        <v>36</v>
      </c>
      <c r="D2318" s="3" t="str">
        <f>INDEX(Port_Type!$B$2:$B$227,MATCH(TRIM(C2318),Port_Type!$A$2:$A$227,0))</f>
        <v>Inland ICD / CFS</v>
      </c>
      <c r="E2318" s="3" t="s">
        <v>59</v>
      </c>
      <c r="F2318" s="3" t="str">
        <f>INDEX(Product_Category!$B$2:$B$45,MATCH(TRIM(E2318),Product_Category!$A$2:$A$45,0))</f>
        <v>Processed Foods</v>
      </c>
      <c r="G2318" s="4">
        <v>0</v>
      </c>
      <c r="H2318" s="4">
        <v>0</v>
      </c>
      <c r="I2318" s="4">
        <v>0</v>
      </c>
      <c r="J2318" s="4">
        <v>0.61</v>
      </c>
      <c r="K2318" s="4">
        <v>0.83</v>
      </c>
      <c r="L2318" s="4">
        <v>0</v>
      </c>
      <c r="M2318" s="4">
        <f t="shared" si="108"/>
        <v>0</v>
      </c>
      <c r="N2318" s="4">
        <f t="shared" si="109"/>
        <v>0.21999999999999997</v>
      </c>
      <c r="O2318" s="4">
        <f t="shared" si="110"/>
        <v>0</v>
      </c>
      <c r="P2318" s="3" t="s">
        <v>19</v>
      </c>
    </row>
    <row r="2319" spans="1:16" x14ac:dyDescent="0.35">
      <c r="A2319" s="3" t="s">
        <v>74</v>
      </c>
      <c r="B2319" s="3" t="str">
        <f>INDEX(State_Region!$B$2:$B$26,MATCH(TRIM(A2319),State_Region!$A$2:$A$26,0))</f>
        <v>South</v>
      </c>
      <c r="C2319" s="3" t="s">
        <v>98</v>
      </c>
      <c r="D2319" s="3" t="str">
        <f>INDEX(Port_Type!$B$2:$B$227,MATCH(TRIM(C2319),Port_Type!$A$2:$A$227,0))</f>
        <v>Inland ICD / CFS</v>
      </c>
      <c r="E2319" s="3" t="s">
        <v>144</v>
      </c>
      <c r="F2319" s="3" t="str">
        <f>INDEX(Product_Category!$B$2:$B$45,MATCH(TRIM(E2319),Product_Category!$A$2:$A$45,0))</f>
        <v>Cereals &amp; Grains</v>
      </c>
      <c r="G2319" s="4">
        <v>0</v>
      </c>
      <c r="H2319" s="4">
        <v>0.06</v>
      </c>
      <c r="I2319" s="4">
        <v>0</v>
      </c>
      <c r="J2319" s="4">
        <v>0</v>
      </c>
      <c r="K2319" s="4">
        <v>24.13</v>
      </c>
      <c r="L2319" s="4">
        <v>0</v>
      </c>
      <c r="M2319" s="4">
        <f t="shared" si="108"/>
        <v>0.06</v>
      </c>
      <c r="N2319" s="4">
        <f t="shared" si="109"/>
        <v>24.13</v>
      </c>
      <c r="O2319" s="4">
        <f t="shared" si="110"/>
        <v>-0.06</v>
      </c>
      <c r="P2319" s="3" t="s">
        <v>19</v>
      </c>
    </row>
    <row r="2320" spans="1:16" x14ac:dyDescent="0.35">
      <c r="A2320" s="3" t="s">
        <v>35</v>
      </c>
      <c r="B2320" s="3" t="str">
        <f>INDEX(State_Region!$B$2:$B$26,MATCH(TRIM(A2320),State_Region!$A$2:$A$26,0))</f>
        <v>North</v>
      </c>
      <c r="C2320" s="3" t="s">
        <v>198</v>
      </c>
      <c r="D2320" s="3" t="str">
        <f>INDEX(Port_Type!$B$2:$B$227,MATCH(TRIM(C2320),Port_Type!$A$2:$A$227,0))</f>
        <v>Inland ICD / CFS</v>
      </c>
      <c r="E2320" s="3" t="s">
        <v>33</v>
      </c>
      <c r="F2320" s="3" t="str">
        <f>INDEX(Product_Category!$B$2:$B$45,MATCH(TRIM(E2320),Product_Category!$A$2:$A$45,0))</f>
        <v>Pulses</v>
      </c>
      <c r="G2320" s="4">
        <v>0</v>
      </c>
      <c r="H2320" s="4">
        <v>0</v>
      </c>
      <c r="I2320" s="4">
        <v>0</v>
      </c>
      <c r="J2320" s="4">
        <v>0</v>
      </c>
      <c r="K2320" s="4">
        <v>1.93</v>
      </c>
      <c r="L2320" s="4">
        <v>0</v>
      </c>
      <c r="M2320" s="4">
        <f t="shared" si="108"/>
        <v>0</v>
      </c>
      <c r="N2320" s="4">
        <f t="shared" si="109"/>
        <v>1.93</v>
      </c>
      <c r="O2320" s="4">
        <f t="shared" si="110"/>
        <v>0</v>
      </c>
      <c r="P2320" s="3" t="s">
        <v>19</v>
      </c>
    </row>
    <row r="2321" spans="1:16" x14ac:dyDescent="0.35">
      <c r="A2321" s="3" t="s">
        <v>35</v>
      </c>
      <c r="B2321" s="3" t="str">
        <f>INDEX(State_Region!$B$2:$B$26,MATCH(TRIM(A2321),State_Region!$A$2:$A$26,0))</f>
        <v>North</v>
      </c>
      <c r="C2321" s="3" t="s">
        <v>198</v>
      </c>
      <c r="D2321" s="3" t="str">
        <f>INDEX(Port_Type!$B$2:$B$227,MATCH(TRIM(C2321),Port_Type!$A$2:$A$227,0))</f>
        <v>Inland ICD / CFS</v>
      </c>
      <c r="E2321" s="3" t="s">
        <v>42</v>
      </c>
      <c r="F2321" s="3" t="str">
        <f>INDEX(Product_Category!$B$2:$B$45,MATCH(TRIM(E2321),Product_Category!$A$2:$A$45,0))</f>
        <v>Processed Foods</v>
      </c>
      <c r="G2321" s="4">
        <v>0</v>
      </c>
      <c r="H2321" s="4">
        <v>0</v>
      </c>
      <c r="I2321" s="4">
        <v>0</v>
      </c>
      <c r="J2321" s="4">
        <v>0</v>
      </c>
      <c r="K2321" s="4">
        <v>0.64</v>
      </c>
      <c r="L2321" s="4">
        <v>0</v>
      </c>
      <c r="M2321" s="4">
        <f t="shared" si="108"/>
        <v>0</v>
      </c>
      <c r="N2321" s="4">
        <f t="shared" si="109"/>
        <v>0.64</v>
      </c>
      <c r="O2321" s="4">
        <f t="shared" si="110"/>
        <v>0</v>
      </c>
      <c r="P2321" s="3" t="s">
        <v>19</v>
      </c>
    </row>
    <row r="2322" spans="1:16" x14ac:dyDescent="0.35">
      <c r="A2322" s="3" t="s">
        <v>74</v>
      </c>
      <c r="B2322" s="3" t="str">
        <f>INDEX(State_Region!$B$2:$B$26,MATCH(TRIM(A2322),State_Region!$A$2:$A$26,0))</f>
        <v>South</v>
      </c>
      <c r="C2322" s="3" t="s">
        <v>98</v>
      </c>
      <c r="D2322" s="3" t="str">
        <f>INDEX(Port_Type!$B$2:$B$227,MATCH(TRIM(C2322),Port_Type!$A$2:$A$227,0))</f>
        <v>Inland ICD / CFS</v>
      </c>
      <c r="E2322" s="3" t="s">
        <v>128</v>
      </c>
      <c r="F2322" s="3" t="str">
        <f>INDEX(Product_Category!$B$2:$B$45,MATCH(TRIM(E2322),Product_Category!$A$2:$A$45,0))</f>
        <v>Dairy, Poultry &amp; Honey</v>
      </c>
      <c r="G2322" s="4">
        <v>0</v>
      </c>
      <c r="H2322" s="4">
        <v>0.31</v>
      </c>
      <c r="I2322" s="4">
        <v>0</v>
      </c>
      <c r="J2322" s="4">
        <v>0</v>
      </c>
      <c r="K2322" s="4">
        <v>106.07</v>
      </c>
      <c r="L2322" s="4">
        <v>0</v>
      </c>
      <c r="M2322" s="4">
        <f t="shared" si="108"/>
        <v>0.31</v>
      </c>
      <c r="N2322" s="4">
        <f t="shared" si="109"/>
        <v>106.07</v>
      </c>
      <c r="O2322" s="4">
        <f t="shared" si="110"/>
        <v>-0.31</v>
      </c>
      <c r="P2322" s="3" t="s">
        <v>19</v>
      </c>
    </row>
    <row r="2323" spans="1:16" x14ac:dyDescent="0.35">
      <c r="A2323" s="3" t="s">
        <v>35</v>
      </c>
      <c r="B2323" s="3" t="str">
        <f>INDEX(State_Region!$B$2:$B$26,MATCH(TRIM(A2323),State_Region!$A$2:$A$26,0))</f>
        <v>North</v>
      </c>
      <c r="C2323" s="3" t="s">
        <v>198</v>
      </c>
      <c r="D2323" s="3" t="str">
        <f>INDEX(Port_Type!$B$2:$B$227,MATCH(TRIM(C2323),Port_Type!$A$2:$A$227,0))</f>
        <v>Inland ICD / CFS</v>
      </c>
      <c r="E2323" s="3" t="s">
        <v>54</v>
      </c>
      <c r="F2323" s="3" t="str">
        <f>INDEX(Product_Category!$B$2:$B$45,MATCH(TRIM(E2323),Product_Category!$A$2:$A$45,0))</f>
        <v>Processed Foods</v>
      </c>
      <c r="G2323" s="4">
        <v>0</v>
      </c>
      <c r="H2323" s="4">
        <v>0.01</v>
      </c>
      <c r="I2323" s="4">
        <v>0</v>
      </c>
      <c r="J2323" s="4">
        <v>0</v>
      </c>
      <c r="K2323" s="4">
        <v>1.98</v>
      </c>
      <c r="L2323" s="4">
        <v>0</v>
      </c>
      <c r="M2323" s="4">
        <f t="shared" si="108"/>
        <v>0.01</v>
      </c>
      <c r="N2323" s="4">
        <f t="shared" si="109"/>
        <v>1.98</v>
      </c>
      <c r="O2323" s="4">
        <f t="shared" si="110"/>
        <v>-0.01</v>
      </c>
      <c r="P2323" s="3" t="s">
        <v>19</v>
      </c>
    </row>
    <row r="2324" spans="1:16" x14ac:dyDescent="0.35">
      <c r="A2324" s="3" t="s">
        <v>35</v>
      </c>
      <c r="B2324" s="3" t="str">
        <f>INDEX(State_Region!$B$2:$B$26,MATCH(TRIM(A2324),State_Region!$A$2:$A$26,0))</f>
        <v>North</v>
      </c>
      <c r="C2324" s="3" t="s">
        <v>198</v>
      </c>
      <c r="D2324" s="3" t="str">
        <f>INDEX(Port_Type!$B$2:$B$227,MATCH(TRIM(C2324),Port_Type!$A$2:$A$227,0))</f>
        <v>Inland ICD / CFS</v>
      </c>
      <c r="E2324" s="3" t="s">
        <v>45</v>
      </c>
      <c r="F2324" s="3" t="str">
        <f>INDEX(Product_Category!$B$2:$B$45,MATCH(TRIM(E2324),Product_Category!$A$2:$A$45,0))</f>
        <v>Fresh Fruits &amp; Vegetables</v>
      </c>
      <c r="G2324" s="4">
        <v>0</v>
      </c>
      <c r="H2324" s="4">
        <v>0</v>
      </c>
      <c r="I2324" s="4">
        <v>0</v>
      </c>
      <c r="J2324" s="4">
        <v>0</v>
      </c>
      <c r="K2324" s="4">
        <v>0.04</v>
      </c>
      <c r="L2324" s="4">
        <v>0</v>
      </c>
      <c r="M2324" s="4">
        <f t="shared" si="108"/>
        <v>0</v>
      </c>
      <c r="N2324" s="4">
        <f t="shared" si="109"/>
        <v>0.04</v>
      </c>
      <c r="O2324" s="4">
        <f t="shared" si="110"/>
        <v>0</v>
      </c>
      <c r="P2324" s="3" t="s">
        <v>19</v>
      </c>
    </row>
    <row r="2325" spans="1:16" x14ac:dyDescent="0.35">
      <c r="A2325" s="3" t="s">
        <v>35</v>
      </c>
      <c r="B2325" s="3" t="str">
        <f>INDEX(State_Region!$B$2:$B$26,MATCH(TRIM(A2325),State_Region!$A$2:$A$26,0))</f>
        <v>North</v>
      </c>
      <c r="C2325" s="3" t="s">
        <v>198</v>
      </c>
      <c r="D2325" s="3" t="str">
        <f>INDEX(Port_Type!$B$2:$B$227,MATCH(TRIM(C2325),Port_Type!$A$2:$A$227,0))</f>
        <v>Inland ICD / CFS</v>
      </c>
      <c r="E2325" s="3" t="s">
        <v>126</v>
      </c>
      <c r="F2325" s="3" t="str">
        <f>INDEX(Product_Category!$B$2:$B$45,MATCH(TRIM(E2325),Product_Category!$A$2:$A$45,0))</f>
        <v>Cereals &amp; Grains</v>
      </c>
      <c r="G2325" s="4">
        <v>0</v>
      </c>
      <c r="H2325" s="4">
        <v>0</v>
      </c>
      <c r="I2325" s="4">
        <v>0</v>
      </c>
      <c r="J2325" s="4">
        <v>0</v>
      </c>
      <c r="K2325" s="4">
        <v>2.25</v>
      </c>
      <c r="L2325" s="4">
        <v>0</v>
      </c>
      <c r="M2325" s="4">
        <f t="shared" si="108"/>
        <v>0</v>
      </c>
      <c r="N2325" s="4">
        <f t="shared" si="109"/>
        <v>2.25</v>
      </c>
      <c r="O2325" s="4">
        <f t="shared" si="110"/>
        <v>0</v>
      </c>
      <c r="P2325" s="3" t="s">
        <v>19</v>
      </c>
    </row>
    <row r="2326" spans="1:16" x14ac:dyDescent="0.35">
      <c r="A2326" s="3" t="s">
        <v>74</v>
      </c>
      <c r="B2326" s="3" t="str">
        <f>INDEX(State_Region!$B$2:$B$26,MATCH(TRIM(A2326),State_Region!$A$2:$A$26,0))</f>
        <v>South</v>
      </c>
      <c r="C2326" s="3" t="s">
        <v>98</v>
      </c>
      <c r="D2326" s="3" t="str">
        <f>INDEX(Port_Type!$B$2:$B$227,MATCH(TRIM(C2326),Port_Type!$A$2:$A$227,0))</f>
        <v>Inland ICD / CFS</v>
      </c>
      <c r="E2326" s="3" t="s">
        <v>113</v>
      </c>
      <c r="F2326" s="3" t="str">
        <f>INDEX(Product_Category!$B$2:$B$45,MATCH(TRIM(E2326),Product_Category!$A$2:$A$45,0))</f>
        <v>Cereals &amp; Grains</v>
      </c>
      <c r="G2326" s="4">
        <v>0</v>
      </c>
      <c r="H2326" s="4">
        <v>0.12</v>
      </c>
      <c r="I2326" s="4">
        <v>0</v>
      </c>
      <c r="J2326" s="4">
        <v>0</v>
      </c>
      <c r="K2326" s="4">
        <v>210</v>
      </c>
      <c r="L2326" s="4">
        <v>0</v>
      </c>
      <c r="M2326" s="4">
        <f t="shared" si="108"/>
        <v>0.12</v>
      </c>
      <c r="N2326" s="4">
        <f t="shared" si="109"/>
        <v>210</v>
      </c>
      <c r="O2326" s="4">
        <f t="shared" si="110"/>
        <v>-0.12</v>
      </c>
      <c r="P2326" s="3" t="s">
        <v>19</v>
      </c>
    </row>
    <row r="2327" spans="1:16" x14ac:dyDescent="0.35">
      <c r="A2327" s="3" t="s">
        <v>243</v>
      </c>
      <c r="B2327" s="3" t="str">
        <f>INDEX(State_Region!$B$2:$B$26,MATCH(TRIM(A2327),State_Region!$A$2:$A$26,0))</f>
        <v>North-East</v>
      </c>
      <c r="C2327" s="3" t="s">
        <v>273</v>
      </c>
      <c r="D2327" s="3" t="str">
        <f>INDEX(Port_Type!$B$2:$B$227,MATCH(TRIM(C2327),Port_Type!$A$2:$A$227,0))</f>
        <v>Land Border / Rail</v>
      </c>
      <c r="E2327" s="3" t="s">
        <v>84</v>
      </c>
      <c r="F2327" s="3" t="str">
        <f>INDEX(Product_Category!$B$2:$B$45,MATCH(TRIM(E2327),Product_Category!$A$2:$A$45,0))</f>
        <v>Nuts &amp; Oilseeds</v>
      </c>
      <c r="G2327" s="4">
        <v>0</v>
      </c>
      <c r="H2327" s="4">
        <v>0.04</v>
      </c>
      <c r="I2327" s="4">
        <v>0</v>
      </c>
      <c r="J2327" s="4">
        <v>0</v>
      </c>
      <c r="K2327" s="4">
        <v>10</v>
      </c>
      <c r="L2327" s="4">
        <v>0</v>
      </c>
      <c r="M2327" s="4">
        <f t="shared" si="108"/>
        <v>0.04</v>
      </c>
      <c r="N2327" s="4">
        <f t="shared" si="109"/>
        <v>10</v>
      </c>
      <c r="O2327" s="4">
        <f t="shared" si="110"/>
        <v>-0.04</v>
      </c>
      <c r="P2327" s="3" t="s">
        <v>19</v>
      </c>
    </row>
    <row r="2328" spans="1:16" x14ac:dyDescent="0.35">
      <c r="A2328" s="3" t="s">
        <v>243</v>
      </c>
      <c r="B2328" s="3" t="str">
        <f>INDEX(State_Region!$B$2:$B$26,MATCH(TRIM(A2328),State_Region!$A$2:$A$26,0))</f>
        <v>North-East</v>
      </c>
      <c r="C2328" s="3" t="s">
        <v>273</v>
      </c>
      <c r="D2328" s="3" t="str">
        <f>INDEX(Port_Type!$B$2:$B$227,MATCH(TRIM(C2328),Port_Type!$A$2:$A$227,0))</f>
        <v>Land Border / Rail</v>
      </c>
      <c r="E2328" s="3" t="s">
        <v>55</v>
      </c>
      <c r="F2328" s="3" t="str">
        <f>INDEX(Product_Category!$B$2:$B$45,MATCH(TRIM(E2328),Product_Category!$A$2:$A$45,0))</f>
        <v>Fresh Fruits &amp; Vegetables</v>
      </c>
      <c r="G2328" s="4">
        <v>0</v>
      </c>
      <c r="H2328" s="4">
        <v>0</v>
      </c>
      <c r="I2328" s="4">
        <v>0</v>
      </c>
      <c r="J2328" s="4">
        <v>21.3</v>
      </c>
      <c r="K2328" s="4">
        <v>0</v>
      </c>
      <c r="L2328" s="4">
        <v>0</v>
      </c>
      <c r="M2328" s="4">
        <f t="shared" si="108"/>
        <v>0</v>
      </c>
      <c r="N2328" s="4">
        <f t="shared" si="109"/>
        <v>-21.3</v>
      </c>
      <c r="O2328" s="4">
        <f t="shared" si="110"/>
        <v>0</v>
      </c>
      <c r="P2328" s="3" t="s">
        <v>19</v>
      </c>
    </row>
    <row r="2329" spans="1:16" x14ac:dyDescent="0.35">
      <c r="A2329" s="3" t="s">
        <v>243</v>
      </c>
      <c r="B2329" s="3" t="str">
        <f>INDEX(State_Region!$B$2:$B$26,MATCH(TRIM(A2329),State_Region!$A$2:$A$26,0))</f>
        <v>North-East</v>
      </c>
      <c r="C2329" s="3" t="s">
        <v>273</v>
      </c>
      <c r="D2329" s="3" t="str">
        <f>INDEX(Port_Type!$B$2:$B$227,MATCH(TRIM(C2329),Port_Type!$A$2:$A$227,0))</f>
        <v>Land Border / Rail</v>
      </c>
      <c r="E2329" s="3" t="s">
        <v>27</v>
      </c>
      <c r="F2329" s="3" t="str">
        <f>INDEX(Product_Category!$B$2:$B$45,MATCH(TRIM(E2329),Product_Category!$A$2:$A$45,0))</f>
        <v>Cereals &amp; Grains</v>
      </c>
      <c r="G2329" s="4">
        <v>0</v>
      </c>
      <c r="H2329" s="4">
        <v>7.0000000000000007E-2</v>
      </c>
      <c r="I2329" s="4">
        <v>0</v>
      </c>
      <c r="J2329" s="4">
        <v>0</v>
      </c>
      <c r="K2329" s="4">
        <v>150</v>
      </c>
      <c r="L2329" s="4">
        <v>0</v>
      </c>
      <c r="M2329" s="4">
        <f t="shared" si="108"/>
        <v>7.0000000000000007E-2</v>
      </c>
      <c r="N2329" s="4">
        <f t="shared" si="109"/>
        <v>150</v>
      </c>
      <c r="O2329" s="4">
        <f t="shared" si="110"/>
        <v>-7.0000000000000007E-2</v>
      </c>
      <c r="P2329" s="3" t="s">
        <v>19</v>
      </c>
    </row>
    <row r="2330" spans="1:16" x14ac:dyDescent="0.35">
      <c r="A2330" s="3" t="s">
        <v>243</v>
      </c>
      <c r="B2330" s="3" t="str">
        <f>INDEX(State_Region!$B$2:$B$26,MATCH(TRIM(A2330),State_Region!$A$2:$A$26,0))</f>
        <v>North-East</v>
      </c>
      <c r="C2330" s="3" t="s">
        <v>274</v>
      </c>
      <c r="D2330" s="3" t="str">
        <f>INDEX(Port_Type!$B$2:$B$227,MATCH(TRIM(C2330),Port_Type!$A$2:$A$227,0))</f>
        <v>Land Border / Rail</v>
      </c>
      <c r="E2330" s="3" t="s">
        <v>45</v>
      </c>
      <c r="F2330" s="3" t="str">
        <f>INDEX(Product_Category!$B$2:$B$45,MATCH(TRIM(E2330),Product_Category!$A$2:$A$45,0))</f>
        <v>Fresh Fruits &amp; Vegetables</v>
      </c>
      <c r="G2330" s="4">
        <v>0</v>
      </c>
      <c r="H2330" s="4">
        <v>0.01</v>
      </c>
      <c r="I2330" s="4">
        <v>0</v>
      </c>
      <c r="J2330" s="4">
        <v>0</v>
      </c>
      <c r="K2330" s="4">
        <v>27</v>
      </c>
      <c r="L2330" s="4">
        <v>0</v>
      </c>
      <c r="M2330" s="4">
        <f t="shared" si="108"/>
        <v>0.01</v>
      </c>
      <c r="N2330" s="4">
        <f t="shared" si="109"/>
        <v>27</v>
      </c>
      <c r="O2330" s="4">
        <f t="shared" si="110"/>
        <v>-0.01</v>
      </c>
      <c r="P2330" s="3" t="s">
        <v>19</v>
      </c>
    </row>
    <row r="2331" spans="1:16" x14ac:dyDescent="0.35">
      <c r="A2331" s="3" t="s">
        <v>243</v>
      </c>
      <c r="B2331" s="3" t="str">
        <f>INDEX(State_Region!$B$2:$B$26,MATCH(TRIM(A2331),State_Region!$A$2:$A$26,0))</f>
        <v>North-East</v>
      </c>
      <c r="C2331" s="3" t="s">
        <v>275</v>
      </c>
      <c r="D2331" s="3" t="str">
        <f>INDEX(Port_Type!$B$2:$B$227,MATCH(TRIM(C2331),Port_Type!$A$2:$A$227,0))</f>
        <v>Land Border / Rail</v>
      </c>
      <c r="E2331" s="3" t="s">
        <v>45</v>
      </c>
      <c r="F2331" s="3" t="str">
        <f>INDEX(Product_Category!$B$2:$B$45,MATCH(TRIM(E2331),Product_Category!$A$2:$A$45,0))</f>
        <v>Fresh Fruits &amp; Vegetables</v>
      </c>
      <c r="G2331" s="4">
        <v>0</v>
      </c>
      <c r="H2331" s="4">
        <v>0</v>
      </c>
      <c r="I2331" s="4">
        <v>0</v>
      </c>
      <c r="J2331" s="4">
        <v>5</v>
      </c>
      <c r="K2331" s="4">
        <v>0</v>
      </c>
      <c r="L2331" s="4">
        <v>0</v>
      </c>
      <c r="M2331" s="4">
        <f t="shared" si="108"/>
        <v>0</v>
      </c>
      <c r="N2331" s="4">
        <f t="shared" si="109"/>
        <v>-5</v>
      </c>
      <c r="O2331" s="4">
        <f t="shared" si="110"/>
        <v>0</v>
      </c>
      <c r="P2331" s="3" t="s">
        <v>19</v>
      </c>
    </row>
    <row r="2332" spans="1:16" x14ac:dyDescent="0.35">
      <c r="A2332" s="3" t="s">
        <v>243</v>
      </c>
      <c r="B2332" s="3" t="str">
        <f>INDEX(State_Region!$B$2:$B$26,MATCH(TRIM(A2332),State_Region!$A$2:$A$26,0))</f>
        <v>North-East</v>
      </c>
      <c r="C2332" s="3" t="s">
        <v>275</v>
      </c>
      <c r="D2332" s="3" t="str">
        <f>INDEX(Port_Type!$B$2:$B$227,MATCH(TRIM(C2332),Port_Type!$A$2:$A$227,0))</f>
        <v>Land Border / Rail</v>
      </c>
      <c r="E2332" s="3" t="s">
        <v>54</v>
      </c>
      <c r="F2332" s="3" t="str">
        <f>INDEX(Product_Category!$B$2:$B$45,MATCH(TRIM(E2332),Product_Category!$A$2:$A$45,0))</f>
        <v>Processed Foods</v>
      </c>
      <c r="G2332" s="4">
        <v>0</v>
      </c>
      <c r="H2332" s="4">
        <v>0</v>
      </c>
      <c r="I2332" s="4">
        <v>0</v>
      </c>
      <c r="J2332" s="4">
        <v>17</v>
      </c>
      <c r="K2332" s="4">
        <v>0</v>
      </c>
      <c r="L2332" s="4">
        <v>0</v>
      </c>
      <c r="M2332" s="4">
        <f t="shared" si="108"/>
        <v>0</v>
      </c>
      <c r="N2332" s="4">
        <f t="shared" si="109"/>
        <v>-17</v>
      </c>
      <c r="O2332" s="4">
        <f t="shared" si="110"/>
        <v>0</v>
      </c>
      <c r="P2332" s="3" t="s">
        <v>19</v>
      </c>
    </row>
    <row r="2333" spans="1:16" x14ac:dyDescent="0.35">
      <c r="A2333" s="3" t="s">
        <v>243</v>
      </c>
      <c r="B2333" s="3" t="str">
        <f>INDEX(State_Region!$B$2:$B$26,MATCH(TRIM(A2333),State_Region!$A$2:$A$26,0))</f>
        <v>North-East</v>
      </c>
      <c r="C2333" s="3" t="s">
        <v>276</v>
      </c>
      <c r="D2333" s="3" t="str">
        <f>INDEX(Port_Type!$B$2:$B$227,MATCH(TRIM(C2333),Port_Type!$A$2:$A$227,0))</f>
        <v>Land Border / Rail</v>
      </c>
      <c r="E2333" s="3" t="s">
        <v>83</v>
      </c>
      <c r="F2333" s="3" t="str">
        <f>INDEX(Product_Category!$B$2:$B$45,MATCH(TRIM(E2333),Product_Category!$A$2:$A$45,0))</f>
        <v>Fresh Fruits &amp; Vegetables</v>
      </c>
      <c r="G2333" s="4">
        <v>0.02</v>
      </c>
      <c r="H2333" s="4">
        <v>0</v>
      </c>
      <c r="I2333" s="4">
        <v>0</v>
      </c>
      <c r="J2333" s="4">
        <v>50</v>
      </c>
      <c r="K2333" s="4">
        <v>0</v>
      </c>
      <c r="L2333" s="4">
        <v>0</v>
      </c>
      <c r="M2333" s="4">
        <f t="shared" si="108"/>
        <v>-0.02</v>
      </c>
      <c r="N2333" s="4">
        <f t="shared" si="109"/>
        <v>-50</v>
      </c>
      <c r="O2333" s="4">
        <f t="shared" si="110"/>
        <v>0</v>
      </c>
      <c r="P2333" s="3" t="s">
        <v>19</v>
      </c>
    </row>
    <row r="2334" spans="1:16" x14ac:dyDescent="0.35">
      <c r="A2334" s="3" t="s">
        <v>243</v>
      </c>
      <c r="B2334" s="3" t="str">
        <f>INDEX(State_Region!$B$2:$B$26,MATCH(TRIM(A2334),State_Region!$A$2:$A$26,0))</f>
        <v>North-East</v>
      </c>
      <c r="C2334" s="3" t="s">
        <v>276</v>
      </c>
      <c r="D2334" s="3" t="str">
        <f>INDEX(Port_Type!$B$2:$B$227,MATCH(TRIM(C2334),Port_Type!$A$2:$A$227,0))</f>
        <v>Land Border / Rail</v>
      </c>
      <c r="E2334" s="3" t="s">
        <v>45</v>
      </c>
      <c r="F2334" s="3" t="str">
        <f>INDEX(Product_Category!$B$2:$B$45,MATCH(TRIM(E2334),Product_Category!$A$2:$A$45,0))</f>
        <v>Fresh Fruits &amp; Vegetables</v>
      </c>
      <c r="G2334" s="4">
        <v>7.0000000000000007E-2</v>
      </c>
      <c r="H2334" s="4">
        <v>0</v>
      </c>
      <c r="I2334" s="4">
        <v>0</v>
      </c>
      <c r="J2334" s="4">
        <v>264</v>
      </c>
      <c r="K2334" s="4">
        <v>0</v>
      </c>
      <c r="L2334" s="4">
        <v>0</v>
      </c>
      <c r="M2334" s="4">
        <f t="shared" si="108"/>
        <v>-7.0000000000000007E-2</v>
      </c>
      <c r="N2334" s="4">
        <f t="shared" si="109"/>
        <v>-264</v>
      </c>
      <c r="O2334" s="4">
        <f t="shared" si="110"/>
        <v>0</v>
      </c>
      <c r="P2334" s="3" t="s">
        <v>19</v>
      </c>
    </row>
    <row r="2335" spans="1:16" x14ac:dyDescent="0.35">
      <c r="A2335" s="3" t="s">
        <v>243</v>
      </c>
      <c r="B2335" s="3" t="str">
        <f>INDEX(State_Region!$B$2:$B$26,MATCH(TRIM(A2335),State_Region!$A$2:$A$26,0))</f>
        <v>North-East</v>
      </c>
      <c r="C2335" s="3" t="s">
        <v>244</v>
      </c>
      <c r="D2335" s="3" t="str">
        <f>INDEX(Port_Type!$B$2:$B$227,MATCH(TRIM(C2335),Port_Type!$A$2:$A$227,0))</f>
        <v>Land Border / Rail</v>
      </c>
      <c r="E2335" s="3" t="s">
        <v>18</v>
      </c>
      <c r="F2335" s="3" t="str">
        <f>INDEX(Product_Category!$B$2:$B$45,MATCH(TRIM(E2335),Product_Category!$A$2:$A$45,0))</f>
        <v>Cereals &amp; Grains</v>
      </c>
      <c r="G2335" s="4">
        <v>0</v>
      </c>
      <c r="H2335" s="4">
        <v>0.01</v>
      </c>
      <c r="I2335" s="4">
        <v>0</v>
      </c>
      <c r="J2335" s="4">
        <v>0</v>
      </c>
      <c r="K2335" s="4">
        <v>9</v>
      </c>
      <c r="L2335" s="4">
        <v>0</v>
      </c>
      <c r="M2335" s="4">
        <f t="shared" si="108"/>
        <v>0.01</v>
      </c>
      <c r="N2335" s="4">
        <f t="shared" si="109"/>
        <v>9</v>
      </c>
      <c r="O2335" s="4">
        <f t="shared" si="110"/>
        <v>-0.01</v>
      </c>
      <c r="P2335" s="3" t="s">
        <v>19</v>
      </c>
    </row>
    <row r="2336" spans="1:16" x14ac:dyDescent="0.35">
      <c r="A2336" s="3" t="s">
        <v>243</v>
      </c>
      <c r="B2336" s="3" t="str">
        <f>INDEX(State_Region!$B$2:$B$26,MATCH(TRIM(A2336),State_Region!$A$2:$A$26,0))</f>
        <v>North-East</v>
      </c>
      <c r="C2336" s="3" t="s">
        <v>244</v>
      </c>
      <c r="D2336" s="3" t="str">
        <f>INDEX(Port_Type!$B$2:$B$227,MATCH(TRIM(C2336),Port_Type!$A$2:$A$227,0))</f>
        <v>Land Border / Rail</v>
      </c>
      <c r="E2336" s="3" t="s">
        <v>84</v>
      </c>
      <c r="F2336" s="3" t="str">
        <f>INDEX(Product_Category!$B$2:$B$45,MATCH(TRIM(E2336),Product_Category!$A$2:$A$45,0))</f>
        <v>Nuts &amp; Oilseeds</v>
      </c>
      <c r="G2336" s="4">
        <v>0</v>
      </c>
      <c r="H2336" s="4">
        <v>0.1</v>
      </c>
      <c r="I2336" s="4">
        <v>0</v>
      </c>
      <c r="J2336" s="4">
        <v>0</v>
      </c>
      <c r="K2336" s="4">
        <v>21.56</v>
      </c>
      <c r="L2336" s="4">
        <v>0</v>
      </c>
      <c r="M2336" s="4">
        <f t="shared" si="108"/>
        <v>0.1</v>
      </c>
      <c r="N2336" s="4">
        <f t="shared" si="109"/>
        <v>21.56</v>
      </c>
      <c r="O2336" s="4">
        <f t="shared" si="110"/>
        <v>-0.1</v>
      </c>
      <c r="P2336" s="3" t="s">
        <v>19</v>
      </c>
    </row>
    <row r="2337" spans="1:16" x14ac:dyDescent="0.35">
      <c r="A2337" s="3" t="s">
        <v>243</v>
      </c>
      <c r="B2337" s="3" t="str">
        <f>INDEX(State_Region!$B$2:$B$26,MATCH(TRIM(A2337),State_Region!$A$2:$A$26,0))</f>
        <v>North-East</v>
      </c>
      <c r="C2337" s="3" t="s">
        <v>244</v>
      </c>
      <c r="D2337" s="3" t="str">
        <f>INDEX(Port_Type!$B$2:$B$227,MATCH(TRIM(C2337),Port_Type!$A$2:$A$227,0))</f>
        <v>Land Border / Rail</v>
      </c>
      <c r="E2337" s="3" t="s">
        <v>83</v>
      </c>
      <c r="F2337" s="3" t="str">
        <f>INDEX(Product_Category!$B$2:$B$45,MATCH(TRIM(E2337),Product_Category!$A$2:$A$45,0))</f>
        <v>Fresh Fruits &amp; Vegetables</v>
      </c>
      <c r="G2337" s="4">
        <v>0</v>
      </c>
      <c r="H2337" s="4">
        <v>0</v>
      </c>
      <c r="I2337" s="4">
        <v>0</v>
      </c>
      <c r="J2337" s="4">
        <v>6.99</v>
      </c>
      <c r="K2337" s="4">
        <v>0</v>
      </c>
      <c r="L2337" s="4">
        <v>0</v>
      </c>
      <c r="M2337" s="4">
        <f t="shared" si="108"/>
        <v>0</v>
      </c>
      <c r="N2337" s="4">
        <f t="shared" si="109"/>
        <v>-6.99</v>
      </c>
      <c r="O2337" s="4">
        <f t="shared" si="110"/>
        <v>0</v>
      </c>
      <c r="P2337" s="3" t="s">
        <v>19</v>
      </c>
    </row>
    <row r="2338" spans="1:16" x14ac:dyDescent="0.35">
      <c r="A2338" s="3" t="s">
        <v>243</v>
      </c>
      <c r="B2338" s="3" t="str">
        <f>INDEX(State_Region!$B$2:$B$26,MATCH(TRIM(A2338),State_Region!$A$2:$A$26,0))</f>
        <v>North-East</v>
      </c>
      <c r="C2338" s="3" t="s">
        <v>244</v>
      </c>
      <c r="D2338" s="3" t="str">
        <f>INDEX(Port_Type!$B$2:$B$227,MATCH(TRIM(C2338),Port_Type!$A$2:$A$227,0))</f>
        <v>Land Border / Rail</v>
      </c>
      <c r="E2338" s="3" t="s">
        <v>55</v>
      </c>
      <c r="F2338" s="3" t="str">
        <f>INDEX(Product_Category!$B$2:$B$45,MATCH(TRIM(E2338),Product_Category!$A$2:$A$45,0))</f>
        <v>Fresh Fruits &amp; Vegetables</v>
      </c>
      <c r="G2338" s="4">
        <v>0.02</v>
      </c>
      <c r="H2338" s="4">
        <v>0.08</v>
      </c>
      <c r="I2338" s="4">
        <v>0</v>
      </c>
      <c r="J2338" s="4">
        <v>124.71</v>
      </c>
      <c r="K2338" s="4">
        <v>269.91000000000003</v>
      </c>
      <c r="L2338" s="4">
        <v>0</v>
      </c>
      <c r="M2338" s="4">
        <f t="shared" si="108"/>
        <v>0.06</v>
      </c>
      <c r="N2338" s="4">
        <f t="shared" si="109"/>
        <v>145.20000000000005</v>
      </c>
      <c r="O2338" s="4">
        <f t="shared" si="110"/>
        <v>-0.08</v>
      </c>
      <c r="P2338" s="3" t="s">
        <v>19</v>
      </c>
    </row>
    <row r="2339" spans="1:16" x14ac:dyDescent="0.35">
      <c r="A2339" s="3" t="s">
        <v>243</v>
      </c>
      <c r="B2339" s="3" t="str">
        <f>INDEX(State_Region!$B$2:$B$26,MATCH(TRIM(A2339),State_Region!$A$2:$A$26,0))</f>
        <v>North-East</v>
      </c>
      <c r="C2339" s="3" t="s">
        <v>244</v>
      </c>
      <c r="D2339" s="3" t="str">
        <f>INDEX(Port_Type!$B$2:$B$227,MATCH(TRIM(C2339),Port_Type!$A$2:$A$227,0))</f>
        <v>Land Border / Rail</v>
      </c>
      <c r="E2339" s="3" t="s">
        <v>69</v>
      </c>
      <c r="F2339" s="3" t="str">
        <f>INDEX(Product_Category!$B$2:$B$45,MATCH(TRIM(E2339),Product_Category!$A$2:$A$45,0))</f>
        <v>Others</v>
      </c>
      <c r="G2339" s="4">
        <v>0.08</v>
      </c>
      <c r="H2339" s="4">
        <v>0</v>
      </c>
      <c r="I2339" s="4">
        <v>0</v>
      </c>
      <c r="J2339" s="4">
        <v>2.34</v>
      </c>
      <c r="K2339" s="4">
        <v>0</v>
      </c>
      <c r="L2339" s="4">
        <v>0</v>
      </c>
      <c r="M2339" s="4">
        <f t="shared" si="108"/>
        <v>-0.08</v>
      </c>
      <c r="N2339" s="4">
        <f t="shared" si="109"/>
        <v>-2.34</v>
      </c>
      <c r="O2339" s="4">
        <f t="shared" si="110"/>
        <v>0</v>
      </c>
      <c r="P2339" s="3" t="s">
        <v>19</v>
      </c>
    </row>
    <row r="2340" spans="1:16" x14ac:dyDescent="0.35">
      <c r="A2340" s="3" t="s">
        <v>35</v>
      </c>
      <c r="B2340" s="3" t="str">
        <f>INDEX(State_Region!$B$2:$B$26,MATCH(TRIM(A2340),State_Region!$A$2:$A$26,0))</f>
        <v>North</v>
      </c>
      <c r="C2340" s="3" t="s">
        <v>198</v>
      </c>
      <c r="D2340" s="3" t="str">
        <f>INDEX(Port_Type!$B$2:$B$227,MATCH(TRIM(C2340),Port_Type!$A$2:$A$227,0))</f>
        <v>Inland ICD / CFS</v>
      </c>
      <c r="E2340" s="3" t="s">
        <v>39</v>
      </c>
      <c r="F2340" s="3" t="str">
        <f>INDEX(Product_Category!$B$2:$B$45,MATCH(TRIM(E2340),Product_Category!$A$2:$A$45,0))</f>
        <v>Processed Foods</v>
      </c>
      <c r="G2340" s="4">
        <v>0</v>
      </c>
      <c r="H2340" s="4">
        <v>0.06</v>
      </c>
      <c r="I2340" s="4">
        <v>0</v>
      </c>
      <c r="J2340" s="4">
        <v>0.06</v>
      </c>
      <c r="K2340" s="4">
        <v>24.61</v>
      </c>
      <c r="L2340" s="4">
        <v>0</v>
      </c>
      <c r="M2340" s="4">
        <f t="shared" si="108"/>
        <v>0.06</v>
      </c>
      <c r="N2340" s="4">
        <f t="shared" si="109"/>
        <v>24.55</v>
      </c>
      <c r="O2340" s="4">
        <f t="shared" si="110"/>
        <v>-0.06</v>
      </c>
      <c r="P2340" s="3" t="s">
        <v>19</v>
      </c>
    </row>
    <row r="2341" spans="1:16" x14ac:dyDescent="0.35">
      <c r="A2341" s="3" t="s">
        <v>243</v>
      </c>
      <c r="B2341" s="3" t="str">
        <f>INDEX(State_Region!$B$2:$B$26,MATCH(TRIM(A2341),State_Region!$A$2:$A$26,0))</f>
        <v>North-East</v>
      </c>
      <c r="C2341" s="3" t="s">
        <v>244</v>
      </c>
      <c r="D2341" s="3" t="str">
        <f>INDEX(Port_Type!$B$2:$B$227,MATCH(TRIM(C2341),Port_Type!$A$2:$A$227,0))</f>
        <v>Land Border / Rail</v>
      </c>
      <c r="E2341" s="3" t="s">
        <v>27</v>
      </c>
      <c r="F2341" s="3" t="str">
        <f>INDEX(Product_Category!$B$2:$B$45,MATCH(TRIM(E2341),Product_Category!$A$2:$A$45,0))</f>
        <v>Cereals &amp; Grains</v>
      </c>
      <c r="G2341" s="4">
        <v>0</v>
      </c>
      <c r="H2341" s="4">
        <v>0.19</v>
      </c>
      <c r="I2341" s="4">
        <v>0</v>
      </c>
      <c r="J2341" s="4">
        <v>0</v>
      </c>
      <c r="K2341" s="4">
        <v>400</v>
      </c>
      <c r="L2341" s="4">
        <v>0</v>
      </c>
      <c r="M2341" s="4">
        <f t="shared" si="108"/>
        <v>0.19</v>
      </c>
      <c r="N2341" s="4">
        <f t="shared" si="109"/>
        <v>400</v>
      </c>
      <c r="O2341" s="4">
        <f t="shared" si="110"/>
        <v>-0.19</v>
      </c>
      <c r="P2341" s="3" t="s">
        <v>19</v>
      </c>
    </row>
    <row r="2342" spans="1:16" x14ac:dyDescent="0.35">
      <c r="A2342" s="3" t="s">
        <v>243</v>
      </c>
      <c r="B2342" s="3" t="str">
        <f>INDEX(State_Region!$B$2:$B$26,MATCH(TRIM(A2342),State_Region!$A$2:$A$26,0))</f>
        <v>North-East</v>
      </c>
      <c r="C2342" s="3" t="s">
        <v>244</v>
      </c>
      <c r="D2342" s="3" t="str">
        <f>INDEX(Port_Type!$B$2:$B$227,MATCH(TRIM(C2342),Port_Type!$A$2:$A$227,0))</f>
        <v>Land Border / Rail</v>
      </c>
      <c r="E2342" s="3" t="s">
        <v>45</v>
      </c>
      <c r="F2342" s="3" t="str">
        <f>INDEX(Product_Category!$B$2:$B$45,MATCH(TRIM(E2342),Product_Category!$A$2:$A$45,0))</f>
        <v>Fresh Fruits &amp; Vegetables</v>
      </c>
      <c r="G2342" s="4">
        <v>0.08</v>
      </c>
      <c r="H2342" s="4">
        <v>0</v>
      </c>
      <c r="I2342" s="4">
        <v>0</v>
      </c>
      <c r="J2342" s="4">
        <v>744.2</v>
      </c>
      <c r="K2342" s="4">
        <v>29.86</v>
      </c>
      <c r="L2342" s="4">
        <v>0</v>
      </c>
      <c r="M2342" s="4">
        <f t="shared" si="108"/>
        <v>-0.08</v>
      </c>
      <c r="N2342" s="4">
        <f t="shared" si="109"/>
        <v>-714.34</v>
      </c>
      <c r="O2342" s="4">
        <f t="shared" si="110"/>
        <v>0</v>
      </c>
      <c r="P2342" s="3" t="s">
        <v>19</v>
      </c>
    </row>
    <row r="2343" spans="1:16" x14ac:dyDescent="0.35">
      <c r="A2343" s="3" t="s">
        <v>243</v>
      </c>
      <c r="B2343" s="3" t="str">
        <f>INDEX(State_Region!$B$2:$B$26,MATCH(TRIM(A2343),State_Region!$A$2:$A$26,0))</f>
        <v>North-East</v>
      </c>
      <c r="C2343" s="3" t="s">
        <v>244</v>
      </c>
      <c r="D2343" s="3" t="str">
        <f>INDEX(Port_Type!$B$2:$B$227,MATCH(TRIM(C2343),Port_Type!$A$2:$A$227,0))</f>
        <v>Land Border / Rail</v>
      </c>
      <c r="E2343" s="3" t="s">
        <v>33</v>
      </c>
      <c r="F2343" s="3" t="str">
        <f>INDEX(Product_Category!$B$2:$B$45,MATCH(TRIM(E2343),Product_Category!$A$2:$A$45,0))</f>
        <v>Pulses</v>
      </c>
      <c r="G2343" s="4">
        <v>0.16</v>
      </c>
      <c r="H2343" s="4">
        <v>0.24</v>
      </c>
      <c r="I2343" s="4">
        <v>0</v>
      </c>
      <c r="J2343" s="4">
        <v>176.1</v>
      </c>
      <c r="K2343" s="4">
        <v>242.8</v>
      </c>
      <c r="L2343" s="4">
        <v>0</v>
      </c>
      <c r="M2343" s="4">
        <f t="shared" si="108"/>
        <v>7.9999999999999988E-2</v>
      </c>
      <c r="N2343" s="4">
        <f t="shared" si="109"/>
        <v>66.700000000000017</v>
      </c>
      <c r="O2343" s="4">
        <f t="shared" si="110"/>
        <v>-0.24</v>
      </c>
      <c r="P2343" s="3" t="s">
        <v>19</v>
      </c>
    </row>
    <row r="2344" spans="1:16" x14ac:dyDescent="0.35">
      <c r="A2344" s="3" t="s">
        <v>35</v>
      </c>
      <c r="B2344" s="3" t="str">
        <f>INDEX(State_Region!$B$2:$B$26,MATCH(TRIM(A2344),State_Region!$A$2:$A$26,0))</f>
        <v>North</v>
      </c>
      <c r="C2344" s="3" t="s">
        <v>198</v>
      </c>
      <c r="D2344" s="3" t="str">
        <f>INDEX(Port_Type!$B$2:$B$227,MATCH(TRIM(C2344),Port_Type!$A$2:$A$227,0))</f>
        <v>Inland ICD / CFS</v>
      </c>
      <c r="E2344" s="3" t="s">
        <v>65</v>
      </c>
      <c r="F2344" s="3" t="str">
        <f>INDEX(Product_Category!$B$2:$B$45,MATCH(TRIM(E2344),Product_Category!$A$2:$A$45,0))</f>
        <v>Cereals &amp; Grains</v>
      </c>
      <c r="G2344" s="4">
        <v>0</v>
      </c>
      <c r="H2344" s="4">
        <v>0</v>
      </c>
      <c r="I2344" s="4">
        <v>0</v>
      </c>
      <c r="J2344" s="4">
        <v>0</v>
      </c>
      <c r="K2344" s="4">
        <v>3.69</v>
      </c>
      <c r="L2344" s="4">
        <v>0</v>
      </c>
      <c r="M2344" s="4">
        <f t="shared" si="108"/>
        <v>0</v>
      </c>
      <c r="N2344" s="4">
        <f t="shared" si="109"/>
        <v>3.69</v>
      </c>
      <c r="O2344" s="4">
        <f t="shared" si="110"/>
        <v>0</v>
      </c>
      <c r="P2344" s="3" t="s">
        <v>19</v>
      </c>
    </row>
    <row r="2345" spans="1:16" x14ac:dyDescent="0.35">
      <c r="A2345" s="3" t="s">
        <v>189</v>
      </c>
      <c r="B2345" s="3" t="str">
        <f>INDEX(State_Region!$B$2:$B$26,MATCH(TRIM(A2345),State_Region!$A$2:$A$26,0))</f>
        <v>North</v>
      </c>
      <c r="C2345" s="3" t="s">
        <v>193</v>
      </c>
      <c r="D2345" s="3" t="str">
        <f>INDEX(Port_Type!$B$2:$B$227,MATCH(TRIM(C2345),Port_Type!$A$2:$A$227,0))</f>
        <v>Inland ICD / CFS</v>
      </c>
      <c r="E2345" s="3" t="s">
        <v>18</v>
      </c>
      <c r="F2345" s="3" t="str">
        <f>INDEX(Product_Category!$B$2:$B$45,MATCH(TRIM(E2345),Product_Category!$A$2:$A$45,0))</f>
        <v>Cereals &amp; Grains</v>
      </c>
      <c r="G2345" s="4">
        <v>0.04</v>
      </c>
      <c r="H2345" s="4">
        <v>0.02</v>
      </c>
      <c r="I2345" s="4">
        <v>0</v>
      </c>
      <c r="J2345" s="4">
        <v>27.35</v>
      </c>
      <c r="K2345" s="4">
        <v>8.4499999999999993</v>
      </c>
      <c r="L2345" s="4">
        <v>0</v>
      </c>
      <c r="M2345" s="4">
        <f t="shared" si="108"/>
        <v>-0.02</v>
      </c>
      <c r="N2345" s="4">
        <f t="shared" si="109"/>
        <v>-18.900000000000002</v>
      </c>
      <c r="O2345" s="4">
        <f t="shared" si="110"/>
        <v>-0.02</v>
      </c>
      <c r="P2345" s="3" t="s">
        <v>19</v>
      </c>
    </row>
    <row r="2346" spans="1:16" x14ac:dyDescent="0.35">
      <c r="A2346" s="3" t="s">
        <v>35</v>
      </c>
      <c r="B2346" s="3" t="str">
        <f>INDEX(State_Region!$B$2:$B$26,MATCH(TRIM(A2346),State_Region!$A$2:$A$26,0))</f>
        <v>North</v>
      </c>
      <c r="C2346" s="3" t="s">
        <v>198</v>
      </c>
      <c r="D2346" s="3" t="str">
        <f>INDEX(Port_Type!$B$2:$B$227,MATCH(TRIM(C2346),Port_Type!$A$2:$A$227,0))</f>
        <v>Inland ICD / CFS</v>
      </c>
      <c r="E2346" s="3" t="s">
        <v>62</v>
      </c>
      <c r="F2346" s="3" t="str">
        <f>INDEX(Product_Category!$B$2:$B$45,MATCH(TRIM(E2346),Product_Category!$A$2:$A$45,0))</f>
        <v>Cereals &amp; Grains</v>
      </c>
      <c r="G2346" s="4">
        <v>0</v>
      </c>
      <c r="H2346" s="4">
        <v>0</v>
      </c>
      <c r="I2346" s="4">
        <v>0</v>
      </c>
      <c r="J2346" s="4">
        <v>0</v>
      </c>
      <c r="K2346" s="4">
        <v>0.16</v>
      </c>
      <c r="L2346" s="4">
        <v>0</v>
      </c>
      <c r="M2346" s="4">
        <f t="shared" si="108"/>
        <v>0</v>
      </c>
      <c r="N2346" s="4">
        <f t="shared" si="109"/>
        <v>0.16</v>
      </c>
      <c r="O2346" s="4">
        <f t="shared" si="110"/>
        <v>0</v>
      </c>
      <c r="P2346" s="3" t="s">
        <v>19</v>
      </c>
    </row>
    <row r="2347" spans="1:16" x14ac:dyDescent="0.35">
      <c r="A2347" s="3" t="s">
        <v>35</v>
      </c>
      <c r="B2347" s="3" t="str">
        <f>INDEX(State_Region!$B$2:$B$26,MATCH(TRIM(A2347),State_Region!$A$2:$A$26,0))</f>
        <v>North</v>
      </c>
      <c r="C2347" s="3" t="s">
        <v>198</v>
      </c>
      <c r="D2347" s="3" t="str">
        <f>INDEX(Port_Type!$B$2:$B$227,MATCH(TRIM(C2347),Port_Type!$A$2:$A$227,0))</f>
        <v>Inland ICD / CFS</v>
      </c>
      <c r="E2347" s="3" t="s">
        <v>59</v>
      </c>
      <c r="F2347" s="3" t="str">
        <f>INDEX(Product_Category!$B$2:$B$45,MATCH(TRIM(E2347),Product_Category!$A$2:$A$45,0))</f>
        <v>Processed Foods</v>
      </c>
      <c r="G2347" s="4">
        <v>0</v>
      </c>
      <c r="H2347" s="4">
        <v>0.02</v>
      </c>
      <c r="I2347" s="4">
        <v>0</v>
      </c>
      <c r="J2347" s="4">
        <v>0</v>
      </c>
      <c r="K2347" s="4">
        <v>5</v>
      </c>
      <c r="L2347" s="4">
        <v>0</v>
      </c>
      <c r="M2347" s="4">
        <f t="shared" si="108"/>
        <v>0.02</v>
      </c>
      <c r="N2347" s="4">
        <f t="shared" si="109"/>
        <v>5</v>
      </c>
      <c r="O2347" s="4">
        <f t="shared" si="110"/>
        <v>-0.02</v>
      </c>
      <c r="P2347" s="3" t="s">
        <v>19</v>
      </c>
    </row>
    <row r="2348" spans="1:16" x14ac:dyDescent="0.35">
      <c r="A2348" s="3" t="s">
        <v>35</v>
      </c>
      <c r="B2348" s="3" t="str">
        <f>INDEX(State_Region!$B$2:$B$26,MATCH(TRIM(A2348),State_Region!$A$2:$A$26,0))</f>
        <v>North</v>
      </c>
      <c r="C2348" s="3" t="s">
        <v>198</v>
      </c>
      <c r="D2348" s="3" t="str">
        <f>INDEX(Port_Type!$B$2:$B$227,MATCH(TRIM(C2348),Port_Type!$A$2:$A$227,0))</f>
        <v>Inland ICD / CFS</v>
      </c>
      <c r="E2348" s="3" t="s">
        <v>114</v>
      </c>
      <c r="F2348" s="3" t="str">
        <f>INDEX(Product_Category!$B$2:$B$45,MATCH(TRIM(E2348),Product_Category!$A$2:$A$45,0))</f>
        <v>Dairy, Poultry &amp; Honey</v>
      </c>
      <c r="G2348" s="4">
        <v>3.01</v>
      </c>
      <c r="H2348" s="4">
        <v>0</v>
      </c>
      <c r="I2348" s="4">
        <v>0</v>
      </c>
      <c r="J2348" s="4">
        <v>329.5</v>
      </c>
      <c r="K2348" s="4">
        <v>0</v>
      </c>
      <c r="L2348" s="4">
        <v>0</v>
      </c>
      <c r="M2348" s="4">
        <f t="shared" si="108"/>
        <v>-3.01</v>
      </c>
      <c r="N2348" s="4">
        <f t="shared" si="109"/>
        <v>-329.5</v>
      </c>
      <c r="O2348" s="4">
        <f t="shared" si="110"/>
        <v>0</v>
      </c>
      <c r="P2348" s="3" t="s">
        <v>19</v>
      </c>
    </row>
    <row r="2349" spans="1:16" x14ac:dyDescent="0.35">
      <c r="A2349" s="3" t="s">
        <v>35</v>
      </c>
      <c r="B2349" s="3" t="str">
        <f>INDEX(State_Region!$B$2:$B$26,MATCH(TRIM(A2349),State_Region!$A$2:$A$26,0))</f>
        <v>North</v>
      </c>
      <c r="C2349" s="3" t="s">
        <v>198</v>
      </c>
      <c r="D2349" s="3" t="str">
        <f>INDEX(Port_Type!$B$2:$B$227,MATCH(TRIM(C2349),Port_Type!$A$2:$A$227,0))</f>
        <v>Inland ICD / CFS</v>
      </c>
      <c r="E2349" s="3" t="s">
        <v>18</v>
      </c>
      <c r="F2349" s="3" t="str">
        <f>INDEX(Product_Category!$B$2:$B$45,MATCH(TRIM(E2349),Product_Category!$A$2:$A$45,0))</f>
        <v>Cereals &amp; Grains</v>
      </c>
      <c r="G2349" s="4">
        <v>0</v>
      </c>
      <c r="H2349" s="4">
        <v>0.01</v>
      </c>
      <c r="I2349" s="4">
        <v>0</v>
      </c>
      <c r="J2349" s="4">
        <v>0</v>
      </c>
      <c r="K2349" s="4">
        <v>8.1</v>
      </c>
      <c r="L2349" s="4">
        <v>0</v>
      </c>
      <c r="M2349" s="4">
        <f t="shared" si="108"/>
        <v>0.01</v>
      </c>
      <c r="N2349" s="4">
        <f t="shared" si="109"/>
        <v>8.1</v>
      </c>
      <c r="O2349" s="4">
        <f t="shared" si="110"/>
        <v>-0.01</v>
      </c>
      <c r="P2349" s="3" t="s">
        <v>19</v>
      </c>
    </row>
    <row r="2350" spans="1:16" x14ac:dyDescent="0.35">
      <c r="A2350" s="3" t="s">
        <v>35</v>
      </c>
      <c r="B2350" s="3" t="str">
        <f>INDEX(State_Region!$B$2:$B$26,MATCH(TRIM(A2350),State_Region!$A$2:$A$26,0))</f>
        <v>North</v>
      </c>
      <c r="C2350" s="3" t="s">
        <v>198</v>
      </c>
      <c r="D2350" s="3" t="str">
        <f>INDEX(Port_Type!$B$2:$B$227,MATCH(TRIM(C2350),Port_Type!$A$2:$A$227,0))</f>
        <v>Inland ICD / CFS</v>
      </c>
      <c r="E2350" s="3" t="s">
        <v>60</v>
      </c>
      <c r="F2350" s="3" t="str">
        <f>INDEX(Product_Category!$B$2:$B$45,MATCH(TRIM(E2350),Product_Category!$A$2:$A$45,0))</f>
        <v>Processed Foods</v>
      </c>
      <c r="G2350" s="4">
        <v>0</v>
      </c>
      <c r="H2350" s="4">
        <v>0</v>
      </c>
      <c r="I2350" s="4">
        <v>0</v>
      </c>
      <c r="J2350" s="4">
        <v>0</v>
      </c>
      <c r="K2350" s="4">
        <v>0.72</v>
      </c>
      <c r="L2350" s="4">
        <v>0</v>
      </c>
      <c r="M2350" s="4">
        <f t="shared" si="108"/>
        <v>0</v>
      </c>
      <c r="N2350" s="4">
        <f t="shared" si="109"/>
        <v>0.72</v>
      </c>
      <c r="O2350" s="4">
        <f t="shared" si="110"/>
        <v>0</v>
      </c>
      <c r="P2350" s="3" t="s">
        <v>19</v>
      </c>
    </row>
    <row r="2351" spans="1:16" x14ac:dyDescent="0.35">
      <c r="A2351" s="3" t="s">
        <v>189</v>
      </c>
      <c r="B2351" s="3" t="str">
        <f>INDEX(State_Region!$B$2:$B$26,MATCH(TRIM(A2351),State_Region!$A$2:$A$26,0))</f>
        <v>North</v>
      </c>
      <c r="C2351" s="3" t="s">
        <v>193</v>
      </c>
      <c r="D2351" s="3" t="str">
        <f>INDEX(Port_Type!$B$2:$B$227,MATCH(TRIM(C2351),Port_Type!$A$2:$A$227,0))</f>
        <v>Inland ICD / CFS</v>
      </c>
      <c r="E2351" s="3" t="s">
        <v>65</v>
      </c>
      <c r="F2351" s="3" t="str">
        <f>INDEX(Product_Category!$B$2:$B$45,MATCH(TRIM(E2351),Product_Category!$A$2:$A$45,0))</f>
        <v>Cereals &amp; Grains</v>
      </c>
      <c r="G2351" s="4">
        <v>0.01</v>
      </c>
      <c r="H2351" s="4">
        <v>0.02</v>
      </c>
      <c r="I2351" s="4">
        <v>0</v>
      </c>
      <c r="J2351" s="4">
        <v>6.87</v>
      </c>
      <c r="K2351" s="4">
        <v>14</v>
      </c>
      <c r="L2351" s="4">
        <v>0</v>
      </c>
      <c r="M2351" s="4">
        <f t="shared" si="108"/>
        <v>0.01</v>
      </c>
      <c r="N2351" s="4">
        <f t="shared" si="109"/>
        <v>7.13</v>
      </c>
      <c r="O2351" s="4">
        <f t="shared" si="110"/>
        <v>-0.02</v>
      </c>
      <c r="P2351" s="3" t="s">
        <v>19</v>
      </c>
    </row>
    <row r="2352" spans="1:16" x14ac:dyDescent="0.35">
      <c r="A2352" s="3" t="s">
        <v>189</v>
      </c>
      <c r="B2352" s="3" t="str">
        <f>INDEX(State_Region!$B$2:$B$26,MATCH(TRIM(A2352),State_Region!$A$2:$A$26,0))</f>
        <v>North</v>
      </c>
      <c r="C2352" s="3" t="s">
        <v>193</v>
      </c>
      <c r="D2352" s="3" t="str">
        <f>INDEX(Port_Type!$B$2:$B$227,MATCH(TRIM(C2352),Port_Type!$A$2:$A$227,0))</f>
        <v>Inland ICD / CFS</v>
      </c>
      <c r="E2352" s="3" t="s">
        <v>144</v>
      </c>
      <c r="F2352" s="3" t="str">
        <f>INDEX(Product_Category!$B$2:$B$45,MATCH(TRIM(E2352),Product_Category!$A$2:$A$45,0))</f>
        <v>Cereals &amp; Grains</v>
      </c>
      <c r="G2352" s="4">
        <v>0</v>
      </c>
      <c r="H2352" s="4">
        <v>0.01</v>
      </c>
      <c r="I2352" s="4">
        <v>0</v>
      </c>
      <c r="J2352" s="4">
        <v>1.31</v>
      </c>
      <c r="K2352" s="4">
        <v>3.64</v>
      </c>
      <c r="L2352" s="4">
        <v>0</v>
      </c>
      <c r="M2352" s="4">
        <f t="shared" si="108"/>
        <v>0.01</v>
      </c>
      <c r="N2352" s="4">
        <f t="shared" si="109"/>
        <v>2.33</v>
      </c>
      <c r="O2352" s="4">
        <f t="shared" si="110"/>
        <v>-0.01</v>
      </c>
      <c r="P2352" s="3" t="s">
        <v>19</v>
      </c>
    </row>
    <row r="2353" spans="1:16" x14ac:dyDescent="0.35">
      <c r="A2353" s="3" t="s">
        <v>35</v>
      </c>
      <c r="B2353" s="3" t="str">
        <f>INDEX(State_Region!$B$2:$B$26,MATCH(TRIM(A2353),State_Region!$A$2:$A$26,0))</f>
        <v>North</v>
      </c>
      <c r="C2353" s="3" t="s">
        <v>88</v>
      </c>
      <c r="D2353" s="3" t="str">
        <f>INDEX(Port_Type!$B$2:$B$227,MATCH(TRIM(C2353),Port_Type!$A$2:$A$227,0))</f>
        <v>Inland ICD / CFS</v>
      </c>
      <c r="E2353" s="3" t="s">
        <v>33</v>
      </c>
      <c r="F2353" s="3" t="str">
        <f>INDEX(Product_Category!$B$2:$B$45,MATCH(TRIM(E2353),Product_Category!$A$2:$A$45,0))</f>
        <v>Pulses</v>
      </c>
      <c r="G2353" s="4">
        <v>0.15</v>
      </c>
      <c r="H2353" s="4">
        <v>0.01</v>
      </c>
      <c r="I2353" s="4">
        <v>0</v>
      </c>
      <c r="J2353" s="4">
        <v>97.25</v>
      </c>
      <c r="K2353" s="4">
        <v>13.26</v>
      </c>
      <c r="L2353" s="4">
        <v>0</v>
      </c>
      <c r="M2353" s="4">
        <f t="shared" si="108"/>
        <v>-0.13999999999999999</v>
      </c>
      <c r="N2353" s="4">
        <f t="shared" si="109"/>
        <v>-83.99</v>
      </c>
      <c r="O2353" s="4">
        <f t="shared" si="110"/>
        <v>-0.01</v>
      </c>
      <c r="P2353" s="3" t="s">
        <v>19</v>
      </c>
    </row>
    <row r="2354" spans="1:16" x14ac:dyDescent="0.35">
      <c r="A2354" s="3" t="s">
        <v>189</v>
      </c>
      <c r="B2354" s="3" t="str">
        <f>INDEX(State_Region!$B$2:$B$26,MATCH(TRIM(A2354),State_Region!$A$2:$A$26,0))</f>
        <v>North</v>
      </c>
      <c r="C2354" s="3" t="s">
        <v>193</v>
      </c>
      <c r="D2354" s="3" t="str">
        <f>INDEX(Port_Type!$B$2:$B$227,MATCH(TRIM(C2354),Port_Type!$A$2:$A$227,0))</f>
        <v>Inland ICD / CFS</v>
      </c>
      <c r="E2354" s="3" t="s">
        <v>118</v>
      </c>
      <c r="F2354" s="3" t="str">
        <f>INDEX(Product_Category!$B$2:$B$45,MATCH(TRIM(E2354),Product_Category!$A$2:$A$45,0))</f>
        <v>Dairy, Poultry &amp; Honey</v>
      </c>
      <c r="G2354" s="4">
        <v>0</v>
      </c>
      <c r="H2354" s="4">
        <v>0</v>
      </c>
      <c r="I2354" s="4">
        <v>0</v>
      </c>
      <c r="J2354" s="4">
        <v>0.01</v>
      </c>
      <c r="K2354" s="4">
        <v>0</v>
      </c>
      <c r="L2354" s="4">
        <v>0</v>
      </c>
      <c r="M2354" s="4">
        <f t="shared" si="108"/>
        <v>0</v>
      </c>
      <c r="N2354" s="4">
        <f t="shared" si="109"/>
        <v>-0.01</v>
      </c>
      <c r="O2354" s="4">
        <f t="shared" si="110"/>
        <v>0</v>
      </c>
      <c r="P2354" s="3" t="s">
        <v>19</v>
      </c>
    </row>
    <row r="2355" spans="1:16" x14ac:dyDescent="0.35">
      <c r="A2355" s="3" t="s">
        <v>189</v>
      </c>
      <c r="B2355" s="3" t="str">
        <f>INDEX(State_Region!$B$2:$B$26,MATCH(TRIM(A2355),State_Region!$A$2:$A$26,0))</f>
        <v>North</v>
      </c>
      <c r="C2355" s="3" t="s">
        <v>193</v>
      </c>
      <c r="D2355" s="3" t="str">
        <f>INDEX(Port_Type!$B$2:$B$227,MATCH(TRIM(C2355),Port_Type!$A$2:$A$227,0))</f>
        <v>Inland ICD / CFS</v>
      </c>
      <c r="E2355" s="3" t="s">
        <v>27</v>
      </c>
      <c r="F2355" s="3" t="str">
        <f>INDEX(Product_Category!$B$2:$B$45,MATCH(TRIM(E2355),Product_Category!$A$2:$A$45,0))</f>
        <v>Cereals &amp; Grains</v>
      </c>
      <c r="G2355" s="4">
        <v>0.28999999999999998</v>
      </c>
      <c r="H2355" s="4">
        <v>0.06</v>
      </c>
      <c r="I2355" s="4">
        <v>0</v>
      </c>
      <c r="J2355" s="4">
        <v>323.22000000000003</v>
      </c>
      <c r="K2355" s="4">
        <v>47.58</v>
      </c>
      <c r="L2355" s="4">
        <v>0</v>
      </c>
      <c r="M2355" s="4">
        <f t="shared" si="108"/>
        <v>-0.22999999999999998</v>
      </c>
      <c r="N2355" s="4">
        <f t="shared" si="109"/>
        <v>-275.64000000000004</v>
      </c>
      <c r="O2355" s="4">
        <f t="shared" si="110"/>
        <v>-0.06</v>
      </c>
      <c r="P2355" s="3" t="s">
        <v>19</v>
      </c>
    </row>
    <row r="2356" spans="1:16" x14ac:dyDescent="0.35">
      <c r="A2356" s="3" t="s">
        <v>189</v>
      </c>
      <c r="B2356" s="3" t="str">
        <f>INDEX(State_Region!$B$2:$B$26,MATCH(TRIM(A2356),State_Region!$A$2:$A$26,0))</f>
        <v>North</v>
      </c>
      <c r="C2356" s="3" t="s">
        <v>193</v>
      </c>
      <c r="D2356" s="3" t="str">
        <f>INDEX(Port_Type!$B$2:$B$227,MATCH(TRIM(C2356),Port_Type!$A$2:$A$227,0))</f>
        <v>Inland ICD / CFS</v>
      </c>
      <c r="E2356" s="3" t="s">
        <v>126</v>
      </c>
      <c r="F2356" s="3" t="str">
        <f>INDEX(Product_Category!$B$2:$B$45,MATCH(TRIM(E2356),Product_Category!$A$2:$A$45,0))</f>
        <v>Cereals &amp; Grains</v>
      </c>
      <c r="G2356" s="4">
        <v>0.01</v>
      </c>
      <c r="H2356" s="4">
        <v>0</v>
      </c>
      <c r="I2356" s="4">
        <v>0</v>
      </c>
      <c r="J2356" s="4">
        <v>1.9</v>
      </c>
      <c r="K2356" s="4">
        <v>0.12</v>
      </c>
      <c r="L2356" s="4">
        <v>0</v>
      </c>
      <c r="M2356" s="4">
        <f t="shared" si="108"/>
        <v>-0.01</v>
      </c>
      <c r="N2356" s="4">
        <f t="shared" si="109"/>
        <v>-1.7799999999999998</v>
      </c>
      <c r="O2356" s="4">
        <f t="shared" si="110"/>
        <v>0</v>
      </c>
      <c r="P2356" s="3" t="s">
        <v>19</v>
      </c>
    </row>
    <row r="2357" spans="1:16" x14ac:dyDescent="0.35">
      <c r="A2357" s="3" t="s">
        <v>35</v>
      </c>
      <c r="B2357" s="3" t="str">
        <f>INDEX(State_Region!$B$2:$B$26,MATCH(TRIM(A2357),State_Region!$A$2:$A$26,0))</f>
        <v>North</v>
      </c>
      <c r="C2357" s="3" t="s">
        <v>88</v>
      </c>
      <c r="D2357" s="3" t="str">
        <f>INDEX(Port_Type!$B$2:$B$227,MATCH(TRIM(C2357),Port_Type!$A$2:$A$227,0))</f>
        <v>Inland ICD / CFS</v>
      </c>
      <c r="E2357" s="3" t="s">
        <v>42</v>
      </c>
      <c r="F2357" s="3" t="str">
        <f>INDEX(Product_Category!$B$2:$B$45,MATCH(TRIM(E2357),Product_Category!$A$2:$A$45,0))</f>
        <v>Processed Foods</v>
      </c>
      <c r="G2357" s="4">
        <v>0.02</v>
      </c>
      <c r="H2357" s="4">
        <v>0</v>
      </c>
      <c r="I2357" s="4">
        <v>0</v>
      </c>
      <c r="J2357" s="4">
        <v>8.9600000000000009</v>
      </c>
      <c r="K2357" s="4">
        <v>0</v>
      </c>
      <c r="L2357" s="4">
        <v>0</v>
      </c>
      <c r="M2357" s="4">
        <f t="shared" si="108"/>
        <v>-0.02</v>
      </c>
      <c r="N2357" s="4">
        <f t="shared" si="109"/>
        <v>-8.9600000000000009</v>
      </c>
      <c r="O2357" s="4">
        <f t="shared" si="110"/>
        <v>0</v>
      </c>
      <c r="P2357" s="3" t="s">
        <v>19</v>
      </c>
    </row>
    <row r="2358" spans="1:16" x14ac:dyDescent="0.35">
      <c r="A2358" s="3" t="s">
        <v>35</v>
      </c>
      <c r="B2358" s="3" t="str">
        <f>INDEX(State_Region!$B$2:$B$26,MATCH(TRIM(A2358),State_Region!$A$2:$A$26,0))</f>
        <v>North</v>
      </c>
      <c r="C2358" s="3" t="s">
        <v>88</v>
      </c>
      <c r="D2358" s="3" t="str">
        <f>INDEX(Port_Type!$B$2:$B$227,MATCH(TRIM(C2358),Port_Type!$A$2:$A$227,0))</f>
        <v>Inland ICD / CFS</v>
      </c>
      <c r="E2358" s="3" t="s">
        <v>221</v>
      </c>
      <c r="F2358" s="3" t="str">
        <f>INDEX(Product_Category!$B$2:$B$45,MATCH(TRIM(E2358),Product_Category!$A$2:$A$45,0))</f>
        <v>Meat &amp; Animal Products</v>
      </c>
      <c r="G2358" s="4">
        <v>7.0000000000000007E-2</v>
      </c>
      <c r="H2358" s="4">
        <v>0</v>
      </c>
      <c r="I2358" s="4">
        <v>0</v>
      </c>
      <c r="J2358" s="4">
        <v>28.5</v>
      </c>
      <c r="K2358" s="4">
        <v>0</v>
      </c>
      <c r="L2358" s="4">
        <v>0</v>
      </c>
      <c r="M2358" s="4">
        <f t="shared" si="108"/>
        <v>-7.0000000000000007E-2</v>
      </c>
      <c r="N2358" s="4">
        <f t="shared" si="109"/>
        <v>-28.5</v>
      </c>
      <c r="O2358" s="4">
        <f t="shared" si="110"/>
        <v>0</v>
      </c>
      <c r="P2358" s="3" t="s">
        <v>19</v>
      </c>
    </row>
    <row r="2359" spans="1:16" x14ac:dyDescent="0.35">
      <c r="A2359" s="3" t="s">
        <v>35</v>
      </c>
      <c r="B2359" s="3" t="str">
        <f>INDEX(State_Region!$B$2:$B$26,MATCH(TRIM(A2359),State_Region!$A$2:$A$26,0))</f>
        <v>North</v>
      </c>
      <c r="C2359" s="3" t="s">
        <v>88</v>
      </c>
      <c r="D2359" s="3" t="str">
        <f>INDEX(Port_Type!$B$2:$B$227,MATCH(TRIM(C2359),Port_Type!$A$2:$A$227,0))</f>
        <v>Inland ICD / CFS</v>
      </c>
      <c r="E2359" s="3" t="s">
        <v>170</v>
      </c>
      <c r="F2359" s="3" t="str">
        <f>INDEX(Product_Category!$B$2:$B$45,MATCH(TRIM(E2359),Product_Category!$A$2:$A$45,0))</f>
        <v>Others</v>
      </c>
      <c r="G2359" s="4">
        <v>0.01</v>
      </c>
      <c r="H2359" s="4">
        <v>0</v>
      </c>
      <c r="I2359" s="4">
        <v>0</v>
      </c>
      <c r="J2359" s="4">
        <v>6.01</v>
      </c>
      <c r="K2359" s="4">
        <v>0.03</v>
      </c>
      <c r="L2359" s="4">
        <v>0</v>
      </c>
      <c r="M2359" s="4">
        <f t="shared" si="108"/>
        <v>-0.01</v>
      </c>
      <c r="N2359" s="4">
        <f t="shared" si="109"/>
        <v>-5.9799999999999995</v>
      </c>
      <c r="O2359" s="4">
        <f t="shared" si="110"/>
        <v>0</v>
      </c>
      <c r="P2359" s="3" t="s">
        <v>19</v>
      </c>
    </row>
    <row r="2360" spans="1:16" x14ac:dyDescent="0.35">
      <c r="A2360" s="3" t="s">
        <v>189</v>
      </c>
      <c r="B2360" s="3" t="str">
        <f>INDEX(State_Region!$B$2:$B$26,MATCH(TRIM(A2360),State_Region!$A$2:$A$26,0))</f>
        <v>North</v>
      </c>
      <c r="C2360" s="3" t="s">
        <v>190</v>
      </c>
      <c r="D2360" s="3" t="str">
        <f>INDEX(Port_Type!$B$2:$B$227,MATCH(TRIM(C2360),Port_Type!$A$2:$A$227,0))</f>
        <v>Inland ICD / CFS</v>
      </c>
      <c r="E2360" s="3" t="s">
        <v>48</v>
      </c>
      <c r="F2360" s="3" t="str">
        <f>INDEX(Product_Category!$B$2:$B$45,MATCH(TRIM(E2360),Product_Category!$A$2:$A$45,0))</f>
        <v>Processed Foods</v>
      </c>
      <c r="G2360" s="4">
        <v>0.47</v>
      </c>
      <c r="H2360" s="4">
        <v>0.16</v>
      </c>
      <c r="I2360" s="4">
        <v>0</v>
      </c>
      <c r="J2360" s="4">
        <v>419.74</v>
      </c>
      <c r="K2360" s="4">
        <v>73.84</v>
      </c>
      <c r="L2360" s="4">
        <v>0</v>
      </c>
      <c r="M2360" s="4">
        <f t="shared" si="108"/>
        <v>-0.30999999999999994</v>
      </c>
      <c r="N2360" s="4">
        <f t="shared" si="109"/>
        <v>-345.9</v>
      </c>
      <c r="O2360" s="4">
        <f t="shared" si="110"/>
        <v>-0.16</v>
      </c>
      <c r="P2360" s="3" t="s">
        <v>19</v>
      </c>
    </row>
    <row r="2361" spans="1:16" x14ac:dyDescent="0.35">
      <c r="A2361" s="3" t="s">
        <v>35</v>
      </c>
      <c r="B2361" s="3" t="str">
        <f>INDEX(State_Region!$B$2:$B$26,MATCH(TRIM(A2361),State_Region!$A$2:$A$26,0))</f>
        <v>North</v>
      </c>
      <c r="C2361" s="3" t="s">
        <v>88</v>
      </c>
      <c r="D2361" s="3" t="str">
        <f>INDEX(Port_Type!$B$2:$B$227,MATCH(TRIM(C2361),Port_Type!$A$2:$A$227,0))</f>
        <v>Inland ICD / CFS</v>
      </c>
      <c r="E2361" s="3" t="s">
        <v>102</v>
      </c>
      <c r="F2361" s="3" t="str">
        <f>INDEX(Product_Category!$B$2:$B$45,MATCH(TRIM(E2361),Product_Category!$A$2:$A$45,0))</f>
        <v>Fresh Fruits &amp; Vegetables</v>
      </c>
      <c r="G2361" s="4">
        <v>0</v>
      </c>
      <c r="H2361" s="4">
        <v>0.01</v>
      </c>
      <c r="I2361" s="4">
        <v>0</v>
      </c>
      <c r="J2361" s="4">
        <v>0</v>
      </c>
      <c r="K2361" s="4">
        <v>1.92</v>
      </c>
      <c r="L2361" s="4">
        <v>0</v>
      </c>
      <c r="M2361" s="4">
        <f t="shared" si="108"/>
        <v>0.01</v>
      </c>
      <c r="N2361" s="4">
        <f t="shared" si="109"/>
        <v>1.92</v>
      </c>
      <c r="O2361" s="4">
        <f t="shared" si="110"/>
        <v>-0.01</v>
      </c>
      <c r="P2361" s="3" t="s">
        <v>19</v>
      </c>
    </row>
    <row r="2362" spans="1:16" x14ac:dyDescent="0.35">
      <c r="A2362" s="3" t="s">
        <v>35</v>
      </c>
      <c r="B2362" s="3" t="str">
        <f>INDEX(State_Region!$B$2:$B$26,MATCH(TRIM(A2362),State_Region!$A$2:$A$26,0))</f>
        <v>North</v>
      </c>
      <c r="C2362" s="3" t="s">
        <v>88</v>
      </c>
      <c r="D2362" s="3" t="str">
        <f>INDEX(Port_Type!$B$2:$B$227,MATCH(TRIM(C2362),Port_Type!$A$2:$A$227,0))</f>
        <v>Inland ICD / CFS</v>
      </c>
      <c r="E2362" s="3" t="s">
        <v>45</v>
      </c>
      <c r="F2362" s="3" t="str">
        <f>INDEX(Product_Category!$B$2:$B$45,MATCH(TRIM(E2362),Product_Category!$A$2:$A$45,0))</f>
        <v>Fresh Fruits &amp; Vegetables</v>
      </c>
      <c r="G2362" s="4">
        <v>0</v>
      </c>
      <c r="H2362" s="4">
        <v>0</v>
      </c>
      <c r="I2362" s="4">
        <v>0</v>
      </c>
      <c r="J2362" s="4">
        <v>1.57</v>
      </c>
      <c r="K2362" s="4">
        <v>0</v>
      </c>
      <c r="L2362" s="4">
        <v>0</v>
      </c>
      <c r="M2362" s="4">
        <f t="shared" si="108"/>
        <v>0</v>
      </c>
      <c r="N2362" s="4">
        <f t="shared" si="109"/>
        <v>-1.57</v>
      </c>
      <c r="O2362" s="4">
        <f t="shared" si="110"/>
        <v>0</v>
      </c>
      <c r="P2362" s="3" t="s">
        <v>19</v>
      </c>
    </row>
    <row r="2363" spans="1:16" x14ac:dyDescent="0.35">
      <c r="A2363" s="3" t="s">
        <v>35</v>
      </c>
      <c r="B2363" s="3" t="str">
        <f>INDEX(State_Region!$B$2:$B$26,MATCH(TRIM(A2363),State_Region!$A$2:$A$26,0))</f>
        <v>North</v>
      </c>
      <c r="C2363" s="3" t="s">
        <v>88</v>
      </c>
      <c r="D2363" s="3" t="str">
        <f>INDEX(Port_Type!$B$2:$B$227,MATCH(TRIM(C2363),Port_Type!$A$2:$A$227,0))</f>
        <v>Inland ICD / CFS</v>
      </c>
      <c r="E2363" s="3" t="s">
        <v>126</v>
      </c>
      <c r="F2363" s="3" t="str">
        <f>INDEX(Product_Category!$B$2:$B$45,MATCH(TRIM(E2363),Product_Category!$A$2:$A$45,0))</f>
        <v>Cereals &amp; Grains</v>
      </c>
      <c r="G2363" s="4">
        <v>0</v>
      </c>
      <c r="H2363" s="4">
        <v>0</v>
      </c>
      <c r="I2363" s="4">
        <v>0</v>
      </c>
      <c r="J2363" s="4">
        <v>3</v>
      </c>
      <c r="K2363" s="4">
        <v>0</v>
      </c>
      <c r="L2363" s="4">
        <v>0</v>
      </c>
      <c r="M2363" s="4">
        <f t="shared" si="108"/>
        <v>0</v>
      </c>
      <c r="N2363" s="4">
        <f t="shared" si="109"/>
        <v>-3</v>
      </c>
      <c r="O2363" s="4">
        <f t="shared" si="110"/>
        <v>0</v>
      </c>
      <c r="P2363" s="3" t="s">
        <v>19</v>
      </c>
    </row>
    <row r="2364" spans="1:16" x14ac:dyDescent="0.35">
      <c r="A2364" s="3" t="s">
        <v>189</v>
      </c>
      <c r="B2364" s="3" t="str">
        <f>INDEX(State_Region!$B$2:$B$26,MATCH(TRIM(A2364),State_Region!$A$2:$A$26,0))</f>
        <v>North</v>
      </c>
      <c r="C2364" s="3" t="s">
        <v>190</v>
      </c>
      <c r="D2364" s="3" t="str">
        <f>INDEX(Port_Type!$B$2:$B$227,MATCH(TRIM(C2364),Port_Type!$A$2:$A$227,0))</f>
        <v>Inland ICD / CFS</v>
      </c>
      <c r="E2364" s="3" t="s">
        <v>27</v>
      </c>
      <c r="F2364" s="3" t="str">
        <f>INDEX(Product_Category!$B$2:$B$45,MATCH(TRIM(E2364),Product_Category!$A$2:$A$45,0))</f>
        <v>Cereals &amp; Grains</v>
      </c>
      <c r="G2364" s="4">
        <v>0</v>
      </c>
      <c r="H2364" s="4">
        <v>0.08</v>
      </c>
      <c r="I2364" s="4">
        <v>0</v>
      </c>
      <c r="J2364" s="4">
        <v>0</v>
      </c>
      <c r="K2364" s="4">
        <v>162.72</v>
      </c>
      <c r="L2364" s="4">
        <v>0</v>
      </c>
      <c r="M2364" s="4">
        <f t="shared" si="108"/>
        <v>0.08</v>
      </c>
      <c r="N2364" s="4">
        <f t="shared" si="109"/>
        <v>162.72</v>
      </c>
      <c r="O2364" s="4">
        <f t="shared" si="110"/>
        <v>-0.08</v>
      </c>
      <c r="P2364" s="3" t="s">
        <v>19</v>
      </c>
    </row>
    <row r="2365" spans="1:16" x14ac:dyDescent="0.35">
      <c r="A2365" s="3" t="s">
        <v>35</v>
      </c>
      <c r="B2365" s="3" t="str">
        <f>INDEX(State_Region!$B$2:$B$26,MATCH(TRIM(A2365),State_Region!$A$2:$A$26,0))</f>
        <v>North</v>
      </c>
      <c r="C2365" s="3" t="s">
        <v>88</v>
      </c>
      <c r="D2365" s="3" t="str">
        <f>INDEX(Port_Type!$B$2:$B$227,MATCH(TRIM(C2365),Port_Type!$A$2:$A$227,0))</f>
        <v>Inland ICD / CFS</v>
      </c>
      <c r="E2365" s="3" t="s">
        <v>151</v>
      </c>
      <c r="F2365" s="3" t="str">
        <f>INDEX(Product_Category!$B$2:$B$45,MATCH(TRIM(E2365),Product_Category!$A$2:$A$45,0))</f>
        <v>Processed Foods</v>
      </c>
      <c r="G2365" s="4">
        <v>0.04</v>
      </c>
      <c r="H2365" s="4">
        <v>0</v>
      </c>
      <c r="I2365" s="4">
        <v>0</v>
      </c>
      <c r="J2365" s="4">
        <v>18</v>
      </c>
      <c r="K2365" s="4">
        <v>0</v>
      </c>
      <c r="L2365" s="4">
        <v>0</v>
      </c>
      <c r="M2365" s="4">
        <f t="shared" si="108"/>
        <v>-0.04</v>
      </c>
      <c r="N2365" s="4">
        <f t="shared" si="109"/>
        <v>-18</v>
      </c>
      <c r="O2365" s="4">
        <f t="shared" si="110"/>
        <v>0</v>
      </c>
      <c r="P2365" s="3" t="s">
        <v>19</v>
      </c>
    </row>
    <row r="2366" spans="1:16" x14ac:dyDescent="0.35">
      <c r="A2366" s="3" t="s">
        <v>189</v>
      </c>
      <c r="B2366" s="3" t="str">
        <f>INDEX(State_Region!$B$2:$B$26,MATCH(TRIM(A2366),State_Region!$A$2:$A$26,0))</f>
        <v>North</v>
      </c>
      <c r="C2366" s="3" t="s">
        <v>227</v>
      </c>
      <c r="D2366" s="3" t="str">
        <f>INDEX(Port_Type!$B$2:$B$227,MATCH(TRIM(C2366),Port_Type!$A$2:$A$227,0))</f>
        <v>Land Border / Rail</v>
      </c>
      <c r="E2366" s="3" t="s">
        <v>179</v>
      </c>
      <c r="F2366" s="3" t="str">
        <f>INDEX(Product_Category!$B$2:$B$45,MATCH(TRIM(E2366),Product_Category!$A$2:$A$45,0))</f>
        <v>Nuts &amp; Oilseeds</v>
      </c>
      <c r="G2366" s="4">
        <v>0</v>
      </c>
      <c r="H2366" s="4">
        <v>0</v>
      </c>
      <c r="I2366" s="4">
        <v>0</v>
      </c>
      <c r="J2366" s="4">
        <v>0.1</v>
      </c>
      <c r="K2366" s="4">
        <v>0</v>
      </c>
      <c r="L2366" s="4">
        <v>0</v>
      </c>
      <c r="M2366" s="4">
        <f t="shared" si="108"/>
        <v>0</v>
      </c>
      <c r="N2366" s="4">
        <f t="shared" si="109"/>
        <v>-0.1</v>
      </c>
      <c r="O2366" s="4">
        <f t="shared" si="110"/>
        <v>0</v>
      </c>
      <c r="P2366" s="3" t="s">
        <v>19</v>
      </c>
    </row>
    <row r="2367" spans="1:16" x14ac:dyDescent="0.35">
      <c r="A2367" s="3" t="s">
        <v>35</v>
      </c>
      <c r="B2367" s="3" t="str">
        <f>INDEX(State_Region!$B$2:$B$26,MATCH(TRIM(A2367),State_Region!$A$2:$A$26,0))</f>
        <v>North</v>
      </c>
      <c r="C2367" s="3" t="s">
        <v>88</v>
      </c>
      <c r="D2367" s="3" t="str">
        <f>INDEX(Port_Type!$B$2:$B$227,MATCH(TRIM(C2367),Port_Type!$A$2:$A$227,0))</f>
        <v>Inland ICD / CFS</v>
      </c>
      <c r="E2367" s="3" t="s">
        <v>53</v>
      </c>
      <c r="F2367" s="3" t="str">
        <f>INDEX(Product_Category!$B$2:$B$45,MATCH(TRIM(E2367),Product_Category!$A$2:$A$45,0))</f>
        <v>Processed Foods</v>
      </c>
      <c r="G2367" s="4">
        <v>0.21</v>
      </c>
      <c r="H2367" s="4">
        <v>0</v>
      </c>
      <c r="I2367" s="4">
        <v>0</v>
      </c>
      <c r="J2367" s="4">
        <v>264.72000000000003</v>
      </c>
      <c r="K2367" s="4">
        <v>1</v>
      </c>
      <c r="L2367" s="4">
        <v>0</v>
      </c>
      <c r="M2367" s="4">
        <f t="shared" si="108"/>
        <v>-0.21</v>
      </c>
      <c r="N2367" s="4">
        <f t="shared" si="109"/>
        <v>-263.72000000000003</v>
      </c>
      <c r="O2367" s="4">
        <f t="shared" si="110"/>
        <v>0</v>
      </c>
      <c r="P2367" s="3" t="s">
        <v>19</v>
      </c>
    </row>
    <row r="2368" spans="1:16" x14ac:dyDescent="0.35">
      <c r="A2368" s="3" t="s">
        <v>35</v>
      </c>
      <c r="B2368" s="3" t="str">
        <f>INDEX(State_Region!$B$2:$B$26,MATCH(TRIM(A2368),State_Region!$A$2:$A$26,0))</f>
        <v>North</v>
      </c>
      <c r="C2368" s="3" t="s">
        <v>88</v>
      </c>
      <c r="D2368" s="3" t="str">
        <f>INDEX(Port_Type!$B$2:$B$227,MATCH(TRIM(C2368),Port_Type!$A$2:$A$227,0))</f>
        <v>Inland ICD / CFS</v>
      </c>
      <c r="E2368" s="3" t="s">
        <v>69</v>
      </c>
      <c r="F2368" s="3" t="str">
        <f>INDEX(Product_Category!$B$2:$B$45,MATCH(TRIM(E2368),Product_Category!$A$2:$A$45,0))</f>
        <v>Others</v>
      </c>
      <c r="G2368" s="4">
        <v>0.01</v>
      </c>
      <c r="H2368" s="4">
        <v>0.01</v>
      </c>
      <c r="I2368" s="4">
        <v>0</v>
      </c>
      <c r="J2368" s="4">
        <v>9</v>
      </c>
      <c r="K2368" s="4">
        <v>0.48</v>
      </c>
      <c r="L2368" s="4">
        <v>0</v>
      </c>
      <c r="M2368" s="4">
        <f t="shared" si="108"/>
        <v>0</v>
      </c>
      <c r="N2368" s="4">
        <f t="shared" si="109"/>
        <v>-8.52</v>
      </c>
      <c r="O2368" s="4">
        <f t="shared" si="110"/>
        <v>-0.01</v>
      </c>
      <c r="P2368" s="3" t="s">
        <v>19</v>
      </c>
    </row>
    <row r="2369" spans="1:16" x14ac:dyDescent="0.35">
      <c r="A2369" s="3" t="s">
        <v>189</v>
      </c>
      <c r="B2369" s="3" t="str">
        <f>INDEX(State_Region!$B$2:$B$26,MATCH(TRIM(A2369),State_Region!$A$2:$A$26,0))</f>
        <v>North</v>
      </c>
      <c r="C2369" s="3" t="s">
        <v>227</v>
      </c>
      <c r="D2369" s="3" t="str">
        <f>INDEX(Port_Type!$B$2:$B$227,MATCH(TRIM(C2369),Port_Type!$A$2:$A$227,0))</f>
        <v>Land Border / Rail</v>
      </c>
      <c r="E2369" s="3" t="s">
        <v>76</v>
      </c>
      <c r="F2369" s="3" t="str">
        <f>INDEX(Product_Category!$B$2:$B$45,MATCH(TRIM(E2369),Product_Category!$A$2:$A$45,0))</f>
        <v>Fresh Fruits &amp; Vegetables</v>
      </c>
      <c r="G2369" s="4">
        <v>0.11</v>
      </c>
      <c r="H2369" s="4">
        <v>0.02</v>
      </c>
      <c r="I2369" s="4">
        <v>0</v>
      </c>
      <c r="J2369" s="4">
        <v>309.49</v>
      </c>
      <c r="K2369" s="4">
        <v>34.119999999999997</v>
      </c>
      <c r="L2369" s="4">
        <v>0</v>
      </c>
      <c r="M2369" s="4">
        <f t="shared" si="108"/>
        <v>-0.09</v>
      </c>
      <c r="N2369" s="4">
        <f t="shared" si="109"/>
        <v>-275.37</v>
      </c>
      <c r="O2369" s="4">
        <f t="shared" si="110"/>
        <v>-0.02</v>
      </c>
      <c r="P2369" s="3" t="s">
        <v>19</v>
      </c>
    </row>
    <row r="2370" spans="1:16" x14ac:dyDescent="0.35">
      <c r="A2370" s="3" t="s">
        <v>35</v>
      </c>
      <c r="B2370" s="3" t="str">
        <f>INDEX(State_Region!$B$2:$B$26,MATCH(TRIM(A2370),State_Region!$A$2:$A$26,0))</f>
        <v>North</v>
      </c>
      <c r="C2370" s="3" t="s">
        <v>88</v>
      </c>
      <c r="D2370" s="3" t="str">
        <f>INDEX(Port_Type!$B$2:$B$227,MATCH(TRIM(C2370),Port_Type!$A$2:$A$227,0))</f>
        <v>Inland ICD / CFS</v>
      </c>
      <c r="E2370" s="3" t="s">
        <v>76</v>
      </c>
      <c r="F2370" s="3" t="str">
        <f>INDEX(Product_Category!$B$2:$B$45,MATCH(TRIM(E2370),Product_Category!$A$2:$A$45,0))</f>
        <v>Fresh Fruits &amp; Vegetables</v>
      </c>
      <c r="G2370" s="4">
        <v>0</v>
      </c>
      <c r="H2370" s="4">
        <v>0</v>
      </c>
      <c r="I2370" s="4">
        <v>0</v>
      </c>
      <c r="J2370" s="4">
        <v>0</v>
      </c>
      <c r="K2370" s="4">
        <v>0</v>
      </c>
      <c r="L2370" s="4">
        <v>0</v>
      </c>
      <c r="M2370" s="4">
        <f t="shared" ref="M2370:M2433" si="111">H2370-G2370</f>
        <v>0</v>
      </c>
      <c r="N2370" s="4">
        <f t="shared" ref="N2370:N2433" si="112">K2370-J2370</f>
        <v>0</v>
      </c>
      <c r="O2370" s="4">
        <f t="shared" ref="O2370:O2433" si="113">I2370-H2370</f>
        <v>0</v>
      </c>
      <c r="P2370" s="3" t="s">
        <v>19</v>
      </c>
    </row>
    <row r="2371" spans="1:16" x14ac:dyDescent="0.35">
      <c r="A2371" s="3" t="s">
        <v>35</v>
      </c>
      <c r="B2371" s="3" t="str">
        <f>INDEX(State_Region!$B$2:$B$26,MATCH(TRIM(A2371),State_Region!$A$2:$A$26,0))</f>
        <v>North</v>
      </c>
      <c r="C2371" s="3" t="s">
        <v>88</v>
      </c>
      <c r="D2371" s="3" t="str">
        <f>INDEX(Port_Type!$B$2:$B$227,MATCH(TRIM(C2371),Port_Type!$A$2:$A$227,0))</f>
        <v>Inland ICD / CFS</v>
      </c>
      <c r="E2371" s="3" t="s">
        <v>59</v>
      </c>
      <c r="F2371" s="3" t="str">
        <f>INDEX(Product_Category!$B$2:$B$45,MATCH(TRIM(E2371),Product_Category!$A$2:$A$45,0))</f>
        <v>Processed Foods</v>
      </c>
      <c r="G2371" s="4">
        <v>0.01</v>
      </c>
      <c r="H2371" s="4">
        <v>0</v>
      </c>
      <c r="I2371" s="4">
        <v>0</v>
      </c>
      <c r="J2371" s="4">
        <v>1.26</v>
      </c>
      <c r="K2371" s="4">
        <v>0.02</v>
      </c>
      <c r="L2371" s="4">
        <v>0</v>
      </c>
      <c r="M2371" s="4">
        <f t="shared" si="111"/>
        <v>-0.01</v>
      </c>
      <c r="N2371" s="4">
        <f t="shared" si="112"/>
        <v>-1.24</v>
      </c>
      <c r="O2371" s="4">
        <f t="shared" si="113"/>
        <v>0</v>
      </c>
      <c r="P2371" s="3" t="s">
        <v>19</v>
      </c>
    </row>
    <row r="2372" spans="1:16" x14ac:dyDescent="0.35">
      <c r="A2372" s="3" t="s">
        <v>189</v>
      </c>
      <c r="B2372" s="3" t="str">
        <f>INDEX(State_Region!$B$2:$B$26,MATCH(TRIM(A2372),State_Region!$A$2:$A$26,0))</f>
        <v>North</v>
      </c>
      <c r="C2372" s="3" t="s">
        <v>227</v>
      </c>
      <c r="D2372" s="3" t="str">
        <f>INDEX(Port_Type!$B$2:$B$227,MATCH(TRIM(C2372),Port_Type!$A$2:$A$227,0))</f>
        <v>Land Border / Rail</v>
      </c>
      <c r="E2372" s="3" t="s">
        <v>144</v>
      </c>
      <c r="F2372" s="3" t="str">
        <f>INDEX(Product_Category!$B$2:$B$45,MATCH(TRIM(E2372),Product_Category!$A$2:$A$45,0))</f>
        <v>Cereals &amp; Grains</v>
      </c>
      <c r="G2372" s="4">
        <v>0</v>
      </c>
      <c r="H2372" s="4">
        <v>0</v>
      </c>
      <c r="I2372" s="4">
        <v>0</v>
      </c>
      <c r="J2372" s="4">
        <v>0.5</v>
      </c>
      <c r="K2372" s="4">
        <v>0</v>
      </c>
      <c r="L2372" s="4">
        <v>0</v>
      </c>
      <c r="M2372" s="4">
        <f t="shared" si="111"/>
        <v>0</v>
      </c>
      <c r="N2372" s="4">
        <f t="shared" si="112"/>
        <v>-0.5</v>
      </c>
      <c r="O2372" s="4">
        <f t="shared" si="113"/>
        <v>0</v>
      </c>
      <c r="P2372" s="3" t="s">
        <v>19</v>
      </c>
    </row>
    <row r="2373" spans="1:16" x14ac:dyDescent="0.35">
      <c r="A2373" s="3" t="s">
        <v>35</v>
      </c>
      <c r="B2373" s="3" t="str">
        <f>INDEX(State_Region!$B$2:$B$26,MATCH(TRIM(A2373),State_Region!$A$2:$A$26,0))</f>
        <v>North</v>
      </c>
      <c r="C2373" s="3" t="s">
        <v>88</v>
      </c>
      <c r="D2373" s="3" t="str">
        <f>INDEX(Port_Type!$B$2:$B$227,MATCH(TRIM(C2373),Port_Type!$A$2:$A$227,0))</f>
        <v>Inland ICD / CFS</v>
      </c>
      <c r="E2373" s="3" t="s">
        <v>179</v>
      </c>
      <c r="F2373" s="3" t="str">
        <f>INDEX(Product_Category!$B$2:$B$45,MATCH(TRIM(E2373),Product_Category!$A$2:$A$45,0))</f>
        <v>Nuts &amp; Oilseeds</v>
      </c>
      <c r="G2373" s="4">
        <v>0</v>
      </c>
      <c r="H2373" s="4">
        <v>0</v>
      </c>
      <c r="I2373" s="4">
        <v>0</v>
      </c>
      <c r="J2373" s="4">
        <v>0.06</v>
      </c>
      <c r="K2373" s="4">
        <v>0</v>
      </c>
      <c r="L2373" s="4">
        <v>0</v>
      </c>
      <c r="M2373" s="4">
        <f t="shared" si="111"/>
        <v>0</v>
      </c>
      <c r="N2373" s="4">
        <f t="shared" si="112"/>
        <v>-0.06</v>
      </c>
      <c r="O2373" s="4">
        <f t="shared" si="113"/>
        <v>0</v>
      </c>
      <c r="P2373" s="3" t="s">
        <v>19</v>
      </c>
    </row>
    <row r="2374" spans="1:16" x14ac:dyDescent="0.35">
      <c r="A2374" s="3" t="s">
        <v>35</v>
      </c>
      <c r="B2374" s="3" t="str">
        <f>INDEX(State_Region!$B$2:$B$26,MATCH(TRIM(A2374),State_Region!$A$2:$A$26,0))</f>
        <v>North</v>
      </c>
      <c r="C2374" s="3" t="s">
        <v>88</v>
      </c>
      <c r="D2374" s="3" t="str">
        <f>INDEX(Port_Type!$B$2:$B$227,MATCH(TRIM(C2374),Port_Type!$A$2:$A$227,0))</f>
        <v>Inland ICD / CFS</v>
      </c>
      <c r="E2374" s="3" t="s">
        <v>60</v>
      </c>
      <c r="F2374" s="3" t="str">
        <f>INDEX(Product_Category!$B$2:$B$45,MATCH(TRIM(E2374),Product_Category!$A$2:$A$45,0))</f>
        <v>Processed Foods</v>
      </c>
      <c r="G2374" s="4">
        <v>0</v>
      </c>
      <c r="H2374" s="4">
        <v>0.11</v>
      </c>
      <c r="I2374" s="4">
        <v>0</v>
      </c>
      <c r="J2374" s="4">
        <v>0</v>
      </c>
      <c r="K2374" s="4">
        <v>13.11</v>
      </c>
      <c r="L2374" s="4">
        <v>0</v>
      </c>
      <c r="M2374" s="4">
        <f t="shared" si="111"/>
        <v>0.11</v>
      </c>
      <c r="N2374" s="4">
        <f t="shared" si="112"/>
        <v>13.11</v>
      </c>
      <c r="O2374" s="4">
        <f t="shared" si="113"/>
        <v>-0.11</v>
      </c>
      <c r="P2374" s="3" t="s">
        <v>19</v>
      </c>
    </row>
    <row r="2375" spans="1:16" x14ac:dyDescent="0.35">
      <c r="A2375" s="3" t="s">
        <v>35</v>
      </c>
      <c r="B2375" s="3" t="str">
        <f>INDEX(State_Region!$B$2:$B$26,MATCH(TRIM(A2375),State_Region!$A$2:$A$26,0))</f>
        <v>North</v>
      </c>
      <c r="C2375" s="3" t="s">
        <v>37</v>
      </c>
      <c r="D2375" s="3" t="str">
        <f>INDEX(Port_Type!$B$2:$B$227,MATCH(TRIM(C2375),Port_Type!$A$2:$A$227,0))</f>
        <v>Inland ICD / CFS</v>
      </c>
      <c r="E2375" s="3" t="s">
        <v>33</v>
      </c>
      <c r="F2375" s="3" t="str">
        <f>INDEX(Product_Category!$B$2:$B$45,MATCH(TRIM(E2375),Product_Category!$A$2:$A$45,0))</f>
        <v>Pulses</v>
      </c>
      <c r="G2375" s="4">
        <v>0.06</v>
      </c>
      <c r="H2375" s="4">
        <v>0.03</v>
      </c>
      <c r="I2375" s="4">
        <v>0</v>
      </c>
      <c r="J2375" s="4">
        <v>45.19</v>
      </c>
      <c r="K2375" s="4">
        <v>26.14</v>
      </c>
      <c r="L2375" s="4">
        <v>0</v>
      </c>
      <c r="M2375" s="4">
        <f t="shared" si="111"/>
        <v>-0.03</v>
      </c>
      <c r="N2375" s="4">
        <f t="shared" si="112"/>
        <v>-19.049999999999997</v>
      </c>
      <c r="O2375" s="4">
        <f t="shared" si="113"/>
        <v>-0.03</v>
      </c>
      <c r="P2375" s="3" t="s">
        <v>19</v>
      </c>
    </row>
    <row r="2376" spans="1:16" x14ac:dyDescent="0.35">
      <c r="A2376" s="3" t="s">
        <v>35</v>
      </c>
      <c r="B2376" s="3" t="str">
        <f>INDEX(State_Region!$B$2:$B$26,MATCH(TRIM(A2376),State_Region!$A$2:$A$26,0))</f>
        <v>North</v>
      </c>
      <c r="C2376" s="3" t="s">
        <v>37</v>
      </c>
      <c r="D2376" s="3" t="str">
        <f>INDEX(Port_Type!$B$2:$B$227,MATCH(TRIM(C2376),Port_Type!$A$2:$A$227,0))</f>
        <v>Inland ICD / CFS</v>
      </c>
      <c r="E2376" s="3" t="s">
        <v>54</v>
      </c>
      <c r="F2376" s="3" t="str">
        <f>INDEX(Product_Category!$B$2:$B$45,MATCH(TRIM(E2376),Product_Category!$A$2:$A$45,0))</f>
        <v>Processed Foods</v>
      </c>
      <c r="G2376" s="4">
        <v>0.08</v>
      </c>
      <c r="H2376" s="4">
        <v>0.14000000000000001</v>
      </c>
      <c r="I2376" s="4">
        <v>0</v>
      </c>
      <c r="J2376" s="4">
        <v>20.67</v>
      </c>
      <c r="K2376" s="4">
        <v>13.77</v>
      </c>
      <c r="L2376" s="4">
        <v>0</v>
      </c>
      <c r="M2376" s="4">
        <f t="shared" si="111"/>
        <v>6.0000000000000012E-2</v>
      </c>
      <c r="N2376" s="4">
        <f t="shared" si="112"/>
        <v>-6.9000000000000021</v>
      </c>
      <c r="O2376" s="4">
        <f t="shared" si="113"/>
        <v>-0.14000000000000001</v>
      </c>
      <c r="P2376" s="3" t="s">
        <v>19</v>
      </c>
    </row>
    <row r="2377" spans="1:16" x14ac:dyDescent="0.35">
      <c r="A2377" s="3" t="s">
        <v>189</v>
      </c>
      <c r="B2377" s="3" t="str">
        <f>INDEX(State_Region!$B$2:$B$26,MATCH(TRIM(A2377),State_Region!$A$2:$A$26,0))</f>
        <v>North</v>
      </c>
      <c r="C2377" s="3" t="s">
        <v>227</v>
      </c>
      <c r="D2377" s="3" t="str">
        <f>INDEX(Port_Type!$B$2:$B$227,MATCH(TRIM(C2377),Port_Type!$A$2:$A$227,0))</f>
        <v>Land Border / Rail</v>
      </c>
      <c r="E2377" s="3" t="s">
        <v>54</v>
      </c>
      <c r="F2377" s="3" t="str">
        <f>INDEX(Product_Category!$B$2:$B$45,MATCH(TRIM(E2377),Product_Category!$A$2:$A$45,0))</f>
        <v>Processed Foods</v>
      </c>
      <c r="G2377" s="4">
        <v>0</v>
      </c>
      <c r="H2377" s="4">
        <v>0</v>
      </c>
      <c r="I2377" s="4">
        <v>0</v>
      </c>
      <c r="J2377" s="4">
        <v>0.14000000000000001</v>
      </c>
      <c r="K2377" s="4">
        <v>0</v>
      </c>
      <c r="L2377" s="4">
        <v>0</v>
      </c>
      <c r="M2377" s="4">
        <f t="shared" si="111"/>
        <v>0</v>
      </c>
      <c r="N2377" s="4">
        <f t="shared" si="112"/>
        <v>-0.14000000000000001</v>
      </c>
      <c r="O2377" s="4">
        <f t="shared" si="113"/>
        <v>0</v>
      </c>
      <c r="P2377" s="3" t="s">
        <v>19</v>
      </c>
    </row>
    <row r="2378" spans="1:16" x14ac:dyDescent="0.35">
      <c r="A2378" s="3" t="s">
        <v>35</v>
      </c>
      <c r="B2378" s="3" t="str">
        <f>INDEX(State_Region!$B$2:$B$26,MATCH(TRIM(A2378),State_Region!$A$2:$A$26,0))</f>
        <v>North</v>
      </c>
      <c r="C2378" s="3" t="s">
        <v>37</v>
      </c>
      <c r="D2378" s="3" t="str">
        <f>INDEX(Port_Type!$B$2:$B$227,MATCH(TRIM(C2378),Port_Type!$A$2:$A$227,0))</f>
        <v>Inland ICD / CFS</v>
      </c>
      <c r="E2378" s="3" t="s">
        <v>170</v>
      </c>
      <c r="F2378" s="3" t="str">
        <f>INDEX(Product_Category!$B$2:$B$45,MATCH(TRIM(E2378),Product_Category!$A$2:$A$45,0))</f>
        <v>Others</v>
      </c>
      <c r="G2378" s="4">
        <v>0</v>
      </c>
      <c r="H2378" s="4">
        <v>0.02</v>
      </c>
      <c r="I2378" s="4">
        <v>0</v>
      </c>
      <c r="J2378" s="4">
        <v>0</v>
      </c>
      <c r="K2378" s="4">
        <v>1</v>
      </c>
      <c r="L2378" s="4">
        <v>0</v>
      </c>
      <c r="M2378" s="4">
        <f t="shared" si="111"/>
        <v>0.02</v>
      </c>
      <c r="N2378" s="4">
        <f t="shared" si="112"/>
        <v>1</v>
      </c>
      <c r="O2378" s="4">
        <f t="shared" si="113"/>
        <v>-0.02</v>
      </c>
      <c r="P2378" s="3" t="s">
        <v>19</v>
      </c>
    </row>
    <row r="2379" spans="1:16" x14ac:dyDescent="0.35">
      <c r="A2379" s="3" t="s">
        <v>35</v>
      </c>
      <c r="B2379" s="3" t="str">
        <f>INDEX(State_Region!$B$2:$B$26,MATCH(TRIM(A2379),State_Region!$A$2:$A$26,0))</f>
        <v>North</v>
      </c>
      <c r="C2379" s="3" t="s">
        <v>37</v>
      </c>
      <c r="D2379" s="3" t="str">
        <f>INDEX(Port_Type!$B$2:$B$227,MATCH(TRIM(C2379),Port_Type!$A$2:$A$227,0))</f>
        <v>Inland ICD / CFS</v>
      </c>
      <c r="E2379" s="3" t="s">
        <v>102</v>
      </c>
      <c r="F2379" s="3" t="str">
        <f>INDEX(Product_Category!$B$2:$B$45,MATCH(TRIM(E2379),Product_Category!$A$2:$A$45,0))</f>
        <v>Fresh Fruits &amp; Vegetables</v>
      </c>
      <c r="G2379" s="4">
        <v>0</v>
      </c>
      <c r="H2379" s="4">
        <v>0.03</v>
      </c>
      <c r="I2379" s="4">
        <v>0</v>
      </c>
      <c r="J2379" s="4">
        <v>1.99</v>
      </c>
      <c r="K2379" s="4">
        <v>47.73</v>
      </c>
      <c r="L2379" s="4">
        <v>0</v>
      </c>
      <c r="M2379" s="4">
        <f t="shared" si="111"/>
        <v>0.03</v>
      </c>
      <c r="N2379" s="4">
        <f t="shared" si="112"/>
        <v>45.739999999999995</v>
      </c>
      <c r="O2379" s="4">
        <f t="shared" si="113"/>
        <v>-0.03</v>
      </c>
      <c r="P2379" s="3" t="s">
        <v>19</v>
      </c>
    </row>
    <row r="2380" spans="1:16" x14ac:dyDescent="0.35">
      <c r="A2380" s="3" t="s">
        <v>35</v>
      </c>
      <c r="B2380" s="3" t="str">
        <f>INDEX(State_Region!$B$2:$B$26,MATCH(TRIM(A2380),State_Region!$A$2:$A$26,0))</f>
        <v>North</v>
      </c>
      <c r="C2380" s="3" t="s">
        <v>37</v>
      </c>
      <c r="D2380" s="3" t="str">
        <f>INDEX(Port_Type!$B$2:$B$227,MATCH(TRIM(C2380),Port_Type!$A$2:$A$227,0))</f>
        <v>Inland ICD / CFS</v>
      </c>
      <c r="E2380" s="3" t="s">
        <v>45</v>
      </c>
      <c r="F2380" s="3" t="str">
        <f>INDEX(Product_Category!$B$2:$B$45,MATCH(TRIM(E2380),Product_Category!$A$2:$A$45,0))</f>
        <v>Fresh Fruits &amp; Vegetables</v>
      </c>
      <c r="G2380" s="4">
        <v>0.01</v>
      </c>
      <c r="H2380" s="4">
        <v>0</v>
      </c>
      <c r="I2380" s="4">
        <v>0</v>
      </c>
      <c r="J2380" s="4">
        <v>3.46</v>
      </c>
      <c r="K2380" s="4">
        <v>0</v>
      </c>
      <c r="L2380" s="4">
        <v>0</v>
      </c>
      <c r="M2380" s="4">
        <f t="shared" si="111"/>
        <v>-0.01</v>
      </c>
      <c r="N2380" s="4">
        <f t="shared" si="112"/>
        <v>-3.46</v>
      </c>
      <c r="O2380" s="4">
        <f t="shared" si="113"/>
        <v>0</v>
      </c>
      <c r="P2380" s="3" t="s">
        <v>19</v>
      </c>
    </row>
    <row r="2381" spans="1:16" x14ac:dyDescent="0.35">
      <c r="A2381" s="3" t="s">
        <v>23</v>
      </c>
      <c r="B2381" s="3" t="str">
        <f>INDEX(State_Region!$B$2:$B$26,MATCH(TRIM(A2381),State_Region!$A$2:$A$26,0))</f>
        <v>North</v>
      </c>
      <c r="C2381" s="3" t="s">
        <v>177</v>
      </c>
      <c r="D2381" s="3" t="str">
        <f>INDEX(Port_Type!$B$2:$B$227,MATCH(TRIM(C2381),Port_Type!$A$2:$A$227,0))</f>
        <v>SEZ / EPZ</v>
      </c>
      <c r="E2381" s="3" t="s">
        <v>170</v>
      </c>
      <c r="F2381" s="3" t="str">
        <f>INDEX(Product_Category!$B$2:$B$45,MATCH(TRIM(E2381),Product_Category!$A$2:$A$45,0))</f>
        <v>Others</v>
      </c>
      <c r="G2381" s="4">
        <v>25.41</v>
      </c>
      <c r="H2381" s="4">
        <v>0</v>
      </c>
      <c r="I2381" s="4">
        <v>0</v>
      </c>
      <c r="J2381" s="4">
        <v>5614.75</v>
      </c>
      <c r="K2381" s="4">
        <v>0</v>
      </c>
      <c r="L2381" s="4">
        <v>0</v>
      </c>
      <c r="M2381" s="4">
        <f t="shared" si="111"/>
        <v>-25.41</v>
      </c>
      <c r="N2381" s="4">
        <f t="shared" si="112"/>
        <v>-5614.75</v>
      </c>
      <c r="O2381" s="4">
        <f t="shared" si="113"/>
        <v>0</v>
      </c>
      <c r="P2381" s="3" t="s">
        <v>19</v>
      </c>
    </row>
    <row r="2382" spans="1:16" x14ac:dyDescent="0.35">
      <c r="A2382" s="3" t="s">
        <v>23</v>
      </c>
      <c r="B2382" s="3" t="str">
        <f>INDEX(State_Region!$B$2:$B$26,MATCH(TRIM(A2382),State_Region!$A$2:$A$26,0))</f>
        <v>North</v>
      </c>
      <c r="C2382" s="3" t="s">
        <v>230</v>
      </c>
      <c r="D2382" s="3" t="str">
        <f>INDEX(Port_Type!$B$2:$B$227,MATCH(TRIM(C2382),Port_Type!$A$2:$A$227,0))</f>
        <v>Air Cargo</v>
      </c>
      <c r="E2382" s="3" t="s">
        <v>122</v>
      </c>
      <c r="F2382" s="3" t="str">
        <f>INDEX(Product_Category!$B$2:$B$45,MATCH(TRIM(E2382),Product_Category!$A$2:$A$45,0))</f>
        <v>Others</v>
      </c>
      <c r="G2382" s="4">
        <v>0</v>
      </c>
      <c r="H2382" s="4">
        <v>0</v>
      </c>
      <c r="I2382" s="4">
        <v>0</v>
      </c>
      <c r="J2382" s="4">
        <v>0.26</v>
      </c>
      <c r="K2382" s="4">
        <v>0.26</v>
      </c>
      <c r="L2382" s="4">
        <v>0</v>
      </c>
      <c r="M2382" s="4">
        <f t="shared" si="111"/>
        <v>0</v>
      </c>
      <c r="N2382" s="4">
        <f t="shared" si="112"/>
        <v>0</v>
      </c>
      <c r="O2382" s="4">
        <f t="shared" si="113"/>
        <v>0</v>
      </c>
      <c r="P2382" s="3" t="s">
        <v>19</v>
      </c>
    </row>
    <row r="2383" spans="1:16" x14ac:dyDescent="0.35">
      <c r="A2383" s="3" t="s">
        <v>35</v>
      </c>
      <c r="B2383" s="3" t="str">
        <f>INDEX(State_Region!$B$2:$B$26,MATCH(TRIM(A2383),State_Region!$A$2:$A$26,0))</f>
        <v>North</v>
      </c>
      <c r="C2383" s="3" t="s">
        <v>37</v>
      </c>
      <c r="D2383" s="3" t="str">
        <f>INDEX(Port_Type!$B$2:$B$227,MATCH(TRIM(C2383),Port_Type!$A$2:$A$227,0))</f>
        <v>Inland ICD / CFS</v>
      </c>
      <c r="E2383" s="3" t="s">
        <v>126</v>
      </c>
      <c r="F2383" s="3" t="str">
        <f>INDEX(Product_Category!$B$2:$B$45,MATCH(TRIM(E2383),Product_Category!$A$2:$A$45,0))</f>
        <v>Cereals &amp; Grains</v>
      </c>
      <c r="G2383" s="4">
        <v>0.03</v>
      </c>
      <c r="H2383" s="4">
        <v>0.01</v>
      </c>
      <c r="I2383" s="4">
        <v>0</v>
      </c>
      <c r="J2383" s="4">
        <v>17.54</v>
      </c>
      <c r="K2383" s="4">
        <v>9.51</v>
      </c>
      <c r="L2383" s="4">
        <v>0</v>
      </c>
      <c r="M2383" s="4">
        <f t="shared" si="111"/>
        <v>-1.9999999999999997E-2</v>
      </c>
      <c r="N2383" s="4">
        <f t="shared" si="112"/>
        <v>-8.0299999999999994</v>
      </c>
      <c r="O2383" s="4">
        <f t="shared" si="113"/>
        <v>-0.01</v>
      </c>
      <c r="P2383" s="3" t="s">
        <v>19</v>
      </c>
    </row>
    <row r="2384" spans="1:16" x14ac:dyDescent="0.35">
      <c r="A2384" s="3" t="s">
        <v>35</v>
      </c>
      <c r="B2384" s="3" t="str">
        <f>INDEX(State_Region!$B$2:$B$26,MATCH(TRIM(A2384),State_Region!$A$2:$A$26,0))</f>
        <v>North</v>
      </c>
      <c r="C2384" s="3" t="s">
        <v>37</v>
      </c>
      <c r="D2384" s="3" t="str">
        <f>INDEX(Port_Type!$B$2:$B$227,MATCH(TRIM(C2384),Port_Type!$A$2:$A$227,0))</f>
        <v>Inland ICD / CFS</v>
      </c>
      <c r="E2384" s="3" t="s">
        <v>27</v>
      </c>
      <c r="F2384" s="3" t="str">
        <f>INDEX(Product_Category!$B$2:$B$45,MATCH(TRIM(E2384),Product_Category!$A$2:$A$45,0))</f>
        <v>Cereals &amp; Grains</v>
      </c>
      <c r="G2384" s="4">
        <v>0</v>
      </c>
      <c r="H2384" s="4">
        <v>0</v>
      </c>
      <c r="I2384" s="4">
        <v>0</v>
      </c>
      <c r="J2384" s="4">
        <v>0.01</v>
      </c>
      <c r="K2384" s="4">
        <v>3</v>
      </c>
      <c r="L2384" s="4">
        <v>0</v>
      </c>
      <c r="M2384" s="4">
        <f t="shared" si="111"/>
        <v>0</v>
      </c>
      <c r="N2384" s="4">
        <f t="shared" si="112"/>
        <v>2.99</v>
      </c>
      <c r="O2384" s="4">
        <f t="shared" si="113"/>
        <v>0</v>
      </c>
      <c r="P2384" s="3" t="s">
        <v>19</v>
      </c>
    </row>
    <row r="2385" spans="1:16" x14ac:dyDescent="0.35">
      <c r="A2385" s="3" t="s">
        <v>23</v>
      </c>
      <c r="B2385" s="3" t="str">
        <f>INDEX(State_Region!$B$2:$B$26,MATCH(TRIM(A2385),State_Region!$A$2:$A$26,0))</f>
        <v>North</v>
      </c>
      <c r="C2385" s="3" t="s">
        <v>230</v>
      </c>
      <c r="D2385" s="3" t="str">
        <f>INDEX(Port_Type!$B$2:$B$227,MATCH(TRIM(C2385),Port_Type!$A$2:$A$227,0))</f>
        <v>Air Cargo</v>
      </c>
      <c r="E2385" s="3" t="s">
        <v>54</v>
      </c>
      <c r="F2385" s="3" t="str">
        <f>INDEX(Product_Category!$B$2:$B$45,MATCH(TRIM(E2385),Product_Category!$A$2:$A$45,0))</f>
        <v>Processed Foods</v>
      </c>
      <c r="G2385" s="4">
        <v>0</v>
      </c>
      <c r="H2385" s="4">
        <v>0</v>
      </c>
      <c r="I2385" s="4">
        <v>0</v>
      </c>
      <c r="J2385" s="4">
        <v>2.57</v>
      </c>
      <c r="K2385" s="4">
        <v>0</v>
      </c>
      <c r="L2385" s="4">
        <v>0</v>
      </c>
      <c r="M2385" s="4">
        <f t="shared" si="111"/>
        <v>0</v>
      </c>
      <c r="N2385" s="4">
        <f t="shared" si="112"/>
        <v>-2.57</v>
      </c>
      <c r="O2385" s="4">
        <f t="shared" si="113"/>
        <v>0</v>
      </c>
      <c r="P2385" s="3" t="s">
        <v>19</v>
      </c>
    </row>
    <row r="2386" spans="1:16" x14ac:dyDescent="0.35">
      <c r="A2386" s="3" t="s">
        <v>23</v>
      </c>
      <c r="B2386" s="3" t="str">
        <f>INDEX(State_Region!$B$2:$B$26,MATCH(TRIM(A2386),State_Region!$A$2:$A$26,0))</f>
        <v>North</v>
      </c>
      <c r="C2386" s="3" t="s">
        <v>230</v>
      </c>
      <c r="D2386" s="3" t="str">
        <f>INDEX(Port_Type!$B$2:$B$227,MATCH(TRIM(C2386),Port_Type!$A$2:$A$227,0))</f>
        <v>Air Cargo</v>
      </c>
      <c r="E2386" s="3" t="s">
        <v>33</v>
      </c>
      <c r="F2386" s="3" t="str">
        <f>INDEX(Product_Category!$B$2:$B$45,MATCH(TRIM(E2386),Product_Category!$A$2:$A$45,0))</f>
        <v>Pulses</v>
      </c>
      <c r="G2386" s="4">
        <v>0</v>
      </c>
      <c r="H2386" s="4">
        <v>0</v>
      </c>
      <c r="I2386" s="4">
        <v>0</v>
      </c>
      <c r="J2386" s="4">
        <v>2.95</v>
      </c>
      <c r="K2386" s="4">
        <v>0.89</v>
      </c>
      <c r="L2386" s="4">
        <v>0</v>
      </c>
      <c r="M2386" s="4">
        <f t="shared" si="111"/>
        <v>0</v>
      </c>
      <c r="N2386" s="4">
        <f t="shared" si="112"/>
        <v>-2.06</v>
      </c>
      <c r="O2386" s="4">
        <f t="shared" si="113"/>
        <v>0</v>
      </c>
      <c r="P2386" s="3" t="s">
        <v>19</v>
      </c>
    </row>
    <row r="2387" spans="1:16" x14ac:dyDescent="0.35">
      <c r="A2387" s="3" t="s">
        <v>35</v>
      </c>
      <c r="B2387" s="3" t="str">
        <f>INDEX(State_Region!$B$2:$B$26,MATCH(TRIM(A2387),State_Region!$A$2:$A$26,0))</f>
        <v>North</v>
      </c>
      <c r="C2387" s="3" t="s">
        <v>37</v>
      </c>
      <c r="D2387" s="3" t="str">
        <f>INDEX(Port_Type!$B$2:$B$227,MATCH(TRIM(C2387),Port_Type!$A$2:$A$227,0))</f>
        <v>Inland ICD / CFS</v>
      </c>
      <c r="E2387" s="3" t="s">
        <v>65</v>
      </c>
      <c r="F2387" s="3" t="str">
        <f>INDEX(Product_Category!$B$2:$B$45,MATCH(TRIM(E2387),Product_Category!$A$2:$A$45,0))</f>
        <v>Cereals &amp; Grains</v>
      </c>
      <c r="G2387" s="4">
        <v>0.05</v>
      </c>
      <c r="H2387" s="4">
        <v>0</v>
      </c>
      <c r="I2387" s="4">
        <v>0</v>
      </c>
      <c r="J2387" s="4">
        <v>40.82</v>
      </c>
      <c r="K2387" s="4">
        <v>0</v>
      </c>
      <c r="L2387" s="4">
        <v>0</v>
      </c>
      <c r="M2387" s="4">
        <f t="shared" si="111"/>
        <v>-0.05</v>
      </c>
      <c r="N2387" s="4">
        <f t="shared" si="112"/>
        <v>-40.82</v>
      </c>
      <c r="O2387" s="4">
        <f t="shared" si="113"/>
        <v>0</v>
      </c>
      <c r="P2387" s="3" t="s">
        <v>19</v>
      </c>
    </row>
    <row r="2388" spans="1:16" x14ac:dyDescent="0.35">
      <c r="A2388" s="3" t="s">
        <v>23</v>
      </c>
      <c r="B2388" s="3" t="str">
        <f>INDEX(State_Region!$B$2:$B$26,MATCH(TRIM(A2388),State_Region!$A$2:$A$26,0))</f>
        <v>North</v>
      </c>
      <c r="C2388" s="3" t="s">
        <v>24</v>
      </c>
      <c r="D2388" s="3" t="str">
        <f>INDEX(Port_Type!$B$2:$B$227,MATCH(TRIM(C2388),Port_Type!$A$2:$A$227,0))</f>
        <v>Inland ICD / CFS</v>
      </c>
      <c r="E2388" s="3" t="s">
        <v>125</v>
      </c>
      <c r="F2388" s="3" t="str">
        <f>INDEX(Product_Category!$B$2:$B$45,MATCH(TRIM(E2388),Product_Category!$A$2:$A$45,0))</f>
        <v>Meat &amp; Animal Products</v>
      </c>
      <c r="G2388" s="4">
        <v>3.49</v>
      </c>
      <c r="H2388" s="4">
        <v>0.94</v>
      </c>
      <c r="I2388" s="4">
        <v>0</v>
      </c>
      <c r="J2388" s="4">
        <v>436.38</v>
      </c>
      <c r="K2388" s="4">
        <v>377.5</v>
      </c>
      <c r="L2388" s="4">
        <v>0</v>
      </c>
      <c r="M2388" s="4">
        <f t="shared" si="111"/>
        <v>-2.5500000000000003</v>
      </c>
      <c r="N2388" s="4">
        <f t="shared" si="112"/>
        <v>-58.879999999999995</v>
      </c>
      <c r="O2388" s="4">
        <f t="shared" si="113"/>
        <v>-0.94</v>
      </c>
      <c r="P2388" s="3" t="s">
        <v>19</v>
      </c>
    </row>
    <row r="2389" spans="1:16" x14ac:dyDescent="0.35">
      <c r="A2389" s="3" t="s">
        <v>23</v>
      </c>
      <c r="B2389" s="3" t="str">
        <f>INDEX(State_Region!$B$2:$B$26,MATCH(TRIM(A2389),State_Region!$A$2:$A$26,0))</f>
        <v>North</v>
      </c>
      <c r="C2389" s="3" t="s">
        <v>24</v>
      </c>
      <c r="D2389" s="3" t="str">
        <f>INDEX(Port_Type!$B$2:$B$227,MATCH(TRIM(C2389),Port_Type!$A$2:$A$227,0))</f>
        <v>Inland ICD / CFS</v>
      </c>
      <c r="E2389" s="3" t="s">
        <v>18</v>
      </c>
      <c r="F2389" s="3" t="str">
        <f>INDEX(Product_Category!$B$2:$B$45,MATCH(TRIM(E2389),Product_Category!$A$2:$A$45,0))</f>
        <v>Cereals &amp; Grains</v>
      </c>
      <c r="G2389" s="4">
        <v>0</v>
      </c>
      <c r="H2389" s="4">
        <v>0</v>
      </c>
      <c r="I2389" s="4">
        <v>0</v>
      </c>
      <c r="J2389" s="4">
        <v>3</v>
      </c>
      <c r="K2389" s="4">
        <v>0</v>
      </c>
      <c r="L2389" s="4">
        <v>0</v>
      </c>
      <c r="M2389" s="4">
        <f t="shared" si="111"/>
        <v>0</v>
      </c>
      <c r="N2389" s="4">
        <f t="shared" si="112"/>
        <v>-3</v>
      </c>
      <c r="O2389" s="4">
        <f t="shared" si="113"/>
        <v>0</v>
      </c>
      <c r="P2389" s="3" t="s">
        <v>19</v>
      </c>
    </row>
    <row r="2390" spans="1:16" x14ac:dyDescent="0.35">
      <c r="A2390" s="3" t="s">
        <v>35</v>
      </c>
      <c r="B2390" s="3" t="str">
        <f>INDEX(State_Region!$B$2:$B$26,MATCH(TRIM(A2390),State_Region!$A$2:$A$26,0))</f>
        <v>North</v>
      </c>
      <c r="C2390" s="3" t="s">
        <v>37</v>
      </c>
      <c r="D2390" s="3" t="str">
        <f>INDEX(Port_Type!$B$2:$B$227,MATCH(TRIM(C2390),Port_Type!$A$2:$A$227,0))</f>
        <v>Inland ICD / CFS</v>
      </c>
      <c r="E2390" s="3" t="s">
        <v>151</v>
      </c>
      <c r="F2390" s="3" t="str">
        <f>INDEX(Product_Category!$B$2:$B$45,MATCH(TRIM(E2390),Product_Category!$A$2:$A$45,0))</f>
        <v>Processed Foods</v>
      </c>
      <c r="G2390" s="4">
        <v>0.02</v>
      </c>
      <c r="H2390" s="4">
        <v>0</v>
      </c>
      <c r="I2390" s="4">
        <v>0</v>
      </c>
      <c r="J2390" s="4">
        <v>7.2</v>
      </c>
      <c r="K2390" s="4">
        <v>0</v>
      </c>
      <c r="L2390" s="4">
        <v>0</v>
      </c>
      <c r="M2390" s="4">
        <f t="shared" si="111"/>
        <v>-0.02</v>
      </c>
      <c r="N2390" s="4">
        <f t="shared" si="112"/>
        <v>-7.2</v>
      </c>
      <c r="O2390" s="4">
        <f t="shared" si="113"/>
        <v>0</v>
      </c>
      <c r="P2390" s="3" t="s">
        <v>19</v>
      </c>
    </row>
    <row r="2391" spans="1:16" x14ac:dyDescent="0.35">
      <c r="A2391" s="3" t="s">
        <v>23</v>
      </c>
      <c r="B2391" s="3" t="str">
        <f>INDEX(State_Region!$B$2:$B$26,MATCH(TRIM(A2391),State_Region!$A$2:$A$26,0))</f>
        <v>North</v>
      </c>
      <c r="C2391" s="3" t="s">
        <v>24</v>
      </c>
      <c r="D2391" s="3" t="str">
        <f>INDEX(Port_Type!$B$2:$B$227,MATCH(TRIM(C2391),Port_Type!$A$2:$A$227,0))</f>
        <v>Inland ICD / CFS</v>
      </c>
      <c r="E2391" s="3" t="s">
        <v>150</v>
      </c>
      <c r="F2391" s="3" t="str">
        <f>INDEX(Product_Category!$B$2:$B$45,MATCH(TRIM(E2391),Product_Category!$A$2:$A$45,0))</f>
        <v>Nuts &amp; Oilseeds</v>
      </c>
      <c r="G2391" s="4">
        <v>0</v>
      </c>
      <c r="H2391" s="4">
        <v>0</v>
      </c>
      <c r="I2391" s="4">
        <v>0</v>
      </c>
      <c r="J2391" s="4">
        <v>0.03</v>
      </c>
      <c r="K2391" s="4">
        <v>0</v>
      </c>
      <c r="L2391" s="4">
        <v>0</v>
      </c>
      <c r="M2391" s="4">
        <f t="shared" si="111"/>
        <v>0</v>
      </c>
      <c r="N2391" s="4">
        <f t="shared" si="112"/>
        <v>-0.03</v>
      </c>
      <c r="O2391" s="4">
        <f t="shared" si="113"/>
        <v>0</v>
      </c>
      <c r="P2391" s="3" t="s">
        <v>19</v>
      </c>
    </row>
    <row r="2392" spans="1:16" x14ac:dyDescent="0.35">
      <c r="A2392" s="3" t="s">
        <v>35</v>
      </c>
      <c r="B2392" s="3" t="str">
        <f>INDEX(State_Region!$B$2:$B$26,MATCH(TRIM(A2392),State_Region!$A$2:$A$26,0))</f>
        <v>North</v>
      </c>
      <c r="C2392" s="3" t="s">
        <v>37</v>
      </c>
      <c r="D2392" s="3" t="str">
        <f>INDEX(Port_Type!$B$2:$B$227,MATCH(TRIM(C2392),Port_Type!$A$2:$A$227,0))</f>
        <v>Inland ICD / CFS</v>
      </c>
      <c r="E2392" s="3" t="s">
        <v>53</v>
      </c>
      <c r="F2392" s="3" t="str">
        <f>INDEX(Product_Category!$B$2:$B$45,MATCH(TRIM(E2392),Product_Category!$A$2:$A$45,0))</f>
        <v>Processed Foods</v>
      </c>
      <c r="G2392" s="4">
        <v>0.13</v>
      </c>
      <c r="H2392" s="4">
        <v>0.03</v>
      </c>
      <c r="I2392" s="4">
        <v>0</v>
      </c>
      <c r="J2392" s="4">
        <v>43.95</v>
      </c>
      <c r="K2392" s="4">
        <v>23.88</v>
      </c>
      <c r="L2392" s="4">
        <v>0</v>
      </c>
      <c r="M2392" s="4">
        <f t="shared" si="111"/>
        <v>-0.1</v>
      </c>
      <c r="N2392" s="4">
        <f t="shared" si="112"/>
        <v>-20.070000000000004</v>
      </c>
      <c r="O2392" s="4">
        <f t="shared" si="113"/>
        <v>-0.03</v>
      </c>
      <c r="P2392" s="3" t="s">
        <v>19</v>
      </c>
    </row>
    <row r="2393" spans="1:16" x14ac:dyDescent="0.35">
      <c r="A2393" s="3" t="s">
        <v>23</v>
      </c>
      <c r="B2393" s="3" t="str">
        <f>INDEX(State_Region!$B$2:$B$26,MATCH(TRIM(A2393),State_Region!$A$2:$A$26,0))</f>
        <v>North</v>
      </c>
      <c r="C2393" s="3" t="s">
        <v>24</v>
      </c>
      <c r="D2393" s="3" t="str">
        <f>INDEX(Port_Type!$B$2:$B$227,MATCH(TRIM(C2393),Port_Type!$A$2:$A$227,0))</f>
        <v>Inland ICD / CFS</v>
      </c>
      <c r="E2393" s="3" t="s">
        <v>59</v>
      </c>
      <c r="F2393" s="3" t="str">
        <f>INDEX(Product_Category!$B$2:$B$45,MATCH(TRIM(E2393),Product_Category!$A$2:$A$45,0))</f>
        <v>Processed Foods</v>
      </c>
      <c r="G2393" s="4">
        <v>0</v>
      </c>
      <c r="H2393" s="4">
        <v>0.01</v>
      </c>
      <c r="I2393" s="4">
        <v>0</v>
      </c>
      <c r="J2393" s="4">
        <v>0</v>
      </c>
      <c r="K2393" s="4">
        <v>0.23</v>
      </c>
      <c r="L2393" s="4">
        <v>0</v>
      </c>
      <c r="M2393" s="4">
        <f t="shared" si="111"/>
        <v>0.01</v>
      </c>
      <c r="N2393" s="4">
        <f t="shared" si="112"/>
        <v>0.23</v>
      </c>
      <c r="O2393" s="4">
        <f t="shared" si="113"/>
        <v>-0.01</v>
      </c>
      <c r="P2393" s="3" t="s">
        <v>19</v>
      </c>
    </row>
    <row r="2394" spans="1:16" x14ac:dyDescent="0.35">
      <c r="A2394" s="3" t="s">
        <v>35</v>
      </c>
      <c r="B2394" s="3" t="str">
        <f>INDEX(State_Region!$B$2:$B$26,MATCH(TRIM(A2394),State_Region!$A$2:$A$26,0))</f>
        <v>North</v>
      </c>
      <c r="C2394" s="3" t="s">
        <v>37</v>
      </c>
      <c r="D2394" s="3" t="str">
        <f>INDEX(Port_Type!$B$2:$B$227,MATCH(TRIM(C2394),Port_Type!$A$2:$A$227,0))</f>
        <v>Inland ICD / CFS</v>
      </c>
      <c r="E2394" s="3" t="s">
        <v>46</v>
      </c>
      <c r="F2394" s="3" t="str">
        <f>INDEX(Product_Category!$B$2:$B$45,MATCH(TRIM(E2394),Product_Category!$A$2:$A$45,0))</f>
        <v>Others</v>
      </c>
      <c r="G2394" s="4">
        <v>0.03</v>
      </c>
      <c r="H2394" s="4">
        <v>1.1000000000000001</v>
      </c>
      <c r="I2394" s="4">
        <v>0</v>
      </c>
      <c r="J2394" s="4">
        <v>25.96</v>
      </c>
      <c r="K2394" s="4">
        <v>706.82</v>
      </c>
      <c r="L2394" s="4">
        <v>0</v>
      </c>
      <c r="M2394" s="4">
        <f t="shared" si="111"/>
        <v>1.07</v>
      </c>
      <c r="N2394" s="4">
        <f t="shared" si="112"/>
        <v>680.86</v>
      </c>
      <c r="O2394" s="4">
        <f t="shared" si="113"/>
        <v>-1.1000000000000001</v>
      </c>
      <c r="P2394" s="3" t="s">
        <v>19</v>
      </c>
    </row>
    <row r="2395" spans="1:16" x14ac:dyDescent="0.35">
      <c r="A2395" s="3" t="s">
        <v>35</v>
      </c>
      <c r="B2395" s="3" t="str">
        <f>INDEX(State_Region!$B$2:$B$26,MATCH(TRIM(A2395),State_Region!$A$2:$A$26,0))</f>
        <v>North</v>
      </c>
      <c r="C2395" s="3" t="s">
        <v>37</v>
      </c>
      <c r="D2395" s="3" t="str">
        <f>INDEX(Port_Type!$B$2:$B$227,MATCH(TRIM(C2395),Port_Type!$A$2:$A$227,0))</f>
        <v>Inland ICD / CFS</v>
      </c>
      <c r="E2395" s="3" t="s">
        <v>84</v>
      </c>
      <c r="F2395" s="3" t="str">
        <f>INDEX(Product_Category!$B$2:$B$45,MATCH(TRIM(E2395),Product_Category!$A$2:$A$45,0))</f>
        <v>Nuts &amp; Oilseeds</v>
      </c>
      <c r="G2395" s="4">
        <v>0.01</v>
      </c>
      <c r="H2395" s="4">
        <v>0</v>
      </c>
      <c r="I2395" s="4">
        <v>0</v>
      </c>
      <c r="J2395" s="4">
        <v>2</v>
      </c>
      <c r="K2395" s="4">
        <v>0</v>
      </c>
      <c r="L2395" s="4">
        <v>0</v>
      </c>
      <c r="M2395" s="4">
        <f t="shared" si="111"/>
        <v>-0.01</v>
      </c>
      <c r="N2395" s="4">
        <f t="shared" si="112"/>
        <v>-2</v>
      </c>
      <c r="O2395" s="4">
        <f t="shared" si="113"/>
        <v>0</v>
      </c>
      <c r="P2395" s="3" t="s">
        <v>19</v>
      </c>
    </row>
    <row r="2396" spans="1:16" x14ac:dyDescent="0.35">
      <c r="A2396" s="3" t="s">
        <v>23</v>
      </c>
      <c r="B2396" s="3" t="str">
        <f>INDEX(State_Region!$B$2:$B$26,MATCH(TRIM(A2396),State_Region!$A$2:$A$26,0))</f>
        <v>North</v>
      </c>
      <c r="C2396" s="3" t="s">
        <v>24</v>
      </c>
      <c r="D2396" s="3" t="str">
        <f>INDEX(Port_Type!$B$2:$B$227,MATCH(TRIM(C2396),Port_Type!$A$2:$A$227,0))</f>
        <v>Inland ICD / CFS</v>
      </c>
      <c r="E2396" s="3" t="s">
        <v>65</v>
      </c>
      <c r="F2396" s="3" t="str">
        <f>INDEX(Product_Category!$B$2:$B$45,MATCH(TRIM(E2396),Product_Category!$A$2:$A$45,0))</f>
        <v>Cereals &amp; Grains</v>
      </c>
      <c r="G2396" s="4">
        <v>0</v>
      </c>
      <c r="H2396" s="4">
        <v>0</v>
      </c>
      <c r="I2396" s="4">
        <v>0</v>
      </c>
      <c r="J2396" s="4">
        <v>2.0499999999999998</v>
      </c>
      <c r="K2396" s="4">
        <v>0</v>
      </c>
      <c r="L2396" s="4">
        <v>0</v>
      </c>
      <c r="M2396" s="4">
        <f t="shared" si="111"/>
        <v>0</v>
      </c>
      <c r="N2396" s="4">
        <f t="shared" si="112"/>
        <v>-2.0499999999999998</v>
      </c>
      <c r="O2396" s="4">
        <f t="shared" si="113"/>
        <v>0</v>
      </c>
      <c r="P2396" s="3" t="s">
        <v>19</v>
      </c>
    </row>
    <row r="2397" spans="1:16" x14ac:dyDescent="0.35">
      <c r="A2397" s="3" t="s">
        <v>23</v>
      </c>
      <c r="B2397" s="3" t="str">
        <f>INDEX(State_Region!$B$2:$B$26,MATCH(TRIM(A2397),State_Region!$A$2:$A$26,0))</f>
        <v>North</v>
      </c>
      <c r="C2397" s="3" t="s">
        <v>24</v>
      </c>
      <c r="D2397" s="3" t="str">
        <f>INDEX(Port_Type!$B$2:$B$227,MATCH(TRIM(C2397),Port_Type!$A$2:$A$227,0))</f>
        <v>Inland ICD / CFS</v>
      </c>
      <c r="E2397" s="3" t="s">
        <v>144</v>
      </c>
      <c r="F2397" s="3" t="str">
        <f>INDEX(Product_Category!$B$2:$B$45,MATCH(TRIM(E2397),Product_Category!$A$2:$A$45,0))</f>
        <v>Cereals &amp; Grains</v>
      </c>
      <c r="G2397" s="4">
        <v>0</v>
      </c>
      <c r="H2397" s="4">
        <v>0</v>
      </c>
      <c r="I2397" s="4">
        <v>0</v>
      </c>
      <c r="J2397" s="4">
        <v>0.06</v>
      </c>
      <c r="K2397" s="4">
        <v>0</v>
      </c>
      <c r="L2397" s="4">
        <v>0</v>
      </c>
      <c r="M2397" s="4">
        <f t="shared" si="111"/>
        <v>0</v>
      </c>
      <c r="N2397" s="4">
        <f t="shared" si="112"/>
        <v>-0.06</v>
      </c>
      <c r="O2397" s="4">
        <f t="shared" si="113"/>
        <v>0</v>
      </c>
      <c r="P2397" s="3" t="s">
        <v>19</v>
      </c>
    </row>
    <row r="2398" spans="1:16" x14ac:dyDescent="0.35">
      <c r="A2398" s="3" t="s">
        <v>35</v>
      </c>
      <c r="B2398" s="3" t="str">
        <f>INDEX(State_Region!$B$2:$B$26,MATCH(TRIM(A2398),State_Region!$A$2:$A$26,0))</f>
        <v>North</v>
      </c>
      <c r="C2398" s="3" t="s">
        <v>37</v>
      </c>
      <c r="D2398" s="3" t="str">
        <f>INDEX(Port_Type!$B$2:$B$227,MATCH(TRIM(C2398),Port_Type!$A$2:$A$227,0))</f>
        <v>Inland ICD / CFS</v>
      </c>
      <c r="E2398" s="3" t="s">
        <v>114</v>
      </c>
      <c r="F2398" s="3" t="str">
        <f>INDEX(Product_Category!$B$2:$B$45,MATCH(TRIM(E2398),Product_Category!$A$2:$A$45,0))</f>
        <v>Dairy, Poultry &amp; Honey</v>
      </c>
      <c r="G2398" s="4">
        <v>1.38</v>
      </c>
      <c r="H2398" s="4">
        <v>0</v>
      </c>
      <c r="I2398" s="4">
        <v>0</v>
      </c>
      <c r="J2398" s="4">
        <v>161</v>
      </c>
      <c r="K2398" s="4">
        <v>0</v>
      </c>
      <c r="L2398" s="4">
        <v>0</v>
      </c>
      <c r="M2398" s="4">
        <f t="shared" si="111"/>
        <v>-1.38</v>
      </c>
      <c r="N2398" s="4">
        <f t="shared" si="112"/>
        <v>-161</v>
      </c>
      <c r="O2398" s="4">
        <f t="shared" si="113"/>
        <v>0</v>
      </c>
      <c r="P2398" s="3" t="s">
        <v>19</v>
      </c>
    </row>
    <row r="2399" spans="1:16" x14ac:dyDescent="0.35">
      <c r="A2399" s="3" t="s">
        <v>35</v>
      </c>
      <c r="B2399" s="3" t="str">
        <f>INDEX(State_Region!$B$2:$B$26,MATCH(TRIM(A2399),State_Region!$A$2:$A$26,0))</f>
        <v>North</v>
      </c>
      <c r="C2399" s="3" t="s">
        <v>37</v>
      </c>
      <c r="D2399" s="3" t="str">
        <f>INDEX(Port_Type!$B$2:$B$227,MATCH(TRIM(C2399),Port_Type!$A$2:$A$227,0))</f>
        <v>Inland ICD / CFS</v>
      </c>
      <c r="E2399" s="3" t="s">
        <v>18</v>
      </c>
      <c r="F2399" s="3" t="str">
        <f>INDEX(Product_Category!$B$2:$B$45,MATCH(TRIM(E2399),Product_Category!$A$2:$A$45,0))</f>
        <v>Cereals &amp; Grains</v>
      </c>
      <c r="G2399" s="4">
        <v>7.69</v>
      </c>
      <c r="H2399" s="4">
        <v>0</v>
      </c>
      <c r="I2399" s="4">
        <v>0</v>
      </c>
      <c r="J2399" s="4">
        <v>6397.56</v>
      </c>
      <c r="K2399" s="4">
        <v>1.95</v>
      </c>
      <c r="L2399" s="4">
        <v>0</v>
      </c>
      <c r="M2399" s="4">
        <f t="shared" si="111"/>
        <v>-7.69</v>
      </c>
      <c r="N2399" s="4">
        <f t="shared" si="112"/>
        <v>-6395.6100000000006</v>
      </c>
      <c r="O2399" s="4">
        <f t="shared" si="113"/>
        <v>0</v>
      </c>
      <c r="P2399" s="3" t="s">
        <v>19</v>
      </c>
    </row>
    <row r="2400" spans="1:16" x14ac:dyDescent="0.35">
      <c r="A2400" s="3" t="s">
        <v>23</v>
      </c>
      <c r="B2400" s="3" t="str">
        <f>INDEX(State_Region!$B$2:$B$26,MATCH(TRIM(A2400),State_Region!$A$2:$A$26,0))</f>
        <v>North</v>
      </c>
      <c r="C2400" s="3" t="s">
        <v>24</v>
      </c>
      <c r="D2400" s="3" t="str">
        <f>INDEX(Port_Type!$B$2:$B$227,MATCH(TRIM(C2400),Port_Type!$A$2:$A$227,0))</f>
        <v>Inland ICD / CFS</v>
      </c>
      <c r="E2400" s="3" t="s">
        <v>126</v>
      </c>
      <c r="F2400" s="3" t="str">
        <f>INDEX(Product_Category!$B$2:$B$45,MATCH(TRIM(E2400),Product_Category!$A$2:$A$45,0))</f>
        <v>Cereals &amp; Grains</v>
      </c>
      <c r="G2400" s="4">
        <v>0</v>
      </c>
      <c r="H2400" s="4">
        <v>0</v>
      </c>
      <c r="I2400" s="4">
        <v>0</v>
      </c>
      <c r="J2400" s="4">
        <v>0.01</v>
      </c>
      <c r="K2400" s="4">
        <v>0.01</v>
      </c>
      <c r="L2400" s="4">
        <v>0</v>
      </c>
      <c r="M2400" s="4">
        <f t="shared" si="111"/>
        <v>0</v>
      </c>
      <c r="N2400" s="4">
        <f t="shared" si="112"/>
        <v>0</v>
      </c>
      <c r="O2400" s="4">
        <f t="shared" si="113"/>
        <v>0</v>
      </c>
      <c r="P2400" s="3" t="s">
        <v>19</v>
      </c>
    </row>
    <row r="2401" spans="1:16" x14ac:dyDescent="0.35">
      <c r="A2401" s="3" t="s">
        <v>23</v>
      </c>
      <c r="B2401" s="3" t="str">
        <f>INDEX(State_Region!$B$2:$B$26,MATCH(TRIM(A2401),State_Region!$A$2:$A$26,0))</f>
        <v>North</v>
      </c>
      <c r="C2401" s="3" t="s">
        <v>24</v>
      </c>
      <c r="D2401" s="3" t="str">
        <f>INDEX(Port_Type!$B$2:$B$227,MATCH(TRIM(C2401),Port_Type!$A$2:$A$227,0))</f>
        <v>Inland ICD / CFS</v>
      </c>
      <c r="E2401" s="3" t="s">
        <v>45</v>
      </c>
      <c r="F2401" s="3" t="str">
        <f>INDEX(Product_Category!$B$2:$B$45,MATCH(TRIM(E2401),Product_Category!$A$2:$A$45,0))</f>
        <v>Fresh Fruits &amp; Vegetables</v>
      </c>
      <c r="G2401" s="4">
        <v>0.05</v>
      </c>
      <c r="H2401" s="4">
        <v>0.06</v>
      </c>
      <c r="I2401" s="4">
        <v>0</v>
      </c>
      <c r="J2401" s="4">
        <v>2.5099999999999998</v>
      </c>
      <c r="K2401" s="4">
        <v>3.35</v>
      </c>
      <c r="L2401" s="4">
        <v>0</v>
      </c>
      <c r="M2401" s="4">
        <f t="shared" si="111"/>
        <v>9.999999999999995E-3</v>
      </c>
      <c r="N2401" s="4">
        <f t="shared" si="112"/>
        <v>0.8400000000000003</v>
      </c>
      <c r="O2401" s="4">
        <f t="shared" si="113"/>
        <v>-0.06</v>
      </c>
      <c r="P2401" s="3" t="s">
        <v>19</v>
      </c>
    </row>
    <row r="2402" spans="1:16" x14ac:dyDescent="0.35">
      <c r="A2402" s="3" t="s">
        <v>23</v>
      </c>
      <c r="B2402" s="3" t="str">
        <f>INDEX(State_Region!$B$2:$B$26,MATCH(TRIM(A2402),State_Region!$A$2:$A$26,0))</f>
        <v>North</v>
      </c>
      <c r="C2402" s="3" t="s">
        <v>24</v>
      </c>
      <c r="D2402" s="3" t="str">
        <f>INDEX(Port_Type!$B$2:$B$227,MATCH(TRIM(C2402),Port_Type!$A$2:$A$227,0))</f>
        <v>Inland ICD / CFS</v>
      </c>
      <c r="E2402" s="3" t="s">
        <v>170</v>
      </c>
      <c r="F2402" s="3" t="str">
        <f>INDEX(Product_Category!$B$2:$B$45,MATCH(TRIM(E2402),Product_Category!$A$2:$A$45,0))</f>
        <v>Others</v>
      </c>
      <c r="G2402" s="4">
        <v>2.11</v>
      </c>
      <c r="H2402" s="4">
        <v>0</v>
      </c>
      <c r="I2402" s="4">
        <v>0</v>
      </c>
      <c r="J2402" s="4">
        <v>459.12</v>
      </c>
      <c r="K2402" s="4">
        <v>0</v>
      </c>
      <c r="L2402" s="4">
        <v>0</v>
      </c>
      <c r="M2402" s="4">
        <f t="shared" si="111"/>
        <v>-2.11</v>
      </c>
      <c r="N2402" s="4">
        <f t="shared" si="112"/>
        <v>-459.12</v>
      </c>
      <c r="O2402" s="4">
        <f t="shared" si="113"/>
        <v>0</v>
      </c>
      <c r="P2402" s="3" t="s">
        <v>19</v>
      </c>
    </row>
    <row r="2403" spans="1:16" x14ac:dyDescent="0.35">
      <c r="A2403" s="3" t="s">
        <v>35</v>
      </c>
      <c r="B2403" s="3" t="str">
        <f>INDEX(State_Region!$B$2:$B$26,MATCH(TRIM(A2403),State_Region!$A$2:$A$26,0))</f>
        <v>North</v>
      </c>
      <c r="C2403" s="3" t="s">
        <v>47</v>
      </c>
      <c r="D2403" s="3" t="str">
        <f>INDEX(Port_Type!$B$2:$B$227,MATCH(TRIM(C2403),Port_Type!$A$2:$A$227,0))</f>
        <v>Inland ICD / CFS</v>
      </c>
      <c r="E2403" s="3" t="s">
        <v>93</v>
      </c>
      <c r="F2403" s="3" t="str">
        <f>INDEX(Product_Category!$B$2:$B$45,MATCH(TRIM(E2403),Product_Category!$A$2:$A$45,0))</f>
        <v>Meat &amp; Animal Products</v>
      </c>
      <c r="G2403" s="4">
        <v>0</v>
      </c>
      <c r="H2403" s="4">
        <v>0.03</v>
      </c>
      <c r="I2403" s="4">
        <v>0</v>
      </c>
      <c r="J2403" s="4">
        <v>0</v>
      </c>
      <c r="K2403" s="4">
        <v>5</v>
      </c>
      <c r="L2403" s="4">
        <v>0</v>
      </c>
      <c r="M2403" s="4">
        <f t="shared" si="111"/>
        <v>0.03</v>
      </c>
      <c r="N2403" s="4">
        <f t="shared" si="112"/>
        <v>5</v>
      </c>
      <c r="O2403" s="4">
        <f t="shared" si="113"/>
        <v>-0.03</v>
      </c>
      <c r="P2403" s="3" t="s">
        <v>19</v>
      </c>
    </row>
    <row r="2404" spans="1:16" x14ac:dyDescent="0.35">
      <c r="A2404" s="3" t="s">
        <v>35</v>
      </c>
      <c r="B2404" s="3" t="str">
        <f>INDEX(State_Region!$B$2:$B$26,MATCH(TRIM(A2404),State_Region!$A$2:$A$26,0))</f>
        <v>North</v>
      </c>
      <c r="C2404" s="3" t="s">
        <v>47</v>
      </c>
      <c r="D2404" s="3" t="str">
        <f>INDEX(Port_Type!$B$2:$B$227,MATCH(TRIM(C2404),Port_Type!$A$2:$A$227,0))</f>
        <v>Inland ICD / CFS</v>
      </c>
      <c r="E2404" s="3" t="s">
        <v>221</v>
      </c>
      <c r="F2404" s="3" t="str">
        <f>INDEX(Product_Category!$B$2:$B$45,MATCH(TRIM(E2404),Product_Category!$A$2:$A$45,0))</f>
        <v>Meat &amp; Animal Products</v>
      </c>
      <c r="G2404" s="4">
        <v>0.57999999999999996</v>
      </c>
      <c r="H2404" s="4">
        <v>0</v>
      </c>
      <c r="I2404" s="4">
        <v>0</v>
      </c>
      <c r="J2404" s="4">
        <v>256.5</v>
      </c>
      <c r="K2404" s="4">
        <v>0</v>
      </c>
      <c r="L2404" s="4">
        <v>0</v>
      </c>
      <c r="M2404" s="4">
        <f t="shared" si="111"/>
        <v>-0.57999999999999996</v>
      </c>
      <c r="N2404" s="4">
        <f t="shared" si="112"/>
        <v>-256.5</v>
      </c>
      <c r="O2404" s="4">
        <f t="shared" si="113"/>
        <v>0</v>
      </c>
      <c r="P2404" s="3" t="s">
        <v>19</v>
      </c>
    </row>
    <row r="2405" spans="1:16" x14ac:dyDescent="0.35">
      <c r="A2405" s="3" t="s">
        <v>23</v>
      </c>
      <c r="B2405" s="3" t="str">
        <f>INDEX(State_Region!$B$2:$B$26,MATCH(TRIM(A2405),State_Region!$A$2:$A$26,0))</f>
        <v>North</v>
      </c>
      <c r="C2405" s="3" t="s">
        <v>277</v>
      </c>
      <c r="D2405" s="3" t="str">
        <f>INDEX(Port_Type!$B$2:$B$227,MATCH(TRIM(C2405),Port_Type!$A$2:$A$227,0))</f>
        <v>Land Border / Rail</v>
      </c>
      <c r="E2405" s="3" t="s">
        <v>83</v>
      </c>
      <c r="F2405" s="3" t="str">
        <f>INDEX(Product_Category!$B$2:$B$45,MATCH(TRIM(E2405),Product_Category!$A$2:$A$45,0))</f>
        <v>Fresh Fruits &amp; Vegetables</v>
      </c>
      <c r="G2405" s="4">
        <v>0</v>
      </c>
      <c r="H2405" s="4">
        <v>0</v>
      </c>
      <c r="I2405" s="4">
        <v>0</v>
      </c>
      <c r="J2405" s="4">
        <v>1.1599999999999999</v>
      </c>
      <c r="K2405" s="4">
        <v>0</v>
      </c>
      <c r="L2405" s="4">
        <v>0</v>
      </c>
      <c r="M2405" s="4">
        <f t="shared" si="111"/>
        <v>0</v>
      </c>
      <c r="N2405" s="4">
        <f t="shared" si="112"/>
        <v>-1.1599999999999999</v>
      </c>
      <c r="O2405" s="4">
        <f t="shared" si="113"/>
        <v>0</v>
      </c>
      <c r="P2405" s="3" t="s">
        <v>19</v>
      </c>
    </row>
    <row r="2406" spans="1:16" x14ac:dyDescent="0.35">
      <c r="A2406" s="3" t="s">
        <v>23</v>
      </c>
      <c r="B2406" s="3" t="str">
        <f>INDEX(State_Region!$B$2:$B$26,MATCH(TRIM(A2406),State_Region!$A$2:$A$26,0))</f>
        <v>North</v>
      </c>
      <c r="C2406" s="3" t="s">
        <v>277</v>
      </c>
      <c r="D2406" s="3" t="str">
        <f>INDEX(Port_Type!$B$2:$B$227,MATCH(TRIM(C2406),Port_Type!$A$2:$A$227,0))</f>
        <v>Land Border / Rail</v>
      </c>
      <c r="E2406" s="3" t="s">
        <v>76</v>
      </c>
      <c r="F2406" s="3" t="str">
        <f>INDEX(Product_Category!$B$2:$B$45,MATCH(TRIM(E2406),Product_Category!$A$2:$A$45,0))</f>
        <v>Fresh Fruits &amp; Vegetables</v>
      </c>
      <c r="G2406" s="4">
        <v>0</v>
      </c>
      <c r="H2406" s="4">
        <v>0</v>
      </c>
      <c r="I2406" s="4">
        <v>0</v>
      </c>
      <c r="J2406" s="4">
        <v>7.01</v>
      </c>
      <c r="K2406" s="4">
        <v>0</v>
      </c>
      <c r="L2406" s="4">
        <v>0</v>
      </c>
      <c r="M2406" s="4">
        <f t="shared" si="111"/>
        <v>0</v>
      </c>
      <c r="N2406" s="4">
        <f t="shared" si="112"/>
        <v>-7.01</v>
      </c>
      <c r="O2406" s="4">
        <f t="shared" si="113"/>
        <v>0</v>
      </c>
      <c r="P2406" s="3" t="s">
        <v>19</v>
      </c>
    </row>
    <row r="2407" spans="1:16" x14ac:dyDescent="0.35">
      <c r="A2407" s="3" t="s">
        <v>23</v>
      </c>
      <c r="B2407" s="3" t="str">
        <f>INDEX(State_Region!$B$2:$B$26,MATCH(TRIM(A2407),State_Region!$A$2:$A$26,0))</f>
        <v>North</v>
      </c>
      <c r="C2407" s="3" t="s">
        <v>277</v>
      </c>
      <c r="D2407" s="3" t="str">
        <f>INDEX(Port_Type!$B$2:$B$227,MATCH(TRIM(C2407),Port_Type!$A$2:$A$227,0))</f>
        <v>Land Border / Rail</v>
      </c>
      <c r="E2407" s="3" t="s">
        <v>45</v>
      </c>
      <c r="F2407" s="3" t="str">
        <f>INDEX(Product_Category!$B$2:$B$45,MATCH(TRIM(E2407),Product_Category!$A$2:$A$45,0))</f>
        <v>Fresh Fruits &amp; Vegetables</v>
      </c>
      <c r="G2407" s="4">
        <v>0</v>
      </c>
      <c r="H2407" s="4">
        <v>0</v>
      </c>
      <c r="I2407" s="4">
        <v>0</v>
      </c>
      <c r="J2407" s="4">
        <v>13.57</v>
      </c>
      <c r="K2407" s="4">
        <v>0</v>
      </c>
      <c r="L2407" s="4">
        <v>0</v>
      </c>
      <c r="M2407" s="4">
        <f t="shared" si="111"/>
        <v>0</v>
      </c>
      <c r="N2407" s="4">
        <f t="shared" si="112"/>
        <v>-13.57</v>
      </c>
      <c r="O2407" s="4">
        <f t="shared" si="113"/>
        <v>0</v>
      </c>
      <c r="P2407" s="3" t="s">
        <v>19</v>
      </c>
    </row>
    <row r="2408" spans="1:16" x14ac:dyDescent="0.35">
      <c r="A2408" s="3" t="s">
        <v>23</v>
      </c>
      <c r="B2408" s="3" t="str">
        <f>INDEX(State_Region!$B$2:$B$26,MATCH(TRIM(A2408),State_Region!$A$2:$A$26,0))</f>
        <v>North</v>
      </c>
      <c r="C2408" s="3" t="s">
        <v>277</v>
      </c>
      <c r="D2408" s="3" t="str">
        <f>INDEX(Port_Type!$B$2:$B$227,MATCH(TRIM(C2408),Port_Type!$A$2:$A$227,0))</f>
        <v>Land Border / Rail</v>
      </c>
      <c r="E2408" s="3" t="s">
        <v>102</v>
      </c>
      <c r="F2408" s="3" t="str">
        <f>INDEX(Product_Category!$B$2:$B$45,MATCH(TRIM(E2408),Product_Category!$A$2:$A$45,0))</f>
        <v>Fresh Fruits &amp; Vegetables</v>
      </c>
      <c r="G2408" s="4">
        <v>0</v>
      </c>
      <c r="H2408" s="4">
        <v>0</v>
      </c>
      <c r="I2408" s="4">
        <v>0</v>
      </c>
      <c r="J2408" s="4">
        <v>27.62</v>
      </c>
      <c r="K2408" s="4">
        <v>0</v>
      </c>
      <c r="L2408" s="4">
        <v>0</v>
      </c>
      <c r="M2408" s="4">
        <f t="shared" si="111"/>
        <v>0</v>
      </c>
      <c r="N2408" s="4">
        <f t="shared" si="112"/>
        <v>-27.62</v>
      </c>
      <c r="O2408" s="4">
        <f t="shared" si="113"/>
        <v>0</v>
      </c>
      <c r="P2408" s="3" t="s">
        <v>19</v>
      </c>
    </row>
    <row r="2409" spans="1:16" x14ac:dyDescent="0.35">
      <c r="A2409" s="3" t="s">
        <v>23</v>
      </c>
      <c r="B2409" s="3" t="str">
        <f>INDEX(State_Region!$B$2:$B$26,MATCH(TRIM(A2409),State_Region!$A$2:$A$26,0))</f>
        <v>North</v>
      </c>
      <c r="C2409" s="3" t="s">
        <v>277</v>
      </c>
      <c r="D2409" s="3" t="str">
        <f>INDEX(Port_Type!$B$2:$B$227,MATCH(TRIM(C2409),Port_Type!$A$2:$A$227,0))</f>
        <v>Land Border / Rail</v>
      </c>
      <c r="E2409" s="3" t="s">
        <v>54</v>
      </c>
      <c r="F2409" s="3" t="str">
        <f>INDEX(Product_Category!$B$2:$B$45,MATCH(TRIM(E2409),Product_Category!$A$2:$A$45,0))</f>
        <v>Processed Foods</v>
      </c>
      <c r="G2409" s="4">
        <v>0</v>
      </c>
      <c r="H2409" s="4">
        <v>0</v>
      </c>
      <c r="I2409" s="4">
        <v>0</v>
      </c>
      <c r="J2409" s="4">
        <v>0.6</v>
      </c>
      <c r="K2409" s="4">
        <v>0</v>
      </c>
      <c r="L2409" s="4">
        <v>0</v>
      </c>
      <c r="M2409" s="4">
        <f t="shared" si="111"/>
        <v>0</v>
      </c>
      <c r="N2409" s="4">
        <f t="shared" si="112"/>
        <v>-0.6</v>
      </c>
      <c r="O2409" s="4">
        <f t="shared" si="113"/>
        <v>0</v>
      </c>
      <c r="P2409" s="3" t="s">
        <v>19</v>
      </c>
    </row>
    <row r="2410" spans="1:16" x14ac:dyDescent="0.35">
      <c r="A2410" s="3" t="s">
        <v>23</v>
      </c>
      <c r="B2410" s="3" t="str">
        <f>INDEX(State_Region!$B$2:$B$26,MATCH(TRIM(A2410),State_Region!$A$2:$A$26,0))</f>
        <v>North</v>
      </c>
      <c r="C2410" s="3" t="s">
        <v>277</v>
      </c>
      <c r="D2410" s="3" t="str">
        <f>INDEX(Port_Type!$B$2:$B$227,MATCH(TRIM(C2410),Port_Type!$A$2:$A$227,0))</f>
        <v>Land Border / Rail</v>
      </c>
      <c r="E2410" s="3" t="s">
        <v>42</v>
      </c>
      <c r="F2410" s="3" t="str">
        <f>INDEX(Product_Category!$B$2:$B$45,MATCH(TRIM(E2410),Product_Category!$A$2:$A$45,0))</f>
        <v>Processed Foods</v>
      </c>
      <c r="G2410" s="4">
        <v>0</v>
      </c>
      <c r="H2410" s="4">
        <v>0</v>
      </c>
      <c r="I2410" s="4">
        <v>0</v>
      </c>
      <c r="J2410" s="4">
        <v>5.84</v>
      </c>
      <c r="K2410" s="4">
        <v>0</v>
      </c>
      <c r="L2410" s="4">
        <v>0</v>
      </c>
      <c r="M2410" s="4">
        <f t="shared" si="111"/>
        <v>0</v>
      </c>
      <c r="N2410" s="4">
        <f t="shared" si="112"/>
        <v>-5.84</v>
      </c>
      <c r="O2410" s="4">
        <f t="shared" si="113"/>
        <v>0</v>
      </c>
      <c r="P2410" s="3" t="s">
        <v>19</v>
      </c>
    </row>
    <row r="2411" spans="1:16" x14ac:dyDescent="0.35">
      <c r="A2411" s="3" t="s">
        <v>23</v>
      </c>
      <c r="B2411" s="3" t="str">
        <f>INDEX(State_Region!$B$2:$B$26,MATCH(TRIM(A2411),State_Region!$A$2:$A$26,0))</f>
        <v>North</v>
      </c>
      <c r="C2411" s="3" t="s">
        <v>277</v>
      </c>
      <c r="D2411" s="3" t="str">
        <f>INDEX(Port_Type!$B$2:$B$227,MATCH(TRIM(C2411),Port_Type!$A$2:$A$227,0))</f>
        <v>Land Border / Rail</v>
      </c>
      <c r="E2411" s="3" t="s">
        <v>33</v>
      </c>
      <c r="F2411" s="3" t="str">
        <f>INDEX(Product_Category!$B$2:$B$45,MATCH(TRIM(E2411),Product_Category!$A$2:$A$45,0))</f>
        <v>Pulses</v>
      </c>
      <c r="G2411" s="4">
        <v>0</v>
      </c>
      <c r="H2411" s="4">
        <v>0</v>
      </c>
      <c r="I2411" s="4">
        <v>0</v>
      </c>
      <c r="J2411" s="4">
        <v>0.1</v>
      </c>
      <c r="K2411" s="4">
        <v>0</v>
      </c>
      <c r="L2411" s="4">
        <v>0</v>
      </c>
      <c r="M2411" s="4">
        <f t="shared" si="111"/>
        <v>0</v>
      </c>
      <c r="N2411" s="4">
        <f t="shared" si="112"/>
        <v>-0.1</v>
      </c>
      <c r="O2411" s="4">
        <f t="shared" si="113"/>
        <v>0</v>
      </c>
      <c r="P2411" s="3" t="s">
        <v>19</v>
      </c>
    </row>
    <row r="2412" spans="1:16" x14ac:dyDescent="0.35">
      <c r="A2412" s="3" t="s">
        <v>23</v>
      </c>
      <c r="B2412" s="3" t="str">
        <f>INDEX(State_Region!$B$2:$B$26,MATCH(TRIM(A2412),State_Region!$A$2:$A$26,0))</f>
        <v>North</v>
      </c>
      <c r="C2412" s="3" t="s">
        <v>191</v>
      </c>
      <c r="D2412" s="3" t="str">
        <f>INDEX(Port_Type!$B$2:$B$227,MATCH(TRIM(C2412),Port_Type!$A$2:$A$227,0))</f>
        <v>Land Border / Rail</v>
      </c>
      <c r="E2412" s="3" t="s">
        <v>60</v>
      </c>
      <c r="F2412" s="3" t="str">
        <f>INDEX(Product_Category!$B$2:$B$45,MATCH(TRIM(E2412),Product_Category!$A$2:$A$45,0))</f>
        <v>Processed Foods</v>
      </c>
      <c r="G2412" s="4">
        <v>0</v>
      </c>
      <c r="H2412" s="4">
        <v>7.0000000000000007E-2</v>
      </c>
      <c r="I2412" s="4">
        <v>0</v>
      </c>
      <c r="J2412" s="4">
        <v>0</v>
      </c>
      <c r="K2412" s="4">
        <v>3.4</v>
      </c>
      <c r="L2412" s="4">
        <v>0</v>
      </c>
      <c r="M2412" s="4">
        <f t="shared" si="111"/>
        <v>7.0000000000000007E-2</v>
      </c>
      <c r="N2412" s="4">
        <f t="shared" si="112"/>
        <v>3.4</v>
      </c>
      <c r="O2412" s="4">
        <f t="shared" si="113"/>
        <v>-7.0000000000000007E-2</v>
      </c>
      <c r="P2412" s="3" t="s">
        <v>19</v>
      </c>
    </row>
    <row r="2413" spans="1:16" x14ac:dyDescent="0.35">
      <c r="A2413" s="3" t="s">
        <v>35</v>
      </c>
      <c r="B2413" s="3" t="str">
        <f>INDEX(State_Region!$B$2:$B$26,MATCH(TRIM(A2413),State_Region!$A$2:$A$26,0))</f>
        <v>North</v>
      </c>
      <c r="C2413" s="3" t="s">
        <v>47</v>
      </c>
      <c r="D2413" s="3" t="str">
        <f>INDEX(Port_Type!$B$2:$B$227,MATCH(TRIM(C2413),Port_Type!$A$2:$A$227,0))</f>
        <v>Inland ICD / CFS</v>
      </c>
      <c r="E2413" s="3" t="s">
        <v>170</v>
      </c>
      <c r="F2413" s="3" t="str">
        <f>INDEX(Product_Category!$B$2:$B$45,MATCH(TRIM(E2413),Product_Category!$A$2:$A$45,0))</f>
        <v>Others</v>
      </c>
      <c r="G2413" s="4">
        <v>7.0000000000000007E-2</v>
      </c>
      <c r="H2413" s="4">
        <v>0</v>
      </c>
      <c r="I2413" s="4">
        <v>0</v>
      </c>
      <c r="J2413" s="4">
        <v>18.64</v>
      </c>
      <c r="K2413" s="4">
        <v>0</v>
      </c>
      <c r="L2413" s="4">
        <v>0</v>
      </c>
      <c r="M2413" s="4">
        <f t="shared" si="111"/>
        <v>-7.0000000000000007E-2</v>
      </c>
      <c r="N2413" s="4">
        <f t="shared" si="112"/>
        <v>-18.64</v>
      </c>
      <c r="O2413" s="4">
        <f t="shared" si="113"/>
        <v>0</v>
      </c>
      <c r="P2413" s="3" t="s">
        <v>19</v>
      </c>
    </row>
    <row r="2414" spans="1:16" x14ac:dyDescent="0.35">
      <c r="A2414" s="3" t="s">
        <v>23</v>
      </c>
      <c r="B2414" s="3" t="str">
        <f>INDEX(State_Region!$B$2:$B$26,MATCH(TRIM(A2414),State_Region!$A$2:$A$26,0))</f>
        <v>North</v>
      </c>
      <c r="C2414" s="3" t="s">
        <v>191</v>
      </c>
      <c r="D2414" s="3" t="str">
        <f>INDEX(Port_Type!$B$2:$B$227,MATCH(TRIM(C2414),Port_Type!$A$2:$A$227,0))</f>
        <v>Land Border / Rail</v>
      </c>
      <c r="E2414" s="3" t="s">
        <v>142</v>
      </c>
      <c r="F2414" s="3" t="str">
        <f>INDEX(Product_Category!$B$2:$B$45,MATCH(TRIM(E2414),Product_Category!$A$2:$A$45,0))</f>
        <v>Nuts &amp; Oilseeds</v>
      </c>
      <c r="G2414" s="4">
        <v>0.02</v>
      </c>
      <c r="H2414" s="4">
        <v>0</v>
      </c>
      <c r="I2414" s="4">
        <v>0</v>
      </c>
      <c r="J2414" s="4">
        <v>0.97</v>
      </c>
      <c r="K2414" s="4">
        <v>0</v>
      </c>
      <c r="L2414" s="4">
        <v>0</v>
      </c>
      <c r="M2414" s="4">
        <f t="shared" si="111"/>
        <v>-0.02</v>
      </c>
      <c r="N2414" s="4">
        <f t="shared" si="112"/>
        <v>-0.97</v>
      </c>
      <c r="O2414" s="4">
        <f t="shared" si="113"/>
        <v>0</v>
      </c>
      <c r="P2414" s="3" t="s">
        <v>19</v>
      </c>
    </row>
    <row r="2415" spans="1:16" x14ac:dyDescent="0.35">
      <c r="A2415" s="3" t="s">
        <v>35</v>
      </c>
      <c r="B2415" s="3" t="str">
        <f>INDEX(State_Region!$B$2:$B$26,MATCH(TRIM(A2415),State_Region!$A$2:$A$26,0))</f>
        <v>North</v>
      </c>
      <c r="C2415" s="3" t="s">
        <v>47</v>
      </c>
      <c r="D2415" s="3" t="str">
        <f>INDEX(Port_Type!$B$2:$B$227,MATCH(TRIM(C2415),Port_Type!$A$2:$A$227,0))</f>
        <v>Inland ICD / CFS</v>
      </c>
      <c r="E2415" s="3" t="s">
        <v>45</v>
      </c>
      <c r="F2415" s="3" t="str">
        <f>INDEX(Product_Category!$B$2:$B$45,MATCH(TRIM(E2415),Product_Category!$A$2:$A$45,0))</f>
        <v>Fresh Fruits &amp; Vegetables</v>
      </c>
      <c r="G2415" s="4">
        <v>0.01</v>
      </c>
      <c r="H2415" s="4">
        <v>0.02</v>
      </c>
      <c r="I2415" s="4">
        <v>0</v>
      </c>
      <c r="J2415" s="4">
        <v>0.85</v>
      </c>
      <c r="K2415" s="4">
        <v>1.1100000000000001</v>
      </c>
      <c r="L2415" s="4">
        <v>0</v>
      </c>
      <c r="M2415" s="4">
        <f t="shared" si="111"/>
        <v>0.01</v>
      </c>
      <c r="N2415" s="4">
        <f t="shared" si="112"/>
        <v>0.26000000000000012</v>
      </c>
      <c r="O2415" s="4">
        <f t="shared" si="113"/>
        <v>-0.02</v>
      </c>
      <c r="P2415" s="3" t="s">
        <v>19</v>
      </c>
    </row>
    <row r="2416" spans="1:16" x14ac:dyDescent="0.35">
      <c r="A2416" s="3" t="s">
        <v>23</v>
      </c>
      <c r="B2416" s="3" t="str">
        <f>INDEX(State_Region!$B$2:$B$26,MATCH(TRIM(A2416),State_Region!$A$2:$A$26,0))</f>
        <v>North</v>
      </c>
      <c r="C2416" s="3" t="s">
        <v>191</v>
      </c>
      <c r="D2416" s="3" t="str">
        <f>INDEX(Port_Type!$B$2:$B$227,MATCH(TRIM(C2416),Port_Type!$A$2:$A$227,0))</f>
        <v>Land Border / Rail</v>
      </c>
      <c r="E2416" s="3" t="s">
        <v>59</v>
      </c>
      <c r="F2416" s="3" t="str">
        <f>INDEX(Product_Category!$B$2:$B$45,MATCH(TRIM(E2416),Product_Category!$A$2:$A$45,0))</f>
        <v>Processed Foods</v>
      </c>
      <c r="G2416" s="4">
        <v>0</v>
      </c>
      <c r="H2416" s="4">
        <v>0.02</v>
      </c>
      <c r="I2416" s="4">
        <v>0</v>
      </c>
      <c r="J2416" s="4">
        <v>0</v>
      </c>
      <c r="K2416" s="4">
        <v>9.4700000000000006</v>
      </c>
      <c r="L2416" s="4">
        <v>0</v>
      </c>
      <c r="M2416" s="4">
        <f t="shared" si="111"/>
        <v>0.02</v>
      </c>
      <c r="N2416" s="4">
        <f t="shared" si="112"/>
        <v>9.4700000000000006</v>
      </c>
      <c r="O2416" s="4">
        <f t="shared" si="113"/>
        <v>-0.02</v>
      </c>
      <c r="P2416" s="3" t="s">
        <v>19</v>
      </c>
    </row>
    <row r="2417" spans="1:16" x14ac:dyDescent="0.35">
      <c r="A2417" s="3" t="s">
        <v>23</v>
      </c>
      <c r="B2417" s="3" t="str">
        <f>INDEX(State_Region!$B$2:$B$26,MATCH(TRIM(A2417),State_Region!$A$2:$A$26,0))</f>
        <v>North</v>
      </c>
      <c r="C2417" s="3" t="s">
        <v>191</v>
      </c>
      <c r="D2417" s="3" t="str">
        <f>INDEX(Port_Type!$B$2:$B$227,MATCH(TRIM(C2417),Port_Type!$A$2:$A$227,0))</f>
        <v>Land Border / Rail</v>
      </c>
      <c r="E2417" s="3" t="s">
        <v>72</v>
      </c>
      <c r="F2417" s="3" t="str">
        <f>INDEX(Product_Category!$B$2:$B$45,MATCH(TRIM(E2417),Product_Category!$A$2:$A$45,0))</f>
        <v>Dairy, Poultry &amp; Honey</v>
      </c>
      <c r="G2417" s="4">
        <v>0</v>
      </c>
      <c r="H2417" s="4">
        <v>0</v>
      </c>
      <c r="I2417" s="4">
        <v>0</v>
      </c>
      <c r="J2417" s="4">
        <v>0</v>
      </c>
      <c r="K2417" s="4">
        <v>0.1</v>
      </c>
      <c r="L2417" s="4">
        <v>0</v>
      </c>
      <c r="M2417" s="4">
        <f t="shared" si="111"/>
        <v>0</v>
      </c>
      <c r="N2417" s="4">
        <f t="shared" si="112"/>
        <v>0.1</v>
      </c>
      <c r="O2417" s="4">
        <f t="shared" si="113"/>
        <v>0</v>
      </c>
      <c r="P2417" s="3" t="s">
        <v>19</v>
      </c>
    </row>
    <row r="2418" spans="1:16" x14ac:dyDescent="0.35">
      <c r="A2418" s="3" t="s">
        <v>35</v>
      </c>
      <c r="B2418" s="3" t="str">
        <f>INDEX(State_Region!$B$2:$B$26,MATCH(TRIM(A2418),State_Region!$A$2:$A$26,0))</f>
        <v>North</v>
      </c>
      <c r="C2418" s="3" t="s">
        <v>47</v>
      </c>
      <c r="D2418" s="3" t="str">
        <f>INDEX(Port_Type!$B$2:$B$227,MATCH(TRIM(C2418),Port_Type!$A$2:$A$227,0))</f>
        <v>Inland ICD / CFS</v>
      </c>
      <c r="E2418" s="3" t="s">
        <v>126</v>
      </c>
      <c r="F2418" s="3" t="str">
        <f>INDEX(Product_Category!$B$2:$B$45,MATCH(TRIM(E2418),Product_Category!$A$2:$A$45,0))</f>
        <v>Cereals &amp; Grains</v>
      </c>
      <c r="G2418" s="4">
        <v>0</v>
      </c>
      <c r="H2418" s="4">
        <v>0</v>
      </c>
      <c r="I2418" s="4">
        <v>0</v>
      </c>
      <c r="J2418" s="4">
        <v>0.39</v>
      </c>
      <c r="K2418" s="4">
        <v>0</v>
      </c>
      <c r="L2418" s="4">
        <v>0</v>
      </c>
      <c r="M2418" s="4">
        <f t="shared" si="111"/>
        <v>0</v>
      </c>
      <c r="N2418" s="4">
        <f t="shared" si="112"/>
        <v>-0.39</v>
      </c>
      <c r="O2418" s="4">
        <f t="shared" si="113"/>
        <v>0</v>
      </c>
      <c r="P2418" s="3" t="s">
        <v>19</v>
      </c>
    </row>
    <row r="2419" spans="1:16" x14ac:dyDescent="0.35">
      <c r="A2419" s="3" t="s">
        <v>35</v>
      </c>
      <c r="B2419" s="3" t="str">
        <f>INDEX(State_Region!$B$2:$B$26,MATCH(TRIM(A2419),State_Region!$A$2:$A$26,0))</f>
        <v>North</v>
      </c>
      <c r="C2419" s="3" t="s">
        <v>47</v>
      </c>
      <c r="D2419" s="3" t="str">
        <f>INDEX(Port_Type!$B$2:$B$227,MATCH(TRIM(C2419),Port_Type!$A$2:$A$227,0))</f>
        <v>Inland ICD / CFS</v>
      </c>
      <c r="E2419" s="3" t="s">
        <v>27</v>
      </c>
      <c r="F2419" s="3" t="str">
        <f>INDEX(Product_Category!$B$2:$B$45,MATCH(TRIM(E2419),Product_Category!$A$2:$A$45,0))</f>
        <v>Cereals &amp; Grains</v>
      </c>
      <c r="G2419" s="4">
        <v>0</v>
      </c>
      <c r="H2419" s="4">
        <v>0.01</v>
      </c>
      <c r="I2419" s="4">
        <v>0</v>
      </c>
      <c r="J2419" s="4">
        <v>0</v>
      </c>
      <c r="K2419" s="4">
        <v>7.96</v>
      </c>
      <c r="L2419" s="4">
        <v>0</v>
      </c>
      <c r="M2419" s="4">
        <f t="shared" si="111"/>
        <v>0.01</v>
      </c>
      <c r="N2419" s="4">
        <f t="shared" si="112"/>
        <v>7.96</v>
      </c>
      <c r="O2419" s="4">
        <f t="shared" si="113"/>
        <v>-0.01</v>
      </c>
      <c r="P2419" s="3" t="s">
        <v>19</v>
      </c>
    </row>
    <row r="2420" spans="1:16" x14ac:dyDescent="0.35">
      <c r="A2420" s="3" t="s">
        <v>23</v>
      </c>
      <c r="B2420" s="3" t="str">
        <f>INDEX(State_Region!$B$2:$B$26,MATCH(TRIM(A2420),State_Region!$A$2:$A$26,0))</f>
        <v>North</v>
      </c>
      <c r="C2420" s="3" t="s">
        <v>191</v>
      </c>
      <c r="D2420" s="3" t="str">
        <f>INDEX(Port_Type!$B$2:$B$227,MATCH(TRIM(C2420),Port_Type!$A$2:$A$227,0))</f>
        <v>Land Border / Rail</v>
      </c>
      <c r="E2420" s="3" t="s">
        <v>51</v>
      </c>
      <c r="F2420" s="3" t="str">
        <f>INDEX(Product_Category!$B$2:$B$45,MATCH(TRIM(E2420),Product_Category!$A$2:$A$45,0))</f>
        <v>Nuts &amp; Oilseeds</v>
      </c>
      <c r="G2420" s="4">
        <v>0</v>
      </c>
      <c r="H2420" s="4">
        <v>0.01</v>
      </c>
      <c r="I2420" s="4">
        <v>0</v>
      </c>
      <c r="J2420" s="4">
        <v>0</v>
      </c>
      <c r="K2420" s="4">
        <v>9</v>
      </c>
      <c r="L2420" s="4">
        <v>0</v>
      </c>
      <c r="M2420" s="4">
        <f t="shared" si="111"/>
        <v>0.01</v>
      </c>
      <c r="N2420" s="4">
        <f t="shared" si="112"/>
        <v>9</v>
      </c>
      <c r="O2420" s="4">
        <f t="shared" si="113"/>
        <v>-0.01</v>
      </c>
      <c r="P2420" s="3" t="s">
        <v>19</v>
      </c>
    </row>
    <row r="2421" spans="1:16" x14ac:dyDescent="0.35">
      <c r="A2421" s="3" t="s">
        <v>35</v>
      </c>
      <c r="B2421" s="3" t="str">
        <f>INDEX(State_Region!$B$2:$B$26,MATCH(TRIM(A2421),State_Region!$A$2:$A$26,0))</f>
        <v>North</v>
      </c>
      <c r="C2421" s="3" t="s">
        <v>47</v>
      </c>
      <c r="D2421" s="3" t="str">
        <f>INDEX(Port_Type!$B$2:$B$227,MATCH(TRIM(C2421),Port_Type!$A$2:$A$227,0))</f>
        <v>Inland ICD / CFS</v>
      </c>
      <c r="E2421" s="3" t="s">
        <v>144</v>
      </c>
      <c r="F2421" s="3" t="str">
        <f>INDEX(Product_Category!$B$2:$B$45,MATCH(TRIM(E2421),Product_Category!$A$2:$A$45,0))</f>
        <v>Cereals &amp; Grains</v>
      </c>
      <c r="G2421" s="4">
        <v>0</v>
      </c>
      <c r="H2421" s="4">
        <v>0</v>
      </c>
      <c r="I2421" s="4">
        <v>0</v>
      </c>
      <c r="J2421" s="4">
        <v>3.92</v>
      </c>
      <c r="K2421" s="4">
        <v>0</v>
      </c>
      <c r="L2421" s="4">
        <v>0</v>
      </c>
      <c r="M2421" s="4">
        <f t="shared" si="111"/>
        <v>0</v>
      </c>
      <c r="N2421" s="4">
        <f t="shared" si="112"/>
        <v>-3.92</v>
      </c>
      <c r="O2421" s="4">
        <f t="shared" si="113"/>
        <v>0</v>
      </c>
      <c r="P2421" s="3" t="s">
        <v>19</v>
      </c>
    </row>
    <row r="2422" spans="1:16" x14ac:dyDescent="0.35">
      <c r="A2422" s="3" t="s">
        <v>35</v>
      </c>
      <c r="B2422" s="3" t="str">
        <f>INDEX(State_Region!$B$2:$B$26,MATCH(TRIM(A2422),State_Region!$A$2:$A$26,0))</f>
        <v>North</v>
      </c>
      <c r="C2422" s="3" t="s">
        <v>47</v>
      </c>
      <c r="D2422" s="3" t="str">
        <f>INDEX(Port_Type!$B$2:$B$227,MATCH(TRIM(C2422),Port_Type!$A$2:$A$227,0))</f>
        <v>Inland ICD / CFS</v>
      </c>
      <c r="E2422" s="3" t="s">
        <v>62</v>
      </c>
      <c r="F2422" s="3" t="str">
        <f>INDEX(Product_Category!$B$2:$B$45,MATCH(TRIM(E2422),Product_Category!$A$2:$A$45,0))</f>
        <v>Cereals &amp; Grains</v>
      </c>
      <c r="G2422" s="4">
        <v>0</v>
      </c>
      <c r="H2422" s="4">
        <v>0</v>
      </c>
      <c r="I2422" s="4">
        <v>0</v>
      </c>
      <c r="J2422" s="4">
        <v>1.71</v>
      </c>
      <c r="K2422" s="4">
        <v>0</v>
      </c>
      <c r="L2422" s="4">
        <v>0</v>
      </c>
      <c r="M2422" s="4">
        <f t="shared" si="111"/>
        <v>0</v>
      </c>
      <c r="N2422" s="4">
        <f t="shared" si="112"/>
        <v>-1.71</v>
      </c>
      <c r="O2422" s="4">
        <f t="shared" si="113"/>
        <v>0</v>
      </c>
      <c r="P2422" s="3" t="s">
        <v>19</v>
      </c>
    </row>
    <row r="2423" spans="1:16" x14ac:dyDescent="0.35">
      <c r="A2423" s="3" t="s">
        <v>35</v>
      </c>
      <c r="B2423" s="3" t="str">
        <f>INDEX(State_Region!$B$2:$B$26,MATCH(TRIM(A2423),State_Region!$A$2:$A$26,0))</f>
        <v>North</v>
      </c>
      <c r="C2423" s="3" t="s">
        <v>47</v>
      </c>
      <c r="D2423" s="3" t="str">
        <f>INDEX(Port_Type!$B$2:$B$227,MATCH(TRIM(C2423),Port_Type!$A$2:$A$227,0))</f>
        <v>Inland ICD / CFS</v>
      </c>
      <c r="E2423" s="3" t="s">
        <v>72</v>
      </c>
      <c r="F2423" s="3" t="str">
        <f>INDEX(Product_Category!$B$2:$B$45,MATCH(TRIM(E2423),Product_Category!$A$2:$A$45,0))</f>
        <v>Dairy, Poultry &amp; Honey</v>
      </c>
      <c r="G2423" s="4">
        <v>0.66</v>
      </c>
      <c r="H2423" s="4">
        <v>0</v>
      </c>
      <c r="I2423" s="4">
        <v>0</v>
      </c>
      <c r="J2423" s="4">
        <v>136.47</v>
      </c>
      <c r="K2423" s="4">
        <v>0.45</v>
      </c>
      <c r="L2423" s="4">
        <v>0</v>
      </c>
      <c r="M2423" s="4">
        <f t="shared" si="111"/>
        <v>-0.66</v>
      </c>
      <c r="N2423" s="4">
        <f t="shared" si="112"/>
        <v>-136.02000000000001</v>
      </c>
      <c r="O2423" s="4">
        <f t="shared" si="113"/>
        <v>0</v>
      </c>
      <c r="P2423" s="3" t="s">
        <v>19</v>
      </c>
    </row>
    <row r="2424" spans="1:16" x14ac:dyDescent="0.35">
      <c r="A2424" s="3" t="s">
        <v>35</v>
      </c>
      <c r="B2424" s="3" t="str">
        <f>INDEX(State_Region!$B$2:$B$26,MATCH(TRIM(A2424),State_Region!$A$2:$A$26,0))</f>
        <v>North</v>
      </c>
      <c r="C2424" s="3" t="s">
        <v>47</v>
      </c>
      <c r="D2424" s="3" t="str">
        <f>INDEX(Port_Type!$B$2:$B$227,MATCH(TRIM(C2424),Port_Type!$A$2:$A$227,0))</f>
        <v>Inland ICD / CFS</v>
      </c>
      <c r="E2424" s="3" t="s">
        <v>150</v>
      </c>
      <c r="F2424" s="3" t="str">
        <f>INDEX(Product_Category!$B$2:$B$45,MATCH(TRIM(E2424),Product_Category!$A$2:$A$45,0))</f>
        <v>Nuts &amp; Oilseeds</v>
      </c>
      <c r="G2424" s="4">
        <v>0</v>
      </c>
      <c r="H2424" s="4">
        <v>0.01</v>
      </c>
      <c r="I2424" s="4">
        <v>0</v>
      </c>
      <c r="J2424" s="4">
        <v>0</v>
      </c>
      <c r="K2424" s="4">
        <v>0.71</v>
      </c>
      <c r="L2424" s="4">
        <v>0</v>
      </c>
      <c r="M2424" s="4">
        <f t="shared" si="111"/>
        <v>0.01</v>
      </c>
      <c r="N2424" s="4">
        <f t="shared" si="112"/>
        <v>0.71</v>
      </c>
      <c r="O2424" s="4">
        <f t="shared" si="113"/>
        <v>-0.01</v>
      </c>
      <c r="P2424" s="3" t="s">
        <v>19</v>
      </c>
    </row>
    <row r="2425" spans="1:16" x14ac:dyDescent="0.35">
      <c r="A2425" s="3" t="s">
        <v>35</v>
      </c>
      <c r="B2425" s="3" t="str">
        <f>INDEX(State_Region!$B$2:$B$26,MATCH(TRIM(A2425),State_Region!$A$2:$A$26,0))</f>
        <v>North</v>
      </c>
      <c r="C2425" s="3" t="s">
        <v>47</v>
      </c>
      <c r="D2425" s="3" t="str">
        <f>INDEX(Port_Type!$B$2:$B$227,MATCH(TRIM(C2425),Port_Type!$A$2:$A$227,0))</f>
        <v>Inland ICD / CFS</v>
      </c>
      <c r="E2425" s="3" t="s">
        <v>179</v>
      </c>
      <c r="F2425" s="3" t="str">
        <f>INDEX(Product_Category!$B$2:$B$45,MATCH(TRIM(E2425),Product_Category!$A$2:$A$45,0))</f>
        <v>Nuts &amp; Oilseeds</v>
      </c>
      <c r="G2425" s="4">
        <v>0</v>
      </c>
      <c r="H2425" s="4">
        <v>0</v>
      </c>
      <c r="I2425" s="4">
        <v>0</v>
      </c>
      <c r="J2425" s="4">
        <v>0.45</v>
      </c>
      <c r="K2425" s="4">
        <v>0</v>
      </c>
      <c r="L2425" s="4">
        <v>0</v>
      </c>
      <c r="M2425" s="4">
        <f t="shared" si="111"/>
        <v>0</v>
      </c>
      <c r="N2425" s="4">
        <f t="shared" si="112"/>
        <v>-0.45</v>
      </c>
      <c r="O2425" s="4">
        <f t="shared" si="113"/>
        <v>0</v>
      </c>
      <c r="P2425" s="3" t="s">
        <v>19</v>
      </c>
    </row>
    <row r="2426" spans="1:16" x14ac:dyDescent="0.35">
      <c r="A2426" s="3" t="s">
        <v>35</v>
      </c>
      <c r="B2426" s="3" t="str">
        <f>INDEX(State_Region!$B$2:$B$26,MATCH(TRIM(A2426),State_Region!$A$2:$A$26,0))</f>
        <v>North</v>
      </c>
      <c r="C2426" s="3" t="s">
        <v>47</v>
      </c>
      <c r="D2426" s="3" t="str">
        <f>INDEX(Port_Type!$B$2:$B$227,MATCH(TRIM(C2426),Port_Type!$A$2:$A$227,0))</f>
        <v>Inland ICD / CFS</v>
      </c>
      <c r="E2426" s="3" t="s">
        <v>84</v>
      </c>
      <c r="F2426" s="3" t="str">
        <f>INDEX(Product_Category!$B$2:$B$45,MATCH(TRIM(E2426),Product_Category!$A$2:$A$45,0))</f>
        <v>Nuts &amp; Oilseeds</v>
      </c>
      <c r="G2426" s="4">
        <v>0</v>
      </c>
      <c r="H2426" s="4">
        <v>0.03</v>
      </c>
      <c r="I2426" s="4">
        <v>0</v>
      </c>
      <c r="J2426" s="4">
        <v>0</v>
      </c>
      <c r="K2426" s="4">
        <v>2.7</v>
      </c>
      <c r="L2426" s="4">
        <v>0</v>
      </c>
      <c r="M2426" s="4">
        <f t="shared" si="111"/>
        <v>0.03</v>
      </c>
      <c r="N2426" s="4">
        <f t="shared" si="112"/>
        <v>2.7</v>
      </c>
      <c r="O2426" s="4">
        <f t="shared" si="113"/>
        <v>-0.03</v>
      </c>
      <c r="P2426" s="3" t="s">
        <v>19</v>
      </c>
    </row>
    <row r="2427" spans="1:16" x14ac:dyDescent="0.35">
      <c r="A2427" s="3" t="s">
        <v>35</v>
      </c>
      <c r="B2427" s="3" t="str">
        <f>INDEX(State_Region!$B$2:$B$26,MATCH(TRIM(A2427),State_Region!$A$2:$A$26,0))</f>
        <v>North</v>
      </c>
      <c r="C2427" s="3" t="s">
        <v>47</v>
      </c>
      <c r="D2427" s="3" t="str">
        <f>INDEX(Port_Type!$B$2:$B$227,MATCH(TRIM(C2427),Port_Type!$A$2:$A$227,0))</f>
        <v>Inland ICD / CFS</v>
      </c>
      <c r="E2427" s="3" t="s">
        <v>114</v>
      </c>
      <c r="F2427" s="3" t="str">
        <f>INDEX(Product_Category!$B$2:$B$45,MATCH(TRIM(E2427),Product_Category!$A$2:$A$45,0))</f>
        <v>Dairy, Poultry &amp; Honey</v>
      </c>
      <c r="G2427" s="4">
        <v>0</v>
      </c>
      <c r="H2427" s="4">
        <v>0</v>
      </c>
      <c r="I2427" s="4">
        <v>0</v>
      </c>
      <c r="J2427" s="4">
        <v>0.1</v>
      </c>
      <c r="K2427" s="4">
        <v>0</v>
      </c>
      <c r="L2427" s="4">
        <v>0</v>
      </c>
      <c r="M2427" s="4">
        <f t="shared" si="111"/>
        <v>0</v>
      </c>
      <c r="N2427" s="4">
        <f t="shared" si="112"/>
        <v>-0.1</v>
      </c>
      <c r="O2427" s="4">
        <f t="shared" si="113"/>
        <v>0</v>
      </c>
      <c r="P2427" s="3" t="s">
        <v>19</v>
      </c>
    </row>
    <row r="2428" spans="1:16" x14ac:dyDescent="0.35">
      <c r="A2428" s="3" t="s">
        <v>35</v>
      </c>
      <c r="B2428" s="3" t="str">
        <f>INDEX(State_Region!$B$2:$B$26,MATCH(TRIM(A2428),State_Region!$A$2:$A$26,0))</f>
        <v>North</v>
      </c>
      <c r="C2428" s="3" t="s">
        <v>47</v>
      </c>
      <c r="D2428" s="3" t="str">
        <f>INDEX(Port_Type!$B$2:$B$227,MATCH(TRIM(C2428),Port_Type!$A$2:$A$227,0))</f>
        <v>Inland ICD / CFS</v>
      </c>
      <c r="E2428" s="3" t="s">
        <v>60</v>
      </c>
      <c r="F2428" s="3" t="str">
        <f>INDEX(Product_Category!$B$2:$B$45,MATCH(TRIM(E2428),Product_Category!$A$2:$A$45,0))</f>
        <v>Processed Foods</v>
      </c>
      <c r="G2428" s="4">
        <v>4.01</v>
      </c>
      <c r="H2428" s="4">
        <v>0.51</v>
      </c>
      <c r="I2428" s="4">
        <v>0</v>
      </c>
      <c r="J2428" s="4">
        <v>844.05</v>
      </c>
      <c r="K2428" s="4">
        <v>161.88999999999999</v>
      </c>
      <c r="L2428" s="4">
        <v>0</v>
      </c>
      <c r="M2428" s="4">
        <f t="shared" si="111"/>
        <v>-3.5</v>
      </c>
      <c r="N2428" s="4">
        <f t="shared" si="112"/>
        <v>-682.16</v>
      </c>
      <c r="O2428" s="4">
        <f t="shared" si="113"/>
        <v>-0.51</v>
      </c>
      <c r="P2428" s="3" t="s">
        <v>19</v>
      </c>
    </row>
    <row r="2429" spans="1:16" x14ac:dyDescent="0.35">
      <c r="A2429" s="3" t="s">
        <v>35</v>
      </c>
      <c r="B2429" s="3" t="str">
        <f>INDEX(State_Region!$B$2:$B$26,MATCH(TRIM(A2429),State_Region!$A$2:$A$26,0))</f>
        <v>North</v>
      </c>
      <c r="C2429" s="3" t="s">
        <v>201</v>
      </c>
      <c r="D2429" s="3" t="str">
        <f>INDEX(Port_Type!$B$2:$B$227,MATCH(TRIM(C2429),Port_Type!$A$2:$A$227,0))</f>
        <v>Inland ICD / CFS</v>
      </c>
      <c r="E2429" s="3" t="s">
        <v>42</v>
      </c>
      <c r="F2429" s="3" t="str">
        <f>INDEX(Product_Category!$B$2:$B$45,MATCH(TRIM(E2429),Product_Category!$A$2:$A$45,0))</f>
        <v>Processed Foods</v>
      </c>
      <c r="G2429" s="4">
        <v>0</v>
      </c>
      <c r="H2429" s="4">
        <v>0.01</v>
      </c>
      <c r="I2429" s="4">
        <v>0</v>
      </c>
      <c r="J2429" s="4">
        <v>0</v>
      </c>
      <c r="K2429" s="4">
        <v>3.11</v>
      </c>
      <c r="L2429" s="4">
        <v>0</v>
      </c>
      <c r="M2429" s="4">
        <f t="shared" si="111"/>
        <v>0.01</v>
      </c>
      <c r="N2429" s="4">
        <f t="shared" si="112"/>
        <v>3.11</v>
      </c>
      <c r="O2429" s="4">
        <f t="shared" si="113"/>
        <v>-0.01</v>
      </c>
      <c r="P2429" s="3" t="s">
        <v>19</v>
      </c>
    </row>
    <row r="2430" spans="1:16" x14ac:dyDescent="0.35">
      <c r="A2430" s="3" t="s">
        <v>23</v>
      </c>
      <c r="B2430" s="3" t="str">
        <f>INDEX(State_Region!$B$2:$B$26,MATCH(TRIM(A2430),State_Region!$A$2:$A$26,0))</f>
        <v>North</v>
      </c>
      <c r="C2430" s="3" t="s">
        <v>278</v>
      </c>
      <c r="D2430" s="3" t="str">
        <f>INDEX(Port_Type!$B$2:$B$227,MATCH(TRIM(C2430),Port_Type!$A$2:$A$227,0))</f>
        <v>Inland ICD / CFS</v>
      </c>
      <c r="E2430" s="3" t="s">
        <v>118</v>
      </c>
      <c r="F2430" s="3" t="str">
        <f>INDEX(Product_Category!$B$2:$B$45,MATCH(TRIM(E2430),Product_Category!$A$2:$A$45,0))</f>
        <v>Dairy, Poultry &amp; Honey</v>
      </c>
      <c r="G2430" s="4">
        <v>1.05</v>
      </c>
      <c r="H2430" s="4">
        <v>0</v>
      </c>
      <c r="I2430" s="4">
        <v>0</v>
      </c>
      <c r="J2430" s="4">
        <v>688.2</v>
      </c>
      <c r="K2430" s="4">
        <v>0</v>
      </c>
      <c r="L2430" s="4">
        <v>0</v>
      </c>
      <c r="M2430" s="4">
        <f t="shared" si="111"/>
        <v>-1.05</v>
      </c>
      <c r="N2430" s="4">
        <f t="shared" si="112"/>
        <v>-688.2</v>
      </c>
      <c r="O2430" s="4">
        <f t="shared" si="113"/>
        <v>0</v>
      </c>
      <c r="P2430" s="3" t="s">
        <v>19</v>
      </c>
    </row>
    <row r="2431" spans="1:16" x14ac:dyDescent="0.35">
      <c r="A2431" s="3" t="s">
        <v>35</v>
      </c>
      <c r="B2431" s="3" t="str">
        <f>INDEX(State_Region!$B$2:$B$26,MATCH(TRIM(A2431),State_Region!$A$2:$A$26,0))</f>
        <v>North</v>
      </c>
      <c r="C2431" s="3" t="s">
        <v>201</v>
      </c>
      <c r="D2431" s="3" t="str">
        <f>INDEX(Port_Type!$B$2:$B$227,MATCH(TRIM(C2431),Port_Type!$A$2:$A$227,0))</f>
        <v>Inland ICD / CFS</v>
      </c>
      <c r="E2431" s="3" t="s">
        <v>170</v>
      </c>
      <c r="F2431" s="3" t="str">
        <f>INDEX(Product_Category!$B$2:$B$45,MATCH(TRIM(E2431),Product_Category!$A$2:$A$45,0))</f>
        <v>Others</v>
      </c>
      <c r="G2431" s="4">
        <v>0.08</v>
      </c>
      <c r="H2431" s="4">
        <v>0</v>
      </c>
      <c r="I2431" s="4">
        <v>0</v>
      </c>
      <c r="J2431" s="4">
        <v>18</v>
      </c>
      <c r="K2431" s="4">
        <v>0</v>
      </c>
      <c r="L2431" s="4">
        <v>0</v>
      </c>
      <c r="M2431" s="4">
        <f t="shared" si="111"/>
        <v>-0.08</v>
      </c>
      <c r="N2431" s="4">
        <f t="shared" si="112"/>
        <v>-18</v>
      </c>
      <c r="O2431" s="4">
        <f t="shared" si="113"/>
        <v>0</v>
      </c>
      <c r="P2431" s="3" t="s">
        <v>19</v>
      </c>
    </row>
    <row r="2432" spans="1:16" x14ac:dyDescent="0.35">
      <c r="A2432" s="3" t="s">
        <v>23</v>
      </c>
      <c r="B2432" s="3" t="str">
        <f>INDEX(State_Region!$B$2:$B$26,MATCH(TRIM(A2432),State_Region!$A$2:$A$26,0))</f>
        <v>North</v>
      </c>
      <c r="C2432" s="3" t="s">
        <v>148</v>
      </c>
      <c r="D2432" s="3" t="str">
        <f>INDEX(Port_Type!$B$2:$B$227,MATCH(TRIM(C2432),Port_Type!$A$2:$A$227,0))</f>
        <v>Inland ICD / CFS</v>
      </c>
      <c r="E2432" s="3" t="s">
        <v>125</v>
      </c>
      <c r="F2432" s="3" t="str">
        <f>INDEX(Product_Category!$B$2:$B$45,MATCH(TRIM(E2432),Product_Category!$A$2:$A$45,0))</f>
        <v>Meat &amp; Animal Products</v>
      </c>
      <c r="G2432" s="4">
        <v>0</v>
      </c>
      <c r="H2432" s="4">
        <v>0.04</v>
      </c>
      <c r="I2432" s="4">
        <v>0</v>
      </c>
      <c r="J2432" s="4">
        <v>0</v>
      </c>
      <c r="K2432" s="4">
        <v>28</v>
      </c>
      <c r="L2432" s="4">
        <v>0</v>
      </c>
      <c r="M2432" s="4">
        <f t="shared" si="111"/>
        <v>0.04</v>
      </c>
      <c r="N2432" s="4">
        <f t="shared" si="112"/>
        <v>28</v>
      </c>
      <c r="O2432" s="4">
        <f t="shared" si="113"/>
        <v>-0.04</v>
      </c>
      <c r="P2432" s="3" t="s">
        <v>19</v>
      </c>
    </row>
    <row r="2433" spans="1:16" x14ac:dyDescent="0.35">
      <c r="A2433" s="3" t="s">
        <v>23</v>
      </c>
      <c r="B2433" s="3" t="str">
        <f>INDEX(State_Region!$B$2:$B$26,MATCH(TRIM(A2433),State_Region!$A$2:$A$26,0))</f>
        <v>North</v>
      </c>
      <c r="C2433" s="3" t="s">
        <v>148</v>
      </c>
      <c r="D2433" s="3" t="str">
        <f>INDEX(Port_Type!$B$2:$B$227,MATCH(TRIM(C2433),Port_Type!$A$2:$A$227,0))</f>
        <v>Inland ICD / CFS</v>
      </c>
      <c r="E2433" s="3" t="s">
        <v>18</v>
      </c>
      <c r="F2433" s="3" t="str">
        <f>INDEX(Product_Category!$B$2:$B$45,MATCH(TRIM(E2433),Product_Category!$A$2:$A$45,0))</f>
        <v>Cereals &amp; Grains</v>
      </c>
      <c r="G2433" s="4">
        <v>0.16</v>
      </c>
      <c r="H2433" s="4">
        <v>0</v>
      </c>
      <c r="I2433" s="4">
        <v>0</v>
      </c>
      <c r="J2433" s="4">
        <v>81.069999999999993</v>
      </c>
      <c r="K2433" s="4">
        <v>0</v>
      </c>
      <c r="L2433" s="4">
        <v>0</v>
      </c>
      <c r="M2433" s="4">
        <f t="shared" si="111"/>
        <v>-0.16</v>
      </c>
      <c r="N2433" s="4">
        <f t="shared" si="112"/>
        <v>-81.069999999999993</v>
      </c>
      <c r="O2433" s="4">
        <f t="shared" si="113"/>
        <v>0</v>
      </c>
      <c r="P2433" s="3" t="s">
        <v>19</v>
      </c>
    </row>
    <row r="2434" spans="1:16" x14ac:dyDescent="0.35">
      <c r="A2434" s="3" t="s">
        <v>35</v>
      </c>
      <c r="B2434" s="3" t="str">
        <f>INDEX(State_Region!$B$2:$B$26,MATCH(TRIM(A2434),State_Region!$A$2:$A$26,0))</f>
        <v>North</v>
      </c>
      <c r="C2434" s="3" t="s">
        <v>201</v>
      </c>
      <c r="D2434" s="3" t="str">
        <f>INDEX(Port_Type!$B$2:$B$227,MATCH(TRIM(C2434),Port_Type!$A$2:$A$227,0))</f>
        <v>Inland ICD / CFS</v>
      </c>
      <c r="E2434" s="3" t="s">
        <v>118</v>
      </c>
      <c r="F2434" s="3" t="str">
        <f>INDEX(Product_Category!$B$2:$B$45,MATCH(TRIM(E2434),Product_Category!$A$2:$A$45,0))</f>
        <v>Dairy, Poultry &amp; Honey</v>
      </c>
      <c r="G2434" s="4">
        <v>0.08</v>
      </c>
      <c r="H2434" s="4">
        <v>0.04</v>
      </c>
      <c r="I2434" s="4">
        <v>0</v>
      </c>
      <c r="J2434" s="4">
        <v>21.25</v>
      </c>
      <c r="K2434" s="4">
        <v>8.5</v>
      </c>
      <c r="L2434" s="4">
        <v>0</v>
      </c>
      <c r="M2434" s="4">
        <f t="shared" ref="M2434:M2497" si="114">H2434-G2434</f>
        <v>-0.04</v>
      </c>
      <c r="N2434" s="4">
        <f t="shared" ref="N2434:N2497" si="115">K2434-J2434</f>
        <v>-12.75</v>
      </c>
      <c r="O2434" s="4">
        <f t="shared" ref="O2434:O2497" si="116">I2434-H2434</f>
        <v>-0.04</v>
      </c>
      <c r="P2434" s="3" t="s">
        <v>19</v>
      </c>
    </row>
    <row r="2435" spans="1:16" x14ac:dyDescent="0.35">
      <c r="A2435" s="3" t="s">
        <v>23</v>
      </c>
      <c r="B2435" s="3" t="str">
        <f>INDEX(State_Region!$B$2:$B$26,MATCH(TRIM(A2435),State_Region!$A$2:$A$26,0))</f>
        <v>North</v>
      </c>
      <c r="C2435" s="3" t="s">
        <v>148</v>
      </c>
      <c r="D2435" s="3" t="str">
        <f>INDEX(Port_Type!$B$2:$B$227,MATCH(TRIM(C2435),Port_Type!$A$2:$A$227,0))</f>
        <v>Inland ICD / CFS</v>
      </c>
      <c r="E2435" s="3" t="s">
        <v>48</v>
      </c>
      <c r="F2435" s="3" t="str">
        <f>INDEX(Product_Category!$B$2:$B$45,MATCH(TRIM(E2435),Product_Category!$A$2:$A$45,0))</f>
        <v>Processed Foods</v>
      </c>
      <c r="G2435" s="4">
        <v>0.08</v>
      </c>
      <c r="H2435" s="4">
        <v>0.06</v>
      </c>
      <c r="I2435" s="4">
        <v>0</v>
      </c>
      <c r="J2435" s="4">
        <v>74.34</v>
      </c>
      <c r="K2435" s="4">
        <v>61.88</v>
      </c>
      <c r="L2435" s="4">
        <v>0</v>
      </c>
      <c r="M2435" s="4">
        <f t="shared" si="114"/>
        <v>-2.0000000000000004E-2</v>
      </c>
      <c r="N2435" s="4">
        <f t="shared" si="115"/>
        <v>-12.46</v>
      </c>
      <c r="O2435" s="4">
        <f t="shared" si="116"/>
        <v>-0.06</v>
      </c>
      <c r="P2435" s="3" t="s">
        <v>19</v>
      </c>
    </row>
    <row r="2436" spans="1:16" x14ac:dyDescent="0.35">
      <c r="A2436" s="3" t="s">
        <v>23</v>
      </c>
      <c r="B2436" s="3" t="str">
        <f>INDEX(State_Region!$B$2:$B$26,MATCH(TRIM(A2436),State_Region!$A$2:$A$26,0))</f>
        <v>North</v>
      </c>
      <c r="C2436" s="3" t="s">
        <v>148</v>
      </c>
      <c r="D2436" s="3" t="str">
        <f>INDEX(Port_Type!$B$2:$B$227,MATCH(TRIM(C2436),Port_Type!$A$2:$A$227,0))</f>
        <v>Inland ICD / CFS</v>
      </c>
      <c r="E2436" s="3" t="s">
        <v>59</v>
      </c>
      <c r="F2436" s="3" t="str">
        <f>INDEX(Product_Category!$B$2:$B$45,MATCH(TRIM(E2436),Product_Category!$A$2:$A$45,0))</f>
        <v>Processed Foods</v>
      </c>
      <c r="G2436" s="4">
        <v>0</v>
      </c>
      <c r="H2436" s="4">
        <v>0</v>
      </c>
      <c r="I2436" s="4">
        <v>0</v>
      </c>
      <c r="J2436" s="4">
        <v>0</v>
      </c>
      <c r="K2436" s="4">
        <v>0.2</v>
      </c>
      <c r="L2436" s="4">
        <v>0</v>
      </c>
      <c r="M2436" s="4">
        <f t="shared" si="114"/>
        <v>0</v>
      </c>
      <c r="N2436" s="4">
        <f t="shared" si="115"/>
        <v>0.2</v>
      </c>
      <c r="O2436" s="4">
        <f t="shared" si="116"/>
        <v>0</v>
      </c>
      <c r="P2436" s="3" t="s">
        <v>19</v>
      </c>
    </row>
    <row r="2437" spans="1:16" x14ac:dyDescent="0.35">
      <c r="A2437" s="3" t="s">
        <v>35</v>
      </c>
      <c r="B2437" s="3" t="str">
        <f>INDEX(State_Region!$B$2:$B$26,MATCH(TRIM(A2437),State_Region!$A$2:$A$26,0))</f>
        <v>North</v>
      </c>
      <c r="C2437" s="3" t="s">
        <v>201</v>
      </c>
      <c r="D2437" s="3" t="str">
        <f>INDEX(Port_Type!$B$2:$B$227,MATCH(TRIM(C2437),Port_Type!$A$2:$A$227,0))</f>
        <v>Inland ICD / CFS</v>
      </c>
      <c r="E2437" s="3" t="s">
        <v>53</v>
      </c>
      <c r="F2437" s="3" t="str">
        <f>INDEX(Product_Category!$B$2:$B$45,MATCH(TRIM(E2437),Product_Category!$A$2:$A$45,0))</f>
        <v>Processed Foods</v>
      </c>
      <c r="G2437" s="4">
        <v>0.06</v>
      </c>
      <c r="H2437" s="4">
        <v>0.02</v>
      </c>
      <c r="I2437" s="4">
        <v>0</v>
      </c>
      <c r="J2437" s="4">
        <v>51.6</v>
      </c>
      <c r="K2437" s="4">
        <v>13.15</v>
      </c>
      <c r="L2437" s="4">
        <v>0</v>
      </c>
      <c r="M2437" s="4">
        <f t="shared" si="114"/>
        <v>-3.9999999999999994E-2</v>
      </c>
      <c r="N2437" s="4">
        <f t="shared" si="115"/>
        <v>-38.450000000000003</v>
      </c>
      <c r="O2437" s="4">
        <f t="shared" si="116"/>
        <v>-0.02</v>
      </c>
      <c r="P2437" s="3" t="s">
        <v>19</v>
      </c>
    </row>
    <row r="2438" spans="1:16" x14ac:dyDescent="0.35">
      <c r="A2438" s="3" t="s">
        <v>23</v>
      </c>
      <c r="B2438" s="3" t="str">
        <f>INDEX(State_Region!$B$2:$B$26,MATCH(TRIM(A2438),State_Region!$A$2:$A$26,0))</f>
        <v>North</v>
      </c>
      <c r="C2438" s="3" t="s">
        <v>148</v>
      </c>
      <c r="D2438" s="3" t="str">
        <f>INDEX(Port_Type!$B$2:$B$227,MATCH(TRIM(C2438),Port_Type!$A$2:$A$227,0))</f>
        <v>Inland ICD / CFS</v>
      </c>
      <c r="E2438" s="3" t="s">
        <v>65</v>
      </c>
      <c r="F2438" s="3" t="str">
        <f>INDEX(Product_Category!$B$2:$B$45,MATCH(TRIM(E2438),Product_Category!$A$2:$A$45,0))</f>
        <v>Cereals &amp; Grains</v>
      </c>
      <c r="G2438" s="4">
        <v>0</v>
      </c>
      <c r="H2438" s="4">
        <v>0</v>
      </c>
      <c r="I2438" s="4">
        <v>0</v>
      </c>
      <c r="J2438" s="4">
        <v>1.82</v>
      </c>
      <c r="K2438" s="4">
        <v>0</v>
      </c>
      <c r="L2438" s="4">
        <v>0</v>
      </c>
      <c r="M2438" s="4">
        <f t="shared" si="114"/>
        <v>0</v>
      </c>
      <c r="N2438" s="4">
        <f t="shared" si="115"/>
        <v>-1.82</v>
      </c>
      <c r="O2438" s="4">
        <f t="shared" si="116"/>
        <v>0</v>
      </c>
      <c r="P2438" s="3" t="s">
        <v>19</v>
      </c>
    </row>
    <row r="2439" spans="1:16" x14ac:dyDescent="0.35">
      <c r="A2439" s="3" t="s">
        <v>23</v>
      </c>
      <c r="B2439" s="3" t="str">
        <f>INDEX(State_Region!$B$2:$B$26,MATCH(TRIM(A2439),State_Region!$A$2:$A$26,0))</f>
        <v>North</v>
      </c>
      <c r="C2439" s="3" t="s">
        <v>148</v>
      </c>
      <c r="D2439" s="3" t="str">
        <f>INDEX(Port_Type!$B$2:$B$227,MATCH(TRIM(C2439),Port_Type!$A$2:$A$227,0))</f>
        <v>Inland ICD / CFS</v>
      </c>
      <c r="E2439" s="3" t="s">
        <v>39</v>
      </c>
      <c r="F2439" s="3" t="str">
        <f>INDEX(Product_Category!$B$2:$B$45,MATCH(TRIM(E2439),Product_Category!$A$2:$A$45,0))</f>
        <v>Processed Foods</v>
      </c>
      <c r="G2439" s="4">
        <v>0.01</v>
      </c>
      <c r="H2439" s="4">
        <v>0</v>
      </c>
      <c r="I2439" s="4">
        <v>0</v>
      </c>
      <c r="J2439" s="4">
        <v>1.25</v>
      </c>
      <c r="K2439" s="4">
        <v>0</v>
      </c>
      <c r="L2439" s="4">
        <v>0</v>
      </c>
      <c r="M2439" s="4">
        <f t="shared" si="114"/>
        <v>-0.01</v>
      </c>
      <c r="N2439" s="4">
        <f t="shared" si="115"/>
        <v>-1.25</v>
      </c>
      <c r="O2439" s="4">
        <f t="shared" si="116"/>
        <v>0</v>
      </c>
      <c r="P2439" s="3" t="s">
        <v>19</v>
      </c>
    </row>
    <row r="2440" spans="1:16" x14ac:dyDescent="0.35">
      <c r="A2440" s="3" t="s">
        <v>35</v>
      </c>
      <c r="B2440" s="3" t="str">
        <f>INDEX(State_Region!$B$2:$B$26,MATCH(TRIM(A2440),State_Region!$A$2:$A$26,0))</f>
        <v>North</v>
      </c>
      <c r="C2440" s="3" t="s">
        <v>201</v>
      </c>
      <c r="D2440" s="3" t="str">
        <f>INDEX(Port_Type!$B$2:$B$227,MATCH(TRIM(C2440),Port_Type!$A$2:$A$227,0))</f>
        <v>Inland ICD / CFS</v>
      </c>
      <c r="E2440" s="3" t="s">
        <v>60</v>
      </c>
      <c r="F2440" s="3" t="str">
        <f>INDEX(Product_Category!$B$2:$B$45,MATCH(TRIM(E2440),Product_Category!$A$2:$A$45,0))</f>
        <v>Processed Foods</v>
      </c>
      <c r="G2440" s="4">
        <v>0.04</v>
      </c>
      <c r="H2440" s="4">
        <v>0</v>
      </c>
      <c r="I2440" s="4">
        <v>0</v>
      </c>
      <c r="J2440" s="4">
        <v>14.36</v>
      </c>
      <c r="K2440" s="4">
        <v>0</v>
      </c>
      <c r="L2440" s="4">
        <v>0</v>
      </c>
      <c r="M2440" s="4">
        <f t="shared" si="114"/>
        <v>-0.04</v>
      </c>
      <c r="N2440" s="4">
        <f t="shared" si="115"/>
        <v>-14.36</v>
      </c>
      <c r="O2440" s="4">
        <f t="shared" si="116"/>
        <v>0</v>
      </c>
      <c r="P2440" s="3" t="s">
        <v>19</v>
      </c>
    </row>
    <row r="2441" spans="1:16" x14ac:dyDescent="0.35">
      <c r="A2441" s="3" t="s">
        <v>23</v>
      </c>
      <c r="B2441" s="3" t="str">
        <f>INDEX(State_Region!$B$2:$B$26,MATCH(TRIM(A2441),State_Region!$A$2:$A$26,0))</f>
        <v>North</v>
      </c>
      <c r="C2441" s="3" t="s">
        <v>148</v>
      </c>
      <c r="D2441" s="3" t="str">
        <f>INDEX(Port_Type!$B$2:$B$227,MATCH(TRIM(C2441),Port_Type!$A$2:$A$227,0))</f>
        <v>Inland ICD / CFS</v>
      </c>
      <c r="E2441" s="3" t="s">
        <v>27</v>
      </c>
      <c r="F2441" s="3" t="str">
        <f>INDEX(Product_Category!$B$2:$B$45,MATCH(TRIM(E2441),Product_Category!$A$2:$A$45,0))</f>
        <v>Cereals &amp; Grains</v>
      </c>
      <c r="G2441" s="4">
        <v>0.27</v>
      </c>
      <c r="H2441" s="4">
        <v>0</v>
      </c>
      <c r="I2441" s="4">
        <v>0</v>
      </c>
      <c r="J2441" s="4">
        <v>276.24</v>
      </c>
      <c r="K2441" s="4">
        <v>0</v>
      </c>
      <c r="L2441" s="4">
        <v>0</v>
      </c>
      <c r="M2441" s="4">
        <f t="shared" si="114"/>
        <v>-0.27</v>
      </c>
      <c r="N2441" s="4">
        <f t="shared" si="115"/>
        <v>-276.24</v>
      </c>
      <c r="O2441" s="4">
        <f t="shared" si="116"/>
        <v>0</v>
      </c>
      <c r="P2441" s="3" t="s">
        <v>19</v>
      </c>
    </row>
    <row r="2442" spans="1:16" x14ac:dyDescent="0.35">
      <c r="A2442" s="3" t="s">
        <v>23</v>
      </c>
      <c r="B2442" s="3" t="str">
        <f>INDEX(State_Region!$B$2:$B$26,MATCH(TRIM(A2442),State_Region!$A$2:$A$26,0))</f>
        <v>North</v>
      </c>
      <c r="C2442" s="3" t="s">
        <v>148</v>
      </c>
      <c r="D2442" s="3" t="str">
        <f>INDEX(Port_Type!$B$2:$B$227,MATCH(TRIM(C2442),Port_Type!$A$2:$A$227,0))</f>
        <v>Inland ICD / CFS</v>
      </c>
      <c r="E2442" s="3" t="s">
        <v>126</v>
      </c>
      <c r="F2442" s="3" t="str">
        <f>INDEX(Product_Category!$B$2:$B$45,MATCH(TRIM(E2442),Product_Category!$A$2:$A$45,0))</f>
        <v>Cereals &amp; Grains</v>
      </c>
      <c r="G2442" s="4">
        <v>0</v>
      </c>
      <c r="H2442" s="4">
        <v>0</v>
      </c>
      <c r="I2442" s="4">
        <v>0</v>
      </c>
      <c r="J2442" s="4">
        <v>0.01</v>
      </c>
      <c r="K2442" s="4">
        <v>0</v>
      </c>
      <c r="L2442" s="4">
        <v>0</v>
      </c>
      <c r="M2442" s="4">
        <f t="shared" si="114"/>
        <v>0</v>
      </c>
      <c r="N2442" s="4">
        <f t="shared" si="115"/>
        <v>-0.01</v>
      </c>
      <c r="O2442" s="4">
        <f t="shared" si="116"/>
        <v>0</v>
      </c>
      <c r="P2442" s="3" t="s">
        <v>19</v>
      </c>
    </row>
    <row r="2443" spans="1:16" x14ac:dyDescent="0.35">
      <c r="A2443" s="3" t="s">
        <v>23</v>
      </c>
      <c r="B2443" s="3" t="str">
        <f>INDEX(State_Region!$B$2:$B$26,MATCH(TRIM(A2443),State_Region!$A$2:$A$26,0))</f>
        <v>North</v>
      </c>
      <c r="C2443" s="3" t="s">
        <v>148</v>
      </c>
      <c r="D2443" s="3" t="str">
        <f>INDEX(Port_Type!$B$2:$B$227,MATCH(TRIM(C2443),Port_Type!$A$2:$A$227,0))</f>
        <v>Inland ICD / CFS</v>
      </c>
      <c r="E2443" s="3" t="s">
        <v>45</v>
      </c>
      <c r="F2443" s="3" t="str">
        <f>INDEX(Product_Category!$B$2:$B$45,MATCH(TRIM(E2443),Product_Category!$A$2:$A$45,0))</f>
        <v>Fresh Fruits &amp; Vegetables</v>
      </c>
      <c r="G2443" s="4">
        <v>0.02</v>
      </c>
      <c r="H2443" s="4">
        <v>0</v>
      </c>
      <c r="I2443" s="4">
        <v>0</v>
      </c>
      <c r="J2443" s="4">
        <v>7.18</v>
      </c>
      <c r="K2443" s="4">
        <v>1.1000000000000001</v>
      </c>
      <c r="L2443" s="4">
        <v>0</v>
      </c>
      <c r="M2443" s="4">
        <f t="shared" si="114"/>
        <v>-0.02</v>
      </c>
      <c r="N2443" s="4">
        <f t="shared" si="115"/>
        <v>-6.08</v>
      </c>
      <c r="O2443" s="4">
        <f t="shared" si="116"/>
        <v>0</v>
      </c>
      <c r="P2443" s="3" t="s">
        <v>19</v>
      </c>
    </row>
    <row r="2444" spans="1:16" x14ac:dyDescent="0.35">
      <c r="A2444" s="3" t="s">
        <v>23</v>
      </c>
      <c r="B2444" s="3" t="str">
        <f>INDEX(State_Region!$B$2:$B$26,MATCH(TRIM(A2444),State_Region!$A$2:$A$26,0))</f>
        <v>North</v>
      </c>
      <c r="C2444" s="3" t="s">
        <v>148</v>
      </c>
      <c r="D2444" s="3" t="str">
        <f>INDEX(Port_Type!$B$2:$B$227,MATCH(TRIM(C2444),Port_Type!$A$2:$A$227,0))</f>
        <v>Inland ICD / CFS</v>
      </c>
      <c r="E2444" s="3" t="s">
        <v>54</v>
      </c>
      <c r="F2444" s="3" t="str">
        <f>INDEX(Product_Category!$B$2:$B$45,MATCH(TRIM(E2444),Product_Category!$A$2:$A$45,0))</f>
        <v>Processed Foods</v>
      </c>
      <c r="G2444" s="4">
        <v>0.02</v>
      </c>
      <c r="H2444" s="4">
        <v>0.03</v>
      </c>
      <c r="I2444" s="4">
        <v>0</v>
      </c>
      <c r="J2444" s="4">
        <v>21</v>
      </c>
      <c r="K2444" s="4">
        <v>24.19</v>
      </c>
      <c r="L2444" s="4">
        <v>0</v>
      </c>
      <c r="M2444" s="4">
        <f t="shared" si="114"/>
        <v>9.9999999999999985E-3</v>
      </c>
      <c r="N2444" s="4">
        <f t="shared" si="115"/>
        <v>3.1900000000000013</v>
      </c>
      <c r="O2444" s="4">
        <f t="shared" si="116"/>
        <v>-0.03</v>
      </c>
      <c r="P2444" s="3" t="s">
        <v>19</v>
      </c>
    </row>
    <row r="2445" spans="1:16" x14ac:dyDescent="0.35">
      <c r="A2445" s="3" t="s">
        <v>35</v>
      </c>
      <c r="B2445" s="3" t="str">
        <f>INDEX(State_Region!$B$2:$B$26,MATCH(TRIM(A2445),State_Region!$A$2:$A$26,0))</f>
        <v>North</v>
      </c>
      <c r="C2445" s="3" t="s">
        <v>279</v>
      </c>
      <c r="D2445" s="3" t="str">
        <f>INDEX(Port_Type!$B$2:$B$227,MATCH(TRIM(C2445),Port_Type!$A$2:$A$227,0))</f>
        <v>Inland ICD / CFS</v>
      </c>
      <c r="E2445" s="3" t="s">
        <v>18</v>
      </c>
      <c r="F2445" s="3" t="str">
        <f>INDEX(Product_Category!$B$2:$B$45,MATCH(TRIM(E2445),Product_Category!$A$2:$A$45,0))</f>
        <v>Cereals &amp; Grains</v>
      </c>
      <c r="G2445" s="4">
        <v>0</v>
      </c>
      <c r="H2445" s="4">
        <v>0.06</v>
      </c>
      <c r="I2445" s="4">
        <v>0</v>
      </c>
      <c r="J2445" s="4">
        <v>0</v>
      </c>
      <c r="K2445" s="4">
        <v>42</v>
      </c>
      <c r="L2445" s="4">
        <v>0</v>
      </c>
      <c r="M2445" s="4">
        <f t="shared" si="114"/>
        <v>0.06</v>
      </c>
      <c r="N2445" s="4">
        <f t="shared" si="115"/>
        <v>42</v>
      </c>
      <c r="O2445" s="4">
        <f t="shared" si="116"/>
        <v>-0.06</v>
      </c>
      <c r="P2445" s="3" t="s">
        <v>19</v>
      </c>
    </row>
    <row r="2446" spans="1:16" x14ac:dyDescent="0.35">
      <c r="A2446" s="3" t="s">
        <v>35</v>
      </c>
      <c r="B2446" s="3" t="str">
        <f>INDEX(State_Region!$B$2:$B$26,MATCH(TRIM(A2446),State_Region!$A$2:$A$26,0))</f>
        <v>North</v>
      </c>
      <c r="C2446" s="3" t="s">
        <v>96</v>
      </c>
      <c r="D2446" s="3" t="str">
        <f>INDEX(Port_Type!$B$2:$B$227,MATCH(TRIM(C2446),Port_Type!$A$2:$A$227,0))</f>
        <v>Inland ICD / CFS</v>
      </c>
      <c r="E2446" s="3" t="s">
        <v>33</v>
      </c>
      <c r="F2446" s="3" t="str">
        <f>INDEX(Product_Category!$B$2:$B$45,MATCH(TRIM(E2446),Product_Category!$A$2:$A$45,0))</f>
        <v>Pulses</v>
      </c>
      <c r="G2446" s="4">
        <v>0</v>
      </c>
      <c r="H2446" s="4">
        <v>0</v>
      </c>
      <c r="I2446" s="4">
        <v>0</v>
      </c>
      <c r="J2446" s="4">
        <v>0</v>
      </c>
      <c r="K2446" s="4">
        <v>0.21</v>
      </c>
      <c r="L2446" s="4">
        <v>0</v>
      </c>
      <c r="M2446" s="4">
        <f t="shared" si="114"/>
        <v>0</v>
      </c>
      <c r="N2446" s="4">
        <f t="shared" si="115"/>
        <v>0.21</v>
      </c>
      <c r="O2446" s="4">
        <f t="shared" si="116"/>
        <v>0</v>
      </c>
      <c r="P2446" s="3" t="s">
        <v>19</v>
      </c>
    </row>
    <row r="2447" spans="1:16" x14ac:dyDescent="0.35">
      <c r="A2447" s="3" t="s">
        <v>23</v>
      </c>
      <c r="B2447" s="3" t="str">
        <f>INDEX(State_Region!$B$2:$B$26,MATCH(TRIM(A2447),State_Region!$A$2:$A$26,0))</f>
        <v>North</v>
      </c>
      <c r="C2447" s="3" t="s">
        <v>148</v>
      </c>
      <c r="D2447" s="3" t="str">
        <f>INDEX(Port_Type!$B$2:$B$227,MATCH(TRIM(C2447),Port_Type!$A$2:$A$227,0))</f>
        <v>Inland ICD / CFS</v>
      </c>
      <c r="E2447" s="3" t="s">
        <v>93</v>
      </c>
      <c r="F2447" s="3" t="str">
        <f>INDEX(Product_Category!$B$2:$B$45,MATCH(TRIM(E2447),Product_Category!$A$2:$A$45,0))</f>
        <v>Meat &amp; Animal Products</v>
      </c>
      <c r="G2447" s="4">
        <v>0</v>
      </c>
      <c r="H2447" s="4">
        <v>0.03</v>
      </c>
      <c r="I2447" s="4">
        <v>0</v>
      </c>
      <c r="J2447" s="4">
        <v>0</v>
      </c>
      <c r="K2447" s="4">
        <v>5</v>
      </c>
      <c r="L2447" s="4">
        <v>0</v>
      </c>
      <c r="M2447" s="4">
        <f t="shared" si="114"/>
        <v>0.03</v>
      </c>
      <c r="N2447" s="4">
        <f t="shared" si="115"/>
        <v>5</v>
      </c>
      <c r="O2447" s="4">
        <f t="shared" si="116"/>
        <v>-0.03</v>
      </c>
      <c r="P2447" s="3" t="s">
        <v>19</v>
      </c>
    </row>
    <row r="2448" spans="1:16" x14ac:dyDescent="0.35">
      <c r="A2448" s="3" t="s">
        <v>35</v>
      </c>
      <c r="B2448" s="3" t="str">
        <f>INDEX(State_Region!$B$2:$B$26,MATCH(TRIM(A2448),State_Region!$A$2:$A$26,0))</f>
        <v>North</v>
      </c>
      <c r="C2448" s="3" t="s">
        <v>96</v>
      </c>
      <c r="D2448" s="3" t="str">
        <f>INDEX(Port_Type!$B$2:$B$227,MATCH(TRIM(C2448),Port_Type!$A$2:$A$227,0))</f>
        <v>Inland ICD / CFS</v>
      </c>
      <c r="E2448" s="3" t="s">
        <v>42</v>
      </c>
      <c r="F2448" s="3" t="str">
        <f>INDEX(Product_Category!$B$2:$B$45,MATCH(TRIM(E2448),Product_Category!$A$2:$A$45,0))</f>
        <v>Processed Foods</v>
      </c>
      <c r="G2448" s="4">
        <v>0</v>
      </c>
      <c r="H2448" s="4">
        <v>0</v>
      </c>
      <c r="I2448" s="4">
        <v>0</v>
      </c>
      <c r="J2448" s="4">
        <v>0.5</v>
      </c>
      <c r="K2448" s="4">
        <v>2.23</v>
      </c>
      <c r="L2448" s="4">
        <v>0</v>
      </c>
      <c r="M2448" s="4">
        <f t="shared" si="114"/>
        <v>0</v>
      </c>
      <c r="N2448" s="4">
        <f t="shared" si="115"/>
        <v>1.73</v>
      </c>
      <c r="O2448" s="4">
        <f t="shared" si="116"/>
        <v>0</v>
      </c>
      <c r="P2448" s="3" t="s">
        <v>19</v>
      </c>
    </row>
    <row r="2449" spans="1:16" x14ac:dyDescent="0.35">
      <c r="A2449" s="3" t="s">
        <v>23</v>
      </c>
      <c r="B2449" s="3" t="str">
        <f>INDEX(State_Region!$B$2:$B$26,MATCH(TRIM(A2449),State_Region!$A$2:$A$26,0))</f>
        <v>North</v>
      </c>
      <c r="C2449" s="3" t="s">
        <v>30</v>
      </c>
      <c r="D2449" s="3" t="str">
        <f>INDEX(Port_Type!$B$2:$B$227,MATCH(TRIM(C2449),Port_Type!$A$2:$A$227,0))</f>
        <v>Inland ICD / CFS</v>
      </c>
      <c r="E2449" s="3" t="s">
        <v>125</v>
      </c>
      <c r="F2449" s="3" t="str">
        <f>INDEX(Product_Category!$B$2:$B$45,MATCH(TRIM(E2449),Product_Category!$A$2:$A$45,0))</f>
        <v>Meat &amp; Animal Products</v>
      </c>
      <c r="G2449" s="4">
        <v>0.78</v>
      </c>
      <c r="H2449" s="4">
        <v>0</v>
      </c>
      <c r="I2449" s="4">
        <v>0</v>
      </c>
      <c r="J2449" s="4">
        <v>409.32</v>
      </c>
      <c r="K2449" s="4">
        <v>0</v>
      </c>
      <c r="L2449" s="4">
        <v>0</v>
      </c>
      <c r="M2449" s="4">
        <f t="shared" si="114"/>
        <v>-0.78</v>
      </c>
      <c r="N2449" s="4">
        <f t="shared" si="115"/>
        <v>-409.32</v>
      </c>
      <c r="O2449" s="4">
        <f t="shared" si="116"/>
        <v>0</v>
      </c>
      <c r="P2449" s="3" t="s">
        <v>19</v>
      </c>
    </row>
    <row r="2450" spans="1:16" x14ac:dyDescent="0.35">
      <c r="A2450" s="3" t="s">
        <v>35</v>
      </c>
      <c r="B2450" s="3" t="str">
        <f>INDEX(State_Region!$B$2:$B$26,MATCH(TRIM(A2450),State_Region!$A$2:$A$26,0))</f>
        <v>North</v>
      </c>
      <c r="C2450" s="3" t="s">
        <v>96</v>
      </c>
      <c r="D2450" s="3" t="str">
        <f>INDEX(Port_Type!$B$2:$B$227,MATCH(TRIM(C2450),Port_Type!$A$2:$A$227,0))</f>
        <v>Inland ICD / CFS</v>
      </c>
      <c r="E2450" s="3" t="s">
        <v>54</v>
      </c>
      <c r="F2450" s="3" t="str">
        <f>INDEX(Product_Category!$B$2:$B$45,MATCH(TRIM(E2450),Product_Category!$A$2:$A$45,0))</f>
        <v>Processed Foods</v>
      </c>
      <c r="G2450" s="4">
        <v>0</v>
      </c>
      <c r="H2450" s="4">
        <v>0</v>
      </c>
      <c r="I2450" s="4">
        <v>0</v>
      </c>
      <c r="J2450" s="4">
        <v>0</v>
      </c>
      <c r="K2450" s="4">
        <v>0.49</v>
      </c>
      <c r="L2450" s="4">
        <v>0</v>
      </c>
      <c r="M2450" s="4">
        <f t="shared" si="114"/>
        <v>0</v>
      </c>
      <c r="N2450" s="4">
        <f t="shared" si="115"/>
        <v>0.49</v>
      </c>
      <c r="O2450" s="4">
        <f t="shared" si="116"/>
        <v>0</v>
      </c>
      <c r="P2450" s="3" t="s">
        <v>19</v>
      </c>
    </row>
    <row r="2451" spans="1:16" x14ac:dyDescent="0.35">
      <c r="A2451" s="3" t="s">
        <v>35</v>
      </c>
      <c r="B2451" s="3" t="str">
        <f>INDEX(State_Region!$B$2:$B$26,MATCH(TRIM(A2451),State_Region!$A$2:$A$26,0))</f>
        <v>North</v>
      </c>
      <c r="C2451" s="3" t="s">
        <v>96</v>
      </c>
      <c r="D2451" s="3" t="str">
        <f>INDEX(Port_Type!$B$2:$B$227,MATCH(TRIM(C2451),Port_Type!$A$2:$A$227,0))</f>
        <v>Inland ICD / CFS</v>
      </c>
      <c r="E2451" s="3" t="s">
        <v>45</v>
      </c>
      <c r="F2451" s="3" t="str">
        <f>INDEX(Product_Category!$B$2:$B$45,MATCH(TRIM(E2451),Product_Category!$A$2:$A$45,0))</f>
        <v>Fresh Fruits &amp; Vegetables</v>
      </c>
      <c r="G2451" s="4">
        <v>0</v>
      </c>
      <c r="H2451" s="4">
        <v>0</v>
      </c>
      <c r="I2451" s="4">
        <v>0</v>
      </c>
      <c r="J2451" s="4">
        <v>0.25</v>
      </c>
      <c r="K2451" s="4">
        <v>0</v>
      </c>
      <c r="L2451" s="4">
        <v>0</v>
      </c>
      <c r="M2451" s="4">
        <f t="shared" si="114"/>
        <v>0</v>
      </c>
      <c r="N2451" s="4">
        <f t="shared" si="115"/>
        <v>-0.25</v>
      </c>
      <c r="O2451" s="4">
        <f t="shared" si="116"/>
        <v>0</v>
      </c>
      <c r="P2451" s="3" t="s">
        <v>19</v>
      </c>
    </row>
    <row r="2452" spans="1:16" x14ac:dyDescent="0.35">
      <c r="A2452" s="3" t="s">
        <v>35</v>
      </c>
      <c r="B2452" s="3" t="str">
        <f>INDEX(State_Region!$B$2:$B$26,MATCH(TRIM(A2452),State_Region!$A$2:$A$26,0))</f>
        <v>North</v>
      </c>
      <c r="C2452" s="3" t="s">
        <v>96</v>
      </c>
      <c r="D2452" s="3" t="str">
        <f>INDEX(Port_Type!$B$2:$B$227,MATCH(TRIM(C2452),Port_Type!$A$2:$A$227,0))</f>
        <v>Inland ICD / CFS</v>
      </c>
      <c r="E2452" s="3" t="s">
        <v>39</v>
      </c>
      <c r="F2452" s="3" t="str">
        <f>INDEX(Product_Category!$B$2:$B$45,MATCH(TRIM(E2452),Product_Category!$A$2:$A$45,0))</f>
        <v>Processed Foods</v>
      </c>
      <c r="G2452" s="4">
        <v>0</v>
      </c>
      <c r="H2452" s="4">
        <v>0.1</v>
      </c>
      <c r="I2452" s="4">
        <v>0</v>
      </c>
      <c r="J2452" s="4">
        <v>0</v>
      </c>
      <c r="K2452" s="4">
        <v>29.64</v>
      </c>
      <c r="L2452" s="4">
        <v>0</v>
      </c>
      <c r="M2452" s="4">
        <f t="shared" si="114"/>
        <v>0.1</v>
      </c>
      <c r="N2452" s="4">
        <f t="shared" si="115"/>
        <v>29.64</v>
      </c>
      <c r="O2452" s="4">
        <f t="shared" si="116"/>
        <v>-0.1</v>
      </c>
      <c r="P2452" s="3" t="s">
        <v>19</v>
      </c>
    </row>
    <row r="2453" spans="1:16" x14ac:dyDescent="0.35">
      <c r="A2453" s="3" t="s">
        <v>35</v>
      </c>
      <c r="B2453" s="3" t="str">
        <f>INDEX(State_Region!$B$2:$B$26,MATCH(TRIM(A2453),State_Region!$A$2:$A$26,0))</f>
        <v>North</v>
      </c>
      <c r="C2453" s="3" t="s">
        <v>96</v>
      </c>
      <c r="D2453" s="3" t="str">
        <f>INDEX(Port_Type!$B$2:$B$227,MATCH(TRIM(C2453),Port_Type!$A$2:$A$227,0))</f>
        <v>Inland ICD / CFS</v>
      </c>
      <c r="E2453" s="3" t="s">
        <v>53</v>
      </c>
      <c r="F2453" s="3" t="str">
        <f>INDEX(Product_Category!$B$2:$B$45,MATCH(TRIM(E2453),Product_Category!$A$2:$A$45,0))</f>
        <v>Processed Foods</v>
      </c>
      <c r="G2453" s="4">
        <v>0</v>
      </c>
      <c r="H2453" s="4">
        <v>0</v>
      </c>
      <c r="I2453" s="4">
        <v>0</v>
      </c>
      <c r="J2453" s="4">
        <v>0</v>
      </c>
      <c r="K2453" s="4">
        <v>0.05</v>
      </c>
      <c r="L2453" s="4">
        <v>0</v>
      </c>
      <c r="M2453" s="4">
        <f t="shared" si="114"/>
        <v>0</v>
      </c>
      <c r="N2453" s="4">
        <f t="shared" si="115"/>
        <v>0.05</v>
      </c>
      <c r="O2453" s="4">
        <f t="shared" si="116"/>
        <v>0</v>
      </c>
      <c r="P2453" s="3" t="s">
        <v>19</v>
      </c>
    </row>
    <row r="2454" spans="1:16" x14ac:dyDescent="0.35">
      <c r="A2454" s="3" t="s">
        <v>23</v>
      </c>
      <c r="B2454" s="3" t="str">
        <f>INDEX(State_Region!$B$2:$B$26,MATCH(TRIM(A2454),State_Region!$A$2:$A$26,0))</f>
        <v>North</v>
      </c>
      <c r="C2454" s="3" t="s">
        <v>30</v>
      </c>
      <c r="D2454" s="3" t="str">
        <f>INDEX(Port_Type!$B$2:$B$227,MATCH(TRIM(C2454),Port_Type!$A$2:$A$227,0))</f>
        <v>Inland ICD / CFS</v>
      </c>
      <c r="E2454" s="3" t="s">
        <v>179</v>
      </c>
      <c r="F2454" s="3" t="str">
        <f>INDEX(Product_Category!$B$2:$B$45,MATCH(TRIM(E2454),Product_Category!$A$2:$A$45,0))</f>
        <v>Nuts &amp; Oilseeds</v>
      </c>
      <c r="G2454" s="4">
        <v>0</v>
      </c>
      <c r="H2454" s="4">
        <v>0</v>
      </c>
      <c r="I2454" s="4">
        <v>0</v>
      </c>
      <c r="J2454" s="4">
        <v>0.01</v>
      </c>
      <c r="K2454" s="4">
        <v>0</v>
      </c>
      <c r="L2454" s="4">
        <v>0</v>
      </c>
      <c r="M2454" s="4">
        <f t="shared" si="114"/>
        <v>0</v>
      </c>
      <c r="N2454" s="4">
        <f t="shared" si="115"/>
        <v>-0.01</v>
      </c>
      <c r="O2454" s="4">
        <f t="shared" si="116"/>
        <v>0</v>
      </c>
      <c r="P2454" s="3" t="s">
        <v>19</v>
      </c>
    </row>
    <row r="2455" spans="1:16" x14ac:dyDescent="0.35">
      <c r="A2455" s="3" t="s">
        <v>35</v>
      </c>
      <c r="B2455" s="3" t="str">
        <f>INDEX(State_Region!$B$2:$B$26,MATCH(TRIM(A2455),State_Region!$A$2:$A$26,0))</f>
        <v>North</v>
      </c>
      <c r="C2455" s="3" t="s">
        <v>96</v>
      </c>
      <c r="D2455" s="3" t="str">
        <f>INDEX(Port_Type!$B$2:$B$227,MATCH(TRIM(C2455),Port_Type!$A$2:$A$227,0))</f>
        <v>Inland ICD / CFS</v>
      </c>
      <c r="E2455" s="3" t="s">
        <v>72</v>
      </c>
      <c r="F2455" s="3" t="str">
        <f>INDEX(Product_Category!$B$2:$B$45,MATCH(TRIM(E2455),Product_Category!$A$2:$A$45,0))</f>
        <v>Dairy, Poultry &amp; Honey</v>
      </c>
      <c r="G2455" s="4">
        <v>0</v>
      </c>
      <c r="H2455" s="4">
        <v>0</v>
      </c>
      <c r="I2455" s="4">
        <v>0</v>
      </c>
      <c r="J2455" s="4">
        <v>0</v>
      </c>
      <c r="K2455" s="4">
        <v>0.06</v>
      </c>
      <c r="L2455" s="4">
        <v>0</v>
      </c>
      <c r="M2455" s="4">
        <f t="shared" si="114"/>
        <v>0</v>
      </c>
      <c r="N2455" s="4">
        <f t="shared" si="115"/>
        <v>0.06</v>
      </c>
      <c r="O2455" s="4">
        <f t="shared" si="116"/>
        <v>0</v>
      </c>
      <c r="P2455" s="3" t="s">
        <v>19</v>
      </c>
    </row>
    <row r="2456" spans="1:16" x14ac:dyDescent="0.35">
      <c r="A2456" s="3" t="s">
        <v>35</v>
      </c>
      <c r="B2456" s="3" t="str">
        <f>INDEX(State_Region!$B$2:$B$26,MATCH(TRIM(A2456),State_Region!$A$2:$A$26,0))</f>
        <v>North</v>
      </c>
      <c r="C2456" s="3" t="s">
        <v>96</v>
      </c>
      <c r="D2456" s="3" t="str">
        <f>INDEX(Port_Type!$B$2:$B$227,MATCH(TRIM(C2456),Port_Type!$A$2:$A$227,0))</f>
        <v>Inland ICD / CFS</v>
      </c>
      <c r="E2456" s="3" t="s">
        <v>48</v>
      </c>
      <c r="F2456" s="3" t="str">
        <f>INDEX(Product_Category!$B$2:$B$45,MATCH(TRIM(E2456),Product_Category!$A$2:$A$45,0))</f>
        <v>Processed Foods</v>
      </c>
      <c r="G2456" s="4">
        <v>0</v>
      </c>
      <c r="H2456" s="4">
        <v>0.03</v>
      </c>
      <c r="I2456" s="4">
        <v>0</v>
      </c>
      <c r="J2456" s="4">
        <v>0</v>
      </c>
      <c r="K2456" s="4">
        <v>14.21</v>
      </c>
      <c r="L2456" s="4">
        <v>0</v>
      </c>
      <c r="M2456" s="4">
        <f t="shared" si="114"/>
        <v>0.03</v>
      </c>
      <c r="N2456" s="4">
        <f t="shared" si="115"/>
        <v>14.21</v>
      </c>
      <c r="O2456" s="4">
        <f t="shared" si="116"/>
        <v>-0.03</v>
      </c>
      <c r="P2456" s="3" t="s">
        <v>19</v>
      </c>
    </row>
    <row r="2457" spans="1:16" x14ac:dyDescent="0.35">
      <c r="A2457" s="3" t="s">
        <v>16</v>
      </c>
      <c r="B2457" s="3" t="str">
        <f>INDEX(State_Region!$B$2:$B$26,MATCH(TRIM(A2457),State_Region!$A$2:$A$26,0))</f>
        <v>West</v>
      </c>
      <c r="C2457" s="3" t="s">
        <v>105</v>
      </c>
      <c r="D2457" s="3" t="str">
        <f>INDEX(Port_Type!$B$2:$B$227,MATCH(TRIM(C2457),Port_Type!$A$2:$A$227,0))</f>
        <v>SEZ / EPZ</v>
      </c>
      <c r="E2457" s="3" t="s">
        <v>181</v>
      </c>
      <c r="F2457" s="3" t="str">
        <f>INDEX(Product_Category!$B$2:$B$45,MATCH(TRIM(E2457),Product_Category!$A$2:$A$45,0))</f>
        <v>Nuts &amp; Oilseeds</v>
      </c>
      <c r="G2457" s="4">
        <v>0</v>
      </c>
      <c r="H2457" s="4">
        <v>0.13</v>
      </c>
      <c r="I2457" s="4">
        <v>0</v>
      </c>
      <c r="J2457" s="4">
        <v>0</v>
      </c>
      <c r="K2457" s="4">
        <v>54</v>
      </c>
      <c r="L2457" s="4">
        <v>0</v>
      </c>
      <c r="M2457" s="4">
        <f t="shared" si="114"/>
        <v>0.13</v>
      </c>
      <c r="N2457" s="4">
        <f t="shared" si="115"/>
        <v>54</v>
      </c>
      <c r="O2457" s="4">
        <f t="shared" si="116"/>
        <v>-0.13</v>
      </c>
      <c r="P2457" s="3" t="s">
        <v>19</v>
      </c>
    </row>
    <row r="2458" spans="1:16" x14ac:dyDescent="0.35">
      <c r="A2458" s="3" t="s">
        <v>23</v>
      </c>
      <c r="B2458" s="3" t="str">
        <f>INDEX(State_Region!$B$2:$B$26,MATCH(TRIM(A2458),State_Region!$A$2:$A$26,0))</f>
        <v>North</v>
      </c>
      <c r="C2458" s="3" t="s">
        <v>30</v>
      </c>
      <c r="D2458" s="3" t="str">
        <f>INDEX(Port_Type!$B$2:$B$227,MATCH(TRIM(C2458),Port_Type!$A$2:$A$227,0))</f>
        <v>Inland ICD / CFS</v>
      </c>
      <c r="E2458" s="3" t="s">
        <v>122</v>
      </c>
      <c r="F2458" s="3" t="str">
        <f>INDEX(Product_Category!$B$2:$B$45,MATCH(TRIM(E2458),Product_Category!$A$2:$A$45,0))</f>
        <v>Others</v>
      </c>
      <c r="G2458" s="4">
        <v>0</v>
      </c>
      <c r="H2458" s="4">
        <v>0</v>
      </c>
      <c r="I2458" s="4">
        <v>0</v>
      </c>
      <c r="J2458" s="4">
        <v>0.72</v>
      </c>
      <c r="K2458" s="4">
        <v>0.52</v>
      </c>
      <c r="L2458" s="4">
        <v>0</v>
      </c>
      <c r="M2458" s="4">
        <f t="shared" si="114"/>
        <v>0</v>
      </c>
      <c r="N2458" s="4">
        <f t="shared" si="115"/>
        <v>-0.19999999999999996</v>
      </c>
      <c r="O2458" s="4">
        <f t="shared" si="116"/>
        <v>0</v>
      </c>
      <c r="P2458" s="3" t="s">
        <v>19</v>
      </c>
    </row>
    <row r="2459" spans="1:16" x14ac:dyDescent="0.35">
      <c r="A2459" s="3" t="s">
        <v>16</v>
      </c>
      <c r="B2459" s="3" t="str">
        <f>INDEX(State_Region!$B$2:$B$26,MATCH(TRIM(A2459),State_Region!$A$2:$A$26,0))</f>
        <v>West</v>
      </c>
      <c r="C2459" s="3" t="s">
        <v>105</v>
      </c>
      <c r="D2459" s="3" t="str">
        <f>INDEX(Port_Type!$B$2:$B$227,MATCH(TRIM(C2459),Port_Type!$A$2:$A$227,0))</f>
        <v>SEZ / EPZ</v>
      </c>
      <c r="E2459" s="3" t="s">
        <v>42</v>
      </c>
      <c r="F2459" s="3" t="str">
        <f>INDEX(Product_Category!$B$2:$B$45,MATCH(TRIM(E2459),Product_Category!$A$2:$A$45,0))</f>
        <v>Processed Foods</v>
      </c>
      <c r="G2459" s="4">
        <v>0</v>
      </c>
      <c r="H2459" s="4">
        <v>0</v>
      </c>
      <c r="I2459" s="4">
        <v>0</v>
      </c>
      <c r="J2459" s="4">
        <v>0.2</v>
      </c>
      <c r="K2459" s="4">
        <v>0</v>
      </c>
      <c r="L2459" s="4">
        <v>0</v>
      </c>
      <c r="M2459" s="4">
        <f t="shared" si="114"/>
        <v>0</v>
      </c>
      <c r="N2459" s="4">
        <f t="shared" si="115"/>
        <v>-0.2</v>
      </c>
      <c r="O2459" s="4">
        <f t="shared" si="116"/>
        <v>0</v>
      </c>
      <c r="P2459" s="3" t="s">
        <v>19</v>
      </c>
    </row>
    <row r="2460" spans="1:16" x14ac:dyDescent="0.35">
      <c r="A2460" s="3" t="s">
        <v>16</v>
      </c>
      <c r="B2460" s="3" t="str">
        <f>INDEX(State_Region!$B$2:$B$26,MATCH(TRIM(A2460),State_Region!$A$2:$A$26,0))</f>
        <v>West</v>
      </c>
      <c r="C2460" s="3" t="s">
        <v>105</v>
      </c>
      <c r="D2460" s="3" t="str">
        <f>INDEX(Port_Type!$B$2:$B$227,MATCH(TRIM(C2460),Port_Type!$A$2:$A$227,0))</f>
        <v>SEZ / EPZ</v>
      </c>
      <c r="E2460" s="3" t="s">
        <v>54</v>
      </c>
      <c r="F2460" s="3" t="str">
        <f>INDEX(Product_Category!$B$2:$B$45,MATCH(TRIM(E2460),Product_Category!$A$2:$A$45,0))</f>
        <v>Processed Foods</v>
      </c>
      <c r="G2460" s="4">
        <v>0.03</v>
      </c>
      <c r="H2460" s="4">
        <v>0</v>
      </c>
      <c r="I2460" s="4">
        <v>0</v>
      </c>
      <c r="J2460" s="4">
        <v>1.52</v>
      </c>
      <c r="K2460" s="4">
        <v>0</v>
      </c>
      <c r="L2460" s="4">
        <v>0</v>
      </c>
      <c r="M2460" s="4">
        <f t="shared" si="114"/>
        <v>-0.03</v>
      </c>
      <c r="N2460" s="4">
        <f t="shared" si="115"/>
        <v>-1.52</v>
      </c>
      <c r="O2460" s="4">
        <f t="shared" si="116"/>
        <v>0</v>
      </c>
      <c r="P2460" s="3" t="s">
        <v>19</v>
      </c>
    </row>
    <row r="2461" spans="1:16" x14ac:dyDescent="0.35">
      <c r="A2461" s="3" t="s">
        <v>16</v>
      </c>
      <c r="B2461" s="3" t="str">
        <f>INDEX(State_Region!$B$2:$B$26,MATCH(TRIM(A2461),State_Region!$A$2:$A$26,0))</f>
        <v>West</v>
      </c>
      <c r="C2461" s="3" t="s">
        <v>105</v>
      </c>
      <c r="D2461" s="3" t="str">
        <f>INDEX(Port_Type!$B$2:$B$227,MATCH(TRIM(C2461),Port_Type!$A$2:$A$227,0))</f>
        <v>SEZ / EPZ</v>
      </c>
      <c r="E2461" s="3" t="s">
        <v>65</v>
      </c>
      <c r="F2461" s="3" t="str">
        <f>INDEX(Product_Category!$B$2:$B$45,MATCH(TRIM(E2461),Product_Category!$A$2:$A$45,0))</f>
        <v>Cereals &amp; Grains</v>
      </c>
      <c r="G2461" s="4">
        <v>0</v>
      </c>
      <c r="H2461" s="4">
        <v>0</v>
      </c>
      <c r="I2461" s="4">
        <v>0</v>
      </c>
      <c r="J2461" s="4">
        <v>0.06</v>
      </c>
      <c r="K2461" s="4">
        <v>0</v>
      </c>
      <c r="L2461" s="4">
        <v>0</v>
      </c>
      <c r="M2461" s="4">
        <f t="shared" si="114"/>
        <v>0</v>
      </c>
      <c r="N2461" s="4">
        <f t="shared" si="115"/>
        <v>-0.06</v>
      </c>
      <c r="O2461" s="4">
        <f t="shared" si="116"/>
        <v>0</v>
      </c>
      <c r="P2461" s="3" t="s">
        <v>19</v>
      </c>
    </row>
    <row r="2462" spans="1:16" x14ac:dyDescent="0.35">
      <c r="A2462" s="3" t="s">
        <v>23</v>
      </c>
      <c r="B2462" s="3" t="str">
        <f>INDEX(State_Region!$B$2:$B$26,MATCH(TRIM(A2462),State_Region!$A$2:$A$26,0))</f>
        <v>North</v>
      </c>
      <c r="C2462" s="3" t="s">
        <v>30</v>
      </c>
      <c r="D2462" s="3" t="str">
        <f>INDEX(Port_Type!$B$2:$B$227,MATCH(TRIM(C2462),Port_Type!$A$2:$A$227,0))</f>
        <v>Inland ICD / CFS</v>
      </c>
      <c r="E2462" s="3" t="s">
        <v>46</v>
      </c>
      <c r="F2462" s="3" t="str">
        <f>INDEX(Product_Category!$B$2:$B$45,MATCH(TRIM(E2462),Product_Category!$A$2:$A$45,0))</f>
        <v>Others</v>
      </c>
      <c r="G2462" s="4">
        <v>0.09</v>
      </c>
      <c r="H2462" s="4">
        <v>0.05</v>
      </c>
      <c r="I2462" s="4">
        <v>0</v>
      </c>
      <c r="J2462" s="4">
        <v>28.8</v>
      </c>
      <c r="K2462" s="4">
        <v>20.45</v>
      </c>
      <c r="L2462" s="4">
        <v>0</v>
      </c>
      <c r="M2462" s="4">
        <f t="shared" si="114"/>
        <v>-3.9999999999999994E-2</v>
      </c>
      <c r="N2462" s="4">
        <f t="shared" si="115"/>
        <v>-8.3500000000000014</v>
      </c>
      <c r="O2462" s="4">
        <f t="shared" si="116"/>
        <v>-0.05</v>
      </c>
      <c r="P2462" s="3" t="s">
        <v>19</v>
      </c>
    </row>
    <row r="2463" spans="1:16" x14ac:dyDescent="0.35">
      <c r="A2463" s="3" t="s">
        <v>16</v>
      </c>
      <c r="B2463" s="3" t="str">
        <f>INDEX(State_Region!$B$2:$B$26,MATCH(TRIM(A2463),State_Region!$A$2:$A$26,0))</f>
        <v>West</v>
      </c>
      <c r="C2463" s="3" t="s">
        <v>105</v>
      </c>
      <c r="D2463" s="3" t="str">
        <f>INDEX(Port_Type!$B$2:$B$227,MATCH(TRIM(C2463),Port_Type!$A$2:$A$227,0))</f>
        <v>SEZ / EPZ</v>
      </c>
      <c r="E2463" s="3" t="s">
        <v>60</v>
      </c>
      <c r="F2463" s="3" t="str">
        <f>INDEX(Product_Category!$B$2:$B$45,MATCH(TRIM(E2463),Product_Category!$A$2:$A$45,0))</f>
        <v>Processed Foods</v>
      </c>
      <c r="G2463" s="4">
        <v>0</v>
      </c>
      <c r="H2463" s="4">
        <v>0.34</v>
      </c>
      <c r="I2463" s="4">
        <v>0</v>
      </c>
      <c r="J2463" s="4">
        <v>0</v>
      </c>
      <c r="K2463" s="4">
        <v>13.79</v>
      </c>
      <c r="L2463" s="4">
        <v>0</v>
      </c>
      <c r="M2463" s="4">
        <f t="shared" si="114"/>
        <v>0.34</v>
      </c>
      <c r="N2463" s="4">
        <f t="shared" si="115"/>
        <v>13.79</v>
      </c>
      <c r="O2463" s="4">
        <f t="shared" si="116"/>
        <v>-0.34</v>
      </c>
      <c r="P2463" s="3" t="s">
        <v>19</v>
      </c>
    </row>
    <row r="2464" spans="1:16" x14ac:dyDescent="0.35">
      <c r="A2464" s="3" t="s">
        <v>16</v>
      </c>
      <c r="B2464" s="3" t="str">
        <f>INDEX(State_Region!$B$2:$B$26,MATCH(TRIM(A2464),State_Region!$A$2:$A$26,0))</f>
        <v>West</v>
      </c>
      <c r="C2464" s="3" t="s">
        <v>140</v>
      </c>
      <c r="D2464" s="3" t="str">
        <f>INDEX(Port_Type!$B$2:$B$227,MATCH(TRIM(C2464),Port_Type!$A$2:$A$227,0))</f>
        <v>SEZ / EPZ</v>
      </c>
      <c r="E2464" s="3" t="s">
        <v>181</v>
      </c>
      <c r="F2464" s="3" t="str">
        <f>INDEX(Product_Category!$B$2:$B$45,MATCH(TRIM(E2464),Product_Category!$A$2:$A$45,0))</f>
        <v>Nuts &amp; Oilseeds</v>
      </c>
      <c r="G2464" s="4">
        <v>0.13</v>
      </c>
      <c r="H2464" s="4">
        <v>0</v>
      </c>
      <c r="I2464" s="4">
        <v>0</v>
      </c>
      <c r="J2464" s="4">
        <v>180</v>
      </c>
      <c r="K2464" s="4">
        <v>0</v>
      </c>
      <c r="L2464" s="4">
        <v>0</v>
      </c>
      <c r="M2464" s="4">
        <f t="shared" si="114"/>
        <v>-0.13</v>
      </c>
      <c r="N2464" s="4">
        <f t="shared" si="115"/>
        <v>-180</v>
      </c>
      <c r="O2464" s="4">
        <f t="shared" si="116"/>
        <v>0</v>
      </c>
      <c r="P2464" s="3" t="s">
        <v>19</v>
      </c>
    </row>
    <row r="2465" spans="1:16" x14ac:dyDescent="0.35">
      <c r="A2465" s="3" t="s">
        <v>16</v>
      </c>
      <c r="B2465" s="3" t="str">
        <f>INDEX(State_Region!$B$2:$B$26,MATCH(TRIM(A2465),State_Region!$A$2:$A$26,0))</f>
        <v>West</v>
      </c>
      <c r="C2465" s="3" t="s">
        <v>140</v>
      </c>
      <c r="D2465" s="3" t="str">
        <f>INDEX(Port_Type!$B$2:$B$227,MATCH(TRIM(C2465),Port_Type!$A$2:$A$227,0))</f>
        <v>SEZ / EPZ</v>
      </c>
      <c r="E2465" s="3" t="s">
        <v>170</v>
      </c>
      <c r="F2465" s="3" t="str">
        <f>INDEX(Product_Category!$B$2:$B$45,MATCH(TRIM(E2465),Product_Category!$A$2:$A$45,0))</f>
        <v>Others</v>
      </c>
      <c r="G2465" s="4">
        <v>3.46</v>
      </c>
      <c r="H2465" s="4">
        <v>0</v>
      </c>
      <c r="I2465" s="4">
        <v>0</v>
      </c>
      <c r="J2465" s="4">
        <v>899</v>
      </c>
      <c r="K2465" s="4">
        <v>0</v>
      </c>
      <c r="L2465" s="4">
        <v>0</v>
      </c>
      <c r="M2465" s="4">
        <f t="shared" si="114"/>
        <v>-3.46</v>
      </c>
      <c r="N2465" s="4">
        <f t="shared" si="115"/>
        <v>-899</v>
      </c>
      <c r="O2465" s="4">
        <f t="shared" si="116"/>
        <v>0</v>
      </c>
      <c r="P2465" s="3" t="s">
        <v>19</v>
      </c>
    </row>
    <row r="2466" spans="1:16" x14ac:dyDescent="0.35">
      <c r="A2466" s="3" t="s">
        <v>16</v>
      </c>
      <c r="B2466" s="3" t="str">
        <f>INDEX(State_Region!$B$2:$B$26,MATCH(TRIM(A2466),State_Region!$A$2:$A$26,0))</f>
        <v>West</v>
      </c>
      <c r="C2466" s="3" t="s">
        <v>140</v>
      </c>
      <c r="D2466" s="3" t="str">
        <f>INDEX(Port_Type!$B$2:$B$227,MATCH(TRIM(C2466),Port_Type!$A$2:$A$227,0))</f>
        <v>SEZ / EPZ</v>
      </c>
      <c r="E2466" s="3" t="s">
        <v>45</v>
      </c>
      <c r="F2466" s="3" t="str">
        <f>INDEX(Product_Category!$B$2:$B$45,MATCH(TRIM(E2466),Product_Category!$A$2:$A$45,0))</f>
        <v>Fresh Fruits &amp; Vegetables</v>
      </c>
      <c r="G2466" s="4">
        <v>1.06</v>
      </c>
      <c r="H2466" s="4">
        <v>0.01</v>
      </c>
      <c r="I2466" s="4">
        <v>0</v>
      </c>
      <c r="J2466" s="4">
        <v>2448.5100000000002</v>
      </c>
      <c r="K2466" s="4">
        <v>24.42</v>
      </c>
      <c r="L2466" s="4">
        <v>0</v>
      </c>
      <c r="M2466" s="4">
        <f t="shared" si="114"/>
        <v>-1.05</v>
      </c>
      <c r="N2466" s="4">
        <f t="shared" si="115"/>
        <v>-2424.09</v>
      </c>
      <c r="O2466" s="4">
        <f t="shared" si="116"/>
        <v>-0.01</v>
      </c>
      <c r="P2466" s="3" t="s">
        <v>19</v>
      </c>
    </row>
    <row r="2467" spans="1:16" x14ac:dyDescent="0.35">
      <c r="A2467" s="3" t="s">
        <v>23</v>
      </c>
      <c r="B2467" s="3" t="str">
        <f>INDEX(State_Region!$B$2:$B$26,MATCH(TRIM(A2467),State_Region!$A$2:$A$26,0))</f>
        <v>North</v>
      </c>
      <c r="C2467" s="3" t="s">
        <v>30</v>
      </c>
      <c r="D2467" s="3" t="str">
        <f>INDEX(Port_Type!$B$2:$B$227,MATCH(TRIM(C2467),Port_Type!$A$2:$A$227,0))</f>
        <v>Inland ICD / CFS</v>
      </c>
      <c r="E2467" s="3" t="s">
        <v>126</v>
      </c>
      <c r="F2467" s="3" t="str">
        <f>INDEX(Product_Category!$B$2:$B$45,MATCH(TRIM(E2467),Product_Category!$A$2:$A$45,0))</f>
        <v>Cereals &amp; Grains</v>
      </c>
      <c r="G2467" s="4">
        <v>0.01</v>
      </c>
      <c r="H2467" s="4">
        <v>0</v>
      </c>
      <c r="I2467" s="4">
        <v>0</v>
      </c>
      <c r="J2467" s="4">
        <v>2.63</v>
      </c>
      <c r="K2467" s="4">
        <v>0</v>
      </c>
      <c r="L2467" s="4">
        <v>0</v>
      </c>
      <c r="M2467" s="4">
        <f t="shared" si="114"/>
        <v>-0.01</v>
      </c>
      <c r="N2467" s="4">
        <f t="shared" si="115"/>
        <v>-2.63</v>
      </c>
      <c r="O2467" s="4">
        <f t="shared" si="116"/>
        <v>0</v>
      </c>
      <c r="P2467" s="3" t="s">
        <v>19</v>
      </c>
    </row>
    <row r="2468" spans="1:16" x14ac:dyDescent="0.35">
      <c r="A2468" s="3" t="s">
        <v>16</v>
      </c>
      <c r="B2468" s="3" t="str">
        <f>INDEX(State_Region!$B$2:$B$26,MATCH(TRIM(A2468),State_Region!$A$2:$A$26,0))</f>
        <v>West</v>
      </c>
      <c r="C2468" s="3" t="s">
        <v>140</v>
      </c>
      <c r="D2468" s="3" t="str">
        <f>INDEX(Port_Type!$B$2:$B$227,MATCH(TRIM(C2468),Port_Type!$A$2:$A$227,0))</f>
        <v>SEZ / EPZ</v>
      </c>
      <c r="E2468" s="3" t="s">
        <v>144</v>
      </c>
      <c r="F2468" s="3" t="str">
        <f>INDEX(Product_Category!$B$2:$B$45,MATCH(TRIM(E2468),Product_Category!$A$2:$A$45,0))</f>
        <v>Cereals &amp; Grains</v>
      </c>
      <c r="G2468" s="4">
        <v>0</v>
      </c>
      <c r="H2468" s="4">
        <v>0</v>
      </c>
      <c r="I2468" s="4">
        <v>0</v>
      </c>
      <c r="J2468" s="4">
        <v>0.03</v>
      </c>
      <c r="K2468" s="4">
        <v>0</v>
      </c>
      <c r="L2468" s="4">
        <v>0</v>
      </c>
      <c r="M2468" s="4">
        <f t="shared" si="114"/>
        <v>0</v>
      </c>
      <c r="N2468" s="4">
        <f t="shared" si="115"/>
        <v>-0.03</v>
      </c>
      <c r="O2468" s="4">
        <f t="shared" si="116"/>
        <v>0</v>
      </c>
      <c r="P2468" s="3" t="s">
        <v>19</v>
      </c>
    </row>
    <row r="2469" spans="1:16" x14ac:dyDescent="0.35">
      <c r="A2469" s="3" t="s">
        <v>23</v>
      </c>
      <c r="B2469" s="3" t="str">
        <f>INDEX(State_Region!$B$2:$B$26,MATCH(TRIM(A2469),State_Region!$A$2:$A$26,0))</f>
        <v>North</v>
      </c>
      <c r="C2469" s="3" t="s">
        <v>30</v>
      </c>
      <c r="D2469" s="3" t="str">
        <f>INDEX(Port_Type!$B$2:$B$227,MATCH(TRIM(C2469),Port_Type!$A$2:$A$227,0))</f>
        <v>Inland ICD / CFS</v>
      </c>
      <c r="E2469" s="3" t="s">
        <v>102</v>
      </c>
      <c r="F2469" s="3" t="str">
        <f>INDEX(Product_Category!$B$2:$B$45,MATCH(TRIM(E2469),Product_Category!$A$2:$A$45,0))</f>
        <v>Fresh Fruits &amp; Vegetables</v>
      </c>
      <c r="G2469" s="4">
        <v>0.03</v>
      </c>
      <c r="H2469" s="4">
        <v>0</v>
      </c>
      <c r="I2469" s="4">
        <v>0</v>
      </c>
      <c r="J2469" s="4">
        <v>71.8</v>
      </c>
      <c r="K2469" s="4">
        <v>0</v>
      </c>
      <c r="L2469" s="4">
        <v>0</v>
      </c>
      <c r="M2469" s="4">
        <f t="shared" si="114"/>
        <v>-0.03</v>
      </c>
      <c r="N2469" s="4">
        <f t="shared" si="115"/>
        <v>-71.8</v>
      </c>
      <c r="O2469" s="4">
        <f t="shared" si="116"/>
        <v>0</v>
      </c>
      <c r="P2469" s="3" t="s">
        <v>19</v>
      </c>
    </row>
    <row r="2470" spans="1:16" x14ac:dyDescent="0.35">
      <c r="A2470" s="3" t="s">
        <v>23</v>
      </c>
      <c r="B2470" s="3" t="str">
        <f>INDEX(State_Region!$B$2:$B$26,MATCH(TRIM(A2470),State_Region!$A$2:$A$26,0))</f>
        <v>North</v>
      </c>
      <c r="C2470" s="3" t="s">
        <v>30</v>
      </c>
      <c r="D2470" s="3" t="str">
        <f>INDEX(Port_Type!$B$2:$B$227,MATCH(TRIM(C2470),Port_Type!$A$2:$A$227,0))</f>
        <v>Inland ICD / CFS</v>
      </c>
      <c r="E2470" s="3" t="s">
        <v>170</v>
      </c>
      <c r="F2470" s="3" t="str">
        <f>INDEX(Product_Category!$B$2:$B$45,MATCH(TRIM(E2470),Product_Category!$A$2:$A$45,0))</f>
        <v>Others</v>
      </c>
      <c r="G2470" s="4">
        <v>0</v>
      </c>
      <c r="H2470" s="4">
        <v>0</v>
      </c>
      <c r="I2470" s="4">
        <v>0</v>
      </c>
      <c r="J2470" s="4">
        <v>0.09</v>
      </c>
      <c r="K2470" s="4">
        <v>0.01</v>
      </c>
      <c r="L2470" s="4">
        <v>0</v>
      </c>
      <c r="M2470" s="4">
        <f t="shared" si="114"/>
        <v>0</v>
      </c>
      <c r="N2470" s="4">
        <f t="shared" si="115"/>
        <v>-0.08</v>
      </c>
      <c r="O2470" s="4">
        <f t="shared" si="116"/>
        <v>0</v>
      </c>
      <c r="P2470" s="3" t="s">
        <v>19</v>
      </c>
    </row>
    <row r="2471" spans="1:16" x14ac:dyDescent="0.35">
      <c r="A2471" s="3" t="s">
        <v>23</v>
      </c>
      <c r="B2471" s="3" t="str">
        <f>INDEX(State_Region!$B$2:$B$26,MATCH(TRIM(A2471),State_Region!$A$2:$A$26,0))</f>
        <v>North</v>
      </c>
      <c r="C2471" s="3" t="s">
        <v>30</v>
      </c>
      <c r="D2471" s="3" t="str">
        <f>INDEX(Port_Type!$B$2:$B$227,MATCH(TRIM(C2471),Port_Type!$A$2:$A$227,0))</f>
        <v>Inland ICD / CFS</v>
      </c>
      <c r="E2471" s="3" t="s">
        <v>128</v>
      </c>
      <c r="F2471" s="3" t="str">
        <f>INDEX(Product_Category!$B$2:$B$45,MATCH(TRIM(E2471),Product_Category!$A$2:$A$45,0))</f>
        <v>Dairy, Poultry &amp; Honey</v>
      </c>
      <c r="G2471" s="4">
        <v>0</v>
      </c>
      <c r="H2471" s="4">
        <v>0</v>
      </c>
      <c r="I2471" s="4">
        <v>0</v>
      </c>
      <c r="J2471" s="4">
        <v>0.2</v>
      </c>
      <c r="K2471" s="4">
        <v>0</v>
      </c>
      <c r="L2471" s="4">
        <v>0</v>
      </c>
      <c r="M2471" s="4">
        <f t="shared" si="114"/>
        <v>0</v>
      </c>
      <c r="N2471" s="4">
        <f t="shared" si="115"/>
        <v>-0.2</v>
      </c>
      <c r="O2471" s="4">
        <f t="shared" si="116"/>
        <v>0</v>
      </c>
      <c r="P2471" s="3" t="s">
        <v>19</v>
      </c>
    </row>
    <row r="2472" spans="1:16" x14ac:dyDescent="0.35">
      <c r="A2472" s="3" t="s">
        <v>16</v>
      </c>
      <c r="B2472" s="3" t="str">
        <f>INDEX(State_Region!$B$2:$B$26,MATCH(TRIM(A2472),State_Region!$A$2:$A$26,0))</f>
        <v>West</v>
      </c>
      <c r="C2472" s="3" t="s">
        <v>140</v>
      </c>
      <c r="D2472" s="3" t="str">
        <f>INDEX(Port_Type!$B$2:$B$227,MATCH(TRIM(C2472),Port_Type!$A$2:$A$227,0))</f>
        <v>SEZ / EPZ</v>
      </c>
      <c r="E2472" s="3" t="s">
        <v>53</v>
      </c>
      <c r="F2472" s="3" t="str">
        <f>INDEX(Product_Category!$B$2:$B$45,MATCH(TRIM(E2472),Product_Category!$A$2:$A$45,0))</f>
        <v>Processed Foods</v>
      </c>
      <c r="G2472" s="4">
        <v>0.09</v>
      </c>
      <c r="H2472" s="4">
        <v>0</v>
      </c>
      <c r="I2472" s="4">
        <v>0</v>
      </c>
      <c r="J2472" s="4">
        <v>66.3</v>
      </c>
      <c r="K2472" s="4">
        <v>0.45</v>
      </c>
      <c r="L2472" s="4">
        <v>0</v>
      </c>
      <c r="M2472" s="4">
        <f t="shared" si="114"/>
        <v>-0.09</v>
      </c>
      <c r="N2472" s="4">
        <f t="shared" si="115"/>
        <v>-65.849999999999994</v>
      </c>
      <c r="O2472" s="4">
        <f t="shared" si="116"/>
        <v>0</v>
      </c>
      <c r="P2472" s="3" t="s">
        <v>19</v>
      </c>
    </row>
    <row r="2473" spans="1:16" x14ac:dyDescent="0.35">
      <c r="A2473" s="3" t="s">
        <v>16</v>
      </c>
      <c r="B2473" s="3" t="str">
        <f>INDEX(State_Region!$B$2:$B$26,MATCH(TRIM(A2473),State_Region!$A$2:$A$26,0))</f>
        <v>West</v>
      </c>
      <c r="C2473" s="3" t="s">
        <v>280</v>
      </c>
      <c r="D2473" s="3" t="str">
        <f>INDEX(Port_Type!$B$2:$B$227,MATCH(TRIM(C2473),Port_Type!$A$2:$A$227,0))</f>
        <v>SEZ / EPZ</v>
      </c>
      <c r="E2473" s="3" t="s">
        <v>39</v>
      </c>
      <c r="F2473" s="3" t="str">
        <f>INDEX(Product_Category!$B$2:$B$45,MATCH(TRIM(E2473),Product_Category!$A$2:$A$45,0))</f>
        <v>Processed Foods</v>
      </c>
      <c r="G2473" s="4">
        <v>0</v>
      </c>
      <c r="H2473" s="4">
        <v>0</v>
      </c>
      <c r="I2473" s="4">
        <v>0</v>
      </c>
      <c r="J2473" s="4">
        <v>0.01</v>
      </c>
      <c r="K2473" s="4">
        <v>0</v>
      </c>
      <c r="L2473" s="4">
        <v>0</v>
      </c>
      <c r="M2473" s="4">
        <f t="shared" si="114"/>
        <v>0</v>
      </c>
      <c r="N2473" s="4">
        <f t="shared" si="115"/>
        <v>-0.01</v>
      </c>
      <c r="O2473" s="4">
        <f t="shared" si="116"/>
        <v>0</v>
      </c>
      <c r="P2473" s="3" t="s">
        <v>19</v>
      </c>
    </row>
    <row r="2474" spans="1:16" x14ac:dyDescent="0.35">
      <c r="A2474" s="3" t="s">
        <v>23</v>
      </c>
      <c r="B2474" s="3" t="str">
        <f>INDEX(State_Region!$B$2:$B$26,MATCH(TRIM(A2474),State_Region!$A$2:$A$26,0))</f>
        <v>North</v>
      </c>
      <c r="C2474" s="3" t="s">
        <v>30</v>
      </c>
      <c r="D2474" s="3" t="str">
        <f>INDEX(Port_Type!$B$2:$B$227,MATCH(TRIM(C2474),Port_Type!$A$2:$A$227,0))</f>
        <v>Inland ICD / CFS</v>
      </c>
      <c r="E2474" s="3" t="s">
        <v>181</v>
      </c>
      <c r="F2474" s="3" t="str">
        <f>INDEX(Product_Category!$B$2:$B$45,MATCH(TRIM(E2474),Product_Category!$A$2:$A$45,0))</f>
        <v>Nuts &amp; Oilseeds</v>
      </c>
      <c r="G2474" s="4">
        <v>0</v>
      </c>
      <c r="H2474" s="4">
        <v>0</v>
      </c>
      <c r="I2474" s="4">
        <v>0</v>
      </c>
      <c r="J2474" s="4">
        <v>0.24</v>
      </c>
      <c r="K2474" s="4">
        <v>0</v>
      </c>
      <c r="L2474" s="4">
        <v>0</v>
      </c>
      <c r="M2474" s="4">
        <f t="shared" si="114"/>
        <v>0</v>
      </c>
      <c r="N2474" s="4">
        <f t="shared" si="115"/>
        <v>-0.24</v>
      </c>
      <c r="O2474" s="4">
        <f t="shared" si="116"/>
        <v>0</v>
      </c>
      <c r="P2474" s="3" t="s">
        <v>19</v>
      </c>
    </row>
    <row r="2475" spans="1:16" x14ac:dyDescent="0.35">
      <c r="A2475" s="3" t="s">
        <v>16</v>
      </c>
      <c r="B2475" s="3" t="str">
        <f>INDEX(State_Region!$B$2:$B$26,MATCH(TRIM(A2475),State_Region!$A$2:$A$26,0))</f>
        <v>West</v>
      </c>
      <c r="C2475" s="3" t="s">
        <v>280</v>
      </c>
      <c r="D2475" s="3" t="str">
        <f>INDEX(Port_Type!$B$2:$B$227,MATCH(TRIM(C2475),Port_Type!$A$2:$A$227,0))</f>
        <v>SEZ / EPZ</v>
      </c>
      <c r="E2475" s="3" t="s">
        <v>60</v>
      </c>
      <c r="F2475" s="3" t="str">
        <f>INDEX(Product_Category!$B$2:$B$45,MATCH(TRIM(E2475),Product_Category!$A$2:$A$45,0))</f>
        <v>Processed Foods</v>
      </c>
      <c r="G2475" s="4">
        <v>0</v>
      </c>
      <c r="H2475" s="4">
        <v>0</v>
      </c>
      <c r="I2475" s="4">
        <v>0</v>
      </c>
      <c r="J2475" s="4">
        <v>0.54</v>
      </c>
      <c r="K2475" s="4">
        <v>0</v>
      </c>
      <c r="L2475" s="4">
        <v>0</v>
      </c>
      <c r="M2475" s="4">
        <f t="shared" si="114"/>
        <v>0</v>
      </c>
      <c r="N2475" s="4">
        <f t="shared" si="115"/>
        <v>-0.54</v>
      </c>
      <c r="O2475" s="4">
        <f t="shared" si="116"/>
        <v>0</v>
      </c>
      <c r="P2475" s="3" t="s">
        <v>19</v>
      </c>
    </row>
    <row r="2476" spans="1:16" x14ac:dyDescent="0.35">
      <c r="A2476" s="3" t="s">
        <v>16</v>
      </c>
      <c r="B2476" s="3" t="str">
        <f>INDEX(State_Region!$B$2:$B$26,MATCH(TRIM(A2476),State_Region!$A$2:$A$26,0))</f>
        <v>West</v>
      </c>
      <c r="C2476" s="3" t="s">
        <v>172</v>
      </c>
      <c r="D2476" s="3" t="str">
        <f>INDEX(Port_Type!$B$2:$B$227,MATCH(TRIM(C2476),Port_Type!$A$2:$A$227,0))</f>
        <v>Sea Port</v>
      </c>
      <c r="E2476" s="3" t="s">
        <v>55</v>
      </c>
      <c r="F2476" s="3" t="str">
        <f>INDEX(Product_Category!$B$2:$B$45,MATCH(TRIM(E2476),Product_Category!$A$2:$A$45,0))</f>
        <v>Fresh Fruits &amp; Vegetables</v>
      </c>
      <c r="G2476" s="4">
        <v>0.14000000000000001</v>
      </c>
      <c r="H2476" s="4">
        <v>0</v>
      </c>
      <c r="I2476" s="4">
        <v>0</v>
      </c>
      <c r="J2476" s="4">
        <v>610</v>
      </c>
      <c r="K2476" s="4">
        <v>0</v>
      </c>
      <c r="L2476" s="4">
        <v>0</v>
      </c>
      <c r="M2476" s="4">
        <f t="shared" si="114"/>
        <v>-0.14000000000000001</v>
      </c>
      <c r="N2476" s="4">
        <f t="shared" si="115"/>
        <v>-610</v>
      </c>
      <c r="O2476" s="4">
        <f t="shared" si="116"/>
        <v>0</v>
      </c>
      <c r="P2476" s="3" t="s">
        <v>19</v>
      </c>
    </row>
    <row r="2477" spans="1:16" x14ac:dyDescent="0.35">
      <c r="A2477" s="3" t="s">
        <v>16</v>
      </c>
      <c r="B2477" s="3" t="str">
        <f>INDEX(State_Region!$B$2:$B$26,MATCH(TRIM(A2477),State_Region!$A$2:$A$26,0))</f>
        <v>West</v>
      </c>
      <c r="C2477" s="3" t="s">
        <v>172</v>
      </c>
      <c r="D2477" s="3" t="str">
        <f>INDEX(Port_Type!$B$2:$B$227,MATCH(TRIM(C2477),Port_Type!$A$2:$A$227,0))</f>
        <v>Sea Port</v>
      </c>
      <c r="E2477" s="3" t="s">
        <v>122</v>
      </c>
      <c r="F2477" s="3" t="str">
        <f>INDEX(Product_Category!$B$2:$B$45,MATCH(TRIM(E2477),Product_Category!$A$2:$A$45,0))</f>
        <v>Others</v>
      </c>
      <c r="G2477" s="4">
        <v>0</v>
      </c>
      <c r="H2477" s="4">
        <v>0</v>
      </c>
      <c r="I2477" s="4">
        <v>0</v>
      </c>
      <c r="J2477" s="4">
        <v>0</v>
      </c>
      <c r="K2477" s="4">
        <v>3</v>
      </c>
      <c r="L2477" s="4">
        <v>0</v>
      </c>
      <c r="M2477" s="4">
        <f t="shared" si="114"/>
        <v>0</v>
      </c>
      <c r="N2477" s="4">
        <f t="shared" si="115"/>
        <v>3</v>
      </c>
      <c r="O2477" s="4">
        <f t="shared" si="116"/>
        <v>0</v>
      </c>
      <c r="P2477" s="3" t="s">
        <v>19</v>
      </c>
    </row>
    <row r="2478" spans="1:16" x14ac:dyDescent="0.35">
      <c r="A2478" s="3" t="s">
        <v>16</v>
      </c>
      <c r="B2478" s="3" t="str">
        <f>INDEX(State_Region!$B$2:$B$26,MATCH(TRIM(A2478),State_Region!$A$2:$A$26,0))</f>
        <v>West</v>
      </c>
      <c r="C2478" s="3" t="s">
        <v>52</v>
      </c>
      <c r="D2478" s="3" t="str">
        <f>INDEX(Port_Type!$B$2:$B$227,MATCH(TRIM(C2478),Port_Type!$A$2:$A$227,0))</f>
        <v>Sea Port</v>
      </c>
      <c r="E2478" s="3" t="s">
        <v>45</v>
      </c>
      <c r="F2478" s="3" t="str">
        <f>INDEX(Product_Category!$B$2:$B$45,MATCH(TRIM(E2478),Product_Category!$A$2:$A$45,0))</f>
        <v>Fresh Fruits &amp; Vegetables</v>
      </c>
      <c r="G2478" s="4">
        <v>0</v>
      </c>
      <c r="H2478" s="4">
        <v>0</v>
      </c>
      <c r="I2478" s="4">
        <v>0</v>
      </c>
      <c r="J2478" s="4">
        <v>2</v>
      </c>
      <c r="K2478" s="4">
        <v>0</v>
      </c>
      <c r="L2478" s="4">
        <v>0</v>
      </c>
      <c r="M2478" s="4">
        <f t="shared" si="114"/>
        <v>0</v>
      </c>
      <c r="N2478" s="4">
        <f t="shared" si="115"/>
        <v>-2</v>
      </c>
      <c r="O2478" s="4">
        <f t="shared" si="116"/>
        <v>0</v>
      </c>
      <c r="P2478" s="3" t="s">
        <v>19</v>
      </c>
    </row>
    <row r="2479" spans="1:16" x14ac:dyDescent="0.35">
      <c r="A2479" s="3" t="s">
        <v>23</v>
      </c>
      <c r="B2479" s="3" t="str">
        <f>INDEX(State_Region!$B$2:$B$26,MATCH(TRIM(A2479),State_Region!$A$2:$A$26,0))</f>
        <v>North</v>
      </c>
      <c r="C2479" s="3" t="s">
        <v>43</v>
      </c>
      <c r="D2479" s="3" t="str">
        <f>INDEX(Port_Type!$B$2:$B$227,MATCH(TRIM(C2479),Port_Type!$A$2:$A$227,0))</f>
        <v>Land Border / Rail</v>
      </c>
      <c r="E2479" s="3" t="s">
        <v>72</v>
      </c>
      <c r="F2479" s="3" t="str">
        <f>INDEX(Product_Category!$B$2:$B$45,MATCH(TRIM(E2479),Product_Category!$A$2:$A$45,0))</f>
        <v>Dairy, Poultry &amp; Honey</v>
      </c>
      <c r="G2479" s="4">
        <v>0</v>
      </c>
      <c r="H2479" s="4">
        <v>0.06</v>
      </c>
      <c r="I2479" s="4">
        <v>0</v>
      </c>
      <c r="J2479" s="4">
        <v>0</v>
      </c>
      <c r="K2479" s="4">
        <v>14.8</v>
      </c>
      <c r="L2479" s="4">
        <v>0</v>
      </c>
      <c r="M2479" s="4">
        <f t="shared" si="114"/>
        <v>0.06</v>
      </c>
      <c r="N2479" s="4">
        <f t="shared" si="115"/>
        <v>14.8</v>
      </c>
      <c r="O2479" s="4">
        <f t="shared" si="116"/>
        <v>-0.06</v>
      </c>
      <c r="P2479" s="3" t="s">
        <v>19</v>
      </c>
    </row>
    <row r="2480" spans="1:16" x14ac:dyDescent="0.35">
      <c r="A2480" s="3" t="s">
        <v>23</v>
      </c>
      <c r="B2480" s="3" t="str">
        <f>INDEX(State_Region!$B$2:$B$26,MATCH(TRIM(A2480),State_Region!$A$2:$A$26,0))</f>
        <v>North</v>
      </c>
      <c r="C2480" s="3" t="s">
        <v>43</v>
      </c>
      <c r="D2480" s="3" t="str">
        <f>INDEX(Port_Type!$B$2:$B$227,MATCH(TRIM(C2480),Port_Type!$A$2:$A$227,0))</f>
        <v>Land Border / Rail</v>
      </c>
      <c r="E2480" s="3" t="s">
        <v>51</v>
      </c>
      <c r="F2480" s="3" t="str">
        <f>INDEX(Product_Category!$B$2:$B$45,MATCH(TRIM(E2480),Product_Category!$A$2:$A$45,0))</f>
        <v>Nuts &amp; Oilseeds</v>
      </c>
      <c r="G2480" s="4">
        <v>0</v>
      </c>
      <c r="H2480" s="4">
        <v>0.22</v>
      </c>
      <c r="I2480" s="4">
        <v>0</v>
      </c>
      <c r="J2480" s="4">
        <v>0</v>
      </c>
      <c r="K2480" s="4">
        <v>240</v>
      </c>
      <c r="L2480" s="4">
        <v>0</v>
      </c>
      <c r="M2480" s="4">
        <f t="shared" si="114"/>
        <v>0.22</v>
      </c>
      <c r="N2480" s="4">
        <f t="shared" si="115"/>
        <v>240</v>
      </c>
      <c r="O2480" s="4">
        <f t="shared" si="116"/>
        <v>-0.22</v>
      </c>
      <c r="P2480" s="3" t="s">
        <v>19</v>
      </c>
    </row>
    <row r="2481" spans="1:16" x14ac:dyDescent="0.35">
      <c r="A2481" s="3" t="s">
        <v>16</v>
      </c>
      <c r="B2481" s="3" t="str">
        <f>INDEX(State_Region!$B$2:$B$26,MATCH(TRIM(A2481),State_Region!$A$2:$A$26,0))</f>
        <v>West</v>
      </c>
      <c r="C2481" s="3" t="s">
        <v>52</v>
      </c>
      <c r="D2481" s="3" t="str">
        <f>INDEX(Port_Type!$B$2:$B$227,MATCH(TRIM(C2481),Port_Type!$A$2:$A$227,0))</f>
        <v>Sea Port</v>
      </c>
      <c r="E2481" s="3" t="s">
        <v>27</v>
      </c>
      <c r="F2481" s="3" t="str">
        <f>INDEX(Product_Category!$B$2:$B$45,MATCH(TRIM(E2481),Product_Category!$A$2:$A$45,0))</f>
        <v>Cereals &amp; Grains</v>
      </c>
      <c r="G2481" s="4">
        <v>0.06</v>
      </c>
      <c r="H2481" s="4">
        <v>3.73</v>
      </c>
      <c r="I2481" s="4">
        <v>0</v>
      </c>
      <c r="J2481" s="4">
        <v>130.05000000000001</v>
      </c>
      <c r="K2481" s="4">
        <v>9820</v>
      </c>
      <c r="L2481" s="4">
        <v>0</v>
      </c>
      <c r="M2481" s="4">
        <f t="shared" si="114"/>
        <v>3.67</v>
      </c>
      <c r="N2481" s="4">
        <f t="shared" si="115"/>
        <v>9689.9500000000007</v>
      </c>
      <c r="O2481" s="4">
        <f t="shared" si="116"/>
        <v>-3.73</v>
      </c>
      <c r="P2481" s="3" t="s">
        <v>19</v>
      </c>
    </row>
    <row r="2482" spans="1:16" x14ac:dyDescent="0.35">
      <c r="A2482" s="3" t="s">
        <v>16</v>
      </c>
      <c r="B2482" s="3" t="str">
        <f>INDEX(State_Region!$B$2:$B$26,MATCH(TRIM(A2482),State_Region!$A$2:$A$26,0))</f>
        <v>West</v>
      </c>
      <c r="C2482" s="3" t="s">
        <v>52</v>
      </c>
      <c r="D2482" s="3" t="str">
        <f>INDEX(Port_Type!$B$2:$B$227,MATCH(TRIM(C2482),Port_Type!$A$2:$A$227,0))</f>
        <v>Sea Port</v>
      </c>
      <c r="E2482" s="3" t="s">
        <v>118</v>
      </c>
      <c r="F2482" s="3" t="str">
        <f>INDEX(Product_Category!$B$2:$B$45,MATCH(TRIM(E2482),Product_Category!$A$2:$A$45,0))</f>
        <v>Dairy, Poultry &amp; Honey</v>
      </c>
      <c r="G2482" s="4">
        <v>0</v>
      </c>
      <c r="H2482" s="4">
        <v>0</v>
      </c>
      <c r="I2482" s="4">
        <v>0</v>
      </c>
      <c r="J2482" s="4">
        <v>1</v>
      </c>
      <c r="K2482" s="4">
        <v>0</v>
      </c>
      <c r="L2482" s="4">
        <v>0</v>
      </c>
      <c r="M2482" s="4">
        <f t="shared" si="114"/>
        <v>0</v>
      </c>
      <c r="N2482" s="4">
        <f t="shared" si="115"/>
        <v>-1</v>
      </c>
      <c r="O2482" s="4">
        <f t="shared" si="116"/>
        <v>0</v>
      </c>
      <c r="P2482" s="3" t="s">
        <v>19</v>
      </c>
    </row>
    <row r="2483" spans="1:16" x14ac:dyDescent="0.35">
      <c r="A2483" s="3" t="s">
        <v>23</v>
      </c>
      <c r="B2483" s="3" t="str">
        <f>INDEX(State_Region!$B$2:$B$26,MATCH(TRIM(A2483),State_Region!$A$2:$A$26,0))</f>
        <v>North</v>
      </c>
      <c r="C2483" s="3" t="s">
        <v>43</v>
      </c>
      <c r="D2483" s="3" t="str">
        <f>INDEX(Port_Type!$B$2:$B$227,MATCH(TRIM(C2483),Port_Type!$A$2:$A$227,0))</f>
        <v>Land Border / Rail</v>
      </c>
      <c r="E2483" s="3" t="s">
        <v>118</v>
      </c>
      <c r="F2483" s="3" t="str">
        <f>INDEX(Product_Category!$B$2:$B$45,MATCH(TRIM(E2483),Product_Category!$A$2:$A$45,0))</f>
        <v>Dairy, Poultry &amp; Honey</v>
      </c>
      <c r="G2483" s="4">
        <v>0.04</v>
      </c>
      <c r="H2483" s="4">
        <v>0</v>
      </c>
      <c r="I2483" s="4">
        <v>0</v>
      </c>
      <c r="J2483" s="4">
        <v>18.66</v>
      </c>
      <c r="K2483" s="4">
        <v>0</v>
      </c>
      <c r="L2483" s="4">
        <v>0</v>
      </c>
      <c r="M2483" s="4">
        <f t="shared" si="114"/>
        <v>-0.04</v>
      </c>
      <c r="N2483" s="4">
        <f t="shared" si="115"/>
        <v>-18.66</v>
      </c>
      <c r="O2483" s="4">
        <f t="shared" si="116"/>
        <v>0</v>
      </c>
      <c r="P2483" s="3" t="s">
        <v>19</v>
      </c>
    </row>
    <row r="2484" spans="1:16" x14ac:dyDescent="0.35">
      <c r="A2484" s="3" t="s">
        <v>23</v>
      </c>
      <c r="B2484" s="3" t="str">
        <f>INDEX(State_Region!$B$2:$B$26,MATCH(TRIM(A2484),State_Region!$A$2:$A$26,0))</f>
        <v>North</v>
      </c>
      <c r="C2484" s="3" t="s">
        <v>43</v>
      </c>
      <c r="D2484" s="3" t="str">
        <f>INDEX(Port_Type!$B$2:$B$227,MATCH(TRIM(C2484),Port_Type!$A$2:$A$227,0))</f>
        <v>Land Border / Rail</v>
      </c>
      <c r="E2484" s="3" t="s">
        <v>27</v>
      </c>
      <c r="F2484" s="3" t="str">
        <f>INDEX(Product_Category!$B$2:$B$45,MATCH(TRIM(E2484),Product_Category!$A$2:$A$45,0))</f>
        <v>Cereals &amp; Grains</v>
      </c>
      <c r="G2484" s="4">
        <v>0</v>
      </c>
      <c r="H2484" s="4">
        <v>0.06</v>
      </c>
      <c r="I2484" s="4">
        <v>0</v>
      </c>
      <c r="J2484" s="4">
        <v>0</v>
      </c>
      <c r="K2484" s="4">
        <v>130.03</v>
      </c>
      <c r="L2484" s="4">
        <v>0</v>
      </c>
      <c r="M2484" s="4">
        <f t="shared" si="114"/>
        <v>0.06</v>
      </c>
      <c r="N2484" s="4">
        <f t="shared" si="115"/>
        <v>130.03</v>
      </c>
      <c r="O2484" s="4">
        <f t="shared" si="116"/>
        <v>-0.06</v>
      </c>
      <c r="P2484" s="3" t="s">
        <v>19</v>
      </c>
    </row>
    <row r="2485" spans="1:16" x14ac:dyDescent="0.35">
      <c r="A2485" s="3" t="s">
        <v>23</v>
      </c>
      <c r="B2485" s="3" t="str">
        <f>INDEX(State_Region!$B$2:$B$26,MATCH(TRIM(A2485),State_Region!$A$2:$A$26,0))</f>
        <v>North</v>
      </c>
      <c r="C2485" s="3" t="s">
        <v>43</v>
      </c>
      <c r="D2485" s="3" t="str">
        <f>INDEX(Port_Type!$B$2:$B$227,MATCH(TRIM(C2485),Port_Type!$A$2:$A$227,0))</f>
        <v>Land Border / Rail</v>
      </c>
      <c r="E2485" s="3" t="s">
        <v>102</v>
      </c>
      <c r="F2485" s="3" t="str">
        <f>INDEX(Product_Category!$B$2:$B$45,MATCH(TRIM(E2485),Product_Category!$A$2:$A$45,0))</f>
        <v>Fresh Fruits &amp; Vegetables</v>
      </c>
      <c r="G2485" s="4">
        <v>0.01</v>
      </c>
      <c r="H2485" s="4">
        <v>0</v>
      </c>
      <c r="I2485" s="4">
        <v>0</v>
      </c>
      <c r="J2485" s="4">
        <v>41</v>
      </c>
      <c r="K2485" s="4">
        <v>0</v>
      </c>
      <c r="L2485" s="4">
        <v>0</v>
      </c>
      <c r="M2485" s="4">
        <f t="shared" si="114"/>
        <v>-0.01</v>
      </c>
      <c r="N2485" s="4">
        <f t="shared" si="115"/>
        <v>-41</v>
      </c>
      <c r="O2485" s="4">
        <f t="shared" si="116"/>
        <v>0</v>
      </c>
      <c r="P2485" s="3" t="s">
        <v>19</v>
      </c>
    </row>
    <row r="2486" spans="1:16" x14ac:dyDescent="0.35">
      <c r="A2486" s="3" t="s">
        <v>23</v>
      </c>
      <c r="B2486" s="3" t="str">
        <f>INDEX(State_Region!$B$2:$B$26,MATCH(TRIM(A2486),State_Region!$A$2:$A$26,0))</f>
        <v>North</v>
      </c>
      <c r="C2486" s="3" t="s">
        <v>43</v>
      </c>
      <c r="D2486" s="3" t="str">
        <f>INDEX(Port_Type!$B$2:$B$227,MATCH(TRIM(C2486),Port_Type!$A$2:$A$227,0))</f>
        <v>Land Border / Rail</v>
      </c>
      <c r="E2486" s="3" t="s">
        <v>42</v>
      </c>
      <c r="F2486" s="3" t="str">
        <f>INDEX(Product_Category!$B$2:$B$45,MATCH(TRIM(E2486),Product_Category!$A$2:$A$45,0))</f>
        <v>Processed Foods</v>
      </c>
      <c r="G2486" s="4">
        <v>0</v>
      </c>
      <c r="H2486" s="4">
        <v>0</v>
      </c>
      <c r="I2486" s="4">
        <v>0</v>
      </c>
      <c r="J2486" s="4">
        <v>0</v>
      </c>
      <c r="K2486" s="4">
        <v>0.6</v>
      </c>
      <c r="L2486" s="4">
        <v>0</v>
      </c>
      <c r="M2486" s="4">
        <f t="shared" si="114"/>
        <v>0</v>
      </c>
      <c r="N2486" s="4">
        <f t="shared" si="115"/>
        <v>0.6</v>
      </c>
      <c r="O2486" s="4">
        <f t="shared" si="116"/>
        <v>0</v>
      </c>
      <c r="P2486" s="3" t="s">
        <v>19</v>
      </c>
    </row>
    <row r="2487" spans="1:16" x14ac:dyDescent="0.35">
      <c r="A2487" s="3" t="s">
        <v>23</v>
      </c>
      <c r="B2487" s="3" t="str">
        <f>INDEX(State_Region!$B$2:$B$26,MATCH(TRIM(A2487),State_Region!$A$2:$A$26,0))</f>
        <v>North</v>
      </c>
      <c r="C2487" s="3" t="s">
        <v>43</v>
      </c>
      <c r="D2487" s="3" t="str">
        <f>INDEX(Port_Type!$B$2:$B$227,MATCH(TRIM(C2487),Port_Type!$A$2:$A$227,0))</f>
        <v>Land Border / Rail</v>
      </c>
      <c r="E2487" s="3" t="s">
        <v>93</v>
      </c>
      <c r="F2487" s="3" t="str">
        <f>INDEX(Product_Category!$B$2:$B$45,MATCH(TRIM(E2487),Product_Category!$A$2:$A$45,0))</f>
        <v>Meat &amp; Animal Products</v>
      </c>
      <c r="G2487" s="4">
        <v>0.21</v>
      </c>
      <c r="H2487" s="4">
        <v>0.3</v>
      </c>
      <c r="I2487" s="4">
        <v>0</v>
      </c>
      <c r="J2487" s="4">
        <v>44.93</v>
      </c>
      <c r="K2487" s="4">
        <v>55.66</v>
      </c>
      <c r="L2487" s="4">
        <v>0</v>
      </c>
      <c r="M2487" s="4">
        <f t="shared" si="114"/>
        <v>0.09</v>
      </c>
      <c r="N2487" s="4">
        <f t="shared" si="115"/>
        <v>10.729999999999997</v>
      </c>
      <c r="O2487" s="4">
        <f t="shared" si="116"/>
        <v>-0.3</v>
      </c>
      <c r="P2487" s="3" t="s">
        <v>19</v>
      </c>
    </row>
    <row r="2488" spans="1:16" x14ac:dyDescent="0.35">
      <c r="A2488" s="3" t="s">
        <v>16</v>
      </c>
      <c r="B2488" s="3" t="str">
        <f>INDEX(State_Region!$B$2:$B$26,MATCH(TRIM(A2488),State_Region!$A$2:$A$26,0))</f>
        <v>West</v>
      </c>
      <c r="C2488" s="3" t="s">
        <v>52</v>
      </c>
      <c r="D2488" s="3" t="str">
        <f>INDEX(Port_Type!$B$2:$B$227,MATCH(TRIM(C2488),Port_Type!$A$2:$A$227,0))</f>
        <v>Sea Port</v>
      </c>
      <c r="E2488" s="3" t="s">
        <v>62</v>
      </c>
      <c r="F2488" s="3" t="str">
        <f>INDEX(Product_Category!$B$2:$B$45,MATCH(TRIM(E2488),Product_Category!$A$2:$A$45,0))</f>
        <v>Cereals &amp; Grains</v>
      </c>
      <c r="G2488" s="4">
        <v>0</v>
      </c>
      <c r="H2488" s="4">
        <v>0.01</v>
      </c>
      <c r="I2488" s="4">
        <v>0</v>
      </c>
      <c r="J2488" s="4">
        <v>0</v>
      </c>
      <c r="K2488" s="4">
        <v>48</v>
      </c>
      <c r="L2488" s="4">
        <v>0</v>
      </c>
      <c r="M2488" s="4">
        <f t="shared" si="114"/>
        <v>0.01</v>
      </c>
      <c r="N2488" s="4">
        <f t="shared" si="115"/>
        <v>48</v>
      </c>
      <c r="O2488" s="4">
        <f t="shared" si="116"/>
        <v>-0.01</v>
      </c>
      <c r="P2488" s="3" t="s">
        <v>19</v>
      </c>
    </row>
    <row r="2489" spans="1:16" x14ac:dyDescent="0.35">
      <c r="A2489" s="3" t="s">
        <v>16</v>
      </c>
      <c r="B2489" s="3" t="str">
        <f>INDEX(State_Region!$B$2:$B$26,MATCH(TRIM(A2489),State_Region!$A$2:$A$26,0))</f>
        <v>West</v>
      </c>
      <c r="C2489" s="3" t="s">
        <v>52</v>
      </c>
      <c r="D2489" s="3" t="str">
        <f>INDEX(Port_Type!$B$2:$B$227,MATCH(TRIM(C2489),Port_Type!$A$2:$A$227,0))</f>
        <v>Sea Port</v>
      </c>
      <c r="E2489" s="3" t="s">
        <v>69</v>
      </c>
      <c r="F2489" s="3" t="str">
        <f>INDEX(Product_Category!$B$2:$B$45,MATCH(TRIM(E2489),Product_Category!$A$2:$A$45,0))</f>
        <v>Others</v>
      </c>
      <c r="G2489" s="4">
        <v>0</v>
      </c>
      <c r="H2489" s="4">
        <v>0</v>
      </c>
      <c r="I2489" s="4">
        <v>0</v>
      </c>
      <c r="J2489" s="4">
        <v>2</v>
      </c>
      <c r="K2489" s="4">
        <v>0</v>
      </c>
      <c r="L2489" s="4">
        <v>0</v>
      </c>
      <c r="M2489" s="4">
        <f t="shared" si="114"/>
        <v>0</v>
      </c>
      <c r="N2489" s="4">
        <f t="shared" si="115"/>
        <v>-2</v>
      </c>
      <c r="O2489" s="4">
        <f t="shared" si="116"/>
        <v>0</v>
      </c>
      <c r="P2489" s="3" t="s">
        <v>19</v>
      </c>
    </row>
    <row r="2490" spans="1:16" x14ac:dyDescent="0.35">
      <c r="A2490" s="3" t="s">
        <v>16</v>
      </c>
      <c r="B2490" s="3" t="str">
        <f>INDEX(State_Region!$B$2:$B$26,MATCH(TRIM(A2490),State_Region!$A$2:$A$26,0))</f>
        <v>West</v>
      </c>
      <c r="C2490" s="3" t="s">
        <v>52</v>
      </c>
      <c r="D2490" s="3" t="str">
        <f>INDEX(Port_Type!$B$2:$B$227,MATCH(TRIM(C2490),Port_Type!$A$2:$A$227,0))</f>
        <v>Sea Port</v>
      </c>
      <c r="E2490" s="3" t="s">
        <v>122</v>
      </c>
      <c r="F2490" s="3" t="str">
        <f>INDEX(Product_Category!$B$2:$B$45,MATCH(TRIM(E2490),Product_Category!$A$2:$A$45,0))</f>
        <v>Others</v>
      </c>
      <c r="G2490" s="4">
        <v>0</v>
      </c>
      <c r="H2490" s="4">
        <v>0</v>
      </c>
      <c r="I2490" s="4">
        <v>0</v>
      </c>
      <c r="J2490" s="4">
        <v>0.05</v>
      </c>
      <c r="K2490" s="4">
        <v>0.12</v>
      </c>
      <c r="L2490" s="4">
        <v>0</v>
      </c>
      <c r="M2490" s="4">
        <f t="shared" si="114"/>
        <v>0</v>
      </c>
      <c r="N2490" s="4">
        <f t="shared" si="115"/>
        <v>6.9999999999999993E-2</v>
      </c>
      <c r="O2490" s="4">
        <f t="shared" si="116"/>
        <v>0</v>
      </c>
      <c r="P2490" s="3" t="s">
        <v>19</v>
      </c>
    </row>
    <row r="2491" spans="1:16" x14ac:dyDescent="0.35">
      <c r="A2491" s="3" t="s">
        <v>16</v>
      </c>
      <c r="B2491" s="3" t="str">
        <f>INDEX(State_Region!$B$2:$B$26,MATCH(TRIM(A2491),State_Region!$A$2:$A$26,0))</f>
        <v>West</v>
      </c>
      <c r="C2491" s="3" t="s">
        <v>52</v>
      </c>
      <c r="D2491" s="3" t="str">
        <f>INDEX(Port_Type!$B$2:$B$227,MATCH(TRIM(C2491),Port_Type!$A$2:$A$227,0))</f>
        <v>Sea Port</v>
      </c>
      <c r="E2491" s="3" t="s">
        <v>59</v>
      </c>
      <c r="F2491" s="3" t="str">
        <f>INDEX(Product_Category!$B$2:$B$45,MATCH(TRIM(E2491),Product_Category!$A$2:$A$45,0))</f>
        <v>Processed Foods</v>
      </c>
      <c r="G2491" s="4">
        <v>0</v>
      </c>
      <c r="H2491" s="4">
        <v>0.13</v>
      </c>
      <c r="I2491" s="4">
        <v>0</v>
      </c>
      <c r="J2491" s="4">
        <v>0.44</v>
      </c>
      <c r="K2491" s="4">
        <v>70.09</v>
      </c>
      <c r="L2491" s="4">
        <v>0</v>
      </c>
      <c r="M2491" s="4">
        <f t="shared" si="114"/>
        <v>0.13</v>
      </c>
      <c r="N2491" s="4">
        <f t="shared" si="115"/>
        <v>69.650000000000006</v>
      </c>
      <c r="O2491" s="4">
        <f t="shared" si="116"/>
        <v>-0.13</v>
      </c>
      <c r="P2491" s="3" t="s">
        <v>19</v>
      </c>
    </row>
    <row r="2492" spans="1:16" x14ac:dyDescent="0.35">
      <c r="A2492" s="3" t="s">
        <v>23</v>
      </c>
      <c r="B2492" s="3" t="str">
        <f>INDEX(State_Region!$B$2:$B$26,MATCH(TRIM(A2492),State_Region!$A$2:$A$26,0))</f>
        <v>North</v>
      </c>
      <c r="C2492" s="3" t="s">
        <v>138</v>
      </c>
      <c r="D2492" s="3" t="str">
        <f>INDEX(Port_Type!$B$2:$B$227,MATCH(TRIM(C2492),Port_Type!$A$2:$A$227,0))</f>
        <v>Inland ICD / CFS</v>
      </c>
      <c r="E2492" s="3" t="s">
        <v>59</v>
      </c>
      <c r="F2492" s="3" t="str">
        <f>INDEX(Product_Category!$B$2:$B$45,MATCH(TRIM(E2492),Product_Category!$A$2:$A$45,0))</f>
        <v>Processed Foods</v>
      </c>
      <c r="G2492" s="4">
        <v>0</v>
      </c>
      <c r="H2492" s="4">
        <v>0</v>
      </c>
      <c r="I2492" s="4">
        <v>0</v>
      </c>
      <c r="J2492" s="4">
        <v>0</v>
      </c>
      <c r="K2492" s="4">
        <v>0.04</v>
      </c>
      <c r="L2492" s="4">
        <v>0</v>
      </c>
      <c r="M2492" s="4">
        <f t="shared" si="114"/>
        <v>0</v>
      </c>
      <c r="N2492" s="4">
        <f t="shared" si="115"/>
        <v>0.04</v>
      </c>
      <c r="O2492" s="4">
        <f t="shared" si="116"/>
        <v>0</v>
      </c>
      <c r="P2492" s="3" t="s">
        <v>19</v>
      </c>
    </row>
    <row r="2493" spans="1:16" x14ac:dyDescent="0.35">
      <c r="A2493" s="3" t="s">
        <v>23</v>
      </c>
      <c r="B2493" s="3" t="str">
        <f>INDEX(State_Region!$B$2:$B$26,MATCH(TRIM(A2493),State_Region!$A$2:$A$26,0))</f>
        <v>North</v>
      </c>
      <c r="C2493" s="3" t="s">
        <v>138</v>
      </c>
      <c r="D2493" s="3" t="str">
        <f>INDEX(Port_Type!$B$2:$B$227,MATCH(TRIM(C2493),Port_Type!$A$2:$A$227,0))</f>
        <v>Inland ICD / CFS</v>
      </c>
      <c r="E2493" s="3" t="s">
        <v>72</v>
      </c>
      <c r="F2493" s="3" t="str">
        <f>INDEX(Product_Category!$B$2:$B$45,MATCH(TRIM(E2493),Product_Category!$A$2:$A$45,0))</f>
        <v>Dairy, Poultry &amp; Honey</v>
      </c>
      <c r="G2493" s="4">
        <v>0</v>
      </c>
      <c r="H2493" s="4">
        <v>0.01</v>
      </c>
      <c r="I2493" s="4">
        <v>0</v>
      </c>
      <c r="J2493" s="4">
        <v>0</v>
      </c>
      <c r="K2493" s="4">
        <v>0.98</v>
      </c>
      <c r="L2493" s="4">
        <v>0</v>
      </c>
      <c r="M2493" s="4">
        <f t="shared" si="114"/>
        <v>0.01</v>
      </c>
      <c r="N2493" s="4">
        <f t="shared" si="115"/>
        <v>0.98</v>
      </c>
      <c r="O2493" s="4">
        <f t="shared" si="116"/>
        <v>-0.01</v>
      </c>
      <c r="P2493" s="3" t="s">
        <v>19</v>
      </c>
    </row>
    <row r="2494" spans="1:16" x14ac:dyDescent="0.35">
      <c r="A2494" s="3" t="s">
        <v>23</v>
      </c>
      <c r="B2494" s="3" t="str">
        <f>INDEX(State_Region!$B$2:$B$26,MATCH(TRIM(A2494),State_Region!$A$2:$A$26,0))</f>
        <v>North</v>
      </c>
      <c r="C2494" s="3" t="s">
        <v>138</v>
      </c>
      <c r="D2494" s="3" t="str">
        <f>INDEX(Port_Type!$B$2:$B$227,MATCH(TRIM(C2494),Port_Type!$A$2:$A$227,0))</f>
        <v>Inland ICD / CFS</v>
      </c>
      <c r="E2494" s="3" t="s">
        <v>53</v>
      </c>
      <c r="F2494" s="3" t="str">
        <f>INDEX(Product_Category!$B$2:$B$45,MATCH(TRIM(E2494),Product_Category!$A$2:$A$45,0))</f>
        <v>Processed Foods</v>
      </c>
      <c r="G2494" s="4">
        <v>0</v>
      </c>
      <c r="H2494" s="4">
        <v>0</v>
      </c>
      <c r="I2494" s="4">
        <v>0</v>
      </c>
      <c r="J2494" s="4">
        <v>0</v>
      </c>
      <c r="K2494" s="4">
        <v>0.34</v>
      </c>
      <c r="L2494" s="4">
        <v>0</v>
      </c>
      <c r="M2494" s="4">
        <f t="shared" si="114"/>
        <v>0</v>
      </c>
      <c r="N2494" s="4">
        <f t="shared" si="115"/>
        <v>0.34</v>
      </c>
      <c r="O2494" s="4">
        <f t="shared" si="116"/>
        <v>0</v>
      </c>
      <c r="P2494" s="3" t="s">
        <v>19</v>
      </c>
    </row>
    <row r="2495" spans="1:16" x14ac:dyDescent="0.35">
      <c r="A2495" s="3" t="s">
        <v>16</v>
      </c>
      <c r="B2495" s="3" t="str">
        <f>INDEX(State_Region!$B$2:$B$26,MATCH(TRIM(A2495),State_Region!$A$2:$A$26,0))</f>
        <v>West</v>
      </c>
      <c r="C2495" s="3" t="s">
        <v>52</v>
      </c>
      <c r="D2495" s="3" t="str">
        <f>INDEX(Port_Type!$B$2:$B$227,MATCH(TRIM(C2495),Port_Type!$A$2:$A$227,0))</f>
        <v>Sea Port</v>
      </c>
      <c r="E2495" s="3" t="s">
        <v>142</v>
      </c>
      <c r="F2495" s="3" t="str">
        <f>INDEX(Product_Category!$B$2:$B$45,MATCH(TRIM(E2495),Product_Category!$A$2:$A$45,0))</f>
        <v>Nuts &amp; Oilseeds</v>
      </c>
      <c r="G2495" s="4">
        <v>0</v>
      </c>
      <c r="H2495" s="4">
        <v>0.01</v>
      </c>
      <c r="I2495" s="4">
        <v>0</v>
      </c>
      <c r="J2495" s="4">
        <v>0</v>
      </c>
      <c r="K2495" s="4">
        <v>20.27</v>
      </c>
      <c r="L2495" s="4">
        <v>0</v>
      </c>
      <c r="M2495" s="4">
        <f t="shared" si="114"/>
        <v>0.01</v>
      </c>
      <c r="N2495" s="4">
        <f t="shared" si="115"/>
        <v>20.27</v>
      </c>
      <c r="O2495" s="4">
        <f t="shared" si="116"/>
        <v>-0.01</v>
      </c>
      <c r="P2495" s="3" t="s">
        <v>19</v>
      </c>
    </row>
    <row r="2496" spans="1:16" x14ac:dyDescent="0.35">
      <c r="A2496" s="3" t="s">
        <v>16</v>
      </c>
      <c r="B2496" s="3" t="str">
        <f>INDEX(State_Region!$B$2:$B$26,MATCH(TRIM(A2496),State_Region!$A$2:$A$26,0))</f>
        <v>West</v>
      </c>
      <c r="C2496" s="3" t="s">
        <v>52</v>
      </c>
      <c r="D2496" s="3" t="str">
        <f>INDEX(Port_Type!$B$2:$B$227,MATCH(TRIM(C2496),Port_Type!$A$2:$A$227,0))</f>
        <v>Sea Port</v>
      </c>
      <c r="E2496" s="3" t="s">
        <v>150</v>
      </c>
      <c r="F2496" s="3" t="str">
        <f>INDEX(Product_Category!$B$2:$B$45,MATCH(TRIM(E2496),Product_Category!$A$2:$A$45,0))</f>
        <v>Nuts &amp; Oilseeds</v>
      </c>
      <c r="G2496" s="4">
        <v>0.01</v>
      </c>
      <c r="H2496" s="4">
        <v>0</v>
      </c>
      <c r="I2496" s="4">
        <v>0</v>
      </c>
      <c r="J2496" s="4">
        <v>1</v>
      </c>
      <c r="K2496" s="4">
        <v>0</v>
      </c>
      <c r="L2496" s="4">
        <v>0</v>
      </c>
      <c r="M2496" s="4">
        <f t="shared" si="114"/>
        <v>-0.01</v>
      </c>
      <c r="N2496" s="4">
        <f t="shared" si="115"/>
        <v>-1</v>
      </c>
      <c r="O2496" s="4">
        <f t="shared" si="116"/>
        <v>0</v>
      </c>
      <c r="P2496" s="3" t="s">
        <v>19</v>
      </c>
    </row>
    <row r="2497" spans="1:16" x14ac:dyDescent="0.35">
      <c r="A2497" s="3" t="s">
        <v>23</v>
      </c>
      <c r="B2497" s="3" t="str">
        <f>INDEX(State_Region!$B$2:$B$26,MATCH(TRIM(A2497),State_Region!$A$2:$A$26,0))</f>
        <v>North</v>
      </c>
      <c r="C2497" s="3" t="s">
        <v>138</v>
      </c>
      <c r="D2497" s="3" t="str">
        <f>INDEX(Port_Type!$B$2:$B$227,MATCH(TRIM(C2497),Port_Type!$A$2:$A$227,0))</f>
        <v>Inland ICD / CFS</v>
      </c>
      <c r="E2497" s="3" t="s">
        <v>170</v>
      </c>
      <c r="F2497" s="3" t="str">
        <f>INDEX(Product_Category!$B$2:$B$45,MATCH(TRIM(E2497),Product_Category!$A$2:$A$45,0))</f>
        <v>Others</v>
      </c>
      <c r="G2497" s="4">
        <v>0</v>
      </c>
      <c r="H2497" s="4">
        <v>0</v>
      </c>
      <c r="I2497" s="4">
        <v>0</v>
      </c>
      <c r="J2497" s="4">
        <v>0</v>
      </c>
      <c r="K2497" s="4">
        <v>0.17</v>
      </c>
      <c r="L2497" s="4">
        <v>0</v>
      </c>
      <c r="M2497" s="4">
        <f t="shared" si="114"/>
        <v>0</v>
      </c>
      <c r="N2497" s="4">
        <f t="shared" si="115"/>
        <v>0.17</v>
      </c>
      <c r="O2497" s="4">
        <f t="shared" si="116"/>
        <v>0</v>
      </c>
      <c r="P2497" s="3" t="s">
        <v>19</v>
      </c>
    </row>
    <row r="2498" spans="1:16" x14ac:dyDescent="0.35">
      <c r="A2498" s="3" t="s">
        <v>16</v>
      </c>
      <c r="B2498" s="3" t="str">
        <f>INDEX(State_Region!$B$2:$B$26,MATCH(TRIM(A2498),State_Region!$A$2:$A$26,0))</f>
        <v>West</v>
      </c>
      <c r="C2498" s="3" t="s">
        <v>52</v>
      </c>
      <c r="D2498" s="3" t="str">
        <f>INDEX(Port_Type!$B$2:$B$227,MATCH(TRIM(C2498),Port_Type!$A$2:$A$227,0))</f>
        <v>Sea Port</v>
      </c>
      <c r="E2498" s="3" t="s">
        <v>18</v>
      </c>
      <c r="F2498" s="3" t="str">
        <f>INDEX(Product_Category!$B$2:$B$45,MATCH(TRIM(E2498),Product_Category!$A$2:$A$45,0))</f>
        <v>Cereals &amp; Grains</v>
      </c>
      <c r="G2498" s="4">
        <v>0.01</v>
      </c>
      <c r="H2498" s="4">
        <v>0</v>
      </c>
      <c r="I2498" s="4">
        <v>0</v>
      </c>
      <c r="J2498" s="4">
        <v>10</v>
      </c>
      <c r="K2498" s="4">
        <v>0</v>
      </c>
      <c r="L2498" s="4">
        <v>0</v>
      </c>
      <c r="M2498" s="4">
        <f t="shared" ref="M2498:M2561" si="117">H2498-G2498</f>
        <v>-0.01</v>
      </c>
      <c r="N2498" s="4">
        <f t="shared" ref="N2498:N2561" si="118">K2498-J2498</f>
        <v>-10</v>
      </c>
      <c r="O2498" s="4">
        <f t="shared" ref="O2498:O2561" si="119">I2498-H2498</f>
        <v>0</v>
      </c>
      <c r="P2498" s="3" t="s">
        <v>19</v>
      </c>
    </row>
    <row r="2499" spans="1:16" x14ac:dyDescent="0.35">
      <c r="A2499" s="3" t="s">
        <v>16</v>
      </c>
      <c r="B2499" s="3" t="str">
        <f>INDEX(State_Region!$B$2:$B$26,MATCH(TRIM(A2499),State_Region!$A$2:$A$26,0))</f>
        <v>West</v>
      </c>
      <c r="C2499" s="3" t="s">
        <v>281</v>
      </c>
      <c r="D2499" s="3" t="str">
        <f>INDEX(Port_Type!$B$2:$B$227,MATCH(TRIM(C2499),Port_Type!$A$2:$A$227,0))</f>
        <v>Sea Port</v>
      </c>
      <c r="E2499" s="3" t="s">
        <v>39</v>
      </c>
      <c r="F2499" s="3" t="str">
        <f>INDEX(Product_Category!$B$2:$B$45,MATCH(TRIM(E2499),Product_Category!$A$2:$A$45,0))</f>
        <v>Processed Foods</v>
      </c>
      <c r="G2499" s="4">
        <v>0</v>
      </c>
      <c r="H2499" s="4">
        <v>0</v>
      </c>
      <c r="I2499" s="4">
        <v>0</v>
      </c>
      <c r="J2499" s="4">
        <v>0.02</v>
      </c>
      <c r="K2499" s="4">
        <v>0</v>
      </c>
      <c r="L2499" s="4">
        <v>0</v>
      </c>
      <c r="M2499" s="4">
        <f t="shared" si="117"/>
        <v>0</v>
      </c>
      <c r="N2499" s="4">
        <f t="shared" si="118"/>
        <v>-0.02</v>
      </c>
      <c r="O2499" s="4">
        <f t="shared" si="119"/>
        <v>0</v>
      </c>
      <c r="P2499" s="3" t="s">
        <v>19</v>
      </c>
    </row>
    <row r="2500" spans="1:16" x14ac:dyDescent="0.35">
      <c r="A2500" s="3" t="s">
        <v>23</v>
      </c>
      <c r="B2500" s="3" t="str">
        <f>INDEX(State_Region!$B$2:$B$26,MATCH(TRIM(A2500),State_Region!$A$2:$A$26,0))</f>
        <v>North</v>
      </c>
      <c r="C2500" s="3" t="s">
        <v>120</v>
      </c>
      <c r="D2500" s="3" t="str">
        <f>INDEX(Port_Type!$B$2:$B$227,MATCH(TRIM(C2500),Port_Type!$A$2:$A$227,0))</f>
        <v>Inland ICD / CFS</v>
      </c>
      <c r="E2500" s="3" t="s">
        <v>59</v>
      </c>
      <c r="F2500" s="3" t="str">
        <f>INDEX(Product_Category!$B$2:$B$45,MATCH(TRIM(E2500),Product_Category!$A$2:$A$45,0))</f>
        <v>Processed Foods</v>
      </c>
      <c r="G2500" s="4">
        <v>0</v>
      </c>
      <c r="H2500" s="4">
        <v>0</v>
      </c>
      <c r="I2500" s="4">
        <v>0</v>
      </c>
      <c r="J2500" s="4">
        <v>0.1</v>
      </c>
      <c r="K2500" s="4">
        <v>0.04</v>
      </c>
      <c r="L2500" s="4">
        <v>0</v>
      </c>
      <c r="M2500" s="4">
        <f t="shared" si="117"/>
        <v>0</v>
      </c>
      <c r="N2500" s="4">
        <f t="shared" si="118"/>
        <v>-6.0000000000000005E-2</v>
      </c>
      <c r="O2500" s="4">
        <f t="shared" si="119"/>
        <v>0</v>
      </c>
      <c r="P2500" s="3" t="s">
        <v>19</v>
      </c>
    </row>
    <row r="2501" spans="1:16" x14ac:dyDescent="0.35">
      <c r="A2501" s="3" t="s">
        <v>23</v>
      </c>
      <c r="B2501" s="3" t="str">
        <f>INDEX(State_Region!$B$2:$B$26,MATCH(TRIM(A2501),State_Region!$A$2:$A$26,0))</f>
        <v>North</v>
      </c>
      <c r="C2501" s="3" t="s">
        <v>120</v>
      </c>
      <c r="D2501" s="3" t="str">
        <f>INDEX(Port_Type!$B$2:$B$227,MATCH(TRIM(C2501),Port_Type!$A$2:$A$227,0))</f>
        <v>Inland ICD / CFS</v>
      </c>
      <c r="E2501" s="3" t="s">
        <v>122</v>
      </c>
      <c r="F2501" s="3" t="str">
        <f>INDEX(Product_Category!$B$2:$B$45,MATCH(TRIM(E2501),Product_Category!$A$2:$A$45,0))</f>
        <v>Others</v>
      </c>
      <c r="G2501" s="4">
        <v>0</v>
      </c>
      <c r="H2501" s="4">
        <v>0.01</v>
      </c>
      <c r="I2501" s="4">
        <v>0</v>
      </c>
      <c r="J2501" s="4">
        <v>0</v>
      </c>
      <c r="K2501" s="4">
        <v>14.96</v>
      </c>
      <c r="L2501" s="4">
        <v>0</v>
      </c>
      <c r="M2501" s="4">
        <f t="shared" si="117"/>
        <v>0.01</v>
      </c>
      <c r="N2501" s="4">
        <f t="shared" si="118"/>
        <v>14.96</v>
      </c>
      <c r="O2501" s="4">
        <f t="shared" si="119"/>
        <v>-0.01</v>
      </c>
      <c r="P2501" s="3" t="s">
        <v>19</v>
      </c>
    </row>
    <row r="2502" spans="1:16" x14ac:dyDescent="0.35">
      <c r="A2502" s="3" t="s">
        <v>16</v>
      </c>
      <c r="B2502" s="3" t="str">
        <f>INDEX(State_Region!$B$2:$B$26,MATCH(TRIM(A2502),State_Region!$A$2:$A$26,0))</f>
        <v>West</v>
      </c>
      <c r="C2502" s="3" t="s">
        <v>281</v>
      </c>
      <c r="D2502" s="3" t="str">
        <f>INDEX(Port_Type!$B$2:$B$227,MATCH(TRIM(C2502),Port_Type!$A$2:$A$227,0))</f>
        <v>Sea Port</v>
      </c>
      <c r="E2502" s="3" t="s">
        <v>53</v>
      </c>
      <c r="F2502" s="3" t="str">
        <f>INDEX(Product_Category!$B$2:$B$45,MATCH(TRIM(E2502),Product_Category!$A$2:$A$45,0))</f>
        <v>Processed Foods</v>
      </c>
      <c r="G2502" s="4">
        <v>0</v>
      </c>
      <c r="H2502" s="4">
        <v>0</v>
      </c>
      <c r="I2502" s="4">
        <v>0</v>
      </c>
      <c r="J2502" s="4">
        <v>0</v>
      </c>
      <c r="K2502" s="4">
        <v>0</v>
      </c>
      <c r="L2502" s="4">
        <v>0</v>
      </c>
      <c r="M2502" s="4">
        <f t="shared" si="117"/>
        <v>0</v>
      </c>
      <c r="N2502" s="4">
        <f t="shared" si="118"/>
        <v>0</v>
      </c>
      <c r="O2502" s="4">
        <f t="shared" si="119"/>
        <v>0</v>
      </c>
      <c r="P2502" s="3" t="s">
        <v>19</v>
      </c>
    </row>
    <row r="2503" spans="1:16" x14ac:dyDescent="0.35">
      <c r="A2503" s="3" t="s">
        <v>16</v>
      </c>
      <c r="B2503" s="3" t="str">
        <f>INDEX(State_Region!$B$2:$B$26,MATCH(TRIM(A2503),State_Region!$A$2:$A$26,0))</f>
        <v>West</v>
      </c>
      <c r="C2503" s="3" t="s">
        <v>143</v>
      </c>
      <c r="D2503" s="3" t="str">
        <f>INDEX(Port_Type!$B$2:$B$227,MATCH(TRIM(C2503),Port_Type!$A$2:$A$227,0))</f>
        <v>Sea Port</v>
      </c>
      <c r="E2503" s="3" t="s">
        <v>33</v>
      </c>
      <c r="F2503" s="3" t="str">
        <f>INDEX(Product_Category!$B$2:$B$45,MATCH(TRIM(E2503),Product_Category!$A$2:$A$45,0))</f>
        <v>Pulses</v>
      </c>
      <c r="G2503" s="4">
        <v>0</v>
      </c>
      <c r="H2503" s="4">
        <v>0.08</v>
      </c>
      <c r="I2503" s="4">
        <v>0</v>
      </c>
      <c r="J2503" s="4">
        <v>0</v>
      </c>
      <c r="K2503" s="4">
        <v>104.08</v>
      </c>
      <c r="L2503" s="4">
        <v>0</v>
      </c>
      <c r="M2503" s="4">
        <f t="shared" si="117"/>
        <v>0.08</v>
      </c>
      <c r="N2503" s="4">
        <f t="shared" si="118"/>
        <v>104.08</v>
      </c>
      <c r="O2503" s="4">
        <f t="shared" si="119"/>
        <v>-0.08</v>
      </c>
      <c r="P2503" s="3" t="s">
        <v>19</v>
      </c>
    </row>
    <row r="2504" spans="1:16" x14ac:dyDescent="0.35">
      <c r="A2504" s="3" t="s">
        <v>16</v>
      </c>
      <c r="B2504" s="3" t="str">
        <f>INDEX(State_Region!$B$2:$B$26,MATCH(TRIM(A2504),State_Region!$A$2:$A$26,0))</f>
        <v>West</v>
      </c>
      <c r="C2504" s="3" t="s">
        <v>143</v>
      </c>
      <c r="D2504" s="3" t="str">
        <f>INDEX(Port_Type!$B$2:$B$227,MATCH(TRIM(C2504),Port_Type!$A$2:$A$227,0))</f>
        <v>Sea Port</v>
      </c>
      <c r="E2504" s="3" t="s">
        <v>42</v>
      </c>
      <c r="F2504" s="3" t="str">
        <f>INDEX(Product_Category!$B$2:$B$45,MATCH(TRIM(E2504),Product_Category!$A$2:$A$45,0))</f>
        <v>Processed Foods</v>
      </c>
      <c r="G2504" s="4">
        <v>0</v>
      </c>
      <c r="H2504" s="4">
        <v>0</v>
      </c>
      <c r="I2504" s="4">
        <v>0</v>
      </c>
      <c r="J2504" s="4">
        <v>0</v>
      </c>
      <c r="K2504" s="4">
        <v>1.1499999999999999</v>
      </c>
      <c r="L2504" s="4">
        <v>0</v>
      </c>
      <c r="M2504" s="4">
        <f t="shared" si="117"/>
        <v>0</v>
      </c>
      <c r="N2504" s="4">
        <f t="shared" si="118"/>
        <v>1.1499999999999999</v>
      </c>
      <c r="O2504" s="4">
        <f t="shared" si="119"/>
        <v>0</v>
      </c>
      <c r="P2504" s="3" t="s">
        <v>19</v>
      </c>
    </row>
    <row r="2505" spans="1:16" x14ac:dyDescent="0.35">
      <c r="A2505" s="3" t="s">
        <v>16</v>
      </c>
      <c r="B2505" s="3" t="str">
        <f>INDEX(State_Region!$B$2:$B$26,MATCH(TRIM(A2505),State_Region!$A$2:$A$26,0))</f>
        <v>West</v>
      </c>
      <c r="C2505" s="3" t="s">
        <v>143</v>
      </c>
      <c r="D2505" s="3" t="str">
        <f>INDEX(Port_Type!$B$2:$B$227,MATCH(TRIM(C2505),Port_Type!$A$2:$A$227,0))</f>
        <v>Sea Port</v>
      </c>
      <c r="E2505" s="3" t="s">
        <v>126</v>
      </c>
      <c r="F2505" s="3" t="str">
        <f>INDEX(Product_Category!$B$2:$B$45,MATCH(TRIM(E2505),Product_Category!$A$2:$A$45,0))</f>
        <v>Cereals &amp; Grains</v>
      </c>
      <c r="G2505" s="4">
        <v>7.0000000000000007E-2</v>
      </c>
      <c r="H2505" s="4">
        <v>0</v>
      </c>
      <c r="I2505" s="4">
        <v>0</v>
      </c>
      <c r="J2505" s="4">
        <v>200</v>
      </c>
      <c r="K2505" s="4">
        <v>0</v>
      </c>
      <c r="L2505" s="4">
        <v>0</v>
      </c>
      <c r="M2505" s="4">
        <f t="shared" si="117"/>
        <v>-7.0000000000000007E-2</v>
      </c>
      <c r="N2505" s="4">
        <f t="shared" si="118"/>
        <v>-200</v>
      </c>
      <c r="O2505" s="4">
        <f t="shared" si="119"/>
        <v>0</v>
      </c>
      <c r="P2505" s="3" t="s">
        <v>19</v>
      </c>
    </row>
    <row r="2506" spans="1:16" x14ac:dyDescent="0.35">
      <c r="A2506" s="3" t="s">
        <v>23</v>
      </c>
      <c r="B2506" s="3" t="str">
        <f>INDEX(State_Region!$B$2:$B$26,MATCH(TRIM(A2506),State_Region!$A$2:$A$26,0))</f>
        <v>North</v>
      </c>
      <c r="C2506" s="3" t="s">
        <v>120</v>
      </c>
      <c r="D2506" s="3" t="str">
        <f>INDEX(Port_Type!$B$2:$B$227,MATCH(TRIM(C2506),Port_Type!$A$2:$A$227,0))</f>
        <v>Inland ICD / CFS</v>
      </c>
      <c r="E2506" s="3" t="s">
        <v>126</v>
      </c>
      <c r="F2506" s="3" t="str">
        <f>INDEX(Product_Category!$B$2:$B$45,MATCH(TRIM(E2506),Product_Category!$A$2:$A$45,0))</f>
        <v>Cereals &amp; Grains</v>
      </c>
      <c r="G2506" s="4">
        <v>0</v>
      </c>
      <c r="H2506" s="4">
        <v>0.01</v>
      </c>
      <c r="I2506" s="4">
        <v>0</v>
      </c>
      <c r="J2506" s="4">
        <v>0</v>
      </c>
      <c r="K2506" s="4">
        <v>3.59</v>
      </c>
      <c r="L2506" s="4">
        <v>0</v>
      </c>
      <c r="M2506" s="4">
        <f t="shared" si="117"/>
        <v>0.01</v>
      </c>
      <c r="N2506" s="4">
        <f t="shared" si="118"/>
        <v>3.59</v>
      </c>
      <c r="O2506" s="4">
        <f t="shared" si="119"/>
        <v>-0.01</v>
      </c>
      <c r="P2506" s="3" t="s">
        <v>19</v>
      </c>
    </row>
    <row r="2507" spans="1:16" x14ac:dyDescent="0.35">
      <c r="A2507" s="3" t="s">
        <v>23</v>
      </c>
      <c r="B2507" s="3" t="str">
        <f>INDEX(State_Region!$B$2:$B$26,MATCH(TRIM(A2507),State_Region!$A$2:$A$26,0))</f>
        <v>North</v>
      </c>
      <c r="C2507" s="3" t="s">
        <v>120</v>
      </c>
      <c r="D2507" s="3" t="str">
        <f>INDEX(Port_Type!$B$2:$B$227,MATCH(TRIM(C2507),Port_Type!$A$2:$A$227,0))</f>
        <v>Inland ICD / CFS</v>
      </c>
      <c r="E2507" s="3" t="s">
        <v>102</v>
      </c>
      <c r="F2507" s="3" t="str">
        <f>INDEX(Product_Category!$B$2:$B$45,MATCH(TRIM(E2507),Product_Category!$A$2:$A$45,0))</f>
        <v>Fresh Fruits &amp; Vegetables</v>
      </c>
      <c r="G2507" s="4">
        <v>0</v>
      </c>
      <c r="H2507" s="4">
        <v>0</v>
      </c>
      <c r="I2507" s="4">
        <v>0</v>
      </c>
      <c r="J2507" s="4">
        <v>0</v>
      </c>
      <c r="K2507" s="4">
        <v>0.1</v>
      </c>
      <c r="L2507" s="4">
        <v>0</v>
      </c>
      <c r="M2507" s="4">
        <f t="shared" si="117"/>
        <v>0</v>
      </c>
      <c r="N2507" s="4">
        <f t="shared" si="118"/>
        <v>0.1</v>
      </c>
      <c r="O2507" s="4">
        <f t="shared" si="119"/>
        <v>0</v>
      </c>
      <c r="P2507" s="3" t="s">
        <v>19</v>
      </c>
    </row>
    <row r="2508" spans="1:16" x14ac:dyDescent="0.35">
      <c r="A2508" s="3" t="s">
        <v>23</v>
      </c>
      <c r="B2508" s="3" t="str">
        <f>INDEX(State_Region!$B$2:$B$26,MATCH(TRIM(A2508),State_Region!$A$2:$A$26,0))</f>
        <v>North</v>
      </c>
      <c r="C2508" s="3" t="s">
        <v>120</v>
      </c>
      <c r="D2508" s="3" t="str">
        <f>INDEX(Port_Type!$B$2:$B$227,MATCH(TRIM(C2508),Port_Type!$A$2:$A$227,0))</f>
        <v>Inland ICD / CFS</v>
      </c>
      <c r="E2508" s="3" t="s">
        <v>54</v>
      </c>
      <c r="F2508" s="3" t="str">
        <f>INDEX(Product_Category!$B$2:$B$45,MATCH(TRIM(E2508),Product_Category!$A$2:$A$45,0))</f>
        <v>Processed Foods</v>
      </c>
      <c r="G2508" s="4">
        <v>0.01</v>
      </c>
      <c r="H2508" s="4">
        <v>0</v>
      </c>
      <c r="I2508" s="4">
        <v>0</v>
      </c>
      <c r="J2508" s="4">
        <v>3.29</v>
      </c>
      <c r="K2508" s="4">
        <v>0</v>
      </c>
      <c r="L2508" s="4">
        <v>0</v>
      </c>
      <c r="M2508" s="4">
        <f t="shared" si="117"/>
        <v>-0.01</v>
      </c>
      <c r="N2508" s="4">
        <f t="shared" si="118"/>
        <v>-3.29</v>
      </c>
      <c r="O2508" s="4">
        <f t="shared" si="119"/>
        <v>0</v>
      </c>
      <c r="P2508" s="3" t="s">
        <v>19</v>
      </c>
    </row>
    <row r="2509" spans="1:16" x14ac:dyDescent="0.35">
      <c r="A2509" s="3" t="s">
        <v>23</v>
      </c>
      <c r="B2509" s="3" t="str">
        <f>INDEX(State_Region!$B$2:$B$26,MATCH(TRIM(A2509),State_Region!$A$2:$A$26,0))</f>
        <v>North</v>
      </c>
      <c r="C2509" s="3" t="s">
        <v>120</v>
      </c>
      <c r="D2509" s="3" t="str">
        <f>INDEX(Port_Type!$B$2:$B$227,MATCH(TRIM(C2509),Port_Type!$A$2:$A$227,0))</f>
        <v>Inland ICD / CFS</v>
      </c>
      <c r="E2509" s="3" t="s">
        <v>42</v>
      </c>
      <c r="F2509" s="3" t="str">
        <f>INDEX(Product_Category!$B$2:$B$45,MATCH(TRIM(E2509),Product_Category!$A$2:$A$45,0))</f>
        <v>Processed Foods</v>
      </c>
      <c r="G2509" s="4">
        <v>0.01</v>
      </c>
      <c r="H2509" s="4">
        <v>0</v>
      </c>
      <c r="I2509" s="4">
        <v>0</v>
      </c>
      <c r="J2509" s="4">
        <v>4.25</v>
      </c>
      <c r="K2509" s="4">
        <v>0</v>
      </c>
      <c r="L2509" s="4">
        <v>0</v>
      </c>
      <c r="M2509" s="4">
        <f t="shared" si="117"/>
        <v>-0.01</v>
      </c>
      <c r="N2509" s="4">
        <f t="shared" si="118"/>
        <v>-4.25</v>
      </c>
      <c r="O2509" s="4">
        <f t="shared" si="119"/>
        <v>0</v>
      </c>
      <c r="P2509" s="3" t="s">
        <v>19</v>
      </c>
    </row>
    <row r="2510" spans="1:16" x14ac:dyDescent="0.35">
      <c r="A2510" s="3" t="s">
        <v>23</v>
      </c>
      <c r="B2510" s="3" t="str">
        <f>INDEX(State_Region!$B$2:$B$26,MATCH(TRIM(A2510),State_Region!$A$2:$A$26,0))</f>
        <v>North</v>
      </c>
      <c r="C2510" s="3" t="s">
        <v>120</v>
      </c>
      <c r="D2510" s="3" t="str">
        <f>INDEX(Port_Type!$B$2:$B$227,MATCH(TRIM(C2510),Port_Type!$A$2:$A$227,0))</f>
        <v>Inland ICD / CFS</v>
      </c>
      <c r="E2510" s="3" t="s">
        <v>33</v>
      </c>
      <c r="F2510" s="3" t="str">
        <f>INDEX(Product_Category!$B$2:$B$45,MATCH(TRIM(E2510),Product_Category!$A$2:$A$45,0))</f>
        <v>Pulses</v>
      </c>
      <c r="G2510" s="4">
        <v>0.05</v>
      </c>
      <c r="H2510" s="4">
        <v>0</v>
      </c>
      <c r="I2510" s="4">
        <v>0</v>
      </c>
      <c r="J2510" s="4">
        <v>41.26</v>
      </c>
      <c r="K2510" s="4">
        <v>0.21</v>
      </c>
      <c r="L2510" s="4">
        <v>0</v>
      </c>
      <c r="M2510" s="4">
        <f t="shared" si="117"/>
        <v>-0.05</v>
      </c>
      <c r="N2510" s="4">
        <f t="shared" si="118"/>
        <v>-41.05</v>
      </c>
      <c r="O2510" s="4">
        <f t="shared" si="119"/>
        <v>0</v>
      </c>
      <c r="P2510" s="3" t="s">
        <v>19</v>
      </c>
    </row>
    <row r="2511" spans="1:16" x14ac:dyDescent="0.35">
      <c r="A2511" s="3" t="s">
        <v>23</v>
      </c>
      <c r="B2511" s="3" t="str">
        <f>INDEX(State_Region!$B$2:$B$26,MATCH(TRIM(A2511),State_Region!$A$2:$A$26,0))</f>
        <v>North</v>
      </c>
      <c r="C2511" s="3" t="s">
        <v>44</v>
      </c>
      <c r="D2511" s="3" t="str">
        <f>INDEX(Port_Type!$B$2:$B$227,MATCH(TRIM(C2511),Port_Type!$A$2:$A$227,0))</f>
        <v>Inland ICD / CFS</v>
      </c>
      <c r="E2511" s="3" t="s">
        <v>174</v>
      </c>
      <c r="F2511" s="3" t="str">
        <f>INDEX(Product_Category!$B$2:$B$45,MATCH(TRIM(E2511),Product_Category!$A$2:$A$45,0))</f>
        <v>Dairy, Poultry &amp; Honey</v>
      </c>
      <c r="G2511" s="4">
        <v>0</v>
      </c>
      <c r="H2511" s="4">
        <v>0.02</v>
      </c>
      <c r="I2511" s="4">
        <v>0</v>
      </c>
      <c r="J2511" s="4">
        <v>0</v>
      </c>
      <c r="K2511" s="4">
        <v>9.36</v>
      </c>
      <c r="L2511" s="4">
        <v>0</v>
      </c>
      <c r="M2511" s="4">
        <f t="shared" si="117"/>
        <v>0.02</v>
      </c>
      <c r="N2511" s="4">
        <f t="shared" si="118"/>
        <v>9.36</v>
      </c>
      <c r="O2511" s="4">
        <f t="shared" si="119"/>
        <v>-0.02</v>
      </c>
      <c r="P2511" s="3" t="s">
        <v>19</v>
      </c>
    </row>
    <row r="2512" spans="1:16" x14ac:dyDescent="0.35">
      <c r="A2512" s="3" t="s">
        <v>16</v>
      </c>
      <c r="B2512" s="3" t="str">
        <f>INDEX(State_Region!$B$2:$B$26,MATCH(TRIM(A2512),State_Region!$A$2:$A$26,0))</f>
        <v>West</v>
      </c>
      <c r="C2512" s="3" t="s">
        <v>143</v>
      </c>
      <c r="D2512" s="3" t="str">
        <f>INDEX(Port_Type!$B$2:$B$227,MATCH(TRIM(C2512),Port_Type!$A$2:$A$227,0))</f>
        <v>Sea Port</v>
      </c>
      <c r="E2512" s="3" t="s">
        <v>39</v>
      </c>
      <c r="F2512" s="3" t="str">
        <f>INDEX(Product_Category!$B$2:$B$45,MATCH(TRIM(E2512),Product_Category!$A$2:$A$45,0))</f>
        <v>Processed Foods</v>
      </c>
      <c r="G2512" s="4">
        <v>0.01</v>
      </c>
      <c r="H2512" s="4">
        <v>0.15</v>
      </c>
      <c r="I2512" s="4">
        <v>0</v>
      </c>
      <c r="J2512" s="4">
        <v>48</v>
      </c>
      <c r="K2512" s="4">
        <v>400</v>
      </c>
      <c r="L2512" s="4">
        <v>0</v>
      </c>
      <c r="M2512" s="4">
        <f t="shared" si="117"/>
        <v>0.13999999999999999</v>
      </c>
      <c r="N2512" s="4">
        <f t="shared" si="118"/>
        <v>352</v>
      </c>
      <c r="O2512" s="4">
        <f t="shared" si="119"/>
        <v>-0.15</v>
      </c>
      <c r="P2512" s="3" t="s">
        <v>19</v>
      </c>
    </row>
    <row r="2513" spans="1:16" x14ac:dyDescent="0.35">
      <c r="A2513" s="3" t="s">
        <v>16</v>
      </c>
      <c r="B2513" s="3" t="str">
        <f>INDEX(State_Region!$B$2:$B$26,MATCH(TRIM(A2513),State_Region!$A$2:$A$26,0))</f>
        <v>West</v>
      </c>
      <c r="C2513" s="3" t="s">
        <v>143</v>
      </c>
      <c r="D2513" s="3" t="str">
        <f>INDEX(Port_Type!$B$2:$B$227,MATCH(TRIM(C2513),Port_Type!$A$2:$A$227,0))</f>
        <v>Sea Port</v>
      </c>
      <c r="E2513" s="3" t="s">
        <v>65</v>
      </c>
      <c r="F2513" s="3" t="str">
        <f>INDEX(Product_Category!$B$2:$B$45,MATCH(TRIM(E2513),Product_Category!$A$2:$A$45,0))</f>
        <v>Cereals &amp; Grains</v>
      </c>
      <c r="G2513" s="4">
        <v>1.28</v>
      </c>
      <c r="H2513" s="4">
        <v>0</v>
      </c>
      <c r="I2513" s="4">
        <v>0</v>
      </c>
      <c r="J2513" s="4">
        <v>3200</v>
      </c>
      <c r="K2513" s="4">
        <v>0</v>
      </c>
      <c r="L2513" s="4">
        <v>0</v>
      </c>
      <c r="M2513" s="4">
        <f t="shared" si="117"/>
        <v>-1.28</v>
      </c>
      <c r="N2513" s="4">
        <f t="shared" si="118"/>
        <v>-3200</v>
      </c>
      <c r="O2513" s="4">
        <f t="shared" si="119"/>
        <v>0</v>
      </c>
      <c r="P2513" s="3" t="s">
        <v>19</v>
      </c>
    </row>
    <row r="2514" spans="1:16" x14ac:dyDescent="0.35">
      <c r="A2514" s="3" t="s">
        <v>16</v>
      </c>
      <c r="B2514" s="3" t="str">
        <f>INDEX(State_Region!$B$2:$B$26,MATCH(TRIM(A2514),State_Region!$A$2:$A$26,0))</f>
        <v>West</v>
      </c>
      <c r="C2514" s="3" t="s">
        <v>143</v>
      </c>
      <c r="D2514" s="3" t="str">
        <f>INDEX(Port_Type!$B$2:$B$227,MATCH(TRIM(C2514),Port_Type!$A$2:$A$227,0))</f>
        <v>Sea Port</v>
      </c>
      <c r="E2514" s="3" t="s">
        <v>53</v>
      </c>
      <c r="F2514" s="3" t="str">
        <f>INDEX(Product_Category!$B$2:$B$45,MATCH(TRIM(E2514),Product_Category!$A$2:$A$45,0))</f>
        <v>Processed Foods</v>
      </c>
      <c r="G2514" s="4">
        <v>0</v>
      </c>
      <c r="H2514" s="4">
        <v>0</v>
      </c>
      <c r="I2514" s="4">
        <v>0</v>
      </c>
      <c r="J2514" s="4">
        <v>0</v>
      </c>
      <c r="K2514" s="4">
        <v>1.63</v>
      </c>
      <c r="L2514" s="4">
        <v>0</v>
      </c>
      <c r="M2514" s="4">
        <f t="shared" si="117"/>
        <v>0</v>
      </c>
      <c r="N2514" s="4">
        <f t="shared" si="118"/>
        <v>1.63</v>
      </c>
      <c r="O2514" s="4">
        <f t="shared" si="119"/>
        <v>0</v>
      </c>
      <c r="P2514" s="3" t="s">
        <v>19</v>
      </c>
    </row>
    <row r="2515" spans="1:16" x14ac:dyDescent="0.35">
      <c r="A2515" s="3" t="s">
        <v>16</v>
      </c>
      <c r="B2515" s="3" t="str">
        <f>INDEX(State_Region!$B$2:$B$26,MATCH(TRIM(A2515),State_Region!$A$2:$A$26,0))</f>
        <v>West</v>
      </c>
      <c r="C2515" s="3" t="s">
        <v>143</v>
      </c>
      <c r="D2515" s="3" t="str">
        <f>INDEX(Port_Type!$B$2:$B$227,MATCH(TRIM(C2515),Port_Type!$A$2:$A$227,0))</f>
        <v>Sea Port</v>
      </c>
      <c r="E2515" s="3" t="s">
        <v>48</v>
      </c>
      <c r="F2515" s="3" t="str">
        <f>INDEX(Product_Category!$B$2:$B$45,MATCH(TRIM(E2515),Product_Category!$A$2:$A$45,0))</f>
        <v>Processed Foods</v>
      </c>
      <c r="G2515" s="4">
        <v>0</v>
      </c>
      <c r="H2515" s="4">
        <v>0.02</v>
      </c>
      <c r="I2515" s="4">
        <v>0</v>
      </c>
      <c r="J2515" s="4">
        <v>0</v>
      </c>
      <c r="K2515" s="4">
        <v>21.25</v>
      </c>
      <c r="L2515" s="4">
        <v>0</v>
      </c>
      <c r="M2515" s="4">
        <f t="shared" si="117"/>
        <v>0.02</v>
      </c>
      <c r="N2515" s="4">
        <f t="shared" si="118"/>
        <v>21.25</v>
      </c>
      <c r="O2515" s="4">
        <f t="shared" si="119"/>
        <v>-0.02</v>
      </c>
      <c r="P2515" s="3" t="s">
        <v>19</v>
      </c>
    </row>
    <row r="2516" spans="1:16" x14ac:dyDescent="0.35">
      <c r="A2516" s="3" t="s">
        <v>16</v>
      </c>
      <c r="B2516" s="3" t="str">
        <f>INDEX(State_Region!$B$2:$B$26,MATCH(TRIM(A2516),State_Region!$A$2:$A$26,0))</f>
        <v>West</v>
      </c>
      <c r="C2516" s="3" t="s">
        <v>239</v>
      </c>
      <c r="D2516" s="3" t="str">
        <f>INDEX(Port_Type!$B$2:$B$227,MATCH(TRIM(C2516),Port_Type!$A$2:$A$227,0))</f>
        <v>Inland ICD / CFS</v>
      </c>
      <c r="E2516" s="3" t="s">
        <v>33</v>
      </c>
      <c r="F2516" s="3" t="str">
        <f>INDEX(Product_Category!$B$2:$B$45,MATCH(TRIM(E2516),Product_Category!$A$2:$A$45,0))</f>
        <v>Pulses</v>
      </c>
      <c r="G2516" s="4">
        <v>1.32</v>
      </c>
      <c r="H2516" s="4">
        <v>0.03</v>
      </c>
      <c r="I2516" s="4">
        <v>0</v>
      </c>
      <c r="J2516" s="4">
        <v>725</v>
      </c>
      <c r="K2516" s="4">
        <v>20.5</v>
      </c>
      <c r="L2516" s="4">
        <v>0</v>
      </c>
      <c r="M2516" s="4">
        <f t="shared" si="117"/>
        <v>-1.29</v>
      </c>
      <c r="N2516" s="4">
        <f t="shared" si="118"/>
        <v>-704.5</v>
      </c>
      <c r="O2516" s="4">
        <f t="shared" si="119"/>
        <v>-0.03</v>
      </c>
      <c r="P2516" s="3" t="s">
        <v>19</v>
      </c>
    </row>
    <row r="2517" spans="1:16" x14ac:dyDescent="0.35">
      <c r="A2517" s="3" t="s">
        <v>16</v>
      </c>
      <c r="B2517" s="3" t="str">
        <f>INDEX(State_Region!$B$2:$B$26,MATCH(TRIM(A2517),State_Region!$A$2:$A$26,0))</f>
        <v>West</v>
      </c>
      <c r="C2517" s="3" t="s">
        <v>239</v>
      </c>
      <c r="D2517" s="3" t="str">
        <f>INDEX(Port_Type!$B$2:$B$227,MATCH(TRIM(C2517),Port_Type!$A$2:$A$227,0))</f>
        <v>Inland ICD / CFS</v>
      </c>
      <c r="E2517" s="3" t="s">
        <v>54</v>
      </c>
      <c r="F2517" s="3" t="str">
        <f>INDEX(Product_Category!$B$2:$B$45,MATCH(TRIM(E2517),Product_Category!$A$2:$A$45,0))</f>
        <v>Processed Foods</v>
      </c>
      <c r="G2517" s="4">
        <v>0.06</v>
      </c>
      <c r="H2517" s="4">
        <v>0.41</v>
      </c>
      <c r="I2517" s="4">
        <v>0</v>
      </c>
      <c r="J2517" s="4">
        <v>26</v>
      </c>
      <c r="K2517" s="4">
        <v>311.42</v>
      </c>
      <c r="L2517" s="4">
        <v>0</v>
      </c>
      <c r="M2517" s="4">
        <f t="shared" si="117"/>
        <v>0.35</v>
      </c>
      <c r="N2517" s="4">
        <f t="shared" si="118"/>
        <v>285.42</v>
      </c>
      <c r="O2517" s="4">
        <f t="shared" si="119"/>
        <v>-0.41</v>
      </c>
      <c r="P2517" s="3" t="s">
        <v>19</v>
      </c>
    </row>
    <row r="2518" spans="1:16" x14ac:dyDescent="0.35">
      <c r="A2518" s="3" t="s">
        <v>16</v>
      </c>
      <c r="B2518" s="3" t="str">
        <f>INDEX(State_Region!$B$2:$B$26,MATCH(TRIM(A2518),State_Region!$A$2:$A$26,0))</f>
        <v>West</v>
      </c>
      <c r="C2518" s="3" t="s">
        <v>239</v>
      </c>
      <c r="D2518" s="3" t="str">
        <f>INDEX(Port_Type!$B$2:$B$227,MATCH(TRIM(C2518),Port_Type!$A$2:$A$227,0))</f>
        <v>Inland ICD / CFS</v>
      </c>
      <c r="E2518" s="3" t="s">
        <v>27</v>
      </c>
      <c r="F2518" s="3" t="str">
        <f>INDEX(Product_Category!$B$2:$B$45,MATCH(TRIM(E2518),Product_Category!$A$2:$A$45,0))</f>
        <v>Cereals &amp; Grains</v>
      </c>
      <c r="G2518" s="4">
        <v>0.7</v>
      </c>
      <c r="H2518" s="4">
        <v>0</v>
      </c>
      <c r="I2518" s="4">
        <v>0</v>
      </c>
      <c r="J2518" s="4">
        <v>1399.65</v>
      </c>
      <c r="K2518" s="4">
        <v>0</v>
      </c>
      <c r="L2518" s="4">
        <v>0</v>
      </c>
      <c r="M2518" s="4">
        <f t="shared" si="117"/>
        <v>-0.7</v>
      </c>
      <c r="N2518" s="4">
        <f t="shared" si="118"/>
        <v>-1399.65</v>
      </c>
      <c r="O2518" s="4">
        <f t="shared" si="119"/>
        <v>0</v>
      </c>
      <c r="P2518" s="3" t="s">
        <v>19</v>
      </c>
    </row>
    <row r="2519" spans="1:16" x14ac:dyDescent="0.35">
      <c r="A2519" s="3" t="s">
        <v>16</v>
      </c>
      <c r="B2519" s="3" t="str">
        <f>INDEX(State_Region!$B$2:$B$26,MATCH(TRIM(A2519),State_Region!$A$2:$A$26,0))</f>
        <v>West</v>
      </c>
      <c r="C2519" s="3" t="s">
        <v>239</v>
      </c>
      <c r="D2519" s="3" t="str">
        <f>INDEX(Port_Type!$B$2:$B$227,MATCH(TRIM(C2519),Port_Type!$A$2:$A$227,0))</f>
        <v>Inland ICD / CFS</v>
      </c>
      <c r="E2519" s="3" t="s">
        <v>39</v>
      </c>
      <c r="F2519" s="3" t="str">
        <f>INDEX(Product_Category!$B$2:$B$45,MATCH(TRIM(E2519),Product_Category!$A$2:$A$45,0))</f>
        <v>Processed Foods</v>
      </c>
      <c r="G2519" s="4">
        <v>0</v>
      </c>
      <c r="H2519" s="4">
        <v>0.22</v>
      </c>
      <c r="I2519" s="4">
        <v>0</v>
      </c>
      <c r="J2519" s="4">
        <v>0</v>
      </c>
      <c r="K2519" s="4">
        <v>59.3</v>
      </c>
      <c r="L2519" s="4">
        <v>0</v>
      </c>
      <c r="M2519" s="4">
        <f t="shared" si="117"/>
        <v>0.22</v>
      </c>
      <c r="N2519" s="4">
        <f t="shared" si="118"/>
        <v>59.3</v>
      </c>
      <c r="O2519" s="4">
        <f t="shared" si="119"/>
        <v>-0.22</v>
      </c>
      <c r="P2519" s="3" t="s">
        <v>19</v>
      </c>
    </row>
    <row r="2520" spans="1:16" x14ac:dyDescent="0.35">
      <c r="A2520" s="3" t="s">
        <v>23</v>
      </c>
      <c r="B2520" s="3" t="str">
        <f>INDEX(State_Region!$B$2:$B$26,MATCH(TRIM(A2520),State_Region!$A$2:$A$26,0))</f>
        <v>North</v>
      </c>
      <c r="C2520" s="3" t="s">
        <v>44</v>
      </c>
      <c r="D2520" s="3" t="str">
        <f>INDEX(Port_Type!$B$2:$B$227,MATCH(TRIM(C2520),Port_Type!$A$2:$A$227,0))</f>
        <v>Inland ICD / CFS</v>
      </c>
      <c r="E2520" s="3" t="s">
        <v>81</v>
      </c>
      <c r="F2520" s="3" t="str">
        <f>INDEX(Product_Category!$B$2:$B$45,MATCH(TRIM(E2520),Product_Category!$A$2:$A$45,0))</f>
        <v>Processed Foods</v>
      </c>
      <c r="G2520" s="4">
        <v>0</v>
      </c>
      <c r="H2520" s="4">
        <v>0</v>
      </c>
      <c r="I2520" s="4">
        <v>0</v>
      </c>
      <c r="J2520" s="4">
        <v>0.6</v>
      </c>
      <c r="K2520" s="4">
        <v>0</v>
      </c>
      <c r="L2520" s="4">
        <v>0</v>
      </c>
      <c r="M2520" s="4">
        <f t="shared" si="117"/>
        <v>0</v>
      </c>
      <c r="N2520" s="4">
        <f t="shared" si="118"/>
        <v>-0.6</v>
      </c>
      <c r="O2520" s="4">
        <f t="shared" si="119"/>
        <v>0</v>
      </c>
      <c r="P2520" s="3" t="s">
        <v>19</v>
      </c>
    </row>
    <row r="2521" spans="1:16" x14ac:dyDescent="0.35">
      <c r="A2521" s="3" t="s">
        <v>16</v>
      </c>
      <c r="B2521" s="3" t="str">
        <f>INDEX(State_Region!$B$2:$B$26,MATCH(TRIM(A2521),State_Region!$A$2:$A$26,0))</f>
        <v>West</v>
      </c>
      <c r="C2521" s="3" t="s">
        <v>239</v>
      </c>
      <c r="D2521" s="3" t="str">
        <f>INDEX(Port_Type!$B$2:$B$227,MATCH(TRIM(C2521),Port_Type!$A$2:$A$227,0))</f>
        <v>Inland ICD / CFS</v>
      </c>
      <c r="E2521" s="3" t="s">
        <v>144</v>
      </c>
      <c r="F2521" s="3" t="str">
        <f>INDEX(Product_Category!$B$2:$B$45,MATCH(TRIM(E2521),Product_Category!$A$2:$A$45,0))</f>
        <v>Cereals &amp; Grains</v>
      </c>
      <c r="G2521" s="4">
        <v>0.75</v>
      </c>
      <c r="H2521" s="4">
        <v>0</v>
      </c>
      <c r="I2521" s="4">
        <v>0</v>
      </c>
      <c r="J2521" s="4">
        <v>1444.15</v>
      </c>
      <c r="K2521" s="4">
        <v>0</v>
      </c>
      <c r="L2521" s="4">
        <v>0</v>
      </c>
      <c r="M2521" s="4">
        <f t="shared" si="117"/>
        <v>-0.75</v>
      </c>
      <c r="N2521" s="4">
        <f t="shared" si="118"/>
        <v>-1444.15</v>
      </c>
      <c r="O2521" s="4">
        <f t="shared" si="119"/>
        <v>0</v>
      </c>
      <c r="P2521" s="3" t="s">
        <v>19</v>
      </c>
    </row>
    <row r="2522" spans="1:16" x14ac:dyDescent="0.35">
      <c r="A2522" s="3" t="s">
        <v>23</v>
      </c>
      <c r="B2522" s="3" t="str">
        <f>INDEX(State_Region!$B$2:$B$26,MATCH(TRIM(A2522),State_Region!$A$2:$A$26,0))</f>
        <v>North</v>
      </c>
      <c r="C2522" s="3" t="s">
        <v>44</v>
      </c>
      <c r="D2522" s="3" t="str">
        <f>INDEX(Port_Type!$B$2:$B$227,MATCH(TRIM(C2522),Port_Type!$A$2:$A$227,0))</f>
        <v>Inland ICD / CFS</v>
      </c>
      <c r="E2522" s="3" t="s">
        <v>76</v>
      </c>
      <c r="F2522" s="3" t="str">
        <f>INDEX(Product_Category!$B$2:$B$45,MATCH(TRIM(E2522),Product_Category!$A$2:$A$45,0))</f>
        <v>Fresh Fruits &amp; Vegetables</v>
      </c>
      <c r="G2522" s="4">
        <v>0.02</v>
      </c>
      <c r="H2522" s="4">
        <v>0</v>
      </c>
      <c r="I2522" s="4">
        <v>0</v>
      </c>
      <c r="J2522" s="4">
        <v>19.55</v>
      </c>
      <c r="K2522" s="4">
        <v>0</v>
      </c>
      <c r="L2522" s="4">
        <v>0</v>
      </c>
      <c r="M2522" s="4">
        <f t="shared" si="117"/>
        <v>-0.02</v>
      </c>
      <c r="N2522" s="4">
        <f t="shared" si="118"/>
        <v>-19.55</v>
      </c>
      <c r="O2522" s="4">
        <f t="shared" si="119"/>
        <v>0</v>
      </c>
      <c r="P2522" s="3" t="s">
        <v>19</v>
      </c>
    </row>
    <row r="2523" spans="1:16" x14ac:dyDescent="0.35">
      <c r="A2523" s="3" t="s">
        <v>23</v>
      </c>
      <c r="B2523" s="3" t="str">
        <f>INDEX(State_Region!$B$2:$B$26,MATCH(TRIM(A2523),State_Region!$A$2:$A$26,0))</f>
        <v>North</v>
      </c>
      <c r="C2523" s="3" t="s">
        <v>44</v>
      </c>
      <c r="D2523" s="3" t="str">
        <f>INDEX(Port_Type!$B$2:$B$227,MATCH(TRIM(C2523),Port_Type!$A$2:$A$227,0))</f>
        <v>Inland ICD / CFS</v>
      </c>
      <c r="E2523" s="3" t="s">
        <v>69</v>
      </c>
      <c r="F2523" s="3" t="str">
        <f>INDEX(Product_Category!$B$2:$B$45,MATCH(TRIM(E2523),Product_Category!$A$2:$A$45,0))</f>
        <v>Others</v>
      </c>
      <c r="G2523" s="4">
        <v>0</v>
      </c>
      <c r="H2523" s="4">
        <v>0</v>
      </c>
      <c r="I2523" s="4">
        <v>0</v>
      </c>
      <c r="J2523" s="4">
        <v>0.18</v>
      </c>
      <c r="K2523" s="4">
        <v>0.18</v>
      </c>
      <c r="L2523" s="4">
        <v>0</v>
      </c>
      <c r="M2523" s="4">
        <f t="shared" si="117"/>
        <v>0</v>
      </c>
      <c r="N2523" s="4">
        <f t="shared" si="118"/>
        <v>0</v>
      </c>
      <c r="O2523" s="4">
        <f t="shared" si="119"/>
        <v>0</v>
      </c>
      <c r="P2523" s="3" t="s">
        <v>19</v>
      </c>
    </row>
    <row r="2524" spans="1:16" x14ac:dyDescent="0.35">
      <c r="A2524" s="3" t="s">
        <v>16</v>
      </c>
      <c r="B2524" s="3" t="str">
        <f>INDEX(State_Region!$B$2:$B$26,MATCH(TRIM(A2524),State_Region!$A$2:$A$26,0))</f>
        <v>West</v>
      </c>
      <c r="C2524" s="3" t="s">
        <v>239</v>
      </c>
      <c r="D2524" s="3" t="str">
        <f>INDEX(Port_Type!$B$2:$B$227,MATCH(TRIM(C2524),Port_Type!$A$2:$A$227,0))</f>
        <v>Inland ICD / CFS</v>
      </c>
      <c r="E2524" s="3" t="s">
        <v>65</v>
      </c>
      <c r="F2524" s="3" t="str">
        <f>INDEX(Product_Category!$B$2:$B$45,MATCH(TRIM(E2524),Product_Category!$A$2:$A$45,0))</f>
        <v>Cereals &amp; Grains</v>
      </c>
      <c r="G2524" s="4">
        <v>0</v>
      </c>
      <c r="H2524" s="4">
        <v>0</v>
      </c>
      <c r="I2524" s="4">
        <v>0</v>
      </c>
      <c r="J2524" s="4">
        <v>0</v>
      </c>
      <c r="K2524" s="4">
        <v>2</v>
      </c>
      <c r="L2524" s="4">
        <v>0</v>
      </c>
      <c r="M2524" s="4">
        <f t="shared" si="117"/>
        <v>0</v>
      </c>
      <c r="N2524" s="4">
        <f t="shared" si="118"/>
        <v>2</v>
      </c>
      <c r="O2524" s="4">
        <f t="shared" si="119"/>
        <v>0</v>
      </c>
      <c r="P2524" s="3" t="s">
        <v>19</v>
      </c>
    </row>
    <row r="2525" spans="1:16" x14ac:dyDescent="0.35">
      <c r="A2525" s="3" t="s">
        <v>16</v>
      </c>
      <c r="B2525" s="3" t="str">
        <f>INDEX(State_Region!$B$2:$B$26,MATCH(TRIM(A2525),State_Region!$A$2:$A$26,0))</f>
        <v>West</v>
      </c>
      <c r="C2525" s="3" t="s">
        <v>239</v>
      </c>
      <c r="D2525" s="3" t="str">
        <f>INDEX(Port_Type!$B$2:$B$227,MATCH(TRIM(C2525),Port_Type!$A$2:$A$227,0))</f>
        <v>Inland ICD / CFS</v>
      </c>
      <c r="E2525" s="3" t="s">
        <v>53</v>
      </c>
      <c r="F2525" s="3" t="str">
        <f>INDEX(Product_Category!$B$2:$B$45,MATCH(TRIM(E2525),Product_Category!$A$2:$A$45,0))</f>
        <v>Processed Foods</v>
      </c>
      <c r="G2525" s="4">
        <v>0.03</v>
      </c>
      <c r="H2525" s="4">
        <v>0</v>
      </c>
      <c r="I2525" s="4">
        <v>0</v>
      </c>
      <c r="J2525" s="4">
        <v>31.36</v>
      </c>
      <c r="K2525" s="4">
        <v>0</v>
      </c>
      <c r="L2525" s="4">
        <v>0</v>
      </c>
      <c r="M2525" s="4">
        <f t="shared" si="117"/>
        <v>-0.03</v>
      </c>
      <c r="N2525" s="4">
        <f t="shared" si="118"/>
        <v>-31.36</v>
      </c>
      <c r="O2525" s="4">
        <f t="shared" si="119"/>
        <v>0</v>
      </c>
      <c r="P2525" s="3" t="s">
        <v>19</v>
      </c>
    </row>
    <row r="2526" spans="1:16" x14ac:dyDescent="0.35">
      <c r="A2526" s="3" t="s">
        <v>16</v>
      </c>
      <c r="B2526" s="3" t="str">
        <f>INDEX(State_Region!$B$2:$B$26,MATCH(TRIM(A2526),State_Region!$A$2:$A$26,0))</f>
        <v>West</v>
      </c>
      <c r="C2526" s="3" t="s">
        <v>239</v>
      </c>
      <c r="D2526" s="3" t="str">
        <f>INDEX(Port_Type!$B$2:$B$227,MATCH(TRIM(C2526),Port_Type!$A$2:$A$227,0))</f>
        <v>Inland ICD / CFS</v>
      </c>
      <c r="E2526" s="3" t="s">
        <v>69</v>
      </c>
      <c r="F2526" s="3" t="str">
        <f>INDEX(Product_Category!$B$2:$B$45,MATCH(TRIM(E2526),Product_Category!$A$2:$A$45,0))</f>
        <v>Others</v>
      </c>
      <c r="G2526" s="4">
        <v>0.38</v>
      </c>
      <c r="H2526" s="4">
        <v>0</v>
      </c>
      <c r="I2526" s="4">
        <v>0</v>
      </c>
      <c r="J2526" s="4">
        <v>246.98</v>
      </c>
      <c r="K2526" s="4">
        <v>0</v>
      </c>
      <c r="L2526" s="4">
        <v>0</v>
      </c>
      <c r="M2526" s="4">
        <f t="shared" si="117"/>
        <v>-0.38</v>
      </c>
      <c r="N2526" s="4">
        <f t="shared" si="118"/>
        <v>-246.98</v>
      </c>
      <c r="O2526" s="4">
        <f t="shared" si="119"/>
        <v>0</v>
      </c>
      <c r="P2526" s="3" t="s">
        <v>19</v>
      </c>
    </row>
    <row r="2527" spans="1:16" x14ac:dyDescent="0.35">
      <c r="A2527" s="3" t="s">
        <v>16</v>
      </c>
      <c r="B2527" s="3" t="str">
        <f>INDEX(State_Region!$B$2:$B$26,MATCH(TRIM(A2527),State_Region!$A$2:$A$26,0))</f>
        <v>West</v>
      </c>
      <c r="C2527" s="3" t="s">
        <v>239</v>
      </c>
      <c r="D2527" s="3" t="str">
        <f>INDEX(Port_Type!$B$2:$B$227,MATCH(TRIM(C2527),Port_Type!$A$2:$A$227,0))</f>
        <v>Inland ICD / CFS</v>
      </c>
      <c r="E2527" s="3" t="s">
        <v>48</v>
      </c>
      <c r="F2527" s="3" t="str">
        <f>INDEX(Product_Category!$B$2:$B$45,MATCH(TRIM(E2527),Product_Category!$A$2:$A$45,0))</f>
        <v>Processed Foods</v>
      </c>
      <c r="G2527" s="4">
        <v>0.01</v>
      </c>
      <c r="H2527" s="4">
        <v>0</v>
      </c>
      <c r="I2527" s="4">
        <v>0</v>
      </c>
      <c r="J2527" s="4">
        <v>4.75</v>
      </c>
      <c r="K2527" s="4">
        <v>0</v>
      </c>
      <c r="L2527" s="4">
        <v>0</v>
      </c>
      <c r="M2527" s="4">
        <f t="shared" si="117"/>
        <v>-0.01</v>
      </c>
      <c r="N2527" s="4">
        <f t="shared" si="118"/>
        <v>-4.75</v>
      </c>
      <c r="O2527" s="4">
        <f t="shared" si="119"/>
        <v>0</v>
      </c>
      <c r="P2527" s="3" t="s">
        <v>19</v>
      </c>
    </row>
    <row r="2528" spans="1:16" x14ac:dyDescent="0.35">
      <c r="A2528" s="3" t="s">
        <v>16</v>
      </c>
      <c r="B2528" s="3" t="str">
        <f>INDEX(State_Region!$B$2:$B$26,MATCH(TRIM(A2528),State_Region!$A$2:$A$26,0))</f>
        <v>West</v>
      </c>
      <c r="C2528" s="3" t="s">
        <v>239</v>
      </c>
      <c r="D2528" s="3" t="str">
        <f>INDEX(Port_Type!$B$2:$B$227,MATCH(TRIM(C2528),Port_Type!$A$2:$A$227,0))</f>
        <v>Inland ICD / CFS</v>
      </c>
      <c r="E2528" s="3" t="s">
        <v>84</v>
      </c>
      <c r="F2528" s="3" t="str">
        <f>INDEX(Product_Category!$B$2:$B$45,MATCH(TRIM(E2528),Product_Category!$A$2:$A$45,0))</f>
        <v>Nuts &amp; Oilseeds</v>
      </c>
      <c r="G2528" s="4">
        <v>0</v>
      </c>
      <c r="H2528" s="4">
        <v>0.03</v>
      </c>
      <c r="I2528" s="4">
        <v>0</v>
      </c>
      <c r="J2528" s="4">
        <v>0</v>
      </c>
      <c r="K2528" s="4">
        <v>3</v>
      </c>
      <c r="L2528" s="4">
        <v>0</v>
      </c>
      <c r="M2528" s="4">
        <f t="shared" si="117"/>
        <v>0.03</v>
      </c>
      <c r="N2528" s="4">
        <f t="shared" si="118"/>
        <v>3</v>
      </c>
      <c r="O2528" s="4">
        <f t="shared" si="119"/>
        <v>-0.03</v>
      </c>
      <c r="P2528" s="3" t="s">
        <v>19</v>
      </c>
    </row>
    <row r="2529" spans="1:16" x14ac:dyDescent="0.35">
      <c r="A2529" s="3" t="s">
        <v>16</v>
      </c>
      <c r="B2529" s="3" t="str">
        <f>INDEX(State_Region!$B$2:$B$26,MATCH(TRIM(A2529),State_Region!$A$2:$A$26,0))</f>
        <v>West</v>
      </c>
      <c r="C2529" s="3" t="s">
        <v>239</v>
      </c>
      <c r="D2529" s="3" t="str">
        <f>INDEX(Port_Type!$B$2:$B$227,MATCH(TRIM(C2529),Port_Type!$A$2:$A$227,0))</f>
        <v>Inland ICD / CFS</v>
      </c>
      <c r="E2529" s="3" t="s">
        <v>18</v>
      </c>
      <c r="F2529" s="3" t="str">
        <f>INDEX(Product_Category!$B$2:$B$45,MATCH(TRIM(E2529),Product_Category!$A$2:$A$45,0))</f>
        <v>Cereals &amp; Grains</v>
      </c>
      <c r="G2529" s="4">
        <v>4.2300000000000004</v>
      </c>
      <c r="H2529" s="4">
        <v>0</v>
      </c>
      <c r="I2529" s="4">
        <v>0</v>
      </c>
      <c r="J2529" s="4">
        <v>4427.1099999999997</v>
      </c>
      <c r="K2529" s="4">
        <v>0</v>
      </c>
      <c r="L2529" s="4">
        <v>0</v>
      </c>
      <c r="M2529" s="4">
        <f t="shared" si="117"/>
        <v>-4.2300000000000004</v>
      </c>
      <c r="N2529" s="4">
        <f t="shared" si="118"/>
        <v>-4427.1099999999997</v>
      </c>
      <c r="O2529" s="4">
        <f t="shared" si="119"/>
        <v>0</v>
      </c>
      <c r="P2529" s="3" t="s">
        <v>19</v>
      </c>
    </row>
    <row r="2530" spans="1:16" x14ac:dyDescent="0.35">
      <c r="A2530" s="3" t="s">
        <v>16</v>
      </c>
      <c r="B2530" s="3" t="str">
        <f>INDEX(State_Region!$B$2:$B$26,MATCH(TRIM(A2530),State_Region!$A$2:$A$26,0))</f>
        <v>West</v>
      </c>
      <c r="C2530" s="3" t="s">
        <v>17</v>
      </c>
      <c r="D2530" s="3" t="str">
        <f>INDEX(Port_Type!$B$2:$B$227,MATCH(TRIM(C2530),Port_Type!$A$2:$A$227,0))</f>
        <v>Sea Port</v>
      </c>
      <c r="E2530" s="3" t="s">
        <v>221</v>
      </c>
      <c r="F2530" s="3" t="str">
        <f>INDEX(Product_Category!$B$2:$B$45,MATCH(TRIM(E2530),Product_Category!$A$2:$A$45,0))</f>
        <v>Meat &amp; Animal Products</v>
      </c>
      <c r="G2530" s="4">
        <v>0.01</v>
      </c>
      <c r="H2530" s="4">
        <v>0</v>
      </c>
      <c r="I2530" s="4">
        <v>0</v>
      </c>
      <c r="J2530" s="4">
        <v>2</v>
      </c>
      <c r="K2530" s="4">
        <v>0</v>
      </c>
      <c r="L2530" s="4">
        <v>0</v>
      </c>
      <c r="M2530" s="4">
        <f t="shared" si="117"/>
        <v>-0.01</v>
      </c>
      <c r="N2530" s="4">
        <f t="shared" si="118"/>
        <v>-2</v>
      </c>
      <c r="O2530" s="4">
        <f t="shared" si="119"/>
        <v>0</v>
      </c>
      <c r="P2530" s="3" t="s">
        <v>19</v>
      </c>
    </row>
    <row r="2531" spans="1:16" x14ac:dyDescent="0.35">
      <c r="A2531" s="3" t="s">
        <v>16</v>
      </c>
      <c r="B2531" s="3" t="str">
        <f>INDEX(State_Region!$B$2:$B$26,MATCH(TRIM(A2531),State_Region!$A$2:$A$26,0))</f>
        <v>West</v>
      </c>
      <c r="C2531" s="3" t="s">
        <v>17</v>
      </c>
      <c r="D2531" s="3" t="str">
        <f>INDEX(Port_Type!$B$2:$B$227,MATCH(TRIM(C2531),Port_Type!$A$2:$A$227,0))</f>
        <v>Sea Port</v>
      </c>
      <c r="E2531" s="3" t="s">
        <v>261</v>
      </c>
      <c r="F2531" s="3" t="str">
        <f>INDEX(Product_Category!$B$2:$B$45,MATCH(TRIM(E2531),Product_Category!$A$2:$A$45,0))</f>
        <v>Meat &amp; Animal Products</v>
      </c>
      <c r="G2531" s="4">
        <v>0</v>
      </c>
      <c r="H2531" s="4">
        <v>0</v>
      </c>
      <c r="I2531" s="4">
        <v>0</v>
      </c>
      <c r="J2531" s="4">
        <v>0.95</v>
      </c>
      <c r="K2531" s="4">
        <v>0</v>
      </c>
      <c r="L2531" s="4">
        <v>0</v>
      </c>
      <c r="M2531" s="4">
        <f t="shared" si="117"/>
        <v>0</v>
      </c>
      <c r="N2531" s="4">
        <f t="shared" si="118"/>
        <v>-0.95</v>
      </c>
      <c r="O2531" s="4">
        <f t="shared" si="119"/>
        <v>0</v>
      </c>
      <c r="P2531" s="3" t="s">
        <v>19</v>
      </c>
    </row>
    <row r="2532" spans="1:16" x14ac:dyDescent="0.35">
      <c r="A2532" s="3" t="s">
        <v>16</v>
      </c>
      <c r="B2532" s="3" t="str">
        <f>INDEX(State_Region!$B$2:$B$26,MATCH(TRIM(A2532),State_Region!$A$2:$A$26,0))</f>
        <v>West</v>
      </c>
      <c r="C2532" s="3" t="s">
        <v>17</v>
      </c>
      <c r="D2532" s="3" t="str">
        <f>INDEX(Port_Type!$B$2:$B$227,MATCH(TRIM(C2532),Port_Type!$A$2:$A$227,0))</f>
        <v>Sea Port</v>
      </c>
      <c r="E2532" s="3" t="s">
        <v>22</v>
      </c>
      <c r="F2532" s="3" t="str">
        <f>INDEX(Product_Category!$B$2:$B$45,MATCH(TRIM(E2532),Product_Category!$A$2:$A$45,0))</f>
        <v>Meat &amp; Animal Products</v>
      </c>
      <c r="G2532" s="4">
        <v>0</v>
      </c>
      <c r="H2532" s="4">
        <v>0.39</v>
      </c>
      <c r="I2532" s="4">
        <v>0</v>
      </c>
      <c r="J2532" s="4">
        <v>0.06</v>
      </c>
      <c r="K2532" s="4">
        <v>81</v>
      </c>
      <c r="L2532" s="4">
        <v>0</v>
      </c>
      <c r="M2532" s="4">
        <f t="shared" si="117"/>
        <v>0.39</v>
      </c>
      <c r="N2532" s="4">
        <f t="shared" si="118"/>
        <v>80.94</v>
      </c>
      <c r="O2532" s="4">
        <f t="shared" si="119"/>
        <v>-0.39</v>
      </c>
      <c r="P2532" s="3" t="s">
        <v>19</v>
      </c>
    </row>
    <row r="2533" spans="1:16" x14ac:dyDescent="0.35">
      <c r="A2533" s="3" t="s">
        <v>16</v>
      </c>
      <c r="B2533" s="3" t="str">
        <f>INDEX(State_Region!$B$2:$B$26,MATCH(TRIM(A2533),State_Region!$A$2:$A$26,0))</f>
        <v>West</v>
      </c>
      <c r="C2533" s="3" t="s">
        <v>17</v>
      </c>
      <c r="D2533" s="3" t="str">
        <f>INDEX(Port_Type!$B$2:$B$227,MATCH(TRIM(C2533),Port_Type!$A$2:$A$227,0))</f>
        <v>Sea Port</v>
      </c>
      <c r="E2533" s="3" t="s">
        <v>174</v>
      </c>
      <c r="F2533" s="3" t="str">
        <f>INDEX(Product_Category!$B$2:$B$45,MATCH(TRIM(E2533),Product_Category!$A$2:$A$45,0))</f>
        <v>Dairy, Poultry &amp; Honey</v>
      </c>
      <c r="G2533" s="4">
        <v>0.04</v>
      </c>
      <c r="H2533" s="4">
        <v>0</v>
      </c>
      <c r="I2533" s="4">
        <v>0</v>
      </c>
      <c r="J2533" s="4">
        <v>4.5</v>
      </c>
      <c r="K2533" s="4">
        <v>0</v>
      </c>
      <c r="L2533" s="4">
        <v>0</v>
      </c>
      <c r="M2533" s="4">
        <f t="shared" si="117"/>
        <v>-0.04</v>
      </c>
      <c r="N2533" s="4">
        <f t="shared" si="118"/>
        <v>-4.5</v>
      </c>
      <c r="O2533" s="4">
        <f t="shared" si="119"/>
        <v>0</v>
      </c>
      <c r="P2533" s="3" t="s">
        <v>19</v>
      </c>
    </row>
    <row r="2534" spans="1:16" x14ac:dyDescent="0.35">
      <c r="A2534" s="3" t="s">
        <v>16</v>
      </c>
      <c r="B2534" s="3" t="str">
        <f>INDEX(State_Region!$B$2:$B$26,MATCH(TRIM(A2534),State_Region!$A$2:$A$26,0))</f>
        <v>West</v>
      </c>
      <c r="C2534" s="3" t="s">
        <v>28</v>
      </c>
      <c r="D2534" s="3" t="str">
        <f>INDEX(Port_Type!$B$2:$B$227,MATCH(TRIM(C2534),Port_Type!$A$2:$A$227,0))</f>
        <v>Sea Port</v>
      </c>
      <c r="E2534" s="3" t="s">
        <v>170</v>
      </c>
      <c r="F2534" s="3" t="str">
        <f>INDEX(Product_Category!$B$2:$B$45,MATCH(TRIM(E2534),Product_Category!$A$2:$A$45,0))</f>
        <v>Others</v>
      </c>
      <c r="G2534" s="4">
        <v>0.65</v>
      </c>
      <c r="H2534" s="4">
        <v>0</v>
      </c>
      <c r="I2534" s="4">
        <v>0</v>
      </c>
      <c r="J2534" s="4">
        <v>84.46</v>
      </c>
      <c r="K2534" s="4">
        <v>0</v>
      </c>
      <c r="L2534" s="4">
        <v>0</v>
      </c>
      <c r="M2534" s="4">
        <f t="shared" si="117"/>
        <v>-0.65</v>
      </c>
      <c r="N2534" s="4">
        <f t="shared" si="118"/>
        <v>-84.46</v>
      </c>
      <c r="O2534" s="4">
        <f t="shared" si="119"/>
        <v>0</v>
      </c>
      <c r="P2534" s="3" t="s">
        <v>19</v>
      </c>
    </row>
    <row r="2535" spans="1:16" x14ac:dyDescent="0.35">
      <c r="A2535" s="3" t="s">
        <v>16</v>
      </c>
      <c r="B2535" s="3" t="str">
        <f>INDEX(State_Region!$B$2:$B$26,MATCH(TRIM(A2535),State_Region!$A$2:$A$26,0))</f>
        <v>West</v>
      </c>
      <c r="C2535" s="3" t="s">
        <v>28</v>
      </c>
      <c r="D2535" s="3" t="str">
        <f>INDEX(Port_Type!$B$2:$B$227,MATCH(TRIM(C2535),Port_Type!$A$2:$A$227,0))</f>
        <v>Sea Port</v>
      </c>
      <c r="E2535" s="3" t="s">
        <v>126</v>
      </c>
      <c r="F2535" s="3" t="str">
        <f>INDEX(Product_Category!$B$2:$B$45,MATCH(TRIM(E2535),Product_Category!$A$2:$A$45,0))</f>
        <v>Cereals &amp; Grains</v>
      </c>
      <c r="G2535" s="4">
        <v>7.0000000000000007E-2</v>
      </c>
      <c r="H2535" s="4">
        <v>0.03</v>
      </c>
      <c r="I2535" s="4">
        <v>0</v>
      </c>
      <c r="J2535" s="4">
        <v>45</v>
      </c>
      <c r="K2535" s="4">
        <v>34</v>
      </c>
      <c r="L2535" s="4">
        <v>0</v>
      </c>
      <c r="M2535" s="4">
        <f t="shared" si="117"/>
        <v>-4.0000000000000008E-2</v>
      </c>
      <c r="N2535" s="4">
        <f t="shared" si="118"/>
        <v>-11</v>
      </c>
      <c r="O2535" s="4">
        <f t="shared" si="119"/>
        <v>-0.03</v>
      </c>
      <c r="P2535" s="3" t="s">
        <v>19</v>
      </c>
    </row>
    <row r="2536" spans="1:16" x14ac:dyDescent="0.35">
      <c r="A2536" s="3" t="s">
        <v>16</v>
      </c>
      <c r="B2536" s="3" t="str">
        <f>INDEX(State_Region!$B$2:$B$26,MATCH(TRIM(A2536),State_Region!$A$2:$A$26,0))</f>
        <v>West</v>
      </c>
      <c r="C2536" s="3" t="s">
        <v>28</v>
      </c>
      <c r="D2536" s="3" t="str">
        <f>INDEX(Port_Type!$B$2:$B$227,MATCH(TRIM(C2536),Port_Type!$A$2:$A$227,0))</f>
        <v>Sea Port</v>
      </c>
      <c r="E2536" s="3" t="s">
        <v>151</v>
      </c>
      <c r="F2536" s="3" t="str">
        <f>INDEX(Product_Category!$B$2:$B$45,MATCH(TRIM(E2536),Product_Category!$A$2:$A$45,0))</f>
        <v>Processed Foods</v>
      </c>
      <c r="G2536" s="4">
        <v>0</v>
      </c>
      <c r="H2536" s="4">
        <v>0</v>
      </c>
      <c r="I2536" s="4">
        <v>0</v>
      </c>
      <c r="J2536" s="4">
        <v>0</v>
      </c>
      <c r="K2536" s="4">
        <v>0.12</v>
      </c>
      <c r="L2536" s="4">
        <v>0</v>
      </c>
      <c r="M2536" s="4">
        <f t="shared" si="117"/>
        <v>0</v>
      </c>
      <c r="N2536" s="4">
        <f t="shared" si="118"/>
        <v>0.12</v>
      </c>
      <c r="O2536" s="4">
        <f t="shared" si="119"/>
        <v>0</v>
      </c>
      <c r="P2536" s="3" t="s">
        <v>19</v>
      </c>
    </row>
    <row r="2537" spans="1:16" x14ac:dyDescent="0.35">
      <c r="A2537" s="3" t="s">
        <v>16</v>
      </c>
      <c r="B2537" s="3" t="str">
        <f>INDEX(State_Region!$B$2:$B$26,MATCH(TRIM(A2537),State_Region!$A$2:$A$26,0))</f>
        <v>West</v>
      </c>
      <c r="C2537" s="3" t="s">
        <v>28</v>
      </c>
      <c r="D2537" s="3" t="str">
        <f>INDEX(Port_Type!$B$2:$B$227,MATCH(TRIM(C2537),Port_Type!$A$2:$A$227,0))</f>
        <v>Sea Port</v>
      </c>
      <c r="E2537" s="3" t="s">
        <v>122</v>
      </c>
      <c r="F2537" s="3" t="str">
        <f>INDEX(Product_Category!$B$2:$B$45,MATCH(TRIM(E2537),Product_Category!$A$2:$A$45,0))</f>
        <v>Others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  <c r="L2537" s="4">
        <v>0</v>
      </c>
      <c r="M2537" s="4">
        <f t="shared" si="117"/>
        <v>0</v>
      </c>
      <c r="N2537" s="4">
        <f t="shared" si="118"/>
        <v>0</v>
      </c>
      <c r="O2537" s="4">
        <f t="shared" si="119"/>
        <v>0</v>
      </c>
      <c r="P2537" s="3" t="s">
        <v>19</v>
      </c>
    </row>
    <row r="2538" spans="1:16" x14ac:dyDescent="0.35">
      <c r="A2538" s="3" t="s">
        <v>16</v>
      </c>
      <c r="B2538" s="3" t="str">
        <f>INDEX(State_Region!$B$2:$B$26,MATCH(TRIM(A2538),State_Region!$A$2:$A$26,0))</f>
        <v>West</v>
      </c>
      <c r="C2538" s="3" t="s">
        <v>28</v>
      </c>
      <c r="D2538" s="3" t="str">
        <f>INDEX(Port_Type!$B$2:$B$227,MATCH(TRIM(C2538),Port_Type!$A$2:$A$227,0))</f>
        <v>Sea Port</v>
      </c>
      <c r="E2538" s="3" t="s">
        <v>84</v>
      </c>
      <c r="F2538" s="3" t="str">
        <f>INDEX(Product_Category!$B$2:$B$45,MATCH(TRIM(E2538),Product_Category!$A$2:$A$45,0))</f>
        <v>Nuts &amp; Oilseeds</v>
      </c>
      <c r="G2538" s="4">
        <v>0</v>
      </c>
      <c r="H2538" s="4">
        <v>0</v>
      </c>
      <c r="I2538" s="4">
        <v>0</v>
      </c>
      <c r="J2538" s="4">
        <v>0</v>
      </c>
      <c r="K2538" s="4">
        <v>0.02</v>
      </c>
      <c r="L2538" s="4">
        <v>0</v>
      </c>
      <c r="M2538" s="4">
        <f t="shared" si="117"/>
        <v>0</v>
      </c>
      <c r="N2538" s="4">
        <f t="shared" si="118"/>
        <v>0.02</v>
      </c>
      <c r="O2538" s="4">
        <f t="shared" si="119"/>
        <v>0</v>
      </c>
      <c r="P2538" s="3" t="s">
        <v>19</v>
      </c>
    </row>
    <row r="2539" spans="1:16" x14ac:dyDescent="0.35">
      <c r="A2539" s="3" t="s">
        <v>23</v>
      </c>
      <c r="B2539" s="3" t="str">
        <f>INDEX(State_Region!$B$2:$B$26,MATCH(TRIM(A2539),State_Region!$A$2:$A$26,0))</f>
        <v>North</v>
      </c>
      <c r="C2539" s="3" t="s">
        <v>44</v>
      </c>
      <c r="D2539" s="3" t="str">
        <f>INDEX(Port_Type!$B$2:$B$227,MATCH(TRIM(C2539),Port_Type!$A$2:$A$227,0))</f>
        <v>Inland ICD / CFS</v>
      </c>
      <c r="E2539" s="3" t="s">
        <v>93</v>
      </c>
      <c r="F2539" s="3" t="str">
        <f>INDEX(Product_Category!$B$2:$B$45,MATCH(TRIM(E2539),Product_Category!$A$2:$A$45,0))</f>
        <v>Meat &amp; Animal Products</v>
      </c>
      <c r="G2539" s="4">
        <v>0.32</v>
      </c>
      <c r="H2539" s="4">
        <v>1.85</v>
      </c>
      <c r="I2539" s="4">
        <v>0</v>
      </c>
      <c r="J2539" s="4">
        <v>90.52</v>
      </c>
      <c r="K2539" s="4">
        <v>249.02</v>
      </c>
      <c r="L2539" s="4">
        <v>0</v>
      </c>
      <c r="M2539" s="4">
        <f t="shared" si="117"/>
        <v>1.53</v>
      </c>
      <c r="N2539" s="4">
        <f t="shared" si="118"/>
        <v>158.5</v>
      </c>
      <c r="O2539" s="4">
        <f t="shared" si="119"/>
        <v>-1.85</v>
      </c>
      <c r="P2539" s="3" t="s">
        <v>19</v>
      </c>
    </row>
    <row r="2540" spans="1:16" x14ac:dyDescent="0.35">
      <c r="A2540" s="3" t="s">
        <v>23</v>
      </c>
      <c r="B2540" s="3" t="str">
        <f>INDEX(State_Region!$B$2:$B$26,MATCH(TRIM(A2540),State_Region!$A$2:$A$26,0))</f>
        <v>North</v>
      </c>
      <c r="C2540" s="3" t="s">
        <v>44</v>
      </c>
      <c r="D2540" s="3" t="str">
        <f>INDEX(Port_Type!$B$2:$B$227,MATCH(TRIM(C2540),Port_Type!$A$2:$A$227,0))</f>
        <v>Inland ICD / CFS</v>
      </c>
      <c r="E2540" s="3" t="s">
        <v>181</v>
      </c>
      <c r="F2540" s="3" t="str">
        <f>INDEX(Product_Category!$B$2:$B$45,MATCH(TRIM(E2540),Product_Category!$A$2:$A$45,0))</f>
        <v>Nuts &amp; Oilseeds</v>
      </c>
      <c r="G2540" s="4">
        <v>0</v>
      </c>
      <c r="H2540" s="4">
        <v>0</v>
      </c>
      <c r="I2540" s="4">
        <v>0</v>
      </c>
      <c r="J2540" s="4">
        <v>0.03</v>
      </c>
      <c r="K2540" s="4">
        <v>0.01</v>
      </c>
      <c r="L2540" s="4">
        <v>0</v>
      </c>
      <c r="M2540" s="4">
        <f t="shared" si="117"/>
        <v>0</v>
      </c>
      <c r="N2540" s="4">
        <f t="shared" si="118"/>
        <v>-1.9999999999999997E-2</v>
      </c>
      <c r="O2540" s="4">
        <f t="shared" si="119"/>
        <v>0</v>
      </c>
      <c r="P2540" s="3" t="s">
        <v>19</v>
      </c>
    </row>
    <row r="2541" spans="1:16" x14ac:dyDescent="0.35">
      <c r="A2541" s="3" t="s">
        <v>16</v>
      </c>
      <c r="B2541" s="3" t="str">
        <f>INDEX(State_Region!$B$2:$B$26,MATCH(TRIM(A2541),State_Region!$A$2:$A$26,0))</f>
        <v>West</v>
      </c>
      <c r="C2541" s="3" t="s">
        <v>282</v>
      </c>
      <c r="D2541" s="3" t="str">
        <f>INDEX(Port_Type!$B$2:$B$227,MATCH(TRIM(C2541),Port_Type!$A$2:$A$227,0))</f>
        <v>Inland ICD / CFS</v>
      </c>
      <c r="E2541" s="3" t="s">
        <v>33</v>
      </c>
      <c r="F2541" s="3" t="str">
        <f>INDEX(Product_Category!$B$2:$B$45,MATCH(TRIM(E2541),Product_Category!$A$2:$A$45,0))</f>
        <v>Pulses</v>
      </c>
      <c r="G2541" s="4">
        <v>0.46</v>
      </c>
      <c r="H2541" s="4">
        <v>0</v>
      </c>
      <c r="I2541" s="4">
        <v>0</v>
      </c>
      <c r="J2541" s="4">
        <v>312.76</v>
      </c>
      <c r="K2541" s="4">
        <v>0</v>
      </c>
      <c r="L2541" s="4">
        <v>0</v>
      </c>
      <c r="M2541" s="4">
        <f t="shared" si="117"/>
        <v>-0.46</v>
      </c>
      <c r="N2541" s="4">
        <f t="shared" si="118"/>
        <v>-312.76</v>
      </c>
      <c r="O2541" s="4">
        <f t="shared" si="119"/>
        <v>0</v>
      </c>
      <c r="P2541" s="3" t="s">
        <v>19</v>
      </c>
    </row>
    <row r="2542" spans="1:16" x14ac:dyDescent="0.35">
      <c r="A2542" s="3" t="s">
        <v>16</v>
      </c>
      <c r="B2542" s="3" t="str">
        <f>INDEX(State_Region!$B$2:$B$26,MATCH(TRIM(A2542),State_Region!$A$2:$A$26,0))</f>
        <v>West</v>
      </c>
      <c r="C2542" s="3" t="s">
        <v>282</v>
      </c>
      <c r="D2542" s="3" t="str">
        <f>INDEX(Port_Type!$B$2:$B$227,MATCH(TRIM(C2542),Port_Type!$A$2:$A$227,0))</f>
        <v>Inland ICD / CFS</v>
      </c>
      <c r="E2542" s="3" t="s">
        <v>42</v>
      </c>
      <c r="F2542" s="3" t="str">
        <f>INDEX(Product_Category!$B$2:$B$45,MATCH(TRIM(E2542),Product_Category!$A$2:$A$45,0))</f>
        <v>Processed Foods</v>
      </c>
      <c r="G2542" s="4">
        <v>0.48</v>
      </c>
      <c r="H2542" s="4">
        <v>0</v>
      </c>
      <c r="I2542" s="4">
        <v>0</v>
      </c>
      <c r="J2542" s="4">
        <v>95.99</v>
      </c>
      <c r="K2542" s="4">
        <v>0</v>
      </c>
      <c r="L2542" s="4">
        <v>0</v>
      </c>
      <c r="M2542" s="4">
        <f t="shared" si="117"/>
        <v>-0.48</v>
      </c>
      <c r="N2542" s="4">
        <f t="shared" si="118"/>
        <v>-95.99</v>
      </c>
      <c r="O2542" s="4">
        <f t="shared" si="119"/>
        <v>0</v>
      </c>
      <c r="P2542" s="3" t="s">
        <v>19</v>
      </c>
    </row>
    <row r="2543" spans="1:16" x14ac:dyDescent="0.35">
      <c r="A2543" s="3" t="s">
        <v>23</v>
      </c>
      <c r="B2543" s="3" t="str">
        <f>INDEX(State_Region!$B$2:$B$26,MATCH(TRIM(A2543),State_Region!$A$2:$A$26,0))</f>
        <v>North</v>
      </c>
      <c r="C2543" s="3" t="s">
        <v>136</v>
      </c>
      <c r="D2543" s="3" t="str">
        <f>INDEX(Port_Type!$B$2:$B$227,MATCH(TRIM(C2543),Port_Type!$A$2:$A$227,0))</f>
        <v>Inland ICD / CFS</v>
      </c>
      <c r="E2543" s="3" t="s">
        <v>84</v>
      </c>
      <c r="F2543" s="3" t="str">
        <f>INDEX(Product_Category!$B$2:$B$45,MATCH(TRIM(E2543),Product_Category!$A$2:$A$45,0))</f>
        <v>Nuts &amp; Oilseeds</v>
      </c>
      <c r="G2543" s="4">
        <v>0</v>
      </c>
      <c r="H2543" s="4">
        <v>0</v>
      </c>
      <c r="I2543" s="4">
        <v>0</v>
      </c>
      <c r="J2543" s="4">
        <v>7.0000000000000007E-2</v>
      </c>
      <c r="K2543" s="4">
        <v>0</v>
      </c>
      <c r="L2543" s="4">
        <v>0</v>
      </c>
      <c r="M2543" s="4">
        <f t="shared" si="117"/>
        <v>0</v>
      </c>
      <c r="N2543" s="4">
        <f t="shared" si="118"/>
        <v>-7.0000000000000007E-2</v>
      </c>
      <c r="O2543" s="4">
        <f t="shared" si="119"/>
        <v>0</v>
      </c>
      <c r="P2543" s="3" t="s">
        <v>19</v>
      </c>
    </row>
    <row r="2544" spans="1:16" x14ac:dyDescent="0.35">
      <c r="A2544" s="3" t="s">
        <v>16</v>
      </c>
      <c r="B2544" s="3" t="str">
        <f>INDEX(State_Region!$B$2:$B$26,MATCH(TRIM(A2544),State_Region!$A$2:$A$26,0))</f>
        <v>West</v>
      </c>
      <c r="C2544" s="3" t="s">
        <v>282</v>
      </c>
      <c r="D2544" s="3" t="str">
        <f>INDEX(Port_Type!$B$2:$B$227,MATCH(TRIM(C2544),Port_Type!$A$2:$A$227,0))</f>
        <v>Inland ICD / CFS</v>
      </c>
      <c r="E2544" s="3" t="s">
        <v>54</v>
      </c>
      <c r="F2544" s="3" t="str">
        <f>INDEX(Product_Category!$B$2:$B$45,MATCH(TRIM(E2544),Product_Category!$A$2:$A$45,0))</f>
        <v>Processed Foods</v>
      </c>
      <c r="G2544" s="4">
        <v>0</v>
      </c>
      <c r="H2544" s="4">
        <v>0</v>
      </c>
      <c r="I2544" s="4">
        <v>0</v>
      </c>
      <c r="J2544" s="4">
        <v>2.2799999999999998</v>
      </c>
      <c r="K2544" s="4">
        <v>0</v>
      </c>
      <c r="L2544" s="4">
        <v>0</v>
      </c>
      <c r="M2544" s="4">
        <f t="shared" si="117"/>
        <v>0</v>
      </c>
      <c r="N2544" s="4">
        <f t="shared" si="118"/>
        <v>-2.2799999999999998</v>
      </c>
      <c r="O2544" s="4">
        <f t="shared" si="119"/>
        <v>0</v>
      </c>
      <c r="P2544" s="3" t="s">
        <v>19</v>
      </c>
    </row>
    <row r="2545" spans="1:16" x14ac:dyDescent="0.35">
      <c r="A2545" s="3" t="s">
        <v>23</v>
      </c>
      <c r="B2545" s="3" t="str">
        <f>INDEX(State_Region!$B$2:$B$26,MATCH(TRIM(A2545),State_Region!$A$2:$A$26,0))</f>
        <v>North</v>
      </c>
      <c r="C2545" s="3" t="s">
        <v>136</v>
      </c>
      <c r="D2545" s="3" t="str">
        <f>INDEX(Port_Type!$B$2:$B$227,MATCH(TRIM(C2545),Port_Type!$A$2:$A$227,0))</f>
        <v>Inland ICD / CFS</v>
      </c>
      <c r="E2545" s="3" t="s">
        <v>59</v>
      </c>
      <c r="F2545" s="3" t="str">
        <f>INDEX(Product_Category!$B$2:$B$45,MATCH(TRIM(E2545),Product_Category!$A$2:$A$45,0))</f>
        <v>Processed Foods</v>
      </c>
      <c r="G2545" s="4">
        <v>0</v>
      </c>
      <c r="H2545" s="4">
        <v>0</v>
      </c>
      <c r="I2545" s="4">
        <v>0</v>
      </c>
      <c r="J2545" s="4">
        <v>0.03</v>
      </c>
      <c r="K2545" s="4">
        <v>0.15</v>
      </c>
      <c r="L2545" s="4">
        <v>0</v>
      </c>
      <c r="M2545" s="4">
        <f t="shared" si="117"/>
        <v>0</v>
      </c>
      <c r="N2545" s="4">
        <f t="shared" si="118"/>
        <v>0.12</v>
      </c>
      <c r="O2545" s="4">
        <f t="shared" si="119"/>
        <v>0</v>
      </c>
      <c r="P2545" s="3" t="s">
        <v>19</v>
      </c>
    </row>
    <row r="2546" spans="1:16" x14ac:dyDescent="0.35">
      <c r="A2546" s="3" t="s">
        <v>23</v>
      </c>
      <c r="B2546" s="3" t="str">
        <f>INDEX(State_Region!$B$2:$B$26,MATCH(TRIM(A2546),State_Region!$A$2:$A$26,0))</f>
        <v>North</v>
      </c>
      <c r="C2546" s="3" t="s">
        <v>136</v>
      </c>
      <c r="D2546" s="3" t="str">
        <f>INDEX(Port_Type!$B$2:$B$227,MATCH(TRIM(C2546),Port_Type!$A$2:$A$227,0))</f>
        <v>Inland ICD / CFS</v>
      </c>
      <c r="E2546" s="3" t="s">
        <v>122</v>
      </c>
      <c r="F2546" s="3" t="str">
        <f>INDEX(Product_Category!$B$2:$B$45,MATCH(TRIM(E2546),Product_Category!$A$2:$A$45,0))</f>
        <v>Others</v>
      </c>
      <c r="G2546" s="4">
        <v>0</v>
      </c>
      <c r="H2546" s="4">
        <v>0</v>
      </c>
      <c r="I2546" s="4">
        <v>0</v>
      </c>
      <c r="J2546" s="4">
        <v>7.0000000000000007E-2</v>
      </c>
      <c r="K2546" s="4">
        <v>0</v>
      </c>
      <c r="L2546" s="4">
        <v>0</v>
      </c>
      <c r="M2546" s="4">
        <f t="shared" si="117"/>
        <v>0</v>
      </c>
      <c r="N2546" s="4">
        <f t="shared" si="118"/>
        <v>-7.0000000000000007E-2</v>
      </c>
      <c r="O2546" s="4">
        <f t="shared" si="119"/>
        <v>0</v>
      </c>
      <c r="P2546" s="3" t="s">
        <v>19</v>
      </c>
    </row>
    <row r="2547" spans="1:16" x14ac:dyDescent="0.35">
      <c r="A2547" s="3" t="s">
        <v>23</v>
      </c>
      <c r="B2547" s="3" t="str">
        <f>INDEX(State_Region!$B$2:$B$26,MATCH(TRIM(A2547),State_Region!$A$2:$A$26,0))</f>
        <v>North</v>
      </c>
      <c r="C2547" s="3" t="s">
        <v>136</v>
      </c>
      <c r="D2547" s="3" t="str">
        <f>INDEX(Port_Type!$B$2:$B$227,MATCH(TRIM(C2547),Port_Type!$A$2:$A$227,0))</f>
        <v>Inland ICD / CFS</v>
      </c>
      <c r="E2547" s="3" t="s">
        <v>51</v>
      </c>
      <c r="F2547" s="3" t="str">
        <f>INDEX(Product_Category!$B$2:$B$45,MATCH(TRIM(E2547),Product_Category!$A$2:$A$45,0))</f>
        <v>Nuts &amp; Oilseeds</v>
      </c>
      <c r="G2547" s="4">
        <v>0</v>
      </c>
      <c r="H2547" s="4">
        <v>0</v>
      </c>
      <c r="I2547" s="4">
        <v>0</v>
      </c>
      <c r="J2547" s="4">
        <v>0.65</v>
      </c>
      <c r="K2547" s="4">
        <v>1</v>
      </c>
      <c r="L2547" s="4">
        <v>0</v>
      </c>
      <c r="M2547" s="4">
        <f t="shared" si="117"/>
        <v>0</v>
      </c>
      <c r="N2547" s="4">
        <f t="shared" si="118"/>
        <v>0.35</v>
      </c>
      <c r="O2547" s="4">
        <f t="shared" si="119"/>
        <v>0</v>
      </c>
      <c r="P2547" s="3" t="s">
        <v>19</v>
      </c>
    </row>
    <row r="2548" spans="1:16" x14ac:dyDescent="0.35">
      <c r="A2548" s="3" t="s">
        <v>16</v>
      </c>
      <c r="B2548" s="3" t="str">
        <f>INDEX(State_Region!$B$2:$B$26,MATCH(TRIM(A2548),State_Region!$A$2:$A$26,0))</f>
        <v>West</v>
      </c>
      <c r="C2548" s="3" t="s">
        <v>282</v>
      </c>
      <c r="D2548" s="3" t="str">
        <f>INDEX(Port_Type!$B$2:$B$227,MATCH(TRIM(C2548),Port_Type!$A$2:$A$227,0))</f>
        <v>Inland ICD / CFS</v>
      </c>
      <c r="E2548" s="3" t="s">
        <v>116</v>
      </c>
      <c r="F2548" s="3" t="str">
        <f>INDEX(Product_Category!$B$2:$B$45,MATCH(TRIM(E2548),Product_Category!$A$2:$A$45,0))</f>
        <v>Others</v>
      </c>
      <c r="G2548" s="4">
        <v>0.01</v>
      </c>
      <c r="H2548" s="4">
        <v>0</v>
      </c>
      <c r="I2548" s="4">
        <v>0</v>
      </c>
      <c r="J2548" s="4">
        <v>25</v>
      </c>
      <c r="K2548" s="4">
        <v>0</v>
      </c>
      <c r="L2548" s="4">
        <v>0</v>
      </c>
      <c r="M2548" s="4">
        <f t="shared" si="117"/>
        <v>-0.01</v>
      </c>
      <c r="N2548" s="4">
        <f t="shared" si="118"/>
        <v>-25</v>
      </c>
      <c r="O2548" s="4">
        <f t="shared" si="119"/>
        <v>0</v>
      </c>
      <c r="P2548" s="3" t="s">
        <v>19</v>
      </c>
    </row>
    <row r="2549" spans="1:16" x14ac:dyDescent="0.35">
      <c r="A2549" s="3" t="s">
        <v>16</v>
      </c>
      <c r="B2549" s="3" t="str">
        <f>INDEX(State_Region!$B$2:$B$26,MATCH(TRIM(A2549),State_Region!$A$2:$A$26,0))</f>
        <v>West</v>
      </c>
      <c r="C2549" s="3" t="s">
        <v>282</v>
      </c>
      <c r="D2549" s="3" t="str">
        <f>INDEX(Port_Type!$B$2:$B$227,MATCH(TRIM(C2549),Port_Type!$A$2:$A$227,0))</f>
        <v>Inland ICD / CFS</v>
      </c>
      <c r="E2549" s="3" t="s">
        <v>45</v>
      </c>
      <c r="F2549" s="3" t="str">
        <f>INDEX(Product_Category!$B$2:$B$45,MATCH(TRIM(E2549),Product_Category!$A$2:$A$45,0))</f>
        <v>Fresh Fruits &amp; Vegetables</v>
      </c>
      <c r="G2549" s="4">
        <v>0.02</v>
      </c>
      <c r="H2549" s="4">
        <v>0</v>
      </c>
      <c r="I2549" s="4">
        <v>0</v>
      </c>
      <c r="J2549" s="4">
        <v>3.04</v>
      </c>
      <c r="K2549" s="4">
        <v>0</v>
      </c>
      <c r="L2549" s="4">
        <v>0</v>
      </c>
      <c r="M2549" s="4">
        <f t="shared" si="117"/>
        <v>-0.02</v>
      </c>
      <c r="N2549" s="4">
        <f t="shared" si="118"/>
        <v>-3.04</v>
      </c>
      <c r="O2549" s="4">
        <f t="shared" si="119"/>
        <v>0</v>
      </c>
      <c r="P2549" s="3" t="s">
        <v>19</v>
      </c>
    </row>
    <row r="2550" spans="1:16" x14ac:dyDescent="0.35">
      <c r="A2550" s="3" t="s">
        <v>16</v>
      </c>
      <c r="B2550" s="3" t="str">
        <f>INDEX(State_Region!$B$2:$B$26,MATCH(TRIM(A2550),State_Region!$A$2:$A$26,0))</f>
        <v>West</v>
      </c>
      <c r="C2550" s="3" t="s">
        <v>282</v>
      </c>
      <c r="D2550" s="3" t="str">
        <f>INDEX(Port_Type!$B$2:$B$227,MATCH(TRIM(C2550),Port_Type!$A$2:$A$227,0))</f>
        <v>Inland ICD / CFS</v>
      </c>
      <c r="E2550" s="3" t="s">
        <v>39</v>
      </c>
      <c r="F2550" s="3" t="str">
        <f>INDEX(Product_Category!$B$2:$B$45,MATCH(TRIM(E2550),Product_Category!$A$2:$A$45,0))</f>
        <v>Processed Foods</v>
      </c>
      <c r="G2550" s="4">
        <v>0.16</v>
      </c>
      <c r="H2550" s="4">
        <v>0</v>
      </c>
      <c r="I2550" s="4">
        <v>0</v>
      </c>
      <c r="J2550" s="4">
        <v>32.020000000000003</v>
      </c>
      <c r="K2550" s="4">
        <v>0</v>
      </c>
      <c r="L2550" s="4">
        <v>0</v>
      </c>
      <c r="M2550" s="4">
        <f t="shared" si="117"/>
        <v>-0.16</v>
      </c>
      <c r="N2550" s="4">
        <f t="shared" si="118"/>
        <v>-32.020000000000003</v>
      </c>
      <c r="O2550" s="4">
        <f t="shared" si="119"/>
        <v>0</v>
      </c>
      <c r="P2550" s="3" t="s">
        <v>19</v>
      </c>
    </row>
    <row r="2551" spans="1:16" x14ac:dyDescent="0.35">
      <c r="A2551" s="3" t="s">
        <v>16</v>
      </c>
      <c r="B2551" s="3" t="str">
        <f>INDEX(State_Region!$B$2:$B$26,MATCH(TRIM(A2551),State_Region!$A$2:$A$26,0))</f>
        <v>West</v>
      </c>
      <c r="C2551" s="3" t="s">
        <v>282</v>
      </c>
      <c r="D2551" s="3" t="str">
        <f>INDEX(Port_Type!$B$2:$B$227,MATCH(TRIM(C2551),Port_Type!$A$2:$A$227,0))</f>
        <v>Inland ICD / CFS</v>
      </c>
      <c r="E2551" s="3" t="s">
        <v>69</v>
      </c>
      <c r="F2551" s="3" t="str">
        <f>INDEX(Product_Category!$B$2:$B$45,MATCH(TRIM(E2551),Product_Category!$A$2:$A$45,0))</f>
        <v>Others</v>
      </c>
      <c r="G2551" s="4">
        <v>0.02</v>
      </c>
      <c r="H2551" s="4">
        <v>0</v>
      </c>
      <c r="I2551" s="4">
        <v>0</v>
      </c>
      <c r="J2551" s="4">
        <v>5.42</v>
      </c>
      <c r="K2551" s="4">
        <v>0</v>
      </c>
      <c r="L2551" s="4">
        <v>0</v>
      </c>
      <c r="M2551" s="4">
        <f t="shared" si="117"/>
        <v>-0.02</v>
      </c>
      <c r="N2551" s="4">
        <f t="shared" si="118"/>
        <v>-5.42</v>
      </c>
      <c r="O2551" s="4">
        <f t="shared" si="119"/>
        <v>0</v>
      </c>
      <c r="P2551" s="3" t="s">
        <v>19</v>
      </c>
    </row>
    <row r="2552" spans="1:16" x14ac:dyDescent="0.35">
      <c r="A2552" s="3" t="s">
        <v>16</v>
      </c>
      <c r="B2552" s="3" t="str">
        <f>INDEX(State_Region!$B$2:$B$26,MATCH(TRIM(A2552),State_Region!$A$2:$A$26,0))</f>
        <v>West</v>
      </c>
      <c r="C2552" s="3" t="s">
        <v>282</v>
      </c>
      <c r="D2552" s="3" t="str">
        <f>INDEX(Port_Type!$B$2:$B$227,MATCH(TRIM(C2552),Port_Type!$A$2:$A$227,0))</f>
        <v>Inland ICD / CFS</v>
      </c>
      <c r="E2552" s="3" t="s">
        <v>59</v>
      </c>
      <c r="F2552" s="3" t="str">
        <f>INDEX(Product_Category!$B$2:$B$45,MATCH(TRIM(E2552),Product_Category!$A$2:$A$45,0))</f>
        <v>Processed Foods</v>
      </c>
      <c r="G2552" s="4">
        <v>0</v>
      </c>
      <c r="H2552" s="4">
        <v>0</v>
      </c>
      <c r="I2552" s="4">
        <v>0</v>
      </c>
      <c r="J2552" s="4">
        <v>0.03</v>
      </c>
      <c r="K2552" s="4">
        <v>0</v>
      </c>
      <c r="L2552" s="4">
        <v>0</v>
      </c>
      <c r="M2552" s="4">
        <f t="shared" si="117"/>
        <v>0</v>
      </c>
      <c r="N2552" s="4">
        <f t="shared" si="118"/>
        <v>-0.03</v>
      </c>
      <c r="O2552" s="4">
        <f t="shared" si="119"/>
        <v>0</v>
      </c>
      <c r="P2552" s="3" t="s">
        <v>19</v>
      </c>
    </row>
    <row r="2553" spans="1:16" x14ac:dyDescent="0.35">
      <c r="A2553" s="3" t="s">
        <v>16</v>
      </c>
      <c r="B2553" s="3" t="str">
        <f>INDEX(State_Region!$B$2:$B$26,MATCH(TRIM(A2553),State_Region!$A$2:$A$26,0))</f>
        <v>West</v>
      </c>
      <c r="C2553" s="3" t="s">
        <v>282</v>
      </c>
      <c r="D2553" s="3" t="str">
        <f>INDEX(Port_Type!$B$2:$B$227,MATCH(TRIM(C2553),Port_Type!$A$2:$A$227,0))</f>
        <v>Inland ICD / CFS</v>
      </c>
      <c r="E2553" s="3" t="s">
        <v>48</v>
      </c>
      <c r="F2553" s="3" t="str">
        <f>INDEX(Product_Category!$B$2:$B$45,MATCH(TRIM(E2553),Product_Category!$A$2:$A$45,0))</f>
        <v>Processed Foods</v>
      </c>
      <c r="G2553" s="4">
        <v>0.05</v>
      </c>
      <c r="H2553" s="4">
        <v>0</v>
      </c>
      <c r="I2553" s="4">
        <v>0</v>
      </c>
      <c r="J2553" s="4">
        <v>16.920000000000002</v>
      </c>
      <c r="K2553" s="4">
        <v>0</v>
      </c>
      <c r="L2553" s="4">
        <v>0</v>
      </c>
      <c r="M2553" s="4">
        <f t="shared" si="117"/>
        <v>-0.05</v>
      </c>
      <c r="N2553" s="4">
        <f t="shared" si="118"/>
        <v>-16.920000000000002</v>
      </c>
      <c r="O2553" s="4">
        <f t="shared" si="119"/>
        <v>0</v>
      </c>
      <c r="P2553" s="3" t="s">
        <v>19</v>
      </c>
    </row>
    <row r="2554" spans="1:16" x14ac:dyDescent="0.35">
      <c r="A2554" s="3" t="s">
        <v>16</v>
      </c>
      <c r="B2554" s="3" t="str">
        <f>INDEX(State_Region!$B$2:$B$26,MATCH(TRIM(A2554),State_Region!$A$2:$A$26,0))</f>
        <v>West</v>
      </c>
      <c r="C2554" s="3" t="s">
        <v>282</v>
      </c>
      <c r="D2554" s="3" t="str">
        <f>INDEX(Port_Type!$B$2:$B$227,MATCH(TRIM(C2554),Port_Type!$A$2:$A$227,0))</f>
        <v>Inland ICD / CFS</v>
      </c>
      <c r="E2554" s="3" t="s">
        <v>22</v>
      </c>
      <c r="F2554" s="3" t="str">
        <f>INDEX(Product_Category!$B$2:$B$45,MATCH(TRIM(E2554),Product_Category!$A$2:$A$45,0))</f>
        <v>Meat &amp; Animal Products</v>
      </c>
      <c r="G2554" s="4">
        <v>0.05</v>
      </c>
      <c r="H2554" s="4">
        <v>0</v>
      </c>
      <c r="I2554" s="4">
        <v>0</v>
      </c>
      <c r="J2554" s="4">
        <v>1.4</v>
      </c>
      <c r="K2554" s="4">
        <v>0</v>
      </c>
      <c r="L2554" s="4">
        <v>0</v>
      </c>
      <c r="M2554" s="4">
        <f t="shared" si="117"/>
        <v>-0.05</v>
      </c>
      <c r="N2554" s="4">
        <f t="shared" si="118"/>
        <v>-1.4</v>
      </c>
      <c r="O2554" s="4">
        <f t="shared" si="119"/>
        <v>0</v>
      </c>
      <c r="P2554" s="3" t="s">
        <v>19</v>
      </c>
    </row>
    <row r="2555" spans="1:16" x14ac:dyDescent="0.35">
      <c r="A2555" s="3" t="s">
        <v>23</v>
      </c>
      <c r="B2555" s="3" t="str">
        <f>INDEX(State_Region!$B$2:$B$26,MATCH(TRIM(A2555),State_Region!$A$2:$A$26,0))</f>
        <v>North</v>
      </c>
      <c r="C2555" s="3" t="s">
        <v>34</v>
      </c>
      <c r="D2555" s="3" t="str">
        <f>INDEX(Port_Type!$B$2:$B$227,MATCH(TRIM(C2555),Port_Type!$A$2:$A$227,0))</f>
        <v>Inland ICD / CFS</v>
      </c>
      <c r="E2555" s="3" t="s">
        <v>18</v>
      </c>
      <c r="F2555" s="3" t="str">
        <f>INDEX(Product_Category!$B$2:$B$45,MATCH(TRIM(E2555),Product_Category!$A$2:$A$45,0))</f>
        <v>Cereals &amp; Grains</v>
      </c>
      <c r="G2555" s="4">
        <v>0</v>
      </c>
      <c r="H2555" s="4">
        <v>0.11</v>
      </c>
      <c r="I2555" s="4">
        <v>0</v>
      </c>
      <c r="J2555" s="4">
        <v>0</v>
      </c>
      <c r="K2555" s="4">
        <v>152.01</v>
      </c>
      <c r="L2555" s="4">
        <v>0</v>
      </c>
      <c r="M2555" s="4">
        <f t="shared" si="117"/>
        <v>0.11</v>
      </c>
      <c r="N2555" s="4">
        <f t="shared" si="118"/>
        <v>152.01</v>
      </c>
      <c r="O2555" s="4">
        <f t="shared" si="119"/>
        <v>-0.11</v>
      </c>
      <c r="P2555" s="3" t="s">
        <v>19</v>
      </c>
    </row>
    <row r="2556" spans="1:16" x14ac:dyDescent="0.35">
      <c r="A2556" s="3" t="s">
        <v>16</v>
      </c>
      <c r="B2556" s="3" t="str">
        <f>INDEX(State_Region!$B$2:$B$26,MATCH(TRIM(A2556),State_Region!$A$2:$A$26,0))</f>
        <v>West</v>
      </c>
      <c r="C2556" s="3" t="s">
        <v>155</v>
      </c>
      <c r="D2556" s="3" t="str">
        <f>INDEX(Port_Type!$B$2:$B$227,MATCH(TRIM(C2556),Port_Type!$A$2:$A$227,0))</f>
        <v>Inland ICD / CFS</v>
      </c>
      <c r="E2556" s="3" t="s">
        <v>42</v>
      </c>
      <c r="F2556" s="3" t="str">
        <f>INDEX(Product_Category!$B$2:$B$45,MATCH(TRIM(E2556),Product_Category!$A$2:$A$45,0))</f>
        <v>Processed Foods</v>
      </c>
      <c r="G2556" s="4">
        <v>0.01</v>
      </c>
      <c r="H2556" s="4">
        <v>0</v>
      </c>
      <c r="I2556" s="4">
        <v>0</v>
      </c>
      <c r="J2556" s="4">
        <v>4.0999999999999996</v>
      </c>
      <c r="K2556" s="4">
        <v>0</v>
      </c>
      <c r="L2556" s="4">
        <v>0</v>
      </c>
      <c r="M2556" s="4">
        <f t="shared" si="117"/>
        <v>-0.01</v>
      </c>
      <c r="N2556" s="4">
        <f t="shared" si="118"/>
        <v>-4.0999999999999996</v>
      </c>
      <c r="O2556" s="4">
        <f t="shared" si="119"/>
        <v>0</v>
      </c>
      <c r="P2556" s="3" t="s">
        <v>19</v>
      </c>
    </row>
    <row r="2557" spans="1:16" x14ac:dyDescent="0.35">
      <c r="A2557" s="3" t="s">
        <v>23</v>
      </c>
      <c r="B2557" s="3" t="str">
        <f>INDEX(State_Region!$B$2:$B$26,MATCH(TRIM(A2557),State_Region!$A$2:$A$26,0))</f>
        <v>North</v>
      </c>
      <c r="C2557" s="3" t="s">
        <v>34</v>
      </c>
      <c r="D2557" s="3" t="str">
        <f>INDEX(Port_Type!$B$2:$B$227,MATCH(TRIM(C2557),Port_Type!$A$2:$A$227,0))</f>
        <v>Inland ICD / CFS</v>
      </c>
      <c r="E2557" s="3" t="s">
        <v>114</v>
      </c>
      <c r="F2557" s="3" t="str">
        <f>INDEX(Product_Category!$B$2:$B$45,MATCH(TRIM(E2557),Product_Category!$A$2:$A$45,0))</f>
        <v>Dairy, Poultry &amp; Honey</v>
      </c>
      <c r="G2557" s="4">
        <v>0</v>
      </c>
      <c r="H2557" s="4">
        <v>0</v>
      </c>
      <c r="I2557" s="4">
        <v>0</v>
      </c>
      <c r="J2557" s="4">
        <v>0.12</v>
      </c>
      <c r="K2557" s="4">
        <v>0.05</v>
      </c>
      <c r="L2557" s="4">
        <v>0</v>
      </c>
      <c r="M2557" s="4">
        <f t="shared" si="117"/>
        <v>0</v>
      </c>
      <c r="N2557" s="4">
        <f t="shared" si="118"/>
        <v>-6.9999999999999993E-2</v>
      </c>
      <c r="O2557" s="4">
        <f t="shared" si="119"/>
        <v>0</v>
      </c>
      <c r="P2557" s="3" t="s">
        <v>19</v>
      </c>
    </row>
    <row r="2558" spans="1:16" x14ac:dyDescent="0.35">
      <c r="A2558" s="3" t="s">
        <v>16</v>
      </c>
      <c r="B2558" s="3" t="str">
        <f>INDEX(State_Region!$B$2:$B$26,MATCH(TRIM(A2558),State_Region!$A$2:$A$26,0))</f>
        <v>West</v>
      </c>
      <c r="C2558" s="3" t="s">
        <v>155</v>
      </c>
      <c r="D2558" s="3" t="str">
        <f>INDEX(Port_Type!$B$2:$B$227,MATCH(TRIM(C2558),Port_Type!$A$2:$A$227,0))</f>
        <v>Inland ICD / CFS</v>
      </c>
      <c r="E2558" s="3" t="s">
        <v>65</v>
      </c>
      <c r="F2558" s="3" t="str">
        <f>INDEX(Product_Category!$B$2:$B$45,MATCH(TRIM(E2558),Product_Category!$A$2:$A$45,0))</f>
        <v>Cereals &amp; Grains</v>
      </c>
      <c r="G2558" s="4">
        <v>0</v>
      </c>
      <c r="H2558" s="4">
        <v>0</v>
      </c>
      <c r="I2558" s="4">
        <v>0</v>
      </c>
      <c r="J2558" s="4">
        <v>3.52</v>
      </c>
      <c r="K2558" s="4">
        <v>0</v>
      </c>
      <c r="L2558" s="4">
        <v>0</v>
      </c>
      <c r="M2558" s="4">
        <f t="shared" si="117"/>
        <v>0</v>
      </c>
      <c r="N2558" s="4">
        <f t="shared" si="118"/>
        <v>-3.52</v>
      </c>
      <c r="O2558" s="4">
        <f t="shared" si="119"/>
        <v>0</v>
      </c>
      <c r="P2558" s="3" t="s">
        <v>19</v>
      </c>
    </row>
    <row r="2559" spans="1:16" x14ac:dyDescent="0.35">
      <c r="A2559" s="3" t="s">
        <v>16</v>
      </c>
      <c r="B2559" s="3" t="str">
        <f>INDEX(State_Region!$B$2:$B$26,MATCH(TRIM(A2559),State_Region!$A$2:$A$26,0))</f>
        <v>West</v>
      </c>
      <c r="C2559" s="3" t="s">
        <v>155</v>
      </c>
      <c r="D2559" s="3" t="str">
        <f>INDEX(Port_Type!$B$2:$B$227,MATCH(TRIM(C2559),Port_Type!$A$2:$A$227,0))</f>
        <v>Inland ICD / CFS</v>
      </c>
      <c r="E2559" s="3" t="s">
        <v>48</v>
      </c>
      <c r="F2559" s="3" t="str">
        <f>INDEX(Product_Category!$B$2:$B$45,MATCH(TRIM(E2559),Product_Category!$A$2:$A$45,0))</f>
        <v>Processed Foods</v>
      </c>
      <c r="G2559" s="4">
        <v>0.6</v>
      </c>
      <c r="H2559" s="4">
        <v>0</v>
      </c>
      <c r="I2559" s="4">
        <v>0</v>
      </c>
      <c r="J2559" s="4">
        <v>261.14999999999998</v>
      </c>
      <c r="K2559" s="4">
        <v>2.42</v>
      </c>
      <c r="L2559" s="4">
        <v>0</v>
      </c>
      <c r="M2559" s="4">
        <f t="shared" si="117"/>
        <v>-0.6</v>
      </c>
      <c r="N2559" s="4">
        <f t="shared" si="118"/>
        <v>-258.72999999999996</v>
      </c>
      <c r="O2559" s="4">
        <f t="shared" si="119"/>
        <v>0</v>
      </c>
      <c r="P2559" s="3" t="s">
        <v>19</v>
      </c>
    </row>
    <row r="2560" spans="1:16" x14ac:dyDescent="0.35">
      <c r="A2560" s="3" t="s">
        <v>23</v>
      </c>
      <c r="B2560" s="3" t="str">
        <f>INDEX(State_Region!$B$2:$B$26,MATCH(TRIM(A2560),State_Region!$A$2:$A$26,0))</f>
        <v>North</v>
      </c>
      <c r="C2560" s="3" t="s">
        <v>34</v>
      </c>
      <c r="D2560" s="3" t="str">
        <f>INDEX(Port_Type!$B$2:$B$227,MATCH(TRIM(C2560),Port_Type!$A$2:$A$227,0))</f>
        <v>Inland ICD / CFS</v>
      </c>
      <c r="E2560" s="3" t="s">
        <v>122</v>
      </c>
      <c r="F2560" s="3" t="str">
        <f>INDEX(Product_Category!$B$2:$B$45,MATCH(TRIM(E2560),Product_Category!$A$2:$A$45,0))</f>
        <v>Others</v>
      </c>
      <c r="G2560" s="4">
        <v>0.01</v>
      </c>
      <c r="H2560" s="4">
        <v>0</v>
      </c>
      <c r="I2560" s="4">
        <v>0</v>
      </c>
      <c r="J2560" s="4">
        <v>15.27</v>
      </c>
      <c r="K2560" s="4">
        <v>0</v>
      </c>
      <c r="L2560" s="4">
        <v>0</v>
      </c>
      <c r="M2560" s="4">
        <f t="shared" si="117"/>
        <v>-0.01</v>
      </c>
      <c r="N2560" s="4">
        <f t="shared" si="118"/>
        <v>-15.27</v>
      </c>
      <c r="O2560" s="4">
        <f t="shared" si="119"/>
        <v>0</v>
      </c>
      <c r="P2560" s="3" t="s">
        <v>19</v>
      </c>
    </row>
    <row r="2561" spans="1:16" x14ac:dyDescent="0.35">
      <c r="A2561" s="3" t="s">
        <v>16</v>
      </c>
      <c r="B2561" s="3" t="str">
        <f>INDEX(State_Region!$B$2:$B$26,MATCH(TRIM(A2561),State_Region!$A$2:$A$26,0))</f>
        <v>West</v>
      </c>
      <c r="C2561" s="3" t="s">
        <v>89</v>
      </c>
      <c r="D2561" s="3" t="str">
        <f>INDEX(Port_Type!$B$2:$B$227,MATCH(TRIM(C2561),Port_Type!$A$2:$A$227,0))</f>
        <v>Inland ICD / CFS</v>
      </c>
      <c r="E2561" s="3" t="s">
        <v>170</v>
      </c>
      <c r="F2561" s="3" t="str">
        <f>INDEX(Product_Category!$B$2:$B$45,MATCH(TRIM(E2561),Product_Category!$A$2:$A$45,0))</f>
        <v>Others</v>
      </c>
      <c r="G2561" s="4">
        <v>0</v>
      </c>
      <c r="H2561" s="4">
        <v>0.01</v>
      </c>
      <c r="I2561" s="4">
        <v>0</v>
      </c>
      <c r="J2561" s="4">
        <v>3</v>
      </c>
      <c r="K2561" s="4">
        <v>0.7</v>
      </c>
      <c r="L2561" s="4">
        <v>0</v>
      </c>
      <c r="M2561" s="4">
        <f t="shared" si="117"/>
        <v>0.01</v>
      </c>
      <c r="N2561" s="4">
        <f t="shared" si="118"/>
        <v>-2.2999999999999998</v>
      </c>
      <c r="O2561" s="4">
        <f t="shared" si="119"/>
        <v>-0.01</v>
      </c>
      <c r="P2561" s="3" t="s">
        <v>19</v>
      </c>
    </row>
    <row r="2562" spans="1:16" x14ac:dyDescent="0.35">
      <c r="A2562" s="3" t="s">
        <v>16</v>
      </c>
      <c r="B2562" s="3" t="str">
        <f>INDEX(State_Region!$B$2:$B$26,MATCH(TRIM(A2562),State_Region!$A$2:$A$26,0))</f>
        <v>West</v>
      </c>
      <c r="C2562" s="3" t="s">
        <v>89</v>
      </c>
      <c r="D2562" s="3" t="str">
        <f>INDEX(Port_Type!$B$2:$B$227,MATCH(TRIM(C2562),Port_Type!$A$2:$A$227,0))</f>
        <v>Inland ICD / CFS</v>
      </c>
      <c r="E2562" s="3" t="s">
        <v>51</v>
      </c>
      <c r="F2562" s="3" t="str">
        <f>INDEX(Product_Category!$B$2:$B$45,MATCH(TRIM(E2562),Product_Category!$A$2:$A$45,0))</f>
        <v>Nuts &amp; Oilseeds</v>
      </c>
      <c r="G2562" s="4">
        <v>0</v>
      </c>
      <c r="H2562" s="4">
        <v>0</v>
      </c>
      <c r="I2562" s="4">
        <v>0</v>
      </c>
      <c r="J2562" s="4">
        <v>0.11</v>
      </c>
      <c r="K2562" s="4">
        <v>0</v>
      </c>
      <c r="L2562" s="4">
        <v>0</v>
      </c>
      <c r="M2562" s="4">
        <f t="shared" ref="M2562:M2625" si="120">H2562-G2562</f>
        <v>0</v>
      </c>
      <c r="N2562" s="4">
        <f t="shared" ref="N2562:N2625" si="121">K2562-J2562</f>
        <v>-0.11</v>
      </c>
      <c r="O2562" s="4">
        <f t="shared" ref="O2562:O2625" si="122">I2562-H2562</f>
        <v>0</v>
      </c>
      <c r="P2562" s="3" t="s">
        <v>19</v>
      </c>
    </row>
    <row r="2563" spans="1:16" x14ac:dyDescent="0.35">
      <c r="A2563" s="3" t="s">
        <v>16</v>
      </c>
      <c r="B2563" s="3" t="str">
        <f>INDEX(State_Region!$B$2:$B$26,MATCH(TRIM(A2563),State_Region!$A$2:$A$26,0))</f>
        <v>West</v>
      </c>
      <c r="C2563" s="3" t="s">
        <v>89</v>
      </c>
      <c r="D2563" s="3" t="str">
        <f>INDEX(Port_Type!$B$2:$B$227,MATCH(TRIM(C2563),Port_Type!$A$2:$A$227,0))</f>
        <v>Inland ICD / CFS</v>
      </c>
      <c r="E2563" s="3" t="s">
        <v>69</v>
      </c>
      <c r="F2563" s="3" t="str">
        <f>INDEX(Product_Category!$B$2:$B$45,MATCH(TRIM(E2563),Product_Category!$A$2:$A$45,0))</f>
        <v>Others</v>
      </c>
      <c r="G2563" s="4">
        <v>0.04</v>
      </c>
      <c r="H2563" s="4">
        <v>0.02</v>
      </c>
      <c r="I2563" s="4">
        <v>0</v>
      </c>
      <c r="J2563" s="4">
        <v>4.37</v>
      </c>
      <c r="K2563" s="4">
        <v>1.52</v>
      </c>
      <c r="L2563" s="4">
        <v>0</v>
      </c>
      <c r="M2563" s="4">
        <f t="shared" si="120"/>
        <v>-0.02</v>
      </c>
      <c r="N2563" s="4">
        <f t="shared" si="121"/>
        <v>-2.85</v>
      </c>
      <c r="O2563" s="4">
        <f t="shared" si="122"/>
        <v>-0.02</v>
      </c>
      <c r="P2563" s="3" t="s">
        <v>19</v>
      </c>
    </row>
    <row r="2564" spans="1:16" x14ac:dyDescent="0.35">
      <c r="A2564" s="3" t="s">
        <v>16</v>
      </c>
      <c r="B2564" s="3" t="str">
        <f>INDEX(State_Region!$B$2:$B$26,MATCH(TRIM(A2564),State_Region!$A$2:$A$26,0))</f>
        <v>West</v>
      </c>
      <c r="C2564" s="3" t="s">
        <v>89</v>
      </c>
      <c r="D2564" s="3" t="str">
        <f>INDEX(Port_Type!$B$2:$B$227,MATCH(TRIM(C2564),Port_Type!$A$2:$A$227,0))</f>
        <v>Inland ICD / CFS</v>
      </c>
      <c r="E2564" s="3" t="s">
        <v>55</v>
      </c>
      <c r="F2564" s="3" t="str">
        <f>INDEX(Product_Category!$B$2:$B$45,MATCH(TRIM(E2564),Product_Category!$A$2:$A$45,0))</f>
        <v>Fresh Fruits &amp; Vegetables</v>
      </c>
      <c r="G2564" s="4">
        <v>0</v>
      </c>
      <c r="H2564" s="4">
        <v>0</v>
      </c>
      <c r="I2564" s="4">
        <v>0</v>
      </c>
      <c r="J2564" s="4">
        <v>0.37</v>
      </c>
      <c r="K2564" s="4">
        <v>0</v>
      </c>
      <c r="L2564" s="4">
        <v>0</v>
      </c>
      <c r="M2564" s="4">
        <f t="shared" si="120"/>
        <v>0</v>
      </c>
      <c r="N2564" s="4">
        <f t="shared" si="121"/>
        <v>-0.37</v>
      </c>
      <c r="O2564" s="4">
        <f t="shared" si="122"/>
        <v>0</v>
      </c>
      <c r="P2564" s="3" t="s">
        <v>19</v>
      </c>
    </row>
    <row r="2565" spans="1:16" x14ac:dyDescent="0.35">
      <c r="A2565" s="3" t="s">
        <v>16</v>
      </c>
      <c r="B2565" s="3" t="str">
        <f>INDEX(State_Region!$B$2:$B$26,MATCH(TRIM(A2565),State_Region!$A$2:$A$26,0))</f>
        <v>West</v>
      </c>
      <c r="C2565" s="3" t="s">
        <v>89</v>
      </c>
      <c r="D2565" s="3" t="str">
        <f>INDEX(Port_Type!$B$2:$B$227,MATCH(TRIM(C2565),Port_Type!$A$2:$A$227,0))</f>
        <v>Inland ICD / CFS</v>
      </c>
      <c r="E2565" s="3" t="s">
        <v>122</v>
      </c>
      <c r="F2565" s="3" t="str">
        <f>INDEX(Product_Category!$B$2:$B$45,MATCH(TRIM(E2565),Product_Category!$A$2:$A$45,0))</f>
        <v>Others</v>
      </c>
      <c r="G2565" s="4">
        <v>0</v>
      </c>
      <c r="H2565" s="4">
        <v>0</v>
      </c>
      <c r="I2565" s="4">
        <v>0</v>
      </c>
      <c r="J2565" s="4">
        <v>0.54</v>
      </c>
      <c r="K2565" s="4">
        <v>0</v>
      </c>
      <c r="L2565" s="4">
        <v>0</v>
      </c>
      <c r="M2565" s="4">
        <f t="shared" si="120"/>
        <v>0</v>
      </c>
      <c r="N2565" s="4">
        <f t="shared" si="121"/>
        <v>-0.54</v>
      </c>
      <c r="O2565" s="4">
        <f t="shared" si="122"/>
        <v>0</v>
      </c>
      <c r="P2565" s="3" t="s">
        <v>19</v>
      </c>
    </row>
    <row r="2566" spans="1:16" x14ac:dyDescent="0.35">
      <c r="A2566" s="3" t="s">
        <v>16</v>
      </c>
      <c r="B2566" s="3" t="str">
        <f>INDEX(State_Region!$B$2:$B$26,MATCH(TRIM(A2566),State_Region!$A$2:$A$26,0))</f>
        <v>West</v>
      </c>
      <c r="C2566" s="3" t="s">
        <v>89</v>
      </c>
      <c r="D2566" s="3" t="str">
        <f>INDEX(Port_Type!$B$2:$B$227,MATCH(TRIM(C2566),Port_Type!$A$2:$A$227,0))</f>
        <v>Inland ICD / CFS</v>
      </c>
      <c r="E2566" s="3" t="s">
        <v>59</v>
      </c>
      <c r="F2566" s="3" t="str">
        <f>INDEX(Product_Category!$B$2:$B$45,MATCH(TRIM(E2566),Product_Category!$A$2:$A$45,0))</f>
        <v>Processed Foods</v>
      </c>
      <c r="G2566" s="4">
        <v>0.09</v>
      </c>
      <c r="H2566" s="4">
        <v>0</v>
      </c>
      <c r="I2566" s="4">
        <v>0</v>
      </c>
      <c r="J2566" s="4">
        <v>29.5</v>
      </c>
      <c r="K2566" s="4">
        <v>0.06</v>
      </c>
      <c r="L2566" s="4">
        <v>0</v>
      </c>
      <c r="M2566" s="4">
        <f t="shared" si="120"/>
        <v>-0.09</v>
      </c>
      <c r="N2566" s="4">
        <f t="shared" si="121"/>
        <v>-29.44</v>
      </c>
      <c r="O2566" s="4">
        <f t="shared" si="122"/>
        <v>0</v>
      </c>
      <c r="P2566" s="3" t="s">
        <v>19</v>
      </c>
    </row>
    <row r="2567" spans="1:16" x14ac:dyDescent="0.35">
      <c r="A2567" s="3" t="s">
        <v>23</v>
      </c>
      <c r="B2567" s="3" t="str">
        <f>INDEX(State_Region!$B$2:$B$26,MATCH(TRIM(A2567),State_Region!$A$2:$A$26,0))</f>
        <v>North</v>
      </c>
      <c r="C2567" s="3" t="s">
        <v>34</v>
      </c>
      <c r="D2567" s="3" t="str">
        <f>INDEX(Port_Type!$B$2:$B$227,MATCH(TRIM(C2567),Port_Type!$A$2:$A$227,0))</f>
        <v>Inland ICD / CFS</v>
      </c>
      <c r="E2567" s="3" t="s">
        <v>126</v>
      </c>
      <c r="F2567" s="3" t="str">
        <f>INDEX(Product_Category!$B$2:$B$45,MATCH(TRIM(E2567),Product_Category!$A$2:$A$45,0))</f>
        <v>Cereals &amp; Grains</v>
      </c>
      <c r="G2567" s="4">
        <v>0</v>
      </c>
      <c r="H2567" s="4">
        <v>0</v>
      </c>
      <c r="I2567" s="4">
        <v>0</v>
      </c>
      <c r="J2567" s="4">
        <v>0</v>
      </c>
      <c r="K2567" s="4">
        <v>0.08</v>
      </c>
      <c r="L2567" s="4">
        <v>0</v>
      </c>
      <c r="M2567" s="4">
        <f t="shared" si="120"/>
        <v>0</v>
      </c>
      <c r="N2567" s="4">
        <f t="shared" si="121"/>
        <v>0.08</v>
      </c>
      <c r="O2567" s="4">
        <f t="shared" si="122"/>
        <v>0</v>
      </c>
      <c r="P2567" s="3" t="s">
        <v>19</v>
      </c>
    </row>
    <row r="2568" spans="1:16" x14ac:dyDescent="0.35">
      <c r="A2568" s="3" t="s">
        <v>16</v>
      </c>
      <c r="B2568" s="3" t="str">
        <f>INDEX(State_Region!$B$2:$B$26,MATCH(TRIM(A2568),State_Region!$A$2:$A$26,0))</f>
        <v>West</v>
      </c>
      <c r="C2568" s="3" t="s">
        <v>89</v>
      </c>
      <c r="D2568" s="3" t="str">
        <f>INDEX(Port_Type!$B$2:$B$227,MATCH(TRIM(C2568),Port_Type!$A$2:$A$227,0))</f>
        <v>Inland ICD / CFS</v>
      </c>
      <c r="E2568" s="3" t="s">
        <v>150</v>
      </c>
      <c r="F2568" s="3" t="str">
        <f>INDEX(Product_Category!$B$2:$B$45,MATCH(TRIM(E2568),Product_Category!$A$2:$A$45,0))</f>
        <v>Nuts &amp; Oilseeds</v>
      </c>
      <c r="G2568" s="4">
        <v>0</v>
      </c>
      <c r="H2568" s="4">
        <v>0</v>
      </c>
      <c r="I2568" s="4">
        <v>0</v>
      </c>
      <c r="J2568" s="4">
        <v>0.22</v>
      </c>
      <c r="K2568" s="4">
        <v>0</v>
      </c>
      <c r="L2568" s="4">
        <v>0</v>
      </c>
      <c r="M2568" s="4">
        <f t="shared" si="120"/>
        <v>0</v>
      </c>
      <c r="N2568" s="4">
        <f t="shared" si="121"/>
        <v>-0.22</v>
      </c>
      <c r="O2568" s="4">
        <f t="shared" si="122"/>
        <v>0</v>
      </c>
      <c r="P2568" s="3" t="s">
        <v>19</v>
      </c>
    </row>
    <row r="2569" spans="1:16" x14ac:dyDescent="0.35">
      <c r="A2569" s="3" t="s">
        <v>23</v>
      </c>
      <c r="B2569" s="3" t="str">
        <f>INDEX(State_Region!$B$2:$B$26,MATCH(TRIM(A2569),State_Region!$A$2:$A$26,0))</f>
        <v>North</v>
      </c>
      <c r="C2569" s="3" t="s">
        <v>34</v>
      </c>
      <c r="D2569" s="3" t="str">
        <f>INDEX(Port_Type!$B$2:$B$227,MATCH(TRIM(C2569),Port_Type!$A$2:$A$227,0))</f>
        <v>Inland ICD / CFS</v>
      </c>
      <c r="E2569" s="3" t="s">
        <v>102</v>
      </c>
      <c r="F2569" s="3" t="str">
        <f>INDEX(Product_Category!$B$2:$B$45,MATCH(TRIM(E2569),Product_Category!$A$2:$A$45,0))</f>
        <v>Fresh Fruits &amp; Vegetables</v>
      </c>
      <c r="G2569" s="4">
        <v>0</v>
      </c>
      <c r="H2569" s="4">
        <v>0</v>
      </c>
      <c r="I2569" s="4">
        <v>0</v>
      </c>
      <c r="J2569" s="4">
        <v>0</v>
      </c>
      <c r="K2569" s="4">
        <v>26.15</v>
      </c>
      <c r="L2569" s="4">
        <v>0</v>
      </c>
      <c r="M2569" s="4">
        <f t="shared" si="120"/>
        <v>0</v>
      </c>
      <c r="N2569" s="4">
        <f t="shared" si="121"/>
        <v>26.15</v>
      </c>
      <c r="O2569" s="4">
        <f t="shared" si="122"/>
        <v>0</v>
      </c>
      <c r="P2569" s="3" t="s">
        <v>19</v>
      </c>
    </row>
    <row r="2570" spans="1:16" x14ac:dyDescent="0.35">
      <c r="A2570" s="3" t="s">
        <v>23</v>
      </c>
      <c r="B2570" s="3" t="str">
        <f>INDEX(State_Region!$B$2:$B$26,MATCH(TRIM(A2570),State_Region!$A$2:$A$26,0))</f>
        <v>North</v>
      </c>
      <c r="C2570" s="3" t="s">
        <v>34</v>
      </c>
      <c r="D2570" s="3" t="str">
        <f>INDEX(Port_Type!$B$2:$B$227,MATCH(TRIM(C2570),Port_Type!$A$2:$A$227,0))</f>
        <v>Inland ICD / CFS</v>
      </c>
      <c r="E2570" s="3" t="s">
        <v>170</v>
      </c>
      <c r="F2570" s="3" t="str">
        <f>INDEX(Product_Category!$B$2:$B$45,MATCH(TRIM(E2570),Product_Category!$A$2:$A$45,0))</f>
        <v>Others</v>
      </c>
      <c r="G2570" s="4">
        <v>0</v>
      </c>
      <c r="H2570" s="4">
        <v>7.0000000000000007E-2</v>
      </c>
      <c r="I2570" s="4">
        <v>0</v>
      </c>
      <c r="J2570" s="4">
        <v>1</v>
      </c>
      <c r="K2570" s="4">
        <v>11.42</v>
      </c>
      <c r="L2570" s="4">
        <v>0</v>
      </c>
      <c r="M2570" s="4">
        <f t="shared" si="120"/>
        <v>7.0000000000000007E-2</v>
      </c>
      <c r="N2570" s="4">
        <f t="shared" si="121"/>
        <v>10.42</v>
      </c>
      <c r="O2570" s="4">
        <f t="shared" si="122"/>
        <v>-7.0000000000000007E-2</v>
      </c>
      <c r="P2570" s="3" t="s">
        <v>19</v>
      </c>
    </row>
    <row r="2571" spans="1:16" x14ac:dyDescent="0.35">
      <c r="A2571" s="3" t="s">
        <v>16</v>
      </c>
      <c r="B2571" s="3" t="str">
        <f>INDEX(State_Region!$B$2:$B$26,MATCH(TRIM(A2571),State_Region!$A$2:$A$26,0))</f>
        <v>West</v>
      </c>
      <c r="C2571" s="3" t="s">
        <v>89</v>
      </c>
      <c r="D2571" s="3" t="str">
        <f>INDEX(Port_Type!$B$2:$B$227,MATCH(TRIM(C2571),Port_Type!$A$2:$A$227,0))</f>
        <v>Inland ICD / CFS</v>
      </c>
      <c r="E2571" s="3" t="s">
        <v>179</v>
      </c>
      <c r="F2571" s="3" t="str">
        <f>INDEX(Product_Category!$B$2:$B$45,MATCH(TRIM(E2571),Product_Category!$A$2:$A$45,0))</f>
        <v>Nuts &amp; Oilseeds</v>
      </c>
      <c r="G2571" s="4">
        <v>0.3</v>
      </c>
      <c r="H2571" s="4">
        <v>0</v>
      </c>
      <c r="I2571" s="4">
        <v>0</v>
      </c>
      <c r="J2571" s="4">
        <v>24.48</v>
      </c>
      <c r="K2571" s="4">
        <v>0.05</v>
      </c>
      <c r="L2571" s="4">
        <v>0</v>
      </c>
      <c r="M2571" s="4">
        <f t="shared" si="120"/>
        <v>-0.3</v>
      </c>
      <c r="N2571" s="4">
        <f t="shared" si="121"/>
        <v>-24.43</v>
      </c>
      <c r="O2571" s="4">
        <f t="shared" si="122"/>
        <v>0</v>
      </c>
      <c r="P2571" s="3" t="s">
        <v>19</v>
      </c>
    </row>
    <row r="2572" spans="1:16" x14ac:dyDescent="0.35">
      <c r="A2572" s="3" t="s">
        <v>23</v>
      </c>
      <c r="B2572" s="3" t="str">
        <f>INDEX(State_Region!$B$2:$B$26,MATCH(TRIM(A2572),State_Region!$A$2:$A$26,0))</f>
        <v>North</v>
      </c>
      <c r="C2572" s="3" t="s">
        <v>34</v>
      </c>
      <c r="D2572" s="3" t="str">
        <f>INDEX(Port_Type!$B$2:$B$227,MATCH(TRIM(C2572),Port_Type!$A$2:$A$227,0))</f>
        <v>Inland ICD / CFS</v>
      </c>
      <c r="E2572" s="3" t="s">
        <v>221</v>
      </c>
      <c r="F2572" s="3" t="str">
        <f>INDEX(Product_Category!$B$2:$B$45,MATCH(TRIM(E2572),Product_Category!$A$2:$A$45,0))</f>
        <v>Meat &amp; Animal Products</v>
      </c>
      <c r="G2572" s="4">
        <v>0.14000000000000001</v>
      </c>
      <c r="H2572" s="4">
        <v>0</v>
      </c>
      <c r="I2572" s="4">
        <v>0</v>
      </c>
      <c r="J2572" s="4">
        <v>57</v>
      </c>
      <c r="K2572" s="4">
        <v>0</v>
      </c>
      <c r="L2572" s="4">
        <v>0</v>
      </c>
      <c r="M2572" s="4">
        <f t="shared" si="120"/>
        <v>-0.14000000000000001</v>
      </c>
      <c r="N2572" s="4">
        <f t="shared" si="121"/>
        <v>-57</v>
      </c>
      <c r="O2572" s="4">
        <f t="shared" si="122"/>
        <v>0</v>
      </c>
      <c r="P2572" s="3" t="s">
        <v>19</v>
      </c>
    </row>
    <row r="2573" spans="1:16" x14ac:dyDescent="0.35">
      <c r="A2573" s="3" t="s">
        <v>23</v>
      </c>
      <c r="B2573" s="3" t="str">
        <f>INDEX(State_Region!$B$2:$B$26,MATCH(TRIM(A2573),State_Region!$A$2:$A$26,0))</f>
        <v>North</v>
      </c>
      <c r="C2573" s="3" t="s">
        <v>34</v>
      </c>
      <c r="D2573" s="3" t="str">
        <f>INDEX(Port_Type!$B$2:$B$227,MATCH(TRIM(C2573),Port_Type!$A$2:$A$227,0))</f>
        <v>Inland ICD / CFS</v>
      </c>
      <c r="E2573" s="3" t="s">
        <v>33</v>
      </c>
      <c r="F2573" s="3" t="str">
        <f>INDEX(Product_Category!$B$2:$B$45,MATCH(TRIM(E2573),Product_Category!$A$2:$A$45,0))</f>
        <v>Pulses</v>
      </c>
      <c r="G2573" s="4">
        <v>0.02</v>
      </c>
      <c r="H2573" s="4">
        <v>0.09</v>
      </c>
      <c r="I2573" s="4">
        <v>0</v>
      </c>
      <c r="J2573" s="4">
        <v>14.27</v>
      </c>
      <c r="K2573" s="4">
        <v>67.510000000000005</v>
      </c>
      <c r="L2573" s="4">
        <v>0</v>
      </c>
      <c r="M2573" s="4">
        <f t="shared" si="120"/>
        <v>6.9999999999999993E-2</v>
      </c>
      <c r="N2573" s="4">
        <f t="shared" si="121"/>
        <v>53.240000000000009</v>
      </c>
      <c r="O2573" s="4">
        <f t="shared" si="122"/>
        <v>-0.09</v>
      </c>
      <c r="P2573" s="3" t="s">
        <v>19</v>
      </c>
    </row>
    <row r="2574" spans="1:16" x14ac:dyDescent="0.35">
      <c r="A2574" s="3" t="s">
        <v>16</v>
      </c>
      <c r="B2574" s="3" t="str">
        <f>INDEX(State_Region!$B$2:$B$26,MATCH(TRIM(A2574),State_Region!$A$2:$A$26,0))</f>
        <v>West</v>
      </c>
      <c r="C2574" s="3" t="s">
        <v>115</v>
      </c>
      <c r="D2574" s="3" t="str">
        <f>INDEX(Port_Type!$B$2:$B$227,MATCH(TRIM(C2574),Port_Type!$A$2:$A$227,0))</f>
        <v>Inland ICD / CFS</v>
      </c>
      <c r="E2574" s="3" t="s">
        <v>170</v>
      </c>
      <c r="F2574" s="3" t="str">
        <f>INDEX(Product_Category!$B$2:$B$45,MATCH(TRIM(E2574),Product_Category!$A$2:$A$45,0))</f>
        <v>Others</v>
      </c>
      <c r="G2574" s="4">
        <v>0</v>
      </c>
      <c r="H2574" s="4">
        <v>0</v>
      </c>
      <c r="I2574" s="4">
        <v>0</v>
      </c>
      <c r="J2574" s="4">
        <v>0.33</v>
      </c>
      <c r="K2574" s="4">
        <v>0</v>
      </c>
      <c r="L2574" s="4">
        <v>0</v>
      </c>
      <c r="M2574" s="4">
        <f t="shared" si="120"/>
        <v>0</v>
      </c>
      <c r="N2574" s="4">
        <f t="shared" si="121"/>
        <v>-0.33</v>
      </c>
      <c r="O2574" s="4">
        <f t="shared" si="122"/>
        <v>0</v>
      </c>
      <c r="P2574" s="3" t="s">
        <v>19</v>
      </c>
    </row>
    <row r="2575" spans="1:16" x14ac:dyDescent="0.35">
      <c r="A2575" s="3" t="s">
        <v>23</v>
      </c>
      <c r="B2575" s="3" t="str">
        <f>INDEX(State_Region!$B$2:$B$26,MATCH(TRIM(A2575),State_Region!$A$2:$A$26,0))</f>
        <v>North</v>
      </c>
      <c r="C2575" s="3" t="s">
        <v>187</v>
      </c>
      <c r="D2575" s="3" t="str">
        <f>INDEX(Port_Type!$B$2:$B$227,MATCH(TRIM(C2575),Port_Type!$A$2:$A$227,0))</f>
        <v>Land Border / Rail</v>
      </c>
      <c r="E2575" s="3" t="s">
        <v>48</v>
      </c>
      <c r="F2575" s="3" t="str">
        <f>INDEX(Product_Category!$B$2:$B$45,MATCH(TRIM(E2575),Product_Category!$A$2:$A$45,0))</f>
        <v>Processed Foods</v>
      </c>
      <c r="G2575" s="4">
        <v>0.05</v>
      </c>
      <c r="H2575" s="4">
        <v>0</v>
      </c>
      <c r="I2575" s="4">
        <v>0</v>
      </c>
      <c r="J2575" s="4">
        <v>39.43</v>
      </c>
      <c r="K2575" s="4">
        <v>0</v>
      </c>
      <c r="L2575" s="4">
        <v>0</v>
      </c>
      <c r="M2575" s="4">
        <f t="shared" si="120"/>
        <v>-0.05</v>
      </c>
      <c r="N2575" s="4">
        <f t="shared" si="121"/>
        <v>-39.43</v>
      </c>
      <c r="O2575" s="4">
        <f t="shared" si="122"/>
        <v>0</v>
      </c>
      <c r="P2575" s="3" t="s">
        <v>19</v>
      </c>
    </row>
    <row r="2576" spans="1:16" x14ac:dyDescent="0.35">
      <c r="A2576" s="3" t="s">
        <v>23</v>
      </c>
      <c r="B2576" s="3" t="str">
        <f>INDEX(State_Region!$B$2:$B$26,MATCH(TRIM(A2576),State_Region!$A$2:$A$26,0))</f>
        <v>North</v>
      </c>
      <c r="C2576" s="3" t="s">
        <v>187</v>
      </c>
      <c r="D2576" s="3" t="str">
        <f>INDEX(Port_Type!$B$2:$B$227,MATCH(TRIM(C2576),Port_Type!$A$2:$A$227,0))</f>
        <v>Land Border / Rail</v>
      </c>
      <c r="E2576" s="3" t="s">
        <v>122</v>
      </c>
      <c r="F2576" s="3" t="str">
        <f>INDEX(Product_Category!$B$2:$B$45,MATCH(TRIM(E2576),Product_Category!$A$2:$A$45,0))</f>
        <v>Others</v>
      </c>
      <c r="G2576" s="4">
        <v>0</v>
      </c>
      <c r="H2576" s="4">
        <v>0</v>
      </c>
      <c r="I2576" s="4">
        <v>0</v>
      </c>
      <c r="J2576" s="4">
        <v>0.95</v>
      </c>
      <c r="K2576" s="4">
        <v>0</v>
      </c>
      <c r="L2576" s="4">
        <v>0</v>
      </c>
      <c r="M2576" s="4">
        <f t="shared" si="120"/>
        <v>0</v>
      </c>
      <c r="N2576" s="4">
        <f t="shared" si="121"/>
        <v>-0.95</v>
      </c>
      <c r="O2576" s="4">
        <f t="shared" si="122"/>
        <v>0</v>
      </c>
      <c r="P2576" s="3" t="s">
        <v>19</v>
      </c>
    </row>
    <row r="2577" spans="1:16" x14ac:dyDescent="0.35">
      <c r="A2577" s="3" t="s">
        <v>23</v>
      </c>
      <c r="B2577" s="3" t="str">
        <f>INDEX(State_Region!$B$2:$B$26,MATCH(TRIM(A2577),State_Region!$A$2:$A$26,0))</f>
        <v>North</v>
      </c>
      <c r="C2577" s="3" t="s">
        <v>187</v>
      </c>
      <c r="D2577" s="3" t="str">
        <f>INDEX(Port_Type!$B$2:$B$227,MATCH(TRIM(C2577),Port_Type!$A$2:$A$227,0))</f>
        <v>Land Border / Rail</v>
      </c>
      <c r="E2577" s="3" t="s">
        <v>69</v>
      </c>
      <c r="F2577" s="3" t="str">
        <f>INDEX(Product_Category!$B$2:$B$45,MATCH(TRIM(E2577),Product_Category!$A$2:$A$45,0))</f>
        <v>Others</v>
      </c>
      <c r="G2577" s="4">
        <v>0</v>
      </c>
      <c r="H2577" s="4">
        <v>0.12</v>
      </c>
      <c r="I2577" s="4">
        <v>0</v>
      </c>
      <c r="J2577" s="4">
        <v>0</v>
      </c>
      <c r="K2577" s="4">
        <v>160</v>
      </c>
      <c r="L2577" s="4">
        <v>0</v>
      </c>
      <c r="M2577" s="4">
        <f t="shared" si="120"/>
        <v>0.12</v>
      </c>
      <c r="N2577" s="4">
        <f t="shared" si="121"/>
        <v>160</v>
      </c>
      <c r="O2577" s="4">
        <f t="shared" si="122"/>
        <v>-0.12</v>
      </c>
      <c r="P2577" s="3" t="s">
        <v>19</v>
      </c>
    </row>
    <row r="2578" spans="1:16" x14ac:dyDescent="0.35">
      <c r="A2578" s="3" t="s">
        <v>23</v>
      </c>
      <c r="B2578" s="3" t="str">
        <f>INDEX(State_Region!$B$2:$B$26,MATCH(TRIM(A2578),State_Region!$A$2:$A$26,0))</f>
        <v>North</v>
      </c>
      <c r="C2578" s="3" t="s">
        <v>187</v>
      </c>
      <c r="D2578" s="3" t="str">
        <f>INDEX(Port_Type!$B$2:$B$227,MATCH(TRIM(C2578),Port_Type!$A$2:$A$227,0))</f>
        <v>Land Border / Rail</v>
      </c>
      <c r="E2578" s="3" t="s">
        <v>62</v>
      </c>
      <c r="F2578" s="3" t="str">
        <f>INDEX(Product_Category!$B$2:$B$45,MATCH(TRIM(E2578),Product_Category!$A$2:$A$45,0))</f>
        <v>Cereals &amp; Grains</v>
      </c>
      <c r="G2578" s="4">
        <v>0.27</v>
      </c>
      <c r="H2578" s="4">
        <v>0</v>
      </c>
      <c r="I2578" s="4">
        <v>0</v>
      </c>
      <c r="J2578" s="4">
        <v>1005.93</v>
      </c>
      <c r="K2578" s="4">
        <v>0</v>
      </c>
      <c r="L2578" s="4">
        <v>0</v>
      </c>
      <c r="M2578" s="4">
        <f t="shared" si="120"/>
        <v>-0.27</v>
      </c>
      <c r="N2578" s="4">
        <f t="shared" si="121"/>
        <v>-1005.93</v>
      </c>
      <c r="O2578" s="4">
        <f t="shared" si="122"/>
        <v>0</v>
      </c>
      <c r="P2578" s="3" t="s">
        <v>19</v>
      </c>
    </row>
    <row r="2579" spans="1:16" x14ac:dyDescent="0.35">
      <c r="A2579" s="3" t="s">
        <v>23</v>
      </c>
      <c r="B2579" s="3" t="str">
        <f>INDEX(State_Region!$B$2:$B$26,MATCH(TRIM(A2579),State_Region!$A$2:$A$26,0))</f>
        <v>North</v>
      </c>
      <c r="C2579" s="3" t="s">
        <v>187</v>
      </c>
      <c r="D2579" s="3" t="str">
        <f>INDEX(Port_Type!$B$2:$B$227,MATCH(TRIM(C2579),Port_Type!$A$2:$A$227,0))</f>
        <v>Land Border / Rail</v>
      </c>
      <c r="E2579" s="3" t="s">
        <v>54</v>
      </c>
      <c r="F2579" s="3" t="str">
        <f>INDEX(Product_Category!$B$2:$B$45,MATCH(TRIM(E2579),Product_Category!$A$2:$A$45,0))</f>
        <v>Processed Foods</v>
      </c>
      <c r="G2579" s="4">
        <v>0.01</v>
      </c>
      <c r="H2579" s="4">
        <v>0</v>
      </c>
      <c r="I2579" s="4">
        <v>0</v>
      </c>
      <c r="J2579" s="4">
        <v>4.46</v>
      </c>
      <c r="K2579" s="4">
        <v>0</v>
      </c>
      <c r="L2579" s="4">
        <v>0</v>
      </c>
      <c r="M2579" s="4">
        <f t="shared" si="120"/>
        <v>-0.01</v>
      </c>
      <c r="N2579" s="4">
        <f t="shared" si="121"/>
        <v>-4.46</v>
      </c>
      <c r="O2579" s="4">
        <f t="shared" si="122"/>
        <v>0</v>
      </c>
      <c r="P2579" s="3" t="s">
        <v>19</v>
      </c>
    </row>
    <row r="2580" spans="1:16" x14ac:dyDescent="0.35">
      <c r="A2580" s="3" t="s">
        <v>23</v>
      </c>
      <c r="B2580" s="3" t="str">
        <f>INDEX(State_Region!$B$2:$B$26,MATCH(TRIM(A2580),State_Region!$A$2:$A$26,0))</f>
        <v>North</v>
      </c>
      <c r="C2580" s="3" t="s">
        <v>187</v>
      </c>
      <c r="D2580" s="3" t="str">
        <f>INDEX(Port_Type!$B$2:$B$227,MATCH(TRIM(C2580),Port_Type!$A$2:$A$227,0))</f>
        <v>Land Border / Rail</v>
      </c>
      <c r="E2580" s="3" t="s">
        <v>113</v>
      </c>
      <c r="F2580" s="3" t="str">
        <f>INDEX(Product_Category!$B$2:$B$45,MATCH(TRIM(E2580),Product_Category!$A$2:$A$45,0))</f>
        <v>Cereals &amp; Grains</v>
      </c>
      <c r="G2580" s="4">
        <v>0.02</v>
      </c>
      <c r="H2580" s="4">
        <v>0</v>
      </c>
      <c r="I2580" s="4">
        <v>0</v>
      </c>
      <c r="J2580" s="4">
        <v>69.06</v>
      </c>
      <c r="K2580" s="4">
        <v>0</v>
      </c>
      <c r="L2580" s="4">
        <v>0</v>
      </c>
      <c r="M2580" s="4">
        <f t="shared" si="120"/>
        <v>-0.02</v>
      </c>
      <c r="N2580" s="4">
        <f t="shared" si="121"/>
        <v>-69.06</v>
      </c>
      <c r="O2580" s="4">
        <f t="shared" si="122"/>
        <v>0</v>
      </c>
      <c r="P2580" s="3" t="s">
        <v>19</v>
      </c>
    </row>
    <row r="2581" spans="1:16" x14ac:dyDescent="0.35">
      <c r="A2581" s="3" t="s">
        <v>16</v>
      </c>
      <c r="B2581" s="3" t="str">
        <f>INDEX(State_Region!$B$2:$B$26,MATCH(TRIM(A2581),State_Region!$A$2:$A$26,0))</f>
        <v>West</v>
      </c>
      <c r="C2581" s="3" t="s">
        <v>115</v>
      </c>
      <c r="D2581" s="3" t="str">
        <f>INDEX(Port_Type!$B$2:$B$227,MATCH(TRIM(C2581),Port_Type!$A$2:$A$227,0))</f>
        <v>Inland ICD / CFS</v>
      </c>
      <c r="E2581" s="3" t="s">
        <v>150</v>
      </c>
      <c r="F2581" s="3" t="str">
        <f>INDEX(Product_Category!$B$2:$B$45,MATCH(TRIM(E2581),Product_Category!$A$2:$A$45,0))</f>
        <v>Nuts &amp; Oilseeds</v>
      </c>
      <c r="G2581" s="4">
        <v>0</v>
      </c>
      <c r="H2581" s="4">
        <v>0</v>
      </c>
      <c r="I2581" s="4">
        <v>0</v>
      </c>
      <c r="J2581" s="4">
        <v>0</v>
      </c>
      <c r="K2581" s="4">
        <v>0.34</v>
      </c>
      <c r="L2581" s="4">
        <v>0</v>
      </c>
      <c r="M2581" s="4">
        <f t="shared" si="120"/>
        <v>0</v>
      </c>
      <c r="N2581" s="4">
        <f t="shared" si="121"/>
        <v>0.34</v>
      </c>
      <c r="O2581" s="4">
        <f t="shared" si="122"/>
        <v>0</v>
      </c>
      <c r="P2581" s="3" t="s">
        <v>19</v>
      </c>
    </row>
    <row r="2582" spans="1:16" x14ac:dyDescent="0.35">
      <c r="A2582" s="3" t="s">
        <v>16</v>
      </c>
      <c r="B2582" s="3" t="str">
        <f>INDEX(State_Region!$B$2:$B$26,MATCH(TRIM(A2582),State_Region!$A$2:$A$26,0))</f>
        <v>West</v>
      </c>
      <c r="C2582" s="3" t="s">
        <v>115</v>
      </c>
      <c r="D2582" s="3" t="str">
        <f>INDEX(Port_Type!$B$2:$B$227,MATCH(TRIM(C2582),Port_Type!$A$2:$A$227,0))</f>
        <v>Inland ICD / CFS</v>
      </c>
      <c r="E2582" s="3" t="s">
        <v>179</v>
      </c>
      <c r="F2582" s="3" t="str">
        <f>INDEX(Product_Category!$B$2:$B$45,MATCH(TRIM(E2582),Product_Category!$A$2:$A$45,0))</f>
        <v>Nuts &amp; Oilseeds</v>
      </c>
      <c r="G2582" s="4">
        <v>0</v>
      </c>
      <c r="H2582" s="4">
        <v>0.01</v>
      </c>
      <c r="I2582" s="4">
        <v>0</v>
      </c>
      <c r="J2582" s="4">
        <v>0</v>
      </c>
      <c r="K2582" s="4">
        <v>0.56000000000000005</v>
      </c>
      <c r="L2582" s="4">
        <v>0</v>
      </c>
      <c r="M2582" s="4">
        <f t="shared" si="120"/>
        <v>0.01</v>
      </c>
      <c r="N2582" s="4">
        <f t="shared" si="121"/>
        <v>0.56000000000000005</v>
      </c>
      <c r="O2582" s="4">
        <f t="shared" si="122"/>
        <v>-0.01</v>
      </c>
      <c r="P2582" s="3" t="s">
        <v>19</v>
      </c>
    </row>
    <row r="2583" spans="1:16" x14ac:dyDescent="0.35">
      <c r="A2583" s="3" t="s">
        <v>16</v>
      </c>
      <c r="B2583" s="3" t="str">
        <f>INDEX(State_Region!$B$2:$B$26,MATCH(TRIM(A2583),State_Region!$A$2:$A$26,0))</f>
        <v>West</v>
      </c>
      <c r="C2583" s="3" t="s">
        <v>115</v>
      </c>
      <c r="D2583" s="3" t="str">
        <f>INDEX(Port_Type!$B$2:$B$227,MATCH(TRIM(C2583),Port_Type!$A$2:$A$227,0))</f>
        <v>Inland ICD / CFS</v>
      </c>
      <c r="E2583" s="3" t="s">
        <v>18</v>
      </c>
      <c r="F2583" s="3" t="str">
        <f>INDEX(Product_Category!$B$2:$B$45,MATCH(TRIM(E2583),Product_Category!$A$2:$A$45,0))</f>
        <v>Cereals &amp; Grains</v>
      </c>
      <c r="G2583" s="4">
        <v>0.06</v>
      </c>
      <c r="H2583" s="4">
        <v>0</v>
      </c>
      <c r="I2583" s="4">
        <v>0</v>
      </c>
      <c r="J2583" s="4">
        <v>72.2</v>
      </c>
      <c r="K2583" s="4">
        <v>0</v>
      </c>
      <c r="L2583" s="4">
        <v>0</v>
      </c>
      <c r="M2583" s="4">
        <f t="shared" si="120"/>
        <v>-0.06</v>
      </c>
      <c r="N2583" s="4">
        <f t="shared" si="121"/>
        <v>-72.2</v>
      </c>
      <c r="O2583" s="4">
        <f t="shared" si="122"/>
        <v>0</v>
      </c>
      <c r="P2583" s="3" t="s">
        <v>19</v>
      </c>
    </row>
    <row r="2584" spans="1:16" x14ac:dyDescent="0.35">
      <c r="A2584" s="3" t="s">
        <v>23</v>
      </c>
      <c r="B2584" s="3" t="str">
        <f>INDEX(State_Region!$B$2:$B$26,MATCH(TRIM(A2584),State_Region!$A$2:$A$26,0))</f>
        <v>North</v>
      </c>
      <c r="C2584" s="3" t="s">
        <v>124</v>
      </c>
      <c r="D2584" s="3" t="str">
        <f>INDEX(Port_Type!$B$2:$B$227,MATCH(TRIM(C2584),Port_Type!$A$2:$A$227,0))</f>
        <v>Inland ICD / CFS</v>
      </c>
      <c r="E2584" s="3" t="s">
        <v>51</v>
      </c>
      <c r="F2584" s="3" t="str">
        <f>INDEX(Product_Category!$B$2:$B$45,MATCH(TRIM(E2584),Product_Category!$A$2:$A$45,0))</f>
        <v>Nuts &amp; Oilseeds</v>
      </c>
      <c r="G2584" s="4">
        <v>0</v>
      </c>
      <c r="H2584" s="4">
        <v>0.21</v>
      </c>
      <c r="I2584" s="4">
        <v>0</v>
      </c>
      <c r="J2584" s="4">
        <v>0</v>
      </c>
      <c r="K2584" s="4">
        <v>211.2</v>
      </c>
      <c r="L2584" s="4">
        <v>0</v>
      </c>
      <c r="M2584" s="4">
        <f t="shared" si="120"/>
        <v>0.21</v>
      </c>
      <c r="N2584" s="4">
        <f t="shared" si="121"/>
        <v>211.2</v>
      </c>
      <c r="O2584" s="4">
        <f t="shared" si="122"/>
        <v>-0.21</v>
      </c>
      <c r="P2584" s="3" t="s">
        <v>19</v>
      </c>
    </row>
    <row r="2585" spans="1:16" x14ac:dyDescent="0.35">
      <c r="A2585" s="3" t="s">
        <v>16</v>
      </c>
      <c r="B2585" s="3" t="str">
        <f>INDEX(State_Region!$B$2:$B$26,MATCH(TRIM(A2585),State_Region!$A$2:$A$26,0))</f>
        <v>West</v>
      </c>
      <c r="C2585" s="3" t="s">
        <v>90</v>
      </c>
      <c r="D2585" s="3" t="str">
        <f>INDEX(Port_Type!$B$2:$B$227,MATCH(TRIM(C2585),Port_Type!$A$2:$A$227,0))</f>
        <v>Inland ICD / CFS</v>
      </c>
      <c r="E2585" s="3" t="s">
        <v>116</v>
      </c>
      <c r="F2585" s="3" t="str">
        <f>INDEX(Product_Category!$B$2:$B$45,MATCH(TRIM(E2585),Product_Category!$A$2:$A$45,0))</f>
        <v>Others</v>
      </c>
      <c r="G2585" s="4">
        <v>0.02</v>
      </c>
      <c r="H2585" s="4">
        <v>0</v>
      </c>
      <c r="I2585" s="4">
        <v>0</v>
      </c>
      <c r="J2585" s="4">
        <v>21</v>
      </c>
      <c r="K2585" s="4">
        <v>0</v>
      </c>
      <c r="L2585" s="4">
        <v>0</v>
      </c>
      <c r="M2585" s="4">
        <f t="shared" si="120"/>
        <v>-0.02</v>
      </c>
      <c r="N2585" s="4">
        <f t="shared" si="121"/>
        <v>-21</v>
      </c>
      <c r="O2585" s="4">
        <f t="shared" si="122"/>
        <v>0</v>
      </c>
      <c r="P2585" s="3" t="s">
        <v>19</v>
      </c>
    </row>
    <row r="2586" spans="1:16" x14ac:dyDescent="0.35">
      <c r="A2586" s="3" t="s">
        <v>23</v>
      </c>
      <c r="B2586" s="3" t="str">
        <f>INDEX(State_Region!$B$2:$B$26,MATCH(TRIM(A2586),State_Region!$A$2:$A$26,0))</f>
        <v>North</v>
      </c>
      <c r="C2586" s="3" t="s">
        <v>124</v>
      </c>
      <c r="D2586" s="3" t="str">
        <f>INDEX(Port_Type!$B$2:$B$227,MATCH(TRIM(C2586),Port_Type!$A$2:$A$227,0))</f>
        <v>Inland ICD / CFS</v>
      </c>
      <c r="E2586" s="3" t="s">
        <v>151</v>
      </c>
      <c r="F2586" s="3" t="str">
        <f>INDEX(Product_Category!$B$2:$B$45,MATCH(TRIM(E2586),Product_Category!$A$2:$A$45,0))</f>
        <v>Processed Foods</v>
      </c>
      <c r="G2586" s="4">
        <v>0</v>
      </c>
      <c r="H2586" s="4">
        <v>0</v>
      </c>
      <c r="I2586" s="4">
        <v>0</v>
      </c>
      <c r="J2586" s="4">
        <v>0</v>
      </c>
      <c r="K2586" s="4">
        <v>0.08</v>
      </c>
      <c r="L2586" s="4">
        <v>0</v>
      </c>
      <c r="M2586" s="4">
        <f t="shared" si="120"/>
        <v>0</v>
      </c>
      <c r="N2586" s="4">
        <f t="shared" si="121"/>
        <v>0.08</v>
      </c>
      <c r="O2586" s="4">
        <f t="shared" si="122"/>
        <v>0</v>
      </c>
      <c r="P2586" s="3" t="s">
        <v>19</v>
      </c>
    </row>
    <row r="2587" spans="1:16" x14ac:dyDescent="0.35">
      <c r="A2587" s="3" t="s">
        <v>23</v>
      </c>
      <c r="B2587" s="3" t="str">
        <f>INDEX(State_Region!$B$2:$B$26,MATCH(TRIM(A2587),State_Region!$A$2:$A$26,0))</f>
        <v>North</v>
      </c>
      <c r="C2587" s="3" t="s">
        <v>124</v>
      </c>
      <c r="D2587" s="3" t="str">
        <f>INDEX(Port_Type!$B$2:$B$227,MATCH(TRIM(C2587),Port_Type!$A$2:$A$227,0))</f>
        <v>Inland ICD / CFS</v>
      </c>
      <c r="E2587" s="3" t="s">
        <v>144</v>
      </c>
      <c r="F2587" s="3" t="str">
        <f>INDEX(Product_Category!$B$2:$B$45,MATCH(TRIM(E2587),Product_Category!$A$2:$A$45,0))</f>
        <v>Cereals &amp; Grains</v>
      </c>
      <c r="G2587" s="4">
        <v>0</v>
      </c>
      <c r="H2587" s="4">
        <v>0</v>
      </c>
      <c r="I2587" s="4">
        <v>0</v>
      </c>
      <c r="J2587" s="4">
        <v>0</v>
      </c>
      <c r="K2587" s="4">
        <v>25.5</v>
      </c>
      <c r="L2587" s="4">
        <v>0</v>
      </c>
      <c r="M2587" s="4">
        <f t="shared" si="120"/>
        <v>0</v>
      </c>
      <c r="N2587" s="4">
        <f t="shared" si="121"/>
        <v>25.5</v>
      </c>
      <c r="O2587" s="4">
        <f t="shared" si="122"/>
        <v>0</v>
      </c>
      <c r="P2587" s="3" t="s">
        <v>19</v>
      </c>
    </row>
    <row r="2588" spans="1:16" x14ac:dyDescent="0.35">
      <c r="A2588" s="3" t="s">
        <v>23</v>
      </c>
      <c r="B2588" s="3" t="str">
        <f>INDEX(State_Region!$B$2:$B$26,MATCH(TRIM(A2588),State_Region!$A$2:$A$26,0))</f>
        <v>North</v>
      </c>
      <c r="C2588" s="3" t="s">
        <v>124</v>
      </c>
      <c r="D2588" s="3" t="str">
        <f>INDEX(Port_Type!$B$2:$B$227,MATCH(TRIM(C2588),Port_Type!$A$2:$A$227,0))</f>
        <v>Inland ICD / CFS</v>
      </c>
      <c r="E2588" s="3" t="s">
        <v>39</v>
      </c>
      <c r="F2588" s="3" t="str">
        <f>INDEX(Product_Category!$B$2:$B$45,MATCH(TRIM(E2588),Product_Category!$A$2:$A$45,0))</f>
        <v>Processed Foods</v>
      </c>
      <c r="G2588" s="4">
        <v>0</v>
      </c>
      <c r="H2588" s="4">
        <v>0</v>
      </c>
      <c r="I2588" s="4">
        <v>0</v>
      </c>
      <c r="J2588" s="4">
        <v>0</v>
      </c>
      <c r="K2588" s="4">
        <v>0</v>
      </c>
      <c r="L2588" s="4">
        <v>0.01</v>
      </c>
      <c r="M2588" s="4">
        <f t="shared" si="120"/>
        <v>0</v>
      </c>
      <c r="N2588" s="4">
        <f t="shared" si="121"/>
        <v>0</v>
      </c>
      <c r="O2588" s="4">
        <f t="shared" si="122"/>
        <v>0</v>
      </c>
      <c r="P2588" s="3" t="s">
        <v>19</v>
      </c>
    </row>
    <row r="2589" spans="1:16" x14ac:dyDescent="0.35">
      <c r="A2589" s="3" t="s">
        <v>16</v>
      </c>
      <c r="B2589" s="3" t="str">
        <f>INDEX(State_Region!$B$2:$B$26,MATCH(TRIM(A2589),State_Region!$A$2:$A$26,0))</f>
        <v>West</v>
      </c>
      <c r="C2589" s="3" t="s">
        <v>90</v>
      </c>
      <c r="D2589" s="3" t="str">
        <f>INDEX(Port_Type!$B$2:$B$227,MATCH(TRIM(C2589),Port_Type!$A$2:$A$227,0))</f>
        <v>Inland ICD / CFS</v>
      </c>
      <c r="E2589" s="3" t="s">
        <v>114</v>
      </c>
      <c r="F2589" s="3" t="str">
        <f>INDEX(Product_Category!$B$2:$B$45,MATCH(TRIM(E2589),Product_Category!$A$2:$A$45,0))</f>
        <v>Dairy, Poultry &amp; Honey</v>
      </c>
      <c r="G2589" s="4">
        <v>0.11</v>
      </c>
      <c r="H2589" s="4">
        <v>0.06</v>
      </c>
      <c r="I2589" s="4">
        <v>0</v>
      </c>
      <c r="J2589" s="4">
        <v>13.25</v>
      </c>
      <c r="K2589" s="4">
        <v>22</v>
      </c>
      <c r="L2589" s="4">
        <v>0</v>
      </c>
      <c r="M2589" s="4">
        <f t="shared" si="120"/>
        <v>-0.05</v>
      </c>
      <c r="N2589" s="4">
        <f t="shared" si="121"/>
        <v>8.75</v>
      </c>
      <c r="O2589" s="4">
        <f t="shared" si="122"/>
        <v>-0.06</v>
      </c>
      <c r="P2589" s="3" t="s">
        <v>19</v>
      </c>
    </row>
    <row r="2590" spans="1:16" x14ac:dyDescent="0.35">
      <c r="A2590" s="3" t="s">
        <v>16</v>
      </c>
      <c r="B2590" s="3" t="str">
        <f>INDEX(State_Region!$B$2:$B$26,MATCH(TRIM(A2590),State_Region!$A$2:$A$26,0))</f>
        <v>West</v>
      </c>
      <c r="C2590" s="3" t="s">
        <v>109</v>
      </c>
      <c r="D2590" s="3" t="str">
        <f>INDEX(Port_Type!$B$2:$B$227,MATCH(TRIM(C2590),Port_Type!$A$2:$A$227,0))</f>
        <v>SEZ / EPZ</v>
      </c>
      <c r="E2590" s="3" t="s">
        <v>76</v>
      </c>
      <c r="F2590" s="3" t="str">
        <f>INDEX(Product_Category!$B$2:$B$45,MATCH(TRIM(E2590),Product_Category!$A$2:$A$45,0))</f>
        <v>Fresh Fruits &amp; Vegetables</v>
      </c>
      <c r="G2590" s="4">
        <v>0</v>
      </c>
      <c r="H2590" s="4">
        <v>0</v>
      </c>
      <c r="I2590" s="4">
        <v>0</v>
      </c>
      <c r="J2590" s="4">
        <v>0.1</v>
      </c>
      <c r="K2590" s="4">
        <v>0</v>
      </c>
      <c r="L2590" s="4">
        <v>0</v>
      </c>
      <c r="M2590" s="4">
        <f t="shared" si="120"/>
        <v>0</v>
      </c>
      <c r="N2590" s="4">
        <f t="shared" si="121"/>
        <v>-0.1</v>
      </c>
      <c r="O2590" s="4">
        <f t="shared" si="122"/>
        <v>0</v>
      </c>
      <c r="P2590" s="3" t="s">
        <v>19</v>
      </c>
    </row>
    <row r="2591" spans="1:16" x14ac:dyDescent="0.35">
      <c r="A2591" s="3" t="s">
        <v>23</v>
      </c>
      <c r="B2591" s="3" t="str">
        <f>INDEX(State_Region!$B$2:$B$26,MATCH(TRIM(A2591),State_Region!$A$2:$A$26,0))</f>
        <v>North</v>
      </c>
      <c r="C2591" s="3" t="s">
        <v>182</v>
      </c>
      <c r="D2591" s="3" t="str">
        <f>INDEX(Port_Type!$B$2:$B$227,MATCH(TRIM(C2591),Port_Type!$A$2:$A$227,0))</f>
        <v>Air Cargo</v>
      </c>
      <c r="E2591" s="3" t="s">
        <v>18</v>
      </c>
      <c r="F2591" s="3" t="str">
        <f>INDEX(Product_Category!$B$2:$B$45,MATCH(TRIM(E2591),Product_Category!$A$2:$A$45,0))</f>
        <v>Cereals &amp; Grains</v>
      </c>
      <c r="G2591" s="4">
        <v>0</v>
      </c>
      <c r="H2591" s="4">
        <v>0</v>
      </c>
      <c r="I2591" s="4">
        <v>0</v>
      </c>
      <c r="J2591" s="4">
        <v>0</v>
      </c>
      <c r="K2591" s="4">
        <v>0.4</v>
      </c>
      <c r="L2591" s="4">
        <v>0</v>
      </c>
      <c r="M2591" s="4">
        <f t="shared" si="120"/>
        <v>0</v>
      </c>
      <c r="N2591" s="4">
        <f t="shared" si="121"/>
        <v>0.4</v>
      </c>
      <c r="O2591" s="4">
        <f t="shared" si="122"/>
        <v>0</v>
      </c>
      <c r="P2591" s="3" t="s">
        <v>19</v>
      </c>
    </row>
    <row r="2592" spans="1:16" x14ac:dyDescent="0.35">
      <c r="A2592" s="3" t="s">
        <v>23</v>
      </c>
      <c r="B2592" s="3" t="str">
        <f>INDEX(State_Region!$B$2:$B$26,MATCH(TRIM(A2592),State_Region!$A$2:$A$26,0))</f>
        <v>North</v>
      </c>
      <c r="C2592" s="3" t="s">
        <v>182</v>
      </c>
      <c r="D2592" s="3" t="str">
        <f>INDEX(Port_Type!$B$2:$B$227,MATCH(TRIM(C2592),Port_Type!$A$2:$A$227,0))</f>
        <v>Air Cargo</v>
      </c>
      <c r="E2592" s="3" t="s">
        <v>179</v>
      </c>
      <c r="F2592" s="3" t="str">
        <f>INDEX(Product_Category!$B$2:$B$45,MATCH(TRIM(E2592),Product_Category!$A$2:$A$45,0))</f>
        <v>Nuts &amp; Oilseeds</v>
      </c>
      <c r="G2592" s="4">
        <v>0</v>
      </c>
      <c r="H2592" s="4">
        <v>0</v>
      </c>
      <c r="I2592" s="4">
        <v>0</v>
      </c>
      <c r="J2592" s="4">
        <v>0</v>
      </c>
      <c r="K2592" s="4">
        <v>0.02</v>
      </c>
      <c r="L2592" s="4">
        <v>0</v>
      </c>
      <c r="M2592" s="4">
        <f t="shared" si="120"/>
        <v>0</v>
      </c>
      <c r="N2592" s="4">
        <f t="shared" si="121"/>
        <v>0.02</v>
      </c>
      <c r="O2592" s="4">
        <f t="shared" si="122"/>
        <v>0</v>
      </c>
      <c r="P2592" s="3" t="s">
        <v>19</v>
      </c>
    </row>
    <row r="2593" spans="1:16" x14ac:dyDescent="0.35">
      <c r="A2593" s="3" t="s">
        <v>23</v>
      </c>
      <c r="B2593" s="3" t="str">
        <f>INDEX(State_Region!$B$2:$B$26,MATCH(TRIM(A2593),State_Region!$A$2:$A$26,0))</f>
        <v>North</v>
      </c>
      <c r="C2593" s="3" t="s">
        <v>182</v>
      </c>
      <c r="D2593" s="3" t="str">
        <f>INDEX(Port_Type!$B$2:$B$227,MATCH(TRIM(C2593),Port_Type!$A$2:$A$227,0))</f>
        <v>Air Cargo</v>
      </c>
      <c r="E2593" s="3" t="s">
        <v>150</v>
      </c>
      <c r="F2593" s="3" t="str">
        <f>INDEX(Product_Category!$B$2:$B$45,MATCH(TRIM(E2593),Product_Category!$A$2:$A$45,0))</f>
        <v>Nuts &amp; Oilseeds</v>
      </c>
      <c r="G2593" s="4">
        <v>0</v>
      </c>
      <c r="H2593" s="4">
        <v>0</v>
      </c>
      <c r="I2593" s="4">
        <v>0</v>
      </c>
      <c r="J2593" s="4">
        <v>0</v>
      </c>
      <c r="K2593" s="4">
        <v>0.12</v>
      </c>
      <c r="L2593" s="4">
        <v>0</v>
      </c>
      <c r="M2593" s="4">
        <f t="shared" si="120"/>
        <v>0</v>
      </c>
      <c r="N2593" s="4">
        <f t="shared" si="121"/>
        <v>0.12</v>
      </c>
      <c r="O2593" s="4">
        <f t="shared" si="122"/>
        <v>0</v>
      </c>
      <c r="P2593" s="3" t="s">
        <v>19</v>
      </c>
    </row>
    <row r="2594" spans="1:16" x14ac:dyDescent="0.35">
      <c r="A2594" s="3" t="s">
        <v>23</v>
      </c>
      <c r="B2594" s="3" t="str">
        <f>INDEX(State_Region!$B$2:$B$26,MATCH(TRIM(A2594),State_Region!$A$2:$A$26,0))</f>
        <v>North</v>
      </c>
      <c r="C2594" s="3" t="s">
        <v>182</v>
      </c>
      <c r="D2594" s="3" t="str">
        <f>INDEX(Port_Type!$B$2:$B$227,MATCH(TRIM(C2594),Port_Type!$A$2:$A$227,0))</f>
        <v>Air Cargo</v>
      </c>
      <c r="E2594" s="3" t="s">
        <v>48</v>
      </c>
      <c r="F2594" s="3" t="str">
        <f>INDEX(Product_Category!$B$2:$B$45,MATCH(TRIM(E2594),Product_Category!$A$2:$A$45,0))</f>
        <v>Processed Foods</v>
      </c>
      <c r="G2594" s="4">
        <v>0</v>
      </c>
      <c r="H2594" s="4">
        <v>0</v>
      </c>
      <c r="I2594" s="4">
        <v>0</v>
      </c>
      <c r="J2594" s="4">
        <v>0</v>
      </c>
      <c r="K2594" s="4">
        <v>0.14000000000000001</v>
      </c>
      <c r="L2594" s="4">
        <v>0</v>
      </c>
      <c r="M2594" s="4">
        <f t="shared" si="120"/>
        <v>0</v>
      </c>
      <c r="N2594" s="4">
        <f t="shared" si="121"/>
        <v>0.14000000000000001</v>
      </c>
      <c r="O2594" s="4">
        <f t="shared" si="122"/>
        <v>0</v>
      </c>
      <c r="P2594" s="3" t="s">
        <v>19</v>
      </c>
    </row>
    <row r="2595" spans="1:16" x14ac:dyDescent="0.35">
      <c r="A2595" s="3" t="s">
        <v>23</v>
      </c>
      <c r="B2595" s="3" t="str">
        <f>INDEX(State_Region!$B$2:$B$26,MATCH(TRIM(A2595),State_Region!$A$2:$A$26,0))</f>
        <v>North</v>
      </c>
      <c r="C2595" s="3" t="s">
        <v>182</v>
      </c>
      <c r="D2595" s="3" t="str">
        <f>INDEX(Port_Type!$B$2:$B$227,MATCH(TRIM(C2595),Port_Type!$A$2:$A$227,0))</f>
        <v>Air Cargo</v>
      </c>
      <c r="E2595" s="3" t="s">
        <v>122</v>
      </c>
      <c r="F2595" s="3" t="str">
        <f>INDEX(Product_Category!$B$2:$B$45,MATCH(TRIM(E2595),Product_Category!$A$2:$A$45,0))</f>
        <v>Others</v>
      </c>
      <c r="G2595" s="4">
        <v>0.01</v>
      </c>
      <c r="H2595" s="4">
        <v>0.01</v>
      </c>
      <c r="I2595" s="4">
        <v>0</v>
      </c>
      <c r="J2595" s="4">
        <v>0.32</v>
      </c>
      <c r="K2595" s="4">
        <v>0.83</v>
      </c>
      <c r="L2595" s="4">
        <v>0</v>
      </c>
      <c r="M2595" s="4">
        <f t="shared" si="120"/>
        <v>0</v>
      </c>
      <c r="N2595" s="4">
        <f t="shared" si="121"/>
        <v>0.51</v>
      </c>
      <c r="O2595" s="4">
        <f t="shared" si="122"/>
        <v>-0.01</v>
      </c>
      <c r="P2595" s="3" t="s">
        <v>19</v>
      </c>
    </row>
    <row r="2596" spans="1:16" x14ac:dyDescent="0.35">
      <c r="A2596" s="3" t="s">
        <v>16</v>
      </c>
      <c r="B2596" s="3" t="str">
        <f>INDEX(State_Region!$B$2:$B$26,MATCH(TRIM(A2596),State_Region!$A$2:$A$26,0))</f>
        <v>West</v>
      </c>
      <c r="C2596" s="3" t="s">
        <v>109</v>
      </c>
      <c r="D2596" s="3" t="str">
        <f>INDEX(Port_Type!$B$2:$B$227,MATCH(TRIM(C2596),Port_Type!$A$2:$A$227,0))</f>
        <v>SEZ / EPZ</v>
      </c>
      <c r="E2596" s="3" t="s">
        <v>81</v>
      </c>
      <c r="F2596" s="3" t="str">
        <f>INDEX(Product_Category!$B$2:$B$45,MATCH(TRIM(E2596),Product_Category!$A$2:$A$45,0))</f>
        <v>Processed Foods</v>
      </c>
      <c r="G2596" s="4">
        <v>0</v>
      </c>
      <c r="H2596" s="4">
        <v>0</v>
      </c>
      <c r="I2596" s="4">
        <v>0</v>
      </c>
      <c r="J2596" s="4">
        <v>0</v>
      </c>
      <c r="K2596" s="4">
        <v>0.47</v>
      </c>
      <c r="L2596" s="4">
        <v>0</v>
      </c>
      <c r="M2596" s="4">
        <f t="shared" si="120"/>
        <v>0</v>
      </c>
      <c r="N2596" s="4">
        <f t="shared" si="121"/>
        <v>0.47</v>
      </c>
      <c r="O2596" s="4">
        <f t="shared" si="122"/>
        <v>0</v>
      </c>
      <c r="P2596" s="3" t="s">
        <v>19</v>
      </c>
    </row>
    <row r="2597" spans="1:16" x14ac:dyDescent="0.35">
      <c r="A2597" s="3" t="s">
        <v>23</v>
      </c>
      <c r="B2597" s="3" t="str">
        <f>INDEX(State_Region!$B$2:$B$26,MATCH(TRIM(A2597),State_Region!$A$2:$A$26,0))</f>
        <v>North</v>
      </c>
      <c r="C2597" s="3" t="s">
        <v>182</v>
      </c>
      <c r="D2597" s="3" t="str">
        <f>INDEX(Port_Type!$B$2:$B$227,MATCH(TRIM(C2597),Port_Type!$A$2:$A$227,0))</f>
        <v>Air Cargo</v>
      </c>
      <c r="E2597" s="3" t="s">
        <v>39</v>
      </c>
      <c r="F2597" s="3" t="str">
        <f>INDEX(Product_Category!$B$2:$B$45,MATCH(TRIM(E2597),Product_Category!$A$2:$A$45,0))</f>
        <v>Processed Foods</v>
      </c>
      <c r="G2597" s="4">
        <v>0</v>
      </c>
      <c r="H2597" s="4">
        <v>0</v>
      </c>
      <c r="I2597" s="4">
        <v>0</v>
      </c>
      <c r="J2597" s="4">
        <v>0</v>
      </c>
      <c r="K2597" s="4">
        <v>7.0000000000000007E-2</v>
      </c>
      <c r="L2597" s="4">
        <v>0</v>
      </c>
      <c r="M2597" s="4">
        <f t="shared" si="120"/>
        <v>0</v>
      </c>
      <c r="N2597" s="4">
        <f t="shared" si="121"/>
        <v>7.0000000000000007E-2</v>
      </c>
      <c r="O2597" s="4">
        <f t="shared" si="122"/>
        <v>0</v>
      </c>
      <c r="P2597" s="3" t="s">
        <v>19</v>
      </c>
    </row>
    <row r="2598" spans="1:16" x14ac:dyDescent="0.35">
      <c r="A2598" s="3" t="s">
        <v>23</v>
      </c>
      <c r="B2598" s="3" t="str">
        <f>INDEX(State_Region!$B$2:$B$26,MATCH(TRIM(A2598),State_Region!$A$2:$A$26,0))</f>
        <v>North</v>
      </c>
      <c r="C2598" s="3" t="s">
        <v>182</v>
      </c>
      <c r="D2598" s="3" t="str">
        <f>INDEX(Port_Type!$B$2:$B$227,MATCH(TRIM(C2598),Port_Type!$A$2:$A$227,0))</f>
        <v>Air Cargo</v>
      </c>
      <c r="E2598" s="3" t="s">
        <v>27</v>
      </c>
      <c r="F2598" s="3" t="str">
        <f>INDEX(Product_Category!$B$2:$B$45,MATCH(TRIM(E2598),Product_Category!$A$2:$A$45,0))</f>
        <v>Cereals &amp; Grains</v>
      </c>
      <c r="G2598" s="4">
        <v>0</v>
      </c>
      <c r="H2598" s="4">
        <v>0.01</v>
      </c>
      <c r="I2598" s="4">
        <v>0</v>
      </c>
      <c r="J2598" s="4">
        <v>0</v>
      </c>
      <c r="K2598" s="4">
        <v>1</v>
      </c>
      <c r="L2598" s="4">
        <v>0</v>
      </c>
      <c r="M2598" s="4">
        <f t="shared" si="120"/>
        <v>0.01</v>
      </c>
      <c r="N2598" s="4">
        <f t="shared" si="121"/>
        <v>1</v>
      </c>
      <c r="O2598" s="4">
        <f t="shared" si="122"/>
        <v>-0.01</v>
      </c>
      <c r="P2598" s="3" t="s">
        <v>19</v>
      </c>
    </row>
    <row r="2599" spans="1:16" x14ac:dyDescent="0.35">
      <c r="A2599" s="3" t="s">
        <v>16</v>
      </c>
      <c r="B2599" s="3" t="str">
        <f>INDEX(State_Region!$B$2:$B$26,MATCH(TRIM(A2599),State_Region!$A$2:$A$26,0))</f>
        <v>West</v>
      </c>
      <c r="C2599" s="3" t="s">
        <v>109</v>
      </c>
      <c r="D2599" s="3" t="str">
        <f>INDEX(Port_Type!$B$2:$B$227,MATCH(TRIM(C2599),Port_Type!$A$2:$A$227,0))</f>
        <v>SEZ / EPZ</v>
      </c>
      <c r="E2599" s="3" t="s">
        <v>142</v>
      </c>
      <c r="F2599" s="3" t="str">
        <f>INDEX(Product_Category!$B$2:$B$45,MATCH(TRIM(E2599),Product_Category!$A$2:$A$45,0))</f>
        <v>Nuts &amp; Oilseeds</v>
      </c>
      <c r="G2599" s="4">
        <v>0.02</v>
      </c>
      <c r="H2599" s="4">
        <v>0</v>
      </c>
      <c r="I2599" s="4">
        <v>0</v>
      </c>
      <c r="J2599" s="4">
        <v>20</v>
      </c>
      <c r="K2599" s="4">
        <v>5.7</v>
      </c>
      <c r="L2599" s="4">
        <v>0</v>
      </c>
      <c r="M2599" s="4">
        <f t="shared" si="120"/>
        <v>-0.02</v>
      </c>
      <c r="N2599" s="4">
        <f t="shared" si="121"/>
        <v>-14.3</v>
      </c>
      <c r="O2599" s="4">
        <f t="shared" si="122"/>
        <v>0</v>
      </c>
      <c r="P2599" s="3" t="s">
        <v>19</v>
      </c>
    </row>
    <row r="2600" spans="1:16" x14ac:dyDescent="0.35">
      <c r="A2600" s="3" t="s">
        <v>23</v>
      </c>
      <c r="B2600" s="3" t="str">
        <f>INDEX(State_Region!$B$2:$B$26,MATCH(TRIM(A2600),State_Region!$A$2:$A$26,0))</f>
        <v>North</v>
      </c>
      <c r="C2600" s="3" t="s">
        <v>182</v>
      </c>
      <c r="D2600" s="3" t="str">
        <f>INDEX(Port_Type!$B$2:$B$227,MATCH(TRIM(C2600),Port_Type!$A$2:$A$227,0))</f>
        <v>Air Cargo</v>
      </c>
      <c r="E2600" s="3" t="s">
        <v>54</v>
      </c>
      <c r="F2600" s="3" t="str">
        <f>INDEX(Product_Category!$B$2:$B$45,MATCH(TRIM(E2600),Product_Category!$A$2:$A$45,0))</f>
        <v>Processed Foods</v>
      </c>
      <c r="G2600" s="4">
        <v>0</v>
      </c>
      <c r="H2600" s="4">
        <v>0</v>
      </c>
      <c r="I2600" s="4">
        <v>0</v>
      </c>
      <c r="J2600" s="4">
        <v>1</v>
      </c>
      <c r="K2600" s="4">
        <v>0.08</v>
      </c>
      <c r="L2600" s="4">
        <v>0</v>
      </c>
      <c r="M2600" s="4">
        <f t="shared" si="120"/>
        <v>0</v>
      </c>
      <c r="N2600" s="4">
        <f t="shared" si="121"/>
        <v>-0.92</v>
      </c>
      <c r="O2600" s="4">
        <f t="shared" si="122"/>
        <v>0</v>
      </c>
      <c r="P2600" s="3" t="s">
        <v>19</v>
      </c>
    </row>
    <row r="2601" spans="1:16" x14ac:dyDescent="0.35">
      <c r="A2601" s="3" t="s">
        <v>23</v>
      </c>
      <c r="B2601" s="3" t="str">
        <f>INDEX(State_Region!$B$2:$B$26,MATCH(TRIM(A2601),State_Region!$A$2:$A$26,0))</f>
        <v>North</v>
      </c>
      <c r="C2601" s="3" t="s">
        <v>182</v>
      </c>
      <c r="D2601" s="3" t="str">
        <f>INDEX(Port_Type!$B$2:$B$227,MATCH(TRIM(C2601),Port_Type!$A$2:$A$227,0))</f>
        <v>Air Cargo</v>
      </c>
      <c r="E2601" s="3" t="s">
        <v>42</v>
      </c>
      <c r="F2601" s="3" t="str">
        <f>INDEX(Product_Category!$B$2:$B$45,MATCH(TRIM(E2601),Product_Category!$A$2:$A$45,0))</f>
        <v>Processed Foods</v>
      </c>
      <c r="G2601" s="4">
        <v>0</v>
      </c>
      <c r="H2601" s="4">
        <v>0</v>
      </c>
      <c r="I2601" s="4">
        <v>0</v>
      </c>
      <c r="J2601" s="4">
        <v>0.41</v>
      </c>
      <c r="K2601" s="4">
        <v>5.17</v>
      </c>
      <c r="L2601" s="4">
        <v>0</v>
      </c>
      <c r="M2601" s="4">
        <f t="shared" si="120"/>
        <v>0</v>
      </c>
      <c r="N2601" s="4">
        <f t="shared" si="121"/>
        <v>4.76</v>
      </c>
      <c r="O2601" s="4">
        <f t="shared" si="122"/>
        <v>0</v>
      </c>
      <c r="P2601" s="3" t="s">
        <v>19</v>
      </c>
    </row>
    <row r="2602" spans="1:16" x14ac:dyDescent="0.35">
      <c r="A2602" s="3" t="s">
        <v>23</v>
      </c>
      <c r="B2602" s="3" t="str">
        <f>INDEX(State_Region!$B$2:$B$26,MATCH(TRIM(A2602),State_Region!$A$2:$A$26,0))</f>
        <v>North</v>
      </c>
      <c r="C2602" s="3" t="s">
        <v>182</v>
      </c>
      <c r="D2602" s="3" t="str">
        <f>INDEX(Port_Type!$B$2:$B$227,MATCH(TRIM(C2602),Port_Type!$A$2:$A$227,0))</f>
        <v>Air Cargo</v>
      </c>
      <c r="E2602" s="3" t="s">
        <v>33</v>
      </c>
      <c r="F2602" s="3" t="str">
        <f>INDEX(Product_Category!$B$2:$B$45,MATCH(TRIM(E2602),Product_Category!$A$2:$A$45,0))</f>
        <v>Pulses</v>
      </c>
      <c r="G2602" s="4">
        <v>0</v>
      </c>
      <c r="H2602" s="4">
        <v>0</v>
      </c>
      <c r="I2602" s="4">
        <v>0</v>
      </c>
      <c r="J2602" s="4">
        <v>0.1</v>
      </c>
      <c r="K2602" s="4">
        <v>4.4800000000000004</v>
      </c>
      <c r="L2602" s="4">
        <v>0</v>
      </c>
      <c r="M2602" s="4">
        <f t="shared" si="120"/>
        <v>0</v>
      </c>
      <c r="N2602" s="4">
        <f t="shared" si="121"/>
        <v>4.3800000000000008</v>
      </c>
      <c r="O2602" s="4">
        <f t="shared" si="122"/>
        <v>0</v>
      </c>
      <c r="P2602" s="3" t="s">
        <v>19</v>
      </c>
    </row>
    <row r="2603" spans="1:16" x14ac:dyDescent="0.35">
      <c r="A2603" s="3" t="s">
        <v>16</v>
      </c>
      <c r="B2603" s="3" t="str">
        <f>INDEX(State_Region!$B$2:$B$26,MATCH(TRIM(A2603),State_Region!$A$2:$A$26,0))</f>
        <v>West</v>
      </c>
      <c r="C2603" s="3" t="s">
        <v>109</v>
      </c>
      <c r="D2603" s="3" t="str">
        <f>INDEX(Port_Type!$B$2:$B$227,MATCH(TRIM(C2603),Port_Type!$A$2:$A$227,0))</f>
        <v>SEZ / EPZ</v>
      </c>
      <c r="E2603" s="3" t="s">
        <v>60</v>
      </c>
      <c r="F2603" s="3" t="str">
        <f>INDEX(Product_Category!$B$2:$B$45,MATCH(TRIM(E2603),Product_Category!$A$2:$A$45,0))</f>
        <v>Processed Foods</v>
      </c>
      <c r="G2603" s="4">
        <v>0</v>
      </c>
      <c r="H2603" s="4">
        <v>0</v>
      </c>
      <c r="I2603" s="4">
        <v>0</v>
      </c>
      <c r="J2603" s="4">
        <v>0.2</v>
      </c>
      <c r="K2603" s="4">
        <v>0</v>
      </c>
      <c r="L2603" s="4">
        <v>0</v>
      </c>
      <c r="M2603" s="4">
        <f t="shared" si="120"/>
        <v>0</v>
      </c>
      <c r="N2603" s="4">
        <f t="shared" si="121"/>
        <v>-0.2</v>
      </c>
      <c r="O2603" s="4">
        <f t="shared" si="122"/>
        <v>0</v>
      </c>
      <c r="P2603" s="3" t="s">
        <v>19</v>
      </c>
    </row>
    <row r="2604" spans="1:16" x14ac:dyDescent="0.35">
      <c r="A2604" s="3" t="s">
        <v>16</v>
      </c>
      <c r="B2604" s="3" t="str">
        <f>INDEX(State_Region!$B$2:$B$26,MATCH(TRIM(A2604),State_Region!$A$2:$A$26,0))</f>
        <v>West</v>
      </c>
      <c r="C2604" s="3" t="s">
        <v>109</v>
      </c>
      <c r="D2604" s="3" t="str">
        <f>INDEX(Port_Type!$B$2:$B$227,MATCH(TRIM(C2604),Port_Type!$A$2:$A$227,0))</f>
        <v>SEZ / EPZ</v>
      </c>
      <c r="E2604" s="3" t="s">
        <v>174</v>
      </c>
      <c r="F2604" s="3" t="str">
        <f>INDEX(Product_Category!$B$2:$B$45,MATCH(TRIM(E2604),Product_Category!$A$2:$A$45,0))</f>
        <v>Dairy, Poultry &amp; Honey</v>
      </c>
      <c r="G2604" s="4">
        <v>0</v>
      </c>
      <c r="H2604" s="4">
        <v>0</v>
      </c>
      <c r="I2604" s="4">
        <v>0</v>
      </c>
      <c r="J2604" s="4">
        <v>0</v>
      </c>
      <c r="K2604" s="4">
        <v>0.01</v>
      </c>
      <c r="L2604" s="4">
        <v>0</v>
      </c>
      <c r="M2604" s="4">
        <f t="shared" si="120"/>
        <v>0</v>
      </c>
      <c r="N2604" s="4">
        <f t="shared" si="121"/>
        <v>0.01</v>
      </c>
      <c r="O2604" s="4">
        <f t="shared" si="122"/>
        <v>0</v>
      </c>
      <c r="P2604" s="3" t="s">
        <v>19</v>
      </c>
    </row>
    <row r="2605" spans="1:16" x14ac:dyDescent="0.35">
      <c r="A2605" s="3" t="s">
        <v>16</v>
      </c>
      <c r="B2605" s="3" t="str">
        <f>INDEX(State_Region!$B$2:$B$26,MATCH(TRIM(A2605),State_Region!$A$2:$A$26,0))</f>
        <v>West</v>
      </c>
      <c r="C2605" s="3" t="s">
        <v>283</v>
      </c>
      <c r="D2605" s="3" t="str">
        <f>INDEX(Port_Type!$B$2:$B$227,MATCH(TRIM(C2605),Port_Type!$A$2:$A$227,0))</f>
        <v>SEZ / EPZ</v>
      </c>
      <c r="E2605" s="3" t="s">
        <v>181</v>
      </c>
      <c r="F2605" s="3" t="str">
        <f>INDEX(Product_Category!$B$2:$B$45,MATCH(TRIM(E2605),Product_Category!$A$2:$A$45,0))</f>
        <v>Nuts &amp; Oilseeds</v>
      </c>
      <c r="G2605" s="4">
        <v>0</v>
      </c>
      <c r="H2605" s="4">
        <v>0.17</v>
      </c>
      <c r="I2605" s="4">
        <v>0</v>
      </c>
      <c r="J2605" s="4">
        <v>0</v>
      </c>
      <c r="K2605" s="4">
        <v>18</v>
      </c>
      <c r="L2605" s="4">
        <v>0</v>
      </c>
      <c r="M2605" s="4">
        <f t="shared" si="120"/>
        <v>0.17</v>
      </c>
      <c r="N2605" s="4">
        <f t="shared" si="121"/>
        <v>18</v>
      </c>
      <c r="O2605" s="4">
        <f t="shared" si="122"/>
        <v>-0.17</v>
      </c>
      <c r="P2605" s="3" t="s">
        <v>19</v>
      </c>
    </row>
    <row r="2606" spans="1:16" x14ac:dyDescent="0.35">
      <c r="A2606" s="3" t="s">
        <v>16</v>
      </c>
      <c r="B2606" s="3" t="str">
        <f>INDEX(State_Region!$B$2:$B$26,MATCH(TRIM(A2606),State_Region!$A$2:$A$26,0))</f>
        <v>West</v>
      </c>
      <c r="C2606" s="3" t="s">
        <v>283</v>
      </c>
      <c r="D2606" s="3" t="str">
        <f>INDEX(Port_Type!$B$2:$B$227,MATCH(TRIM(C2606),Port_Type!$A$2:$A$227,0))</f>
        <v>SEZ / EPZ</v>
      </c>
      <c r="E2606" s="3" t="s">
        <v>39</v>
      </c>
      <c r="F2606" s="3" t="str">
        <f>INDEX(Product_Category!$B$2:$B$45,MATCH(TRIM(E2606),Product_Category!$A$2:$A$45,0))</f>
        <v>Processed Foods</v>
      </c>
      <c r="G2606" s="4">
        <v>1.1100000000000001</v>
      </c>
      <c r="H2606" s="4">
        <v>1.24</v>
      </c>
      <c r="I2606" s="4">
        <v>0</v>
      </c>
      <c r="J2606" s="4">
        <v>53.72</v>
      </c>
      <c r="K2606" s="4">
        <v>45.68</v>
      </c>
      <c r="L2606" s="4">
        <v>0</v>
      </c>
      <c r="M2606" s="4">
        <f t="shared" si="120"/>
        <v>0.12999999999999989</v>
      </c>
      <c r="N2606" s="4">
        <f t="shared" si="121"/>
        <v>-8.0399999999999991</v>
      </c>
      <c r="O2606" s="4">
        <f t="shared" si="122"/>
        <v>-1.24</v>
      </c>
      <c r="P2606" s="3" t="s">
        <v>19</v>
      </c>
    </row>
    <row r="2607" spans="1:16" x14ac:dyDescent="0.35">
      <c r="A2607" s="3" t="s">
        <v>23</v>
      </c>
      <c r="B2607" s="3" t="str">
        <f>INDEX(State_Region!$B$2:$B$26,MATCH(TRIM(A2607),State_Region!$A$2:$A$26,0))</f>
        <v>North</v>
      </c>
      <c r="C2607" s="3" t="s">
        <v>123</v>
      </c>
      <c r="D2607" s="3" t="str">
        <f>INDEX(Port_Type!$B$2:$B$227,MATCH(TRIM(C2607),Port_Type!$A$2:$A$227,0))</f>
        <v>Land Border / Rail</v>
      </c>
      <c r="E2607" s="3" t="s">
        <v>179</v>
      </c>
      <c r="F2607" s="3" t="str">
        <f>INDEX(Product_Category!$B$2:$B$45,MATCH(TRIM(E2607),Product_Category!$A$2:$A$45,0))</f>
        <v>Nuts &amp; Oilseeds</v>
      </c>
      <c r="G2607" s="4">
        <v>0.02</v>
      </c>
      <c r="H2607" s="4">
        <v>0.02</v>
      </c>
      <c r="I2607" s="4">
        <v>0</v>
      </c>
      <c r="J2607" s="4">
        <v>25</v>
      </c>
      <c r="K2607" s="4">
        <v>20</v>
      </c>
      <c r="L2607" s="4">
        <v>0</v>
      </c>
      <c r="M2607" s="4">
        <f t="shared" si="120"/>
        <v>0</v>
      </c>
      <c r="N2607" s="4">
        <f t="shared" si="121"/>
        <v>-5</v>
      </c>
      <c r="O2607" s="4">
        <f t="shared" si="122"/>
        <v>-0.02</v>
      </c>
      <c r="P2607" s="3" t="s">
        <v>19</v>
      </c>
    </row>
    <row r="2608" spans="1:16" x14ac:dyDescent="0.35">
      <c r="A2608" s="3" t="s">
        <v>23</v>
      </c>
      <c r="B2608" s="3" t="str">
        <f>INDEX(State_Region!$B$2:$B$26,MATCH(TRIM(A2608),State_Region!$A$2:$A$26,0))</f>
        <v>North</v>
      </c>
      <c r="C2608" s="3" t="s">
        <v>123</v>
      </c>
      <c r="D2608" s="3" t="str">
        <f>INDEX(Port_Type!$B$2:$B$227,MATCH(TRIM(C2608),Port_Type!$A$2:$A$227,0))</f>
        <v>Land Border / Rail</v>
      </c>
      <c r="E2608" s="3" t="s">
        <v>150</v>
      </c>
      <c r="F2608" s="3" t="str">
        <f>INDEX(Product_Category!$B$2:$B$45,MATCH(TRIM(E2608),Product_Category!$A$2:$A$45,0))</f>
        <v>Nuts &amp; Oilseeds</v>
      </c>
      <c r="G2608" s="4">
        <v>0</v>
      </c>
      <c r="H2608" s="4">
        <v>0</v>
      </c>
      <c r="I2608" s="4">
        <v>0</v>
      </c>
      <c r="J2608" s="4">
        <v>0</v>
      </c>
      <c r="K2608" s="4">
        <v>0.08</v>
      </c>
      <c r="L2608" s="4">
        <v>0</v>
      </c>
      <c r="M2608" s="4">
        <f t="shared" si="120"/>
        <v>0</v>
      </c>
      <c r="N2608" s="4">
        <f t="shared" si="121"/>
        <v>0.08</v>
      </c>
      <c r="O2608" s="4">
        <f t="shared" si="122"/>
        <v>0</v>
      </c>
      <c r="P2608" s="3" t="s">
        <v>19</v>
      </c>
    </row>
    <row r="2609" spans="1:16" x14ac:dyDescent="0.35">
      <c r="A2609" s="3" t="s">
        <v>16</v>
      </c>
      <c r="B2609" s="3" t="str">
        <f>INDEX(State_Region!$B$2:$B$26,MATCH(TRIM(A2609),State_Region!$A$2:$A$26,0))</f>
        <v>West</v>
      </c>
      <c r="C2609" s="3" t="s">
        <v>135</v>
      </c>
      <c r="D2609" s="3" t="str">
        <f>INDEX(Port_Type!$B$2:$B$227,MATCH(TRIM(C2609),Port_Type!$A$2:$A$227,0))</f>
        <v>Air Cargo</v>
      </c>
      <c r="E2609" s="3" t="s">
        <v>181</v>
      </c>
      <c r="F2609" s="3" t="str">
        <f>INDEX(Product_Category!$B$2:$B$45,MATCH(TRIM(E2609),Product_Category!$A$2:$A$45,0))</f>
        <v>Nuts &amp; Oilseeds</v>
      </c>
      <c r="G2609" s="4">
        <v>0</v>
      </c>
      <c r="H2609" s="4">
        <v>0</v>
      </c>
      <c r="I2609" s="4">
        <v>0</v>
      </c>
      <c r="J2609" s="4">
        <v>0</v>
      </c>
      <c r="K2609" s="4">
        <v>0.04</v>
      </c>
      <c r="L2609" s="4">
        <v>0</v>
      </c>
      <c r="M2609" s="4">
        <f t="shared" si="120"/>
        <v>0</v>
      </c>
      <c r="N2609" s="4">
        <f t="shared" si="121"/>
        <v>0.04</v>
      </c>
      <c r="O2609" s="4">
        <f t="shared" si="122"/>
        <v>0</v>
      </c>
      <c r="P2609" s="3" t="s">
        <v>19</v>
      </c>
    </row>
    <row r="2610" spans="1:16" x14ac:dyDescent="0.35">
      <c r="A2610" s="3" t="s">
        <v>16</v>
      </c>
      <c r="B2610" s="3" t="str">
        <f>INDEX(State_Region!$B$2:$B$26,MATCH(TRIM(A2610),State_Region!$A$2:$A$26,0))</f>
        <v>West</v>
      </c>
      <c r="C2610" s="3" t="s">
        <v>135</v>
      </c>
      <c r="D2610" s="3" t="str">
        <f>INDEX(Port_Type!$B$2:$B$227,MATCH(TRIM(C2610),Port_Type!$A$2:$A$227,0))</f>
        <v>Air Cargo</v>
      </c>
      <c r="E2610" s="3" t="s">
        <v>33</v>
      </c>
      <c r="F2610" s="3" t="str">
        <f>INDEX(Product_Category!$B$2:$B$45,MATCH(TRIM(E2610),Product_Category!$A$2:$A$45,0))</f>
        <v>Pulses</v>
      </c>
      <c r="G2610" s="4">
        <v>0</v>
      </c>
      <c r="H2610" s="4">
        <v>0.01</v>
      </c>
      <c r="I2610" s="4">
        <v>0</v>
      </c>
      <c r="J2610" s="4">
        <v>0</v>
      </c>
      <c r="K2610" s="4">
        <v>3.7</v>
      </c>
      <c r="L2610" s="4">
        <v>0</v>
      </c>
      <c r="M2610" s="4">
        <f t="shared" si="120"/>
        <v>0.01</v>
      </c>
      <c r="N2610" s="4">
        <f t="shared" si="121"/>
        <v>3.7</v>
      </c>
      <c r="O2610" s="4">
        <f t="shared" si="122"/>
        <v>-0.01</v>
      </c>
      <c r="P2610" s="3" t="s">
        <v>19</v>
      </c>
    </row>
    <row r="2611" spans="1:16" x14ac:dyDescent="0.35">
      <c r="A2611" s="3" t="s">
        <v>16</v>
      </c>
      <c r="B2611" s="3" t="str">
        <f>INDEX(State_Region!$B$2:$B$26,MATCH(TRIM(A2611),State_Region!$A$2:$A$26,0))</f>
        <v>West</v>
      </c>
      <c r="C2611" s="3" t="s">
        <v>135</v>
      </c>
      <c r="D2611" s="3" t="str">
        <f>INDEX(Port_Type!$B$2:$B$227,MATCH(TRIM(C2611),Port_Type!$A$2:$A$227,0))</f>
        <v>Air Cargo</v>
      </c>
      <c r="E2611" s="3" t="s">
        <v>128</v>
      </c>
      <c r="F2611" s="3" t="str">
        <f>INDEX(Product_Category!$B$2:$B$45,MATCH(TRIM(E2611),Product_Category!$A$2:$A$45,0))</f>
        <v>Dairy, Poultry &amp; Honey</v>
      </c>
      <c r="G2611" s="4">
        <v>0</v>
      </c>
      <c r="H2611" s="4">
        <v>0</v>
      </c>
      <c r="I2611" s="4">
        <v>0</v>
      </c>
      <c r="J2611" s="4">
        <v>0</v>
      </c>
      <c r="K2611" s="4">
        <v>0.1</v>
      </c>
      <c r="L2611" s="4">
        <v>0</v>
      </c>
      <c r="M2611" s="4">
        <f t="shared" si="120"/>
        <v>0</v>
      </c>
      <c r="N2611" s="4">
        <f t="shared" si="121"/>
        <v>0.1</v>
      </c>
      <c r="O2611" s="4">
        <f t="shared" si="122"/>
        <v>0</v>
      </c>
      <c r="P2611" s="3" t="s">
        <v>19</v>
      </c>
    </row>
    <row r="2612" spans="1:16" x14ac:dyDescent="0.35">
      <c r="A2612" s="3" t="s">
        <v>23</v>
      </c>
      <c r="B2612" s="3" t="str">
        <f>INDEX(State_Region!$B$2:$B$26,MATCH(TRIM(A2612),State_Region!$A$2:$A$26,0))</f>
        <v>North</v>
      </c>
      <c r="C2612" s="3" t="s">
        <v>123</v>
      </c>
      <c r="D2612" s="3" t="str">
        <f>INDEX(Port_Type!$B$2:$B$227,MATCH(TRIM(C2612),Port_Type!$A$2:$A$227,0))</f>
        <v>Land Border / Rail</v>
      </c>
      <c r="E2612" s="3" t="s">
        <v>81</v>
      </c>
      <c r="F2612" s="3" t="str">
        <f>INDEX(Product_Category!$B$2:$B$45,MATCH(TRIM(E2612),Product_Category!$A$2:$A$45,0))</f>
        <v>Processed Foods</v>
      </c>
      <c r="G2612" s="4">
        <v>0</v>
      </c>
      <c r="H2612" s="4">
        <v>0.04</v>
      </c>
      <c r="I2612" s="4">
        <v>0</v>
      </c>
      <c r="J2612" s="4">
        <v>5.95</v>
      </c>
      <c r="K2612" s="4">
        <v>28.81</v>
      </c>
      <c r="L2612" s="4">
        <v>0</v>
      </c>
      <c r="M2612" s="4">
        <f t="shared" si="120"/>
        <v>0.04</v>
      </c>
      <c r="N2612" s="4">
        <f t="shared" si="121"/>
        <v>22.86</v>
      </c>
      <c r="O2612" s="4">
        <f t="shared" si="122"/>
        <v>-0.04</v>
      </c>
      <c r="P2612" s="3" t="s">
        <v>19</v>
      </c>
    </row>
    <row r="2613" spans="1:16" x14ac:dyDescent="0.35">
      <c r="A2613" s="3" t="s">
        <v>16</v>
      </c>
      <c r="B2613" s="3" t="str">
        <f>INDEX(State_Region!$B$2:$B$26,MATCH(TRIM(A2613),State_Region!$A$2:$A$26,0))</f>
        <v>West</v>
      </c>
      <c r="C2613" s="3" t="s">
        <v>135</v>
      </c>
      <c r="D2613" s="3" t="str">
        <f>INDEX(Port_Type!$B$2:$B$227,MATCH(TRIM(C2613),Port_Type!$A$2:$A$227,0))</f>
        <v>Air Cargo</v>
      </c>
      <c r="E2613" s="3" t="s">
        <v>126</v>
      </c>
      <c r="F2613" s="3" t="str">
        <f>INDEX(Product_Category!$B$2:$B$45,MATCH(TRIM(E2613),Product_Category!$A$2:$A$45,0))</f>
        <v>Cereals &amp; Grains</v>
      </c>
      <c r="G2613" s="4">
        <v>0</v>
      </c>
      <c r="H2613" s="4">
        <v>0</v>
      </c>
      <c r="I2613" s="4">
        <v>0</v>
      </c>
      <c r="J2613" s="4">
        <v>0.65</v>
      </c>
      <c r="K2613" s="4">
        <v>0.03</v>
      </c>
      <c r="L2613" s="4">
        <v>0</v>
      </c>
      <c r="M2613" s="4">
        <f t="shared" si="120"/>
        <v>0</v>
      </c>
      <c r="N2613" s="4">
        <f t="shared" si="121"/>
        <v>-0.62</v>
      </c>
      <c r="O2613" s="4">
        <f t="shared" si="122"/>
        <v>0</v>
      </c>
      <c r="P2613" s="3" t="s">
        <v>19</v>
      </c>
    </row>
    <row r="2614" spans="1:16" x14ac:dyDescent="0.35">
      <c r="A2614" s="3" t="s">
        <v>23</v>
      </c>
      <c r="B2614" s="3" t="str">
        <f>INDEX(State_Region!$B$2:$B$26,MATCH(TRIM(A2614),State_Region!$A$2:$A$26,0))</f>
        <v>North</v>
      </c>
      <c r="C2614" s="3" t="s">
        <v>123</v>
      </c>
      <c r="D2614" s="3" t="str">
        <f>INDEX(Port_Type!$B$2:$B$227,MATCH(TRIM(C2614),Port_Type!$A$2:$A$227,0))</f>
        <v>Land Border / Rail</v>
      </c>
      <c r="E2614" s="3" t="s">
        <v>76</v>
      </c>
      <c r="F2614" s="3" t="str">
        <f>INDEX(Product_Category!$B$2:$B$45,MATCH(TRIM(E2614),Product_Category!$A$2:$A$45,0))</f>
        <v>Fresh Fruits &amp; Vegetables</v>
      </c>
      <c r="G2614" s="4">
        <v>0.17</v>
      </c>
      <c r="H2614" s="4">
        <v>0.45</v>
      </c>
      <c r="I2614" s="4">
        <v>0</v>
      </c>
      <c r="J2614" s="4">
        <v>477.8</v>
      </c>
      <c r="K2614" s="4">
        <v>1447.85</v>
      </c>
      <c r="L2614" s="4">
        <v>0</v>
      </c>
      <c r="M2614" s="4">
        <f t="shared" si="120"/>
        <v>0.28000000000000003</v>
      </c>
      <c r="N2614" s="4">
        <f t="shared" si="121"/>
        <v>970.05</v>
      </c>
      <c r="O2614" s="4">
        <f t="shared" si="122"/>
        <v>-0.45</v>
      </c>
      <c r="P2614" s="3" t="s">
        <v>19</v>
      </c>
    </row>
    <row r="2615" spans="1:16" x14ac:dyDescent="0.35">
      <c r="A2615" s="3" t="s">
        <v>16</v>
      </c>
      <c r="B2615" s="3" t="str">
        <f>INDEX(State_Region!$B$2:$B$26,MATCH(TRIM(A2615),State_Region!$A$2:$A$26,0))</f>
        <v>West</v>
      </c>
      <c r="C2615" s="3" t="s">
        <v>135</v>
      </c>
      <c r="D2615" s="3" t="str">
        <f>INDEX(Port_Type!$B$2:$B$227,MATCH(TRIM(C2615),Port_Type!$A$2:$A$227,0))</f>
        <v>Air Cargo</v>
      </c>
      <c r="E2615" s="3" t="s">
        <v>51</v>
      </c>
      <c r="F2615" s="3" t="str">
        <f>INDEX(Product_Category!$B$2:$B$45,MATCH(TRIM(E2615),Product_Category!$A$2:$A$45,0))</f>
        <v>Nuts &amp; Oilseeds</v>
      </c>
      <c r="G2615" s="4">
        <v>0</v>
      </c>
      <c r="H2615" s="4">
        <v>0.01</v>
      </c>
      <c r="I2615" s="4">
        <v>0</v>
      </c>
      <c r="J2615" s="4">
        <v>0.3</v>
      </c>
      <c r="K2615" s="4">
        <v>1.5</v>
      </c>
      <c r="L2615" s="4">
        <v>0</v>
      </c>
      <c r="M2615" s="4">
        <f t="shared" si="120"/>
        <v>0.01</v>
      </c>
      <c r="N2615" s="4">
        <f t="shared" si="121"/>
        <v>1.2</v>
      </c>
      <c r="O2615" s="4">
        <f t="shared" si="122"/>
        <v>-0.01</v>
      </c>
      <c r="P2615" s="3" t="s">
        <v>19</v>
      </c>
    </row>
    <row r="2616" spans="1:16" x14ac:dyDescent="0.35">
      <c r="A2616" s="3" t="s">
        <v>16</v>
      </c>
      <c r="B2616" s="3" t="str">
        <f>INDEX(State_Region!$B$2:$B$26,MATCH(TRIM(A2616),State_Region!$A$2:$A$26,0))</f>
        <v>West</v>
      </c>
      <c r="C2616" s="3" t="s">
        <v>135</v>
      </c>
      <c r="D2616" s="3" t="str">
        <f>INDEX(Port_Type!$B$2:$B$227,MATCH(TRIM(C2616),Port_Type!$A$2:$A$227,0))</f>
        <v>Air Cargo</v>
      </c>
      <c r="E2616" s="3" t="s">
        <v>142</v>
      </c>
      <c r="F2616" s="3" t="str">
        <f>INDEX(Product_Category!$B$2:$B$45,MATCH(TRIM(E2616),Product_Category!$A$2:$A$45,0))</f>
        <v>Nuts &amp; Oilseeds</v>
      </c>
      <c r="G2616" s="4">
        <v>0</v>
      </c>
      <c r="H2616" s="4">
        <v>0</v>
      </c>
      <c r="I2616" s="4">
        <v>0</v>
      </c>
      <c r="J2616" s="4">
        <v>0.06</v>
      </c>
      <c r="K2616" s="4">
        <v>0.02</v>
      </c>
      <c r="L2616" s="4">
        <v>0</v>
      </c>
      <c r="M2616" s="4">
        <f t="shared" si="120"/>
        <v>0</v>
      </c>
      <c r="N2616" s="4">
        <f t="shared" si="121"/>
        <v>-3.9999999999999994E-2</v>
      </c>
      <c r="O2616" s="4">
        <f t="shared" si="122"/>
        <v>0</v>
      </c>
      <c r="P2616" s="3" t="s">
        <v>19</v>
      </c>
    </row>
    <row r="2617" spans="1:16" x14ac:dyDescent="0.35">
      <c r="A2617" s="3" t="s">
        <v>16</v>
      </c>
      <c r="B2617" s="3" t="str">
        <f>INDEX(State_Region!$B$2:$B$26,MATCH(TRIM(A2617),State_Region!$A$2:$A$26,0))</f>
        <v>West</v>
      </c>
      <c r="C2617" s="3" t="s">
        <v>135</v>
      </c>
      <c r="D2617" s="3" t="str">
        <f>INDEX(Port_Type!$B$2:$B$227,MATCH(TRIM(C2617),Port_Type!$A$2:$A$227,0))</f>
        <v>Air Cargo</v>
      </c>
      <c r="E2617" s="3" t="s">
        <v>150</v>
      </c>
      <c r="F2617" s="3" t="str">
        <f>INDEX(Product_Category!$B$2:$B$45,MATCH(TRIM(E2617),Product_Category!$A$2:$A$45,0))</f>
        <v>Nuts &amp; Oilseeds</v>
      </c>
      <c r="G2617" s="4">
        <v>0</v>
      </c>
      <c r="H2617" s="4">
        <v>0</v>
      </c>
      <c r="I2617" s="4">
        <v>0</v>
      </c>
      <c r="J2617" s="4">
        <v>0.14000000000000001</v>
      </c>
      <c r="K2617" s="4">
        <v>0.2</v>
      </c>
      <c r="L2617" s="4">
        <v>0</v>
      </c>
      <c r="M2617" s="4">
        <f t="shared" si="120"/>
        <v>0</v>
      </c>
      <c r="N2617" s="4">
        <f t="shared" si="121"/>
        <v>0.06</v>
      </c>
      <c r="O2617" s="4">
        <f t="shared" si="122"/>
        <v>0</v>
      </c>
      <c r="P2617" s="3" t="s">
        <v>19</v>
      </c>
    </row>
    <row r="2618" spans="1:16" x14ac:dyDescent="0.35">
      <c r="A2618" s="3" t="s">
        <v>16</v>
      </c>
      <c r="B2618" s="3" t="str">
        <f>INDEX(State_Region!$B$2:$B$26,MATCH(TRIM(A2618),State_Region!$A$2:$A$26,0))</f>
        <v>West</v>
      </c>
      <c r="C2618" s="3" t="s">
        <v>135</v>
      </c>
      <c r="D2618" s="3" t="str">
        <f>INDEX(Port_Type!$B$2:$B$227,MATCH(TRIM(C2618),Port_Type!$A$2:$A$227,0))</f>
        <v>Air Cargo</v>
      </c>
      <c r="E2618" s="3" t="s">
        <v>84</v>
      </c>
      <c r="F2618" s="3" t="str">
        <f>INDEX(Product_Category!$B$2:$B$45,MATCH(TRIM(E2618),Product_Category!$A$2:$A$45,0))</f>
        <v>Nuts &amp; Oilseeds</v>
      </c>
      <c r="G2618" s="4">
        <v>0</v>
      </c>
      <c r="H2618" s="4">
        <v>0.01</v>
      </c>
      <c r="I2618" s="4">
        <v>0</v>
      </c>
      <c r="J2618" s="4">
        <v>0</v>
      </c>
      <c r="K2618" s="4">
        <v>1.1000000000000001</v>
      </c>
      <c r="L2618" s="4">
        <v>0</v>
      </c>
      <c r="M2618" s="4">
        <f t="shared" si="120"/>
        <v>0.01</v>
      </c>
      <c r="N2618" s="4">
        <f t="shared" si="121"/>
        <v>1.1000000000000001</v>
      </c>
      <c r="O2618" s="4">
        <f t="shared" si="122"/>
        <v>-0.01</v>
      </c>
      <c r="P2618" s="3" t="s">
        <v>19</v>
      </c>
    </row>
    <row r="2619" spans="1:16" x14ac:dyDescent="0.35">
      <c r="A2619" s="3" t="s">
        <v>23</v>
      </c>
      <c r="B2619" s="3" t="str">
        <f>INDEX(State_Region!$B$2:$B$26,MATCH(TRIM(A2619),State_Region!$A$2:$A$26,0))</f>
        <v>North</v>
      </c>
      <c r="C2619" s="3" t="s">
        <v>123</v>
      </c>
      <c r="D2619" s="3" t="str">
        <f>INDEX(Port_Type!$B$2:$B$227,MATCH(TRIM(C2619),Port_Type!$A$2:$A$227,0))</f>
        <v>Land Border / Rail</v>
      </c>
      <c r="E2619" s="3" t="s">
        <v>118</v>
      </c>
      <c r="F2619" s="3" t="str">
        <f>INDEX(Product_Category!$B$2:$B$45,MATCH(TRIM(E2619),Product_Category!$A$2:$A$45,0))</f>
        <v>Dairy, Poultry &amp; Honey</v>
      </c>
      <c r="G2619" s="4">
        <v>0.18</v>
      </c>
      <c r="H2619" s="4">
        <v>0</v>
      </c>
      <c r="I2619" s="4">
        <v>0</v>
      </c>
      <c r="J2619" s="4">
        <v>54.72</v>
      </c>
      <c r="K2619" s="4">
        <v>0</v>
      </c>
      <c r="L2619" s="4">
        <v>0</v>
      </c>
      <c r="M2619" s="4">
        <f t="shared" si="120"/>
        <v>-0.18</v>
      </c>
      <c r="N2619" s="4">
        <f t="shared" si="121"/>
        <v>-54.72</v>
      </c>
      <c r="O2619" s="4">
        <f t="shared" si="122"/>
        <v>0</v>
      </c>
      <c r="P2619" s="3" t="s">
        <v>19</v>
      </c>
    </row>
    <row r="2620" spans="1:16" x14ac:dyDescent="0.35">
      <c r="A2620" s="3" t="s">
        <v>16</v>
      </c>
      <c r="B2620" s="3" t="str">
        <f>INDEX(State_Region!$B$2:$B$26,MATCH(TRIM(A2620),State_Region!$A$2:$A$26,0))</f>
        <v>West</v>
      </c>
      <c r="C2620" s="3" t="s">
        <v>135</v>
      </c>
      <c r="D2620" s="3" t="str">
        <f>INDEX(Port_Type!$B$2:$B$227,MATCH(TRIM(C2620),Port_Type!$A$2:$A$227,0))</f>
        <v>Air Cargo</v>
      </c>
      <c r="E2620" s="3" t="s">
        <v>22</v>
      </c>
      <c r="F2620" s="3" t="str">
        <f>INDEX(Product_Category!$B$2:$B$45,MATCH(TRIM(E2620),Product_Category!$A$2:$A$45,0))</f>
        <v>Meat &amp; Animal Products</v>
      </c>
      <c r="G2620" s="4">
        <v>0.02</v>
      </c>
      <c r="H2620" s="4">
        <v>0</v>
      </c>
      <c r="I2620" s="4">
        <v>0</v>
      </c>
      <c r="J2620" s="4">
        <v>0.5</v>
      </c>
      <c r="K2620" s="4">
        <v>0</v>
      </c>
      <c r="L2620" s="4">
        <v>0</v>
      </c>
      <c r="M2620" s="4">
        <f t="shared" si="120"/>
        <v>-0.02</v>
      </c>
      <c r="N2620" s="4">
        <f t="shared" si="121"/>
        <v>-0.5</v>
      </c>
      <c r="O2620" s="4">
        <f t="shared" si="122"/>
        <v>0</v>
      </c>
      <c r="P2620" s="3" t="s">
        <v>19</v>
      </c>
    </row>
    <row r="2621" spans="1:16" x14ac:dyDescent="0.35">
      <c r="A2621" s="3" t="s">
        <v>16</v>
      </c>
      <c r="B2621" s="3" t="str">
        <f>INDEX(State_Region!$B$2:$B$26,MATCH(TRIM(A2621),State_Region!$A$2:$A$26,0))</f>
        <v>West</v>
      </c>
      <c r="C2621" s="3" t="s">
        <v>135</v>
      </c>
      <c r="D2621" s="3" t="str">
        <f>INDEX(Port_Type!$B$2:$B$227,MATCH(TRIM(C2621),Port_Type!$A$2:$A$227,0))</f>
        <v>Air Cargo</v>
      </c>
      <c r="E2621" s="3" t="s">
        <v>18</v>
      </c>
      <c r="F2621" s="3" t="str">
        <f>INDEX(Product_Category!$B$2:$B$45,MATCH(TRIM(E2621),Product_Category!$A$2:$A$45,0))</f>
        <v>Cereals &amp; Grains</v>
      </c>
      <c r="G2621" s="4">
        <v>0</v>
      </c>
      <c r="H2621" s="4">
        <v>0</v>
      </c>
      <c r="I2621" s="4">
        <v>0</v>
      </c>
      <c r="J2621" s="4">
        <v>0</v>
      </c>
      <c r="K2621" s="4">
        <v>0.34</v>
      </c>
      <c r="L2621" s="4">
        <v>0</v>
      </c>
      <c r="M2621" s="4">
        <f t="shared" si="120"/>
        <v>0</v>
      </c>
      <c r="N2621" s="4">
        <f t="shared" si="121"/>
        <v>0.34</v>
      </c>
      <c r="O2621" s="4">
        <f t="shared" si="122"/>
        <v>0</v>
      </c>
      <c r="P2621" s="3" t="s">
        <v>19</v>
      </c>
    </row>
    <row r="2622" spans="1:16" x14ac:dyDescent="0.35">
      <c r="A2622" s="3" t="s">
        <v>16</v>
      </c>
      <c r="B2622" s="3" t="str">
        <f>INDEX(State_Region!$B$2:$B$26,MATCH(TRIM(A2622),State_Region!$A$2:$A$26,0))</f>
        <v>West</v>
      </c>
      <c r="C2622" s="3" t="s">
        <v>135</v>
      </c>
      <c r="D2622" s="3" t="str">
        <f>INDEX(Port_Type!$B$2:$B$227,MATCH(TRIM(C2622),Port_Type!$A$2:$A$227,0))</f>
        <v>Air Cargo</v>
      </c>
      <c r="E2622" s="3" t="s">
        <v>60</v>
      </c>
      <c r="F2622" s="3" t="str">
        <f>INDEX(Product_Category!$B$2:$B$45,MATCH(TRIM(E2622),Product_Category!$A$2:$A$45,0))</f>
        <v>Processed Foods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  <c r="L2622" s="4">
        <v>0</v>
      </c>
      <c r="M2622" s="4">
        <f t="shared" si="120"/>
        <v>0</v>
      </c>
      <c r="N2622" s="4">
        <f t="shared" si="121"/>
        <v>0</v>
      </c>
      <c r="O2622" s="4">
        <f t="shared" si="122"/>
        <v>0</v>
      </c>
      <c r="P2622" s="3" t="s">
        <v>19</v>
      </c>
    </row>
    <row r="2623" spans="1:16" x14ac:dyDescent="0.35">
      <c r="A2623" s="3" t="s">
        <v>166</v>
      </c>
      <c r="B2623" s="3" t="str">
        <f>INDEX(State_Region!$B$2:$B$26,MATCH(TRIM(A2623),State_Region!$A$2:$A$26,0))</f>
        <v>West</v>
      </c>
      <c r="C2623" s="3" t="s">
        <v>167</v>
      </c>
      <c r="D2623" s="3" t="str">
        <f>INDEX(Port_Type!$B$2:$B$227,MATCH(TRIM(C2623),Port_Type!$A$2:$A$227,0))</f>
        <v>Inland ICD / CFS</v>
      </c>
      <c r="E2623" s="3" t="s">
        <v>150</v>
      </c>
      <c r="F2623" s="3" t="str">
        <f>INDEX(Product_Category!$B$2:$B$45,MATCH(TRIM(E2623),Product_Category!$A$2:$A$45,0))</f>
        <v>Nuts &amp; Oilseeds</v>
      </c>
      <c r="G2623" s="4">
        <v>0.01</v>
      </c>
      <c r="H2623" s="4">
        <v>0.03</v>
      </c>
      <c r="I2623" s="4">
        <v>0</v>
      </c>
      <c r="J2623" s="4">
        <v>1.2</v>
      </c>
      <c r="K2623" s="4">
        <v>2.79</v>
      </c>
      <c r="L2623" s="4">
        <v>0</v>
      </c>
      <c r="M2623" s="4">
        <f t="shared" si="120"/>
        <v>1.9999999999999997E-2</v>
      </c>
      <c r="N2623" s="4">
        <f t="shared" si="121"/>
        <v>1.59</v>
      </c>
      <c r="O2623" s="4">
        <f t="shared" si="122"/>
        <v>-0.03</v>
      </c>
      <c r="P2623" s="3" t="s">
        <v>19</v>
      </c>
    </row>
    <row r="2624" spans="1:16" x14ac:dyDescent="0.35">
      <c r="A2624" s="3" t="s">
        <v>166</v>
      </c>
      <c r="B2624" s="3" t="str">
        <f>INDEX(State_Region!$B$2:$B$26,MATCH(TRIM(A2624),State_Region!$A$2:$A$26,0))</f>
        <v>West</v>
      </c>
      <c r="C2624" s="3" t="s">
        <v>200</v>
      </c>
      <c r="D2624" s="3" t="str">
        <f>INDEX(Port_Type!$B$2:$B$227,MATCH(TRIM(C2624),Port_Type!$A$2:$A$227,0))</f>
        <v>Air Cargo</v>
      </c>
      <c r="E2624" s="3" t="s">
        <v>33</v>
      </c>
      <c r="F2624" s="3" t="str">
        <f>INDEX(Product_Category!$B$2:$B$45,MATCH(TRIM(E2624),Product_Category!$A$2:$A$45,0))</f>
        <v>Pulses</v>
      </c>
      <c r="G2624" s="4">
        <v>0</v>
      </c>
      <c r="H2624" s="4">
        <v>0</v>
      </c>
      <c r="I2624" s="4">
        <v>0</v>
      </c>
      <c r="J2624" s="4">
        <v>0</v>
      </c>
      <c r="K2624" s="4">
        <v>0.17</v>
      </c>
      <c r="L2624" s="4">
        <v>0</v>
      </c>
      <c r="M2624" s="4">
        <f t="shared" si="120"/>
        <v>0</v>
      </c>
      <c r="N2624" s="4">
        <f t="shared" si="121"/>
        <v>0.17</v>
      </c>
      <c r="O2624" s="4">
        <f t="shared" si="122"/>
        <v>0</v>
      </c>
      <c r="P2624" s="3" t="s">
        <v>19</v>
      </c>
    </row>
    <row r="2625" spans="1:16" x14ac:dyDescent="0.35">
      <c r="A2625" s="3" t="s">
        <v>166</v>
      </c>
      <c r="B2625" s="3" t="str">
        <f>INDEX(State_Region!$B$2:$B$26,MATCH(TRIM(A2625),State_Region!$A$2:$A$26,0))</f>
        <v>West</v>
      </c>
      <c r="C2625" s="3" t="s">
        <v>200</v>
      </c>
      <c r="D2625" s="3" t="str">
        <f>INDEX(Port_Type!$B$2:$B$227,MATCH(TRIM(C2625),Port_Type!$A$2:$A$227,0))</f>
        <v>Air Cargo</v>
      </c>
      <c r="E2625" s="3" t="s">
        <v>54</v>
      </c>
      <c r="F2625" s="3" t="str">
        <f>INDEX(Product_Category!$B$2:$B$45,MATCH(TRIM(E2625),Product_Category!$A$2:$A$45,0))</f>
        <v>Processed Foods</v>
      </c>
      <c r="G2625" s="4">
        <v>0</v>
      </c>
      <c r="H2625" s="4">
        <v>0</v>
      </c>
      <c r="I2625" s="4">
        <v>0</v>
      </c>
      <c r="J2625" s="4">
        <v>0.02</v>
      </c>
      <c r="K2625" s="4">
        <v>0.65</v>
      </c>
      <c r="L2625" s="4">
        <v>0</v>
      </c>
      <c r="M2625" s="4">
        <f t="shared" si="120"/>
        <v>0</v>
      </c>
      <c r="N2625" s="4">
        <f t="shared" si="121"/>
        <v>0.63</v>
      </c>
      <c r="O2625" s="4">
        <f t="shared" si="122"/>
        <v>0</v>
      </c>
      <c r="P2625" s="3" t="s">
        <v>19</v>
      </c>
    </row>
    <row r="2626" spans="1:16" x14ac:dyDescent="0.35">
      <c r="A2626" s="3" t="s">
        <v>166</v>
      </c>
      <c r="B2626" s="3" t="str">
        <f>INDEX(State_Region!$B$2:$B$26,MATCH(TRIM(A2626),State_Region!$A$2:$A$26,0))</f>
        <v>West</v>
      </c>
      <c r="C2626" s="3" t="s">
        <v>200</v>
      </c>
      <c r="D2626" s="3" t="str">
        <f>INDEX(Port_Type!$B$2:$B$227,MATCH(TRIM(C2626),Port_Type!$A$2:$A$227,0))</f>
        <v>Air Cargo</v>
      </c>
      <c r="E2626" s="3" t="s">
        <v>151</v>
      </c>
      <c r="F2626" s="3" t="str">
        <f>INDEX(Product_Category!$B$2:$B$45,MATCH(TRIM(E2626),Product_Category!$A$2:$A$45,0))</f>
        <v>Processed Foods</v>
      </c>
      <c r="G2626" s="4">
        <v>0</v>
      </c>
      <c r="H2626" s="4">
        <v>0</v>
      </c>
      <c r="I2626" s="4">
        <v>0</v>
      </c>
      <c r="J2626" s="4">
        <v>0.01</v>
      </c>
      <c r="K2626" s="4">
        <v>0</v>
      </c>
      <c r="L2626" s="4">
        <v>0</v>
      </c>
      <c r="M2626" s="4">
        <f t="shared" ref="M2626:M2689" si="123">H2626-G2626</f>
        <v>0</v>
      </c>
      <c r="N2626" s="4">
        <f t="shared" ref="N2626:N2689" si="124">K2626-J2626</f>
        <v>-0.01</v>
      </c>
      <c r="O2626" s="4">
        <f t="shared" ref="O2626:O2689" si="125">I2626-H2626</f>
        <v>0</v>
      </c>
      <c r="P2626" s="3" t="s">
        <v>19</v>
      </c>
    </row>
    <row r="2627" spans="1:16" x14ac:dyDescent="0.35">
      <c r="A2627" s="3" t="s">
        <v>166</v>
      </c>
      <c r="B2627" s="3" t="str">
        <f>INDEX(State_Region!$B$2:$B$26,MATCH(TRIM(A2627),State_Region!$A$2:$A$26,0))</f>
        <v>West</v>
      </c>
      <c r="C2627" s="3" t="s">
        <v>200</v>
      </c>
      <c r="D2627" s="3" t="str">
        <f>INDEX(Port_Type!$B$2:$B$227,MATCH(TRIM(C2627),Port_Type!$A$2:$A$227,0))</f>
        <v>Air Cargo</v>
      </c>
      <c r="E2627" s="3" t="s">
        <v>53</v>
      </c>
      <c r="F2627" s="3" t="str">
        <f>INDEX(Product_Category!$B$2:$B$45,MATCH(TRIM(E2627),Product_Category!$A$2:$A$45,0))</f>
        <v>Processed Foods</v>
      </c>
      <c r="G2627" s="4">
        <v>0</v>
      </c>
      <c r="H2627" s="4">
        <v>0</v>
      </c>
      <c r="I2627" s="4">
        <v>0</v>
      </c>
      <c r="J2627" s="4">
        <v>0</v>
      </c>
      <c r="K2627" s="4">
        <v>0.13</v>
      </c>
      <c r="L2627" s="4">
        <v>0</v>
      </c>
      <c r="M2627" s="4">
        <f t="shared" si="123"/>
        <v>0</v>
      </c>
      <c r="N2627" s="4">
        <f t="shared" si="124"/>
        <v>0.13</v>
      </c>
      <c r="O2627" s="4">
        <f t="shared" si="125"/>
        <v>0</v>
      </c>
      <c r="P2627" s="3" t="s">
        <v>19</v>
      </c>
    </row>
    <row r="2628" spans="1:16" x14ac:dyDescent="0.35">
      <c r="A2628" s="3" t="s">
        <v>23</v>
      </c>
      <c r="B2628" s="3" t="str">
        <f>INDEX(State_Region!$B$2:$B$26,MATCH(TRIM(A2628),State_Region!$A$2:$A$26,0))</f>
        <v>North</v>
      </c>
      <c r="C2628" s="3" t="s">
        <v>228</v>
      </c>
      <c r="D2628" s="3" t="str">
        <f>INDEX(Port_Type!$B$2:$B$227,MATCH(TRIM(C2628),Port_Type!$A$2:$A$227,0))</f>
        <v>SEZ / EPZ</v>
      </c>
      <c r="E2628" s="3" t="s">
        <v>144</v>
      </c>
      <c r="F2628" s="3" t="str">
        <f>INDEX(Product_Category!$B$2:$B$45,MATCH(TRIM(E2628),Product_Category!$A$2:$A$45,0))</f>
        <v>Cereals &amp; Grains</v>
      </c>
      <c r="G2628" s="4">
        <v>0</v>
      </c>
      <c r="H2628" s="4">
        <v>0</v>
      </c>
      <c r="I2628" s="4">
        <v>0</v>
      </c>
      <c r="J2628" s="4">
        <v>0</v>
      </c>
      <c r="K2628" s="4">
        <v>0.03</v>
      </c>
      <c r="L2628" s="4">
        <v>0.01</v>
      </c>
      <c r="M2628" s="4">
        <f t="shared" si="123"/>
        <v>0</v>
      </c>
      <c r="N2628" s="4">
        <f t="shared" si="124"/>
        <v>0.03</v>
      </c>
      <c r="O2628" s="4">
        <f t="shared" si="125"/>
        <v>0</v>
      </c>
      <c r="P2628" s="3" t="s">
        <v>19</v>
      </c>
    </row>
    <row r="2629" spans="1:16" x14ac:dyDescent="0.35">
      <c r="A2629" s="3" t="s">
        <v>166</v>
      </c>
      <c r="B2629" s="3" t="str">
        <f>INDEX(State_Region!$B$2:$B$26,MATCH(TRIM(A2629),State_Region!$A$2:$A$26,0))</f>
        <v>West</v>
      </c>
      <c r="C2629" s="3" t="s">
        <v>248</v>
      </c>
      <c r="D2629" s="3" t="str">
        <f>INDEX(Port_Type!$B$2:$B$227,MATCH(TRIM(C2629),Port_Type!$A$2:$A$227,0))</f>
        <v>Air Cargo</v>
      </c>
      <c r="E2629" s="3" t="s">
        <v>33</v>
      </c>
      <c r="F2629" s="3" t="str">
        <f>INDEX(Product_Category!$B$2:$B$45,MATCH(TRIM(E2629),Product_Category!$A$2:$A$45,0))</f>
        <v>Pulses</v>
      </c>
      <c r="G2629" s="4">
        <v>0</v>
      </c>
      <c r="H2629" s="4">
        <v>0</v>
      </c>
      <c r="I2629" s="4">
        <v>0</v>
      </c>
      <c r="J2629" s="4">
        <v>0.28999999999999998</v>
      </c>
      <c r="K2629" s="4">
        <v>0.05</v>
      </c>
      <c r="L2629" s="4">
        <v>0</v>
      </c>
      <c r="M2629" s="4">
        <f t="shared" si="123"/>
        <v>0</v>
      </c>
      <c r="N2629" s="4">
        <f t="shared" si="124"/>
        <v>-0.24</v>
      </c>
      <c r="O2629" s="4">
        <f t="shared" si="125"/>
        <v>0</v>
      </c>
      <c r="P2629" s="3" t="s">
        <v>19</v>
      </c>
    </row>
    <row r="2630" spans="1:16" x14ac:dyDescent="0.35">
      <c r="A2630" s="3" t="s">
        <v>23</v>
      </c>
      <c r="B2630" s="3" t="str">
        <f>INDEX(State_Region!$B$2:$B$26,MATCH(TRIM(A2630),State_Region!$A$2:$A$26,0))</f>
        <v>North</v>
      </c>
      <c r="C2630" s="3" t="s">
        <v>228</v>
      </c>
      <c r="D2630" s="3" t="str">
        <f>INDEX(Port_Type!$B$2:$B$227,MATCH(TRIM(C2630),Port_Type!$A$2:$A$227,0))</f>
        <v>SEZ / EPZ</v>
      </c>
      <c r="E2630" s="3" t="s">
        <v>170</v>
      </c>
      <c r="F2630" s="3" t="str">
        <f>INDEX(Product_Category!$B$2:$B$45,MATCH(TRIM(E2630),Product_Category!$A$2:$A$45,0))</f>
        <v>Others</v>
      </c>
      <c r="G2630" s="4">
        <v>0.05</v>
      </c>
      <c r="H2630" s="4">
        <v>0</v>
      </c>
      <c r="I2630" s="4">
        <v>0</v>
      </c>
      <c r="J2630" s="4">
        <v>56</v>
      </c>
      <c r="K2630" s="4">
        <v>0</v>
      </c>
      <c r="L2630" s="4">
        <v>0</v>
      </c>
      <c r="M2630" s="4">
        <f t="shared" si="123"/>
        <v>-0.05</v>
      </c>
      <c r="N2630" s="4">
        <f t="shared" si="124"/>
        <v>-56</v>
      </c>
      <c r="O2630" s="4">
        <f t="shared" si="125"/>
        <v>0</v>
      </c>
      <c r="P2630" s="3" t="s">
        <v>19</v>
      </c>
    </row>
    <row r="2631" spans="1:16" x14ac:dyDescent="0.35">
      <c r="A2631" s="3" t="s">
        <v>23</v>
      </c>
      <c r="B2631" s="3" t="str">
        <f>INDEX(State_Region!$B$2:$B$26,MATCH(TRIM(A2631),State_Region!$A$2:$A$26,0))</f>
        <v>North</v>
      </c>
      <c r="C2631" s="3" t="s">
        <v>228</v>
      </c>
      <c r="D2631" s="3" t="str">
        <f>INDEX(Port_Type!$B$2:$B$227,MATCH(TRIM(C2631),Port_Type!$A$2:$A$227,0))</f>
        <v>SEZ / EPZ</v>
      </c>
      <c r="E2631" s="3" t="s">
        <v>181</v>
      </c>
      <c r="F2631" s="3" t="str">
        <f>INDEX(Product_Category!$B$2:$B$45,MATCH(TRIM(E2631),Product_Category!$A$2:$A$45,0))</f>
        <v>Nuts &amp; Oilseeds</v>
      </c>
      <c r="G2631" s="4">
        <v>0</v>
      </c>
      <c r="H2631" s="4">
        <v>0.65</v>
      </c>
      <c r="I2631" s="4">
        <v>0</v>
      </c>
      <c r="J2631" s="4">
        <v>0</v>
      </c>
      <c r="K2631" s="4">
        <v>83.6</v>
      </c>
      <c r="L2631" s="4">
        <v>0</v>
      </c>
      <c r="M2631" s="4">
        <f t="shared" si="123"/>
        <v>0.65</v>
      </c>
      <c r="N2631" s="4">
        <f t="shared" si="124"/>
        <v>83.6</v>
      </c>
      <c r="O2631" s="4">
        <f t="shared" si="125"/>
        <v>-0.65</v>
      </c>
      <c r="P2631" s="3" t="s">
        <v>19</v>
      </c>
    </row>
    <row r="2632" spans="1:16" x14ac:dyDescent="0.35">
      <c r="A2632" s="3" t="s">
        <v>23</v>
      </c>
      <c r="B2632" s="3" t="str">
        <f>INDEX(State_Region!$B$2:$B$26,MATCH(TRIM(A2632),State_Region!$A$2:$A$26,0))</f>
        <v>North</v>
      </c>
      <c r="C2632" s="3" t="s">
        <v>185</v>
      </c>
      <c r="D2632" s="3" t="str">
        <f>INDEX(Port_Type!$B$2:$B$227,MATCH(TRIM(C2632),Port_Type!$A$2:$A$227,0))</f>
        <v>Land Border / Rail</v>
      </c>
      <c r="E2632" s="3" t="s">
        <v>59</v>
      </c>
      <c r="F2632" s="3" t="str">
        <f>INDEX(Product_Category!$B$2:$B$45,MATCH(TRIM(E2632),Product_Category!$A$2:$A$45,0))</f>
        <v>Processed Foods</v>
      </c>
      <c r="G2632" s="4">
        <v>0</v>
      </c>
      <c r="H2632" s="4">
        <v>0</v>
      </c>
      <c r="I2632" s="4">
        <v>0</v>
      </c>
      <c r="J2632" s="4">
        <v>0.2</v>
      </c>
      <c r="K2632" s="4">
        <v>0</v>
      </c>
      <c r="L2632" s="4">
        <v>0</v>
      </c>
      <c r="M2632" s="4">
        <f t="shared" si="123"/>
        <v>0</v>
      </c>
      <c r="N2632" s="4">
        <f t="shared" si="124"/>
        <v>-0.2</v>
      </c>
      <c r="O2632" s="4">
        <f t="shared" si="125"/>
        <v>0</v>
      </c>
      <c r="P2632" s="3" t="s">
        <v>19</v>
      </c>
    </row>
    <row r="2633" spans="1:16" x14ac:dyDescent="0.35">
      <c r="A2633" s="3" t="s">
        <v>166</v>
      </c>
      <c r="B2633" s="3" t="str">
        <f>INDEX(State_Region!$B$2:$B$26,MATCH(TRIM(A2633),State_Region!$A$2:$A$26,0))</f>
        <v>West</v>
      </c>
      <c r="C2633" s="3" t="s">
        <v>248</v>
      </c>
      <c r="D2633" s="3" t="str">
        <f>INDEX(Port_Type!$B$2:$B$227,MATCH(TRIM(C2633),Port_Type!$A$2:$A$227,0))</f>
        <v>Air Cargo</v>
      </c>
      <c r="E2633" s="3" t="s">
        <v>42</v>
      </c>
      <c r="F2633" s="3" t="str">
        <f>INDEX(Product_Category!$B$2:$B$45,MATCH(TRIM(E2633),Product_Category!$A$2:$A$45,0))</f>
        <v>Processed Foods</v>
      </c>
      <c r="G2633" s="4">
        <v>0</v>
      </c>
      <c r="H2633" s="4">
        <v>0</v>
      </c>
      <c r="I2633" s="4">
        <v>0</v>
      </c>
      <c r="J2633" s="4">
        <v>0.66</v>
      </c>
      <c r="K2633" s="4">
        <v>1.88</v>
      </c>
      <c r="L2633" s="4">
        <v>0</v>
      </c>
      <c r="M2633" s="4">
        <f t="shared" si="123"/>
        <v>0</v>
      </c>
      <c r="N2633" s="4">
        <f t="shared" si="124"/>
        <v>1.2199999999999998</v>
      </c>
      <c r="O2633" s="4">
        <f t="shared" si="125"/>
        <v>0</v>
      </c>
      <c r="P2633" s="3" t="s">
        <v>19</v>
      </c>
    </row>
    <row r="2634" spans="1:16" x14ac:dyDescent="0.35">
      <c r="A2634" s="3" t="s">
        <v>23</v>
      </c>
      <c r="B2634" s="3" t="str">
        <f>INDEX(State_Region!$B$2:$B$26,MATCH(TRIM(A2634),State_Region!$A$2:$A$26,0))</f>
        <v>North</v>
      </c>
      <c r="C2634" s="3" t="s">
        <v>185</v>
      </c>
      <c r="D2634" s="3" t="str">
        <f>INDEX(Port_Type!$B$2:$B$227,MATCH(TRIM(C2634),Port_Type!$A$2:$A$227,0))</f>
        <v>Land Border / Rail</v>
      </c>
      <c r="E2634" s="3" t="s">
        <v>51</v>
      </c>
      <c r="F2634" s="3" t="str">
        <f>INDEX(Product_Category!$B$2:$B$45,MATCH(TRIM(E2634),Product_Category!$A$2:$A$45,0))</f>
        <v>Nuts &amp; Oilseeds</v>
      </c>
      <c r="G2634" s="4">
        <v>0.1</v>
      </c>
      <c r="H2634" s="4">
        <v>0</v>
      </c>
      <c r="I2634" s="4">
        <v>0</v>
      </c>
      <c r="J2634" s="4">
        <v>233.44</v>
      </c>
      <c r="K2634" s="4">
        <v>0</v>
      </c>
      <c r="L2634" s="4">
        <v>0</v>
      </c>
      <c r="M2634" s="4">
        <f t="shared" si="123"/>
        <v>-0.1</v>
      </c>
      <c r="N2634" s="4">
        <f t="shared" si="124"/>
        <v>-233.44</v>
      </c>
      <c r="O2634" s="4">
        <f t="shared" si="125"/>
        <v>0</v>
      </c>
      <c r="P2634" s="3" t="s">
        <v>19</v>
      </c>
    </row>
    <row r="2635" spans="1:16" x14ac:dyDescent="0.35">
      <c r="A2635" s="3" t="s">
        <v>23</v>
      </c>
      <c r="B2635" s="3" t="str">
        <f>INDEX(State_Region!$B$2:$B$26,MATCH(TRIM(A2635),State_Region!$A$2:$A$26,0))</f>
        <v>North</v>
      </c>
      <c r="C2635" s="3" t="s">
        <v>185</v>
      </c>
      <c r="D2635" s="3" t="str">
        <f>INDEX(Port_Type!$B$2:$B$227,MATCH(TRIM(C2635),Port_Type!$A$2:$A$227,0))</f>
        <v>Land Border / Rail</v>
      </c>
      <c r="E2635" s="3" t="s">
        <v>62</v>
      </c>
      <c r="F2635" s="3" t="str">
        <f>INDEX(Product_Category!$B$2:$B$45,MATCH(TRIM(E2635),Product_Category!$A$2:$A$45,0))</f>
        <v>Cereals &amp; Grains</v>
      </c>
      <c r="G2635" s="4">
        <v>0.03</v>
      </c>
      <c r="H2635" s="4">
        <v>0</v>
      </c>
      <c r="I2635" s="4">
        <v>0</v>
      </c>
      <c r="J2635" s="4">
        <v>108.16</v>
      </c>
      <c r="K2635" s="4">
        <v>0</v>
      </c>
      <c r="L2635" s="4">
        <v>0</v>
      </c>
      <c r="M2635" s="4">
        <f t="shared" si="123"/>
        <v>-0.03</v>
      </c>
      <c r="N2635" s="4">
        <f t="shared" si="124"/>
        <v>-108.16</v>
      </c>
      <c r="O2635" s="4">
        <f t="shared" si="125"/>
        <v>0</v>
      </c>
      <c r="P2635" s="3" t="s">
        <v>19</v>
      </c>
    </row>
    <row r="2636" spans="1:16" x14ac:dyDescent="0.35">
      <c r="A2636" s="3" t="s">
        <v>23</v>
      </c>
      <c r="B2636" s="3" t="str">
        <f>INDEX(State_Region!$B$2:$B$26,MATCH(TRIM(A2636),State_Region!$A$2:$A$26,0))</f>
        <v>North</v>
      </c>
      <c r="C2636" s="3" t="s">
        <v>185</v>
      </c>
      <c r="D2636" s="3" t="str">
        <f>INDEX(Port_Type!$B$2:$B$227,MATCH(TRIM(C2636),Port_Type!$A$2:$A$227,0))</f>
        <v>Land Border / Rail</v>
      </c>
      <c r="E2636" s="3" t="s">
        <v>39</v>
      </c>
      <c r="F2636" s="3" t="str">
        <f>INDEX(Product_Category!$B$2:$B$45,MATCH(TRIM(E2636),Product_Category!$A$2:$A$45,0))</f>
        <v>Processed Foods</v>
      </c>
      <c r="G2636" s="4">
        <v>0</v>
      </c>
      <c r="H2636" s="4">
        <v>0.01</v>
      </c>
      <c r="I2636" s="4">
        <v>0</v>
      </c>
      <c r="J2636" s="4">
        <v>0</v>
      </c>
      <c r="K2636" s="4">
        <v>57.9</v>
      </c>
      <c r="L2636" s="4">
        <v>0</v>
      </c>
      <c r="M2636" s="4">
        <f t="shared" si="123"/>
        <v>0.01</v>
      </c>
      <c r="N2636" s="4">
        <f t="shared" si="124"/>
        <v>57.9</v>
      </c>
      <c r="O2636" s="4">
        <f t="shared" si="125"/>
        <v>-0.01</v>
      </c>
      <c r="P2636" s="3" t="s">
        <v>19</v>
      </c>
    </row>
    <row r="2637" spans="1:16" x14ac:dyDescent="0.35">
      <c r="A2637" s="3" t="s">
        <v>166</v>
      </c>
      <c r="B2637" s="3" t="str">
        <f>INDEX(State_Region!$B$2:$B$26,MATCH(TRIM(A2637),State_Region!$A$2:$A$26,0))</f>
        <v>West</v>
      </c>
      <c r="C2637" s="3" t="s">
        <v>248</v>
      </c>
      <c r="D2637" s="3" t="str">
        <f>INDEX(Port_Type!$B$2:$B$227,MATCH(TRIM(C2637),Port_Type!$A$2:$A$227,0))</f>
        <v>Air Cargo</v>
      </c>
      <c r="E2637" s="3" t="s">
        <v>54</v>
      </c>
      <c r="F2637" s="3" t="str">
        <f>INDEX(Product_Category!$B$2:$B$45,MATCH(TRIM(E2637),Product_Category!$A$2:$A$45,0))</f>
        <v>Processed Foods</v>
      </c>
      <c r="G2637" s="4">
        <v>0</v>
      </c>
      <c r="H2637" s="4">
        <v>0.01</v>
      </c>
      <c r="I2637" s="4">
        <v>0</v>
      </c>
      <c r="J2637" s="4">
        <v>0</v>
      </c>
      <c r="K2637" s="4">
        <v>1.6</v>
      </c>
      <c r="L2637" s="4">
        <v>0</v>
      </c>
      <c r="M2637" s="4">
        <f t="shared" si="123"/>
        <v>0.01</v>
      </c>
      <c r="N2637" s="4">
        <f t="shared" si="124"/>
        <v>1.6</v>
      </c>
      <c r="O2637" s="4">
        <f t="shared" si="125"/>
        <v>-0.01</v>
      </c>
      <c r="P2637" s="3" t="s">
        <v>19</v>
      </c>
    </row>
    <row r="2638" spans="1:16" x14ac:dyDescent="0.35">
      <c r="A2638" s="3" t="s">
        <v>166</v>
      </c>
      <c r="B2638" s="3" t="str">
        <f>INDEX(State_Region!$B$2:$B$26,MATCH(TRIM(A2638),State_Region!$A$2:$A$26,0))</f>
        <v>West</v>
      </c>
      <c r="C2638" s="3" t="s">
        <v>248</v>
      </c>
      <c r="D2638" s="3" t="str">
        <f>INDEX(Port_Type!$B$2:$B$227,MATCH(TRIM(C2638),Port_Type!$A$2:$A$227,0))</f>
        <v>Air Cargo</v>
      </c>
      <c r="E2638" s="3" t="s">
        <v>39</v>
      </c>
      <c r="F2638" s="3" t="str">
        <f>INDEX(Product_Category!$B$2:$B$45,MATCH(TRIM(E2638),Product_Category!$A$2:$A$45,0))</f>
        <v>Processed Foods</v>
      </c>
      <c r="G2638" s="4">
        <v>0</v>
      </c>
      <c r="H2638" s="4">
        <v>0</v>
      </c>
      <c r="I2638" s="4">
        <v>0</v>
      </c>
      <c r="J2638" s="4">
        <v>0</v>
      </c>
      <c r="K2638" s="4">
        <v>0</v>
      </c>
      <c r="L2638" s="4">
        <v>0.02</v>
      </c>
      <c r="M2638" s="4">
        <f t="shared" si="123"/>
        <v>0</v>
      </c>
      <c r="N2638" s="4">
        <f t="shared" si="124"/>
        <v>0</v>
      </c>
      <c r="O2638" s="4">
        <f t="shared" si="125"/>
        <v>0</v>
      </c>
      <c r="P2638" s="3" t="s">
        <v>19</v>
      </c>
    </row>
    <row r="2639" spans="1:16" x14ac:dyDescent="0.35">
      <c r="A2639" s="3" t="s">
        <v>23</v>
      </c>
      <c r="B2639" s="3" t="str">
        <f>INDEX(State_Region!$B$2:$B$26,MATCH(TRIM(A2639),State_Region!$A$2:$A$26,0))</f>
        <v>North</v>
      </c>
      <c r="C2639" s="3" t="s">
        <v>185</v>
      </c>
      <c r="D2639" s="3" t="str">
        <f>INDEX(Port_Type!$B$2:$B$227,MATCH(TRIM(C2639),Port_Type!$A$2:$A$227,0))</f>
        <v>Land Border / Rail</v>
      </c>
      <c r="E2639" s="3" t="s">
        <v>33</v>
      </c>
      <c r="F2639" s="3" t="str">
        <f>INDEX(Product_Category!$B$2:$B$45,MATCH(TRIM(E2639),Product_Category!$A$2:$A$45,0))</f>
        <v>Pulses</v>
      </c>
      <c r="G2639" s="4">
        <v>0.11</v>
      </c>
      <c r="H2639" s="4">
        <v>0</v>
      </c>
      <c r="I2639" s="4">
        <v>0</v>
      </c>
      <c r="J2639" s="4">
        <v>140.46</v>
      </c>
      <c r="K2639" s="4">
        <v>0</v>
      </c>
      <c r="L2639" s="4">
        <v>0</v>
      </c>
      <c r="M2639" s="4">
        <f t="shared" si="123"/>
        <v>-0.11</v>
      </c>
      <c r="N2639" s="4">
        <f t="shared" si="124"/>
        <v>-140.46</v>
      </c>
      <c r="O2639" s="4">
        <f t="shared" si="125"/>
        <v>0</v>
      </c>
      <c r="P2639" s="3" t="s">
        <v>19</v>
      </c>
    </row>
    <row r="2640" spans="1:16" x14ac:dyDescent="0.35">
      <c r="A2640" s="3" t="s">
        <v>166</v>
      </c>
      <c r="B2640" s="3" t="str">
        <f>INDEX(State_Region!$B$2:$B$26,MATCH(TRIM(A2640),State_Region!$A$2:$A$26,0))</f>
        <v>West</v>
      </c>
      <c r="C2640" s="3" t="s">
        <v>248</v>
      </c>
      <c r="D2640" s="3" t="str">
        <f>INDEX(Port_Type!$B$2:$B$227,MATCH(TRIM(C2640),Port_Type!$A$2:$A$227,0))</f>
        <v>Air Cargo</v>
      </c>
      <c r="E2640" s="3" t="s">
        <v>55</v>
      </c>
      <c r="F2640" s="3" t="str">
        <f>INDEX(Product_Category!$B$2:$B$45,MATCH(TRIM(E2640),Product_Category!$A$2:$A$45,0))</f>
        <v>Fresh Fruits &amp; Vegetables</v>
      </c>
      <c r="G2640" s="4">
        <v>0</v>
      </c>
      <c r="H2640" s="4">
        <v>0</v>
      </c>
      <c r="I2640" s="4">
        <v>0</v>
      </c>
      <c r="J2640" s="4">
        <v>0.89</v>
      </c>
      <c r="K2640" s="4">
        <v>0.46</v>
      </c>
      <c r="L2640" s="4">
        <v>0</v>
      </c>
      <c r="M2640" s="4">
        <f t="shared" si="123"/>
        <v>0</v>
      </c>
      <c r="N2640" s="4">
        <f t="shared" si="124"/>
        <v>-0.43</v>
      </c>
      <c r="O2640" s="4">
        <f t="shared" si="125"/>
        <v>0</v>
      </c>
      <c r="P2640" s="3" t="s">
        <v>19</v>
      </c>
    </row>
    <row r="2641" spans="1:16" x14ac:dyDescent="0.35">
      <c r="A2641" s="3" t="s">
        <v>23</v>
      </c>
      <c r="B2641" s="3" t="str">
        <f>INDEX(State_Region!$B$2:$B$26,MATCH(TRIM(A2641),State_Region!$A$2:$A$26,0))</f>
        <v>North</v>
      </c>
      <c r="C2641" s="3" t="s">
        <v>284</v>
      </c>
      <c r="D2641" s="3" t="str">
        <f>INDEX(Port_Type!$B$2:$B$227,MATCH(TRIM(C2641),Port_Type!$A$2:$A$227,0))</f>
        <v>Land Border / Rail</v>
      </c>
      <c r="E2641" s="3" t="s">
        <v>27</v>
      </c>
      <c r="F2641" s="3" t="str">
        <f>INDEX(Product_Category!$B$2:$B$45,MATCH(TRIM(E2641),Product_Category!$A$2:$A$45,0))</f>
        <v>Cereals &amp; Grains</v>
      </c>
      <c r="G2641" s="4">
        <v>0.01</v>
      </c>
      <c r="H2641" s="4">
        <v>0</v>
      </c>
      <c r="I2641" s="4">
        <v>0</v>
      </c>
      <c r="J2641" s="4">
        <v>20</v>
      </c>
      <c r="K2641" s="4">
        <v>0</v>
      </c>
      <c r="L2641" s="4">
        <v>0</v>
      </c>
      <c r="M2641" s="4">
        <f t="shared" si="123"/>
        <v>-0.01</v>
      </c>
      <c r="N2641" s="4">
        <f t="shared" si="124"/>
        <v>-20</v>
      </c>
      <c r="O2641" s="4">
        <f t="shared" si="125"/>
        <v>0</v>
      </c>
      <c r="P2641" s="3" t="s">
        <v>19</v>
      </c>
    </row>
    <row r="2642" spans="1:16" x14ac:dyDescent="0.35">
      <c r="A2642" s="3" t="s">
        <v>166</v>
      </c>
      <c r="B2642" s="3" t="str">
        <f>INDEX(State_Region!$B$2:$B$26,MATCH(TRIM(A2642),State_Region!$A$2:$A$26,0))</f>
        <v>West</v>
      </c>
      <c r="C2642" s="3" t="s">
        <v>248</v>
      </c>
      <c r="D2642" s="3" t="str">
        <f>INDEX(Port_Type!$B$2:$B$227,MATCH(TRIM(C2642),Port_Type!$A$2:$A$227,0))</f>
        <v>Air Cargo</v>
      </c>
      <c r="E2642" s="3" t="s">
        <v>122</v>
      </c>
      <c r="F2642" s="3" t="str">
        <f>INDEX(Product_Category!$B$2:$B$45,MATCH(TRIM(E2642),Product_Category!$A$2:$A$45,0))</f>
        <v>Others</v>
      </c>
      <c r="G2642" s="4">
        <v>0</v>
      </c>
      <c r="H2642" s="4">
        <v>0</v>
      </c>
      <c r="I2642" s="4">
        <v>0</v>
      </c>
      <c r="J2642" s="4">
        <v>0</v>
      </c>
      <c r="K2642" s="4">
        <v>0.61</v>
      </c>
      <c r="L2642" s="4">
        <v>0</v>
      </c>
      <c r="M2642" s="4">
        <f t="shared" si="123"/>
        <v>0</v>
      </c>
      <c r="N2642" s="4">
        <f t="shared" si="124"/>
        <v>0.61</v>
      </c>
      <c r="O2642" s="4">
        <f t="shared" si="125"/>
        <v>0</v>
      </c>
      <c r="P2642" s="3" t="s">
        <v>19</v>
      </c>
    </row>
    <row r="2643" spans="1:16" x14ac:dyDescent="0.35">
      <c r="A2643" s="3" t="s">
        <v>166</v>
      </c>
      <c r="B2643" s="3" t="str">
        <f>INDEX(State_Region!$B$2:$B$26,MATCH(TRIM(A2643),State_Region!$A$2:$A$26,0))</f>
        <v>West</v>
      </c>
      <c r="C2643" s="3" t="s">
        <v>248</v>
      </c>
      <c r="D2643" s="3" t="str">
        <f>INDEX(Port_Type!$B$2:$B$227,MATCH(TRIM(C2643),Port_Type!$A$2:$A$227,0))</f>
        <v>Air Cargo</v>
      </c>
      <c r="E2643" s="3" t="s">
        <v>48</v>
      </c>
      <c r="F2643" s="3" t="str">
        <f>INDEX(Product_Category!$B$2:$B$45,MATCH(TRIM(E2643),Product_Category!$A$2:$A$45,0))</f>
        <v>Processed Foods</v>
      </c>
      <c r="G2643" s="4">
        <v>0.02</v>
      </c>
      <c r="H2643" s="4">
        <v>0</v>
      </c>
      <c r="I2643" s="4">
        <v>0</v>
      </c>
      <c r="J2643" s="4">
        <v>10.58</v>
      </c>
      <c r="K2643" s="4">
        <v>0</v>
      </c>
      <c r="L2643" s="4">
        <v>0</v>
      </c>
      <c r="M2643" s="4">
        <f t="shared" si="123"/>
        <v>-0.02</v>
      </c>
      <c r="N2643" s="4">
        <f t="shared" si="124"/>
        <v>-10.58</v>
      </c>
      <c r="O2643" s="4">
        <f t="shared" si="125"/>
        <v>0</v>
      </c>
      <c r="P2643" s="3" t="s">
        <v>19</v>
      </c>
    </row>
    <row r="2644" spans="1:16" x14ac:dyDescent="0.35">
      <c r="A2644" s="3" t="s">
        <v>86</v>
      </c>
      <c r="B2644" s="3" t="str">
        <f>INDEX(State_Region!$B$2:$B$26,MATCH(TRIM(A2644),State_Region!$A$2:$A$26,0))</f>
        <v>North</v>
      </c>
      <c r="C2644" s="3" t="s">
        <v>207</v>
      </c>
      <c r="D2644" s="3" t="str">
        <f>INDEX(Port_Type!$B$2:$B$227,MATCH(TRIM(C2644),Port_Type!$A$2:$A$227,0))</f>
        <v>Inland ICD / CFS</v>
      </c>
      <c r="E2644" s="3" t="s">
        <v>170</v>
      </c>
      <c r="F2644" s="3" t="str">
        <f>INDEX(Product_Category!$B$2:$B$45,MATCH(TRIM(E2644),Product_Category!$A$2:$A$45,0))</f>
        <v>Others</v>
      </c>
      <c r="G2644" s="4">
        <v>0</v>
      </c>
      <c r="H2644" s="4">
        <v>1.02</v>
      </c>
      <c r="I2644" s="4">
        <v>0</v>
      </c>
      <c r="J2644" s="4">
        <v>0.36</v>
      </c>
      <c r="K2644" s="4">
        <v>133.12</v>
      </c>
      <c r="L2644" s="4">
        <v>0</v>
      </c>
      <c r="M2644" s="4">
        <f t="shared" si="123"/>
        <v>1.02</v>
      </c>
      <c r="N2644" s="4">
        <f t="shared" si="124"/>
        <v>132.76</v>
      </c>
      <c r="O2644" s="4">
        <f t="shared" si="125"/>
        <v>-1.02</v>
      </c>
      <c r="P2644" s="3" t="s">
        <v>19</v>
      </c>
    </row>
    <row r="2645" spans="1:16" x14ac:dyDescent="0.35">
      <c r="A2645" s="3" t="s">
        <v>31</v>
      </c>
      <c r="B2645" s="3" t="str">
        <f>INDEX(State_Region!$B$2:$B$26,MATCH(TRIM(A2645),State_Region!$A$2:$A$26,0))</f>
        <v>East</v>
      </c>
      <c r="C2645" s="3" t="s">
        <v>171</v>
      </c>
      <c r="D2645" s="3" t="str">
        <f>INDEX(Port_Type!$B$2:$B$227,MATCH(TRIM(C2645),Port_Type!$A$2:$A$227,0))</f>
        <v>Land Border / Rail</v>
      </c>
      <c r="E2645" s="3" t="s">
        <v>81</v>
      </c>
      <c r="F2645" s="3" t="str">
        <f>INDEX(Product_Category!$B$2:$B$45,MATCH(TRIM(E2645),Product_Category!$A$2:$A$45,0))</f>
        <v>Processed Foods</v>
      </c>
      <c r="G2645" s="4">
        <v>0</v>
      </c>
      <c r="H2645" s="4">
        <v>0</v>
      </c>
      <c r="I2645" s="4">
        <v>0</v>
      </c>
      <c r="J2645" s="4">
        <v>1.5</v>
      </c>
      <c r="K2645" s="4">
        <v>0</v>
      </c>
      <c r="L2645" s="4">
        <v>0</v>
      </c>
      <c r="M2645" s="4">
        <f t="shared" si="123"/>
        <v>0</v>
      </c>
      <c r="N2645" s="4">
        <f t="shared" si="124"/>
        <v>-1.5</v>
      </c>
      <c r="O2645" s="4">
        <f t="shared" si="125"/>
        <v>0</v>
      </c>
      <c r="P2645" s="3" t="s">
        <v>19</v>
      </c>
    </row>
    <row r="2646" spans="1:16" x14ac:dyDescent="0.35">
      <c r="A2646" s="3" t="s">
        <v>86</v>
      </c>
      <c r="B2646" s="3" t="str">
        <f>INDEX(State_Region!$B$2:$B$26,MATCH(TRIM(A2646),State_Region!$A$2:$A$26,0))</f>
        <v>North</v>
      </c>
      <c r="C2646" s="3" t="s">
        <v>207</v>
      </c>
      <c r="D2646" s="3" t="str">
        <f>INDEX(Port_Type!$B$2:$B$227,MATCH(TRIM(C2646),Port_Type!$A$2:$A$227,0))</f>
        <v>Inland ICD / CFS</v>
      </c>
      <c r="E2646" s="3" t="s">
        <v>102</v>
      </c>
      <c r="F2646" s="3" t="str">
        <f>INDEX(Product_Category!$B$2:$B$45,MATCH(TRIM(E2646),Product_Category!$A$2:$A$45,0))</f>
        <v>Fresh Fruits &amp; Vegetables</v>
      </c>
      <c r="G2646" s="4">
        <v>0</v>
      </c>
      <c r="H2646" s="4">
        <v>0</v>
      </c>
      <c r="I2646" s="4">
        <v>0</v>
      </c>
      <c r="J2646" s="4">
        <v>0</v>
      </c>
      <c r="K2646" s="4">
        <v>0.01</v>
      </c>
      <c r="L2646" s="4">
        <v>0</v>
      </c>
      <c r="M2646" s="4">
        <f t="shared" si="123"/>
        <v>0</v>
      </c>
      <c r="N2646" s="4">
        <f t="shared" si="124"/>
        <v>0.01</v>
      </c>
      <c r="O2646" s="4">
        <f t="shared" si="125"/>
        <v>0</v>
      </c>
      <c r="P2646" s="3" t="s">
        <v>19</v>
      </c>
    </row>
    <row r="2647" spans="1:16" x14ac:dyDescent="0.35">
      <c r="A2647" s="3" t="s">
        <v>31</v>
      </c>
      <c r="B2647" s="3" t="str">
        <f>INDEX(State_Region!$B$2:$B$26,MATCH(TRIM(A2647),State_Region!$A$2:$A$26,0))</f>
        <v>East</v>
      </c>
      <c r="C2647" s="3" t="s">
        <v>171</v>
      </c>
      <c r="D2647" s="3" t="str">
        <f>INDEX(Port_Type!$B$2:$B$227,MATCH(TRIM(C2647),Port_Type!$A$2:$A$227,0))</f>
        <v>Land Border / Rail</v>
      </c>
      <c r="E2647" s="3" t="s">
        <v>76</v>
      </c>
      <c r="F2647" s="3" t="str">
        <f>INDEX(Product_Category!$B$2:$B$45,MATCH(TRIM(E2647),Product_Category!$A$2:$A$45,0))</f>
        <v>Fresh Fruits &amp; Vegetables</v>
      </c>
      <c r="G2647" s="4">
        <v>0.12</v>
      </c>
      <c r="H2647" s="4">
        <v>0.04</v>
      </c>
      <c r="I2647" s="4">
        <v>0</v>
      </c>
      <c r="J2647" s="4">
        <v>335.73</v>
      </c>
      <c r="K2647" s="4">
        <v>84.41</v>
      </c>
      <c r="L2647" s="4">
        <v>0.09</v>
      </c>
      <c r="M2647" s="4">
        <f t="shared" si="123"/>
        <v>-7.9999999999999988E-2</v>
      </c>
      <c r="N2647" s="4">
        <f t="shared" si="124"/>
        <v>-251.32000000000002</v>
      </c>
      <c r="O2647" s="4">
        <f t="shared" si="125"/>
        <v>-0.04</v>
      </c>
      <c r="P2647" s="3" t="s">
        <v>19</v>
      </c>
    </row>
    <row r="2648" spans="1:16" x14ac:dyDescent="0.35">
      <c r="A2648" s="3" t="s">
        <v>86</v>
      </c>
      <c r="B2648" s="3" t="str">
        <f>INDEX(State_Region!$B$2:$B$26,MATCH(TRIM(A2648),State_Region!$A$2:$A$26,0))</f>
        <v>North</v>
      </c>
      <c r="C2648" s="3" t="s">
        <v>207</v>
      </c>
      <c r="D2648" s="3" t="str">
        <f>INDEX(Port_Type!$B$2:$B$227,MATCH(TRIM(C2648),Port_Type!$A$2:$A$227,0))</f>
        <v>Inland ICD / CFS</v>
      </c>
      <c r="E2648" s="3" t="s">
        <v>45</v>
      </c>
      <c r="F2648" s="3" t="str">
        <f>INDEX(Product_Category!$B$2:$B$45,MATCH(TRIM(E2648),Product_Category!$A$2:$A$45,0))</f>
        <v>Fresh Fruits &amp; Vegetables</v>
      </c>
      <c r="G2648" s="4">
        <v>0</v>
      </c>
      <c r="H2648" s="4">
        <v>0</v>
      </c>
      <c r="I2648" s="4">
        <v>0</v>
      </c>
      <c r="J2648" s="4">
        <v>0</v>
      </c>
      <c r="K2648" s="4">
        <v>1.32</v>
      </c>
      <c r="L2648" s="4">
        <v>0</v>
      </c>
      <c r="M2648" s="4">
        <f t="shared" si="123"/>
        <v>0</v>
      </c>
      <c r="N2648" s="4">
        <f t="shared" si="124"/>
        <v>1.32</v>
      </c>
      <c r="O2648" s="4">
        <f t="shared" si="125"/>
        <v>0</v>
      </c>
      <c r="P2648" s="3" t="s">
        <v>19</v>
      </c>
    </row>
    <row r="2649" spans="1:16" x14ac:dyDescent="0.35">
      <c r="A2649" s="3" t="s">
        <v>31</v>
      </c>
      <c r="B2649" s="3" t="str">
        <f>INDEX(State_Region!$B$2:$B$26,MATCH(TRIM(A2649),State_Region!$A$2:$A$26,0))</f>
        <v>East</v>
      </c>
      <c r="C2649" s="3" t="s">
        <v>171</v>
      </c>
      <c r="D2649" s="3" t="str">
        <f>INDEX(Port_Type!$B$2:$B$227,MATCH(TRIM(C2649),Port_Type!$A$2:$A$227,0))</f>
        <v>Land Border / Rail</v>
      </c>
      <c r="E2649" s="3" t="s">
        <v>69</v>
      </c>
      <c r="F2649" s="3" t="str">
        <f>INDEX(Product_Category!$B$2:$B$45,MATCH(TRIM(E2649),Product_Category!$A$2:$A$45,0))</f>
        <v>Others</v>
      </c>
      <c r="G2649" s="4">
        <v>0</v>
      </c>
      <c r="H2649" s="4">
        <v>0.01</v>
      </c>
      <c r="I2649" s="4">
        <v>0</v>
      </c>
      <c r="J2649" s="4">
        <v>0</v>
      </c>
      <c r="K2649" s="4">
        <v>4.99</v>
      </c>
      <c r="L2649" s="4">
        <v>0</v>
      </c>
      <c r="M2649" s="4">
        <f t="shared" si="123"/>
        <v>0.01</v>
      </c>
      <c r="N2649" s="4">
        <f t="shared" si="124"/>
        <v>4.99</v>
      </c>
      <c r="O2649" s="4">
        <f t="shared" si="125"/>
        <v>-0.01</v>
      </c>
      <c r="P2649" s="3" t="s">
        <v>19</v>
      </c>
    </row>
    <row r="2650" spans="1:16" x14ac:dyDescent="0.35">
      <c r="A2650" s="3" t="s">
        <v>31</v>
      </c>
      <c r="B2650" s="3" t="str">
        <f>INDEX(State_Region!$B$2:$B$26,MATCH(TRIM(A2650),State_Region!$A$2:$A$26,0))</f>
        <v>East</v>
      </c>
      <c r="C2650" s="3" t="s">
        <v>171</v>
      </c>
      <c r="D2650" s="3" t="str">
        <f>INDEX(Port_Type!$B$2:$B$227,MATCH(TRIM(C2650),Port_Type!$A$2:$A$227,0))</f>
        <v>Land Border / Rail</v>
      </c>
      <c r="E2650" s="3" t="s">
        <v>62</v>
      </c>
      <c r="F2650" s="3" t="str">
        <f>INDEX(Product_Category!$B$2:$B$45,MATCH(TRIM(E2650),Product_Category!$A$2:$A$45,0))</f>
        <v>Cereals &amp; Grains</v>
      </c>
      <c r="G2650" s="4">
        <v>0</v>
      </c>
      <c r="H2650" s="4">
        <v>0.18</v>
      </c>
      <c r="I2650" s="4">
        <v>0</v>
      </c>
      <c r="J2650" s="4">
        <v>0</v>
      </c>
      <c r="K2650" s="4">
        <v>792.66</v>
      </c>
      <c r="L2650" s="4">
        <v>0</v>
      </c>
      <c r="M2650" s="4">
        <f t="shared" si="123"/>
        <v>0.18</v>
      </c>
      <c r="N2650" s="4">
        <f t="shared" si="124"/>
        <v>792.66</v>
      </c>
      <c r="O2650" s="4">
        <f t="shared" si="125"/>
        <v>-0.18</v>
      </c>
      <c r="P2650" s="3" t="s">
        <v>19</v>
      </c>
    </row>
    <row r="2651" spans="1:16" x14ac:dyDescent="0.35">
      <c r="A2651" s="3" t="s">
        <v>31</v>
      </c>
      <c r="B2651" s="3" t="str">
        <f>INDEX(State_Region!$B$2:$B$26,MATCH(TRIM(A2651),State_Region!$A$2:$A$26,0))</f>
        <v>East</v>
      </c>
      <c r="C2651" s="3" t="s">
        <v>171</v>
      </c>
      <c r="D2651" s="3" t="str">
        <f>INDEX(Port_Type!$B$2:$B$227,MATCH(TRIM(C2651),Port_Type!$A$2:$A$227,0))</f>
        <v>Land Border / Rail</v>
      </c>
      <c r="E2651" s="3" t="s">
        <v>151</v>
      </c>
      <c r="F2651" s="3" t="str">
        <f>INDEX(Product_Category!$B$2:$B$45,MATCH(TRIM(E2651),Product_Category!$A$2:$A$45,0))</f>
        <v>Processed Foods</v>
      </c>
      <c r="G2651" s="4">
        <v>0</v>
      </c>
      <c r="H2651" s="4">
        <v>0</v>
      </c>
      <c r="I2651" s="4">
        <v>0</v>
      </c>
      <c r="J2651" s="4">
        <v>0.24</v>
      </c>
      <c r="K2651" s="4">
        <v>0</v>
      </c>
      <c r="L2651" s="4">
        <v>0</v>
      </c>
      <c r="M2651" s="4">
        <f t="shared" si="123"/>
        <v>0</v>
      </c>
      <c r="N2651" s="4">
        <f t="shared" si="124"/>
        <v>-0.24</v>
      </c>
      <c r="O2651" s="4">
        <f t="shared" si="125"/>
        <v>0</v>
      </c>
      <c r="P2651" s="3" t="s">
        <v>19</v>
      </c>
    </row>
    <row r="2652" spans="1:16" x14ac:dyDescent="0.35">
      <c r="A2652" s="3" t="s">
        <v>31</v>
      </c>
      <c r="B2652" s="3" t="str">
        <f>INDEX(State_Region!$B$2:$B$26,MATCH(TRIM(A2652),State_Region!$A$2:$A$26,0))</f>
        <v>East</v>
      </c>
      <c r="C2652" s="3" t="s">
        <v>171</v>
      </c>
      <c r="D2652" s="3" t="str">
        <f>INDEX(Port_Type!$B$2:$B$227,MATCH(TRIM(C2652),Port_Type!$A$2:$A$227,0))</f>
        <v>Land Border / Rail</v>
      </c>
      <c r="E2652" s="3" t="s">
        <v>65</v>
      </c>
      <c r="F2652" s="3" t="str">
        <f>INDEX(Product_Category!$B$2:$B$45,MATCH(TRIM(E2652),Product_Category!$A$2:$A$45,0))</f>
        <v>Cereals &amp; Grains</v>
      </c>
      <c r="G2652" s="4">
        <v>0</v>
      </c>
      <c r="H2652" s="4">
        <v>0</v>
      </c>
      <c r="I2652" s="4">
        <v>0</v>
      </c>
      <c r="J2652" s="4">
        <v>0</v>
      </c>
      <c r="K2652" s="4">
        <v>0.8</v>
      </c>
      <c r="L2652" s="4">
        <v>0</v>
      </c>
      <c r="M2652" s="4">
        <f t="shared" si="123"/>
        <v>0</v>
      </c>
      <c r="N2652" s="4">
        <f t="shared" si="124"/>
        <v>0.8</v>
      </c>
      <c r="O2652" s="4">
        <f t="shared" si="125"/>
        <v>0</v>
      </c>
      <c r="P2652" s="3" t="s">
        <v>19</v>
      </c>
    </row>
    <row r="2653" spans="1:16" x14ac:dyDescent="0.35">
      <c r="A2653" s="3" t="s">
        <v>31</v>
      </c>
      <c r="B2653" s="3" t="str">
        <f>INDEX(State_Region!$B$2:$B$26,MATCH(TRIM(A2653),State_Region!$A$2:$A$26,0))</f>
        <v>East</v>
      </c>
      <c r="C2653" s="3" t="s">
        <v>171</v>
      </c>
      <c r="D2653" s="3" t="str">
        <f>INDEX(Port_Type!$B$2:$B$227,MATCH(TRIM(C2653),Port_Type!$A$2:$A$227,0))</f>
        <v>Land Border / Rail</v>
      </c>
      <c r="E2653" s="3" t="s">
        <v>126</v>
      </c>
      <c r="F2653" s="3" t="str">
        <f>INDEX(Product_Category!$B$2:$B$45,MATCH(TRIM(E2653),Product_Category!$A$2:$A$45,0))</f>
        <v>Cereals &amp; Grains</v>
      </c>
      <c r="G2653" s="4">
        <v>0</v>
      </c>
      <c r="H2653" s="4">
        <v>0</v>
      </c>
      <c r="I2653" s="4">
        <v>0</v>
      </c>
      <c r="J2653" s="4">
        <v>0</v>
      </c>
      <c r="K2653" s="4">
        <v>12.02</v>
      </c>
      <c r="L2653" s="4">
        <v>0</v>
      </c>
      <c r="M2653" s="4">
        <f t="shared" si="123"/>
        <v>0</v>
      </c>
      <c r="N2653" s="4">
        <f t="shared" si="124"/>
        <v>12.02</v>
      </c>
      <c r="O2653" s="4">
        <f t="shared" si="125"/>
        <v>0</v>
      </c>
      <c r="P2653" s="3" t="s">
        <v>19</v>
      </c>
    </row>
    <row r="2654" spans="1:16" x14ac:dyDescent="0.35">
      <c r="A2654" s="3" t="s">
        <v>86</v>
      </c>
      <c r="B2654" s="3" t="str">
        <f>INDEX(State_Region!$B$2:$B$26,MATCH(TRIM(A2654),State_Region!$A$2:$A$26,0))</f>
        <v>North</v>
      </c>
      <c r="C2654" s="3" t="s">
        <v>207</v>
      </c>
      <c r="D2654" s="3" t="str">
        <f>INDEX(Port_Type!$B$2:$B$227,MATCH(TRIM(C2654),Port_Type!$A$2:$A$227,0))</f>
        <v>Inland ICD / CFS</v>
      </c>
      <c r="E2654" s="3" t="s">
        <v>151</v>
      </c>
      <c r="F2654" s="3" t="str">
        <f>INDEX(Product_Category!$B$2:$B$45,MATCH(TRIM(E2654),Product_Category!$A$2:$A$45,0))</f>
        <v>Processed Foods</v>
      </c>
      <c r="G2654" s="4">
        <v>0</v>
      </c>
      <c r="H2654" s="4">
        <v>0.02</v>
      </c>
      <c r="I2654" s="4">
        <v>0</v>
      </c>
      <c r="J2654" s="4">
        <v>0</v>
      </c>
      <c r="K2654" s="4">
        <v>3.57</v>
      </c>
      <c r="L2654" s="4">
        <v>0</v>
      </c>
      <c r="M2654" s="4">
        <f t="shared" si="123"/>
        <v>0.02</v>
      </c>
      <c r="N2654" s="4">
        <f t="shared" si="124"/>
        <v>3.57</v>
      </c>
      <c r="O2654" s="4">
        <f t="shared" si="125"/>
        <v>-0.02</v>
      </c>
      <c r="P2654" s="3" t="s">
        <v>19</v>
      </c>
    </row>
    <row r="2655" spans="1:16" x14ac:dyDescent="0.35">
      <c r="A2655" s="3" t="s">
        <v>86</v>
      </c>
      <c r="B2655" s="3" t="str">
        <f>INDEX(State_Region!$B$2:$B$26,MATCH(TRIM(A2655),State_Region!$A$2:$A$26,0))</f>
        <v>North</v>
      </c>
      <c r="C2655" s="3" t="s">
        <v>207</v>
      </c>
      <c r="D2655" s="3" t="str">
        <f>INDEX(Port_Type!$B$2:$B$227,MATCH(TRIM(C2655),Port_Type!$A$2:$A$227,0))</f>
        <v>Inland ICD / CFS</v>
      </c>
      <c r="E2655" s="3" t="s">
        <v>46</v>
      </c>
      <c r="F2655" s="3" t="str">
        <f>INDEX(Product_Category!$B$2:$B$45,MATCH(TRIM(E2655),Product_Category!$A$2:$A$45,0))</f>
        <v>Others</v>
      </c>
      <c r="G2655" s="4">
        <v>0</v>
      </c>
      <c r="H2655" s="4">
        <v>0</v>
      </c>
      <c r="I2655" s="4">
        <v>0</v>
      </c>
      <c r="J2655" s="4">
        <v>0</v>
      </c>
      <c r="K2655" s="4">
        <v>0.5</v>
      </c>
      <c r="L2655" s="4">
        <v>0</v>
      </c>
      <c r="M2655" s="4">
        <f t="shared" si="123"/>
        <v>0</v>
      </c>
      <c r="N2655" s="4">
        <f t="shared" si="124"/>
        <v>0.5</v>
      </c>
      <c r="O2655" s="4">
        <f t="shared" si="125"/>
        <v>0</v>
      </c>
      <c r="P2655" s="3" t="s">
        <v>19</v>
      </c>
    </row>
    <row r="2656" spans="1:16" x14ac:dyDescent="0.35">
      <c r="A2656" s="3" t="s">
        <v>31</v>
      </c>
      <c r="B2656" s="3" t="str">
        <f>INDEX(State_Region!$B$2:$B$26,MATCH(TRIM(A2656),State_Region!$A$2:$A$26,0))</f>
        <v>East</v>
      </c>
      <c r="C2656" s="3" t="s">
        <v>171</v>
      </c>
      <c r="D2656" s="3" t="str">
        <f>INDEX(Port_Type!$B$2:$B$227,MATCH(TRIM(C2656),Port_Type!$A$2:$A$227,0))</f>
        <v>Land Border / Rail</v>
      </c>
      <c r="E2656" s="3" t="s">
        <v>116</v>
      </c>
      <c r="F2656" s="3" t="str">
        <f>INDEX(Product_Category!$B$2:$B$45,MATCH(TRIM(E2656),Product_Category!$A$2:$A$45,0))</f>
        <v>Others</v>
      </c>
      <c r="G2656" s="4">
        <v>0</v>
      </c>
      <c r="H2656" s="4">
        <v>0.01</v>
      </c>
      <c r="I2656" s="4">
        <v>0</v>
      </c>
      <c r="J2656" s="4">
        <v>0</v>
      </c>
      <c r="K2656" s="4">
        <v>73.13</v>
      </c>
      <c r="L2656" s="4">
        <v>0</v>
      </c>
      <c r="M2656" s="4">
        <f t="shared" si="123"/>
        <v>0.01</v>
      </c>
      <c r="N2656" s="4">
        <f t="shared" si="124"/>
        <v>73.13</v>
      </c>
      <c r="O2656" s="4">
        <f t="shared" si="125"/>
        <v>-0.01</v>
      </c>
      <c r="P2656" s="3" t="s">
        <v>19</v>
      </c>
    </row>
    <row r="2657" spans="1:16" x14ac:dyDescent="0.35">
      <c r="A2657" s="3" t="s">
        <v>86</v>
      </c>
      <c r="B2657" s="3" t="str">
        <f>INDEX(State_Region!$B$2:$B$26,MATCH(TRIM(A2657),State_Region!$A$2:$A$26,0))</f>
        <v>North</v>
      </c>
      <c r="C2657" s="3" t="s">
        <v>207</v>
      </c>
      <c r="D2657" s="3" t="str">
        <f>INDEX(Port_Type!$B$2:$B$227,MATCH(TRIM(C2657),Port_Type!$A$2:$A$227,0))</f>
        <v>Inland ICD / CFS</v>
      </c>
      <c r="E2657" s="3" t="s">
        <v>51</v>
      </c>
      <c r="F2657" s="3" t="str">
        <f>INDEX(Product_Category!$B$2:$B$45,MATCH(TRIM(E2657),Product_Category!$A$2:$A$45,0))</f>
        <v>Nuts &amp; Oilseeds</v>
      </c>
      <c r="G2657" s="4">
        <v>0</v>
      </c>
      <c r="H2657" s="4">
        <v>0</v>
      </c>
      <c r="I2657" s="4">
        <v>0</v>
      </c>
      <c r="J2657" s="4">
        <v>0</v>
      </c>
      <c r="K2657" s="4">
        <v>0.26</v>
      </c>
      <c r="L2657" s="4">
        <v>0</v>
      </c>
      <c r="M2657" s="4">
        <f t="shared" si="123"/>
        <v>0</v>
      </c>
      <c r="N2657" s="4">
        <f t="shared" si="124"/>
        <v>0.26</v>
      </c>
      <c r="O2657" s="4">
        <f t="shared" si="125"/>
        <v>0</v>
      </c>
      <c r="P2657" s="3" t="s">
        <v>19</v>
      </c>
    </row>
    <row r="2658" spans="1:16" x14ac:dyDescent="0.35">
      <c r="A2658" s="3" t="s">
        <v>86</v>
      </c>
      <c r="B2658" s="3" t="str">
        <f>INDEX(State_Region!$B$2:$B$26,MATCH(TRIM(A2658),State_Region!$A$2:$A$26,0))</f>
        <v>North</v>
      </c>
      <c r="C2658" s="3" t="s">
        <v>207</v>
      </c>
      <c r="D2658" s="3" t="str">
        <f>INDEX(Port_Type!$B$2:$B$227,MATCH(TRIM(C2658),Port_Type!$A$2:$A$227,0))</f>
        <v>Inland ICD / CFS</v>
      </c>
      <c r="E2658" s="3" t="s">
        <v>122</v>
      </c>
      <c r="F2658" s="3" t="str">
        <f>INDEX(Product_Category!$B$2:$B$45,MATCH(TRIM(E2658),Product_Category!$A$2:$A$45,0))</f>
        <v>Others</v>
      </c>
      <c r="G2658" s="4">
        <v>0</v>
      </c>
      <c r="H2658" s="4">
        <v>0</v>
      </c>
      <c r="I2658" s="4">
        <v>0</v>
      </c>
      <c r="J2658" s="4">
        <v>0</v>
      </c>
      <c r="K2658" s="4">
        <v>1.87</v>
      </c>
      <c r="L2658" s="4">
        <v>0</v>
      </c>
      <c r="M2658" s="4">
        <f t="shared" si="123"/>
        <v>0</v>
      </c>
      <c r="N2658" s="4">
        <f t="shared" si="124"/>
        <v>1.87</v>
      </c>
      <c r="O2658" s="4">
        <f t="shared" si="125"/>
        <v>0</v>
      </c>
      <c r="P2658" s="3" t="s">
        <v>19</v>
      </c>
    </row>
    <row r="2659" spans="1:16" x14ac:dyDescent="0.35">
      <c r="A2659" s="3" t="s">
        <v>31</v>
      </c>
      <c r="B2659" s="3" t="str">
        <f>INDEX(State_Region!$B$2:$B$26,MATCH(TRIM(A2659),State_Region!$A$2:$A$26,0))</f>
        <v>East</v>
      </c>
      <c r="C2659" s="3" t="s">
        <v>169</v>
      </c>
      <c r="D2659" s="3" t="str">
        <f>INDEX(Port_Type!$B$2:$B$227,MATCH(TRIM(C2659),Port_Type!$A$2:$A$227,0))</f>
        <v>Land Border / Rail</v>
      </c>
      <c r="E2659" s="3" t="s">
        <v>84</v>
      </c>
      <c r="F2659" s="3" t="str">
        <f>INDEX(Product_Category!$B$2:$B$45,MATCH(TRIM(E2659),Product_Category!$A$2:$A$45,0))</f>
        <v>Nuts &amp; Oilseeds</v>
      </c>
      <c r="G2659" s="4">
        <v>7.0000000000000007E-2</v>
      </c>
      <c r="H2659" s="4">
        <v>0</v>
      </c>
      <c r="I2659" s="4">
        <v>0</v>
      </c>
      <c r="J2659" s="4">
        <v>20</v>
      </c>
      <c r="K2659" s="4">
        <v>0</v>
      </c>
      <c r="L2659" s="4">
        <v>0</v>
      </c>
      <c r="M2659" s="4">
        <f t="shared" si="123"/>
        <v>-7.0000000000000007E-2</v>
      </c>
      <c r="N2659" s="4">
        <f t="shared" si="124"/>
        <v>-20</v>
      </c>
      <c r="O2659" s="4">
        <f t="shared" si="125"/>
        <v>0</v>
      </c>
      <c r="P2659" s="3" t="s">
        <v>19</v>
      </c>
    </row>
    <row r="2660" spans="1:16" x14ac:dyDescent="0.35">
      <c r="A2660" s="3" t="s">
        <v>31</v>
      </c>
      <c r="B2660" s="3" t="str">
        <f>INDEX(State_Region!$B$2:$B$26,MATCH(TRIM(A2660),State_Region!$A$2:$A$26,0))</f>
        <v>East</v>
      </c>
      <c r="C2660" s="3" t="s">
        <v>169</v>
      </c>
      <c r="D2660" s="3" t="str">
        <f>INDEX(Port_Type!$B$2:$B$227,MATCH(TRIM(C2660),Port_Type!$A$2:$A$227,0))</f>
        <v>Land Border / Rail</v>
      </c>
      <c r="E2660" s="3" t="s">
        <v>48</v>
      </c>
      <c r="F2660" s="3" t="str">
        <f>INDEX(Product_Category!$B$2:$B$45,MATCH(TRIM(E2660),Product_Category!$A$2:$A$45,0))</f>
        <v>Processed Foods</v>
      </c>
      <c r="G2660" s="4">
        <v>0.04</v>
      </c>
      <c r="H2660" s="4">
        <v>0</v>
      </c>
      <c r="I2660" s="4">
        <v>0</v>
      </c>
      <c r="J2660" s="4">
        <v>72.05</v>
      </c>
      <c r="K2660" s="4">
        <v>0</v>
      </c>
      <c r="L2660" s="4">
        <v>0</v>
      </c>
      <c r="M2660" s="4">
        <f t="shared" si="123"/>
        <v>-0.04</v>
      </c>
      <c r="N2660" s="4">
        <f t="shared" si="124"/>
        <v>-72.05</v>
      </c>
      <c r="O2660" s="4">
        <f t="shared" si="125"/>
        <v>0</v>
      </c>
      <c r="P2660" s="3" t="s">
        <v>19</v>
      </c>
    </row>
    <row r="2661" spans="1:16" x14ac:dyDescent="0.35">
      <c r="A2661" s="3" t="s">
        <v>31</v>
      </c>
      <c r="B2661" s="3" t="str">
        <f>INDEX(State_Region!$B$2:$B$26,MATCH(TRIM(A2661),State_Region!$A$2:$A$26,0))</f>
        <v>East</v>
      </c>
      <c r="C2661" s="3" t="s">
        <v>169</v>
      </c>
      <c r="D2661" s="3" t="str">
        <f>INDEX(Port_Type!$B$2:$B$227,MATCH(TRIM(C2661),Port_Type!$A$2:$A$227,0))</f>
        <v>Land Border / Rail</v>
      </c>
      <c r="E2661" s="3" t="s">
        <v>55</v>
      </c>
      <c r="F2661" s="3" t="str">
        <f>INDEX(Product_Category!$B$2:$B$45,MATCH(TRIM(E2661),Product_Category!$A$2:$A$45,0))</f>
        <v>Fresh Fruits &amp; Vegetables</v>
      </c>
      <c r="G2661" s="4">
        <v>0.1</v>
      </c>
      <c r="H2661" s="4">
        <v>0.21</v>
      </c>
      <c r="I2661" s="4">
        <v>0</v>
      </c>
      <c r="J2661" s="4">
        <v>297.89999999999998</v>
      </c>
      <c r="K2661" s="4">
        <v>750</v>
      </c>
      <c r="L2661" s="4">
        <v>0</v>
      </c>
      <c r="M2661" s="4">
        <f t="shared" si="123"/>
        <v>0.10999999999999999</v>
      </c>
      <c r="N2661" s="4">
        <f t="shared" si="124"/>
        <v>452.1</v>
      </c>
      <c r="O2661" s="4">
        <f t="shared" si="125"/>
        <v>-0.21</v>
      </c>
      <c r="P2661" s="3" t="s">
        <v>19</v>
      </c>
    </row>
    <row r="2662" spans="1:16" x14ac:dyDescent="0.35">
      <c r="A2662" s="3" t="s">
        <v>31</v>
      </c>
      <c r="B2662" s="3" t="str">
        <f>INDEX(State_Region!$B$2:$B$26,MATCH(TRIM(A2662),State_Region!$A$2:$A$26,0))</f>
        <v>East</v>
      </c>
      <c r="C2662" s="3" t="s">
        <v>169</v>
      </c>
      <c r="D2662" s="3" t="str">
        <f>INDEX(Port_Type!$B$2:$B$227,MATCH(TRIM(C2662),Port_Type!$A$2:$A$227,0))</f>
        <v>Land Border / Rail</v>
      </c>
      <c r="E2662" s="3" t="s">
        <v>53</v>
      </c>
      <c r="F2662" s="3" t="str">
        <f>INDEX(Product_Category!$B$2:$B$45,MATCH(TRIM(E2662),Product_Category!$A$2:$A$45,0))</f>
        <v>Processed Foods</v>
      </c>
      <c r="G2662" s="4">
        <v>0.04</v>
      </c>
      <c r="H2662" s="4">
        <v>0</v>
      </c>
      <c r="I2662" s="4">
        <v>0</v>
      </c>
      <c r="J2662" s="4">
        <v>57.9</v>
      </c>
      <c r="K2662" s="4">
        <v>0</v>
      </c>
      <c r="L2662" s="4">
        <v>0</v>
      </c>
      <c r="M2662" s="4">
        <f t="shared" si="123"/>
        <v>-0.04</v>
      </c>
      <c r="N2662" s="4">
        <f t="shared" si="124"/>
        <v>-57.9</v>
      </c>
      <c r="O2662" s="4">
        <f t="shared" si="125"/>
        <v>0</v>
      </c>
      <c r="P2662" s="3" t="s">
        <v>19</v>
      </c>
    </row>
    <row r="2663" spans="1:16" x14ac:dyDescent="0.35">
      <c r="A2663" s="3" t="s">
        <v>86</v>
      </c>
      <c r="B2663" s="3" t="str">
        <f>INDEX(State_Region!$B$2:$B$26,MATCH(TRIM(A2663),State_Region!$A$2:$A$26,0))</f>
        <v>North</v>
      </c>
      <c r="C2663" s="3" t="s">
        <v>106</v>
      </c>
      <c r="D2663" s="3" t="str">
        <f>INDEX(Port_Type!$B$2:$B$227,MATCH(TRIM(C2663),Port_Type!$A$2:$A$227,0))</f>
        <v>Inland ICD / CFS</v>
      </c>
      <c r="E2663" s="3" t="s">
        <v>181</v>
      </c>
      <c r="F2663" s="3" t="str">
        <f>INDEX(Product_Category!$B$2:$B$45,MATCH(TRIM(E2663),Product_Category!$A$2:$A$45,0))</f>
        <v>Nuts &amp; Oilseeds</v>
      </c>
      <c r="G2663" s="4">
        <v>0</v>
      </c>
      <c r="H2663" s="4">
        <v>0</v>
      </c>
      <c r="I2663" s="4">
        <v>0</v>
      </c>
      <c r="J2663" s="4">
        <v>0.37</v>
      </c>
      <c r="K2663" s="4">
        <v>0</v>
      </c>
      <c r="L2663" s="4">
        <v>0</v>
      </c>
      <c r="M2663" s="4">
        <f t="shared" si="123"/>
        <v>0</v>
      </c>
      <c r="N2663" s="4">
        <f t="shared" si="124"/>
        <v>-0.37</v>
      </c>
      <c r="O2663" s="4">
        <f t="shared" si="125"/>
        <v>0</v>
      </c>
      <c r="P2663" s="3" t="s">
        <v>19</v>
      </c>
    </row>
    <row r="2664" spans="1:16" x14ac:dyDescent="0.35">
      <c r="A2664" s="3" t="s">
        <v>31</v>
      </c>
      <c r="B2664" s="3" t="str">
        <f>INDEX(State_Region!$B$2:$B$26,MATCH(TRIM(A2664),State_Region!$A$2:$A$26,0))</f>
        <v>East</v>
      </c>
      <c r="C2664" s="3" t="s">
        <v>169</v>
      </c>
      <c r="D2664" s="3" t="str">
        <f>INDEX(Port_Type!$B$2:$B$227,MATCH(TRIM(C2664),Port_Type!$A$2:$A$227,0))</f>
        <v>Land Border / Rail</v>
      </c>
      <c r="E2664" s="3" t="s">
        <v>39</v>
      </c>
      <c r="F2664" s="3" t="str">
        <f>INDEX(Product_Category!$B$2:$B$45,MATCH(TRIM(E2664),Product_Category!$A$2:$A$45,0))</f>
        <v>Processed Foods</v>
      </c>
      <c r="G2664" s="4">
        <v>0.01</v>
      </c>
      <c r="H2664" s="4">
        <v>0</v>
      </c>
      <c r="I2664" s="4">
        <v>0</v>
      </c>
      <c r="J2664" s="4">
        <v>15</v>
      </c>
      <c r="K2664" s="4">
        <v>0</v>
      </c>
      <c r="L2664" s="4">
        <v>0</v>
      </c>
      <c r="M2664" s="4">
        <f t="shared" si="123"/>
        <v>-0.01</v>
      </c>
      <c r="N2664" s="4">
        <f t="shared" si="124"/>
        <v>-15</v>
      </c>
      <c r="O2664" s="4">
        <f t="shared" si="125"/>
        <v>0</v>
      </c>
      <c r="P2664" s="3" t="s">
        <v>19</v>
      </c>
    </row>
    <row r="2665" spans="1:16" x14ac:dyDescent="0.35">
      <c r="A2665" s="3" t="s">
        <v>31</v>
      </c>
      <c r="B2665" s="3" t="str">
        <f>INDEX(State_Region!$B$2:$B$26,MATCH(TRIM(A2665),State_Region!$A$2:$A$26,0))</f>
        <v>East</v>
      </c>
      <c r="C2665" s="3" t="s">
        <v>169</v>
      </c>
      <c r="D2665" s="3" t="str">
        <f>INDEX(Port_Type!$B$2:$B$227,MATCH(TRIM(C2665),Port_Type!$A$2:$A$227,0))</f>
        <v>Land Border / Rail</v>
      </c>
      <c r="E2665" s="3" t="s">
        <v>27</v>
      </c>
      <c r="F2665" s="3" t="str">
        <f>INDEX(Product_Category!$B$2:$B$45,MATCH(TRIM(E2665),Product_Category!$A$2:$A$45,0))</f>
        <v>Cereals &amp; Grains</v>
      </c>
      <c r="G2665" s="4">
        <v>0</v>
      </c>
      <c r="H2665" s="4">
        <v>0.04</v>
      </c>
      <c r="I2665" s="4">
        <v>0</v>
      </c>
      <c r="J2665" s="4">
        <v>0</v>
      </c>
      <c r="K2665" s="4">
        <v>100</v>
      </c>
      <c r="L2665" s="4">
        <v>0</v>
      </c>
      <c r="M2665" s="4">
        <f t="shared" si="123"/>
        <v>0.04</v>
      </c>
      <c r="N2665" s="4">
        <f t="shared" si="124"/>
        <v>100</v>
      </c>
      <c r="O2665" s="4">
        <f t="shared" si="125"/>
        <v>-0.04</v>
      </c>
      <c r="P2665" s="3" t="s">
        <v>19</v>
      </c>
    </row>
    <row r="2666" spans="1:16" x14ac:dyDescent="0.35">
      <c r="A2666" s="3" t="s">
        <v>31</v>
      </c>
      <c r="B2666" s="3" t="str">
        <f>INDEX(State_Region!$B$2:$B$26,MATCH(TRIM(A2666),State_Region!$A$2:$A$26,0))</f>
        <v>East</v>
      </c>
      <c r="C2666" s="3" t="s">
        <v>169</v>
      </c>
      <c r="D2666" s="3" t="str">
        <f>INDEX(Port_Type!$B$2:$B$227,MATCH(TRIM(C2666),Port_Type!$A$2:$A$227,0))</f>
        <v>Land Border / Rail</v>
      </c>
      <c r="E2666" s="3" t="s">
        <v>102</v>
      </c>
      <c r="F2666" s="3" t="str">
        <f>INDEX(Product_Category!$B$2:$B$45,MATCH(TRIM(E2666),Product_Category!$A$2:$A$45,0))</f>
        <v>Fresh Fruits &amp; Vegetables</v>
      </c>
      <c r="G2666" s="4">
        <v>0.21</v>
      </c>
      <c r="H2666" s="4">
        <v>0.06</v>
      </c>
      <c r="I2666" s="4">
        <v>0</v>
      </c>
      <c r="J2666" s="4">
        <v>1212.03</v>
      </c>
      <c r="K2666" s="4">
        <v>188.1</v>
      </c>
      <c r="L2666" s="4">
        <v>0</v>
      </c>
      <c r="M2666" s="4">
        <f t="shared" si="123"/>
        <v>-0.15</v>
      </c>
      <c r="N2666" s="4">
        <f t="shared" si="124"/>
        <v>-1023.93</v>
      </c>
      <c r="O2666" s="4">
        <f t="shared" si="125"/>
        <v>-0.06</v>
      </c>
      <c r="P2666" s="3" t="s">
        <v>19</v>
      </c>
    </row>
    <row r="2667" spans="1:16" x14ac:dyDescent="0.35">
      <c r="A2667" s="3" t="s">
        <v>86</v>
      </c>
      <c r="B2667" s="3" t="str">
        <f>INDEX(State_Region!$B$2:$B$26,MATCH(TRIM(A2667),State_Region!$A$2:$A$26,0))</f>
        <v>North</v>
      </c>
      <c r="C2667" s="3" t="s">
        <v>106</v>
      </c>
      <c r="D2667" s="3" t="str">
        <f>INDEX(Port_Type!$B$2:$B$227,MATCH(TRIM(C2667),Port_Type!$A$2:$A$227,0))</f>
        <v>Inland ICD / CFS</v>
      </c>
      <c r="E2667" s="3" t="s">
        <v>76</v>
      </c>
      <c r="F2667" s="3" t="str">
        <f>INDEX(Product_Category!$B$2:$B$45,MATCH(TRIM(E2667),Product_Category!$A$2:$A$45,0))</f>
        <v>Fresh Fruits &amp; Vegetables</v>
      </c>
      <c r="G2667" s="4">
        <v>0</v>
      </c>
      <c r="H2667" s="4">
        <v>0</v>
      </c>
      <c r="I2667" s="4">
        <v>0</v>
      </c>
      <c r="J2667" s="4">
        <v>0</v>
      </c>
      <c r="K2667" s="4">
        <v>0</v>
      </c>
      <c r="L2667" s="4">
        <v>0</v>
      </c>
      <c r="M2667" s="4">
        <f t="shared" si="123"/>
        <v>0</v>
      </c>
      <c r="N2667" s="4">
        <f t="shared" si="124"/>
        <v>0</v>
      </c>
      <c r="O2667" s="4">
        <f t="shared" si="125"/>
        <v>0</v>
      </c>
      <c r="P2667" s="3" t="s">
        <v>19</v>
      </c>
    </row>
    <row r="2668" spans="1:16" x14ac:dyDescent="0.35">
      <c r="A2668" s="3" t="s">
        <v>86</v>
      </c>
      <c r="B2668" s="3" t="str">
        <f>INDEX(State_Region!$B$2:$B$26,MATCH(TRIM(A2668),State_Region!$A$2:$A$26,0))</f>
        <v>North</v>
      </c>
      <c r="C2668" s="3" t="s">
        <v>106</v>
      </c>
      <c r="D2668" s="3" t="str">
        <f>INDEX(Port_Type!$B$2:$B$227,MATCH(TRIM(C2668),Port_Type!$A$2:$A$227,0))</f>
        <v>Inland ICD / CFS</v>
      </c>
      <c r="E2668" s="3" t="s">
        <v>122</v>
      </c>
      <c r="F2668" s="3" t="str">
        <f>INDEX(Product_Category!$B$2:$B$45,MATCH(TRIM(E2668),Product_Category!$A$2:$A$45,0))</f>
        <v>Others</v>
      </c>
      <c r="G2668" s="4">
        <v>0.01</v>
      </c>
      <c r="H2668" s="4">
        <v>0.02</v>
      </c>
      <c r="I2668" s="4">
        <v>0</v>
      </c>
      <c r="J2668" s="4">
        <v>0.56999999999999995</v>
      </c>
      <c r="K2668" s="4">
        <v>1.96</v>
      </c>
      <c r="L2668" s="4">
        <v>0</v>
      </c>
      <c r="M2668" s="4">
        <f t="shared" si="123"/>
        <v>0.01</v>
      </c>
      <c r="N2668" s="4">
        <f t="shared" si="124"/>
        <v>1.3900000000000001</v>
      </c>
      <c r="O2668" s="4">
        <f t="shared" si="125"/>
        <v>-0.02</v>
      </c>
      <c r="P2668" s="3" t="s">
        <v>19</v>
      </c>
    </row>
    <row r="2669" spans="1:16" x14ac:dyDescent="0.35">
      <c r="A2669" s="3" t="s">
        <v>31</v>
      </c>
      <c r="B2669" s="3" t="str">
        <f>INDEX(State_Region!$B$2:$B$26,MATCH(TRIM(A2669),State_Region!$A$2:$A$26,0))</f>
        <v>East</v>
      </c>
      <c r="C2669" s="3" t="s">
        <v>217</v>
      </c>
      <c r="D2669" s="3" t="str">
        <f>INDEX(Port_Type!$B$2:$B$227,MATCH(TRIM(C2669),Port_Type!$A$2:$A$227,0))</f>
        <v>SEZ / EPZ</v>
      </c>
      <c r="E2669" s="3" t="s">
        <v>170</v>
      </c>
      <c r="F2669" s="3" t="str">
        <f>INDEX(Product_Category!$B$2:$B$45,MATCH(TRIM(E2669),Product_Category!$A$2:$A$45,0))</f>
        <v>Others</v>
      </c>
      <c r="G2669" s="4">
        <v>0.61</v>
      </c>
      <c r="H2669" s="4">
        <v>0.02</v>
      </c>
      <c r="I2669" s="4">
        <v>0</v>
      </c>
      <c r="J2669" s="4">
        <v>180</v>
      </c>
      <c r="K2669" s="4">
        <v>26.25</v>
      </c>
      <c r="L2669" s="4">
        <v>0</v>
      </c>
      <c r="M2669" s="4">
        <f t="shared" si="123"/>
        <v>-0.59</v>
      </c>
      <c r="N2669" s="4">
        <f t="shared" si="124"/>
        <v>-153.75</v>
      </c>
      <c r="O2669" s="4">
        <f t="shared" si="125"/>
        <v>-0.02</v>
      </c>
      <c r="P2669" s="3" t="s">
        <v>19</v>
      </c>
    </row>
    <row r="2670" spans="1:16" x14ac:dyDescent="0.35">
      <c r="A2670" s="3" t="s">
        <v>86</v>
      </c>
      <c r="B2670" s="3" t="str">
        <f>INDEX(State_Region!$B$2:$B$26,MATCH(TRIM(A2670),State_Region!$A$2:$A$26,0))</f>
        <v>North</v>
      </c>
      <c r="C2670" s="3" t="s">
        <v>106</v>
      </c>
      <c r="D2670" s="3" t="str">
        <f>INDEX(Port_Type!$B$2:$B$227,MATCH(TRIM(C2670),Port_Type!$A$2:$A$227,0))</f>
        <v>Inland ICD / CFS</v>
      </c>
      <c r="E2670" s="3" t="s">
        <v>110</v>
      </c>
      <c r="F2670" s="3" t="str">
        <f>INDEX(Product_Category!$B$2:$B$45,MATCH(TRIM(E2670),Product_Category!$A$2:$A$45,0))</f>
        <v>Dairy, Poultry &amp; Honey</v>
      </c>
      <c r="G2670" s="4">
        <v>0</v>
      </c>
      <c r="H2670" s="4">
        <v>0</v>
      </c>
      <c r="I2670" s="4">
        <v>0</v>
      </c>
      <c r="J2670" s="4">
        <v>0.1</v>
      </c>
      <c r="K2670" s="4">
        <v>0</v>
      </c>
      <c r="L2670" s="4">
        <v>0</v>
      </c>
      <c r="M2670" s="4">
        <f t="shared" si="123"/>
        <v>0</v>
      </c>
      <c r="N2670" s="4">
        <f t="shared" si="124"/>
        <v>-0.1</v>
      </c>
      <c r="O2670" s="4">
        <f t="shared" si="125"/>
        <v>0</v>
      </c>
      <c r="P2670" s="3" t="s">
        <v>19</v>
      </c>
    </row>
    <row r="2671" spans="1:16" x14ac:dyDescent="0.35">
      <c r="A2671" s="3" t="s">
        <v>86</v>
      </c>
      <c r="B2671" s="3" t="str">
        <f>INDEX(State_Region!$B$2:$B$26,MATCH(TRIM(A2671),State_Region!$A$2:$A$26,0))</f>
        <v>North</v>
      </c>
      <c r="C2671" s="3" t="s">
        <v>106</v>
      </c>
      <c r="D2671" s="3" t="str">
        <f>INDEX(Port_Type!$B$2:$B$227,MATCH(TRIM(C2671),Port_Type!$A$2:$A$227,0))</f>
        <v>Inland ICD / CFS</v>
      </c>
      <c r="E2671" s="3" t="s">
        <v>81</v>
      </c>
      <c r="F2671" s="3" t="str">
        <f>INDEX(Product_Category!$B$2:$B$45,MATCH(TRIM(E2671),Product_Category!$A$2:$A$45,0))</f>
        <v>Processed Foods</v>
      </c>
      <c r="G2671" s="4">
        <v>0</v>
      </c>
      <c r="H2671" s="4">
        <v>0.01</v>
      </c>
      <c r="I2671" s="4">
        <v>0</v>
      </c>
      <c r="J2671" s="4">
        <v>1.9</v>
      </c>
      <c r="K2671" s="4">
        <v>4.28</v>
      </c>
      <c r="L2671" s="4">
        <v>0</v>
      </c>
      <c r="M2671" s="4">
        <f t="shared" si="123"/>
        <v>0.01</v>
      </c>
      <c r="N2671" s="4">
        <f t="shared" si="124"/>
        <v>2.3800000000000003</v>
      </c>
      <c r="O2671" s="4">
        <f t="shared" si="125"/>
        <v>-0.01</v>
      </c>
      <c r="P2671" s="3" t="s">
        <v>19</v>
      </c>
    </row>
    <row r="2672" spans="1:16" x14ac:dyDescent="0.35">
      <c r="A2672" s="3" t="s">
        <v>31</v>
      </c>
      <c r="B2672" s="3" t="str">
        <f>INDEX(State_Region!$B$2:$B$26,MATCH(TRIM(A2672),State_Region!$A$2:$A$26,0))</f>
        <v>East</v>
      </c>
      <c r="C2672" s="3" t="s">
        <v>152</v>
      </c>
      <c r="D2672" s="3" t="str">
        <f>INDEX(Port_Type!$B$2:$B$227,MATCH(TRIM(C2672),Port_Type!$A$2:$A$227,0))</f>
        <v>Land Border / Rail</v>
      </c>
      <c r="E2672" s="3" t="s">
        <v>55</v>
      </c>
      <c r="F2672" s="3" t="str">
        <f>INDEX(Product_Category!$B$2:$B$45,MATCH(TRIM(E2672),Product_Category!$A$2:$A$45,0))</f>
        <v>Fresh Fruits &amp; Vegetables</v>
      </c>
      <c r="G2672" s="4">
        <v>76.739999999999995</v>
      </c>
      <c r="H2672" s="4">
        <v>11.91</v>
      </c>
      <c r="I2672" s="4">
        <v>0</v>
      </c>
      <c r="J2672" s="4">
        <v>284905.08</v>
      </c>
      <c r="K2672" s="4">
        <v>38747.980000000003</v>
      </c>
      <c r="L2672" s="4">
        <v>0</v>
      </c>
      <c r="M2672" s="4">
        <f t="shared" si="123"/>
        <v>-64.83</v>
      </c>
      <c r="N2672" s="4">
        <f t="shared" si="124"/>
        <v>-246157.1</v>
      </c>
      <c r="O2672" s="4">
        <f t="shared" si="125"/>
        <v>-11.91</v>
      </c>
      <c r="P2672" s="3" t="s">
        <v>19</v>
      </c>
    </row>
    <row r="2673" spans="1:16" x14ac:dyDescent="0.35">
      <c r="A2673" s="3" t="s">
        <v>86</v>
      </c>
      <c r="B2673" s="3" t="str">
        <f>INDEX(State_Region!$B$2:$B$26,MATCH(TRIM(A2673),State_Region!$A$2:$A$26,0))</f>
        <v>North</v>
      </c>
      <c r="C2673" s="3" t="s">
        <v>106</v>
      </c>
      <c r="D2673" s="3" t="str">
        <f>INDEX(Port_Type!$B$2:$B$227,MATCH(TRIM(C2673),Port_Type!$A$2:$A$227,0))</f>
        <v>Inland ICD / CFS</v>
      </c>
      <c r="E2673" s="3" t="s">
        <v>142</v>
      </c>
      <c r="F2673" s="3" t="str">
        <f>INDEX(Product_Category!$B$2:$B$45,MATCH(TRIM(E2673),Product_Category!$A$2:$A$45,0))</f>
        <v>Nuts &amp; Oilseeds</v>
      </c>
      <c r="G2673" s="4">
        <v>0.01</v>
      </c>
      <c r="H2673" s="4">
        <v>0</v>
      </c>
      <c r="I2673" s="4">
        <v>0</v>
      </c>
      <c r="J2673" s="4">
        <v>0.8</v>
      </c>
      <c r="K2673" s="4">
        <v>0</v>
      </c>
      <c r="L2673" s="4">
        <v>0</v>
      </c>
      <c r="M2673" s="4">
        <f t="shared" si="123"/>
        <v>-0.01</v>
      </c>
      <c r="N2673" s="4">
        <f t="shared" si="124"/>
        <v>-0.8</v>
      </c>
      <c r="O2673" s="4">
        <f t="shared" si="125"/>
        <v>0</v>
      </c>
      <c r="P2673" s="3" t="s">
        <v>19</v>
      </c>
    </row>
    <row r="2674" spans="1:16" x14ac:dyDescent="0.35">
      <c r="A2674" s="3" t="s">
        <v>86</v>
      </c>
      <c r="B2674" s="3" t="str">
        <f>INDEX(State_Region!$B$2:$B$26,MATCH(TRIM(A2674),State_Region!$A$2:$A$26,0))</f>
        <v>North</v>
      </c>
      <c r="C2674" s="3" t="s">
        <v>106</v>
      </c>
      <c r="D2674" s="3" t="str">
        <f>INDEX(Port_Type!$B$2:$B$227,MATCH(TRIM(C2674),Port_Type!$A$2:$A$227,0))</f>
        <v>Inland ICD / CFS</v>
      </c>
      <c r="E2674" s="3" t="s">
        <v>179</v>
      </c>
      <c r="F2674" s="3" t="str">
        <f>INDEX(Product_Category!$B$2:$B$45,MATCH(TRIM(E2674),Product_Category!$A$2:$A$45,0))</f>
        <v>Nuts &amp; Oilseeds</v>
      </c>
      <c r="G2674" s="4">
        <v>0</v>
      </c>
      <c r="H2674" s="4">
        <v>0.02</v>
      </c>
      <c r="I2674" s="4">
        <v>0</v>
      </c>
      <c r="J2674" s="4">
        <v>0.16</v>
      </c>
      <c r="K2674" s="4">
        <v>1.6</v>
      </c>
      <c r="L2674" s="4">
        <v>0</v>
      </c>
      <c r="M2674" s="4">
        <f t="shared" si="123"/>
        <v>0.02</v>
      </c>
      <c r="N2674" s="4">
        <f t="shared" si="124"/>
        <v>1.4400000000000002</v>
      </c>
      <c r="O2674" s="4">
        <f t="shared" si="125"/>
        <v>-0.02</v>
      </c>
      <c r="P2674" s="3" t="s">
        <v>19</v>
      </c>
    </row>
    <row r="2675" spans="1:16" x14ac:dyDescent="0.35">
      <c r="A2675" s="3" t="s">
        <v>86</v>
      </c>
      <c r="B2675" s="3" t="str">
        <f>INDEX(State_Region!$B$2:$B$26,MATCH(TRIM(A2675),State_Region!$A$2:$A$26,0))</f>
        <v>North</v>
      </c>
      <c r="C2675" s="3" t="s">
        <v>106</v>
      </c>
      <c r="D2675" s="3" t="str">
        <f>INDEX(Port_Type!$B$2:$B$227,MATCH(TRIM(C2675),Port_Type!$A$2:$A$227,0))</f>
        <v>Inland ICD / CFS</v>
      </c>
      <c r="E2675" s="3" t="s">
        <v>114</v>
      </c>
      <c r="F2675" s="3" t="str">
        <f>INDEX(Product_Category!$B$2:$B$45,MATCH(TRIM(E2675),Product_Category!$A$2:$A$45,0))</f>
        <v>Dairy, Poultry &amp; Honey</v>
      </c>
      <c r="G2675" s="4">
        <v>0.09</v>
      </c>
      <c r="H2675" s="4">
        <v>0</v>
      </c>
      <c r="I2675" s="4">
        <v>0</v>
      </c>
      <c r="J2675" s="4">
        <v>8.6199999999999992</v>
      </c>
      <c r="K2675" s="4">
        <v>1</v>
      </c>
      <c r="L2675" s="4">
        <v>0</v>
      </c>
      <c r="M2675" s="4">
        <f t="shared" si="123"/>
        <v>-0.09</v>
      </c>
      <c r="N2675" s="4">
        <f t="shared" si="124"/>
        <v>-7.6199999999999992</v>
      </c>
      <c r="O2675" s="4">
        <f t="shared" si="125"/>
        <v>0</v>
      </c>
      <c r="P2675" s="3" t="s">
        <v>19</v>
      </c>
    </row>
    <row r="2676" spans="1:16" x14ac:dyDescent="0.35">
      <c r="A2676" s="3" t="s">
        <v>31</v>
      </c>
      <c r="B2676" s="3" t="str">
        <f>INDEX(State_Region!$B$2:$B$26,MATCH(TRIM(A2676),State_Region!$A$2:$A$26,0))</f>
        <v>East</v>
      </c>
      <c r="C2676" s="3" t="s">
        <v>152</v>
      </c>
      <c r="D2676" s="3" t="str">
        <f>INDEX(Port_Type!$B$2:$B$227,MATCH(TRIM(C2676),Port_Type!$A$2:$A$227,0))</f>
        <v>Land Border / Rail</v>
      </c>
      <c r="E2676" s="3" t="s">
        <v>116</v>
      </c>
      <c r="F2676" s="3" t="str">
        <f>INDEX(Product_Category!$B$2:$B$45,MATCH(TRIM(E2676),Product_Category!$A$2:$A$45,0))</f>
        <v>Others</v>
      </c>
      <c r="G2676" s="4">
        <v>0.06</v>
      </c>
      <c r="H2676" s="4">
        <v>0</v>
      </c>
      <c r="I2676" s="4">
        <v>0</v>
      </c>
      <c r="J2676" s="4">
        <v>315.38</v>
      </c>
      <c r="K2676" s="4">
        <v>0</v>
      </c>
      <c r="L2676" s="4">
        <v>0</v>
      </c>
      <c r="M2676" s="4">
        <f t="shared" si="123"/>
        <v>-0.06</v>
      </c>
      <c r="N2676" s="4">
        <f t="shared" si="124"/>
        <v>-315.38</v>
      </c>
      <c r="O2676" s="4">
        <f t="shared" si="125"/>
        <v>0</v>
      </c>
      <c r="P2676" s="3" t="s">
        <v>19</v>
      </c>
    </row>
    <row r="2677" spans="1:16" x14ac:dyDescent="0.35">
      <c r="A2677" s="3" t="s">
        <v>86</v>
      </c>
      <c r="B2677" s="3" t="str">
        <f>INDEX(State_Region!$B$2:$B$26,MATCH(TRIM(A2677),State_Region!$A$2:$A$26,0))</f>
        <v>North</v>
      </c>
      <c r="C2677" s="3" t="s">
        <v>87</v>
      </c>
      <c r="D2677" s="3" t="str">
        <f>INDEX(Port_Type!$B$2:$B$227,MATCH(TRIM(C2677),Port_Type!$A$2:$A$227,0))</f>
        <v>Air Cargo</v>
      </c>
      <c r="E2677" s="3" t="s">
        <v>113</v>
      </c>
      <c r="F2677" s="3" t="str">
        <f>INDEX(Product_Category!$B$2:$B$45,MATCH(TRIM(E2677),Product_Category!$A$2:$A$45,0))</f>
        <v>Cereals &amp; Grains</v>
      </c>
      <c r="G2677" s="4">
        <v>0</v>
      </c>
      <c r="H2677" s="4">
        <v>0</v>
      </c>
      <c r="I2677" s="4">
        <v>0</v>
      </c>
      <c r="J2677" s="4">
        <v>0.03</v>
      </c>
      <c r="K2677" s="4">
        <v>0</v>
      </c>
      <c r="L2677" s="4">
        <v>0</v>
      </c>
      <c r="M2677" s="4">
        <f t="shared" si="123"/>
        <v>0</v>
      </c>
      <c r="N2677" s="4">
        <f t="shared" si="124"/>
        <v>-0.03</v>
      </c>
      <c r="O2677" s="4">
        <f t="shared" si="125"/>
        <v>0</v>
      </c>
      <c r="P2677" s="3" t="s">
        <v>19</v>
      </c>
    </row>
    <row r="2678" spans="1:16" x14ac:dyDescent="0.35">
      <c r="A2678" s="3" t="s">
        <v>31</v>
      </c>
      <c r="B2678" s="3" t="str">
        <f>INDEX(State_Region!$B$2:$B$26,MATCH(TRIM(A2678),State_Region!$A$2:$A$26,0))</f>
        <v>East</v>
      </c>
      <c r="C2678" s="3" t="s">
        <v>101</v>
      </c>
      <c r="D2678" s="3" t="str">
        <f>INDEX(Port_Type!$B$2:$B$227,MATCH(TRIM(C2678),Port_Type!$A$2:$A$227,0))</f>
        <v>Land Border / Rail</v>
      </c>
      <c r="E2678" s="3" t="s">
        <v>18</v>
      </c>
      <c r="F2678" s="3" t="str">
        <f>INDEX(Product_Category!$B$2:$B$45,MATCH(TRIM(E2678),Product_Category!$A$2:$A$45,0))</f>
        <v>Cereals &amp; Grains</v>
      </c>
      <c r="G2678" s="4">
        <v>0.1</v>
      </c>
      <c r="H2678" s="4">
        <v>0.11</v>
      </c>
      <c r="I2678" s="4">
        <v>0</v>
      </c>
      <c r="J2678" s="4">
        <v>93.3</v>
      </c>
      <c r="K2678" s="4">
        <v>238.95</v>
      </c>
      <c r="L2678" s="4">
        <v>0</v>
      </c>
      <c r="M2678" s="4">
        <f t="shared" si="123"/>
        <v>9.999999999999995E-3</v>
      </c>
      <c r="N2678" s="4">
        <f t="shared" si="124"/>
        <v>145.64999999999998</v>
      </c>
      <c r="O2678" s="4">
        <f t="shared" si="125"/>
        <v>-0.11</v>
      </c>
      <c r="P2678" s="3" t="s">
        <v>19</v>
      </c>
    </row>
    <row r="2679" spans="1:16" x14ac:dyDescent="0.35">
      <c r="A2679" s="3" t="s">
        <v>31</v>
      </c>
      <c r="B2679" s="3" t="str">
        <f>INDEX(State_Region!$B$2:$B$26,MATCH(TRIM(A2679),State_Region!$A$2:$A$26,0))</f>
        <v>East</v>
      </c>
      <c r="C2679" s="3" t="s">
        <v>101</v>
      </c>
      <c r="D2679" s="3" t="str">
        <f>INDEX(Port_Type!$B$2:$B$227,MATCH(TRIM(C2679),Port_Type!$A$2:$A$227,0))</f>
        <v>Land Border / Rail</v>
      </c>
      <c r="E2679" s="3" t="s">
        <v>22</v>
      </c>
      <c r="F2679" s="3" t="str">
        <f>INDEX(Product_Category!$B$2:$B$45,MATCH(TRIM(E2679),Product_Category!$A$2:$A$45,0))</f>
        <v>Meat &amp; Animal Products</v>
      </c>
      <c r="G2679" s="4">
        <v>0</v>
      </c>
      <c r="H2679" s="4">
        <v>0</v>
      </c>
      <c r="I2679" s="4">
        <v>0</v>
      </c>
      <c r="J2679" s="4">
        <v>1</v>
      </c>
      <c r="K2679" s="4">
        <v>0</v>
      </c>
      <c r="L2679" s="4">
        <v>0</v>
      </c>
      <c r="M2679" s="4">
        <f t="shared" si="123"/>
        <v>0</v>
      </c>
      <c r="N2679" s="4">
        <f t="shared" si="124"/>
        <v>-1</v>
      </c>
      <c r="O2679" s="4">
        <f t="shared" si="125"/>
        <v>0</v>
      </c>
      <c r="P2679" s="3" t="s">
        <v>19</v>
      </c>
    </row>
    <row r="2680" spans="1:16" x14ac:dyDescent="0.35">
      <c r="A2680" s="3" t="s">
        <v>86</v>
      </c>
      <c r="B2680" s="3" t="str">
        <f>INDEX(State_Region!$B$2:$B$26,MATCH(TRIM(A2680),State_Region!$A$2:$A$26,0))</f>
        <v>North</v>
      </c>
      <c r="C2680" s="3" t="s">
        <v>87</v>
      </c>
      <c r="D2680" s="3" t="str">
        <f>INDEX(Port_Type!$B$2:$B$227,MATCH(TRIM(C2680),Port_Type!$A$2:$A$227,0))</f>
        <v>Air Cargo</v>
      </c>
      <c r="E2680" s="3" t="s">
        <v>126</v>
      </c>
      <c r="F2680" s="3" t="str">
        <f>INDEX(Product_Category!$B$2:$B$45,MATCH(TRIM(E2680),Product_Category!$A$2:$A$45,0))</f>
        <v>Cereals &amp; Grains</v>
      </c>
      <c r="G2680" s="4">
        <v>0.01</v>
      </c>
      <c r="H2680" s="4">
        <v>0.01</v>
      </c>
      <c r="I2680" s="4">
        <v>0</v>
      </c>
      <c r="J2680" s="4">
        <v>0.89</v>
      </c>
      <c r="K2680" s="4">
        <v>1.63</v>
      </c>
      <c r="L2680" s="4">
        <v>0.01</v>
      </c>
      <c r="M2680" s="4">
        <f t="shared" si="123"/>
        <v>0</v>
      </c>
      <c r="N2680" s="4">
        <f t="shared" si="124"/>
        <v>0.73999999999999988</v>
      </c>
      <c r="O2680" s="4">
        <f t="shared" si="125"/>
        <v>-0.01</v>
      </c>
      <c r="P2680" s="3" t="s">
        <v>19</v>
      </c>
    </row>
    <row r="2681" spans="1:16" x14ac:dyDescent="0.35">
      <c r="A2681" s="3" t="s">
        <v>31</v>
      </c>
      <c r="B2681" s="3" t="str">
        <f>INDEX(State_Region!$B$2:$B$26,MATCH(TRIM(A2681),State_Region!$A$2:$A$26,0))</f>
        <v>East</v>
      </c>
      <c r="C2681" s="3" t="s">
        <v>101</v>
      </c>
      <c r="D2681" s="3" t="str">
        <f>INDEX(Port_Type!$B$2:$B$227,MATCH(TRIM(C2681),Port_Type!$A$2:$A$227,0))</f>
        <v>Land Border / Rail</v>
      </c>
      <c r="E2681" s="3" t="s">
        <v>55</v>
      </c>
      <c r="F2681" s="3" t="str">
        <f>INDEX(Product_Category!$B$2:$B$45,MATCH(TRIM(E2681),Product_Category!$A$2:$A$45,0))</f>
        <v>Fresh Fruits &amp; Vegetables</v>
      </c>
      <c r="G2681" s="4">
        <v>30.04</v>
      </c>
      <c r="H2681" s="4">
        <v>3.41</v>
      </c>
      <c r="I2681" s="4">
        <v>0</v>
      </c>
      <c r="J2681" s="4">
        <v>134819.54999999999</v>
      </c>
      <c r="K2681" s="4">
        <v>13113.5</v>
      </c>
      <c r="L2681" s="4">
        <v>0</v>
      </c>
      <c r="M2681" s="4">
        <f t="shared" si="123"/>
        <v>-26.63</v>
      </c>
      <c r="N2681" s="4">
        <f t="shared" si="124"/>
        <v>-121706.04999999999</v>
      </c>
      <c r="O2681" s="4">
        <f t="shared" si="125"/>
        <v>-3.41</v>
      </c>
      <c r="P2681" s="3" t="s">
        <v>19</v>
      </c>
    </row>
    <row r="2682" spans="1:16" x14ac:dyDescent="0.35">
      <c r="A2682" s="3" t="s">
        <v>86</v>
      </c>
      <c r="B2682" s="3" t="str">
        <f>INDEX(State_Region!$B$2:$B$26,MATCH(TRIM(A2682),State_Region!$A$2:$A$26,0))</f>
        <v>North</v>
      </c>
      <c r="C2682" s="3" t="s">
        <v>87</v>
      </c>
      <c r="D2682" s="3" t="str">
        <f>INDEX(Port_Type!$B$2:$B$227,MATCH(TRIM(C2682),Port_Type!$A$2:$A$227,0))</f>
        <v>Air Cargo</v>
      </c>
      <c r="E2682" s="3" t="s">
        <v>151</v>
      </c>
      <c r="F2682" s="3" t="str">
        <f>INDEX(Product_Category!$B$2:$B$45,MATCH(TRIM(E2682),Product_Category!$A$2:$A$45,0))</f>
        <v>Processed Foods</v>
      </c>
      <c r="G2682" s="4">
        <v>0</v>
      </c>
      <c r="H2682" s="4">
        <v>0</v>
      </c>
      <c r="I2682" s="4">
        <v>0</v>
      </c>
      <c r="J2682" s="4">
        <v>0.14000000000000001</v>
      </c>
      <c r="K2682" s="4">
        <v>0</v>
      </c>
      <c r="L2682" s="4">
        <v>0</v>
      </c>
      <c r="M2682" s="4">
        <f t="shared" si="123"/>
        <v>0</v>
      </c>
      <c r="N2682" s="4">
        <f t="shared" si="124"/>
        <v>-0.14000000000000001</v>
      </c>
      <c r="O2682" s="4">
        <f t="shared" si="125"/>
        <v>0</v>
      </c>
      <c r="P2682" s="3" t="s">
        <v>19</v>
      </c>
    </row>
    <row r="2683" spans="1:16" x14ac:dyDescent="0.35">
      <c r="A2683" s="3" t="s">
        <v>31</v>
      </c>
      <c r="B2683" s="3" t="str">
        <f>INDEX(State_Region!$B$2:$B$26,MATCH(TRIM(A2683),State_Region!$A$2:$A$26,0))</f>
        <v>East</v>
      </c>
      <c r="C2683" s="3" t="s">
        <v>101</v>
      </c>
      <c r="D2683" s="3" t="str">
        <f>INDEX(Port_Type!$B$2:$B$227,MATCH(TRIM(C2683),Port_Type!$A$2:$A$227,0))</f>
        <v>Land Border / Rail</v>
      </c>
      <c r="E2683" s="3" t="s">
        <v>53</v>
      </c>
      <c r="F2683" s="3" t="str">
        <f>INDEX(Product_Category!$B$2:$B$45,MATCH(TRIM(E2683),Product_Category!$A$2:$A$45,0))</f>
        <v>Processed Foods</v>
      </c>
      <c r="G2683" s="4">
        <v>0.15</v>
      </c>
      <c r="H2683" s="4">
        <v>0.02</v>
      </c>
      <c r="I2683" s="4">
        <v>0</v>
      </c>
      <c r="J2683" s="4">
        <v>250.88</v>
      </c>
      <c r="K2683" s="4">
        <v>29.56</v>
      </c>
      <c r="L2683" s="4">
        <v>0</v>
      </c>
      <c r="M2683" s="4">
        <f t="shared" si="123"/>
        <v>-0.13</v>
      </c>
      <c r="N2683" s="4">
        <f t="shared" si="124"/>
        <v>-221.32</v>
      </c>
      <c r="O2683" s="4">
        <f t="shared" si="125"/>
        <v>-0.02</v>
      </c>
      <c r="P2683" s="3" t="s">
        <v>19</v>
      </c>
    </row>
    <row r="2684" spans="1:16" x14ac:dyDescent="0.35">
      <c r="A2684" s="3" t="s">
        <v>86</v>
      </c>
      <c r="B2684" s="3" t="str">
        <f>INDEX(State_Region!$B$2:$B$26,MATCH(TRIM(A2684),State_Region!$A$2:$A$26,0))</f>
        <v>North</v>
      </c>
      <c r="C2684" s="3" t="s">
        <v>87</v>
      </c>
      <c r="D2684" s="3" t="str">
        <f>INDEX(Port_Type!$B$2:$B$227,MATCH(TRIM(C2684),Port_Type!$A$2:$A$227,0))</f>
        <v>Air Cargo</v>
      </c>
      <c r="E2684" s="3" t="s">
        <v>51</v>
      </c>
      <c r="F2684" s="3" t="str">
        <f>INDEX(Product_Category!$B$2:$B$45,MATCH(TRIM(E2684),Product_Category!$A$2:$A$45,0))</f>
        <v>Nuts &amp; Oilseeds</v>
      </c>
      <c r="G2684" s="4">
        <v>0</v>
      </c>
      <c r="H2684" s="4">
        <v>0</v>
      </c>
      <c r="I2684" s="4">
        <v>0</v>
      </c>
      <c r="J2684" s="4">
        <v>0.2</v>
      </c>
      <c r="K2684" s="4">
        <v>0</v>
      </c>
      <c r="L2684" s="4">
        <v>0</v>
      </c>
      <c r="M2684" s="4">
        <f t="shared" si="123"/>
        <v>0</v>
      </c>
      <c r="N2684" s="4">
        <f t="shared" si="124"/>
        <v>-0.2</v>
      </c>
      <c r="O2684" s="4">
        <f t="shared" si="125"/>
        <v>0</v>
      </c>
      <c r="P2684" s="3" t="s">
        <v>19</v>
      </c>
    </row>
    <row r="2685" spans="1:16" x14ac:dyDescent="0.35">
      <c r="A2685" s="3" t="s">
        <v>86</v>
      </c>
      <c r="B2685" s="3" t="str">
        <f>INDEX(State_Region!$B$2:$B$26,MATCH(TRIM(A2685),State_Region!$A$2:$A$26,0))</f>
        <v>North</v>
      </c>
      <c r="C2685" s="3" t="s">
        <v>87</v>
      </c>
      <c r="D2685" s="3" t="str">
        <f>INDEX(Port_Type!$B$2:$B$227,MATCH(TRIM(C2685),Port_Type!$A$2:$A$227,0))</f>
        <v>Air Cargo</v>
      </c>
      <c r="E2685" s="3" t="s">
        <v>55</v>
      </c>
      <c r="F2685" s="3" t="str">
        <f>INDEX(Product_Category!$B$2:$B$45,MATCH(TRIM(E2685),Product_Category!$A$2:$A$45,0))</f>
        <v>Fresh Fruits &amp; Vegetables</v>
      </c>
      <c r="G2685" s="4">
        <v>0</v>
      </c>
      <c r="H2685" s="4">
        <v>0</v>
      </c>
      <c r="I2685" s="4">
        <v>0</v>
      </c>
      <c r="J2685" s="4">
        <v>3.61</v>
      </c>
      <c r="K2685" s="4">
        <v>0.15</v>
      </c>
      <c r="L2685" s="4">
        <v>0</v>
      </c>
      <c r="M2685" s="4">
        <f t="shared" si="123"/>
        <v>0</v>
      </c>
      <c r="N2685" s="4">
        <f t="shared" si="124"/>
        <v>-3.46</v>
      </c>
      <c r="O2685" s="4">
        <f t="shared" si="125"/>
        <v>0</v>
      </c>
      <c r="P2685" s="3" t="s">
        <v>19</v>
      </c>
    </row>
    <row r="2686" spans="1:16" x14ac:dyDescent="0.35">
      <c r="A2686" s="3" t="s">
        <v>86</v>
      </c>
      <c r="B2686" s="3" t="str">
        <f>INDEX(State_Region!$B$2:$B$26,MATCH(TRIM(A2686),State_Region!$A$2:$A$26,0))</f>
        <v>North</v>
      </c>
      <c r="C2686" s="3" t="s">
        <v>87</v>
      </c>
      <c r="D2686" s="3" t="str">
        <f>INDEX(Port_Type!$B$2:$B$227,MATCH(TRIM(C2686),Port_Type!$A$2:$A$227,0))</f>
        <v>Air Cargo</v>
      </c>
      <c r="E2686" s="3" t="s">
        <v>83</v>
      </c>
      <c r="F2686" s="3" t="str">
        <f>INDEX(Product_Category!$B$2:$B$45,MATCH(TRIM(E2686),Product_Category!$A$2:$A$45,0))</f>
        <v>Fresh Fruits &amp; Vegetables</v>
      </c>
      <c r="G2686" s="4">
        <v>0</v>
      </c>
      <c r="H2686" s="4">
        <v>0.04</v>
      </c>
      <c r="I2686" s="4">
        <v>0</v>
      </c>
      <c r="J2686" s="4">
        <v>0.03</v>
      </c>
      <c r="K2686" s="4">
        <v>25.1</v>
      </c>
      <c r="L2686" s="4">
        <v>0</v>
      </c>
      <c r="M2686" s="4">
        <f t="shared" si="123"/>
        <v>0.04</v>
      </c>
      <c r="N2686" s="4">
        <f t="shared" si="124"/>
        <v>25.07</v>
      </c>
      <c r="O2686" s="4">
        <f t="shared" si="125"/>
        <v>-0.04</v>
      </c>
      <c r="P2686" s="3" t="s">
        <v>19</v>
      </c>
    </row>
    <row r="2687" spans="1:16" x14ac:dyDescent="0.35">
      <c r="A2687" s="3" t="s">
        <v>86</v>
      </c>
      <c r="B2687" s="3" t="str">
        <f>INDEX(State_Region!$B$2:$B$26,MATCH(TRIM(A2687),State_Region!$A$2:$A$26,0))</f>
        <v>North</v>
      </c>
      <c r="C2687" s="3" t="s">
        <v>87</v>
      </c>
      <c r="D2687" s="3" t="str">
        <f>INDEX(Port_Type!$B$2:$B$227,MATCH(TRIM(C2687),Port_Type!$A$2:$A$227,0))</f>
        <v>Air Cargo</v>
      </c>
      <c r="E2687" s="3" t="s">
        <v>142</v>
      </c>
      <c r="F2687" s="3" t="str">
        <f>INDEX(Product_Category!$B$2:$B$45,MATCH(TRIM(E2687),Product_Category!$A$2:$A$45,0))</f>
        <v>Nuts &amp; Oilseeds</v>
      </c>
      <c r="G2687" s="4">
        <v>0</v>
      </c>
      <c r="H2687" s="4">
        <v>0</v>
      </c>
      <c r="I2687" s="4">
        <v>0</v>
      </c>
      <c r="J2687" s="4">
        <v>0</v>
      </c>
      <c r="K2687" s="4">
        <v>0</v>
      </c>
      <c r="L2687" s="4">
        <v>0</v>
      </c>
      <c r="M2687" s="4">
        <f t="shared" si="123"/>
        <v>0</v>
      </c>
      <c r="N2687" s="4">
        <f t="shared" si="124"/>
        <v>0</v>
      </c>
      <c r="O2687" s="4">
        <f t="shared" si="125"/>
        <v>0</v>
      </c>
      <c r="P2687" s="3" t="s">
        <v>19</v>
      </c>
    </row>
    <row r="2688" spans="1:16" x14ac:dyDescent="0.35">
      <c r="A2688" s="3" t="s">
        <v>31</v>
      </c>
      <c r="B2688" s="3" t="str">
        <f>INDEX(State_Region!$B$2:$B$26,MATCH(TRIM(A2688),State_Region!$A$2:$A$26,0))</f>
        <v>East</v>
      </c>
      <c r="C2688" s="3" t="s">
        <v>101</v>
      </c>
      <c r="D2688" s="3" t="str">
        <f>INDEX(Port_Type!$B$2:$B$227,MATCH(TRIM(C2688),Port_Type!$A$2:$A$227,0))</f>
        <v>Land Border / Rail</v>
      </c>
      <c r="E2688" s="3" t="s">
        <v>116</v>
      </c>
      <c r="F2688" s="3" t="str">
        <f>INDEX(Product_Category!$B$2:$B$45,MATCH(TRIM(E2688),Product_Category!$A$2:$A$45,0))</f>
        <v>Others</v>
      </c>
      <c r="G2688" s="4">
        <v>2.0499999999999998</v>
      </c>
      <c r="H2688" s="4">
        <v>0</v>
      </c>
      <c r="I2688" s="4">
        <v>0</v>
      </c>
      <c r="J2688" s="4">
        <v>10248.19</v>
      </c>
      <c r="K2688" s="4">
        <v>0</v>
      </c>
      <c r="L2688" s="4">
        <v>0</v>
      </c>
      <c r="M2688" s="4">
        <f t="shared" si="123"/>
        <v>-2.0499999999999998</v>
      </c>
      <c r="N2688" s="4">
        <f t="shared" si="124"/>
        <v>-10248.19</v>
      </c>
      <c r="O2688" s="4">
        <f t="shared" si="125"/>
        <v>0</v>
      </c>
      <c r="P2688" s="3" t="s">
        <v>19</v>
      </c>
    </row>
    <row r="2689" spans="1:16" x14ac:dyDescent="0.35">
      <c r="A2689" s="3" t="s">
        <v>86</v>
      </c>
      <c r="B2689" s="3" t="str">
        <f>INDEX(State_Region!$B$2:$B$26,MATCH(TRIM(A2689),State_Region!$A$2:$A$26,0))</f>
        <v>North</v>
      </c>
      <c r="C2689" s="3" t="s">
        <v>87</v>
      </c>
      <c r="D2689" s="3" t="str">
        <f>INDEX(Port_Type!$B$2:$B$227,MATCH(TRIM(C2689),Port_Type!$A$2:$A$227,0))</f>
        <v>Air Cargo</v>
      </c>
      <c r="E2689" s="3" t="s">
        <v>179</v>
      </c>
      <c r="F2689" s="3" t="str">
        <f>INDEX(Product_Category!$B$2:$B$45,MATCH(TRIM(E2689),Product_Category!$A$2:$A$45,0))</f>
        <v>Nuts &amp; Oilseeds</v>
      </c>
      <c r="G2689" s="4">
        <v>0</v>
      </c>
      <c r="H2689" s="4">
        <v>0</v>
      </c>
      <c r="I2689" s="4">
        <v>0</v>
      </c>
      <c r="J2689" s="4">
        <v>0.3</v>
      </c>
      <c r="K2689" s="4">
        <v>7.0000000000000007E-2</v>
      </c>
      <c r="L2689" s="4">
        <v>0</v>
      </c>
      <c r="M2689" s="4">
        <f t="shared" si="123"/>
        <v>0</v>
      </c>
      <c r="N2689" s="4">
        <f t="shared" si="124"/>
        <v>-0.22999999999999998</v>
      </c>
      <c r="O2689" s="4">
        <f t="shared" si="125"/>
        <v>0</v>
      </c>
      <c r="P2689" s="3" t="s">
        <v>19</v>
      </c>
    </row>
    <row r="2690" spans="1:16" x14ac:dyDescent="0.35">
      <c r="A2690" s="3" t="s">
        <v>86</v>
      </c>
      <c r="B2690" s="3" t="str">
        <f>INDEX(State_Region!$B$2:$B$26,MATCH(TRIM(A2690),State_Region!$A$2:$A$26,0))</f>
        <v>North</v>
      </c>
      <c r="C2690" s="3" t="s">
        <v>87</v>
      </c>
      <c r="D2690" s="3" t="str">
        <f>INDEX(Port_Type!$B$2:$B$227,MATCH(TRIM(C2690),Port_Type!$A$2:$A$227,0))</f>
        <v>Air Cargo</v>
      </c>
      <c r="E2690" s="3" t="s">
        <v>114</v>
      </c>
      <c r="F2690" s="3" t="str">
        <f>INDEX(Product_Category!$B$2:$B$45,MATCH(TRIM(E2690),Product_Category!$A$2:$A$45,0))</f>
        <v>Dairy, Poultry &amp; Honey</v>
      </c>
      <c r="G2690" s="4">
        <v>0.04</v>
      </c>
      <c r="H2690" s="4">
        <v>0.01</v>
      </c>
      <c r="I2690" s="4">
        <v>0</v>
      </c>
      <c r="J2690" s="4">
        <v>3.85</v>
      </c>
      <c r="K2690" s="4">
        <v>0.56000000000000005</v>
      </c>
      <c r="L2690" s="4">
        <v>0</v>
      </c>
      <c r="M2690" s="4">
        <f t="shared" ref="M2690:M2753" si="126">H2690-G2690</f>
        <v>-0.03</v>
      </c>
      <c r="N2690" s="4">
        <f t="shared" ref="N2690:N2753" si="127">K2690-J2690</f>
        <v>-3.29</v>
      </c>
      <c r="O2690" s="4">
        <f t="shared" ref="O2690:O2753" si="128">I2690-H2690</f>
        <v>-0.01</v>
      </c>
      <c r="P2690" s="3" t="s">
        <v>19</v>
      </c>
    </row>
    <row r="2691" spans="1:16" x14ac:dyDescent="0.35">
      <c r="A2691" s="3" t="s">
        <v>31</v>
      </c>
      <c r="B2691" s="3" t="str">
        <f>INDEX(State_Region!$B$2:$B$26,MATCH(TRIM(A2691),State_Region!$A$2:$A$26,0))</f>
        <v>East</v>
      </c>
      <c r="C2691" s="3" t="s">
        <v>285</v>
      </c>
      <c r="D2691" s="3" t="str">
        <f>INDEX(Port_Type!$B$2:$B$227,MATCH(TRIM(C2691),Port_Type!$A$2:$A$227,0))</f>
        <v>Inland ICD / CFS</v>
      </c>
      <c r="E2691" s="3" t="s">
        <v>27</v>
      </c>
      <c r="F2691" s="3" t="str">
        <f>INDEX(Product_Category!$B$2:$B$45,MATCH(TRIM(E2691),Product_Category!$A$2:$A$45,0))</f>
        <v>Cereals &amp; Grains</v>
      </c>
      <c r="G2691" s="4">
        <v>0.95</v>
      </c>
      <c r="H2691" s="4">
        <v>0.28000000000000003</v>
      </c>
      <c r="I2691" s="4">
        <v>0</v>
      </c>
      <c r="J2691" s="4">
        <v>2612.88</v>
      </c>
      <c r="K2691" s="4">
        <v>917.5</v>
      </c>
      <c r="L2691" s="4">
        <v>0</v>
      </c>
      <c r="M2691" s="4">
        <f t="shared" si="126"/>
        <v>-0.66999999999999993</v>
      </c>
      <c r="N2691" s="4">
        <f t="shared" si="127"/>
        <v>-1695.38</v>
      </c>
      <c r="O2691" s="4">
        <f t="shared" si="128"/>
        <v>-0.28000000000000003</v>
      </c>
      <c r="P2691" s="3" t="s">
        <v>19</v>
      </c>
    </row>
    <row r="2692" spans="1:16" x14ac:dyDescent="0.35">
      <c r="A2692" s="3" t="s">
        <v>31</v>
      </c>
      <c r="B2692" s="3" t="str">
        <f>INDEX(State_Region!$B$2:$B$26,MATCH(TRIM(A2692),State_Region!$A$2:$A$26,0))</f>
        <v>East</v>
      </c>
      <c r="C2692" s="3" t="s">
        <v>131</v>
      </c>
      <c r="D2692" s="3" t="str">
        <f>INDEX(Port_Type!$B$2:$B$227,MATCH(TRIM(C2692),Port_Type!$A$2:$A$227,0))</f>
        <v>Land Border / Rail</v>
      </c>
      <c r="E2692" s="3" t="s">
        <v>125</v>
      </c>
      <c r="F2692" s="3" t="str">
        <f>INDEX(Product_Category!$B$2:$B$45,MATCH(TRIM(E2692),Product_Category!$A$2:$A$45,0))</f>
        <v>Meat &amp; Animal Products</v>
      </c>
      <c r="G2692" s="4">
        <v>0</v>
      </c>
      <c r="H2692" s="4">
        <v>0</v>
      </c>
      <c r="I2692" s="4">
        <v>0</v>
      </c>
      <c r="J2692" s="4">
        <v>0.13</v>
      </c>
      <c r="K2692" s="4">
        <v>0.01</v>
      </c>
      <c r="L2692" s="4">
        <v>0</v>
      </c>
      <c r="M2692" s="4">
        <f t="shared" si="126"/>
        <v>0</v>
      </c>
      <c r="N2692" s="4">
        <f t="shared" si="127"/>
        <v>-0.12000000000000001</v>
      </c>
      <c r="O2692" s="4">
        <f t="shared" si="128"/>
        <v>0</v>
      </c>
      <c r="P2692" s="3" t="s">
        <v>19</v>
      </c>
    </row>
    <row r="2693" spans="1:16" x14ac:dyDescent="0.35">
      <c r="A2693" s="3" t="s">
        <v>94</v>
      </c>
      <c r="B2693" s="3" t="str">
        <f>INDEX(State_Region!$B$2:$B$26,MATCH(TRIM(A2693),State_Region!$A$2:$A$26,0))</f>
        <v>East</v>
      </c>
      <c r="C2693" s="3" t="s">
        <v>95</v>
      </c>
      <c r="D2693" s="3" t="str">
        <f>INDEX(Port_Type!$B$2:$B$227,MATCH(TRIM(C2693),Port_Type!$A$2:$A$227,0))</f>
        <v>Land Border / Rail</v>
      </c>
      <c r="E2693" s="3" t="s">
        <v>142</v>
      </c>
      <c r="F2693" s="3" t="str">
        <f>INDEX(Product_Category!$B$2:$B$45,MATCH(TRIM(E2693),Product_Category!$A$2:$A$45,0))</f>
        <v>Nuts &amp; Oilseeds</v>
      </c>
      <c r="G2693" s="4">
        <v>0.03</v>
      </c>
      <c r="H2693" s="4">
        <v>0</v>
      </c>
      <c r="I2693" s="4">
        <v>0</v>
      </c>
      <c r="J2693" s="4">
        <v>33.61</v>
      </c>
      <c r="K2693" s="4">
        <v>3.62</v>
      </c>
      <c r="L2693" s="4">
        <v>0</v>
      </c>
      <c r="M2693" s="4">
        <f t="shared" si="126"/>
        <v>-0.03</v>
      </c>
      <c r="N2693" s="4">
        <f t="shared" si="127"/>
        <v>-29.99</v>
      </c>
      <c r="O2693" s="4">
        <f t="shared" si="128"/>
        <v>0</v>
      </c>
      <c r="P2693" s="3" t="s">
        <v>19</v>
      </c>
    </row>
    <row r="2694" spans="1:16" x14ac:dyDescent="0.35">
      <c r="A2694" s="3" t="s">
        <v>31</v>
      </c>
      <c r="B2694" s="3" t="str">
        <f>INDEX(State_Region!$B$2:$B$26,MATCH(TRIM(A2694),State_Region!$A$2:$A$26,0))</f>
        <v>East</v>
      </c>
      <c r="C2694" s="3" t="s">
        <v>131</v>
      </c>
      <c r="D2694" s="3" t="str">
        <f>INDEX(Port_Type!$B$2:$B$227,MATCH(TRIM(C2694),Port_Type!$A$2:$A$227,0))</f>
        <v>Land Border / Rail</v>
      </c>
      <c r="E2694" s="3" t="s">
        <v>114</v>
      </c>
      <c r="F2694" s="3" t="str">
        <f>INDEX(Product_Category!$B$2:$B$45,MATCH(TRIM(E2694),Product_Category!$A$2:$A$45,0))</f>
        <v>Dairy, Poultry &amp; Honey</v>
      </c>
      <c r="G2694" s="4">
        <v>0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f t="shared" si="126"/>
        <v>0</v>
      </c>
      <c r="N2694" s="4">
        <f t="shared" si="127"/>
        <v>0</v>
      </c>
      <c r="O2694" s="4">
        <f t="shared" si="128"/>
        <v>0</v>
      </c>
      <c r="P2694" s="3" t="s">
        <v>19</v>
      </c>
    </row>
    <row r="2695" spans="1:16" x14ac:dyDescent="0.35">
      <c r="A2695" s="3" t="s">
        <v>94</v>
      </c>
      <c r="B2695" s="3" t="str">
        <f>INDEX(State_Region!$B$2:$B$26,MATCH(TRIM(A2695),State_Region!$A$2:$A$26,0))</f>
        <v>East</v>
      </c>
      <c r="C2695" s="3" t="s">
        <v>238</v>
      </c>
      <c r="D2695" s="3" t="str">
        <f>INDEX(Port_Type!$B$2:$B$227,MATCH(TRIM(C2695),Port_Type!$A$2:$A$227,0))</f>
        <v>Land Border / Rail</v>
      </c>
      <c r="E2695" s="3" t="s">
        <v>46</v>
      </c>
      <c r="F2695" s="3" t="str">
        <f>INDEX(Product_Category!$B$2:$B$45,MATCH(TRIM(E2695),Product_Category!$A$2:$A$45,0))</f>
        <v>Others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  <c r="L2695" s="4">
        <v>0.03</v>
      </c>
      <c r="M2695" s="4">
        <f t="shared" si="126"/>
        <v>0</v>
      </c>
      <c r="N2695" s="4">
        <f t="shared" si="127"/>
        <v>0</v>
      </c>
      <c r="O2695" s="4">
        <f t="shared" si="128"/>
        <v>0</v>
      </c>
      <c r="P2695" s="3" t="s">
        <v>19</v>
      </c>
    </row>
    <row r="2696" spans="1:16" x14ac:dyDescent="0.35">
      <c r="A2696" s="3" t="s">
        <v>94</v>
      </c>
      <c r="B2696" s="3" t="str">
        <f>INDEX(State_Region!$B$2:$B$26,MATCH(TRIM(A2696),State_Region!$A$2:$A$26,0))</f>
        <v>East</v>
      </c>
      <c r="C2696" s="3" t="s">
        <v>238</v>
      </c>
      <c r="D2696" s="3" t="str">
        <f>INDEX(Port_Type!$B$2:$B$227,MATCH(TRIM(C2696),Port_Type!$A$2:$A$227,0))</f>
        <v>Land Border / Rail</v>
      </c>
      <c r="E2696" s="3" t="s">
        <v>76</v>
      </c>
      <c r="F2696" s="3" t="str">
        <f>INDEX(Product_Category!$B$2:$B$45,MATCH(TRIM(E2696),Product_Category!$A$2:$A$45,0))</f>
        <v>Fresh Fruits &amp; Vegetables</v>
      </c>
      <c r="G2696" s="4">
        <v>0</v>
      </c>
      <c r="H2696" s="4">
        <v>0.01</v>
      </c>
      <c r="I2696" s="4">
        <v>0</v>
      </c>
      <c r="J2696" s="4">
        <v>0</v>
      </c>
      <c r="K2696" s="4">
        <v>1.2</v>
      </c>
      <c r="L2696" s="4">
        <v>0</v>
      </c>
      <c r="M2696" s="4">
        <f t="shared" si="126"/>
        <v>0.01</v>
      </c>
      <c r="N2696" s="4">
        <f t="shared" si="127"/>
        <v>1.2</v>
      </c>
      <c r="O2696" s="4">
        <f t="shared" si="128"/>
        <v>-0.01</v>
      </c>
      <c r="P2696" s="3" t="s">
        <v>19</v>
      </c>
    </row>
    <row r="2697" spans="1:16" x14ac:dyDescent="0.35">
      <c r="A2697" s="3" t="s">
        <v>94</v>
      </c>
      <c r="B2697" s="3" t="str">
        <f>INDEX(State_Region!$B$2:$B$26,MATCH(TRIM(A2697),State_Region!$A$2:$A$26,0))</f>
        <v>East</v>
      </c>
      <c r="C2697" s="3" t="s">
        <v>188</v>
      </c>
      <c r="D2697" s="3" t="str">
        <f>INDEX(Port_Type!$B$2:$B$227,MATCH(TRIM(C2697),Port_Type!$A$2:$A$227,0))</f>
        <v>Land Border / Rail</v>
      </c>
      <c r="E2697" s="3" t="s">
        <v>170</v>
      </c>
      <c r="F2697" s="3" t="str">
        <f>INDEX(Product_Category!$B$2:$B$45,MATCH(TRIM(E2697),Product_Category!$A$2:$A$45,0))</f>
        <v>Others</v>
      </c>
      <c r="G2697" s="4">
        <v>0.01</v>
      </c>
      <c r="H2697" s="4">
        <v>0</v>
      </c>
      <c r="I2697" s="4">
        <v>0</v>
      </c>
      <c r="J2697" s="4">
        <v>3.3</v>
      </c>
      <c r="K2697" s="4">
        <v>0</v>
      </c>
      <c r="L2697" s="4">
        <v>0</v>
      </c>
      <c r="M2697" s="4">
        <f t="shared" si="126"/>
        <v>-0.01</v>
      </c>
      <c r="N2697" s="4">
        <f t="shared" si="127"/>
        <v>-3.3</v>
      </c>
      <c r="O2697" s="4">
        <f t="shared" si="128"/>
        <v>0</v>
      </c>
      <c r="P2697" s="3" t="s">
        <v>19</v>
      </c>
    </row>
    <row r="2698" spans="1:16" x14ac:dyDescent="0.35">
      <c r="A2698" s="3" t="s">
        <v>94</v>
      </c>
      <c r="B2698" s="3" t="str">
        <f>INDEX(State_Region!$B$2:$B$26,MATCH(TRIM(A2698),State_Region!$A$2:$A$26,0))</f>
        <v>East</v>
      </c>
      <c r="C2698" s="3" t="s">
        <v>188</v>
      </c>
      <c r="D2698" s="3" t="str">
        <f>INDEX(Port_Type!$B$2:$B$227,MATCH(TRIM(C2698),Port_Type!$A$2:$A$227,0))</f>
        <v>Land Border / Rail</v>
      </c>
      <c r="E2698" s="3" t="s">
        <v>151</v>
      </c>
      <c r="F2698" s="3" t="str">
        <f>INDEX(Product_Category!$B$2:$B$45,MATCH(TRIM(E2698),Product_Category!$A$2:$A$45,0))</f>
        <v>Processed Foods</v>
      </c>
      <c r="G2698" s="4">
        <v>0</v>
      </c>
      <c r="H2698" s="4">
        <v>0.02</v>
      </c>
      <c r="I2698" s="4">
        <v>0</v>
      </c>
      <c r="J2698" s="4">
        <v>0</v>
      </c>
      <c r="K2698" s="4">
        <v>47.3</v>
      </c>
      <c r="L2698" s="4">
        <v>0</v>
      </c>
      <c r="M2698" s="4">
        <f t="shared" si="126"/>
        <v>0.02</v>
      </c>
      <c r="N2698" s="4">
        <f t="shared" si="127"/>
        <v>47.3</v>
      </c>
      <c r="O2698" s="4">
        <f t="shared" si="128"/>
        <v>-0.02</v>
      </c>
      <c r="P2698" s="3" t="s">
        <v>19</v>
      </c>
    </row>
    <row r="2699" spans="1:16" x14ac:dyDescent="0.35">
      <c r="A2699" s="3" t="s">
        <v>94</v>
      </c>
      <c r="B2699" s="3" t="str">
        <f>INDEX(State_Region!$B$2:$B$26,MATCH(TRIM(A2699),State_Region!$A$2:$A$26,0))</f>
        <v>East</v>
      </c>
      <c r="C2699" s="3" t="s">
        <v>188</v>
      </c>
      <c r="D2699" s="3" t="str">
        <f>INDEX(Port_Type!$B$2:$B$227,MATCH(TRIM(C2699),Port_Type!$A$2:$A$227,0))</f>
        <v>Land Border / Rail</v>
      </c>
      <c r="E2699" s="3" t="s">
        <v>62</v>
      </c>
      <c r="F2699" s="3" t="str">
        <f>INDEX(Product_Category!$B$2:$B$45,MATCH(TRIM(E2699),Product_Category!$A$2:$A$45,0))</f>
        <v>Cereals &amp; Grains</v>
      </c>
      <c r="G2699" s="4">
        <v>0.41</v>
      </c>
      <c r="H2699" s="4">
        <v>0.2</v>
      </c>
      <c r="I2699" s="4">
        <v>0</v>
      </c>
      <c r="J2699" s="4">
        <v>1275.3</v>
      </c>
      <c r="K2699" s="4">
        <v>399</v>
      </c>
      <c r="L2699" s="4">
        <v>0</v>
      </c>
      <c r="M2699" s="4">
        <f t="shared" si="126"/>
        <v>-0.20999999999999996</v>
      </c>
      <c r="N2699" s="4">
        <f t="shared" si="127"/>
        <v>-876.3</v>
      </c>
      <c r="O2699" s="4">
        <f t="shared" si="128"/>
        <v>-0.2</v>
      </c>
      <c r="P2699" s="3" t="s">
        <v>19</v>
      </c>
    </row>
    <row r="2700" spans="1:16" x14ac:dyDescent="0.35">
      <c r="A2700" s="3" t="s">
        <v>94</v>
      </c>
      <c r="B2700" s="3" t="str">
        <f>INDEX(State_Region!$B$2:$B$26,MATCH(TRIM(A2700),State_Region!$A$2:$A$26,0))</f>
        <v>East</v>
      </c>
      <c r="C2700" s="3" t="s">
        <v>188</v>
      </c>
      <c r="D2700" s="3" t="str">
        <f>INDEX(Port_Type!$B$2:$B$227,MATCH(TRIM(C2700),Port_Type!$A$2:$A$227,0))</f>
        <v>Land Border / Rail</v>
      </c>
      <c r="E2700" s="3" t="s">
        <v>51</v>
      </c>
      <c r="F2700" s="3" t="str">
        <f>INDEX(Product_Category!$B$2:$B$45,MATCH(TRIM(E2700),Product_Category!$A$2:$A$45,0))</f>
        <v>Nuts &amp; Oilseeds</v>
      </c>
      <c r="G2700" s="4">
        <v>0.04</v>
      </c>
      <c r="H2700" s="4">
        <v>0</v>
      </c>
      <c r="I2700" s="4">
        <v>0</v>
      </c>
      <c r="J2700" s="4">
        <v>54</v>
      </c>
      <c r="K2700" s="4">
        <v>0</v>
      </c>
      <c r="L2700" s="4">
        <v>0</v>
      </c>
      <c r="M2700" s="4">
        <f t="shared" si="126"/>
        <v>-0.04</v>
      </c>
      <c r="N2700" s="4">
        <f t="shared" si="127"/>
        <v>-54</v>
      </c>
      <c r="O2700" s="4">
        <f t="shared" si="128"/>
        <v>0</v>
      </c>
      <c r="P2700" s="3" t="s">
        <v>19</v>
      </c>
    </row>
    <row r="2701" spans="1:16" x14ac:dyDescent="0.35">
      <c r="A2701" s="3" t="s">
        <v>94</v>
      </c>
      <c r="B2701" s="3" t="str">
        <f>INDEX(State_Region!$B$2:$B$26,MATCH(TRIM(A2701),State_Region!$A$2:$A$26,0))</f>
        <v>East</v>
      </c>
      <c r="C2701" s="3" t="s">
        <v>188</v>
      </c>
      <c r="D2701" s="3" t="str">
        <f>INDEX(Port_Type!$B$2:$B$227,MATCH(TRIM(C2701),Port_Type!$A$2:$A$227,0))</f>
        <v>Land Border / Rail</v>
      </c>
      <c r="E2701" s="3" t="s">
        <v>69</v>
      </c>
      <c r="F2701" s="3" t="str">
        <f>INDEX(Product_Category!$B$2:$B$45,MATCH(TRIM(E2701),Product_Category!$A$2:$A$45,0))</f>
        <v>Others</v>
      </c>
      <c r="G2701" s="4">
        <v>0.04</v>
      </c>
      <c r="H2701" s="4">
        <v>0.1</v>
      </c>
      <c r="I2701" s="4">
        <v>0</v>
      </c>
      <c r="J2701" s="4">
        <v>15.5</v>
      </c>
      <c r="K2701" s="4">
        <v>55</v>
      </c>
      <c r="L2701" s="4">
        <v>0</v>
      </c>
      <c r="M2701" s="4">
        <f t="shared" si="126"/>
        <v>6.0000000000000005E-2</v>
      </c>
      <c r="N2701" s="4">
        <f t="shared" si="127"/>
        <v>39.5</v>
      </c>
      <c r="O2701" s="4">
        <f t="shared" si="128"/>
        <v>-0.1</v>
      </c>
      <c r="P2701" s="3" t="s">
        <v>19</v>
      </c>
    </row>
    <row r="2702" spans="1:16" x14ac:dyDescent="0.35">
      <c r="A2702" s="3" t="s">
        <v>94</v>
      </c>
      <c r="B2702" s="3" t="str">
        <f>INDEX(State_Region!$B$2:$B$26,MATCH(TRIM(A2702),State_Region!$A$2:$A$26,0))</f>
        <v>East</v>
      </c>
      <c r="C2702" s="3" t="s">
        <v>188</v>
      </c>
      <c r="D2702" s="3" t="str">
        <f>INDEX(Port_Type!$B$2:$B$227,MATCH(TRIM(C2702),Port_Type!$A$2:$A$227,0))</f>
        <v>Land Border / Rail</v>
      </c>
      <c r="E2702" s="3" t="s">
        <v>76</v>
      </c>
      <c r="F2702" s="3" t="str">
        <f>INDEX(Product_Category!$B$2:$B$45,MATCH(TRIM(E2702),Product_Category!$A$2:$A$45,0))</f>
        <v>Fresh Fruits &amp; Vegetables</v>
      </c>
      <c r="G2702" s="4">
        <v>0.01</v>
      </c>
      <c r="H2702" s="4">
        <v>0.02</v>
      </c>
      <c r="I2702" s="4">
        <v>0</v>
      </c>
      <c r="J2702" s="4">
        <v>17.09</v>
      </c>
      <c r="K2702" s="4">
        <v>83.97</v>
      </c>
      <c r="L2702" s="4">
        <v>0</v>
      </c>
      <c r="M2702" s="4">
        <f t="shared" si="126"/>
        <v>0.01</v>
      </c>
      <c r="N2702" s="4">
        <f t="shared" si="127"/>
        <v>66.88</v>
      </c>
      <c r="O2702" s="4">
        <f t="shared" si="128"/>
        <v>-0.02</v>
      </c>
      <c r="P2702" s="3" t="s">
        <v>19</v>
      </c>
    </row>
    <row r="2703" spans="1:16" x14ac:dyDescent="0.35">
      <c r="A2703" s="3" t="s">
        <v>94</v>
      </c>
      <c r="B2703" s="3" t="str">
        <f>INDEX(State_Region!$B$2:$B$26,MATCH(TRIM(A2703),State_Region!$A$2:$A$26,0))</f>
        <v>East</v>
      </c>
      <c r="C2703" s="3" t="s">
        <v>188</v>
      </c>
      <c r="D2703" s="3" t="str">
        <f>INDEX(Port_Type!$B$2:$B$227,MATCH(TRIM(C2703),Port_Type!$A$2:$A$227,0))</f>
        <v>Land Border / Rail</v>
      </c>
      <c r="E2703" s="3" t="s">
        <v>72</v>
      </c>
      <c r="F2703" s="3" t="str">
        <f>INDEX(Product_Category!$B$2:$B$45,MATCH(TRIM(E2703),Product_Category!$A$2:$A$45,0))</f>
        <v>Dairy, Poultry &amp; Honey</v>
      </c>
      <c r="G2703" s="4">
        <v>0</v>
      </c>
      <c r="H2703" s="4">
        <v>0</v>
      </c>
      <c r="I2703" s="4">
        <v>0</v>
      </c>
      <c r="J2703" s="4">
        <v>0</v>
      </c>
      <c r="K2703" s="4">
        <v>0.49</v>
      </c>
      <c r="L2703" s="4">
        <v>0</v>
      </c>
      <c r="M2703" s="4">
        <f t="shared" si="126"/>
        <v>0</v>
      </c>
      <c r="N2703" s="4">
        <f t="shared" si="127"/>
        <v>0.49</v>
      </c>
      <c r="O2703" s="4">
        <f t="shared" si="128"/>
        <v>0</v>
      </c>
      <c r="P2703" s="3" t="s">
        <v>19</v>
      </c>
    </row>
    <row r="2704" spans="1:16" x14ac:dyDescent="0.35">
      <c r="A2704" s="3" t="s">
        <v>94</v>
      </c>
      <c r="B2704" s="3" t="str">
        <f>INDEX(State_Region!$B$2:$B$26,MATCH(TRIM(A2704),State_Region!$A$2:$A$26,0))</f>
        <v>East</v>
      </c>
      <c r="C2704" s="3" t="s">
        <v>188</v>
      </c>
      <c r="D2704" s="3" t="str">
        <f>INDEX(Port_Type!$B$2:$B$227,MATCH(TRIM(C2704),Port_Type!$A$2:$A$227,0))</f>
        <v>Land Border / Rail</v>
      </c>
      <c r="E2704" s="3" t="s">
        <v>18</v>
      </c>
      <c r="F2704" s="3" t="str">
        <f>INDEX(Product_Category!$B$2:$B$45,MATCH(TRIM(E2704),Product_Category!$A$2:$A$45,0))</f>
        <v>Cereals &amp; Grains</v>
      </c>
      <c r="G2704" s="4">
        <v>0.17</v>
      </c>
      <c r="H2704" s="4">
        <v>0.08</v>
      </c>
      <c r="I2704" s="4">
        <v>0</v>
      </c>
      <c r="J2704" s="4">
        <v>274.52</v>
      </c>
      <c r="K2704" s="4">
        <v>130.43</v>
      </c>
      <c r="L2704" s="4">
        <v>0</v>
      </c>
      <c r="M2704" s="4">
        <f t="shared" si="126"/>
        <v>-9.0000000000000011E-2</v>
      </c>
      <c r="N2704" s="4">
        <f t="shared" si="127"/>
        <v>-144.08999999999997</v>
      </c>
      <c r="O2704" s="4">
        <f t="shared" si="128"/>
        <v>-0.08</v>
      </c>
      <c r="P2704" s="3" t="s">
        <v>19</v>
      </c>
    </row>
    <row r="2705" spans="1:16" x14ac:dyDescent="0.35">
      <c r="A2705" s="3" t="s">
        <v>94</v>
      </c>
      <c r="B2705" s="3" t="str">
        <f>INDEX(State_Region!$B$2:$B$26,MATCH(TRIM(A2705),State_Region!$A$2:$A$26,0))</f>
        <v>East</v>
      </c>
      <c r="C2705" s="3" t="s">
        <v>257</v>
      </c>
      <c r="D2705" s="3" t="str">
        <f>INDEX(Port_Type!$B$2:$B$227,MATCH(TRIM(C2705),Port_Type!$A$2:$A$227,0))</f>
        <v>Land Border / Rail</v>
      </c>
      <c r="E2705" s="3" t="s">
        <v>45</v>
      </c>
      <c r="F2705" s="3" t="str">
        <f>INDEX(Product_Category!$B$2:$B$45,MATCH(TRIM(E2705),Product_Category!$A$2:$A$45,0))</f>
        <v>Fresh Fruits &amp; Vegetables</v>
      </c>
      <c r="G2705" s="4">
        <v>0</v>
      </c>
      <c r="H2705" s="4">
        <v>0</v>
      </c>
      <c r="I2705" s="4">
        <v>0</v>
      </c>
      <c r="J2705" s="4">
        <v>0.5</v>
      </c>
      <c r="K2705" s="4">
        <v>0</v>
      </c>
      <c r="L2705" s="4">
        <v>0</v>
      </c>
      <c r="M2705" s="4">
        <f t="shared" si="126"/>
        <v>0</v>
      </c>
      <c r="N2705" s="4">
        <f t="shared" si="127"/>
        <v>-0.5</v>
      </c>
      <c r="O2705" s="4">
        <f t="shared" si="128"/>
        <v>0</v>
      </c>
      <c r="P2705" s="3" t="s">
        <v>19</v>
      </c>
    </row>
    <row r="2706" spans="1:16" x14ac:dyDescent="0.35">
      <c r="A2706" s="3" t="s">
        <v>94</v>
      </c>
      <c r="B2706" s="3" t="str">
        <f>INDEX(State_Region!$B$2:$B$26,MATCH(TRIM(A2706),State_Region!$A$2:$A$26,0))</f>
        <v>East</v>
      </c>
      <c r="C2706" s="3" t="s">
        <v>286</v>
      </c>
      <c r="D2706" s="3" t="str">
        <f>INDEX(Port_Type!$B$2:$B$227,MATCH(TRIM(C2706),Port_Type!$A$2:$A$227,0))</f>
        <v>Land Border / Rail</v>
      </c>
      <c r="E2706" s="3" t="s">
        <v>102</v>
      </c>
      <c r="F2706" s="3" t="str">
        <f>INDEX(Product_Category!$B$2:$B$45,MATCH(TRIM(E2706),Product_Category!$A$2:$A$45,0))</f>
        <v>Fresh Fruits &amp; Vegetables</v>
      </c>
      <c r="G2706" s="4">
        <v>0.01</v>
      </c>
      <c r="H2706" s="4">
        <v>0</v>
      </c>
      <c r="I2706" s="4">
        <v>0</v>
      </c>
      <c r="J2706" s="4">
        <v>41.4</v>
      </c>
      <c r="K2706" s="4">
        <v>0</v>
      </c>
      <c r="L2706" s="4">
        <v>0</v>
      </c>
      <c r="M2706" s="4">
        <f t="shared" si="126"/>
        <v>-0.01</v>
      </c>
      <c r="N2706" s="4">
        <f t="shared" si="127"/>
        <v>-41.4</v>
      </c>
      <c r="O2706" s="4">
        <f t="shared" si="128"/>
        <v>0</v>
      </c>
      <c r="P2706" s="3" t="s">
        <v>19</v>
      </c>
    </row>
    <row r="2707" spans="1:16" x14ac:dyDescent="0.35">
      <c r="A2707" s="3" t="s">
        <v>94</v>
      </c>
      <c r="B2707" s="3" t="str">
        <f>INDEX(State_Region!$B$2:$B$26,MATCH(TRIM(A2707),State_Region!$A$2:$A$26,0))</f>
        <v>East</v>
      </c>
      <c r="C2707" s="3" t="s">
        <v>286</v>
      </c>
      <c r="D2707" s="3" t="str">
        <f>INDEX(Port_Type!$B$2:$B$227,MATCH(TRIM(C2707),Port_Type!$A$2:$A$227,0))</f>
        <v>Land Border / Rail</v>
      </c>
      <c r="E2707" s="3" t="s">
        <v>45</v>
      </c>
      <c r="F2707" s="3" t="str">
        <f>INDEX(Product_Category!$B$2:$B$45,MATCH(TRIM(E2707),Product_Category!$A$2:$A$45,0))</f>
        <v>Fresh Fruits &amp; Vegetables</v>
      </c>
      <c r="G2707" s="4">
        <v>0.02</v>
      </c>
      <c r="H2707" s="4">
        <v>0</v>
      </c>
      <c r="I2707" s="4">
        <v>0</v>
      </c>
      <c r="J2707" s="4">
        <v>47.09</v>
      </c>
      <c r="K2707" s="4">
        <v>0</v>
      </c>
      <c r="L2707" s="4">
        <v>0</v>
      </c>
      <c r="M2707" s="4">
        <f t="shared" si="126"/>
        <v>-0.02</v>
      </c>
      <c r="N2707" s="4">
        <f t="shared" si="127"/>
        <v>-47.09</v>
      </c>
      <c r="O2707" s="4">
        <f t="shared" si="128"/>
        <v>0</v>
      </c>
      <c r="P2707" s="3" t="s">
        <v>19</v>
      </c>
    </row>
    <row r="2708" spans="1:16" x14ac:dyDescent="0.35">
      <c r="A2708" s="3" t="s">
        <v>94</v>
      </c>
      <c r="B2708" s="3" t="str">
        <f>INDEX(State_Region!$B$2:$B$26,MATCH(TRIM(A2708),State_Region!$A$2:$A$26,0))</f>
        <v>East</v>
      </c>
      <c r="C2708" s="3" t="s">
        <v>286</v>
      </c>
      <c r="D2708" s="3" t="str">
        <f>INDEX(Port_Type!$B$2:$B$227,MATCH(TRIM(C2708),Port_Type!$A$2:$A$227,0))</f>
        <v>Land Border / Rail</v>
      </c>
      <c r="E2708" s="3" t="s">
        <v>55</v>
      </c>
      <c r="F2708" s="3" t="str">
        <f>INDEX(Product_Category!$B$2:$B$45,MATCH(TRIM(E2708),Product_Category!$A$2:$A$45,0))</f>
        <v>Fresh Fruits &amp; Vegetables</v>
      </c>
      <c r="G2708" s="4">
        <v>0.05</v>
      </c>
      <c r="H2708" s="4">
        <v>0</v>
      </c>
      <c r="I2708" s="4">
        <v>0</v>
      </c>
      <c r="J2708" s="4">
        <v>173.38</v>
      </c>
      <c r="K2708" s="4">
        <v>0</v>
      </c>
      <c r="L2708" s="4">
        <v>0</v>
      </c>
      <c r="M2708" s="4">
        <f t="shared" si="126"/>
        <v>-0.05</v>
      </c>
      <c r="N2708" s="4">
        <f t="shared" si="127"/>
        <v>-173.38</v>
      </c>
      <c r="O2708" s="4">
        <f t="shared" si="128"/>
        <v>0</v>
      </c>
      <c r="P2708" s="3" t="s">
        <v>19</v>
      </c>
    </row>
    <row r="2709" spans="1:16" x14ac:dyDescent="0.35">
      <c r="A2709" s="3" t="s">
        <v>94</v>
      </c>
      <c r="B2709" s="3" t="str">
        <f>INDEX(State_Region!$B$2:$B$26,MATCH(TRIM(A2709),State_Region!$A$2:$A$26,0))</f>
        <v>East</v>
      </c>
      <c r="C2709" s="3" t="s">
        <v>286</v>
      </c>
      <c r="D2709" s="3" t="str">
        <f>INDEX(Port_Type!$B$2:$B$227,MATCH(TRIM(C2709),Port_Type!$A$2:$A$227,0))</f>
        <v>Land Border / Rail</v>
      </c>
      <c r="E2709" s="3" t="s">
        <v>83</v>
      </c>
      <c r="F2709" s="3" t="str">
        <f>INDEX(Product_Category!$B$2:$B$45,MATCH(TRIM(E2709),Product_Category!$A$2:$A$45,0))</f>
        <v>Fresh Fruits &amp; Vegetables</v>
      </c>
      <c r="G2709" s="4">
        <v>0</v>
      </c>
      <c r="H2709" s="4">
        <v>0</v>
      </c>
      <c r="I2709" s="4">
        <v>0</v>
      </c>
      <c r="J2709" s="4">
        <v>0.76</v>
      </c>
      <c r="K2709" s="4">
        <v>0</v>
      </c>
      <c r="L2709" s="4">
        <v>0</v>
      </c>
      <c r="M2709" s="4">
        <f t="shared" si="126"/>
        <v>0</v>
      </c>
      <c r="N2709" s="4">
        <f t="shared" si="127"/>
        <v>-0.76</v>
      </c>
      <c r="O2709" s="4">
        <f t="shared" si="128"/>
        <v>0</v>
      </c>
      <c r="P2709" s="3" t="s">
        <v>19</v>
      </c>
    </row>
    <row r="2710" spans="1:16" x14ac:dyDescent="0.35">
      <c r="A2710" s="3" t="s">
        <v>94</v>
      </c>
      <c r="B2710" s="3" t="str">
        <f>INDEX(State_Region!$B$2:$B$26,MATCH(TRIM(A2710),State_Region!$A$2:$A$26,0))</f>
        <v>East</v>
      </c>
      <c r="C2710" s="3" t="s">
        <v>112</v>
      </c>
      <c r="D2710" s="3" t="str">
        <f>INDEX(Port_Type!$B$2:$B$227,MATCH(TRIM(C2710),Port_Type!$A$2:$A$227,0))</f>
        <v>Land Border / Rail</v>
      </c>
      <c r="E2710" s="3" t="s">
        <v>151</v>
      </c>
      <c r="F2710" s="3" t="str">
        <f>INDEX(Product_Category!$B$2:$B$45,MATCH(TRIM(E2710),Product_Category!$A$2:$A$45,0))</f>
        <v>Processed Foods</v>
      </c>
      <c r="G2710" s="4">
        <v>0</v>
      </c>
      <c r="H2710" s="4">
        <v>0.01</v>
      </c>
      <c r="I2710" s="4">
        <v>0</v>
      </c>
      <c r="J2710" s="4">
        <v>0</v>
      </c>
      <c r="K2710" s="4">
        <v>26.88</v>
      </c>
      <c r="L2710" s="4">
        <v>0</v>
      </c>
      <c r="M2710" s="4">
        <f t="shared" si="126"/>
        <v>0.01</v>
      </c>
      <c r="N2710" s="4">
        <f t="shared" si="127"/>
        <v>26.88</v>
      </c>
      <c r="O2710" s="4">
        <f t="shared" si="128"/>
        <v>-0.01</v>
      </c>
      <c r="P2710" s="3" t="s">
        <v>19</v>
      </c>
    </row>
    <row r="2711" spans="1:16" x14ac:dyDescent="0.35">
      <c r="A2711" s="3" t="s">
        <v>94</v>
      </c>
      <c r="B2711" s="3" t="str">
        <f>INDEX(State_Region!$B$2:$B$26,MATCH(TRIM(A2711),State_Region!$A$2:$A$26,0))</f>
        <v>East</v>
      </c>
      <c r="C2711" s="3" t="s">
        <v>112</v>
      </c>
      <c r="D2711" s="3" t="str">
        <f>INDEX(Port_Type!$B$2:$B$227,MATCH(TRIM(C2711),Port_Type!$A$2:$A$227,0))</f>
        <v>Land Border / Rail</v>
      </c>
      <c r="E2711" s="3" t="s">
        <v>150</v>
      </c>
      <c r="F2711" s="3" t="str">
        <f>INDEX(Product_Category!$B$2:$B$45,MATCH(TRIM(E2711),Product_Category!$A$2:$A$45,0))</f>
        <v>Nuts &amp; Oilseeds</v>
      </c>
      <c r="G2711" s="4">
        <v>0</v>
      </c>
      <c r="H2711" s="4">
        <v>0</v>
      </c>
      <c r="I2711" s="4">
        <v>0</v>
      </c>
      <c r="J2711" s="4">
        <v>0</v>
      </c>
      <c r="K2711" s="4">
        <v>0.83</v>
      </c>
      <c r="L2711" s="4">
        <v>0</v>
      </c>
      <c r="M2711" s="4">
        <f t="shared" si="126"/>
        <v>0</v>
      </c>
      <c r="N2711" s="4">
        <f t="shared" si="127"/>
        <v>0.83</v>
      </c>
      <c r="O2711" s="4">
        <f t="shared" si="128"/>
        <v>0</v>
      </c>
      <c r="P2711" s="3" t="s">
        <v>19</v>
      </c>
    </row>
    <row r="2712" spans="1:16" x14ac:dyDescent="0.35">
      <c r="A2712" s="3" t="s">
        <v>94</v>
      </c>
      <c r="B2712" s="3" t="str">
        <f>INDEX(State_Region!$B$2:$B$26,MATCH(TRIM(A2712),State_Region!$A$2:$A$26,0))</f>
        <v>East</v>
      </c>
      <c r="C2712" s="3" t="s">
        <v>287</v>
      </c>
      <c r="D2712" s="3" t="str">
        <f>INDEX(Port_Type!$B$2:$B$227,MATCH(TRIM(C2712),Port_Type!$A$2:$A$227,0))</f>
        <v>Inland ICD / CFS</v>
      </c>
      <c r="E2712" s="3" t="s">
        <v>54</v>
      </c>
      <c r="F2712" s="3" t="str">
        <f>INDEX(Product_Category!$B$2:$B$45,MATCH(TRIM(E2712),Product_Category!$A$2:$A$45,0))</f>
        <v>Processed Foods</v>
      </c>
      <c r="G2712" s="4">
        <v>0</v>
      </c>
      <c r="H2712" s="4">
        <v>7.0000000000000007E-2</v>
      </c>
      <c r="I2712" s="4">
        <v>0</v>
      </c>
      <c r="J2712" s="4">
        <v>0</v>
      </c>
      <c r="K2712" s="4">
        <v>4.8</v>
      </c>
      <c r="L2712" s="4">
        <v>0</v>
      </c>
      <c r="M2712" s="4">
        <f t="shared" si="126"/>
        <v>7.0000000000000007E-2</v>
      </c>
      <c r="N2712" s="4">
        <f t="shared" si="127"/>
        <v>4.8</v>
      </c>
      <c r="O2712" s="4">
        <f t="shared" si="128"/>
        <v>-7.0000000000000007E-2</v>
      </c>
      <c r="P2712" s="3" t="s">
        <v>19</v>
      </c>
    </row>
    <row r="2713" spans="1:16" x14ac:dyDescent="0.35">
      <c r="A2713" s="3" t="s">
        <v>31</v>
      </c>
      <c r="B2713" s="3" t="str">
        <f>INDEX(State_Region!$B$2:$B$26,MATCH(TRIM(A2713),State_Region!$A$2:$A$26,0))</f>
        <v>East</v>
      </c>
      <c r="C2713" s="3" t="s">
        <v>131</v>
      </c>
      <c r="D2713" s="3" t="str">
        <f>INDEX(Port_Type!$B$2:$B$227,MATCH(TRIM(C2713),Port_Type!$A$2:$A$227,0))</f>
        <v>Land Border / Rail</v>
      </c>
      <c r="E2713" s="3" t="s">
        <v>93</v>
      </c>
      <c r="F2713" s="3" t="str">
        <f>INDEX(Product_Category!$B$2:$B$45,MATCH(TRIM(E2713),Product_Category!$A$2:$A$45,0))</f>
        <v>Meat &amp; Animal Products</v>
      </c>
      <c r="G2713" s="4">
        <v>0</v>
      </c>
      <c r="H2713" s="4">
        <v>0</v>
      </c>
      <c r="I2713" s="4">
        <v>0</v>
      </c>
      <c r="J2713" s="4">
        <v>0.5</v>
      </c>
      <c r="K2713" s="4">
        <v>0</v>
      </c>
      <c r="L2713" s="4">
        <v>0</v>
      </c>
      <c r="M2713" s="4">
        <f t="shared" si="126"/>
        <v>0</v>
      </c>
      <c r="N2713" s="4">
        <f t="shared" si="127"/>
        <v>-0.5</v>
      </c>
      <c r="O2713" s="4">
        <f t="shared" si="128"/>
        <v>0</v>
      </c>
      <c r="P2713" s="3" t="s">
        <v>19</v>
      </c>
    </row>
    <row r="2714" spans="1:16" x14ac:dyDescent="0.35">
      <c r="A2714" s="3" t="s">
        <v>94</v>
      </c>
      <c r="B2714" s="3" t="str">
        <f>INDEX(State_Region!$B$2:$B$26,MATCH(TRIM(A2714),State_Region!$A$2:$A$26,0))</f>
        <v>East</v>
      </c>
      <c r="C2714" s="3" t="s">
        <v>287</v>
      </c>
      <c r="D2714" s="3" t="str">
        <f>INDEX(Port_Type!$B$2:$B$227,MATCH(TRIM(C2714),Port_Type!$A$2:$A$227,0))</f>
        <v>Inland ICD / CFS</v>
      </c>
      <c r="E2714" s="3" t="s">
        <v>27</v>
      </c>
      <c r="F2714" s="3" t="str">
        <f>INDEX(Product_Category!$B$2:$B$45,MATCH(TRIM(E2714),Product_Category!$A$2:$A$45,0))</f>
        <v>Cereals &amp; Grains</v>
      </c>
      <c r="G2714" s="4">
        <v>0</v>
      </c>
      <c r="H2714" s="4">
        <v>0.15</v>
      </c>
      <c r="I2714" s="4">
        <v>0</v>
      </c>
      <c r="J2714" s="4">
        <v>0</v>
      </c>
      <c r="K2714" s="4">
        <v>464.87</v>
      </c>
      <c r="L2714" s="4">
        <v>0</v>
      </c>
      <c r="M2714" s="4">
        <f t="shared" si="126"/>
        <v>0.15</v>
      </c>
      <c r="N2714" s="4">
        <f t="shared" si="127"/>
        <v>464.87</v>
      </c>
      <c r="O2714" s="4">
        <f t="shared" si="128"/>
        <v>-0.15</v>
      </c>
      <c r="P2714" s="3" t="s">
        <v>19</v>
      </c>
    </row>
    <row r="2715" spans="1:16" x14ac:dyDescent="0.35">
      <c r="A2715" s="3" t="s">
        <v>94</v>
      </c>
      <c r="B2715" s="3" t="str">
        <f>INDEX(State_Region!$B$2:$B$26,MATCH(TRIM(A2715),State_Region!$A$2:$A$26,0))</f>
        <v>East</v>
      </c>
      <c r="C2715" s="3" t="s">
        <v>287</v>
      </c>
      <c r="D2715" s="3" t="str">
        <f>INDEX(Port_Type!$B$2:$B$227,MATCH(TRIM(C2715),Port_Type!$A$2:$A$227,0))</f>
        <v>Inland ICD / CFS</v>
      </c>
      <c r="E2715" s="3" t="s">
        <v>62</v>
      </c>
      <c r="F2715" s="3" t="str">
        <f>INDEX(Product_Category!$B$2:$B$45,MATCH(TRIM(E2715),Product_Category!$A$2:$A$45,0))</f>
        <v>Cereals &amp; Grains</v>
      </c>
      <c r="G2715" s="4">
        <v>0</v>
      </c>
      <c r="H2715" s="4">
        <v>0.01</v>
      </c>
      <c r="I2715" s="4">
        <v>0</v>
      </c>
      <c r="J2715" s="4">
        <v>0</v>
      </c>
      <c r="K2715" s="4">
        <v>21</v>
      </c>
      <c r="L2715" s="4">
        <v>0</v>
      </c>
      <c r="M2715" s="4">
        <f t="shared" si="126"/>
        <v>0.01</v>
      </c>
      <c r="N2715" s="4">
        <f t="shared" si="127"/>
        <v>21</v>
      </c>
      <c r="O2715" s="4">
        <f t="shared" si="128"/>
        <v>-0.01</v>
      </c>
      <c r="P2715" s="3" t="s">
        <v>19</v>
      </c>
    </row>
    <row r="2716" spans="1:16" x14ac:dyDescent="0.35">
      <c r="A2716" s="3" t="s">
        <v>31</v>
      </c>
      <c r="B2716" s="3" t="str">
        <f>INDEX(State_Region!$B$2:$B$26,MATCH(TRIM(A2716),State_Region!$A$2:$A$26,0))</f>
        <v>East</v>
      </c>
      <c r="C2716" s="3" t="s">
        <v>288</v>
      </c>
      <c r="D2716" s="3" t="str">
        <f>INDEX(Port_Type!$B$2:$B$227,MATCH(TRIM(C2716),Port_Type!$A$2:$A$227,0))</f>
        <v>Land Border / Rail</v>
      </c>
      <c r="E2716" s="3" t="s">
        <v>48</v>
      </c>
      <c r="F2716" s="3" t="str">
        <f>INDEX(Product_Category!$B$2:$B$45,MATCH(TRIM(E2716),Product_Category!$A$2:$A$45,0))</f>
        <v>Processed Foods</v>
      </c>
      <c r="G2716" s="4">
        <v>0.05</v>
      </c>
      <c r="H2716" s="4">
        <v>0</v>
      </c>
      <c r="I2716" s="4">
        <v>0</v>
      </c>
      <c r="J2716" s="4">
        <v>5.84</v>
      </c>
      <c r="K2716" s="4">
        <v>0</v>
      </c>
      <c r="L2716" s="4">
        <v>0</v>
      </c>
      <c r="M2716" s="4">
        <f t="shared" si="126"/>
        <v>-0.05</v>
      </c>
      <c r="N2716" s="4">
        <f t="shared" si="127"/>
        <v>-5.84</v>
      </c>
      <c r="O2716" s="4">
        <f t="shared" si="128"/>
        <v>0</v>
      </c>
      <c r="P2716" s="3" t="s">
        <v>19</v>
      </c>
    </row>
    <row r="2717" spans="1:16" x14ac:dyDescent="0.35">
      <c r="A2717" s="3" t="s">
        <v>31</v>
      </c>
      <c r="B2717" s="3" t="str">
        <f>INDEX(State_Region!$B$2:$B$26,MATCH(TRIM(A2717),State_Region!$A$2:$A$26,0))</f>
        <v>East</v>
      </c>
      <c r="C2717" s="3" t="s">
        <v>288</v>
      </c>
      <c r="D2717" s="3" t="str">
        <f>INDEX(Port_Type!$B$2:$B$227,MATCH(TRIM(C2717),Port_Type!$A$2:$A$227,0))</f>
        <v>Land Border / Rail</v>
      </c>
      <c r="E2717" s="3" t="s">
        <v>39</v>
      </c>
      <c r="F2717" s="3" t="str">
        <f>INDEX(Product_Category!$B$2:$B$45,MATCH(TRIM(E2717),Product_Category!$A$2:$A$45,0))</f>
        <v>Processed Foods</v>
      </c>
      <c r="G2717" s="4">
        <v>0.21</v>
      </c>
      <c r="H2717" s="4">
        <v>0.01</v>
      </c>
      <c r="I2717" s="4">
        <v>0</v>
      </c>
      <c r="J2717" s="4">
        <v>94.3</v>
      </c>
      <c r="K2717" s="4">
        <v>1.45</v>
      </c>
      <c r="L2717" s="4">
        <v>0</v>
      </c>
      <c r="M2717" s="4">
        <f t="shared" si="126"/>
        <v>-0.19999999999999998</v>
      </c>
      <c r="N2717" s="4">
        <f t="shared" si="127"/>
        <v>-92.85</v>
      </c>
      <c r="O2717" s="4">
        <f t="shared" si="128"/>
        <v>-0.01</v>
      </c>
      <c r="P2717" s="3" t="s">
        <v>19</v>
      </c>
    </row>
    <row r="2718" spans="1:16" x14ac:dyDescent="0.35">
      <c r="A2718" s="3" t="s">
        <v>31</v>
      </c>
      <c r="B2718" s="3" t="str">
        <f>INDEX(State_Region!$B$2:$B$26,MATCH(TRIM(A2718),State_Region!$A$2:$A$26,0))</f>
        <v>East</v>
      </c>
      <c r="C2718" s="3" t="s">
        <v>192</v>
      </c>
      <c r="D2718" s="3" t="str">
        <f>INDEX(Port_Type!$B$2:$B$227,MATCH(TRIM(C2718),Port_Type!$A$2:$A$227,0))</f>
        <v>Air Cargo</v>
      </c>
      <c r="E2718" s="3" t="s">
        <v>48</v>
      </c>
      <c r="F2718" s="3" t="str">
        <f>INDEX(Product_Category!$B$2:$B$45,MATCH(TRIM(E2718),Product_Category!$A$2:$A$45,0))</f>
        <v>Processed Foods</v>
      </c>
      <c r="G2718" s="4">
        <v>0</v>
      </c>
      <c r="H2718" s="4">
        <v>0.05</v>
      </c>
      <c r="I2718" s="4">
        <v>0</v>
      </c>
      <c r="J2718" s="4">
        <v>0.32</v>
      </c>
      <c r="K2718" s="4">
        <v>34.01</v>
      </c>
      <c r="L2718" s="4">
        <v>0</v>
      </c>
      <c r="M2718" s="4">
        <f t="shared" si="126"/>
        <v>0.05</v>
      </c>
      <c r="N2718" s="4">
        <f t="shared" si="127"/>
        <v>33.69</v>
      </c>
      <c r="O2718" s="4">
        <f t="shared" si="128"/>
        <v>-0.05</v>
      </c>
      <c r="P2718" s="3" t="s">
        <v>19</v>
      </c>
    </row>
    <row r="2719" spans="1:16" x14ac:dyDescent="0.35">
      <c r="A2719" s="3" t="s">
        <v>31</v>
      </c>
      <c r="B2719" s="3" t="str">
        <f>INDEX(State_Region!$B$2:$B$26,MATCH(TRIM(A2719),State_Region!$A$2:$A$26,0))</f>
        <v>East</v>
      </c>
      <c r="C2719" s="3" t="s">
        <v>192</v>
      </c>
      <c r="D2719" s="3" t="str">
        <f>INDEX(Port_Type!$B$2:$B$227,MATCH(TRIM(C2719),Port_Type!$A$2:$A$227,0))</f>
        <v>Air Cargo</v>
      </c>
      <c r="E2719" s="3" t="s">
        <v>81</v>
      </c>
      <c r="F2719" s="3" t="str">
        <f>INDEX(Product_Category!$B$2:$B$45,MATCH(TRIM(E2719),Product_Category!$A$2:$A$45,0))</f>
        <v>Processed Foods</v>
      </c>
      <c r="G2719" s="4">
        <v>0</v>
      </c>
      <c r="H2719" s="4">
        <v>0</v>
      </c>
      <c r="I2719" s="4">
        <v>0</v>
      </c>
      <c r="J2719" s="4">
        <v>0</v>
      </c>
      <c r="K2719" s="4">
        <v>0.02</v>
      </c>
      <c r="L2719" s="4">
        <v>0</v>
      </c>
      <c r="M2719" s="4">
        <f t="shared" si="126"/>
        <v>0</v>
      </c>
      <c r="N2719" s="4">
        <f t="shared" si="127"/>
        <v>0.02</v>
      </c>
      <c r="O2719" s="4">
        <f t="shared" si="128"/>
        <v>0</v>
      </c>
      <c r="P2719" s="3" t="s">
        <v>19</v>
      </c>
    </row>
    <row r="2720" spans="1:16" x14ac:dyDescent="0.35">
      <c r="A2720" s="3" t="s">
        <v>31</v>
      </c>
      <c r="B2720" s="3" t="str">
        <f>INDEX(State_Region!$B$2:$B$26,MATCH(TRIM(A2720),State_Region!$A$2:$A$26,0))</f>
        <v>East</v>
      </c>
      <c r="C2720" s="3" t="s">
        <v>192</v>
      </c>
      <c r="D2720" s="3" t="str">
        <f>INDEX(Port_Type!$B$2:$B$227,MATCH(TRIM(C2720),Port_Type!$A$2:$A$227,0))</f>
        <v>Air Cargo</v>
      </c>
      <c r="E2720" s="3" t="s">
        <v>72</v>
      </c>
      <c r="F2720" s="3" t="str">
        <f>INDEX(Product_Category!$B$2:$B$45,MATCH(TRIM(E2720),Product_Category!$A$2:$A$45,0))</f>
        <v>Dairy, Poultry &amp; Honey</v>
      </c>
      <c r="G2720" s="4">
        <v>0</v>
      </c>
      <c r="H2720" s="4">
        <v>0</v>
      </c>
      <c r="I2720" s="4">
        <v>0</v>
      </c>
      <c r="J2720" s="4">
        <v>0.06</v>
      </c>
      <c r="K2720" s="4">
        <v>0.11</v>
      </c>
      <c r="L2720" s="4">
        <v>0</v>
      </c>
      <c r="M2720" s="4">
        <f t="shared" si="126"/>
        <v>0</v>
      </c>
      <c r="N2720" s="4">
        <f t="shared" si="127"/>
        <v>0.05</v>
      </c>
      <c r="O2720" s="4">
        <f t="shared" si="128"/>
        <v>0</v>
      </c>
      <c r="P2720" s="3" t="s">
        <v>19</v>
      </c>
    </row>
    <row r="2721" spans="1:16" x14ac:dyDescent="0.35">
      <c r="A2721" s="3" t="s">
        <v>94</v>
      </c>
      <c r="B2721" s="3" t="str">
        <f>INDEX(State_Region!$B$2:$B$26,MATCH(TRIM(A2721),State_Region!$A$2:$A$26,0))</f>
        <v>East</v>
      </c>
      <c r="C2721" s="3" t="s">
        <v>287</v>
      </c>
      <c r="D2721" s="3" t="str">
        <f>INDEX(Port_Type!$B$2:$B$227,MATCH(TRIM(C2721),Port_Type!$A$2:$A$227,0))</f>
        <v>Inland ICD / CFS</v>
      </c>
      <c r="E2721" s="3" t="s">
        <v>76</v>
      </c>
      <c r="F2721" s="3" t="str">
        <f>INDEX(Product_Category!$B$2:$B$45,MATCH(TRIM(E2721),Product_Category!$A$2:$A$45,0))</f>
        <v>Fresh Fruits &amp; Vegetables</v>
      </c>
      <c r="G2721" s="4">
        <v>0</v>
      </c>
      <c r="H2721" s="4">
        <v>0.01</v>
      </c>
      <c r="I2721" s="4">
        <v>0</v>
      </c>
      <c r="J2721" s="4">
        <v>0</v>
      </c>
      <c r="K2721" s="4">
        <v>11.47</v>
      </c>
      <c r="L2721" s="4">
        <v>0</v>
      </c>
      <c r="M2721" s="4">
        <f t="shared" si="126"/>
        <v>0.01</v>
      </c>
      <c r="N2721" s="4">
        <f t="shared" si="127"/>
        <v>11.47</v>
      </c>
      <c r="O2721" s="4">
        <f t="shared" si="128"/>
        <v>-0.01</v>
      </c>
      <c r="P2721" s="3" t="s">
        <v>19</v>
      </c>
    </row>
    <row r="2722" spans="1:16" x14ac:dyDescent="0.35">
      <c r="A2722" s="3" t="s">
        <v>94</v>
      </c>
      <c r="B2722" s="3" t="str">
        <f>INDEX(State_Region!$B$2:$B$26,MATCH(TRIM(A2722),State_Region!$A$2:$A$26,0))</f>
        <v>East</v>
      </c>
      <c r="C2722" s="3" t="s">
        <v>287</v>
      </c>
      <c r="D2722" s="3" t="str">
        <f>INDEX(Port_Type!$B$2:$B$227,MATCH(TRIM(C2722),Port_Type!$A$2:$A$227,0))</f>
        <v>Inland ICD / CFS</v>
      </c>
      <c r="E2722" s="3" t="s">
        <v>48</v>
      </c>
      <c r="F2722" s="3" t="str">
        <f>INDEX(Product_Category!$B$2:$B$45,MATCH(TRIM(E2722),Product_Category!$A$2:$A$45,0))</f>
        <v>Processed Foods</v>
      </c>
      <c r="G2722" s="4">
        <v>0</v>
      </c>
      <c r="H2722" s="4">
        <v>0.02</v>
      </c>
      <c r="I2722" s="4">
        <v>0</v>
      </c>
      <c r="J2722" s="4">
        <v>0</v>
      </c>
      <c r="K2722" s="4">
        <v>1.68</v>
      </c>
      <c r="L2722" s="4">
        <v>0</v>
      </c>
      <c r="M2722" s="4">
        <f t="shared" si="126"/>
        <v>0.02</v>
      </c>
      <c r="N2722" s="4">
        <f t="shared" si="127"/>
        <v>1.68</v>
      </c>
      <c r="O2722" s="4">
        <f t="shared" si="128"/>
        <v>-0.02</v>
      </c>
      <c r="P2722" s="3" t="s">
        <v>19</v>
      </c>
    </row>
    <row r="2723" spans="1:16" x14ac:dyDescent="0.35">
      <c r="A2723" s="3" t="s">
        <v>94</v>
      </c>
      <c r="B2723" s="3" t="str">
        <f>INDEX(State_Region!$B$2:$B$26,MATCH(TRIM(A2723),State_Region!$A$2:$A$26,0))</f>
        <v>East</v>
      </c>
      <c r="C2723" s="3" t="s">
        <v>247</v>
      </c>
      <c r="D2723" s="3" t="str">
        <f>INDEX(Port_Type!$B$2:$B$227,MATCH(TRIM(C2723),Port_Type!$A$2:$A$227,0))</f>
        <v>Land Border / Rail</v>
      </c>
      <c r="E2723" s="3" t="s">
        <v>102</v>
      </c>
      <c r="F2723" s="3" t="str">
        <f>INDEX(Product_Category!$B$2:$B$45,MATCH(TRIM(E2723),Product_Category!$A$2:$A$45,0))</f>
        <v>Fresh Fruits &amp; Vegetables</v>
      </c>
      <c r="G2723" s="4">
        <v>0</v>
      </c>
      <c r="H2723" s="4">
        <v>0</v>
      </c>
      <c r="I2723" s="4">
        <v>0</v>
      </c>
      <c r="J2723" s="4">
        <v>48.45</v>
      </c>
      <c r="K2723" s="4">
        <v>16</v>
      </c>
      <c r="L2723" s="4">
        <v>0</v>
      </c>
      <c r="M2723" s="4">
        <f t="shared" si="126"/>
        <v>0</v>
      </c>
      <c r="N2723" s="4">
        <f t="shared" si="127"/>
        <v>-32.450000000000003</v>
      </c>
      <c r="O2723" s="4">
        <f t="shared" si="128"/>
        <v>0</v>
      </c>
      <c r="P2723" s="3" t="s">
        <v>19</v>
      </c>
    </row>
    <row r="2724" spans="1:16" x14ac:dyDescent="0.35">
      <c r="A2724" s="3" t="s">
        <v>31</v>
      </c>
      <c r="B2724" s="3" t="str">
        <f>INDEX(State_Region!$B$2:$B$26,MATCH(TRIM(A2724),State_Region!$A$2:$A$26,0))</f>
        <v>East</v>
      </c>
      <c r="C2724" s="3" t="s">
        <v>192</v>
      </c>
      <c r="D2724" s="3" t="str">
        <f>INDEX(Port_Type!$B$2:$B$227,MATCH(TRIM(C2724),Port_Type!$A$2:$A$227,0))</f>
        <v>Air Cargo</v>
      </c>
      <c r="E2724" s="3" t="s">
        <v>53</v>
      </c>
      <c r="F2724" s="3" t="str">
        <f>INDEX(Product_Category!$B$2:$B$45,MATCH(TRIM(E2724),Product_Category!$A$2:$A$45,0))</f>
        <v>Processed Foods</v>
      </c>
      <c r="G2724" s="4">
        <v>0.09</v>
      </c>
      <c r="H2724" s="4">
        <v>0</v>
      </c>
      <c r="I2724" s="4">
        <v>0</v>
      </c>
      <c r="J2724" s="4">
        <v>12.19</v>
      </c>
      <c r="K2724" s="4">
        <v>1.7</v>
      </c>
      <c r="L2724" s="4">
        <v>0</v>
      </c>
      <c r="M2724" s="4">
        <f t="shared" si="126"/>
        <v>-0.09</v>
      </c>
      <c r="N2724" s="4">
        <f t="shared" si="127"/>
        <v>-10.49</v>
      </c>
      <c r="O2724" s="4">
        <f t="shared" si="128"/>
        <v>0</v>
      </c>
      <c r="P2724" s="3" t="s">
        <v>19</v>
      </c>
    </row>
    <row r="2725" spans="1:16" x14ac:dyDescent="0.35">
      <c r="A2725" s="3" t="s">
        <v>94</v>
      </c>
      <c r="B2725" s="3" t="str">
        <f>INDEX(State_Region!$B$2:$B$26,MATCH(TRIM(A2725),State_Region!$A$2:$A$26,0))</f>
        <v>East</v>
      </c>
      <c r="C2725" s="3" t="s">
        <v>247</v>
      </c>
      <c r="D2725" s="3" t="str">
        <f>INDEX(Port_Type!$B$2:$B$227,MATCH(TRIM(C2725),Port_Type!$A$2:$A$227,0))</f>
        <v>Land Border / Rail</v>
      </c>
      <c r="E2725" s="3" t="s">
        <v>45</v>
      </c>
      <c r="F2725" s="3" t="str">
        <f>INDEX(Product_Category!$B$2:$B$45,MATCH(TRIM(E2725),Product_Category!$A$2:$A$45,0))</f>
        <v>Fresh Fruits &amp; Vegetables</v>
      </c>
      <c r="G2725" s="4">
        <v>0</v>
      </c>
      <c r="H2725" s="4">
        <v>0</v>
      </c>
      <c r="I2725" s="4">
        <v>0</v>
      </c>
      <c r="J2725" s="4">
        <v>3.22</v>
      </c>
      <c r="K2725" s="4">
        <v>7.9</v>
      </c>
      <c r="L2725" s="4">
        <v>0</v>
      </c>
      <c r="M2725" s="4">
        <f t="shared" si="126"/>
        <v>0</v>
      </c>
      <c r="N2725" s="4">
        <f t="shared" si="127"/>
        <v>4.68</v>
      </c>
      <c r="O2725" s="4">
        <f t="shared" si="128"/>
        <v>0</v>
      </c>
      <c r="P2725" s="3" t="s">
        <v>19</v>
      </c>
    </row>
    <row r="2726" spans="1:16" x14ac:dyDescent="0.35">
      <c r="A2726" s="3" t="s">
        <v>31</v>
      </c>
      <c r="B2726" s="3" t="str">
        <f>INDEX(State_Region!$B$2:$B$26,MATCH(TRIM(A2726),State_Region!$A$2:$A$26,0))</f>
        <v>East</v>
      </c>
      <c r="C2726" s="3" t="s">
        <v>192</v>
      </c>
      <c r="D2726" s="3" t="str">
        <f>INDEX(Port_Type!$B$2:$B$227,MATCH(TRIM(C2726),Port_Type!$A$2:$A$227,0))</f>
        <v>Air Cargo</v>
      </c>
      <c r="E2726" s="3" t="s">
        <v>27</v>
      </c>
      <c r="F2726" s="3" t="str">
        <f>INDEX(Product_Category!$B$2:$B$45,MATCH(TRIM(E2726),Product_Category!$A$2:$A$45,0))</f>
        <v>Cereals &amp; Grains</v>
      </c>
      <c r="G2726" s="4">
        <v>0</v>
      </c>
      <c r="H2726" s="4">
        <v>0</v>
      </c>
      <c r="I2726" s="4">
        <v>0</v>
      </c>
      <c r="J2726" s="4">
        <v>0</v>
      </c>
      <c r="K2726" s="4">
        <v>0.03</v>
      </c>
      <c r="L2726" s="4">
        <v>0</v>
      </c>
      <c r="M2726" s="4">
        <f t="shared" si="126"/>
        <v>0</v>
      </c>
      <c r="N2726" s="4">
        <f t="shared" si="127"/>
        <v>0.03</v>
      </c>
      <c r="O2726" s="4">
        <f t="shared" si="128"/>
        <v>0</v>
      </c>
      <c r="P2726" s="3" t="s">
        <v>19</v>
      </c>
    </row>
    <row r="2727" spans="1:16" x14ac:dyDescent="0.35">
      <c r="A2727" s="3" t="s">
        <v>94</v>
      </c>
      <c r="B2727" s="3" t="str">
        <f>INDEX(State_Region!$B$2:$B$26,MATCH(TRIM(A2727),State_Region!$A$2:$A$26,0))</f>
        <v>East</v>
      </c>
      <c r="C2727" s="3" t="s">
        <v>247</v>
      </c>
      <c r="D2727" s="3" t="str">
        <f>INDEX(Port_Type!$B$2:$B$227,MATCH(TRIM(C2727),Port_Type!$A$2:$A$227,0))</f>
        <v>Land Border / Rail</v>
      </c>
      <c r="E2727" s="3" t="s">
        <v>151</v>
      </c>
      <c r="F2727" s="3" t="str">
        <f>INDEX(Product_Category!$B$2:$B$45,MATCH(TRIM(E2727),Product_Category!$A$2:$A$45,0))</f>
        <v>Processed Foods</v>
      </c>
      <c r="G2727" s="4">
        <v>0</v>
      </c>
      <c r="H2727" s="4">
        <v>0.01</v>
      </c>
      <c r="I2727" s="4">
        <v>0</v>
      </c>
      <c r="J2727" s="4">
        <v>0</v>
      </c>
      <c r="K2727" s="4">
        <v>23.22</v>
      </c>
      <c r="L2727" s="4">
        <v>0</v>
      </c>
      <c r="M2727" s="4">
        <f t="shared" si="126"/>
        <v>0.01</v>
      </c>
      <c r="N2727" s="4">
        <f t="shared" si="127"/>
        <v>23.22</v>
      </c>
      <c r="O2727" s="4">
        <f t="shared" si="128"/>
        <v>-0.01</v>
      </c>
      <c r="P2727" s="3" t="s">
        <v>19</v>
      </c>
    </row>
    <row r="2728" spans="1:16" x14ac:dyDescent="0.35">
      <c r="A2728" s="3" t="s">
        <v>94</v>
      </c>
      <c r="B2728" s="3" t="str">
        <f>INDEX(State_Region!$B$2:$B$26,MATCH(TRIM(A2728),State_Region!$A$2:$A$26,0))</f>
        <v>East</v>
      </c>
      <c r="C2728" s="3" t="s">
        <v>247</v>
      </c>
      <c r="D2728" s="3" t="str">
        <f>INDEX(Port_Type!$B$2:$B$227,MATCH(TRIM(C2728),Port_Type!$A$2:$A$227,0))</f>
        <v>Land Border / Rail</v>
      </c>
      <c r="E2728" s="3" t="s">
        <v>53</v>
      </c>
      <c r="F2728" s="3" t="str">
        <f>INDEX(Product_Category!$B$2:$B$45,MATCH(TRIM(E2728),Product_Category!$A$2:$A$45,0))</f>
        <v>Processed Foods</v>
      </c>
      <c r="G2728" s="4">
        <v>0</v>
      </c>
      <c r="H2728" s="4">
        <v>0</v>
      </c>
      <c r="I2728" s="4">
        <v>0</v>
      </c>
      <c r="J2728" s="4">
        <v>9.85</v>
      </c>
      <c r="K2728" s="4">
        <v>0</v>
      </c>
      <c r="L2728" s="4">
        <v>0</v>
      </c>
      <c r="M2728" s="4">
        <f t="shared" si="126"/>
        <v>0</v>
      </c>
      <c r="N2728" s="4">
        <f t="shared" si="127"/>
        <v>-9.85</v>
      </c>
      <c r="O2728" s="4">
        <f t="shared" si="128"/>
        <v>0</v>
      </c>
      <c r="P2728" s="3" t="s">
        <v>19</v>
      </c>
    </row>
    <row r="2729" spans="1:16" x14ac:dyDescent="0.35">
      <c r="A2729" s="3" t="s">
        <v>94</v>
      </c>
      <c r="B2729" s="3" t="str">
        <f>INDEX(State_Region!$B$2:$B$26,MATCH(TRIM(A2729),State_Region!$A$2:$A$26,0))</f>
        <v>East</v>
      </c>
      <c r="C2729" s="3" t="s">
        <v>247</v>
      </c>
      <c r="D2729" s="3" t="str">
        <f>INDEX(Port_Type!$B$2:$B$227,MATCH(TRIM(C2729),Port_Type!$A$2:$A$227,0))</f>
        <v>Land Border / Rail</v>
      </c>
      <c r="E2729" s="3" t="s">
        <v>55</v>
      </c>
      <c r="F2729" s="3" t="str">
        <f>INDEX(Product_Category!$B$2:$B$45,MATCH(TRIM(E2729),Product_Category!$A$2:$A$45,0))</f>
        <v>Fresh Fruits &amp; Vegetables</v>
      </c>
      <c r="G2729" s="4">
        <v>0</v>
      </c>
      <c r="H2729" s="4">
        <v>0</v>
      </c>
      <c r="I2729" s="4">
        <v>0</v>
      </c>
      <c r="J2729" s="4">
        <v>0</v>
      </c>
      <c r="K2729" s="4">
        <v>5.5</v>
      </c>
      <c r="L2729" s="4">
        <v>0</v>
      </c>
      <c r="M2729" s="4">
        <f t="shared" si="126"/>
        <v>0</v>
      </c>
      <c r="N2729" s="4">
        <f t="shared" si="127"/>
        <v>5.5</v>
      </c>
      <c r="O2729" s="4">
        <f t="shared" si="128"/>
        <v>0</v>
      </c>
      <c r="P2729" s="3" t="s">
        <v>19</v>
      </c>
    </row>
    <row r="2730" spans="1:16" x14ac:dyDescent="0.35">
      <c r="A2730" s="3" t="s">
        <v>94</v>
      </c>
      <c r="B2730" s="3" t="str">
        <f>INDEX(State_Region!$B$2:$B$26,MATCH(TRIM(A2730),State_Region!$A$2:$A$26,0))</f>
        <v>East</v>
      </c>
      <c r="C2730" s="3" t="s">
        <v>247</v>
      </c>
      <c r="D2730" s="3" t="str">
        <f>INDEX(Port_Type!$B$2:$B$227,MATCH(TRIM(C2730),Port_Type!$A$2:$A$227,0))</f>
        <v>Land Border / Rail</v>
      </c>
      <c r="E2730" s="3" t="s">
        <v>72</v>
      </c>
      <c r="F2730" s="3" t="str">
        <f>INDEX(Product_Category!$B$2:$B$45,MATCH(TRIM(E2730),Product_Category!$A$2:$A$45,0))</f>
        <v>Dairy, Poultry &amp; Honey</v>
      </c>
      <c r="G2730" s="4">
        <v>0</v>
      </c>
      <c r="H2730" s="4">
        <v>0</v>
      </c>
      <c r="I2730" s="4">
        <v>0</v>
      </c>
      <c r="J2730" s="4">
        <v>1</v>
      </c>
      <c r="K2730" s="4">
        <v>0</v>
      </c>
      <c r="L2730" s="4">
        <v>0</v>
      </c>
      <c r="M2730" s="4">
        <f t="shared" si="126"/>
        <v>0</v>
      </c>
      <c r="N2730" s="4">
        <f t="shared" si="127"/>
        <v>-1</v>
      </c>
      <c r="O2730" s="4">
        <f t="shared" si="128"/>
        <v>0</v>
      </c>
      <c r="P2730" s="3" t="s">
        <v>19</v>
      </c>
    </row>
    <row r="2731" spans="1:16" x14ac:dyDescent="0.35">
      <c r="A2731" s="3" t="s">
        <v>94</v>
      </c>
      <c r="B2731" s="3" t="str">
        <f>INDEX(State_Region!$B$2:$B$26,MATCH(TRIM(A2731),State_Region!$A$2:$A$26,0))</f>
        <v>East</v>
      </c>
      <c r="C2731" s="3" t="s">
        <v>247</v>
      </c>
      <c r="D2731" s="3" t="str">
        <f>INDEX(Port_Type!$B$2:$B$227,MATCH(TRIM(C2731),Port_Type!$A$2:$A$227,0))</f>
        <v>Land Border / Rail</v>
      </c>
      <c r="E2731" s="3" t="s">
        <v>59</v>
      </c>
      <c r="F2731" s="3" t="str">
        <f>INDEX(Product_Category!$B$2:$B$45,MATCH(TRIM(E2731),Product_Category!$A$2:$A$45,0))</f>
        <v>Processed Foods</v>
      </c>
      <c r="G2731" s="4">
        <v>0</v>
      </c>
      <c r="H2731" s="4">
        <v>0.03</v>
      </c>
      <c r="I2731" s="4">
        <v>0</v>
      </c>
      <c r="J2731" s="4">
        <v>0</v>
      </c>
      <c r="K2731" s="4">
        <v>3.62</v>
      </c>
      <c r="L2731" s="4">
        <v>0</v>
      </c>
      <c r="M2731" s="4">
        <f t="shared" si="126"/>
        <v>0.03</v>
      </c>
      <c r="N2731" s="4">
        <f t="shared" si="127"/>
        <v>3.62</v>
      </c>
      <c r="O2731" s="4">
        <f t="shared" si="128"/>
        <v>-0.03</v>
      </c>
      <c r="P2731" s="3" t="s">
        <v>19</v>
      </c>
    </row>
    <row r="2732" spans="1:16" x14ac:dyDescent="0.35">
      <c r="A2732" s="3" t="s">
        <v>31</v>
      </c>
      <c r="B2732" s="3" t="str">
        <f>INDEX(State_Region!$B$2:$B$26,MATCH(TRIM(A2732),State_Region!$A$2:$A$26,0))</f>
        <v>East</v>
      </c>
      <c r="C2732" s="3" t="s">
        <v>192</v>
      </c>
      <c r="D2732" s="3" t="str">
        <f>INDEX(Port_Type!$B$2:$B$227,MATCH(TRIM(C2732),Port_Type!$A$2:$A$227,0))</f>
        <v>Air Cargo</v>
      </c>
      <c r="E2732" s="3" t="s">
        <v>93</v>
      </c>
      <c r="F2732" s="3" t="str">
        <f>INDEX(Product_Category!$B$2:$B$45,MATCH(TRIM(E2732),Product_Category!$A$2:$A$45,0))</f>
        <v>Meat &amp; Animal Products</v>
      </c>
      <c r="G2732" s="4">
        <v>0.03</v>
      </c>
      <c r="H2732" s="4">
        <v>0.1</v>
      </c>
      <c r="I2732" s="4">
        <v>0</v>
      </c>
      <c r="J2732" s="4">
        <v>2.37</v>
      </c>
      <c r="K2732" s="4">
        <v>9.34</v>
      </c>
      <c r="L2732" s="4">
        <v>0</v>
      </c>
      <c r="M2732" s="4">
        <f t="shared" si="126"/>
        <v>7.0000000000000007E-2</v>
      </c>
      <c r="N2732" s="4">
        <f t="shared" si="127"/>
        <v>6.97</v>
      </c>
      <c r="O2732" s="4">
        <f t="shared" si="128"/>
        <v>-0.1</v>
      </c>
      <c r="P2732" s="3" t="s">
        <v>19</v>
      </c>
    </row>
    <row r="2733" spans="1:16" x14ac:dyDescent="0.35">
      <c r="A2733" s="3" t="s">
        <v>31</v>
      </c>
      <c r="B2733" s="3" t="str">
        <f>INDEX(State_Region!$B$2:$B$26,MATCH(TRIM(A2733),State_Region!$A$2:$A$26,0))</f>
        <v>East</v>
      </c>
      <c r="C2733" s="3" t="s">
        <v>32</v>
      </c>
      <c r="D2733" s="3" t="str">
        <f>INDEX(Port_Type!$B$2:$B$227,MATCH(TRIM(C2733),Port_Type!$A$2:$A$227,0))</f>
        <v>Sea Port</v>
      </c>
      <c r="E2733" s="3" t="s">
        <v>60</v>
      </c>
      <c r="F2733" s="3" t="str">
        <f>INDEX(Product_Category!$B$2:$B$45,MATCH(TRIM(E2733),Product_Category!$A$2:$A$45,0))</f>
        <v>Processed Foods</v>
      </c>
      <c r="G2733" s="4">
        <v>0.03</v>
      </c>
      <c r="H2733" s="4">
        <v>0.04</v>
      </c>
      <c r="I2733" s="4">
        <v>0</v>
      </c>
      <c r="J2733" s="4">
        <v>19.5</v>
      </c>
      <c r="K2733" s="4">
        <v>17.71</v>
      </c>
      <c r="L2733" s="4">
        <v>0</v>
      </c>
      <c r="M2733" s="4">
        <f t="shared" si="126"/>
        <v>1.0000000000000002E-2</v>
      </c>
      <c r="N2733" s="4">
        <f t="shared" si="127"/>
        <v>-1.7899999999999991</v>
      </c>
      <c r="O2733" s="4">
        <f t="shared" si="128"/>
        <v>-0.04</v>
      </c>
      <c r="P2733" s="3" t="s">
        <v>19</v>
      </c>
    </row>
    <row r="2734" spans="1:16" x14ac:dyDescent="0.35">
      <c r="A2734" s="3" t="s">
        <v>31</v>
      </c>
      <c r="B2734" s="3" t="str">
        <f>INDEX(State_Region!$B$2:$B$26,MATCH(TRIM(A2734),State_Region!$A$2:$A$26,0))</f>
        <v>East</v>
      </c>
      <c r="C2734" s="3" t="s">
        <v>32</v>
      </c>
      <c r="D2734" s="3" t="str">
        <f>INDEX(Port_Type!$B$2:$B$227,MATCH(TRIM(C2734),Port_Type!$A$2:$A$227,0))</f>
        <v>Sea Port</v>
      </c>
      <c r="E2734" s="3" t="s">
        <v>125</v>
      </c>
      <c r="F2734" s="3" t="str">
        <f>INDEX(Product_Category!$B$2:$B$45,MATCH(TRIM(E2734),Product_Category!$A$2:$A$45,0))</f>
        <v>Meat &amp; Animal Products</v>
      </c>
      <c r="G2734" s="4">
        <v>0.28999999999999998</v>
      </c>
      <c r="H2734" s="4">
        <v>0</v>
      </c>
      <c r="I2734" s="4">
        <v>0</v>
      </c>
      <c r="J2734" s="4">
        <v>57.5</v>
      </c>
      <c r="K2734" s="4">
        <v>0</v>
      </c>
      <c r="L2734" s="4">
        <v>0</v>
      </c>
      <c r="M2734" s="4">
        <f t="shared" si="126"/>
        <v>-0.28999999999999998</v>
      </c>
      <c r="N2734" s="4">
        <f t="shared" si="127"/>
        <v>-57.5</v>
      </c>
      <c r="O2734" s="4">
        <f t="shared" si="128"/>
        <v>0</v>
      </c>
      <c r="P2734" s="3" t="s">
        <v>19</v>
      </c>
    </row>
    <row r="2735" spans="1:16" x14ac:dyDescent="0.35">
      <c r="A2735" s="3" t="s">
        <v>94</v>
      </c>
      <c r="B2735" s="3" t="str">
        <f>INDEX(State_Region!$B$2:$B$26,MATCH(TRIM(A2735),State_Region!$A$2:$A$26,0))</f>
        <v>East</v>
      </c>
      <c r="C2735" s="3" t="s">
        <v>247</v>
      </c>
      <c r="D2735" s="3" t="str">
        <f>INDEX(Port_Type!$B$2:$B$227,MATCH(TRIM(C2735),Port_Type!$A$2:$A$227,0))</f>
        <v>Land Border / Rail</v>
      </c>
      <c r="E2735" s="3" t="s">
        <v>48</v>
      </c>
      <c r="F2735" s="3" t="str">
        <f>INDEX(Product_Category!$B$2:$B$45,MATCH(TRIM(E2735),Product_Category!$A$2:$A$45,0))</f>
        <v>Processed Foods</v>
      </c>
      <c r="G2735" s="4">
        <v>0</v>
      </c>
      <c r="H2735" s="4">
        <v>0</v>
      </c>
      <c r="I2735" s="4">
        <v>0</v>
      </c>
      <c r="J2735" s="4">
        <v>0.17</v>
      </c>
      <c r="K2735" s="4">
        <v>0</v>
      </c>
      <c r="L2735" s="4">
        <v>0</v>
      </c>
      <c r="M2735" s="4">
        <f t="shared" si="126"/>
        <v>0</v>
      </c>
      <c r="N2735" s="4">
        <f t="shared" si="127"/>
        <v>-0.17</v>
      </c>
      <c r="O2735" s="4">
        <f t="shared" si="128"/>
        <v>0</v>
      </c>
      <c r="P2735" s="3" t="s">
        <v>19</v>
      </c>
    </row>
    <row r="2736" spans="1:16" x14ac:dyDescent="0.35">
      <c r="A2736" s="3" t="s">
        <v>94</v>
      </c>
      <c r="B2736" s="3" t="str">
        <f>INDEX(State_Region!$B$2:$B$26,MATCH(TRIM(A2736),State_Region!$A$2:$A$26,0))</f>
        <v>East</v>
      </c>
      <c r="C2736" s="3" t="s">
        <v>184</v>
      </c>
      <c r="D2736" s="3" t="str">
        <f>INDEX(Port_Type!$B$2:$B$227,MATCH(TRIM(C2736),Port_Type!$A$2:$A$227,0))</f>
        <v>Land Border / Rail</v>
      </c>
      <c r="E2736" s="3" t="s">
        <v>54</v>
      </c>
      <c r="F2736" s="3" t="str">
        <f>INDEX(Product_Category!$B$2:$B$45,MATCH(TRIM(E2736),Product_Category!$A$2:$A$45,0))</f>
        <v>Processed Foods</v>
      </c>
      <c r="G2736" s="4">
        <v>0</v>
      </c>
      <c r="H2736" s="4">
        <v>0</v>
      </c>
      <c r="I2736" s="4">
        <v>0</v>
      </c>
      <c r="J2736" s="4">
        <v>0.37</v>
      </c>
      <c r="K2736" s="4">
        <v>0</v>
      </c>
      <c r="L2736" s="4">
        <v>0</v>
      </c>
      <c r="M2736" s="4">
        <f t="shared" si="126"/>
        <v>0</v>
      </c>
      <c r="N2736" s="4">
        <f t="shared" si="127"/>
        <v>-0.37</v>
      </c>
      <c r="O2736" s="4">
        <f t="shared" si="128"/>
        <v>0</v>
      </c>
      <c r="P2736" s="3" t="s">
        <v>19</v>
      </c>
    </row>
    <row r="2737" spans="1:16" x14ac:dyDescent="0.35">
      <c r="A2737" s="3" t="s">
        <v>94</v>
      </c>
      <c r="B2737" s="3" t="str">
        <f>INDEX(State_Region!$B$2:$B$26,MATCH(TRIM(A2737),State_Region!$A$2:$A$26,0))</f>
        <v>East</v>
      </c>
      <c r="C2737" s="3" t="s">
        <v>184</v>
      </c>
      <c r="D2737" s="3" t="str">
        <f>INDEX(Port_Type!$B$2:$B$227,MATCH(TRIM(C2737),Port_Type!$A$2:$A$227,0))</f>
        <v>Land Border / Rail</v>
      </c>
      <c r="E2737" s="3" t="s">
        <v>116</v>
      </c>
      <c r="F2737" s="3" t="str">
        <f>INDEX(Product_Category!$B$2:$B$45,MATCH(TRIM(E2737),Product_Category!$A$2:$A$45,0))</f>
        <v>Others</v>
      </c>
      <c r="G2737" s="4">
        <v>7.0000000000000007E-2</v>
      </c>
      <c r="H2737" s="4">
        <v>0</v>
      </c>
      <c r="I2737" s="4">
        <v>0</v>
      </c>
      <c r="J2737" s="4">
        <v>313.12</v>
      </c>
      <c r="K2737" s="4">
        <v>0</v>
      </c>
      <c r="L2737" s="4">
        <v>0</v>
      </c>
      <c r="M2737" s="4">
        <f t="shared" si="126"/>
        <v>-7.0000000000000007E-2</v>
      </c>
      <c r="N2737" s="4">
        <f t="shared" si="127"/>
        <v>-313.12</v>
      </c>
      <c r="O2737" s="4">
        <f t="shared" si="128"/>
        <v>0</v>
      </c>
      <c r="P2737" s="3" t="s">
        <v>19</v>
      </c>
    </row>
    <row r="2738" spans="1:16" x14ac:dyDescent="0.35">
      <c r="A2738" s="3" t="s">
        <v>94</v>
      </c>
      <c r="B2738" s="3" t="str">
        <f>INDEX(State_Region!$B$2:$B$26,MATCH(TRIM(A2738),State_Region!$A$2:$A$26,0))</f>
        <v>East</v>
      </c>
      <c r="C2738" s="3" t="s">
        <v>184</v>
      </c>
      <c r="D2738" s="3" t="str">
        <f>INDEX(Port_Type!$B$2:$B$227,MATCH(TRIM(C2738),Port_Type!$A$2:$A$227,0))</f>
        <v>Land Border / Rail</v>
      </c>
      <c r="E2738" s="3" t="s">
        <v>126</v>
      </c>
      <c r="F2738" s="3" t="str">
        <f>INDEX(Product_Category!$B$2:$B$45,MATCH(TRIM(E2738),Product_Category!$A$2:$A$45,0))</f>
        <v>Cereals &amp; Grains</v>
      </c>
      <c r="G2738" s="4">
        <v>0.02</v>
      </c>
      <c r="H2738" s="4">
        <v>0</v>
      </c>
      <c r="I2738" s="4">
        <v>0</v>
      </c>
      <c r="J2738" s="4">
        <v>40</v>
      </c>
      <c r="K2738" s="4">
        <v>0</v>
      </c>
      <c r="L2738" s="4">
        <v>0</v>
      </c>
      <c r="M2738" s="4">
        <f t="shared" si="126"/>
        <v>-0.02</v>
      </c>
      <c r="N2738" s="4">
        <f t="shared" si="127"/>
        <v>-40</v>
      </c>
      <c r="O2738" s="4">
        <f t="shared" si="128"/>
        <v>0</v>
      </c>
      <c r="P2738" s="3" t="s">
        <v>19</v>
      </c>
    </row>
    <row r="2739" spans="1:16" x14ac:dyDescent="0.35">
      <c r="A2739" s="3" t="s">
        <v>94</v>
      </c>
      <c r="B2739" s="3" t="str">
        <f>INDEX(State_Region!$B$2:$B$26,MATCH(TRIM(A2739),State_Region!$A$2:$A$26,0))</f>
        <v>East</v>
      </c>
      <c r="C2739" s="3" t="s">
        <v>184</v>
      </c>
      <c r="D2739" s="3" t="str">
        <f>INDEX(Port_Type!$B$2:$B$227,MATCH(TRIM(C2739),Port_Type!$A$2:$A$227,0))</f>
        <v>Land Border / Rail</v>
      </c>
      <c r="E2739" s="3" t="s">
        <v>39</v>
      </c>
      <c r="F2739" s="3" t="str">
        <f>INDEX(Product_Category!$B$2:$B$45,MATCH(TRIM(E2739),Product_Category!$A$2:$A$45,0))</f>
        <v>Processed Foods</v>
      </c>
      <c r="G2739" s="4">
        <v>3.75</v>
      </c>
      <c r="H2739" s="4">
        <v>0</v>
      </c>
      <c r="I2739" s="4">
        <v>0</v>
      </c>
      <c r="J2739" s="4">
        <v>1488.74</v>
      </c>
      <c r="K2739" s="4">
        <v>0</v>
      </c>
      <c r="L2739" s="4">
        <v>0</v>
      </c>
      <c r="M2739" s="4">
        <f t="shared" si="126"/>
        <v>-3.75</v>
      </c>
      <c r="N2739" s="4">
        <f t="shared" si="127"/>
        <v>-1488.74</v>
      </c>
      <c r="O2739" s="4">
        <f t="shared" si="128"/>
        <v>0</v>
      </c>
      <c r="P2739" s="3" t="s">
        <v>19</v>
      </c>
    </row>
    <row r="2740" spans="1:16" x14ac:dyDescent="0.35">
      <c r="A2740" s="3" t="s">
        <v>31</v>
      </c>
      <c r="B2740" s="3" t="str">
        <f>INDEX(State_Region!$B$2:$B$26,MATCH(TRIM(A2740),State_Region!$A$2:$A$26,0))</f>
        <v>East</v>
      </c>
      <c r="C2740" s="3" t="s">
        <v>32</v>
      </c>
      <c r="D2740" s="3" t="str">
        <f>INDEX(Port_Type!$B$2:$B$227,MATCH(TRIM(C2740),Port_Type!$A$2:$A$227,0))</f>
        <v>Sea Port</v>
      </c>
      <c r="E2740" s="3" t="s">
        <v>81</v>
      </c>
      <c r="F2740" s="3" t="str">
        <f>INDEX(Product_Category!$B$2:$B$45,MATCH(TRIM(E2740),Product_Category!$A$2:$A$45,0))</f>
        <v>Processed Foods</v>
      </c>
      <c r="G2740" s="4">
        <v>0</v>
      </c>
      <c r="H2740" s="4">
        <v>0</v>
      </c>
      <c r="I2740" s="4">
        <v>0</v>
      </c>
      <c r="J2740" s="4">
        <v>0</v>
      </c>
      <c r="K2740" s="4">
        <v>0.26</v>
      </c>
      <c r="L2740" s="4">
        <v>0</v>
      </c>
      <c r="M2740" s="4">
        <f t="shared" si="126"/>
        <v>0</v>
      </c>
      <c r="N2740" s="4">
        <f t="shared" si="127"/>
        <v>0.26</v>
      </c>
      <c r="O2740" s="4">
        <f t="shared" si="128"/>
        <v>0</v>
      </c>
      <c r="P2740" s="3" t="s">
        <v>19</v>
      </c>
    </row>
    <row r="2741" spans="1:16" x14ac:dyDescent="0.35">
      <c r="A2741" s="3" t="s">
        <v>94</v>
      </c>
      <c r="B2741" s="3" t="str">
        <f>INDEX(State_Region!$B$2:$B$26,MATCH(TRIM(A2741),State_Region!$A$2:$A$26,0))</f>
        <v>East</v>
      </c>
      <c r="C2741" s="3" t="s">
        <v>184</v>
      </c>
      <c r="D2741" s="3" t="str">
        <f>INDEX(Port_Type!$B$2:$B$227,MATCH(TRIM(C2741),Port_Type!$A$2:$A$227,0))</f>
        <v>Land Border / Rail</v>
      </c>
      <c r="E2741" s="3" t="s">
        <v>151</v>
      </c>
      <c r="F2741" s="3" t="str">
        <f>INDEX(Product_Category!$B$2:$B$45,MATCH(TRIM(E2741),Product_Category!$A$2:$A$45,0))</f>
        <v>Processed Foods</v>
      </c>
      <c r="G2741" s="4">
        <v>0</v>
      </c>
      <c r="H2741" s="4">
        <v>0</v>
      </c>
      <c r="I2741" s="4">
        <v>0</v>
      </c>
      <c r="J2741" s="4">
        <v>0</v>
      </c>
      <c r="K2741" s="4">
        <v>0.16</v>
      </c>
      <c r="L2741" s="4">
        <v>0</v>
      </c>
      <c r="M2741" s="4">
        <f t="shared" si="126"/>
        <v>0</v>
      </c>
      <c r="N2741" s="4">
        <f t="shared" si="127"/>
        <v>0.16</v>
      </c>
      <c r="O2741" s="4">
        <f t="shared" si="128"/>
        <v>0</v>
      </c>
      <c r="P2741" s="3" t="s">
        <v>19</v>
      </c>
    </row>
    <row r="2742" spans="1:16" x14ac:dyDescent="0.35">
      <c r="A2742" s="3" t="s">
        <v>94</v>
      </c>
      <c r="B2742" s="3" t="str">
        <f>INDEX(State_Region!$B$2:$B$26,MATCH(TRIM(A2742),State_Region!$A$2:$A$26,0))</f>
        <v>East</v>
      </c>
      <c r="C2742" s="3" t="s">
        <v>184</v>
      </c>
      <c r="D2742" s="3" t="str">
        <f>INDEX(Port_Type!$B$2:$B$227,MATCH(TRIM(C2742),Port_Type!$A$2:$A$227,0))</f>
        <v>Land Border / Rail</v>
      </c>
      <c r="E2742" s="3" t="s">
        <v>62</v>
      </c>
      <c r="F2742" s="3" t="str">
        <f>INDEX(Product_Category!$B$2:$B$45,MATCH(TRIM(E2742),Product_Category!$A$2:$A$45,0))</f>
        <v>Cereals &amp; Grains</v>
      </c>
      <c r="G2742" s="4">
        <v>1.44</v>
      </c>
      <c r="H2742" s="4">
        <v>0.44</v>
      </c>
      <c r="I2742" s="4">
        <v>0</v>
      </c>
      <c r="J2742" s="4">
        <v>5632.32</v>
      </c>
      <c r="K2742" s="4">
        <v>1778.03</v>
      </c>
      <c r="L2742" s="4">
        <v>0</v>
      </c>
      <c r="M2742" s="4">
        <f t="shared" si="126"/>
        <v>-1</v>
      </c>
      <c r="N2742" s="4">
        <f t="shared" si="127"/>
        <v>-3854.29</v>
      </c>
      <c r="O2742" s="4">
        <f t="shared" si="128"/>
        <v>-0.44</v>
      </c>
      <c r="P2742" s="3" t="s">
        <v>19</v>
      </c>
    </row>
    <row r="2743" spans="1:16" x14ac:dyDescent="0.35">
      <c r="A2743" s="3" t="s">
        <v>94</v>
      </c>
      <c r="B2743" s="3" t="str">
        <f>INDEX(State_Region!$B$2:$B$26,MATCH(TRIM(A2743),State_Region!$A$2:$A$26,0))</f>
        <v>East</v>
      </c>
      <c r="C2743" s="3" t="s">
        <v>184</v>
      </c>
      <c r="D2743" s="3" t="str">
        <f>INDEX(Port_Type!$B$2:$B$227,MATCH(TRIM(C2743),Port_Type!$A$2:$A$227,0))</f>
        <v>Land Border / Rail</v>
      </c>
      <c r="E2743" s="3" t="s">
        <v>53</v>
      </c>
      <c r="F2743" s="3" t="str">
        <f>INDEX(Product_Category!$B$2:$B$45,MATCH(TRIM(E2743),Product_Category!$A$2:$A$45,0))</f>
        <v>Processed Foods</v>
      </c>
      <c r="G2743" s="4">
        <v>0</v>
      </c>
      <c r="H2743" s="4">
        <v>0</v>
      </c>
      <c r="I2743" s="4">
        <v>0</v>
      </c>
      <c r="J2743" s="4">
        <v>1</v>
      </c>
      <c r="K2743" s="4">
        <v>0</v>
      </c>
      <c r="L2743" s="4">
        <v>0</v>
      </c>
      <c r="M2743" s="4">
        <f t="shared" si="126"/>
        <v>0</v>
      </c>
      <c r="N2743" s="4">
        <f t="shared" si="127"/>
        <v>-1</v>
      </c>
      <c r="O2743" s="4">
        <f t="shared" si="128"/>
        <v>0</v>
      </c>
      <c r="P2743" s="3" t="s">
        <v>19</v>
      </c>
    </row>
    <row r="2744" spans="1:16" x14ac:dyDescent="0.35">
      <c r="A2744" s="3" t="s">
        <v>31</v>
      </c>
      <c r="B2744" s="3" t="str">
        <f>INDEX(State_Region!$B$2:$B$26,MATCH(TRIM(A2744),State_Region!$A$2:$A$26,0))</f>
        <v>East</v>
      </c>
      <c r="C2744" s="3" t="s">
        <v>32</v>
      </c>
      <c r="D2744" s="3" t="str">
        <f>INDEX(Port_Type!$B$2:$B$227,MATCH(TRIM(C2744),Port_Type!$A$2:$A$227,0))</f>
        <v>Sea Port</v>
      </c>
      <c r="E2744" s="3" t="s">
        <v>55</v>
      </c>
      <c r="F2744" s="3" t="str">
        <f>INDEX(Product_Category!$B$2:$B$45,MATCH(TRIM(E2744),Product_Category!$A$2:$A$45,0))</f>
        <v>Fresh Fruits &amp; Vegetables</v>
      </c>
      <c r="G2744" s="4">
        <v>0.01</v>
      </c>
      <c r="H2744" s="4">
        <v>0</v>
      </c>
      <c r="I2744" s="4">
        <v>0</v>
      </c>
      <c r="J2744" s="4">
        <v>28</v>
      </c>
      <c r="K2744" s="4">
        <v>0</v>
      </c>
      <c r="L2744" s="4">
        <v>0</v>
      </c>
      <c r="M2744" s="4">
        <f t="shared" si="126"/>
        <v>-0.01</v>
      </c>
      <c r="N2744" s="4">
        <f t="shared" si="127"/>
        <v>-28</v>
      </c>
      <c r="O2744" s="4">
        <f t="shared" si="128"/>
        <v>0</v>
      </c>
      <c r="P2744" s="3" t="s">
        <v>19</v>
      </c>
    </row>
    <row r="2745" spans="1:16" x14ac:dyDescent="0.35">
      <c r="A2745" s="3" t="s">
        <v>94</v>
      </c>
      <c r="B2745" s="3" t="str">
        <f>INDEX(State_Region!$B$2:$B$26,MATCH(TRIM(A2745),State_Region!$A$2:$A$26,0))</f>
        <v>East</v>
      </c>
      <c r="C2745" s="3" t="s">
        <v>184</v>
      </c>
      <c r="D2745" s="3" t="str">
        <f>INDEX(Port_Type!$B$2:$B$227,MATCH(TRIM(C2745),Port_Type!$A$2:$A$227,0))</f>
        <v>Land Border / Rail</v>
      </c>
      <c r="E2745" s="3" t="s">
        <v>69</v>
      </c>
      <c r="F2745" s="3" t="str">
        <f>INDEX(Product_Category!$B$2:$B$45,MATCH(TRIM(E2745),Product_Category!$A$2:$A$45,0))</f>
        <v>Others</v>
      </c>
      <c r="G2745" s="4">
        <v>0</v>
      </c>
      <c r="H2745" s="4">
        <v>0</v>
      </c>
      <c r="I2745" s="4">
        <v>0</v>
      </c>
      <c r="J2745" s="4">
        <v>0.55000000000000004</v>
      </c>
      <c r="K2745" s="4">
        <v>0</v>
      </c>
      <c r="L2745" s="4">
        <v>0</v>
      </c>
      <c r="M2745" s="4">
        <f t="shared" si="126"/>
        <v>0</v>
      </c>
      <c r="N2745" s="4">
        <f t="shared" si="127"/>
        <v>-0.55000000000000004</v>
      </c>
      <c r="O2745" s="4">
        <f t="shared" si="128"/>
        <v>0</v>
      </c>
      <c r="P2745" s="3" t="s">
        <v>19</v>
      </c>
    </row>
    <row r="2746" spans="1:16" x14ac:dyDescent="0.35">
      <c r="A2746" s="3" t="s">
        <v>31</v>
      </c>
      <c r="B2746" s="3" t="str">
        <f>INDEX(State_Region!$B$2:$B$26,MATCH(TRIM(A2746),State_Region!$A$2:$A$26,0))</f>
        <v>East</v>
      </c>
      <c r="C2746" s="3" t="s">
        <v>32</v>
      </c>
      <c r="D2746" s="3" t="str">
        <f>INDEX(Port_Type!$B$2:$B$227,MATCH(TRIM(C2746),Port_Type!$A$2:$A$227,0))</f>
        <v>Sea Port</v>
      </c>
      <c r="E2746" s="3" t="s">
        <v>51</v>
      </c>
      <c r="F2746" s="3" t="str">
        <f>INDEX(Product_Category!$B$2:$B$45,MATCH(TRIM(E2746),Product_Category!$A$2:$A$45,0))</f>
        <v>Nuts &amp; Oilseeds</v>
      </c>
      <c r="G2746" s="4">
        <v>0</v>
      </c>
      <c r="H2746" s="4">
        <v>0</v>
      </c>
      <c r="I2746" s="4">
        <v>0</v>
      </c>
      <c r="J2746" s="4">
        <v>0.01</v>
      </c>
      <c r="K2746" s="4">
        <v>0</v>
      </c>
      <c r="L2746" s="4">
        <v>0</v>
      </c>
      <c r="M2746" s="4">
        <f t="shared" si="126"/>
        <v>0</v>
      </c>
      <c r="N2746" s="4">
        <f t="shared" si="127"/>
        <v>-0.01</v>
      </c>
      <c r="O2746" s="4">
        <f t="shared" si="128"/>
        <v>0</v>
      </c>
      <c r="P2746" s="3" t="s">
        <v>19</v>
      </c>
    </row>
    <row r="2747" spans="1:16" x14ac:dyDescent="0.35">
      <c r="A2747" s="3" t="s">
        <v>94</v>
      </c>
      <c r="B2747" s="3" t="str">
        <f>INDEX(State_Region!$B$2:$B$26,MATCH(TRIM(A2747),State_Region!$A$2:$A$26,0))</f>
        <v>East</v>
      </c>
      <c r="C2747" s="3" t="s">
        <v>184</v>
      </c>
      <c r="D2747" s="3" t="str">
        <f>INDEX(Port_Type!$B$2:$B$227,MATCH(TRIM(C2747),Port_Type!$A$2:$A$227,0))</f>
        <v>Land Border / Rail</v>
      </c>
      <c r="E2747" s="3" t="s">
        <v>83</v>
      </c>
      <c r="F2747" s="3" t="str">
        <f>INDEX(Product_Category!$B$2:$B$45,MATCH(TRIM(E2747),Product_Category!$A$2:$A$45,0))</f>
        <v>Fresh Fruits &amp; Vegetables</v>
      </c>
      <c r="G2747" s="4">
        <v>0.01</v>
      </c>
      <c r="H2747" s="4">
        <v>0</v>
      </c>
      <c r="I2747" s="4">
        <v>0</v>
      </c>
      <c r="J2747" s="4">
        <v>15.57</v>
      </c>
      <c r="K2747" s="4">
        <v>0.15</v>
      </c>
      <c r="L2747" s="4">
        <v>0</v>
      </c>
      <c r="M2747" s="4">
        <f t="shared" si="126"/>
        <v>-0.01</v>
      </c>
      <c r="N2747" s="4">
        <f t="shared" si="127"/>
        <v>-15.42</v>
      </c>
      <c r="O2747" s="4">
        <f t="shared" si="128"/>
        <v>0</v>
      </c>
      <c r="P2747" s="3" t="s">
        <v>19</v>
      </c>
    </row>
    <row r="2748" spans="1:16" x14ac:dyDescent="0.35">
      <c r="A2748" s="3" t="s">
        <v>31</v>
      </c>
      <c r="B2748" s="3" t="str">
        <f>INDEX(State_Region!$B$2:$B$26,MATCH(TRIM(A2748),State_Region!$A$2:$A$26,0))</f>
        <v>East</v>
      </c>
      <c r="C2748" s="3" t="s">
        <v>32</v>
      </c>
      <c r="D2748" s="3" t="str">
        <f>INDEX(Port_Type!$B$2:$B$227,MATCH(TRIM(C2748),Port_Type!$A$2:$A$227,0))</f>
        <v>Sea Port</v>
      </c>
      <c r="E2748" s="3" t="s">
        <v>151</v>
      </c>
      <c r="F2748" s="3" t="str">
        <f>INDEX(Product_Category!$B$2:$B$45,MATCH(TRIM(E2748),Product_Category!$A$2:$A$45,0))</f>
        <v>Processed Foods</v>
      </c>
      <c r="G2748" s="4">
        <v>0</v>
      </c>
      <c r="H2748" s="4">
        <v>0.01</v>
      </c>
      <c r="I2748" s="4">
        <v>0</v>
      </c>
      <c r="J2748" s="4">
        <v>0.61</v>
      </c>
      <c r="K2748" s="4">
        <v>1.79</v>
      </c>
      <c r="L2748" s="4">
        <v>0</v>
      </c>
      <c r="M2748" s="4">
        <f t="shared" si="126"/>
        <v>0.01</v>
      </c>
      <c r="N2748" s="4">
        <f t="shared" si="127"/>
        <v>1.1800000000000002</v>
      </c>
      <c r="O2748" s="4">
        <f t="shared" si="128"/>
        <v>-0.01</v>
      </c>
      <c r="P2748" s="3" t="s">
        <v>19</v>
      </c>
    </row>
    <row r="2749" spans="1:16" x14ac:dyDescent="0.35">
      <c r="A2749" s="3" t="s">
        <v>94</v>
      </c>
      <c r="B2749" s="3" t="str">
        <f>INDEX(State_Region!$B$2:$B$26,MATCH(TRIM(A2749),State_Region!$A$2:$A$26,0))</f>
        <v>East</v>
      </c>
      <c r="C2749" s="3" t="s">
        <v>184</v>
      </c>
      <c r="D2749" s="3" t="str">
        <f>INDEX(Port_Type!$B$2:$B$227,MATCH(TRIM(C2749),Port_Type!$A$2:$A$227,0))</f>
        <v>Land Border / Rail</v>
      </c>
      <c r="E2749" s="3" t="s">
        <v>59</v>
      </c>
      <c r="F2749" s="3" t="str">
        <f>INDEX(Product_Category!$B$2:$B$45,MATCH(TRIM(E2749),Product_Category!$A$2:$A$45,0))</f>
        <v>Processed Foods</v>
      </c>
      <c r="G2749" s="4">
        <v>0.01</v>
      </c>
      <c r="H2749" s="4">
        <v>0</v>
      </c>
      <c r="I2749" s="4">
        <v>0</v>
      </c>
      <c r="J2749" s="4">
        <v>1.34</v>
      </c>
      <c r="K2749" s="4">
        <v>0</v>
      </c>
      <c r="L2749" s="4">
        <v>0</v>
      </c>
      <c r="M2749" s="4">
        <f t="shared" si="126"/>
        <v>-0.01</v>
      </c>
      <c r="N2749" s="4">
        <f t="shared" si="127"/>
        <v>-1.34</v>
      </c>
      <c r="O2749" s="4">
        <f t="shared" si="128"/>
        <v>0</v>
      </c>
      <c r="P2749" s="3" t="s">
        <v>19</v>
      </c>
    </row>
    <row r="2750" spans="1:16" x14ac:dyDescent="0.35">
      <c r="A2750" s="3" t="s">
        <v>94</v>
      </c>
      <c r="B2750" s="3" t="str">
        <f>INDEX(State_Region!$B$2:$B$26,MATCH(TRIM(A2750),State_Region!$A$2:$A$26,0))</f>
        <v>East</v>
      </c>
      <c r="C2750" s="3" t="s">
        <v>184</v>
      </c>
      <c r="D2750" s="3" t="str">
        <f>INDEX(Port_Type!$B$2:$B$227,MATCH(TRIM(C2750),Port_Type!$A$2:$A$227,0))</f>
        <v>Land Border / Rail</v>
      </c>
      <c r="E2750" s="3" t="s">
        <v>48</v>
      </c>
      <c r="F2750" s="3" t="str">
        <f>INDEX(Product_Category!$B$2:$B$45,MATCH(TRIM(E2750),Product_Category!$A$2:$A$45,0))</f>
        <v>Processed Foods</v>
      </c>
      <c r="G2750" s="4">
        <v>0.03</v>
      </c>
      <c r="H2750" s="4">
        <v>0</v>
      </c>
      <c r="I2750" s="4">
        <v>0</v>
      </c>
      <c r="J2750" s="4">
        <v>17.61</v>
      </c>
      <c r="K2750" s="4">
        <v>0</v>
      </c>
      <c r="L2750" s="4">
        <v>0</v>
      </c>
      <c r="M2750" s="4">
        <f t="shared" si="126"/>
        <v>-0.03</v>
      </c>
      <c r="N2750" s="4">
        <f t="shared" si="127"/>
        <v>-17.61</v>
      </c>
      <c r="O2750" s="4">
        <f t="shared" si="128"/>
        <v>0</v>
      </c>
      <c r="P2750" s="3" t="s">
        <v>19</v>
      </c>
    </row>
    <row r="2751" spans="1:16" x14ac:dyDescent="0.35">
      <c r="A2751" s="3" t="s">
        <v>94</v>
      </c>
      <c r="B2751" s="3" t="str">
        <f>INDEX(State_Region!$B$2:$B$26,MATCH(TRIM(A2751),State_Region!$A$2:$A$26,0))</f>
        <v>East</v>
      </c>
      <c r="C2751" s="3" t="s">
        <v>184</v>
      </c>
      <c r="D2751" s="3" t="str">
        <f>INDEX(Port_Type!$B$2:$B$227,MATCH(TRIM(C2751),Port_Type!$A$2:$A$227,0))</f>
        <v>Land Border / Rail</v>
      </c>
      <c r="E2751" s="3" t="s">
        <v>60</v>
      </c>
      <c r="F2751" s="3" t="str">
        <f>INDEX(Product_Category!$B$2:$B$45,MATCH(TRIM(E2751),Product_Category!$A$2:$A$45,0))</f>
        <v>Processed Foods</v>
      </c>
      <c r="G2751" s="4">
        <v>0</v>
      </c>
      <c r="H2751" s="4">
        <v>0</v>
      </c>
      <c r="I2751" s="4">
        <v>0</v>
      </c>
      <c r="J2751" s="4">
        <v>1.23</v>
      </c>
      <c r="K2751" s="4">
        <v>0</v>
      </c>
      <c r="L2751" s="4">
        <v>0</v>
      </c>
      <c r="M2751" s="4">
        <f t="shared" si="126"/>
        <v>0</v>
      </c>
      <c r="N2751" s="4">
        <f t="shared" si="127"/>
        <v>-1.23</v>
      </c>
      <c r="O2751" s="4">
        <f t="shared" si="128"/>
        <v>0</v>
      </c>
      <c r="P2751" s="3" t="s">
        <v>19</v>
      </c>
    </row>
    <row r="2752" spans="1:16" x14ac:dyDescent="0.35">
      <c r="A2752" s="3" t="s">
        <v>31</v>
      </c>
      <c r="B2752" s="3" t="str">
        <f>INDEX(State_Region!$B$2:$B$26,MATCH(TRIM(A2752),State_Region!$A$2:$A$26,0))</f>
        <v>East</v>
      </c>
      <c r="C2752" s="3" t="s">
        <v>32</v>
      </c>
      <c r="D2752" s="3" t="str">
        <f>INDEX(Port_Type!$B$2:$B$227,MATCH(TRIM(C2752),Port_Type!$A$2:$A$227,0))</f>
        <v>Sea Port</v>
      </c>
      <c r="E2752" s="3" t="s">
        <v>118</v>
      </c>
      <c r="F2752" s="3" t="str">
        <f>INDEX(Product_Category!$B$2:$B$45,MATCH(TRIM(E2752),Product_Category!$A$2:$A$45,0))</f>
        <v>Dairy, Poultry &amp; Honey</v>
      </c>
      <c r="G2752" s="4">
        <v>0.06</v>
      </c>
      <c r="H2752" s="4">
        <v>0</v>
      </c>
      <c r="I2752" s="4">
        <v>0</v>
      </c>
      <c r="J2752" s="4">
        <v>15.07</v>
      </c>
      <c r="K2752" s="4">
        <v>0</v>
      </c>
      <c r="L2752" s="4">
        <v>0</v>
      </c>
      <c r="M2752" s="4">
        <f t="shared" si="126"/>
        <v>-0.06</v>
      </c>
      <c r="N2752" s="4">
        <f t="shared" si="127"/>
        <v>-15.07</v>
      </c>
      <c r="O2752" s="4">
        <f t="shared" si="128"/>
        <v>0</v>
      </c>
      <c r="P2752" s="3" t="s">
        <v>19</v>
      </c>
    </row>
    <row r="2753" spans="1:16" x14ac:dyDescent="0.35">
      <c r="A2753" s="3" t="s">
        <v>31</v>
      </c>
      <c r="B2753" s="3" t="str">
        <f>INDEX(State_Region!$B$2:$B$26,MATCH(TRIM(A2753),State_Region!$A$2:$A$26,0))</f>
        <v>East</v>
      </c>
      <c r="C2753" s="3" t="s">
        <v>32</v>
      </c>
      <c r="D2753" s="3" t="str">
        <f>INDEX(Port_Type!$B$2:$B$227,MATCH(TRIM(C2753),Port_Type!$A$2:$A$227,0))</f>
        <v>Sea Port</v>
      </c>
      <c r="E2753" s="3" t="s">
        <v>126</v>
      </c>
      <c r="F2753" s="3" t="str">
        <f>INDEX(Product_Category!$B$2:$B$45,MATCH(TRIM(E2753),Product_Category!$A$2:$A$45,0))</f>
        <v>Cereals &amp; Grains</v>
      </c>
      <c r="G2753" s="4">
        <v>0</v>
      </c>
      <c r="H2753" s="4">
        <v>0</v>
      </c>
      <c r="I2753" s="4">
        <v>0</v>
      </c>
      <c r="J2753" s="4">
        <v>0.42</v>
      </c>
      <c r="K2753" s="4">
        <v>0</v>
      </c>
      <c r="L2753" s="4">
        <v>0</v>
      </c>
      <c r="M2753" s="4">
        <f t="shared" si="126"/>
        <v>0</v>
      </c>
      <c r="N2753" s="4">
        <f t="shared" si="127"/>
        <v>-0.42</v>
      </c>
      <c r="O2753" s="4">
        <f t="shared" si="128"/>
        <v>0</v>
      </c>
      <c r="P2753" s="3" t="s">
        <v>19</v>
      </c>
    </row>
    <row r="2754" spans="1:16" x14ac:dyDescent="0.35">
      <c r="A2754" s="3" t="s">
        <v>94</v>
      </c>
      <c r="B2754" s="3" t="str">
        <f>INDEX(State_Region!$B$2:$B$26,MATCH(TRIM(A2754),State_Region!$A$2:$A$26,0))</f>
        <v>East</v>
      </c>
      <c r="C2754" s="3" t="s">
        <v>203</v>
      </c>
      <c r="D2754" s="3" t="str">
        <f>INDEX(Port_Type!$B$2:$B$227,MATCH(TRIM(C2754),Port_Type!$A$2:$A$227,0))</f>
        <v>Air Cargo</v>
      </c>
      <c r="E2754" s="3" t="s">
        <v>51</v>
      </c>
      <c r="F2754" s="3" t="str">
        <f>INDEX(Product_Category!$B$2:$B$45,MATCH(TRIM(E2754),Product_Category!$A$2:$A$45,0))</f>
        <v>Nuts &amp; Oilseeds</v>
      </c>
      <c r="G2754" s="4">
        <v>0</v>
      </c>
      <c r="H2754" s="4">
        <v>0</v>
      </c>
      <c r="I2754" s="4">
        <v>0</v>
      </c>
      <c r="J2754" s="4">
        <v>3</v>
      </c>
      <c r="K2754" s="4">
        <v>0</v>
      </c>
      <c r="L2754" s="4">
        <v>0</v>
      </c>
      <c r="M2754" s="4">
        <f t="shared" ref="M2754:M2817" si="129">H2754-G2754</f>
        <v>0</v>
      </c>
      <c r="N2754" s="4">
        <f t="shared" ref="N2754:N2817" si="130">K2754-J2754</f>
        <v>-3</v>
      </c>
      <c r="O2754" s="4">
        <f t="shared" ref="O2754:O2817" si="131">I2754-H2754</f>
        <v>0</v>
      </c>
      <c r="P2754" s="3" t="s">
        <v>19</v>
      </c>
    </row>
    <row r="2755" spans="1:16" x14ac:dyDescent="0.35">
      <c r="A2755" s="3" t="s">
        <v>94</v>
      </c>
      <c r="B2755" s="3" t="str">
        <f>INDEX(State_Region!$B$2:$B$26,MATCH(TRIM(A2755),State_Region!$A$2:$A$26,0))</f>
        <v>East</v>
      </c>
      <c r="C2755" s="3" t="s">
        <v>203</v>
      </c>
      <c r="D2755" s="3" t="str">
        <f>INDEX(Port_Type!$B$2:$B$227,MATCH(TRIM(C2755),Port_Type!$A$2:$A$227,0))</f>
        <v>Air Cargo</v>
      </c>
      <c r="E2755" s="3" t="s">
        <v>60</v>
      </c>
      <c r="F2755" s="3" t="str">
        <f>INDEX(Product_Category!$B$2:$B$45,MATCH(TRIM(E2755),Product_Category!$A$2:$A$45,0))</f>
        <v>Processed Foods</v>
      </c>
      <c r="G2755" s="4">
        <v>0</v>
      </c>
      <c r="H2755" s="4">
        <v>0</v>
      </c>
      <c r="I2755" s="4">
        <v>0</v>
      </c>
      <c r="J2755" s="4">
        <v>0.26</v>
      </c>
      <c r="K2755" s="4">
        <v>0</v>
      </c>
      <c r="L2755" s="4">
        <v>0</v>
      </c>
      <c r="M2755" s="4">
        <f t="shared" si="129"/>
        <v>0</v>
      </c>
      <c r="N2755" s="4">
        <f t="shared" si="130"/>
        <v>-0.26</v>
      </c>
      <c r="O2755" s="4">
        <f t="shared" si="131"/>
        <v>0</v>
      </c>
      <c r="P2755" s="3" t="s">
        <v>19</v>
      </c>
    </row>
    <row r="2756" spans="1:16" x14ac:dyDescent="0.35">
      <c r="A2756" s="3" t="s">
        <v>159</v>
      </c>
      <c r="B2756" s="3" t="str">
        <f>INDEX(State_Region!$B$2:$B$26,MATCH(TRIM(A2756),State_Region!$A$2:$A$26,0))</f>
        <v>North-East</v>
      </c>
      <c r="C2756" s="3" t="s">
        <v>289</v>
      </c>
      <c r="D2756" s="3" t="str">
        <f>INDEX(Port_Type!$B$2:$B$227,MATCH(TRIM(C2756),Port_Type!$A$2:$A$227,0))</f>
        <v>Land Border / Rail</v>
      </c>
      <c r="E2756" s="3" t="s">
        <v>27</v>
      </c>
      <c r="F2756" s="3" t="str">
        <f>INDEX(Product_Category!$B$2:$B$45,MATCH(TRIM(E2756),Product_Category!$A$2:$A$45,0))</f>
        <v>Cereals &amp; Grains</v>
      </c>
      <c r="G2756" s="4">
        <v>0</v>
      </c>
      <c r="H2756" s="4">
        <v>0.59</v>
      </c>
      <c r="I2756" s="4">
        <v>0</v>
      </c>
      <c r="J2756" s="4">
        <v>0</v>
      </c>
      <c r="K2756" s="4">
        <v>1386.06</v>
      </c>
      <c r="L2756" s="4">
        <v>0</v>
      </c>
      <c r="M2756" s="4">
        <f t="shared" si="129"/>
        <v>0.59</v>
      </c>
      <c r="N2756" s="4">
        <f t="shared" si="130"/>
        <v>1386.06</v>
      </c>
      <c r="O2756" s="4">
        <f t="shared" si="131"/>
        <v>-0.59</v>
      </c>
      <c r="P2756" s="3" t="s">
        <v>19</v>
      </c>
    </row>
    <row r="2757" spans="1:16" x14ac:dyDescent="0.35">
      <c r="A2757" s="3" t="s">
        <v>31</v>
      </c>
      <c r="B2757" s="3" t="str">
        <f>INDEX(State_Region!$B$2:$B$26,MATCH(TRIM(A2757),State_Region!$A$2:$A$26,0))</f>
        <v>East</v>
      </c>
      <c r="C2757" s="3" t="s">
        <v>32</v>
      </c>
      <c r="D2757" s="3" t="str">
        <f>INDEX(Port_Type!$B$2:$B$227,MATCH(TRIM(C2757),Port_Type!$A$2:$A$227,0))</f>
        <v>Sea Port</v>
      </c>
      <c r="E2757" s="3" t="s">
        <v>170</v>
      </c>
      <c r="F2757" s="3" t="str">
        <f>INDEX(Product_Category!$B$2:$B$45,MATCH(TRIM(E2757),Product_Category!$A$2:$A$45,0))</f>
        <v>Others</v>
      </c>
      <c r="G2757" s="4">
        <v>0</v>
      </c>
      <c r="H2757" s="4">
        <v>0.3</v>
      </c>
      <c r="I2757" s="4">
        <v>0</v>
      </c>
      <c r="J2757" s="4">
        <v>0</v>
      </c>
      <c r="K2757" s="4">
        <v>172.41</v>
      </c>
      <c r="L2757" s="4">
        <v>0</v>
      </c>
      <c r="M2757" s="4">
        <f t="shared" si="129"/>
        <v>0.3</v>
      </c>
      <c r="N2757" s="4">
        <f t="shared" si="130"/>
        <v>172.41</v>
      </c>
      <c r="O2757" s="4">
        <f t="shared" si="131"/>
        <v>-0.3</v>
      </c>
      <c r="P2757" s="3" t="s">
        <v>19</v>
      </c>
    </row>
    <row r="2758" spans="1:16" x14ac:dyDescent="0.35">
      <c r="A2758" s="3" t="s">
        <v>159</v>
      </c>
      <c r="B2758" s="3" t="str">
        <f>INDEX(State_Region!$B$2:$B$26,MATCH(TRIM(A2758),State_Region!$A$2:$A$26,0))</f>
        <v>North-East</v>
      </c>
      <c r="C2758" s="3" t="s">
        <v>289</v>
      </c>
      <c r="D2758" s="3" t="str">
        <f>INDEX(Port_Type!$B$2:$B$227,MATCH(TRIM(C2758),Port_Type!$A$2:$A$227,0))</f>
        <v>Land Border / Rail</v>
      </c>
      <c r="E2758" s="3" t="s">
        <v>55</v>
      </c>
      <c r="F2758" s="3" t="str">
        <f>INDEX(Product_Category!$B$2:$B$45,MATCH(TRIM(E2758),Product_Category!$A$2:$A$45,0))</f>
        <v>Fresh Fruits &amp; Vegetables</v>
      </c>
      <c r="G2758" s="4">
        <v>0</v>
      </c>
      <c r="H2758" s="4">
        <v>0.03</v>
      </c>
      <c r="I2758" s="4">
        <v>0</v>
      </c>
      <c r="J2758" s="4">
        <v>0</v>
      </c>
      <c r="K2758" s="4">
        <v>111.1</v>
      </c>
      <c r="L2758" s="4">
        <v>0</v>
      </c>
      <c r="M2758" s="4">
        <f t="shared" si="129"/>
        <v>0.03</v>
      </c>
      <c r="N2758" s="4">
        <f t="shared" si="130"/>
        <v>111.1</v>
      </c>
      <c r="O2758" s="4">
        <f t="shared" si="131"/>
        <v>-0.03</v>
      </c>
      <c r="P2758" s="3" t="s">
        <v>19</v>
      </c>
    </row>
    <row r="2759" spans="1:16" x14ac:dyDescent="0.35">
      <c r="A2759" s="3" t="s">
        <v>159</v>
      </c>
      <c r="B2759" s="3" t="str">
        <f>INDEX(State_Region!$B$2:$B$26,MATCH(TRIM(A2759),State_Region!$A$2:$A$26,0))</f>
        <v>North-East</v>
      </c>
      <c r="C2759" s="3" t="s">
        <v>253</v>
      </c>
      <c r="D2759" s="3" t="str">
        <f>INDEX(Port_Type!$B$2:$B$227,MATCH(TRIM(C2759),Port_Type!$A$2:$A$227,0))</f>
        <v>Land Border / Rail</v>
      </c>
      <c r="E2759" s="3" t="s">
        <v>55</v>
      </c>
      <c r="F2759" s="3" t="str">
        <f>INDEX(Product_Category!$B$2:$B$45,MATCH(TRIM(E2759),Product_Category!$A$2:$A$45,0))</f>
        <v>Fresh Fruits &amp; Vegetables</v>
      </c>
      <c r="G2759" s="4">
        <v>0</v>
      </c>
      <c r="H2759" s="4">
        <v>0.02</v>
      </c>
      <c r="I2759" s="4">
        <v>0</v>
      </c>
      <c r="J2759" s="4">
        <v>0</v>
      </c>
      <c r="K2759" s="4">
        <v>90</v>
      </c>
      <c r="L2759" s="4">
        <v>0</v>
      </c>
      <c r="M2759" s="4">
        <f t="shared" si="129"/>
        <v>0.02</v>
      </c>
      <c r="N2759" s="4">
        <f t="shared" si="130"/>
        <v>90</v>
      </c>
      <c r="O2759" s="4">
        <f t="shared" si="131"/>
        <v>-0.02</v>
      </c>
      <c r="P2759" s="3" t="s">
        <v>19</v>
      </c>
    </row>
    <row r="2760" spans="1:16" x14ac:dyDescent="0.35">
      <c r="A2760" s="3" t="s">
        <v>31</v>
      </c>
      <c r="B2760" s="3" t="str">
        <f>INDEX(State_Region!$B$2:$B$26,MATCH(TRIM(A2760),State_Region!$A$2:$A$26,0))</f>
        <v>East</v>
      </c>
      <c r="C2760" s="3" t="s">
        <v>32</v>
      </c>
      <c r="D2760" s="3" t="str">
        <f>INDEX(Port_Type!$B$2:$B$227,MATCH(TRIM(C2760),Port_Type!$A$2:$A$227,0))</f>
        <v>Sea Port</v>
      </c>
      <c r="E2760" s="3" t="s">
        <v>221</v>
      </c>
      <c r="F2760" s="3" t="str">
        <f>INDEX(Product_Category!$B$2:$B$45,MATCH(TRIM(E2760),Product_Category!$A$2:$A$45,0))</f>
        <v>Meat &amp; Animal Products</v>
      </c>
      <c r="G2760" s="4">
        <v>0</v>
      </c>
      <c r="H2760" s="4">
        <v>0</v>
      </c>
      <c r="I2760" s="4">
        <v>0</v>
      </c>
      <c r="J2760" s="4">
        <v>0</v>
      </c>
      <c r="K2760" s="4">
        <v>0.02</v>
      </c>
      <c r="L2760" s="4">
        <v>0</v>
      </c>
      <c r="M2760" s="4">
        <f t="shared" si="129"/>
        <v>0</v>
      </c>
      <c r="N2760" s="4">
        <f t="shared" si="130"/>
        <v>0.02</v>
      </c>
      <c r="O2760" s="4">
        <f t="shared" si="131"/>
        <v>0</v>
      </c>
      <c r="P2760" s="3" t="s">
        <v>19</v>
      </c>
    </row>
    <row r="2761" spans="1:16" x14ac:dyDescent="0.35">
      <c r="A2761" s="3" t="s">
        <v>159</v>
      </c>
      <c r="B2761" s="3" t="str">
        <f>INDEX(State_Region!$B$2:$B$26,MATCH(TRIM(A2761),State_Region!$A$2:$A$26,0))</f>
        <v>North-East</v>
      </c>
      <c r="C2761" s="3" t="s">
        <v>218</v>
      </c>
      <c r="D2761" s="3" t="str">
        <f>INDEX(Port_Type!$B$2:$B$227,MATCH(TRIM(C2761),Port_Type!$A$2:$A$227,0))</f>
        <v>Land Border / Rail</v>
      </c>
      <c r="E2761" s="3" t="s">
        <v>42</v>
      </c>
      <c r="F2761" s="3" t="str">
        <f>INDEX(Product_Category!$B$2:$B$45,MATCH(TRIM(E2761),Product_Category!$A$2:$A$45,0))</f>
        <v>Processed Foods</v>
      </c>
      <c r="G2761" s="4">
        <v>0</v>
      </c>
      <c r="H2761" s="4">
        <v>0</v>
      </c>
      <c r="I2761" s="4">
        <v>0</v>
      </c>
      <c r="J2761" s="4">
        <v>0</v>
      </c>
      <c r="K2761" s="4">
        <v>0.26</v>
      </c>
      <c r="L2761" s="4">
        <v>0</v>
      </c>
      <c r="M2761" s="4">
        <f t="shared" si="129"/>
        <v>0</v>
      </c>
      <c r="N2761" s="4">
        <f t="shared" si="130"/>
        <v>0.26</v>
      </c>
      <c r="O2761" s="4">
        <f t="shared" si="131"/>
        <v>0</v>
      </c>
      <c r="P2761" s="3" t="s">
        <v>19</v>
      </c>
    </row>
    <row r="2762" spans="1:16" x14ac:dyDescent="0.35">
      <c r="A2762" s="3" t="s">
        <v>159</v>
      </c>
      <c r="B2762" s="3" t="str">
        <f>INDEX(State_Region!$B$2:$B$26,MATCH(TRIM(A2762),State_Region!$A$2:$A$26,0))</f>
        <v>North-East</v>
      </c>
      <c r="C2762" s="3" t="s">
        <v>218</v>
      </c>
      <c r="D2762" s="3" t="str">
        <f>INDEX(Port_Type!$B$2:$B$227,MATCH(TRIM(C2762),Port_Type!$A$2:$A$227,0))</f>
        <v>Land Border / Rail</v>
      </c>
      <c r="E2762" s="3" t="s">
        <v>102</v>
      </c>
      <c r="F2762" s="3" t="str">
        <f>INDEX(Product_Category!$B$2:$B$45,MATCH(TRIM(E2762),Product_Category!$A$2:$A$45,0))</f>
        <v>Fresh Fruits &amp; Vegetables</v>
      </c>
      <c r="G2762" s="4">
        <v>0</v>
      </c>
      <c r="H2762" s="4">
        <v>0</v>
      </c>
      <c r="I2762" s="4">
        <v>0</v>
      </c>
      <c r="J2762" s="4">
        <v>0</v>
      </c>
      <c r="K2762" s="4">
        <v>0.91</v>
      </c>
      <c r="L2762" s="4">
        <v>0</v>
      </c>
      <c r="M2762" s="4">
        <f t="shared" si="129"/>
        <v>0</v>
      </c>
      <c r="N2762" s="4">
        <f t="shared" si="130"/>
        <v>0.91</v>
      </c>
      <c r="O2762" s="4">
        <f t="shared" si="131"/>
        <v>0</v>
      </c>
      <c r="P2762" s="3" t="s">
        <v>19</v>
      </c>
    </row>
    <row r="2763" spans="1:16" x14ac:dyDescent="0.35">
      <c r="A2763" s="3" t="s">
        <v>31</v>
      </c>
      <c r="B2763" s="3" t="str">
        <f>INDEX(State_Region!$B$2:$B$26,MATCH(TRIM(A2763),State_Region!$A$2:$A$26,0))</f>
        <v>East</v>
      </c>
      <c r="C2763" s="3" t="s">
        <v>146</v>
      </c>
      <c r="D2763" s="3" t="str">
        <f>INDEX(Port_Type!$B$2:$B$227,MATCH(TRIM(C2763),Port_Type!$A$2:$A$227,0))</f>
        <v>Land Border / Rail</v>
      </c>
      <c r="E2763" s="3" t="s">
        <v>18</v>
      </c>
      <c r="F2763" s="3" t="str">
        <f>INDEX(Product_Category!$B$2:$B$45,MATCH(TRIM(E2763),Product_Category!$A$2:$A$45,0))</f>
        <v>Cereals &amp; Grains</v>
      </c>
      <c r="G2763" s="4">
        <v>0</v>
      </c>
      <c r="H2763" s="4">
        <v>0</v>
      </c>
      <c r="I2763" s="4">
        <v>0</v>
      </c>
      <c r="J2763" s="4">
        <v>0</v>
      </c>
      <c r="K2763" s="4">
        <v>5.4</v>
      </c>
      <c r="L2763" s="4">
        <v>0</v>
      </c>
      <c r="M2763" s="4">
        <f t="shared" si="129"/>
        <v>0</v>
      </c>
      <c r="N2763" s="4">
        <f t="shared" si="130"/>
        <v>5.4</v>
      </c>
      <c r="O2763" s="4">
        <f t="shared" si="131"/>
        <v>0</v>
      </c>
      <c r="P2763" s="3" t="s">
        <v>19</v>
      </c>
    </row>
    <row r="2764" spans="1:16" x14ac:dyDescent="0.35">
      <c r="A2764" s="3" t="s">
        <v>159</v>
      </c>
      <c r="B2764" s="3" t="str">
        <f>INDEX(State_Region!$B$2:$B$26,MATCH(TRIM(A2764),State_Region!$A$2:$A$26,0))</f>
        <v>North-East</v>
      </c>
      <c r="C2764" s="3" t="s">
        <v>218</v>
      </c>
      <c r="D2764" s="3" t="str">
        <f>INDEX(Port_Type!$B$2:$B$227,MATCH(TRIM(C2764),Port_Type!$A$2:$A$227,0))</f>
        <v>Land Border / Rail</v>
      </c>
      <c r="E2764" s="3" t="s">
        <v>45</v>
      </c>
      <c r="F2764" s="3" t="str">
        <f>INDEX(Product_Category!$B$2:$B$45,MATCH(TRIM(E2764),Product_Category!$A$2:$A$45,0))</f>
        <v>Fresh Fruits &amp; Vegetables</v>
      </c>
      <c r="G2764" s="4">
        <v>0</v>
      </c>
      <c r="H2764" s="4">
        <v>0</v>
      </c>
      <c r="I2764" s="4">
        <v>0</v>
      </c>
      <c r="J2764" s="4">
        <v>0</v>
      </c>
      <c r="K2764" s="4">
        <v>0.1</v>
      </c>
      <c r="L2764" s="4">
        <v>0</v>
      </c>
      <c r="M2764" s="4">
        <f t="shared" si="129"/>
        <v>0</v>
      </c>
      <c r="N2764" s="4">
        <f t="shared" si="130"/>
        <v>0.1</v>
      </c>
      <c r="O2764" s="4">
        <f t="shared" si="131"/>
        <v>0</v>
      </c>
      <c r="P2764" s="3" t="s">
        <v>19</v>
      </c>
    </row>
    <row r="2765" spans="1:16" x14ac:dyDescent="0.35">
      <c r="A2765" s="3" t="s">
        <v>31</v>
      </c>
      <c r="B2765" s="3" t="str">
        <f>INDEX(State_Region!$B$2:$B$26,MATCH(TRIM(A2765),State_Region!$A$2:$A$26,0))</f>
        <v>East</v>
      </c>
      <c r="C2765" s="3" t="s">
        <v>146</v>
      </c>
      <c r="D2765" s="3" t="str">
        <f>INDEX(Port_Type!$B$2:$B$227,MATCH(TRIM(C2765),Port_Type!$A$2:$A$227,0))</f>
        <v>Land Border / Rail</v>
      </c>
      <c r="E2765" s="3" t="s">
        <v>150</v>
      </c>
      <c r="F2765" s="3" t="str">
        <f>INDEX(Product_Category!$B$2:$B$45,MATCH(TRIM(E2765),Product_Category!$A$2:$A$45,0))</f>
        <v>Nuts &amp; Oilseeds</v>
      </c>
      <c r="G2765" s="4">
        <v>0</v>
      </c>
      <c r="H2765" s="4">
        <v>0</v>
      </c>
      <c r="I2765" s="4">
        <v>0</v>
      </c>
      <c r="J2765" s="4">
        <v>0</v>
      </c>
      <c r="K2765" s="4">
        <v>0.32</v>
      </c>
      <c r="L2765" s="4">
        <v>0</v>
      </c>
      <c r="M2765" s="4">
        <f t="shared" si="129"/>
        <v>0</v>
      </c>
      <c r="N2765" s="4">
        <f t="shared" si="130"/>
        <v>0.32</v>
      </c>
      <c r="O2765" s="4">
        <f t="shared" si="131"/>
        <v>0</v>
      </c>
      <c r="P2765" s="3" t="s">
        <v>19</v>
      </c>
    </row>
    <row r="2766" spans="1:16" x14ac:dyDescent="0.35">
      <c r="A2766" s="3" t="s">
        <v>159</v>
      </c>
      <c r="B2766" s="3" t="str">
        <f>INDEX(State_Region!$B$2:$B$26,MATCH(TRIM(A2766),State_Region!$A$2:$A$26,0))</f>
        <v>North-East</v>
      </c>
      <c r="C2766" s="3" t="s">
        <v>218</v>
      </c>
      <c r="D2766" s="3" t="str">
        <f>INDEX(Port_Type!$B$2:$B$227,MATCH(TRIM(C2766),Port_Type!$A$2:$A$227,0))</f>
        <v>Land Border / Rail</v>
      </c>
      <c r="E2766" s="3" t="s">
        <v>53</v>
      </c>
      <c r="F2766" s="3" t="str">
        <f>INDEX(Product_Category!$B$2:$B$45,MATCH(TRIM(E2766),Product_Category!$A$2:$A$45,0))</f>
        <v>Processed Foods</v>
      </c>
      <c r="G2766" s="4">
        <v>0</v>
      </c>
      <c r="H2766" s="4">
        <v>0</v>
      </c>
      <c r="I2766" s="4">
        <v>0</v>
      </c>
      <c r="J2766" s="4">
        <v>7.0000000000000007E-2</v>
      </c>
      <c r="K2766" s="4">
        <v>0</v>
      </c>
      <c r="L2766" s="4">
        <v>0</v>
      </c>
      <c r="M2766" s="4">
        <f t="shared" si="129"/>
        <v>0</v>
      </c>
      <c r="N2766" s="4">
        <f t="shared" si="130"/>
        <v>-7.0000000000000007E-2</v>
      </c>
      <c r="O2766" s="4">
        <f t="shared" si="131"/>
        <v>0</v>
      </c>
      <c r="P2766" s="3" t="s">
        <v>19</v>
      </c>
    </row>
    <row r="2767" spans="1:16" x14ac:dyDescent="0.35">
      <c r="A2767" s="3" t="s">
        <v>31</v>
      </c>
      <c r="B2767" s="3" t="str">
        <f>INDEX(State_Region!$B$2:$B$26,MATCH(TRIM(A2767),State_Region!$A$2:$A$26,0))</f>
        <v>East</v>
      </c>
      <c r="C2767" s="3" t="s">
        <v>146</v>
      </c>
      <c r="D2767" s="3" t="str">
        <f>INDEX(Port_Type!$B$2:$B$227,MATCH(TRIM(C2767),Port_Type!$A$2:$A$227,0))</f>
        <v>Land Border / Rail</v>
      </c>
      <c r="E2767" s="3" t="s">
        <v>55</v>
      </c>
      <c r="F2767" s="3" t="str">
        <f>INDEX(Product_Category!$B$2:$B$45,MATCH(TRIM(E2767),Product_Category!$A$2:$A$45,0))</f>
        <v>Fresh Fruits &amp; Vegetables</v>
      </c>
      <c r="G2767" s="4">
        <v>78.63</v>
      </c>
      <c r="H2767" s="4">
        <v>9.85</v>
      </c>
      <c r="I2767" s="4">
        <v>0</v>
      </c>
      <c r="J2767" s="4">
        <v>294222.46999999997</v>
      </c>
      <c r="K2767" s="4">
        <v>32562</v>
      </c>
      <c r="L2767" s="4">
        <v>0</v>
      </c>
      <c r="M2767" s="4">
        <f t="shared" si="129"/>
        <v>-68.78</v>
      </c>
      <c r="N2767" s="4">
        <f t="shared" si="130"/>
        <v>-261660.46999999997</v>
      </c>
      <c r="O2767" s="4">
        <f t="shared" si="131"/>
        <v>-9.85</v>
      </c>
      <c r="P2767" s="3" t="s">
        <v>19</v>
      </c>
    </row>
    <row r="2768" spans="1:16" x14ac:dyDescent="0.35">
      <c r="A2768" s="3" t="s">
        <v>31</v>
      </c>
      <c r="B2768" s="3" t="str">
        <f>INDEX(State_Region!$B$2:$B$26,MATCH(TRIM(A2768),State_Region!$A$2:$A$26,0))</f>
        <v>East</v>
      </c>
      <c r="C2768" s="3" t="s">
        <v>146</v>
      </c>
      <c r="D2768" s="3" t="str">
        <f>INDEX(Port_Type!$B$2:$B$227,MATCH(TRIM(C2768),Port_Type!$A$2:$A$227,0))</f>
        <v>Land Border / Rail</v>
      </c>
      <c r="E2768" s="3" t="s">
        <v>69</v>
      </c>
      <c r="F2768" s="3" t="str">
        <f>INDEX(Product_Category!$B$2:$B$45,MATCH(TRIM(E2768),Product_Category!$A$2:$A$45,0))</f>
        <v>Others</v>
      </c>
      <c r="G2768" s="4">
        <v>0.04</v>
      </c>
      <c r="H2768" s="4">
        <v>0.02</v>
      </c>
      <c r="I2768" s="4">
        <v>0</v>
      </c>
      <c r="J2768" s="4">
        <v>40</v>
      </c>
      <c r="K2768" s="4">
        <v>16</v>
      </c>
      <c r="L2768" s="4">
        <v>0</v>
      </c>
      <c r="M2768" s="4">
        <f t="shared" si="129"/>
        <v>-0.02</v>
      </c>
      <c r="N2768" s="4">
        <f t="shared" si="130"/>
        <v>-24</v>
      </c>
      <c r="O2768" s="4">
        <f t="shared" si="131"/>
        <v>-0.02</v>
      </c>
      <c r="P2768" s="3" t="s">
        <v>19</v>
      </c>
    </row>
    <row r="2769" spans="1:16" x14ac:dyDescent="0.35">
      <c r="A2769" s="3" t="s">
        <v>159</v>
      </c>
      <c r="B2769" s="3" t="str">
        <f>INDEX(State_Region!$B$2:$B$26,MATCH(TRIM(A2769),State_Region!$A$2:$A$26,0))</f>
        <v>North-East</v>
      </c>
      <c r="C2769" s="3" t="s">
        <v>218</v>
      </c>
      <c r="D2769" s="3" t="str">
        <f>INDEX(Port_Type!$B$2:$B$227,MATCH(TRIM(C2769),Port_Type!$A$2:$A$227,0))</f>
        <v>Land Border / Rail</v>
      </c>
      <c r="E2769" s="3" t="s">
        <v>55</v>
      </c>
      <c r="F2769" s="3" t="str">
        <f>INDEX(Product_Category!$B$2:$B$45,MATCH(TRIM(E2769),Product_Category!$A$2:$A$45,0))</f>
        <v>Fresh Fruits &amp; Vegetables</v>
      </c>
      <c r="G2769" s="4">
        <v>0</v>
      </c>
      <c r="H2769" s="4">
        <v>0</v>
      </c>
      <c r="I2769" s="4">
        <v>0</v>
      </c>
      <c r="J2769" s="4">
        <v>0</v>
      </c>
      <c r="K2769" s="4">
        <v>0.2</v>
      </c>
      <c r="L2769" s="4">
        <v>0</v>
      </c>
      <c r="M2769" s="4">
        <f t="shared" si="129"/>
        <v>0</v>
      </c>
      <c r="N2769" s="4">
        <f t="shared" si="130"/>
        <v>0.2</v>
      </c>
      <c r="O2769" s="4">
        <f t="shared" si="131"/>
        <v>0</v>
      </c>
      <c r="P2769" s="3" t="s">
        <v>19</v>
      </c>
    </row>
    <row r="2770" spans="1:16" x14ac:dyDescent="0.35">
      <c r="A2770" s="3" t="s">
        <v>159</v>
      </c>
      <c r="B2770" s="3" t="str">
        <f>INDEX(State_Region!$B$2:$B$26,MATCH(TRIM(A2770),State_Region!$A$2:$A$26,0))</f>
        <v>North-East</v>
      </c>
      <c r="C2770" s="3" t="s">
        <v>218</v>
      </c>
      <c r="D2770" s="3" t="str">
        <f>INDEX(Port_Type!$B$2:$B$227,MATCH(TRIM(C2770),Port_Type!$A$2:$A$227,0))</f>
        <v>Land Border / Rail</v>
      </c>
      <c r="E2770" s="3" t="s">
        <v>59</v>
      </c>
      <c r="F2770" s="3" t="str">
        <f>INDEX(Product_Category!$B$2:$B$45,MATCH(TRIM(E2770),Product_Category!$A$2:$A$45,0))</f>
        <v>Processed Foods</v>
      </c>
      <c r="G2770" s="4">
        <v>0</v>
      </c>
      <c r="H2770" s="4">
        <v>0</v>
      </c>
      <c r="I2770" s="4">
        <v>0</v>
      </c>
      <c r="J2770" s="4">
        <v>0.01</v>
      </c>
      <c r="K2770" s="4">
        <v>0.02</v>
      </c>
      <c r="L2770" s="4">
        <v>0</v>
      </c>
      <c r="M2770" s="4">
        <f t="shared" si="129"/>
        <v>0</v>
      </c>
      <c r="N2770" s="4">
        <f t="shared" si="130"/>
        <v>0.01</v>
      </c>
      <c r="O2770" s="4">
        <f t="shared" si="131"/>
        <v>0</v>
      </c>
      <c r="P2770" s="3" t="s">
        <v>19</v>
      </c>
    </row>
    <row r="2771" spans="1:16" x14ac:dyDescent="0.35">
      <c r="A2771" s="3" t="s">
        <v>159</v>
      </c>
      <c r="B2771" s="3" t="str">
        <f>INDEX(State_Region!$B$2:$B$26,MATCH(TRIM(A2771),State_Region!$A$2:$A$26,0))</f>
        <v>North-East</v>
      </c>
      <c r="C2771" s="3" t="s">
        <v>246</v>
      </c>
      <c r="D2771" s="3" t="str">
        <f>INDEX(Port_Type!$B$2:$B$227,MATCH(TRIM(C2771),Port_Type!$A$2:$A$227,0))</f>
        <v>Land Border / Rail</v>
      </c>
      <c r="E2771" s="3" t="s">
        <v>55</v>
      </c>
      <c r="F2771" s="3" t="str">
        <f>INDEX(Product_Category!$B$2:$B$45,MATCH(TRIM(E2771),Product_Category!$A$2:$A$45,0))</f>
        <v>Fresh Fruits &amp; Vegetables</v>
      </c>
      <c r="G2771" s="4">
        <v>0</v>
      </c>
      <c r="H2771" s="4">
        <v>0.04</v>
      </c>
      <c r="I2771" s="4">
        <v>0</v>
      </c>
      <c r="J2771" s="4">
        <v>0</v>
      </c>
      <c r="K2771" s="4">
        <v>149.52000000000001</v>
      </c>
      <c r="L2771" s="4">
        <v>0</v>
      </c>
      <c r="M2771" s="4">
        <f t="shared" si="129"/>
        <v>0.04</v>
      </c>
      <c r="N2771" s="4">
        <f t="shared" si="130"/>
        <v>149.52000000000001</v>
      </c>
      <c r="O2771" s="4">
        <f t="shared" si="131"/>
        <v>-0.04</v>
      </c>
      <c r="P2771" s="3" t="s">
        <v>19</v>
      </c>
    </row>
    <row r="2772" spans="1:16" x14ac:dyDescent="0.35">
      <c r="A2772" s="3" t="s">
        <v>159</v>
      </c>
      <c r="B2772" s="3" t="str">
        <f>INDEX(State_Region!$B$2:$B$26,MATCH(TRIM(A2772),State_Region!$A$2:$A$26,0))</f>
        <v>North-East</v>
      </c>
      <c r="C2772" s="3" t="s">
        <v>246</v>
      </c>
      <c r="D2772" s="3" t="str">
        <f>INDEX(Port_Type!$B$2:$B$227,MATCH(TRIM(C2772),Port_Type!$A$2:$A$227,0))</f>
        <v>Land Border / Rail</v>
      </c>
      <c r="E2772" s="3" t="s">
        <v>83</v>
      </c>
      <c r="F2772" s="3" t="str">
        <f>INDEX(Product_Category!$B$2:$B$45,MATCH(TRIM(E2772),Product_Category!$A$2:$A$45,0))</f>
        <v>Fresh Fruits &amp; Vegetables</v>
      </c>
      <c r="G2772" s="4">
        <v>0</v>
      </c>
      <c r="H2772" s="4">
        <v>0</v>
      </c>
      <c r="I2772" s="4">
        <v>0</v>
      </c>
      <c r="J2772" s="4">
        <v>0</v>
      </c>
      <c r="K2772" s="4">
        <v>5.4</v>
      </c>
      <c r="L2772" s="4">
        <v>0</v>
      </c>
      <c r="M2772" s="4">
        <f t="shared" si="129"/>
        <v>0</v>
      </c>
      <c r="N2772" s="4">
        <f t="shared" si="130"/>
        <v>5.4</v>
      </c>
      <c r="O2772" s="4">
        <f t="shared" si="131"/>
        <v>0</v>
      </c>
      <c r="P2772" s="3" t="s">
        <v>19</v>
      </c>
    </row>
    <row r="2773" spans="1:16" x14ac:dyDescent="0.35">
      <c r="A2773" s="3" t="s">
        <v>159</v>
      </c>
      <c r="B2773" s="3" t="str">
        <f>INDEX(State_Region!$B$2:$B$26,MATCH(TRIM(A2773),State_Region!$A$2:$A$26,0))</f>
        <v>North-East</v>
      </c>
      <c r="C2773" s="3" t="s">
        <v>160</v>
      </c>
      <c r="D2773" s="3" t="str">
        <f>INDEX(Port_Type!$B$2:$B$227,MATCH(TRIM(C2773),Port_Type!$A$2:$A$227,0))</f>
        <v>Land Border / Rail</v>
      </c>
      <c r="E2773" s="3" t="s">
        <v>181</v>
      </c>
      <c r="F2773" s="3" t="str">
        <f>INDEX(Product_Category!$B$2:$B$45,MATCH(TRIM(E2773),Product_Category!$A$2:$A$45,0))</f>
        <v>Nuts &amp; Oilseeds</v>
      </c>
      <c r="G2773" s="4">
        <v>0</v>
      </c>
      <c r="H2773" s="4">
        <v>0</v>
      </c>
      <c r="I2773" s="4">
        <v>0</v>
      </c>
      <c r="J2773" s="4">
        <v>0</v>
      </c>
      <c r="K2773" s="4">
        <v>0.01</v>
      </c>
      <c r="L2773" s="4">
        <v>0</v>
      </c>
      <c r="M2773" s="4">
        <f t="shared" si="129"/>
        <v>0</v>
      </c>
      <c r="N2773" s="4">
        <f t="shared" si="130"/>
        <v>0.01</v>
      </c>
      <c r="O2773" s="4">
        <f t="shared" si="131"/>
        <v>0</v>
      </c>
      <c r="P2773" s="3" t="s">
        <v>19</v>
      </c>
    </row>
    <row r="2774" spans="1:16" x14ac:dyDescent="0.35">
      <c r="A2774" s="3" t="s">
        <v>159</v>
      </c>
      <c r="B2774" s="3" t="str">
        <f>INDEX(State_Region!$B$2:$B$26,MATCH(TRIM(A2774),State_Region!$A$2:$A$26,0))</f>
        <v>North-East</v>
      </c>
      <c r="C2774" s="3" t="s">
        <v>160</v>
      </c>
      <c r="D2774" s="3" t="str">
        <f>INDEX(Port_Type!$B$2:$B$227,MATCH(TRIM(C2774),Port_Type!$A$2:$A$227,0))</f>
        <v>Land Border / Rail</v>
      </c>
      <c r="E2774" s="3" t="s">
        <v>110</v>
      </c>
      <c r="F2774" s="3" t="str">
        <f>INDEX(Product_Category!$B$2:$B$45,MATCH(TRIM(E2774),Product_Category!$A$2:$A$45,0))</f>
        <v>Dairy, Poultry &amp; Honey</v>
      </c>
      <c r="G2774" s="4">
        <v>0</v>
      </c>
      <c r="H2774" s="4">
        <v>0.01</v>
      </c>
      <c r="I2774" s="4">
        <v>0</v>
      </c>
      <c r="J2774" s="4">
        <v>0</v>
      </c>
      <c r="K2774" s="4">
        <v>17.29</v>
      </c>
      <c r="L2774" s="4">
        <v>0</v>
      </c>
      <c r="M2774" s="4">
        <f t="shared" si="129"/>
        <v>0.01</v>
      </c>
      <c r="N2774" s="4">
        <f t="shared" si="130"/>
        <v>17.29</v>
      </c>
      <c r="O2774" s="4">
        <f t="shared" si="131"/>
        <v>-0.01</v>
      </c>
      <c r="P2774" s="3" t="s">
        <v>19</v>
      </c>
    </row>
    <row r="2775" spans="1:16" x14ac:dyDescent="0.35">
      <c r="A2775" s="3" t="s">
        <v>31</v>
      </c>
      <c r="B2775" s="3" t="str">
        <f>INDEX(State_Region!$B$2:$B$26,MATCH(TRIM(A2775),State_Region!$A$2:$A$26,0))</f>
        <v>East</v>
      </c>
      <c r="C2775" s="3" t="s">
        <v>146</v>
      </c>
      <c r="D2775" s="3" t="str">
        <f>INDEX(Port_Type!$B$2:$B$227,MATCH(TRIM(C2775),Port_Type!$A$2:$A$227,0))</f>
        <v>Land Border / Rail</v>
      </c>
      <c r="E2775" s="3" t="s">
        <v>116</v>
      </c>
      <c r="F2775" s="3" t="str">
        <f>INDEX(Product_Category!$B$2:$B$45,MATCH(TRIM(E2775),Product_Category!$A$2:$A$45,0))</f>
        <v>Others</v>
      </c>
      <c r="G2775" s="4">
        <v>2.3199999999999998</v>
      </c>
      <c r="H2775" s="4">
        <v>0</v>
      </c>
      <c r="I2775" s="4">
        <v>0</v>
      </c>
      <c r="J2775" s="4">
        <v>11292.78</v>
      </c>
      <c r="K2775" s="4">
        <v>15</v>
      </c>
      <c r="L2775" s="4">
        <v>0</v>
      </c>
      <c r="M2775" s="4">
        <f t="shared" si="129"/>
        <v>-2.3199999999999998</v>
      </c>
      <c r="N2775" s="4">
        <f t="shared" si="130"/>
        <v>-11277.78</v>
      </c>
      <c r="O2775" s="4">
        <f t="shared" si="131"/>
        <v>0</v>
      </c>
      <c r="P2775" s="3" t="s">
        <v>19</v>
      </c>
    </row>
    <row r="2776" spans="1:16" x14ac:dyDescent="0.35">
      <c r="A2776" s="3" t="s">
        <v>159</v>
      </c>
      <c r="B2776" s="3" t="str">
        <f>INDEX(State_Region!$B$2:$B$26,MATCH(TRIM(A2776),State_Region!$A$2:$A$26,0))</f>
        <v>North-East</v>
      </c>
      <c r="C2776" s="3" t="s">
        <v>160</v>
      </c>
      <c r="D2776" s="3" t="str">
        <f>INDEX(Port_Type!$B$2:$B$227,MATCH(TRIM(C2776),Port_Type!$A$2:$A$227,0))</f>
        <v>Land Border / Rail</v>
      </c>
      <c r="E2776" s="3" t="s">
        <v>84</v>
      </c>
      <c r="F2776" s="3" t="str">
        <f>INDEX(Product_Category!$B$2:$B$45,MATCH(TRIM(E2776),Product_Category!$A$2:$A$45,0))</f>
        <v>Nuts &amp; Oilseeds</v>
      </c>
      <c r="G2776" s="4">
        <v>0</v>
      </c>
      <c r="H2776" s="4">
        <v>0.01</v>
      </c>
      <c r="I2776" s="4">
        <v>0</v>
      </c>
      <c r="J2776" s="4">
        <v>0.05</v>
      </c>
      <c r="K2776" s="4">
        <v>0.52</v>
      </c>
      <c r="L2776" s="4">
        <v>0</v>
      </c>
      <c r="M2776" s="4">
        <f t="shared" si="129"/>
        <v>0.01</v>
      </c>
      <c r="N2776" s="4">
        <f t="shared" si="130"/>
        <v>0.47000000000000003</v>
      </c>
      <c r="O2776" s="4">
        <f t="shared" si="131"/>
        <v>-0.01</v>
      </c>
      <c r="P2776" s="3" t="s">
        <v>19</v>
      </c>
    </row>
    <row r="2777" spans="1:16" x14ac:dyDescent="0.35">
      <c r="A2777" s="3" t="s">
        <v>159</v>
      </c>
      <c r="B2777" s="3" t="str">
        <f>INDEX(State_Region!$B$2:$B$26,MATCH(TRIM(A2777),State_Region!$A$2:$A$26,0))</f>
        <v>North-East</v>
      </c>
      <c r="C2777" s="3" t="s">
        <v>160</v>
      </c>
      <c r="D2777" s="3" t="str">
        <f>INDEX(Port_Type!$B$2:$B$227,MATCH(TRIM(C2777),Port_Type!$A$2:$A$227,0))</f>
        <v>Land Border / Rail</v>
      </c>
      <c r="E2777" s="3" t="s">
        <v>60</v>
      </c>
      <c r="F2777" s="3" t="str">
        <f>INDEX(Product_Category!$B$2:$B$45,MATCH(TRIM(E2777),Product_Category!$A$2:$A$45,0))</f>
        <v>Processed Foods</v>
      </c>
      <c r="G2777" s="4">
        <v>0.06</v>
      </c>
      <c r="H2777" s="4">
        <v>0</v>
      </c>
      <c r="I2777" s="4">
        <v>0</v>
      </c>
      <c r="J2777" s="4">
        <v>23</v>
      </c>
      <c r="K2777" s="4">
        <v>9.81</v>
      </c>
      <c r="L2777" s="4">
        <v>0</v>
      </c>
      <c r="M2777" s="4">
        <f t="shared" si="129"/>
        <v>-0.06</v>
      </c>
      <c r="N2777" s="4">
        <f t="shared" si="130"/>
        <v>-13.19</v>
      </c>
      <c r="O2777" s="4">
        <f t="shared" si="131"/>
        <v>0</v>
      </c>
      <c r="P2777" s="3" t="s">
        <v>19</v>
      </c>
    </row>
    <row r="2778" spans="1:16" x14ac:dyDescent="0.35">
      <c r="A2778" s="3" t="s">
        <v>31</v>
      </c>
      <c r="B2778" s="3" t="str">
        <f>INDEX(State_Region!$B$2:$B$26,MATCH(TRIM(A2778),State_Region!$A$2:$A$26,0))</f>
        <v>East</v>
      </c>
      <c r="C2778" s="3" t="s">
        <v>290</v>
      </c>
      <c r="D2778" s="3" t="str">
        <f>INDEX(Port_Type!$B$2:$B$227,MATCH(TRIM(C2778),Port_Type!$A$2:$A$227,0))</f>
        <v>Land Border / Rail</v>
      </c>
      <c r="E2778" s="3" t="s">
        <v>114</v>
      </c>
      <c r="F2778" s="3" t="str">
        <f>INDEX(Product_Category!$B$2:$B$45,MATCH(TRIM(E2778),Product_Category!$A$2:$A$45,0))</f>
        <v>Dairy, Poultry &amp; Honey</v>
      </c>
      <c r="G2778" s="4">
        <v>0</v>
      </c>
      <c r="H2778" s="4">
        <v>0</v>
      </c>
      <c r="I2778" s="4">
        <v>0</v>
      </c>
      <c r="J2778" s="4">
        <v>0</v>
      </c>
      <c r="K2778" s="4">
        <v>0.01</v>
      </c>
      <c r="L2778" s="4">
        <v>0</v>
      </c>
      <c r="M2778" s="4">
        <f t="shared" si="129"/>
        <v>0</v>
      </c>
      <c r="N2778" s="4">
        <f t="shared" si="130"/>
        <v>0.01</v>
      </c>
      <c r="O2778" s="4">
        <f t="shared" si="131"/>
        <v>0</v>
      </c>
      <c r="P2778" s="3" t="s">
        <v>19</v>
      </c>
    </row>
    <row r="2779" spans="1:16" x14ac:dyDescent="0.35">
      <c r="A2779" s="3" t="s">
        <v>31</v>
      </c>
      <c r="B2779" s="3" t="str">
        <f>INDEX(State_Region!$B$2:$B$26,MATCH(TRIM(A2779),State_Region!$A$2:$A$26,0))</f>
        <v>East</v>
      </c>
      <c r="C2779" s="3" t="s">
        <v>290</v>
      </c>
      <c r="D2779" s="3" t="str">
        <f>INDEX(Port_Type!$B$2:$B$227,MATCH(TRIM(C2779),Port_Type!$A$2:$A$227,0))</f>
        <v>Land Border / Rail</v>
      </c>
      <c r="E2779" s="3" t="s">
        <v>48</v>
      </c>
      <c r="F2779" s="3" t="str">
        <f>INDEX(Product_Category!$B$2:$B$45,MATCH(TRIM(E2779),Product_Category!$A$2:$A$45,0))</f>
        <v>Processed Foods</v>
      </c>
      <c r="G2779" s="4">
        <v>0</v>
      </c>
      <c r="H2779" s="4">
        <v>0</v>
      </c>
      <c r="I2779" s="4">
        <v>0</v>
      </c>
      <c r="J2779" s="4">
        <v>0.05</v>
      </c>
      <c r="K2779" s="4">
        <v>0</v>
      </c>
      <c r="L2779" s="4">
        <v>0</v>
      </c>
      <c r="M2779" s="4">
        <f t="shared" si="129"/>
        <v>0</v>
      </c>
      <c r="N2779" s="4">
        <f t="shared" si="130"/>
        <v>-0.05</v>
      </c>
      <c r="O2779" s="4">
        <f t="shared" si="131"/>
        <v>0</v>
      </c>
      <c r="P2779" s="3" t="s">
        <v>19</v>
      </c>
    </row>
    <row r="2780" spans="1:16" x14ac:dyDescent="0.35">
      <c r="A2780" s="3" t="s">
        <v>31</v>
      </c>
      <c r="B2780" s="3" t="str">
        <f>INDEX(State_Region!$B$2:$B$26,MATCH(TRIM(A2780),State_Region!$A$2:$A$26,0))</f>
        <v>East</v>
      </c>
      <c r="C2780" s="3" t="s">
        <v>290</v>
      </c>
      <c r="D2780" s="3" t="str">
        <f>INDEX(Port_Type!$B$2:$B$227,MATCH(TRIM(C2780),Port_Type!$A$2:$A$227,0))</f>
        <v>Land Border / Rail</v>
      </c>
      <c r="E2780" s="3" t="s">
        <v>81</v>
      </c>
      <c r="F2780" s="3" t="str">
        <f>INDEX(Product_Category!$B$2:$B$45,MATCH(TRIM(E2780),Product_Category!$A$2:$A$45,0))</f>
        <v>Processed Foods</v>
      </c>
      <c r="G2780" s="4">
        <v>0</v>
      </c>
      <c r="H2780" s="4">
        <v>0</v>
      </c>
      <c r="I2780" s="4">
        <v>0</v>
      </c>
      <c r="J2780" s="4">
        <v>0.45</v>
      </c>
      <c r="K2780" s="4">
        <v>0</v>
      </c>
      <c r="L2780" s="4">
        <v>0</v>
      </c>
      <c r="M2780" s="4">
        <f t="shared" si="129"/>
        <v>0</v>
      </c>
      <c r="N2780" s="4">
        <f t="shared" si="130"/>
        <v>-0.45</v>
      </c>
      <c r="O2780" s="4">
        <f t="shared" si="131"/>
        <v>0</v>
      </c>
      <c r="P2780" s="3" t="s">
        <v>19</v>
      </c>
    </row>
    <row r="2781" spans="1:16" x14ac:dyDescent="0.35">
      <c r="A2781" s="3" t="s">
        <v>31</v>
      </c>
      <c r="B2781" s="3" t="str">
        <f>INDEX(State_Region!$B$2:$B$26,MATCH(TRIM(A2781),State_Region!$A$2:$A$26,0))</f>
        <v>East</v>
      </c>
      <c r="C2781" s="3" t="s">
        <v>290</v>
      </c>
      <c r="D2781" s="3" t="str">
        <f>INDEX(Port_Type!$B$2:$B$227,MATCH(TRIM(C2781),Port_Type!$A$2:$A$227,0))</f>
        <v>Land Border / Rail</v>
      </c>
      <c r="E2781" s="3" t="s">
        <v>83</v>
      </c>
      <c r="F2781" s="3" t="str">
        <f>INDEX(Product_Category!$B$2:$B$45,MATCH(TRIM(E2781),Product_Category!$A$2:$A$45,0))</f>
        <v>Fresh Fruits &amp; Vegetables</v>
      </c>
      <c r="G2781" s="4">
        <v>0</v>
      </c>
      <c r="H2781" s="4">
        <v>0</v>
      </c>
      <c r="I2781" s="4">
        <v>0</v>
      </c>
      <c r="J2781" s="4">
        <v>0.09</v>
      </c>
      <c r="K2781" s="4">
        <v>0</v>
      </c>
      <c r="L2781" s="4">
        <v>0</v>
      </c>
      <c r="M2781" s="4">
        <f t="shared" si="129"/>
        <v>0</v>
      </c>
      <c r="N2781" s="4">
        <f t="shared" si="130"/>
        <v>-0.09</v>
      </c>
      <c r="O2781" s="4">
        <f t="shared" si="131"/>
        <v>0</v>
      </c>
      <c r="P2781" s="3" t="s">
        <v>19</v>
      </c>
    </row>
    <row r="2782" spans="1:16" x14ac:dyDescent="0.35">
      <c r="A2782" s="3" t="s">
        <v>31</v>
      </c>
      <c r="B2782" s="3" t="str">
        <f>INDEX(State_Region!$B$2:$B$26,MATCH(TRIM(A2782),State_Region!$A$2:$A$26,0))</f>
        <v>East</v>
      </c>
      <c r="C2782" s="3" t="s">
        <v>290</v>
      </c>
      <c r="D2782" s="3" t="str">
        <f>INDEX(Port_Type!$B$2:$B$227,MATCH(TRIM(C2782),Port_Type!$A$2:$A$227,0))</f>
        <v>Land Border / Rail</v>
      </c>
      <c r="E2782" s="3" t="s">
        <v>76</v>
      </c>
      <c r="F2782" s="3" t="str">
        <f>INDEX(Product_Category!$B$2:$B$45,MATCH(TRIM(E2782),Product_Category!$A$2:$A$45,0))</f>
        <v>Fresh Fruits &amp; Vegetables</v>
      </c>
      <c r="G2782" s="4">
        <v>0</v>
      </c>
      <c r="H2782" s="4">
        <v>0</v>
      </c>
      <c r="I2782" s="4">
        <v>0</v>
      </c>
      <c r="J2782" s="4">
        <v>0.11</v>
      </c>
      <c r="K2782" s="4">
        <v>0</v>
      </c>
      <c r="L2782" s="4">
        <v>0</v>
      </c>
      <c r="M2782" s="4">
        <f t="shared" si="129"/>
        <v>0</v>
      </c>
      <c r="N2782" s="4">
        <f t="shared" si="130"/>
        <v>-0.11</v>
      </c>
      <c r="O2782" s="4">
        <f t="shared" si="131"/>
        <v>0</v>
      </c>
      <c r="P2782" s="3" t="s">
        <v>19</v>
      </c>
    </row>
    <row r="2783" spans="1:16" x14ac:dyDescent="0.35">
      <c r="A2783" s="3" t="s">
        <v>31</v>
      </c>
      <c r="B2783" s="3" t="str">
        <f>INDEX(State_Region!$B$2:$B$26,MATCH(TRIM(A2783),State_Region!$A$2:$A$26,0))</f>
        <v>East</v>
      </c>
      <c r="C2783" s="3" t="s">
        <v>290</v>
      </c>
      <c r="D2783" s="3" t="str">
        <f>INDEX(Port_Type!$B$2:$B$227,MATCH(TRIM(C2783),Port_Type!$A$2:$A$227,0))</f>
        <v>Land Border / Rail</v>
      </c>
      <c r="E2783" s="3" t="s">
        <v>55</v>
      </c>
      <c r="F2783" s="3" t="str">
        <f>INDEX(Product_Category!$B$2:$B$45,MATCH(TRIM(E2783),Product_Category!$A$2:$A$45,0))</f>
        <v>Fresh Fruits &amp; Vegetables</v>
      </c>
      <c r="G2783" s="4">
        <v>0</v>
      </c>
      <c r="H2783" s="4">
        <v>0</v>
      </c>
      <c r="I2783" s="4">
        <v>0</v>
      </c>
      <c r="J2783" s="4">
        <v>5.26</v>
      </c>
      <c r="K2783" s="4">
        <v>0</v>
      </c>
      <c r="L2783" s="4">
        <v>0</v>
      </c>
      <c r="M2783" s="4">
        <f t="shared" si="129"/>
        <v>0</v>
      </c>
      <c r="N2783" s="4">
        <f t="shared" si="130"/>
        <v>-5.26</v>
      </c>
      <c r="O2783" s="4">
        <f t="shared" si="131"/>
        <v>0</v>
      </c>
      <c r="P2783" s="3" t="s">
        <v>19</v>
      </c>
    </row>
    <row r="2784" spans="1:16" x14ac:dyDescent="0.35">
      <c r="A2784" s="3" t="s">
        <v>31</v>
      </c>
      <c r="B2784" s="3" t="str">
        <f>INDEX(State_Region!$B$2:$B$26,MATCH(TRIM(A2784),State_Region!$A$2:$A$26,0))</f>
        <v>East</v>
      </c>
      <c r="C2784" s="3" t="s">
        <v>290</v>
      </c>
      <c r="D2784" s="3" t="str">
        <f>INDEX(Port_Type!$B$2:$B$227,MATCH(TRIM(C2784),Port_Type!$A$2:$A$227,0))</f>
        <v>Land Border / Rail</v>
      </c>
      <c r="E2784" s="3" t="s">
        <v>53</v>
      </c>
      <c r="F2784" s="3" t="str">
        <f>INDEX(Product_Category!$B$2:$B$45,MATCH(TRIM(E2784),Product_Category!$A$2:$A$45,0))</f>
        <v>Processed Foods</v>
      </c>
      <c r="G2784" s="4">
        <v>0</v>
      </c>
      <c r="H2784" s="4">
        <v>0</v>
      </c>
      <c r="I2784" s="4">
        <v>0</v>
      </c>
      <c r="J2784" s="4">
        <v>0.35</v>
      </c>
      <c r="K2784" s="4">
        <v>0</v>
      </c>
      <c r="L2784" s="4">
        <v>0</v>
      </c>
      <c r="M2784" s="4">
        <f t="shared" si="129"/>
        <v>0</v>
      </c>
      <c r="N2784" s="4">
        <f t="shared" si="130"/>
        <v>-0.35</v>
      </c>
      <c r="O2784" s="4">
        <f t="shared" si="131"/>
        <v>0</v>
      </c>
      <c r="P2784" s="3" t="s">
        <v>19</v>
      </c>
    </row>
    <row r="2785" spans="1:16" x14ac:dyDescent="0.35">
      <c r="A2785" s="3" t="s">
        <v>31</v>
      </c>
      <c r="B2785" s="3" t="str">
        <f>INDEX(State_Region!$B$2:$B$26,MATCH(TRIM(A2785),State_Region!$A$2:$A$26,0))</f>
        <v>East</v>
      </c>
      <c r="C2785" s="3" t="s">
        <v>290</v>
      </c>
      <c r="D2785" s="3" t="str">
        <f>INDEX(Port_Type!$B$2:$B$227,MATCH(TRIM(C2785),Port_Type!$A$2:$A$227,0))</f>
        <v>Land Border / Rail</v>
      </c>
      <c r="E2785" s="3" t="s">
        <v>62</v>
      </c>
      <c r="F2785" s="3" t="str">
        <f>INDEX(Product_Category!$B$2:$B$45,MATCH(TRIM(E2785),Product_Category!$A$2:$A$45,0))</f>
        <v>Cereals &amp; Grains</v>
      </c>
      <c r="G2785" s="4">
        <v>0</v>
      </c>
      <c r="H2785" s="4">
        <v>0</v>
      </c>
      <c r="I2785" s="4">
        <v>0</v>
      </c>
      <c r="J2785" s="4">
        <v>6.96</v>
      </c>
      <c r="K2785" s="4">
        <v>1.5</v>
      </c>
      <c r="L2785" s="4">
        <v>0</v>
      </c>
      <c r="M2785" s="4">
        <f t="shared" si="129"/>
        <v>0</v>
      </c>
      <c r="N2785" s="4">
        <f t="shared" si="130"/>
        <v>-5.46</v>
      </c>
      <c r="O2785" s="4">
        <f t="shared" si="131"/>
        <v>0</v>
      </c>
      <c r="P2785" s="3" t="s">
        <v>19</v>
      </c>
    </row>
    <row r="2786" spans="1:16" x14ac:dyDescent="0.35">
      <c r="A2786" s="3" t="s">
        <v>31</v>
      </c>
      <c r="B2786" s="3" t="str">
        <f>INDEX(State_Region!$B$2:$B$26,MATCH(TRIM(A2786),State_Region!$A$2:$A$26,0))</f>
        <v>East</v>
      </c>
      <c r="C2786" s="3" t="s">
        <v>290</v>
      </c>
      <c r="D2786" s="3" t="str">
        <f>INDEX(Port_Type!$B$2:$B$227,MATCH(TRIM(C2786),Port_Type!$A$2:$A$227,0))</f>
        <v>Land Border / Rail</v>
      </c>
      <c r="E2786" s="3" t="s">
        <v>65</v>
      </c>
      <c r="F2786" s="3" t="str">
        <f>INDEX(Product_Category!$B$2:$B$45,MATCH(TRIM(E2786),Product_Category!$A$2:$A$45,0))</f>
        <v>Cereals &amp; Grains</v>
      </c>
      <c r="G2786" s="4">
        <v>0</v>
      </c>
      <c r="H2786" s="4">
        <v>0</v>
      </c>
      <c r="I2786" s="4">
        <v>0</v>
      </c>
      <c r="J2786" s="4">
        <v>4.55</v>
      </c>
      <c r="K2786" s="4">
        <v>0</v>
      </c>
      <c r="L2786" s="4">
        <v>0</v>
      </c>
      <c r="M2786" s="4">
        <f t="shared" si="129"/>
        <v>0</v>
      </c>
      <c r="N2786" s="4">
        <f t="shared" si="130"/>
        <v>-4.55</v>
      </c>
      <c r="O2786" s="4">
        <f t="shared" si="131"/>
        <v>0</v>
      </c>
      <c r="P2786" s="3" t="s">
        <v>19</v>
      </c>
    </row>
    <row r="2787" spans="1:16" x14ac:dyDescent="0.35">
      <c r="A2787" s="3" t="s">
        <v>31</v>
      </c>
      <c r="B2787" s="3" t="str">
        <f>INDEX(State_Region!$B$2:$B$26,MATCH(TRIM(A2787),State_Region!$A$2:$A$26,0))</f>
        <v>East</v>
      </c>
      <c r="C2787" s="3" t="s">
        <v>290</v>
      </c>
      <c r="D2787" s="3" t="str">
        <f>INDEX(Port_Type!$B$2:$B$227,MATCH(TRIM(C2787),Port_Type!$A$2:$A$227,0))</f>
        <v>Land Border / Rail</v>
      </c>
      <c r="E2787" s="3" t="s">
        <v>27</v>
      </c>
      <c r="F2787" s="3" t="str">
        <f>INDEX(Product_Category!$B$2:$B$45,MATCH(TRIM(E2787),Product_Category!$A$2:$A$45,0))</f>
        <v>Cereals &amp; Grains</v>
      </c>
      <c r="G2787" s="4">
        <v>7.0000000000000007E-2</v>
      </c>
      <c r="H2787" s="4">
        <v>0</v>
      </c>
      <c r="I2787" s="4">
        <v>0</v>
      </c>
      <c r="J2787" s="4">
        <v>129.91</v>
      </c>
      <c r="K2787" s="4">
        <v>0</v>
      </c>
      <c r="L2787" s="4">
        <v>0</v>
      </c>
      <c r="M2787" s="4">
        <f t="shared" si="129"/>
        <v>-7.0000000000000007E-2</v>
      </c>
      <c r="N2787" s="4">
        <f t="shared" si="130"/>
        <v>-129.91</v>
      </c>
      <c r="O2787" s="4">
        <f t="shared" si="131"/>
        <v>0</v>
      </c>
      <c r="P2787" s="3" t="s">
        <v>19</v>
      </c>
    </row>
    <row r="2788" spans="1:16" x14ac:dyDescent="0.35">
      <c r="A2788" s="3" t="s">
        <v>31</v>
      </c>
      <c r="B2788" s="3" t="str">
        <f>INDEX(State_Region!$B$2:$B$26,MATCH(TRIM(A2788),State_Region!$A$2:$A$26,0))</f>
        <v>East</v>
      </c>
      <c r="C2788" s="3" t="s">
        <v>290</v>
      </c>
      <c r="D2788" s="3" t="str">
        <f>INDEX(Port_Type!$B$2:$B$227,MATCH(TRIM(C2788),Port_Type!$A$2:$A$227,0))</f>
        <v>Land Border / Rail</v>
      </c>
      <c r="E2788" s="3" t="s">
        <v>45</v>
      </c>
      <c r="F2788" s="3" t="str">
        <f>INDEX(Product_Category!$B$2:$B$45,MATCH(TRIM(E2788),Product_Category!$A$2:$A$45,0))</f>
        <v>Fresh Fruits &amp; Vegetables</v>
      </c>
      <c r="G2788" s="4">
        <v>0</v>
      </c>
      <c r="H2788" s="4">
        <v>0</v>
      </c>
      <c r="I2788" s="4">
        <v>0</v>
      </c>
      <c r="J2788" s="4">
        <v>2.87</v>
      </c>
      <c r="K2788" s="4">
        <v>0</v>
      </c>
      <c r="L2788" s="4">
        <v>0</v>
      </c>
      <c r="M2788" s="4">
        <f t="shared" si="129"/>
        <v>0</v>
      </c>
      <c r="N2788" s="4">
        <f t="shared" si="130"/>
        <v>-2.87</v>
      </c>
      <c r="O2788" s="4">
        <f t="shared" si="131"/>
        <v>0</v>
      </c>
      <c r="P2788" s="3" t="s">
        <v>19</v>
      </c>
    </row>
    <row r="2789" spans="1:16" x14ac:dyDescent="0.35">
      <c r="A2789" s="3" t="s">
        <v>31</v>
      </c>
      <c r="B2789" s="3" t="str">
        <f>INDEX(State_Region!$B$2:$B$26,MATCH(TRIM(A2789),State_Region!$A$2:$A$26,0))</f>
        <v>East</v>
      </c>
      <c r="C2789" s="3" t="s">
        <v>290</v>
      </c>
      <c r="D2789" s="3" t="str">
        <f>INDEX(Port_Type!$B$2:$B$227,MATCH(TRIM(C2789),Port_Type!$A$2:$A$227,0))</f>
        <v>Land Border / Rail</v>
      </c>
      <c r="E2789" s="3" t="s">
        <v>102</v>
      </c>
      <c r="F2789" s="3" t="str">
        <f>INDEX(Product_Category!$B$2:$B$45,MATCH(TRIM(E2789),Product_Category!$A$2:$A$45,0))</f>
        <v>Fresh Fruits &amp; Vegetables</v>
      </c>
      <c r="G2789" s="4">
        <v>0.01</v>
      </c>
      <c r="H2789" s="4">
        <v>0</v>
      </c>
      <c r="I2789" s="4">
        <v>0</v>
      </c>
      <c r="J2789" s="4">
        <v>14.88</v>
      </c>
      <c r="K2789" s="4">
        <v>0</v>
      </c>
      <c r="L2789" s="4">
        <v>0</v>
      </c>
      <c r="M2789" s="4">
        <f t="shared" si="129"/>
        <v>-0.01</v>
      </c>
      <c r="N2789" s="4">
        <f t="shared" si="130"/>
        <v>-14.88</v>
      </c>
      <c r="O2789" s="4">
        <f t="shared" si="131"/>
        <v>0</v>
      </c>
      <c r="P2789" s="3" t="s">
        <v>19</v>
      </c>
    </row>
    <row r="2790" spans="1:16" x14ac:dyDescent="0.35">
      <c r="A2790" s="3" t="s">
        <v>31</v>
      </c>
      <c r="B2790" s="3" t="str">
        <f>INDEX(State_Region!$B$2:$B$26,MATCH(TRIM(A2790),State_Region!$A$2:$A$26,0))</f>
        <v>East</v>
      </c>
      <c r="C2790" s="3" t="s">
        <v>290</v>
      </c>
      <c r="D2790" s="3" t="str">
        <f>INDEX(Port_Type!$B$2:$B$227,MATCH(TRIM(C2790),Port_Type!$A$2:$A$227,0))</f>
        <v>Land Border / Rail</v>
      </c>
      <c r="E2790" s="3" t="s">
        <v>54</v>
      </c>
      <c r="F2790" s="3" t="str">
        <f>INDEX(Product_Category!$B$2:$B$45,MATCH(TRIM(E2790),Product_Category!$A$2:$A$45,0))</f>
        <v>Processed Foods</v>
      </c>
      <c r="G2790" s="4">
        <v>0</v>
      </c>
      <c r="H2790" s="4">
        <v>0</v>
      </c>
      <c r="I2790" s="4">
        <v>0</v>
      </c>
      <c r="J2790" s="4">
        <v>0.99</v>
      </c>
      <c r="K2790" s="4">
        <v>0</v>
      </c>
      <c r="L2790" s="4">
        <v>0</v>
      </c>
      <c r="M2790" s="4">
        <f t="shared" si="129"/>
        <v>0</v>
      </c>
      <c r="N2790" s="4">
        <f t="shared" si="130"/>
        <v>-0.99</v>
      </c>
      <c r="O2790" s="4">
        <f t="shared" si="131"/>
        <v>0</v>
      </c>
      <c r="P2790" s="3" t="s">
        <v>19</v>
      </c>
    </row>
    <row r="2791" spans="1:16" x14ac:dyDescent="0.35">
      <c r="A2791" s="3" t="s">
        <v>31</v>
      </c>
      <c r="B2791" s="3" t="str">
        <f>INDEX(State_Region!$B$2:$B$26,MATCH(TRIM(A2791),State_Region!$A$2:$A$26,0))</f>
        <v>East</v>
      </c>
      <c r="C2791" s="3" t="s">
        <v>242</v>
      </c>
      <c r="D2791" s="3" t="str">
        <f>INDEX(Port_Type!$B$2:$B$227,MATCH(TRIM(C2791),Port_Type!$A$2:$A$227,0))</f>
        <v>Land Border / Rail</v>
      </c>
      <c r="E2791" s="3" t="s">
        <v>84</v>
      </c>
      <c r="F2791" s="3" t="str">
        <f>INDEX(Product_Category!$B$2:$B$45,MATCH(TRIM(E2791),Product_Category!$A$2:$A$45,0))</f>
        <v>Nuts &amp; Oilseeds</v>
      </c>
      <c r="G2791" s="4">
        <v>0</v>
      </c>
      <c r="H2791" s="4">
        <v>0.1</v>
      </c>
      <c r="I2791" s="4">
        <v>0</v>
      </c>
      <c r="J2791" s="4">
        <v>0</v>
      </c>
      <c r="K2791" s="4">
        <v>23.5</v>
      </c>
      <c r="L2791" s="4">
        <v>0</v>
      </c>
      <c r="M2791" s="4">
        <f t="shared" si="129"/>
        <v>0.1</v>
      </c>
      <c r="N2791" s="4">
        <f t="shared" si="130"/>
        <v>23.5</v>
      </c>
      <c r="O2791" s="4">
        <f t="shared" si="131"/>
        <v>-0.1</v>
      </c>
      <c r="P2791" s="3" t="s">
        <v>19</v>
      </c>
    </row>
    <row r="2792" spans="1:16" x14ac:dyDescent="0.35">
      <c r="A2792" s="3" t="s">
        <v>31</v>
      </c>
      <c r="B2792" s="3" t="str">
        <f>INDEX(State_Region!$B$2:$B$26,MATCH(TRIM(A2792),State_Region!$A$2:$A$26,0))</f>
        <v>East</v>
      </c>
      <c r="C2792" s="3" t="s">
        <v>242</v>
      </c>
      <c r="D2792" s="3" t="str">
        <f>INDEX(Port_Type!$B$2:$B$227,MATCH(TRIM(C2792),Port_Type!$A$2:$A$227,0))</f>
        <v>Land Border / Rail</v>
      </c>
      <c r="E2792" s="3" t="s">
        <v>48</v>
      </c>
      <c r="F2792" s="3" t="str">
        <f>INDEX(Product_Category!$B$2:$B$45,MATCH(TRIM(E2792),Product_Category!$A$2:$A$45,0))</f>
        <v>Processed Foods</v>
      </c>
      <c r="G2792" s="4">
        <v>0.14000000000000001</v>
      </c>
      <c r="H2792" s="4">
        <v>0</v>
      </c>
      <c r="I2792" s="4">
        <v>0</v>
      </c>
      <c r="J2792" s="4">
        <v>237.89</v>
      </c>
      <c r="K2792" s="4">
        <v>0</v>
      </c>
      <c r="L2792" s="4">
        <v>0</v>
      </c>
      <c r="M2792" s="4">
        <f t="shared" si="129"/>
        <v>-0.14000000000000001</v>
      </c>
      <c r="N2792" s="4">
        <f t="shared" si="130"/>
        <v>-237.89</v>
      </c>
      <c r="O2792" s="4">
        <f t="shared" si="131"/>
        <v>0</v>
      </c>
      <c r="P2792" s="3" t="s">
        <v>19</v>
      </c>
    </row>
    <row r="2793" spans="1:16" x14ac:dyDescent="0.35">
      <c r="A2793" s="3" t="s">
        <v>31</v>
      </c>
      <c r="B2793" s="3" t="str">
        <f>INDEX(State_Region!$B$2:$B$26,MATCH(TRIM(A2793),State_Region!$A$2:$A$26,0))</f>
        <v>East</v>
      </c>
      <c r="C2793" s="3" t="s">
        <v>242</v>
      </c>
      <c r="D2793" s="3" t="str">
        <f>INDEX(Port_Type!$B$2:$B$227,MATCH(TRIM(C2793),Port_Type!$A$2:$A$227,0))</f>
        <v>Land Border / Rail</v>
      </c>
      <c r="E2793" s="3" t="s">
        <v>55</v>
      </c>
      <c r="F2793" s="3" t="str">
        <f>INDEX(Product_Category!$B$2:$B$45,MATCH(TRIM(E2793),Product_Category!$A$2:$A$45,0))</f>
        <v>Fresh Fruits &amp; Vegetables</v>
      </c>
      <c r="G2793" s="4">
        <v>0.38</v>
      </c>
      <c r="H2793" s="4">
        <v>0.13</v>
      </c>
      <c r="I2793" s="4">
        <v>0</v>
      </c>
      <c r="J2793" s="4">
        <v>1730.8</v>
      </c>
      <c r="K2793" s="4">
        <v>450</v>
      </c>
      <c r="L2793" s="4">
        <v>0</v>
      </c>
      <c r="M2793" s="4">
        <f t="shared" si="129"/>
        <v>-0.25</v>
      </c>
      <c r="N2793" s="4">
        <f t="shared" si="130"/>
        <v>-1280.8</v>
      </c>
      <c r="O2793" s="4">
        <f t="shared" si="131"/>
        <v>-0.13</v>
      </c>
      <c r="P2793" s="3" t="s">
        <v>19</v>
      </c>
    </row>
    <row r="2794" spans="1:16" x14ac:dyDescent="0.35">
      <c r="A2794" s="3" t="s">
        <v>159</v>
      </c>
      <c r="B2794" s="3" t="str">
        <f>INDEX(State_Region!$B$2:$B$26,MATCH(TRIM(A2794),State_Region!$A$2:$A$26,0))</f>
        <v>North-East</v>
      </c>
      <c r="C2794" s="3" t="s">
        <v>262</v>
      </c>
      <c r="D2794" s="3" t="str">
        <f>INDEX(Port_Type!$B$2:$B$227,MATCH(TRIM(C2794),Port_Type!$A$2:$A$227,0))</f>
        <v>Air Cargo</v>
      </c>
      <c r="E2794" s="3" t="s">
        <v>102</v>
      </c>
      <c r="F2794" s="3" t="str">
        <f>INDEX(Product_Category!$B$2:$B$45,MATCH(TRIM(E2794),Product_Category!$A$2:$A$45,0))</f>
        <v>Fresh Fruits &amp; Vegetables</v>
      </c>
      <c r="G2794" s="4">
        <v>0</v>
      </c>
      <c r="H2794" s="4">
        <v>0</v>
      </c>
      <c r="I2794" s="4">
        <v>0</v>
      </c>
      <c r="J2794" s="4">
        <v>0</v>
      </c>
      <c r="K2794" s="4">
        <v>0.1</v>
      </c>
      <c r="L2794" s="4">
        <v>0</v>
      </c>
      <c r="M2794" s="4">
        <f t="shared" si="129"/>
        <v>0</v>
      </c>
      <c r="N2794" s="4">
        <f t="shared" si="130"/>
        <v>0.1</v>
      </c>
      <c r="O2794" s="4">
        <f t="shared" si="131"/>
        <v>0</v>
      </c>
      <c r="P2794" s="3" t="s">
        <v>19</v>
      </c>
    </row>
    <row r="2795" spans="1:16" x14ac:dyDescent="0.35">
      <c r="A2795" s="3" t="s">
        <v>31</v>
      </c>
      <c r="B2795" s="3" t="str">
        <f>INDEX(State_Region!$B$2:$B$26,MATCH(TRIM(A2795),State_Region!$A$2:$A$26,0))</f>
        <v>East</v>
      </c>
      <c r="C2795" s="3" t="s">
        <v>242</v>
      </c>
      <c r="D2795" s="3" t="str">
        <f>INDEX(Port_Type!$B$2:$B$227,MATCH(TRIM(C2795),Port_Type!$A$2:$A$227,0))</f>
        <v>Land Border / Rail</v>
      </c>
      <c r="E2795" s="3" t="s">
        <v>27</v>
      </c>
      <c r="F2795" s="3" t="str">
        <f>INDEX(Product_Category!$B$2:$B$45,MATCH(TRIM(E2795),Product_Category!$A$2:$A$45,0))</f>
        <v>Cereals &amp; Grains</v>
      </c>
      <c r="G2795" s="4">
        <v>0</v>
      </c>
      <c r="H2795" s="4">
        <v>0.33</v>
      </c>
      <c r="I2795" s="4">
        <v>0</v>
      </c>
      <c r="J2795" s="4">
        <v>0</v>
      </c>
      <c r="K2795" s="4">
        <v>817</v>
      </c>
      <c r="L2795" s="4">
        <v>0</v>
      </c>
      <c r="M2795" s="4">
        <f t="shared" si="129"/>
        <v>0.33</v>
      </c>
      <c r="N2795" s="4">
        <f t="shared" si="130"/>
        <v>817</v>
      </c>
      <c r="O2795" s="4">
        <f t="shared" si="131"/>
        <v>-0.33</v>
      </c>
      <c r="P2795" s="3" t="s">
        <v>19</v>
      </c>
    </row>
    <row r="2796" spans="1:16" x14ac:dyDescent="0.35">
      <c r="A2796" s="3" t="s">
        <v>31</v>
      </c>
      <c r="B2796" s="3" t="str">
        <f>INDEX(State_Region!$B$2:$B$26,MATCH(TRIM(A2796),State_Region!$A$2:$A$26,0))</f>
        <v>East</v>
      </c>
      <c r="C2796" s="3" t="s">
        <v>242</v>
      </c>
      <c r="D2796" s="3" t="str">
        <f>INDEX(Port_Type!$B$2:$B$227,MATCH(TRIM(C2796),Port_Type!$A$2:$A$227,0))</f>
        <v>Land Border / Rail</v>
      </c>
      <c r="E2796" s="3" t="s">
        <v>102</v>
      </c>
      <c r="F2796" s="3" t="str">
        <f>INDEX(Product_Category!$B$2:$B$45,MATCH(TRIM(E2796),Product_Category!$A$2:$A$45,0))</f>
        <v>Fresh Fruits &amp; Vegetables</v>
      </c>
      <c r="G2796" s="4">
        <v>0.06</v>
      </c>
      <c r="H2796" s="4">
        <v>0</v>
      </c>
      <c r="I2796" s="4">
        <v>0</v>
      </c>
      <c r="J2796" s="4">
        <v>100</v>
      </c>
      <c r="K2796" s="4">
        <v>0</v>
      </c>
      <c r="L2796" s="4">
        <v>0</v>
      </c>
      <c r="M2796" s="4">
        <f t="shared" si="129"/>
        <v>-0.06</v>
      </c>
      <c r="N2796" s="4">
        <f t="shared" si="130"/>
        <v>-100</v>
      </c>
      <c r="O2796" s="4">
        <f t="shared" si="131"/>
        <v>0</v>
      </c>
      <c r="P2796" s="3" t="s">
        <v>19</v>
      </c>
    </row>
    <row r="2797" spans="1:16" x14ac:dyDescent="0.35">
      <c r="A2797" s="3" t="s">
        <v>31</v>
      </c>
      <c r="B2797" s="3" t="str">
        <f>INDEX(State_Region!$B$2:$B$26,MATCH(TRIM(A2797),State_Region!$A$2:$A$26,0))</f>
        <v>East</v>
      </c>
      <c r="C2797" s="3" t="s">
        <v>242</v>
      </c>
      <c r="D2797" s="3" t="str">
        <f>INDEX(Port_Type!$B$2:$B$227,MATCH(TRIM(C2797),Port_Type!$A$2:$A$227,0))</f>
        <v>Land Border / Rail</v>
      </c>
      <c r="E2797" s="3" t="s">
        <v>33</v>
      </c>
      <c r="F2797" s="3" t="str">
        <f>INDEX(Product_Category!$B$2:$B$45,MATCH(TRIM(E2797),Product_Category!$A$2:$A$45,0))</f>
        <v>Pulses</v>
      </c>
      <c r="G2797" s="4">
        <v>7.0000000000000007E-2</v>
      </c>
      <c r="H2797" s="4">
        <v>0</v>
      </c>
      <c r="I2797" s="4">
        <v>0</v>
      </c>
      <c r="J2797" s="4">
        <v>97.07</v>
      </c>
      <c r="K2797" s="4">
        <v>0</v>
      </c>
      <c r="L2797" s="4">
        <v>0</v>
      </c>
      <c r="M2797" s="4">
        <f t="shared" si="129"/>
        <v>-7.0000000000000007E-2</v>
      </c>
      <c r="N2797" s="4">
        <f t="shared" si="130"/>
        <v>-97.07</v>
      </c>
      <c r="O2797" s="4">
        <f t="shared" si="131"/>
        <v>0</v>
      </c>
      <c r="P2797" s="3" t="s">
        <v>19</v>
      </c>
    </row>
    <row r="2798" spans="1:16" x14ac:dyDescent="0.35">
      <c r="A2798" s="3" t="s">
        <v>31</v>
      </c>
      <c r="B2798" s="3" t="str">
        <f>INDEX(State_Region!$B$2:$B$26,MATCH(TRIM(A2798),State_Region!$A$2:$A$26,0))</f>
        <v>East</v>
      </c>
      <c r="C2798" s="3" t="s">
        <v>249</v>
      </c>
      <c r="D2798" s="3" t="str">
        <f>INDEX(Port_Type!$B$2:$B$227,MATCH(TRIM(C2798),Port_Type!$A$2:$A$227,0))</f>
        <v>Land Border / Rail</v>
      </c>
      <c r="E2798" s="3" t="s">
        <v>48</v>
      </c>
      <c r="F2798" s="3" t="str">
        <f>INDEX(Product_Category!$B$2:$B$45,MATCH(TRIM(E2798),Product_Category!$A$2:$A$45,0))</f>
        <v>Processed Foods</v>
      </c>
      <c r="G2798" s="4">
        <v>0</v>
      </c>
      <c r="H2798" s="4">
        <v>0</v>
      </c>
      <c r="I2798" s="4">
        <v>0</v>
      </c>
      <c r="J2798" s="4">
        <v>0.3</v>
      </c>
      <c r="K2798" s="4">
        <v>7.02</v>
      </c>
      <c r="L2798" s="4">
        <v>0</v>
      </c>
      <c r="M2798" s="4">
        <f t="shared" si="129"/>
        <v>0</v>
      </c>
      <c r="N2798" s="4">
        <f t="shared" si="130"/>
        <v>6.72</v>
      </c>
      <c r="O2798" s="4">
        <f t="shared" si="131"/>
        <v>0</v>
      </c>
      <c r="P2798" s="3" t="s">
        <v>19</v>
      </c>
    </row>
    <row r="2799" spans="1:16" x14ac:dyDescent="0.35">
      <c r="A2799" s="3" t="s">
        <v>31</v>
      </c>
      <c r="B2799" s="3" t="str">
        <f>INDEX(State_Region!$B$2:$B$26,MATCH(TRIM(A2799),State_Region!$A$2:$A$26,0))</f>
        <v>East</v>
      </c>
      <c r="C2799" s="3" t="s">
        <v>249</v>
      </c>
      <c r="D2799" s="3" t="str">
        <f>INDEX(Port_Type!$B$2:$B$227,MATCH(TRIM(C2799),Port_Type!$A$2:$A$227,0))</f>
        <v>Land Border / Rail</v>
      </c>
      <c r="E2799" s="3" t="s">
        <v>83</v>
      </c>
      <c r="F2799" s="3" t="str">
        <f>INDEX(Product_Category!$B$2:$B$45,MATCH(TRIM(E2799),Product_Category!$A$2:$A$45,0))</f>
        <v>Fresh Fruits &amp; Vegetables</v>
      </c>
      <c r="G2799" s="4">
        <v>0</v>
      </c>
      <c r="H2799" s="4">
        <v>0</v>
      </c>
      <c r="I2799" s="4">
        <v>0</v>
      </c>
      <c r="J2799" s="4">
        <v>0</v>
      </c>
      <c r="K2799" s="4">
        <v>0.08</v>
      </c>
      <c r="L2799" s="4">
        <v>0</v>
      </c>
      <c r="M2799" s="4">
        <f t="shared" si="129"/>
        <v>0</v>
      </c>
      <c r="N2799" s="4">
        <f t="shared" si="130"/>
        <v>0.08</v>
      </c>
      <c r="O2799" s="4">
        <f t="shared" si="131"/>
        <v>0</v>
      </c>
      <c r="P2799" s="3" t="s">
        <v>19</v>
      </c>
    </row>
    <row r="2800" spans="1:16" x14ac:dyDescent="0.35">
      <c r="A2800" s="3" t="s">
        <v>31</v>
      </c>
      <c r="B2800" s="3" t="str">
        <f>INDEX(State_Region!$B$2:$B$26,MATCH(TRIM(A2800),State_Region!$A$2:$A$26,0))</f>
        <v>East</v>
      </c>
      <c r="C2800" s="3" t="s">
        <v>249</v>
      </c>
      <c r="D2800" s="3" t="str">
        <f>INDEX(Port_Type!$B$2:$B$227,MATCH(TRIM(C2800),Port_Type!$A$2:$A$227,0))</f>
        <v>Land Border / Rail</v>
      </c>
      <c r="E2800" s="3" t="s">
        <v>55</v>
      </c>
      <c r="F2800" s="3" t="str">
        <f>INDEX(Product_Category!$B$2:$B$45,MATCH(TRIM(E2800),Product_Category!$A$2:$A$45,0))</f>
        <v>Fresh Fruits &amp; Vegetables</v>
      </c>
      <c r="G2800" s="4">
        <v>0</v>
      </c>
      <c r="H2800" s="4">
        <v>0</v>
      </c>
      <c r="I2800" s="4">
        <v>0</v>
      </c>
      <c r="J2800" s="4">
        <v>0</v>
      </c>
      <c r="K2800" s="4">
        <v>1.58</v>
      </c>
      <c r="L2800" s="4">
        <v>0</v>
      </c>
      <c r="M2800" s="4">
        <f t="shared" si="129"/>
        <v>0</v>
      </c>
      <c r="N2800" s="4">
        <f t="shared" si="130"/>
        <v>1.58</v>
      </c>
      <c r="O2800" s="4">
        <f t="shared" si="131"/>
        <v>0</v>
      </c>
      <c r="P2800" s="3" t="s">
        <v>19</v>
      </c>
    </row>
    <row r="2801" spans="1:16" x14ac:dyDescent="0.35">
      <c r="A2801" s="3" t="s">
        <v>31</v>
      </c>
      <c r="B2801" s="3" t="str">
        <f>INDEX(State_Region!$B$2:$B$26,MATCH(TRIM(A2801),State_Region!$A$2:$A$26,0))</f>
        <v>East</v>
      </c>
      <c r="C2801" s="3" t="s">
        <v>249</v>
      </c>
      <c r="D2801" s="3" t="str">
        <f>INDEX(Port_Type!$B$2:$B$227,MATCH(TRIM(C2801),Port_Type!$A$2:$A$227,0))</f>
        <v>Land Border / Rail</v>
      </c>
      <c r="E2801" s="3" t="s">
        <v>65</v>
      </c>
      <c r="F2801" s="3" t="str">
        <f>INDEX(Product_Category!$B$2:$B$45,MATCH(TRIM(E2801),Product_Category!$A$2:$A$45,0))</f>
        <v>Cereals &amp; Grains</v>
      </c>
      <c r="G2801" s="4">
        <v>0</v>
      </c>
      <c r="H2801" s="4">
        <v>0.01</v>
      </c>
      <c r="I2801" s="4">
        <v>0</v>
      </c>
      <c r="J2801" s="4">
        <v>0</v>
      </c>
      <c r="K2801" s="4">
        <v>21.4</v>
      </c>
      <c r="L2801" s="4">
        <v>0</v>
      </c>
      <c r="M2801" s="4">
        <f t="shared" si="129"/>
        <v>0.01</v>
      </c>
      <c r="N2801" s="4">
        <f t="shared" si="130"/>
        <v>21.4</v>
      </c>
      <c r="O2801" s="4">
        <f t="shared" si="131"/>
        <v>-0.01</v>
      </c>
      <c r="P2801" s="3" t="s">
        <v>19</v>
      </c>
    </row>
    <row r="2802" spans="1:16" x14ac:dyDescent="0.35">
      <c r="A2802" s="3" t="s">
        <v>31</v>
      </c>
      <c r="B2802" s="3" t="str">
        <f>INDEX(State_Region!$B$2:$B$26,MATCH(TRIM(A2802),State_Region!$A$2:$A$26,0))</f>
        <v>East</v>
      </c>
      <c r="C2802" s="3" t="s">
        <v>249</v>
      </c>
      <c r="D2802" s="3" t="str">
        <f>INDEX(Port_Type!$B$2:$B$227,MATCH(TRIM(C2802),Port_Type!$A$2:$A$227,0))</f>
        <v>Land Border / Rail</v>
      </c>
      <c r="E2802" s="3" t="s">
        <v>39</v>
      </c>
      <c r="F2802" s="3" t="str">
        <f>INDEX(Product_Category!$B$2:$B$45,MATCH(TRIM(E2802),Product_Category!$A$2:$A$45,0))</f>
        <v>Processed Foods</v>
      </c>
      <c r="G2802" s="4">
        <v>0.12</v>
      </c>
      <c r="H2802" s="4">
        <v>0</v>
      </c>
      <c r="I2802" s="4">
        <v>0</v>
      </c>
      <c r="J2802" s="4">
        <v>0.01</v>
      </c>
      <c r="K2802" s="4">
        <v>0</v>
      </c>
      <c r="L2802" s="4">
        <v>0</v>
      </c>
      <c r="M2802" s="4">
        <f t="shared" si="129"/>
        <v>-0.12</v>
      </c>
      <c r="N2802" s="4">
        <f t="shared" si="130"/>
        <v>-0.01</v>
      </c>
      <c r="O2802" s="4">
        <f t="shared" si="131"/>
        <v>0</v>
      </c>
      <c r="P2802" s="3" t="s">
        <v>19</v>
      </c>
    </row>
    <row r="2803" spans="1:16" x14ac:dyDescent="0.35">
      <c r="A2803" s="3" t="s">
        <v>31</v>
      </c>
      <c r="B2803" s="3" t="str">
        <f>INDEX(State_Region!$B$2:$B$26,MATCH(TRIM(A2803),State_Region!$A$2:$A$26,0))</f>
        <v>East</v>
      </c>
      <c r="C2803" s="3" t="s">
        <v>249</v>
      </c>
      <c r="D2803" s="3" t="str">
        <f>INDEX(Port_Type!$B$2:$B$227,MATCH(TRIM(C2803),Port_Type!$A$2:$A$227,0))</f>
        <v>Land Border / Rail</v>
      </c>
      <c r="E2803" s="3" t="s">
        <v>45</v>
      </c>
      <c r="F2803" s="3" t="str">
        <f>INDEX(Product_Category!$B$2:$B$45,MATCH(TRIM(E2803),Product_Category!$A$2:$A$45,0))</f>
        <v>Fresh Fruits &amp; Vegetables</v>
      </c>
      <c r="G2803" s="4">
        <v>0</v>
      </c>
      <c r="H2803" s="4">
        <v>0</v>
      </c>
      <c r="I2803" s="4">
        <v>0</v>
      </c>
      <c r="J2803" s="4">
        <v>0</v>
      </c>
      <c r="K2803" s="4">
        <v>2.5</v>
      </c>
      <c r="L2803" s="4">
        <v>0</v>
      </c>
      <c r="M2803" s="4">
        <f t="shared" si="129"/>
        <v>0</v>
      </c>
      <c r="N2803" s="4">
        <f t="shared" si="130"/>
        <v>2.5</v>
      </c>
      <c r="O2803" s="4">
        <f t="shared" si="131"/>
        <v>0</v>
      </c>
      <c r="P2803" s="3" t="s">
        <v>19</v>
      </c>
    </row>
    <row r="2804" spans="1:16" x14ac:dyDescent="0.35">
      <c r="A2804" s="3" t="s">
        <v>31</v>
      </c>
      <c r="B2804" s="3" t="str">
        <f>INDEX(State_Region!$B$2:$B$26,MATCH(TRIM(A2804),State_Region!$A$2:$A$26,0))</f>
        <v>East</v>
      </c>
      <c r="C2804" s="3" t="s">
        <v>249</v>
      </c>
      <c r="D2804" s="3" t="str">
        <f>INDEX(Port_Type!$B$2:$B$227,MATCH(TRIM(C2804),Port_Type!$A$2:$A$227,0))</f>
        <v>Land Border / Rail</v>
      </c>
      <c r="E2804" s="3" t="s">
        <v>102</v>
      </c>
      <c r="F2804" s="3" t="str">
        <f>INDEX(Product_Category!$B$2:$B$45,MATCH(TRIM(E2804),Product_Category!$A$2:$A$45,0))</f>
        <v>Fresh Fruits &amp; Vegetables</v>
      </c>
      <c r="G2804" s="4">
        <v>0</v>
      </c>
      <c r="H2804" s="4">
        <v>0</v>
      </c>
      <c r="I2804" s="4">
        <v>0</v>
      </c>
      <c r="J2804" s="4">
        <v>0</v>
      </c>
      <c r="K2804" s="4">
        <v>12.18</v>
      </c>
      <c r="L2804" s="4">
        <v>0</v>
      </c>
      <c r="M2804" s="4">
        <f t="shared" si="129"/>
        <v>0</v>
      </c>
      <c r="N2804" s="4">
        <f t="shared" si="130"/>
        <v>12.18</v>
      </c>
      <c r="O2804" s="4">
        <f t="shared" si="131"/>
        <v>0</v>
      </c>
      <c r="P2804" s="3" t="s">
        <v>19</v>
      </c>
    </row>
    <row r="2805" spans="1:16" x14ac:dyDescent="0.35">
      <c r="A2805" s="3" t="s">
        <v>31</v>
      </c>
      <c r="B2805" s="3" t="str">
        <f>INDEX(State_Region!$B$2:$B$26,MATCH(TRIM(A2805),State_Region!$A$2:$A$26,0))</f>
        <v>East</v>
      </c>
      <c r="C2805" s="3" t="s">
        <v>249</v>
      </c>
      <c r="D2805" s="3" t="str">
        <f>INDEX(Port_Type!$B$2:$B$227,MATCH(TRIM(C2805),Port_Type!$A$2:$A$227,0))</f>
        <v>Land Border / Rail</v>
      </c>
      <c r="E2805" s="3" t="s">
        <v>54</v>
      </c>
      <c r="F2805" s="3" t="str">
        <f>INDEX(Product_Category!$B$2:$B$45,MATCH(TRIM(E2805),Product_Category!$A$2:$A$45,0))</f>
        <v>Processed Foods</v>
      </c>
      <c r="G2805" s="4">
        <v>0</v>
      </c>
      <c r="H2805" s="4">
        <v>0</v>
      </c>
      <c r="I2805" s="4">
        <v>0</v>
      </c>
      <c r="J2805" s="4">
        <v>0</v>
      </c>
      <c r="K2805" s="4">
        <v>0.75</v>
      </c>
      <c r="L2805" s="4">
        <v>0</v>
      </c>
      <c r="M2805" s="4">
        <f t="shared" si="129"/>
        <v>0</v>
      </c>
      <c r="N2805" s="4">
        <f t="shared" si="130"/>
        <v>0.75</v>
      </c>
      <c r="O2805" s="4">
        <f t="shared" si="131"/>
        <v>0</v>
      </c>
      <c r="P2805" s="3" t="s">
        <v>19</v>
      </c>
    </row>
    <row r="2806" spans="1:16" x14ac:dyDescent="0.35">
      <c r="A2806" s="3" t="s">
        <v>159</v>
      </c>
      <c r="B2806" s="3" t="str">
        <f>INDEX(State_Region!$B$2:$B$26,MATCH(TRIM(A2806),State_Region!$A$2:$A$26,0))</f>
        <v>North-East</v>
      </c>
      <c r="C2806" s="3" t="s">
        <v>262</v>
      </c>
      <c r="D2806" s="3" t="str">
        <f>INDEX(Port_Type!$B$2:$B$227,MATCH(TRIM(C2806),Port_Type!$A$2:$A$227,0))</f>
        <v>Air Cargo</v>
      </c>
      <c r="E2806" s="3" t="s">
        <v>27</v>
      </c>
      <c r="F2806" s="3" t="str">
        <f>INDEX(Product_Category!$B$2:$B$45,MATCH(TRIM(E2806),Product_Category!$A$2:$A$45,0))</f>
        <v>Cereals &amp; Grains</v>
      </c>
      <c r="G2806" s="4">
        <v>0</v>
      </c>
      <c r="H2806" s="4">
        <v>0</v>
      </c>
      <c r="I2806" s="4">
        <v>0</v>
      </c>
      <c r="J2806" s="4">
        <v>0</v>
      </c>
      <c r="K2806" s="4">
        <v>1.02</v>
      </c>
      <c r="L2806" s="4">
        <v>0</v>
      </c>
      <c r="M2806" s="4">
        <f t="shared" si="129"/>
        <v>0</v>
      </c>
      <c r="N2806" s="4">
        <f t="shared" si="130"/>
        <v>1.02</v>
      </c>
      <c r="O2806" s="4">
        <f t="shared" si="131"/>
        <v>0</v>
      </c>
      <c r="P2806" s="3" t="s">
        <v>19</v>
      </c>
    </row>
    <row r="2807" spans="1:16" x14ac:dyDescent="0.35">
      <c r="A2807" s="3" t="s">
        <v>31</v>
      </c>
      <c r="B2807" s="3" t="str">
        <f>INDEX(State_Region!$B$2:$B$26,MATCH(TRIM(A2807),State_Region!$A$2:$A$26,0))</f>
        <v>East</v>
      </c>
      <c r="C2807" s="3" t="s">
        <v>215</v>
      </c>
      <c r="D2807" s="3" t="str">
        <f>INDEX(Port_Type!$B$2:$B$227,MATCH(TRIM(C2807),Port_Type!$A$2:$A$227,0))</f>
        <v>Land Border / Rail</v>
      </c>
      <c r="E2807" s="3" t="s">
        <v>84</v>
      </c>
      <c r="F2807" s="3" t="str">
        <f>INDEX(Product_Category!$B$2:$B$45,MATCH(TRIM(E2807),Product_Category!$A$2:$A$45,0))</f>
        <v>Nuts &amp; Oilseeds</v>
      </c>
      <c r="G2807" s="4">
        <v>0.01</v>
      </c>
      <c r="H2807" s="4">
        <v>0</v>
      </c>
      <c r="I2807" s="4">
        <v>0</v>
      </c>
      <c r="J2807" s="4">
        <v>1.06</v>
      </c>
      <c r="K2807" s="4">
        <v>0.01</v>
      </c>
      <c r="L2807" s="4">
        <v>0</v>
      </c>
      <c r="M2807" s="4">
        <f t="shared" si="129"/>
        <v>-0.01</v>
      </c>
      <c r="N2807" s="4">
        <f t="shared" si="130"/>
        <v>-1.05</v>
      </c>
      <c r="O2807" s="4">
        <f t="shared" si="131"/>
        <v>0</v>
      </c>
      <c r="P2807" s="3" t="s">
        <v>19</v>
      </c>
    </row>
    <row r="2808" spans="1:16" x14ac:dyDescent="0.35">
      <c r="A2808" s="3" t="s">
        <v>31</v>
      </c>
      <c r="B2808" s="3" t="str">
        <f>INDEX(State_Region!$B$2:$B$26,MATCH(TRIM(A2808),State_Region!$A$2:$A$26,0))</f>
        <v>East</v>
      </c>
      <c r="C2808" s="3" t="s">
        <v>215</v>
      </c>
      <c r="D2808" s="3" t="str">
        <f>INDEX(Port_Type!$B$2:$B$227,MATCH(TRIM(C2808),Port_Type!$A$2:$A$227,0))</f>
        <v>Land Border / Rail</v>
      </c>
      <c r="E2808" s="3" t="s">
        <v>179</v>
      </c>
      <c r="F2808" s="3" t="str">
        <f>INDEX(Product_Category!$B$2:$B$45,MATCH(TRIM(E2808),Product_Category!$A$2:$A$45,0))</f>
        <v>Nuts &amp; Oilseeds</v>
      </c>
      <c r="G2808" s="4">
        <v>0</v>
      </c>
      <c r="H2808" s="4">
        <v>0</v>
      </c>
      <c r="I2808" s="4">
        <v>0</v>
      </c>
      <c r="J2808" s="4">
        <v>0.09</v>
      </c>
      <c r="K2808" s="4">
        <v>0</v>
      </c>
      <c r="L2808" s="4">
        <v>0</v>
      </c>
      <c r="M2808" s="4">
        <f t="shared" si="129"/>
        <v>0</v>
      </c>
      <c r="N2808" s="4">
        <f t="shared" si="130"/>
        <v>-0.09</v>
      </c>
      <c r="O2808" s="4">
        <f t="shared" si="131"/>
        <v>0</v>
      </c>
      <c r="P2808" s="3" t="s">
        <v>19</v>
      </c>
    </row>
    <row r="2809" spans="1:16" x14ac:dyDescent="0.35">
      <c r="A2809" s="3" t="s">
        <v>159</v>
      </c>
      <c r="B2809" s="3" t="str">
        <f>INDEX(State_Region!$B$2:$B$26,MATCH(TRIM(A2809),State_Region!$A$2:$A$26,0))</f>
        <v>North-East</v>
      </c>
      <c r="C2809" s="3" t="s">
        <v>262</v>
      </c>
      <c r="D2809" s="3" t="str">
        <f>INDEX(Port_Type!$B$2:$B$227,MATCH(TRIM(C2809),Port_Type!$A$2:$A$227,0))</f>
        <v>Air Cargo</v>
      </c>
      <c r="E2809" s="3" t="s">
        <v>118</v>
      </c>
      <c r="F2809" s="3" t="str">
        <f>INDEX(Product_Category!$B$2:$B$45,MATCH(TRIM(E2809),Product_Category!$A$2:$A$45,0))</f>
        <v>Dairy, Poultry &amp; Honey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  <c r="L2809" s="4">
        <v>0.01</v>
      </c>
      <c r="M2809" s="4">
        <f t="shared" si="129"/>
        <v>0</v>
      </c>
      <c r="N2809" s="4">
        <f t="shared" si="130"/>
        <v>0</v>
      </c>
      <c r="O2809" s="4">
        <f t="shared" si="131"/>
        <v>0</v>
      </c>
      <c r="P2809" s="3" t="s">
        <v>19</v>
      </c>
    </row>
    <row r="2810" spans="1:16" x14ac:dyDescent="0.35">
      <c r="A2810" s="3" t="s">
        <v>31</v>
      </c>
      <c r="B2810" s="3" t="str">
        <f>INDEX(State_Region!$B$2:$B$26,MATCH(TRIM(A2810),State_Region!$A$2:$A$26,0))</f>
        <v>East</v>
      </c>
      <c r="C2810" s="3" t="s">
        <v>215</v>
      </c>
      <c r="D2810" s="3" t="str">
        <f>INDEX(Port_Type!$B$2:$B$227,MATCH(TRIM(C2810),Port_Type!$A$2:$A$227,0))</f>
        <v>Land Border / Rail</v>
      </c>
      <c r="E2810" s="3" t="s">
        <v>72</v>
      </c>
      <c r="F2810" s="3" t="str">
        <f>INDEX(Product_Category!$B$2:$B$45,MATCH(TRIM(E2810),Product_Category!$A$2:$A$45,0))</f>
        <v>Dairy, Poultry &amp; Honey</v>
      </c>
      <c r="G2810" s="4">
        <v>0.02</v>
      </c>
      <c r="H2810" s="4">
        <v>0</v>
      </c>
      <c r="I2810" s="4">
        <v>0</v>
      </c>
      <c r="J2810" s="4">
        <v>7.52</v>
      </c>
      <c r="K2810" s="4">
        <v>0</v>
      </c>
      <c r="L2810" s="4">
        <v>0</v>
      </c>
      <c r="M2810" s="4">
        <f t="shared" si="129"/>
        <v>-0.02</v>
      </c>
      <c r="N2810" s="4">
        <f t="shared" si="130"/>
        <v>-7.52</v>
      </c>
      <c r="O2810" s="4">
        <f t="shared" si="131"/>
        <v>0</v>
      </c>
      <c r="P2810" s="3" t="s">
        <v>19</v>
      </c>
    </row>
    <row r="2811" spans="1:16" x14ac:dyDescent="0.35">
      <c r="A2811" s="3" t="s">
        <v>31</v>
      </c>
      <c r="B2811" s="3" t="str">
        <f>INDEX(State_Region!$B$2:$B$26,MATCH(TRIM(A2811),State_Region!$A$2:$A$26,0))</f>
        <v>East</v>
      </c>
      <c r="C2811" s="3" t="s">
        <v>215</v>
      </c>
      <c r="D2811" s="3" t="str">
        <f>INDEX(Port_Type!$B$2:$B$227,MATCH(TRIM(C2811),Port_Type!$A$2:$A$227,0))</f>
        <v>Land Border / Rail</v>
      </c>
      <c r="E2811" s="3" t="s">
        <v>76</v>
      </c>
      <c r="F2811" s="3" t="str">
        <f>INDEX(Product_Category!$B$2:$B$45,MATCH(TRIM(E2811),Product_Category!$A$2:$A$45,0))</f>
        <v>Fresh Fruits &amp; Vegetables</v>
      </c>
      <c r="G2811" s="4">
        <v>0</v>
      </c>
      <c r="H2811" s="4">
        <v>0</v>
      </c>
      <c r="I2811" s="4">
        <v>0</v>
      </c>
      <c r="J2811" s="4">
        <v>0</v>
      </c>
      <c r="K2811" s="4">
        <v>0.79</v>
      </c>
      <c r="L2811" s="4">
        <v>0</v>
      </c>
      <c r="M2811" s="4">
        <f t="shared" si="129"/>
        <v>0</v>
      </c>
      <c r="N2811" s="4">
        <f t="shared" si="130"/>
        <v>0.79</v>
      </c>
      <c r="O2811" s="4">
        <f t="shared" si="131"/>
        <v>0</v>
      </c>
      <c r="P2811" s="3" t="s">
        <v>19</v>
      </c>
    </row>
    <row r="2812" spans="1:16" x14ac:dyDescent="0.35">
      <c r="A2812" s="3" t="s">
        <v>159</v>
      </c>
      <c r="B2812" s="3" t="str">
        <f>INDEX(State_Region!$B$2:$B$26,MATCH(TRIM(A2812),State_Region!$A$2:$A$26,0))</f>
        <v>North-East</v>
      </c>
      <c r="C2812" s="3" t="s">
        <v>291</v>
      </c>
      <c r="D2812" s="3" t="str">
        <f>INDEX(Port_Type!$B$2:$B$227,MATCH(TRIM(C2812),Port_Type!$A$2:$A$227,0))</f>
        <v>Land Border / Rail</v>
      </c>
      <c r="E2812" s="3" t="s">
        <v>102</v>
      </c>
      <c r="F2812" s="3" t="str">
        <f>INDEX(Product_Category!$B$2:$B$45,MATCH(TRIM(E2812),Product_Category!$A$2:$A$45,0))</f>
        <v>Fresh Fruits &amp; Vegetables</v>
      </c>
      <c r="G2812" s="4">
        <v>0</v>
      </c>
      <c r="H2812" s="4">
        <v>0</v>
      </c>
      <c r="I2812" s="4">
        <v>0</v>
      </c>
      <c r="J2812" s="4">
        <v>5</v>
      </c>
      <c r="K2812" s="4">
        <v>0</v>
      </c>
      <c r="L2812" s="4">
        <v>0</v>
      </c>
      <c r="M2812" s="4">
        <f t="shared" si="129"/>
        <v>0</v>
      </c>
      <c r="N2812" s="4">
        <f t="shared" si="130"/>
        <v>-5</v>
      </c>
      <c r="O2812" s="4">
        <f t="shared" si="131"/>
        <v>0</v>
      </c>
      <c r="P2812" s="3" t="s">
        <v>19</v>
      </c>
    </row>
    <row r="2813" spans="1:16" x14ac:dyDescent="0.35">
      <c r="A2813" s="3" t="s">
        <v>159</v>
      </c>
      <c r="B2813" s="3" t="str">
        <f>INDEX(State_Region!$B$2:$B$26,MATCH(TRIM(A2813),State_Region!$A$2:$A$26,0))</f>
        <v>North-East</v>
      </c>
      <c r="C2813" s="3" t="s">
        <v>291</v>
      </c>
      <c r="D2813" s="3" t="str">
        <f>INDEX(Port_Type!$B$2:$B$227,MATCH(TRIM(C2813),Port_Type!$A$2:$A$227,0))</f>
        <v>Land Border / Rail</v>
      </c>
      <c r="E2813" s="3" t="s">
        <v>62</v>
      </c>
      <c r="F2813" s="3" t="str">
        <f>INDEX(Product_Category!$B$2:$B$45,MATCH(TRIM(E2813),Product_Category!$A$2:$A$45,0))</f>
        <v>Cereals &amp; Grains</v>
      </c>
      <c r="G2813" s="4">
        <v>0</v>
      </c>
      <c r="H2813" s="4">
        <v>0</v>
      </c>
      <c r="I2813" s="4">
        <v>0</v>
      </c>
      <c r="J2813" s="4">
        <v>21</v>
      </c>
      <c r="K2813" s="4">
        <v>0</v>
      </c>
      <c r="L2813" s="4">
        <v>0</v>
      </c>
      <c r="M2813" s="4">
        <f t="shared" si="129"/>
        <v>0</v>
      </c>
      <c r="N2813" s="4">
        <f t="shared" si="130"/>
        <v>-21</v>
      </c>
      <c r="O2813" s="4">
        <f t="shared" si="131"/>
        <v>0</v>
      </c>
      <c r="P2813" s="3" t="s">
        <v>19</v>
      </c>
    </row>
    <row r="2814" spans="1:16" x14ac:dyDescent="0.35">
      <c r="A2814" s="3" t="s">
        <v>159</v>
      </c>
      <c r="B2814" s="3" t="str">
        <f>INDEX(State_Region!$B$2:$B$26,MATCH(TRIM(A2814),State_Region!$A$2:$A$26,0))</f>
        <v>North-East</v>
      </c>
      <c r="C2814" s="3" t="s">
        <v>186</v>
      </c>
      <c r="D2814" s="3" t="str">
        <f>INDEX(Port_Type!$B$2:$B$227,MATCH(TRIM(C2814),Port_Type!$A$2:$A$227,0))</f>
        <v>Land Border / Rail</v>
      </c>
      <c r="E2814" s="3" t="s">
        <v>181</v>
      </c>
      <c r="F2814" s="3" t="str">
        <f>INDEX(Product_Category!$B$2:$B$45,MATCH(TRIM(E2814),Product_Category!$A$2:$A$45,0))</f>
        <v>Nuts &amp; Oilseeds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  <c r="L2814" s="4">
        <v>0</v>
      </c>
      <c r="M2814" s="4">
        <f t="shared" si="129"/>
        <v>0</v>
      </c>
      <c r="N2814" s="4">
        <f t="shared" si="130"/>
        <v>0</v>
      </c>
      <c r="O2814" s="4">
        <f t="shared" si="131"/>
        <v>0</v>
      </c>
      <c r="P2814" s="3" t="s">
        <v>19</v>
      </c>
    </row>
    <row r="2815" spans="1:16" x14ac:dyDescent="0.35">
      <c r="A2815" s="3" t="s">
        <v>31</v>
      </c>
      <c r="B2815" s="3" t="str">
        <f>INDEX(State_Region!$B$2:$B$26,MATCH(TRIM(A2815),State_Region!$A$2:$A$26,0))</f>
        <v>East</v>
      </c>
      <c r="C2815" s="3" t="s">
        <v>215</v>
      </c>
      <c r="D2815" s="3" t="str">
        <f>INDEX(Port_Type!$B$2:$B$227,MATCH(TRIM(C2815),Port_Type!$A$2:$A$227,0))</f>
        <v>Land Border / Rail</v>
      </c>
      <c r="E2815" s="3" t="s">
        <v>118</v>
      </c>
      <c r="F2815" s="3" t="str">
        <f>INDEX(Product_Category!$B$2:$B$45,MATCH(TRIM(E2815),Product_Category!$A$2:$A$45,0))</f>
        <v>Dairy, Poultry &amp; Honey</v>
      </c>
      <c r="G2815" s="4">
        <v>0</v>
      </c>
      <c r="H2815" s="4">
        <v>0</v>
      </c>
      <c r="I2815" s="4">
        <v>0</v>
      </c>
      <c r="J2815" s="4">
        <v>0.08</v>
      </c>
      <c r="K2815" s="4">
        <v>0</v>
      </c>
      <c r="L2815" s="4">
        <v>0</v>
      </c>
      <c r="M2815" s="4">
        <f t="shared" si="129"/>
        <v>0</v>
      </c>
      <c r="N2815" s="4">
        <f t="shared" si="130"/>
        <v>-0.08</v>
      </c>
      <c r="O2815" s="4">
        <f t="shared" si="131"/>
        <v>0</v>
      </c>
      <c r="P2815" s="3" t="s">
        <v>19</v>
      </c>
    </row>
    <row r="2816" spans="1:16" x14ac:dyDescent="0.35">
      <c r="A2816" s="3" t="s">
        <v>31</v>
      </c>
      <c r="B2816" s="3" t="str">
        <f>INDEX(State_Region!$B$2:$B$26,MATCH(TRIM(A2816),State_Region!$A$2:$A$26,0))</f>
        <v>East</v>
      </c>
      <c r="C2816" s="3" t="s">
        <v>204</v>
      </c>
      <c r="D2816" s="3" t="str">
        <f>INDEX(Port_Type!$B$2:$B$227,MATCH(TRIM(C2816),Port_Type!$A$2:$A$227,0))</f>
        <v>Land Border / Rail</v>
      </c>
      <c r="E2816" s="3" t="s">
        <v>33</v>
      </c>
      <c r="F2816" s="3" t="str">
        <f>INDEX(Product_Category!$B$2:$B$45,MATCH(TRIM(E2816),Product_Category!$A$2:$A$45,0))</f>
        <v>Pulses</v>
      </c>
      <c r="G2816" s="4">
        <v>0.51</v>
      </c>
      <c r="H2816" s="4">
        <v>0</v>
      </c>
      <c r="I2816" s="4">
        <v>0</v>
      </c>
      <c r="J2816" s="4">
        <v>748.63</v>
      </c>
      <c r="K2816" s="4">
        <v>0</v>
      </c>
      <c r="L2816" s="4">
        <v>0</v>
      </c>
      <c r="M2816" s="4">
        <f t="shared" si="129"/>
        <v>-0.51</v>
      </c>
      <c r="N2816" s="4">
        <f t="shared" si="130"/>
        <v>-748.63</v>
      </c>
      <c r="O2816" s="4">
        <f t="shared" si="131"/>
        <v>0</v>
      </c>
      <c r="P2816" s="3" t="s">
        <v>19</v>
      </c>
    </row>
    <row r="2817" spans="1:16" x14ac:dyDescent="0.35">
      <c r="A2817" s="3" t="s">
        <v>159</v>
      </c>
      <c r="B2817" s="3" t="str">
        <f>INDEX(State_Region!$B$2:$B$26,MATCH(TRIM(A2817),State_Region!$A$2:$A$26,0))</f>
        <v>North-East</v>
      </c>
      <c r="C2817" s="3" t="s">
        <v>186</v>
      </c>
      <c r="D2817" s="3" t="str">
        <f>INDEX(Port_Type!$B$2:$B$227,MATCH(TRIM(C2817),Port_Type!$A$2:$A$227,0))</f>
        <v>Land Border / Rail</v>
      </c>
      <c r="E2817" s="3" t="s">
        <v>51</v>
      </c>
      <c r="F2817" s="3" t="str">
        <f>INDEX(Product_Category!$B$2:$B$45,MATCH(TRIM(E2817),Product_Category!$A$2:$A$45,0))</f>
        <v>Nuts &amp; Oilseeds</v>
      </c>
      <c r="G2817" s="4">
        <v>0</v>
      </c>
      <c r="H2817" s="4">
        <v>0</v>
      </c>
      <c r="I2817" s="4">
        <v>0</v>
      </c>
      <c r="J2817" s="4">
        <v>0</v>
      </c>
      <c r="K2817" s="4">
        <v>0.02</v>
      </c>
      <c r="L2817" s="4">
        <v>0</v>
      </c>
      <c r="M2817" s="4">
        <f t="shared" si="129"/>
        <v>0</v>
      </c>
      <c r="N2817" s="4">
        <f t="shared" si="130"/>
        <v>0.02</v>
      </c>
      <c r="O2817" s="4">
        <f t="shared" si="131"/>
        <v>0</v>
      </c>
      <c r="P2817" s="3" t="s">
        <v>19</v>
      </c>
    </row>
    <row r="2818" spans="1:16" x14ac:dyDescent="0.35">
      <c r="A2818" s="3" t="s">
        <v>31</v>
      </c>
      <c r="B2818" s="3" t="str">
        <f>INDEX(State_Region!$B$2:$B$26,MATCH(TRIM(A2818),State_Region!$A$2:$A$26,0))</f>
        <v>East</v>
      </c>
      <c r="C2818" s="3" t="s">
        <v>139</v>
      </c>
      <c r="D2818" s="3" t="str">
        <f>INDEX(Port_Type!$B$2:$B$227,MATCH(TRIM(C2818),Port_Type!$A$2:$A$227,0))</f>
        <v>Land Border / Rail</v>
      </c>
      <c r="E2818" s="3" t="s">
        <v>60</v>
      </c>
      <c r="F2818" s="3" t="str">
        <f>INDEX(Product_Category!$B$2:$B$45,MATCH(TRIM(E2818),Product_Category!$A$2:$A$45,0))</f>
        <v>Processed Foods</v>
      </c>
      <c r="G2818" s="4">
        <v>0</v>
      </c>
      <c r="H2818" s="4">
        <v>0</v>
      </c>
      <c r="I2818" s="4">
        <v>0</v>
      </c>
      <c r="J2818" s="4">
        <v>0</v>
      </c>
      <c r="K2818" s="4">
        <v>0.37</v>
      </c>
      <c r="L2818" s="4">
        <v>0</v>
      </c>
      <c r="M2818" s="4">
        <f t="shared" ref="M2818:M2881" si="132">H2818-G2818</f>
        <v>0</v>
      </c>
      <c r="N2818" s="4">
        <f t="shared" ref="N2818:N2881" si="133">K2818-J2818</f>
        <v>0.37</v>
      </c>
      <c r="O2818" s="4">
        <f t="shared" ref="O2818:O2881" si="134">I2818-H2818</f>
        <v>0</v>
      </c>
      <c r="P2818" s="3" t="s">
        <v>19</v>
      </c>
    </row>
    <row r="2819" spans="1:16" x14ac:dyDescent="0.35">
      <c r="A2819" s="3" t="s">
        <v>159</v>
      </c>
      <c r="B2819" s="3" t="str">
        <f>INDEX(State_Region!$B$2:$B$26,MATCH(TRIM(A2819),State_Region!$A$2:$A$26,0))</f>
        <v>North-East</v>
      </c>
      <c r="C2819" s="3" t="s">
        <v>186</v>
      </c>
      <c r="D2819" s="3" t="str">
        <f>INDEX(Port_Type!$B$2:$B$227,MATCH(TRIM(C2819),Port_Type!$A$2:$A$227,0))</f>
        <v>Land Border / Rail</v>
      </c>
      <c r="E2819" s="3" t="s">
        <v>179</v>
      </c>
      <c r="F2819" s="3" t="str">
        <f>INDEX(Product_Category!$B$2:$B$45,MATCH(TRIM(E2819),Product_Category!$A$2:$A$45,0))</f>
        <v>Nuts &amp; Oilseeds</v>
      </c>
      <c r="G2819" s="4">
        <v>0</v>
      </c>
      <c r="H2819" s="4">
        <v>0</v>
      </c>
      <c r="I2819" s="4">
        <v>0</v>
      </c>
      <c r="J2819" s="4">
        <v>0.06</v>
      </c>
      <c r="K2819" s="4">
        <v>0</v>
      </c>
      <c r="L2819" s="4">
        <v>0</v>
      </c>
      <c r="M2819" s="4">
        <f t="shared" si="132"/>
        <v>0</v>
      </c>
      <c r="N2819" s="4">
        <f t="shared" si="133"/>
        <v>-0.06</v>
      </c>
      <c r="O2819" s="4">
        <f t="shared" si="134"/>
        <v>0</v>
      </c>
      <c r="P2819" s="3" t="s">
        <v>19</v>
      </c>
    </row>
    <row r="2820" spans="1:16" x14ac:dyDescent="0.35">
      <c r="A2820" s="3" t="s">
        <v>159</v>
      </c>
      <c r="B2820" s="3" t="str">
        <f>INDEX(State_Region!$B$2:$B$26,MATCH(TRIM(A2820),State_Region!$A$2:$A$26,0))</f>
        <v>North-East</v>
      </c>
      <c r="C2820" s="3" t="s">
        <v>186</v>
      </c>
      <c r="D2820" s="3" t="str">
        <f>INDEX(Port_Type!$B$2:$B$227,MATCH(TRIM(C2820),Port_Type!$A$2:$A$227,0))</f>
        <v>Land Border / Rail</v>
      </c>
      <c r="E2820" s="3" t="s">
        <v>84</v>
      </c>
      <c r="F2820" s="3" t="str">
        <f>INDEX(Product_Category!$B$2:$B$45,MATCH(TRIM(E2820),Product_Category!$A$2:$A$45,0))</f>
        <v>Nuts &amp; Oilseeds</v>
      </c>
      <c r="G2820" s="4">
        <v>0</v>
      </c>
      <c r="H2820" s="4">
        <v>0</v>
      </c>
      <c r="I2820" s="4">
        <v>0</v>
      </c>
      <c r="J2820" s="4">
        <v>0.12</v>
      </c>
      <c r="K2820" s="4">
        <v>0.02</v>
      </c>
      <c r="L2820" s="4">
        <v>0</v>
      </c>
      <c r="M2820" s="4">
        <f t="shared" si="132"/>
        <v>0</v>
      </c>
      <c r="N2820" s="4">
        <f t="shared" si="133"/>
        <v>-9.9999999999999992E-2</v>
      </c>
      <c r="O2820" s="4">
        <f t="shared" si="134"/>
        <v>0</v>
      </c>
      <c r="P2820" s="3" t="s">
        <v>19</v>
      </c>
    </row>
    <row r="2821" spans="1:16" x14ac:dyDescent="0.35">
      <c r="A2821" s="3" t="s">
        <v>159</v>
      </c>
      <c r="B2821" s="3" t="str">
        <f>INDEX(State_Region!$B$2:$B$26,MATCH(TRIM(A2821),State_Region!$A$2:$A$26,0))</f>
        <v>North-East</v>
      </c>
      <c r="C2821" s="3" t="s">
        <v>186</v>
      </c>
      <c r="D2821" s="3" t="str">
        <f>INDEX(Port_Type!$B$2:$B$227,MATCH(TRIM(C2821),Port_Type!$A$2:$A$227,0))</f>
        <v>Land Border / Rail</v>
      </c>
      <c r="E2821" s="3" t="s">
        <v>60</v>
      </c>
      <c r="F2821" s="3" t="str">
        <f>INDEX(Product_Category!$B$2:$B$45,MATCH(TRIM(E2821),Product_Category!$A$2:$A$45,0))</f>
        <v>Processed Foods</v>
      </c>
      <c r="G2821" s="4">
        <v>0</v>
      </c>
      <c r="H2821" s="4">
        <v>0</v>
      </c>
      <c r="I2821" s="4">
        <v>0</v>
      </c>
      <c r="J2821" s="4">
        <v>0</v>
      </c>
      <c r="K2821" s="4">
        <v>4.72</v>
      </c>
      <c r="L2821" s="4">
        <v>0.01</v>
      </c>
      <c r="M2821" s="4">
        <f t="shared" si="132"/>
        <v>0</v>
      </c>
      <c r="N2821" s="4">
        <f t="shared" si="133"/>
        <v>4.72</v>
      </c>
      <c r="O2821" s="4">
        <f t="shared" si="134"/>
        <v>0</v>
      </c>
      <c r="P2821" s="3" t="s">
        <v>19</v>
      </c>
    </row>
    <row r="2822" spans="1:16" x14ac:dyDescent="0.35">
      <c r="A2822" s="3" t="s">
        <v>25</v>
      </c>
      <c r="B2822" s="3" t="str">
        <f>INDEX(State_Region!$B$2:$B$26,MATCH(TRIM(A2822),State_Region!$A$2:$A$26,0))</f>
        <v>South</v>
      </c>
      <c r="C2822" s="3" t="s">
        <v>206</v>
      </c>
      <c r="D2822" s="3" t="str">
        <f>INDEX(Port_Type!$B$2:$B$227,MATCH(TRIM(C2822),Port_Type!$A$2:$A$227,0))</f>
        <v>Inland ICD / CFS</v>
      </c>
      <c r="E2822" s="3" t="s">
        <v>54</v>
      </c>
      <c r="F2822" s="3" t="str">
        <f>INDEX(Product_Category!$B$2:$B$45,MATCH(TRIM(E2822),Product_Category!$A$2:$A$45,0))</f>
        <v>Processed Foods</v>
      </c>
      <c r="G2822" s="4">
        <v>0</v>
      </c>
      <c r="H2822" s="4">
        <v>0</v>
      </c>
      <c r="I2822" s="4">
        <v>0</v>
      </c>
      <c r="J2822" s="4">
        <v>0</v>
      </c>
      <c r="K2822" s="4">
        <v>4.5999999999999996</v>
      </c>
      <c r="L2822" s="4">
        <v>0</v>
      </c>
      <c r="M2822" s="4">
        <f t="shared" si="132"/>
        <v>0</v>
      </c>
      <c r="N2822" s="4">
        <f t="shared" si="133"/>
        <v>4.5999999999999996</v>
      </c>
      <c r="O2822" s="4">
        <f t="shared" si="134"/>
        <v>0</v>
      </c>
      <c r="P2822" s="3" t="s">
        <v>19</v>
      </c>
    </row>
    <row r="2823" spans="1:16" x14ac:dyDescent="0.35">
      <c r="A2823" s="3" t="s">
        <v>31</v>
      </c>
      <c r="B2823" s="3" t="str">
        <f>INDEX(State_Region!$B$2:$B$26,MATCH(TRIM(A2823),State_Region!$A$2:$A$26,0))</f>
        <v>East</v>
      </c>
      <c r="C2823" s="3" t="s">
        <v>139</v>
      </c>
      <c r="D2823" s="3" t="str">
        <f>INDEX(Port_Type!$B$2:$B$227,MATCH(TRIM(C2823),Port_Type!$A$2:$A$227,0))</f>
        <v>Land Border / Rail</v>
      </c>
      <c r="E2823" s="3" t="s">
        <v>69</v>
      </c>
      <c r="F2823" s="3" t="str">
        <f>INDEX(Product_Category!$B$2:$B$45,MATCH(TRIM(E2823),Product_Category!$A$2:$A$45,0))</f>
        <v>Others</v>
      </c>
      <c r="G2823" s="4">
        <v>0.04</v>
      </c>
      <c r="H2823" s="4">
        <v>0.02</v>
      </c>
      <c r="I2823" s="4">
        <v>0</v>
      </c>
      <c r="J2823" s="4">
        <v>51.8</v>
      </c>
      <c r="K2823" s="4">
        <v>12</v>
      </c>
      <c r="L2823" s="4">
        <v>0</v>
      </c>
      <c r="M2823" s="4">
        <f t="shared" si="132"/>
        <v>-0.02</v>
      </c>
      <c r="N2823" s="4">
        <f t="shared" si="133"/>
        <v>-39.799999999999997</v>
      </c>
      <c r="O2823" s="4">
        <f t="shared" si="134"/>
        <v>-0.02</v>
      </c>
      <c r="P2823" s="3" t="s">
        <v>19</v>
      </c>
    </row>
    <row r="2824" spans="1:16" x14ac:dyDescent="0.35">
      <c r="A2824" s="3" t="s">
        <v>25</v>
      </c>
      <c r="B2824" s="3" t="str">
        <f>INDEX(State_Region!$B$2:$B$26,MATCH(TRIM(A2824),State_Region!$A$2:$A$26,0))</f>
        <v>South</v>
      </c>
      <c r="C2824" s="3" t="s">
        <v>206</v>
      </c>
      <c r="D2824" s="3" t="str">
        <f>INDEX(Port_Type!$B$2:$B$227,MATCH(TRIM(C2824),Port_Type!$A$2:$A$227,0))</f>
        <v>Inland ICD / CFS</v>
      </c>
      <c r="E2824" s="3" t="s">
        <v>45</v>
      </c>
      <c r="F2824" s="3" t="str">
        <f>INDEX(Product_Category!$B$2:$B$45,MATCH(TRIM(E2824),Product_Category!$A$2:$A$45,0))</f>
        <v>Fresh Fruits &amp; Vegetables</v>
      </c>
      <c r="G2824" s="4">
        <v>0</v>
      </c>
      <c r="H2824" s="4">
        <v>0.19</v>
      </c>
      <c r="I2824" s="4">
        <v>0</v>
      </c>
      <c r="J2824" s="4">
        <v>0</v>
      </c>
      <c r="K2824" s="4">
        <v>25.08</v>
      </c>
      <c r="L2824" s="4">
        <v>0</v>
      </c>
      <c r="M2824" s="4">
        <f t="shared" si="132"/>
        <v>0.19</v>
      </c>
      <c r="N2824" s="4">
        <f t="shared" si="133"/>
        <v>25.08</v>
      </c>
      <c r="O2824" s="4">
        <f t="shared" si="134"/>
        <v>-0.19</v>
      </c>
      <c r="P2824" s="3" t="s">
        <v>19</v>
      </c>
    </row>
    <row r="2825" spans="1:16" x14ac:dyDescent="0.35">
      <c r="A2825" s="3" t="s">
        <v>25</v>
      </c>
      <c r="B2825" s="3" t="str">
        <f>INDEX(State_Region!$B$2:$B$26,MATCH(TRIM(A2825),State_Region!$A$2:$A$26,0))</f>
        <v>South</v>
      </c>
      <c r="C2825" s="3" t="s">
        <v>29</v>
      </c>
      <c r="D2825" s="3" t="str">
        <f>INDEX(Port_Type!$B$2:$B$227,MATCH(TRIM(C2825),Port_Type!$A$2:$A$227,0))</f>
        <v>Sea Port</v>
      </c>
      <c r="E2825" s="3" t="s">
        <v>42</v>
      </c>
      <c r="F2825" s="3" t="str">
        <f>INDEX(Product_Category!$B$2:$B$45,MATCH(TRIM(E2825),Product_Category!$A$2:$A$45,0))</f>
        <v>Processed Foods</v>
      </c>
      <c r="G2825" s="4">
        <v>0.14000000000000001</v>
      </c>
      <c r="H2825" s="4">
        <v>0.23</v>
      </c>
      <c r="I2825" s="4">
        <v>0</v>
      </c>
      <c r="J2825" s="4">
        <v>121.08</v>
      </c>
      <c r="K2825" s="4">
        <v>77.17</v>
      </c>
      <c r="L2825" s="4">
        <v>0</v>
      </c>
      <c r="M2825" s="4">
        <f t="shared" si="132"/>
        <v>0.09</v>
      </c>
      <c r="N2825" s="4">
        <f t="shared" si="133"/>
        <v>-43.91</v>
      </c>
      <c r="O2825" s="4">
        <f t="shared" si="134"/>
        <v>-0.23</v>
      </c>
      <c r="P2825" s="3" t="s">
        <v>19</v>
      </c>
    </row>
    <row r="2826" spans="1:16" x14ac:dyDescent="0.35">
      <c r="A2826" s="3" t="s">
        <v>25</v>
      </c>
      <c r="B2826" s="3" t="str">
        <f>INDEX(State_Region!$B$2:$B$26,MATCH(TRIM(A2826),State_Region!$A$2:$A$26,0))</f>
        <v>South</v>
      </c>
      <c r="C2826" s="3" t="s">
        <v>29</v>
      </c>
      <c r="D2826" s="3" t="str">
        <f>INDEX(Port_Type!$B$2:$B$227,MATCH(TRIM(C2826),Port_Type!$A$2:$A$227,0))</f>
        <v>Sea Port</v>
      </c>
      <c r="E2826" s="3" t="s">
        <v>170</v>
      </c>
      <c r="F2826" s="3" t="str">
        <f>INDEX(Product_Category!$B$2:$B$45,MATCH(TRIM(E2826),Product_Category!$A$2:$A$45,0))</f>
        <v>Others</v>
      </c>
      <c r="G2826" s="4">
        <v>0.31</v>
      </c>
      <c r="H2826" s="4">
        <v>0</v>
      </c>
      <c r="I2826" s="4">
        <v>0</v>
      </c>
      <c r="J2826" s="4">
        <v>216</v>
      </c>
      <c r="K2826" s="4">
        <v>0</v>
      </c>
      <c r="L2826" s="4">
        <v>0</v>
      </c>
      <c r="M2826" s="4">
        <f t="shared" si="132"/>
        <v>-0.31</v>
      </c>
      <c r="N2826" s="4">
        <f t="shared" si="133"/>
        <v>-216</v>
      </c>
      <c r="O2826" s="4">
        <f t="shared" si="134"/>
        <v>0</v>
      </c>
      <c r="P2826" s="3" t="s">
        <v>19</v>
      </c>
    </row>
    <row r="2827" spans="1:16" x14ac:dyDescent="0.35">
      <c r="A2827" s="3" t="s">
        <v>31</v>
      </c>
      <c r="B2827" s="3" t="str">
        <f>INDEX(State_Region!$B$2:$B$26,MATCH(TRIM(A2827),State_Region!$A$2:$A$26,0))</f>
        <v>East</v>
      </c>
      <c r="C2827" s="3" t="s">
        <v>139</v>
      </c>
      <c r="D2827" s="3" t="str">
        <f>INDEX(Port_Type!$B$2:$B$227,MATCH(TRIM(C2827),Port_Type!$A$2:$A$227,0))</f>
        <v>Land Border / Rail</v>
      </c>
      <c r="E2827" s="3" t="s">
        <v>65</v>
      </c>
      <c r="F2827" s="3" t="str">
        <f>INDEX(Product_Category!$B$2:$B$45,MATCH(TRIM(E2827),Product_Category!$A$2:$A$45,0))</f>
        <v>Cereals &amp; Grains</v>
      </c>
      <c r="G2827" s="4">
        <v>0.01</v>
      </c>
      <c r="H2827" s="4">
        <v>0</v>
      </c>
      <c r="I2827" s="4">
        <v>0</v>
      </c>
      <c r="J2827" s="4">
        <v>30</v>
      </c>
      <c r="K2827" s="4">
        <v>0</v>
      </c>
      <c r="L2827" s="4">
        <v>0</v>
      </c>
      <c r="M2827" s="4">
        <f t="shared" si="132"/>
        <v>-0.01</v>
      </c>
      <c r="N2827" s="4">
        <f t="shared" si="133"/>
        <v>-30</v>
      </c>
      <c r="O2827" s="4">
        <f t="shared" si="134"/>
        <v>0</v>
      </c>
      <c r="P2827" s="3" t="s">
        <v>19</v>
      </c>
    </row>
    <row r="2828" spans="1:16" x14ac:dyDescent="0.35">
      <c r="A2828" s="3" t="s">
        <v>25</v>
      </c>
      <c r="B2828" s="3" t="str">
        <f>INDEX(State_Region!$B$2:$B$26,MATCH(TRIM(A2828),State_Region!$A$2:$A$26,0))</f>
        <v>South</v>
      </c>
      <c r="C2828" s="3" t="s">
        <v>29</v>
      </c>
      <c r="D2828" s="3" t="str">
        <f>INDEX(Port_Type!$B$2:$B$227,MATCH(TRIM(C2828),Port_Type!$A$2:$A$227,0))</f>
        <v>Sea Port</v>
      </c>
      <c r="E2828" s="3" t="s">
        <v>126</v>
      </c>
      <c r="F2828" s="3" t="str">
        <f>INDEX(Product_Category!$B$2:$B$45,MATCH(TRIM(E2828),Product_Category!$A$2:$A$45,0))</f>
        <v>Cereals &amp; Grains</v>
      </c>
      <c r="G2828" s="4">
        <v>0</v>
      </c>
      <c r="H2828" s="4">
        <v>0</v>
      </c>
      <c r="I2828" s="4">
        <v>0</v>
      </c>
      <c r="J2828" s="4">
        <v>2.2799999999999998</v>
      </c>
      <c r="K2828" s="4">
        <v>0.36</v>
      </c>
      <c r="L2828" s="4">
        <v>0</v>
      </c>
      <c r="M2828" s="4">
        <f t="shared" si="132"/>
        <v>0</v>
      </c>
      <c r="N2828" s="4">
        <f t="shared" si="133"/>
        <v>-1.92</v>
      </c>
      <c r="O2828" s="4">
        <f t="shared" si="134"/>
        <v>0</v>
      </c>
      <c r="P2828" s="3" t="s">
        <v>19</v>
      </c>
    </row>
    <row r="2829" spans="1:16" x14ac:dyDescent="0.35">
      <c r="A2829" s="3" t="s">
        <v>25</v>
      </c>
      <c r="B2829" s="3" t="str">
        <f>INDEX(State_Region!$B$2:$B$26,MATCH(TRIM(A2829),State_Region!$A$2:$A$26,0))</f>
        <v>South</v>
      </c>
      <c r="C2829" s="3" t="s">
        <v>29</v>
      </c>
      <c r="D2829" s="3" t="str">
        <f>INDEX(Port_Type!$B$2:$B$227,MATCH(TRIM(C2829),Port_Type!$A$2:$A$227,0))</f>
        <v>Sea Port</v>
      </c>
      <c r="E2829" s="3" t="s">
        <v>118</v>
      </c>
      <c r="F2829" s="3" t="str">
        <f>INDEX(Product_Category!$B$2:$B$45,MATCH(TRIM(E2829),Product_Category!$A$2:$A$45,0))</f>
        <v>Dairy, Poultry &amp; Honey</v>
      </c>
      <c r="G2829" s="4">
        <v>0</v>
      </c>
      <c r="H2829" s="4">
        <v>0</v>
      </c>
      <c r="I2829" s="4">
        <v>0</v>
      </c>
      <c r="J2829" s="4">
        <v>0.04</v>
      </c>
      <c r="K2829" s="4">
        <v>0.01</v>
      </c>
      <c r="L2829" s="4">
        <v>0</v>
      </c>
      <c r="M2829" s="4">
        <f t="shared" si="132"/>
        <v>0</v>
      </c>
      <c r="N2829" s="4">
        <f t="shared" si="133"/>
        <v>-0.03</v>
      </c>
      <c r="O2829" s="4">
        <f t="shared" si="134"/>
        <v>0</v>
      </c>
      <c r="P2829" s="3" t="s">
        <v>19</v>
      </c>
    </row>
    <row r="2830" spans="1:16" x14ac:dyDescent="0.35">
      <c r="A2830" s="3" t="s">
        <v>25</v>
      </c>
      <c r="B2830" s="3" t="str">
        <f>INDEX(State_Region!$B$2:$B$26,MATCH(TRIM(A2830),State_Region!$A$2:$A$26,0))</f>
        <v>South</v>
      </c>
      <c r="C2830" s="3" t="s">
        <v>29</v>
      </c>
      <c r="D2830" s="3" t="str">
        <f>INDEX(Port_Type!$B$2:$B$227,MATCH(TRIM(C2830),Port_Type!$A$2:$A$227,0))</f>
        <v>Sea Port</v>
      </c>
      <c r="E2830" s="3" t="s">
        <v>144</v>
      </c>
      <c r="F2830" s="3" t="str">
        <f>INDEX(Product_Category!$B$2:$B$45,MATCH(TRIM(E2830),Product_Category!$A$2:$A$45,0))</f>
        <v>Cereals &amp; Grains</v>
      </c>
      <c r="G2830" s="4">
        <v>0</v>
      </c>
      <c r="H2830" s="4">
        <v>0</v>
      </c>
      <c r="I2830" s="4">
        <v>0</v>
      </c>
      <c r="J2830" s="4">
        <v>0.6</v>
      </c>
      <c r="K2830" s="4">
        <v>0.13</v>
      </c>
      <c r="L2830" s="4">
        <v>0</v>
      </c>
      <c r="M2830" s="4">
        <f t="shared" si="132"/>
        <v>0</v>
      </c>
      <c r="N2830" s="4">
        <f t="shared" si="133"/>
        <v>-0.47</v>
      </c>
      <c r="O2830" s="4">
        <f t="shared" si="134"/>
        <v>0</v>
      </c>
      <c r="P2830" s="3" t="s">
        <v>19</v>
      </c>
    </row>
    <row r="2831" spans="1:16" x14ac:dyDescent="0.35">
      <c r="A2831" s="3" t="s">
        <v>31</v>
      </c>
      <c r="B2831" s="3" t="str">
        <f>INDEX(State_Region!$B$2:$B$26,MATCH(TRIM(A2831),State_Region!$A$2:$A$26,0))</f>
        <v>East</v>
      </c>
      <c r="C2831" s="3" t="s">
        <v>139</v>
      </c>
      <c r="D2831" s="3" t="str">
        <f>INDEX(Port_Type!$B$2:$B$227,MATCH(TRIM(C2831),Port_Type!$A$2:$A$227,0))</f>
        <v>Land Border / Rail</v>
      </c>
      <c r="E2831" s="3" t="s">
        <v>126</v>
      </c>
      <c r="F2831" s="3" t="str">
        <f>INDEX(Product_Category!$B$2:$B$45,MATCH(TRIM(E2831),Product_Category!$A$2:$A$45,0))</f>
        <v>Cereals &amp; Grains</v>
      </c>
      <c r="G2831" s="4">
        <v>0</v>
      </c>
      <c r="H2831" s="4">
        <v>0</v>
      </c>
      <c r="I2831" s="4">
        <v>0</v>
      </c>
      <c r="J2831" s="4">
        <v>1.5</v>
      </c>
      <c r="K2831" s="4">
        <v>1</v>
      </c>
      <c r="L2831" s="4">
        <v>0</v>
      </c>
      <c r="M2831" s="4">
        <f t="shared" si="132"/>
        <v>0</v>
      </c>
      <c r="N2831" s="4">
        <f t="shared" si="133"/>
        <v>-0.5</v>
      </c>
      <c r="O2831" s="4">
        <f t="shared" si="134"/>
        <v>0</v>
      </c>
      <c r="P2831" s="3" t="s">
        <v>19</v>
      </c>
    </row>
    <row r="2832" spans="1:16" x14ac:dyDescent="0.35">
      <c r="A2832" s="3" t="s">
        <v>25</v>
      </c>
      <c r="B2832" s="3" t="str">
        <f>INDEX(State_Region!$B$2:$B$26,MATCH(TRIM(A2832),State_Region!$A$2:$A$26,0))</f>
        <v>South</v>
      </c>
      <c r="C2832" s="3" t="s">
        <v>29</v>
      </c>
      <c r="D2832" s="3" t="str">
        <f>INDEX(Port_Type!$B$2:$B$227,MATCH(TRIM(C2832),Port_Type!$A$2:$A$227,0))</f>
        <v>Sea Port</v>
      </c>
      <c r="E2832" s="3" t="s">
        <v>46</v>
      </c>
      <c r="F2832" s="3" t="str">
        <f>INDEX(Product_Category!$B$2:$B$45,MATCH(TRIM(E2832),Product_Category!$A$2:$A$45,0))</f>
        <v>Others</v>
      </c>
      <c r="G2832" s="4">
        <v>0</v>
      </c>
      <c r="H2832" s="4">
        <v>0</v>
      </c>
      <c r="I2832" s="4">
        <v>0</v>
      </c>
      <c r="J2832" s="4">
        <v>2</v>
      </c>
      <c r="K2832" s="4">
        <v>0</v>
      </c>
      <c r="L2832" s="4">
        <v>0</v>
      </c>
      <c r="M2832" s="4">
        <f t="shared" si="132"/>
        <v>0</v>
      </c>
      <c r="N2832" s="4">
        <f t="shared" si="133"/>
        <v>-2</v>
      </c>
      <c r="O2832" s="4">
        <f t="shared" si="134"/>
        <v>0</v>
      </c>
      <c r="P2832" s="3" t="s">
        <v>19</v>
      </c>
    </row>
    <row r="2833" spans="1:16" x14ac:dyDescent="0.35">
      <c r="A2833" s="3" t="s">
        <v>25</v>
      </c>
      <c r="B2833" s="3" t="str">
        <f>INDEX(State_Region!$B$2:$B$26,MATCH(TRIM(A2833),State_Region!$A$2:$A$26,0))</f>
        <v>South</v>
      </c>
      <c r="C2833" s="3" t="s">
        <v>29</v>
      </c>
      <c r="D2833" s="3" t="str">
        <f>INDEX(Port_Type!$B$2:$B$227,MATCH(TRIM(C2833),Port_Type!$A$2:$A$227,0))</f>
        <v>Sea Port</v>
      </c>
      <c r="E2833" s="3" t="s">
        <v>51</v>
      </c>
      <c r="F2833" s="3" t="str">
        <f>INDEX(Product_Category!$B$2:$B$45,MATCH(TRIM(E2833),Product_Category!$A$2:$A$45,0))</f>
        <v>Nuts &amp; Oilseeds</v>
      </c>
      <c r="G2833" s="4">
        <v>0</v>
      </c>
      <c r="H2833" s="4">
        <v>0.62</v>
      </c>
      <c r="I2833" s="4">
        <v>0</v>
      </c>
      <c r="J2833" s="4">
        <v>1.27</v>
      </c>
      <c r="K2833" s="4">
        <v>577.37</v>
      </c>
      <c r="L2833" s="4">
        <v>0</v>
      </c>
      <c r="M2833" s="4">
        <f t="shared" si="132"/>
        <v>0.62</v>
      </c>
      <c r="N2833" s="4">
        <f t="shared" si="133"/>
        <v>576.1</v>
      </c>
      <c r="O2833" s="4">
        <f t="shared" si="134"/>
        <v>-0.62</v>
      </c>
      <c r="P2833" s="3" t="s">
        <v>19</v>
      </c>
    </row>
    <row r="2834" spans="1:16" x14ac:dyDescent="0.35">
      <c r="A2834" s="3" t="s">
        <v>25</v>
      </c>
      <c r="B2834" s="3" t="str">
        <f>INDEX(State_Region!$B$2:$B$26,MATCH(TRIM(A2834),State_Region!$A$2:$A$26,0))</f>
        <v>South</v>
      </c>
      <c r="C2834" s="3" t="s">
        <v>29</v>
      </c>
      <c r="D2834" s="3" t="str">
        <f>INDEX(Port_Type!$B$2:$B$227,MATCH(TRIM(C2834),Port_Type!$A$2:$A$227,0))</f>
        <v>Sea Port</v>
      </c>
      <c r="E2834" s="3" t="s">
        <v>69</v>
      </c>
      <c r="F2834" s="3" t="str">
        <f>INDEX(Product_Category!$B$2:$B$45,MATCH(TRIM(E2834),Product_Category!$A$2:$A$45,0))</f>
        <v>Others</v>
      </c>
      <c r="G2834" s="4">
        <v>0</v>
      </c>
      <c r="H2834" s="4">
        <v>0</v>
      </c>
      <c r="I2834" s="4">
        <v>0</v>
      </c>
      <c r="J2834" s="4">
        <v>0.08</v>
      </c>
      <c r="K2834" s="4">
        <v>0</v>
      </c>
      <c r="L2834" s="4">
        <v>0</v>
      </c>
      <c r="M2834" s="4">
        <f t="shared" si="132"/>
        <v>0</v>
      </c>
      <c r="N2834" s="4">
        <f t="shared" si="133"/>
        <v>-0.08</v>
      </c>
      <c r="O2834" s="4">
        <f t="shared" si="134"/>
        <v>0</v>
      </c>
      <c r="P2834" s="3" t="s">
        <v>19</v>
      </c>
    </row>
    <row r="2835" spans="1:16" x14ac:dyDescent="0.35">
      <c r="A2835" s="3" t="s">
        <v>25</v>
      </c>
      <c r="B2835" s="3" t="str">
        <f>INDEX(State_Region!$B$2:$B$26,MATCH(TRIM(A2835),State_Region!$A$2:$A$26,0))</f>
        <v>South</v>
      </c>
      <c r="C2835" s="3" t="s">
        <v>29</v>
      </c>
      <c r="D2835" s="3" t="str">
        <f>INDEX(Port_Type!$B$2:$B$227,MATCH(TRIM(C2835),Port_Type!$A$2:$A$227,0))</f>
        <v>Sea Port</v>
      </c>
      <c r="E2835" s="3" t="s">
        <v>110</v>
      </c>
      <c r="F2835" s="3" t="str">
        <f>INDEX(Product_Category!$B$2:$B$45,MATCH(TRIM(E2835),Product_Category!$A$2:$A$45,0))</f>
        <v>Dairy, Poultry &amp; Honey</v>
      </c>
      <c r="G2835" s="4">
        <v>0.61</v>
      </c>
      <c r="H2835" s="4">
        <v>0.09</v>
      </c>
      <c r="I2835" s="4">
        <v>0</v>
      </c>
      <c r="J2835" s="4">
        <v>3165.56</v>
      </c>
      <c r="K2835" s="4">
        <v>1382.4</v>
      </c>
      <c r="L2835" s="4">
        <v>0</v>
      </c>
      <c r="M2835" s="4">
        <f t="shared" si="132"/>
        <v>-0.52</v>
      </c>
      <c r="N2835" s="4">
        <f t="shared" si="133"/>
        <v>-1783.1599999999999</v>
      </c>
      <c r="O2835" s="4">
        <f t="shared" si="134"/>
        <v>-0.09</v>
      </c>
      <c r="P2835" s="3" t="s">
        <v>19</v>
      </c>
    </row>
    <row r="2836" spans="1:16" x14ac:dyDescent="0.35">
      <c r="A2836" s="3" t="s">
        <v>25</v>
      </c>
      <c r="B2836" s="3" t="str">
        <f>INDEX(State_Region!$B$2:$B$26,MATCH(TRIM(A2836),State_Region!$A$2:$A$26,0))</f>
        <v>South</v>
      </c>
      <c r="C2836" s="3" t="s">
        <v>29</v>
      </c>
      <c r="D2836" s="3" t="str">
        <f>INDEX(Port_Type!$B$2:$B$227,MATCH(TRIM(C2836),Port_Type!$A$2:$A$227,0))</f>
        <v>Sea Port</v>
      </c>
      <c r="E2836" s="3" t="s">
        <v>72</v>
      </c>
      <c r="F2836" s="3" t="str">
        <f>INDEX(Product_Category!$B$2:$B$45,MATCH(TRIM(E2836),Product_Category!$A$2:$A$45,0))</f>
        <v>Dairy, Poultry &amp; Honey</v>
      </c>
      <c r="G2836" s="4">
        <v>0.01</v>
      </c>
      <c r="H2836" s="4">
        <v>0.01</v>
      </c>
      <c r="I2836" s="4">
        <v>0</v>
      </c>
      <c r="J2836" s="4">
        <v>3.57</v>
      </c>
      <c r="K2836" s="4">
        <v>0.61</v>
      </c>
      <c r="L2836" s="4">
        <v>0</v>
      </c>
      <c r="M2836" s="4">
        <f t="shared" si="132"/>
        <v>0</v>
      </c>
      <c r="N2836" s="4">
        <f t="shared" si="133"/>
        <v>-2.96</v>
      </c>
      <c r="O2836" s="4">
        <f t="shared" si="134"/>
        <v>-0.01</v>
      </c>
      <c r="P2836" s="3" t="s">
        <v>19</v>
      </c>
    </row>
    <row r="2837" spans="1:16" x14ac:dyDescent="0.35">
      <c r="A2837" s="3" t="s">
        <v>31</v>
      </c>
      <c r="B2837" s="3" t="str">
        <f>INDEX(State_Region!$B$2:$B$26,MATCH(TRIM(A2837),State_Region!$A$2:$A$26,0))</f>
        <v>East</v>
      </c>
      <c r="C2837" s="3" t="s">
        <v>139</v>
      </c>
      <c r="D2837" s="3" t="str">
        <f>INDEX(Port_Type!$B$2:$B$227,MATCH(TRIM(C2837),Port_Type!$A$2:$A$227,0))</f>
        <v>Land Border / Rail</v>
      </c>
      <c r="E2837" s="3" t="s">
        <v>181</v>
      </c>
      <c r="F2837" s="3" t="str">
        <f>INDEX(Product_Category!$B$2:$B$45,MATCH(TRIM(E2837),Product_Category!$A$2:$A$45,0))</f>
        <v>Nuts &amp; Oilseeds</v>
      </c>
      <c r="G2837" s="4">
        <v>0</v>
      </c>
      <c r="H2837" s="4">
        <v>0</v>
      </c>
      <c r="I2837" s="4">
        <v>0</v>
      </c>
      <c r="J2837" s="4">
        <v>0.01</v>
      </c>
      <c r="K2837" s="4">
        <v>0</v>
      </c>
      <c r="L2837" s="4">
        <v>0</v>
      </c>
      <c r="M2837" s="4">
        <f t="shared" si="132"/>
        <v>0</v>
      </c>
      <c r="N2837" s="4">
        <f t="shared" si="133"/>
        <v>-0.01</v>
      </c>
      <c r="O2837" s="4">
        <f t="shared" si="134"/>
        <v>0</v>
      </c>
      <c r="P2837" s="3" t="s">
        <v>19</v>
      </c>
    </row>
    <row r="2838" spans="1:16" x14ac:dyDescent="0.35">
      <c r="A2838" s="3" t="s">
        <v>25</v>
      </c>
      <c r="B2838" s="3" t="str">
        <f>INDEX(State_Region!$B$2:$B$26,MATCH(TRIM(A2838),State_Region!$A$2:$A$26,0))</f>
        <v>South</v>
      </c>
      <c r="C2838" s="3" t="s">
        <v>29</v>
      </c>
      <c r="D2838" s="3" t="str">
        <f>INDEX(Port_Type!$B$2:$B$227,MATCH(TRIM(C2838),Port_Type!$A$2:$A$227,0))</f>
        <v>Sea Port</v>
      </c>
      <c r="E2838" s="3" t="s">
        <v>81</v>
      </c>
      <c r="F2838" s="3" t="str">
        <f>INDEX(Product_Category!$B$2:$B$45,MATCH(TRIM(E2838),Product_Category!$A$2:$A$45,0))</f>
        <v>Processed Foods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  <c r="L2838" s="4">
        <v>0</v>
      </c>
      <c r="M2838" s="4">
        <f t="shared" si="132"/>
        <v>0</v>
      </c>
      <c r="N2838" s="4">
        <f t="shared" si="133"/>
        <v>0</v>
      </c>
      <c r="O2838" s="4">
        <f t="shared" si="134"/>
        <v>0</v>
      </c>
      <c r="P2838" s="3" t="s">
        <v>19</v>
      </c>
    </row>
    <row r="2839" spans="1:16" x14ac:dyDescent="0.35">
      <c r="A2839" s="3" t="s">
        <v>31</v>
      </c>
      <c r="B2839" s="3" t="str">
        <f>INDEX(State_Region!$B$2:$B$26,MATCH(TRIM(A2839),State_Region!$A$2:$A$26,0))</f>
        <v>East</v>
      </c>
      <c r="C2839" s="3" t="s">
        <v>141</v>
      </c>
      <c r="D2839" s="3" t="str">
        <f>INDEX(Port_Type!$B$2:$B$227,MATCH(TRIM(C2839),Port_Type!$A$2:$A$227,0))</f>
        <v>Land Border / Rail</v>
      </c>
      <c r="E2839" s="3" t="s">
        <v>60</v>
      </c>
      <c r="F2839" s="3" t="str">
        <f>INDEX(Product_Category!$B$2:$B$45,MATCH(TRIM(E2839),Product_Category!$A$2:$A$45,0))</f>
        <v>Processed Foods</v>
      </c>
      <c r="G2839" s="4">
        <v>0</v>
      </c>
      <c r="H2839" s="4">
        <v>0</v>
      </c>
      <c r="I2839" s="4">
        <v>0</v>
      </c>
      <c r="J2839" s="4">
        <v>0.23</v>
      </c>
      <c r="K2839" s="4">
        <v>0</v>
      </c>
      <c r="L2839" s="4">
        <v>0</v>
      </c>
      <c r="M2839" s="4">
        <f t="shared" si="132"/>
        <v>0</v>
      </c>
      <c r="N2839" s="4">
        <f t="shared" si="133"/>
        <v>-0.23</v>
      </c>
      <c r="O2839" s="4">
        <f t="shared" si="134"/>
        <v>0</v>
      </c>
      <c r="P2839" s="3" t="s">
        <v>19</v>
      </c>
    </row>
    <row r="2840" spans="1:16" x14ac:dyDescent="0.35">
      <c r="A2840" s="3" t="s">
        <v>31</v>
      </c>
      <c r="B2840" s="3" t="str">
        <f>INDEX(State_Region!$B$2:$B$26,MATCH(TRIM(A2840),State_Region!$A$2:$A$26,0))</f>
        <v>East</v>
      </c>
      <c r="C2840" s="3" t="s">
        <v>141</v>
      </c>
      <c r="D2840" s="3" t="str">
        <f>INDEX(Port_Type!$B$2:$B$227,MATCH(TRIM(C2840),Port_Type!$A$2:$A$227,0))</f>
        <v>Land Border / Rail</v>
      </c>
      <c r="E2840" s="3" t="s">
        <v>18</v>
      </c>
      <c r="F2840" s="3" t="str">
        <f>INDEX(Product_Category!$B$2:$B$45,MATCH(TRIM(E2840),Product_Category!$A$2:$A$45,0))</f>
        <v>Cereals &amp; Grains</v>
      </c>
      <c r="G2840" s="4">
        <v>1.38</v>
      </c>
      <c r="H2840" s="4">
        <v>0.06</v>
      </c>
      <c r="I2840" s="4">
        <v>0</v>
      </c>
      <c r="J2840" s="4">
        <v>1181.81</v>
      </c>
      <c r="K2840" s="4">
        <v>40</v>
      </c>
      <c r="L2840" s="4">
        <v>0</v>
      </c>
      <c r="M2840" s="4">
        <f t="shared" si="132"/>
        <v>-1.3199999999999998</v>
      </c>
      <c r="N2840" s="4">
        <f t="shared" si="133"/>
        <v>-1141.81</v>
      </c>
      <c r="O2840" s="4">
        <f t="shared" si="134"/>
        <v>-0.06</v>
      </c>
      <c r="P2840" s="3" t="s">
        <v>19</v>
      </c>
    </row>
    <row r="2841" spans="1:16" x14ac:dyDescent="0.35">
      <c r="A2841" s="3" t="s">
        <v>25</v>
      </c>
      <c r="B2841" s="3" t="str">
        <f>INDEX(State_Region!$B$2:$B$26,MATCH(TRIM(A2841),State_Region!$A$2:$A$26,0))</f>
        <v>South</v>
      </c>
      <c r="C2841" s="3" t="s">
        <v>29</v>
      </c>
      <c r="D2841" s="3" t="str">
        <f>INDEX(Port_Type!$B$2:$B$227,MATCH(TRIM(C2841),Port_Type!$A$2:$A$227,0))</f>
        <v>Sea Port</v>
      </c>
      <c r="E2841" s="3" t="s">
        <v>59</v>
      </c>
      <c r="F2841" s="3" t="str">
        <f>INDEX(Product_Category!$B$2:$B$45,MATCH(TRIM(E2841),Product_Category!$A$2:$A$45,0))</f>
        <v>Processed Foods</v>
      </c>
      <c r="G2841" s="4">
        <v>0</v>
      </c>
      <c r="H2841" s="4">
        <v>0.01</v>
      </c>
      <c r="I2841" s="4">
        <v>0</v>
      </c>
      <c r="J2841" s="4">
        <v>0</v>
      </c>
      <c r="K2841" s="4">
        <v>0.7</v>
      </c>
      <c r="L2841" s="4">
        <v>0</v>
      </c>
      <c r="M2841" s="4">
        <f t="shared" si="132"/>
        <v>0.01</v>
      </c>
      <c r="N2841" s="4">
        <f t="shared" si="133"/>
        <v>0.7</v>
      </c>
      <c r="O2841" s="4">
        <f t="shared" si="134"/>
        <v>-0.01</v>
      </c>
      <c r="P2841" s="3" t="s">
        <v>19</v>
      </c>
    </row>
    <row r="2842" spans="1:16" x14ac:dyDescent="0.35">
      <c r="A2842" s="3" t="s">
        <v>31</v>
      </c>
      <c r="B2842" s="3" t="str">
        <f>INDEX(State_Region!$B$2:$B$26,MATCH(TRIM(A2842),State_Region!$A$2:$A$26,0))</f>
        <v>East</v>
      </c>
      <c r="C2842" s="3" t="s">
        <v>141</v>
      </c>
      <c r="D2842" s="3" t="str">
        <f>INDEX(Port_Type!$B$2:$B$227,MATCH(TRIM(C2842),Port_Type!$A$2:$A$227,0))</f>
        <v>Land Border / Rail</v>
      </c>
      <c r="E2842" s="3" t="s">
        <v>84</v>
      </c>
      <c r="F2842" s="3" t="str">
        <f>INDEX(Product_Category!$B$2:$B$45,MATCH(TRIM(E2842),Product_Category!$A$2:$A$45,0))</f>
        <v>Nuts &amp; Oilseeds</v>
      </c>
      <c r="G2842" s="4">
        <v>0.01</v>
      </c>
      <c r="H2842" s="4">
        <v>0.08</v>
      </c>
      <c r="I2842" s="4">
        <v>0</v>
      </c>
      <c r="J2842" s="4">
        <v>5.52</v>
      </c>
      <c r="K2842" s="4">
        <v>42.31</v>
      </c>
      <c r="L2842" s="4">
        <v>0</v>
      </c>
      <c r="M2842" s="4">
        <f t="shared" si="132"/>
        <v>7.0000000000000007E-2</v>
      </c>
      <c r="N2842" s="4">
        <f t="shared" si="133"/>
        <v>36.790000000000006</v>
      </c>
      <c r="O2842" s="4">
        <f t="shared" si="134"/>
        <v>-0.08</v>
      </c>
      <c r="P2842" s="3" t="s">
        <v>19</v>
      </c>
    </row>
    <row r="2843" spans="1:16" x14ac:dyDescent="0.35">
      <c r="A2843" s="3" t="s">
        <v>31</v>
      </c>
      <c r="B2843" s="3" t="str">
        <f>INDEX(State_Region!$B$2:$B$26,MATCH(TRIM(A2843),State_Region!$A$2:$A$26,0))</f>
        <v>East</v>
      </c>
      <c r="C2843" s="3" t="s">
        <v>141</v>
      </c>
      <c r="D2843" s="3" t="str">
        <f>INDEX(Port_Type!$B$2:$B$227,MATCH(TRIM(C2843),Port_Type!$A$2:$A$227,0))</f>
        <v>Land Border / Rail</v>
      </c>
      <c r="E2843" s="3" t="s">
        <v>179</v>
      </c>
      <c r="F2843" s="3" t="str">
        <f>INDEX(Product_Category!$B$2:$B$45,MATCH(TRIM(E2843),Product_Category!$A$2:$A$45,0))</f>
        <v>Nuts &amp; Oilseeds</v>
      </c>
      <c r="G2843" s="4">
        <v>0</v>
      </c>
      <c r="H2843" s="4">
        <v>7.0000000000000007E-2</v>
      </c>
      <c r="I2843" s="4">
        <v>0</v>
      </c>
      <c r="J2843" s="4">
        <v>0</v>
      </c>
      <c r="K2843" s="4">
        <v>34</v>
      </c>
      <c r="L2843" s="4">
        <v>0</v>
      </c>
      <c r="M2843" s="4">
        <f t="shared" si="132"/>
        <v>7.0000000000000007E-2</v>
      </c>
      <c r="N2843" s="4">
        <f t="shared" si="133"/>
        <v>34</v>
      </c>
      <c r="O2843" s="4">
        <f t="shared" si="134"/>
        <v>-7.0000000000000007E-2</v>
      </c>
      <c r="P2843" s="3" t="s">
        <v>19</v>
      </c>
    </row>
    <row r="2844" spans="1:16" x14ac:dyDescent="0.35">
      <c r="A2844" s="3" t="s">
        <v>25</v>
      </c>
      <c r="B2844" s="3" t="str">
        <f>INDEX(State_Region!$B$2:$B$26,MATCH(TRIM(A2844),State_Region!$A$2:$A$26,0))</f>
        <v>South</v>
      </c>
      <c r="C2844" s="3" t="s">
        <v>29</v>
      </c>
      <c r="D2844" s="3" t="str">
        <f>INDEX(Port_Type!$B$2:$B$227,MATCH(TRIM(C2844),Port_Type!$A$2:$A$227,0))</f>
        <v>Sea Port</v>
      </c>
      <c r="E2844" s="3" t="s">
        <v>142</v>
      </c>
      <c r="F2844" s="3" t="str">
        <f>INDEX(Product_Category!$B$2:$B$45,MATCH(TRIM(E2844),Product_Category!$A$2:$A$45,0))</f>
        <v>Nuts &amp; Oilseeds</v>
      </c>
      <c r="G2844" s="4">
        <v>0.14000000000000001</v>
      </c>
      <c r="H2844" s="4">
        <v>0.24</v>
      </c>
      <c r="I2844" s="4">
        <v>0</v>
      </c>
      <c r="J2844" s="4">
        <v>207.15</v>
      </c>
      <c r="K2844" s="4">
        <v>373.25</v>
      </c>
      <c r="L2844" s="4">
        <v>0</v>
      </c>
      <c r="M2844" s="4">
        <f t="shared" si="132"/>
        <v>9.9999999999999978E-2</v>
      </c>
      <c r="N2844" s="4">
        <f t="shared" si="133"/>
        <v>166.1</v>
      </c>
      <c r="O2844" s="4">
        <f t="shared" si="134"/>
        <v>-0.24</v>
      </c>
      <c r="P2844" s="3" t="s">
        <v>19</v>
      </c>
    </row>
    <row r="2845" spans="1:16" x14ac:dyDescent="0.35">
      <c r="A2845" s="3" t="s">
        <v>25</v>
      </c>
      <c r="B2845" s="3" t="str">
        <f>INDEX(State_Region!$B$2:$B$26,MATCH(TRIM(A2845),State_Region!$A$2:$A$26,0))</f>
        <v>South</v>
      </c>
      <c r="C2845" s="3" t="s">
        <v>29</v>
      </c>
      <c r="D2845" s="3" t="str">
        <f>INDEX(Port_Type!$B$2:$B$227,MATCH(TRIM(C2845),Port_Type!$A$2:$A$227,0))</f>
        <v>Sea Port</v>
      </c>
      <c r="E2845" s="3" t="s">
        <v>179</v>
      </c>
      <c r="F2845" s="3" t="str">
        <f>INDEX(Product_Category!$B$2:$B$45,MATCH(TRIM(E2845),Product_Category!$A$2:$A$45,0))</f>
        <v>Nuts &amp; Oilseeds</v>
      </c>
      <c r="G2845" s="4">
        <v>2.16</v>
      </c>
      <c r="H2845" s="4">
        <v>0</v>
      </c>
      <c r="I2845" s="4">
        <v>0</v>
      </c>
      <c r="J2845" s="4">
        <v>1997.23</v>
      </c>
      <c r="K2845" s="4">
        <v>0</v>
      </c>
      <c r="L2845" s="4">
        <v>0</v>
      </c>
      <c r="M2845" s="4">
        <f t="shared" si="132"/>
        <v>-2.16</v>
      </c>
      <c r="N2845" s="4">
        <f t="shared" si="133"/>
        <v>-1997.23</v>
      </c>
      <c r="O2845" s="4">
        <f t="shared" si="134"/>
        <v>0</v>
      </c>
      <c r="P2845" s="3" t="s">
        <v>19</v>
      </c>
    </row>
    <row r="2846" spans="1:16" x14ac:dyDescent="0.35">
      <c r="A2846" s="3" t="s">
        <v>31</v>
      </c>
      <c r="B2846" s="3" t="str">
        <f>INDEX(State_Region!$B$2:$B$26,MATCH(TRIM(A2846),State_Region!$A$2:$A$26,0))</f>
        <v>East</v>
      </c>
      <c r="C2846" s="3" t="s">
        <v>141</v>
      </c>
      <c r="D2846" s="3" t="str">
        <f>INDEX(Port_Type!$B$2:$B$227,MATCH(TRIM(C2846),Port_Type!$A$2:$A$227,0))</f>
        <v>Land Border / Rail</v>
      </c>
      <c r="E2846" s="3" t="s">
        <v>110</v>
      </c>
      <c r="F2846" s="3" t="str">
        <f>INDEX(Product_Category!$B$2:$B$45,MATCH(TRIM(E2846),Product_Category!$A$2:$A$45,0))</f>
        <v>Dairy, Poultry &amp; Honey</v>
      </c>
      <c r="G2846" s="4">
        <v>0</v>
      </c>
      <c r="H2846" s="4">
        <v>0</v>
      </c>
      <c r="I2846" s="4">
        <v>0</v>
      </c>
      <c r="J2846" s="4">
        <v>61.95</v>
      </c>
      <c r="K2846" s="4">
        <v>0</v>
      </c>
      <c r="L2846" s="4">
        <v>0</v>
      </c>
      <c r="M2846" s="4">
        <f t="shared" si="132"/>
        <v>0</v>
      </c>
      <c r="N2846" s="4">
        <f t="shared" si="133"/>
        <v>-61.95</v>
      </c>
      <c r="O2846" s="4">
        <f t="shared" si="134"/>
        <v>0</v>
      </c>
      <c r="P2846" s="3" t="s">
        <v>19</v>
      </c>
    </row>
    <row r="2847" spans="1:16" x14ac:dyDescent="0.35">
      <c r="A2847" s="3" t="s">
        <v>25</v>
      </c>
      <c r="B2847" s="3" t="str">
        <f>INDEX(State_Region!$B$2:$B$26,MATCH(TRIM(A2847),State_Region!$A$2:$A$26,0))</f>
        <v>South</v>
      </c>
      <c r="C2847" s="3" t="s">
        <v>29</v>
      </c>
      <c r="D2847" s="3" t="str">
        <f>INDEX(Port_Type!$B$2:$B$227,MATCH(TRIM(C2847),Port_Type!$A$2:$A$227,0))</f>
        <v>Sea Port</v>
      </c>
      <c r="E2847" s="3" t="s">
        <v>125</v>
      </c>
      <c r="F2847" s="3" t="str">
        <f>INDEX(Product_Category!$B$2:$B$45,MATCH(TRIM(E2847),Product_Category!$A$2:$A$45,0))</f>
        <v>Meat &amp; Animal Products</v>
      </c>
      <c r="G2847" s="4">
        <v>0.12</v>
      </c>
      <c r="H2847" s="4">
        <v>1.0900000000000001</v>
      </c>
      <c r="I2847" s="4">
        <v>0</v>
      </c>
      <c r="J2847" s="4">
        <v>85.5</v>
      </c>
      <c r="K2847" s="4">
        <v>864</v>
      </c>
      <c r="L2847" s="4">
        <v>0</v>
      </c>
      <c r="M2847" s="4">
        <f t="shared" si="132"/>
        <v>0.97000000000000008</v>
      </c>
      <c r="N2847" s="4">
        <f t="shared" si="133"/>
        <v>778.5</v>
      </c>
      <c r="O2847" s="4">
        <f t="shared" si="134"/>
        <v>-1.0900000000000001</v>
      </c>
      <c r="P2847" s="3" t="s">
        <v>19</v>
      </c>
    </row>
    <row r="2848" spans="1:16" x14ac:dyDescent="0.35">
      <c r="A2848" s="3" t="s">
        <v>31</v>
      </c>
      <c r="B2848" s="3" t="str">
        <f>INDEX(State_Region!$B$2:$B$26,MATCH(TRIM(A2848),State_Region!$A$2:$A$26,0))</f>
        <v>East</v>
      </c>
      <c r="C2848" s="3" t="s">
        <v>141</v>
      </c>
      <c r="D2848" s="3" t="str">
        <f>INDEX(Port_Type!$B$2:$B$227,MATCH(TRIM(C2848),Port_Type!$A$2:$A$227,0))</f>
        <v>Land Border / Rail</v>
      </c>
      <c r="E2848" s="3" t="s">
        <v>55</v>
      </c>
      <c r="F2848" s="3" t="str">
        <f>INDEX(Product_Category!$B$2:$B$45,MATCH(TRIM(E2848),Product_Category!$A$2:$A$45,0))</f>
        <v>Fresh Fruits &amp; Vegetables</v>
      </c>
      <c r="G2848" s="4">
        <v>1.63</v>
      </c>
      <c r="H2848" s="4">
        <v>0.13</v>
      </c>
      <c r="I2848" s="4">
        <v>0</v>
      </c>
      <c r="J2848" s="4">
        <v>8692.25</v>
      </c>
      <c r="K2848" s="4">
        <v>444.33</v>
      </c>
      <c r="L2848" s="4">
        <v>0</v>
      </c>
      <c r="M2848" s="4">
        <f t="shared" si="132"/>
        <v>-1.5</v>
      </c>
      <c r="N2848" s="4">
        <f t="shared" si="133"/>
        <v>-8247.92</v>
      </c>
      <c r="O2848" s="4">
        <f t="shared" si="134"/>
        <v>-0.13</v>
      </c>
      <c r="P2848" s="3" t="s">
        <v>19</v>
      </c>
    </row>
    <row r="2849" spans="1:16" x14ac:dyDescent="0.35">
      <c r="A2849" s="3" t="s">
        <v>25</v>
      </c>
      <c r="B2849" s="3" t="str">
        <f>INDEX(State_Region!$B$2:$B$26,MATCH(TRIM(A2849),State_Region!$A$2:$A$26,0))</f>
        <v>South</v>
      </c>
      <c r="C2849" s="3" t="s">
        <v>63</v>
      </c>
      <c r="D2849" s="3" t="str">
        <f>INDEX(Port_Type!$B$2:$B$227,MATCH(TRIM(C2849),Port_Type!$A$2:$A$227,0))</f>
        <v>Sea Port</v>
      </c>
      <c r="E2849" s="3" t="s">
        <v>33</v>
      </c>
      <c r="F2849" s="3" t="str">
        <f>INDEX(Product_Category!$B$2:$B$45,MATCH(TRIM(E2849),Product_Category!$A$2:$A$45,0))</f>
        <v>Pulses</v>
      </c>
      <c r="G2849" s="4">
        <v>0.03</v>
      </c>
      <c r="H2849" s="4">
        <v>0</v>
      </c>
      <c r="I2849" s="4">
        <v>0</v>
      </c>
      <c r="J2849" s="4">
        <v>19.920000000000002</v>
      </c>
      <c r="K2849" s="4">
        <v>0</v>
      </c>
      <c r="L2849" s="4">
        <v>0</v>
      </c>
      <c r="M2849" s="4">
        <f t="shared" si="132"/>
        <v>-0.03</v>
      </c>
      <c r="N2849" s="4">
        <f t="shared" si="133"/>
        <v>-19.920000000000002</v>
      </c>
      <c r="O2849" s="4">
        <f t="shared" si="134"/>
        <v>0</v>
      </c>
      <c r="P2849" s="3" t="s">
        <v>19</v>
      </c>
    </row>
    <row r="2850" spans="1:16" x14ac:dyDescent="0.35">
      <c r="A2850" s="3" t="s">
        <v>25</v>
      </c>
      <c r="B2850" s="3" t="str">
        <f>INDEX(State_Region!$B$2:$B$26,MATCH(TRIM(A2850),State_Region!$A$2:$A$26,0))</f>
        <v>South</v>
      </c>
      <c r="C2850" s="3" t="s">
        <v>63</v>
      </c>
      <c r="D2850" s="3" t="str">
        <f>INDEX(Port_Type!$B$2:$B$227,MATCH(TRIM(C2850),Port_Type!$A$2:$A$227,0))</f>
        <v>Sea Port</v>
      </c>
      <c r="E2850" s="3" t="s">
        <v>42</v>
      </c>
      <c r="F2850" s="3" t="str">
        <f>INDEX(Product_Category!$B$2:$B$45,MATCH(TRIM(E2850),Product_Category!$A$2:$A$45,0))</f>
        <v>Processed Foods</v>
      </c>
      <c r="G2850" s="4">
        <v>0.13</v>
      </c>
      <c r="H2850" s="4">
        <v>0</v>
      </c>
      <c r="I2850" s="4">
        <v>0</v>
      </c>
      <c r="J2850" s="4">
        <v>236.06</v>
      </c>
      <c r="K2850" s="4">
        <v>0</v>
      </c>
      <c r="L2850" s="4">
        <v>0</v>
      </c>
      <c r="M2850" s="4">
        <f t="shared" si="132"/>
        <v>-0.13</v>
      </c>
      <c r="N2850" s="4">
        <f t="shared" si="133"/>
        <v>-236.06</v>
      </c>
      <c r="O2850" s="4">
        <f t="shared" si="134"/>
        <v>0</v>
      </c>
      <c r="P2850" s="3" t="s">
        <v>19</v>
      </c>
    </row>
    <row r="2851" spans="1:16" x14ac:dyDescent="0.35">
      <c r="A2851" s="3" t="s">
        <v>25</v>
      </c>
      <c r="B2851" s="3" t="str">
        <f>INDEX(State_Region!$B$2:$B$26,MATCH(TRIM(A2851),State_Region!$A$2:$A$26,0))</f>
        <v>South</v>
      </c>
      <c r="C2851" s="3" t="s">
        <v>63</v>
      </c>
      <c r="D2851" s="3" t="str">
        <f>INDEX(Port_Type!$B$2:$B$227,MATCH(TRIM(C2851),Port_Type!$A$2:$A$227,0))</f>
        <v>Sea Port</v>
      </c>
      <c r="E2851" s="3" t="s">
        <v>54</v>
      </c>
      <c r="F2851" s="3" t="str">
        <f>INDEX(Product_Category!$B$2:$B$45,MATCH(TRIM(E2851),Product_Category!$A$2:$A$45,0))</f>
        <v>Processed Foods</v>
      </c>
      <c r="G2851" s="4">
        <v>0.05</v>
      </c>
      <c r="H2851" s="4">
        <v>0</v>
      </c>
      <c r="I2851" s="4">
        <v>0</v>
      </c>
      <c r="J2851" s="4">
        <v>34.36</v>
      </c>
      <c r="K2851" s="4">
        <v>0</v>
      </c>
      <c r="L2851" s="4">
        <v>0</v>
      </c>
      <c r="M2851" s="4">
        <f t="shared" si="132"/>
        <v>-0.05</v>
      </c>
      <c r="N2851" s="4">
        <f t="shared" si="133"/>
        <v>-34.36</v>
      </c>
      <c r="O2851" s="4">
        <f t="shared" si="134"/>
        <v>0</v>
      </c>
      <c r="P2851" s="3" t="s">
        <v>19</v>
      </c>
    </row>
    <row r="2852" spans="1:16" x14ac:dyDescent="0.35">
      <c r="A2852" s="3" t="s">
        <v>25</v>
      </c>
      <c r="B2852" s="3" t="str">
        <f>INDEX(State_Region!$B$2:$B$26,MATCH(TRIM(A2852),State_Region!$A$2:$A$26,0))</f>
        <v>South</v>
      </c>
      <c r="C2852" s="3" t="s">
        <v>63</v>
      </c>
      <c r="D2852" s="3" t="str">
        <f>INDEX(Port_Type!$B$2:$B$227,MATCH(TRIM(C2852),Port_Type!$A$2:$A$227,0))</f>
        <v>Sea Port</v>
      </c>
      <c r="E2852" s="3" t="s">
        <v>126</v>
      </c>
      <c r="F2852" s="3" t="str">
        <f>INDEX(Product_Category!$B$2:$B$45,MATCH(TRIM(E2852),Product_Category!$A$2:$A$45,0))</f>
        <v>Cereals &amp; Grains</v>
      </c>
      <c r="G2852" s="4">
        <v>0.04</v>
      </c>
      <c r="H2852" s="4">
        <v>0</v>
      </c>
      <c r="I2852" s="4">
        <v>0</v>
      </c>
      <c r="J2852" s="4">
        <v>69</v>
      </c>
      <c r="K2852" s="4">
        <v>0</v>
      </c>
      <c r="L2852" s="4">
        <v>0</v>
      </c>
      <c r="M2852" s="4">
        <f t="shared" si="132"/>
        <v>-0.04</v>
      </c>
      <c r="N2852" s="4">
        <f t="shared" si="133"/>
        <v>-69</v>
      </c>
      <c r="O2852" s="4">
        <f t="shared" si="134"/>
        <v>0</v>
      </c>
      <c r="P2852" s="3" t="s">
        <v>19</v>
      </c>
    </row>
    <row r="2853" spans="1:16" x14ac:dyDescent="0.35">
      <c r="A2853" s="3" t="s">
        <v>25</v>
      </c>
      <c r="B2853" s="3" t="str">
        <f>INDEX(State_Region!$B$2:$B$26,MATCH(TRIM(A2853),State_Region!$A$2:$A$26,0))</f>
        <v>South</v>
      </c>
      <c r="C2853" s="3" t="s">
        <v>63</v>
      </c>
      <c r="D2853" s="3" t="str">
        <f>INDEX(Port_Type!$B$2:$B$227,MATCH(TRIM(C2853),Port_Type!$A$2:$A$227,0))</f>
        <v>Sea Port</v>
      </c>
      <c r="E2853" s="3" t="s">
        <v>27</v>
      </c>
      <c r="F2853" s="3" t="str">
        <f>INDEX(Product_Category!$B$2:$B$45,MATCH(TRIM(E2853),Product_Category!$A$2:$A$45,0))</f>
        <v>Cereals &amp; Grains</v>
      </c>
      <c r="G2853" s="4">
        <v>76.53</v>
      </c>
      <c r="H2853" s="4">
        <v>0</v>
      </c>
      <c r="I2853" s="4">
        <v>0</v>
      </c>
      <c r="J2853" s="4">
        <v>205866.06</v>
      </c>
      <c r="K2853" s="4">
        <v>0</v>
      </c>
      <c r="L2853" s="4">
        <v>0</v>
      </c>
      <c r="M2853" s="4">
        <f t="shared" si="132"/>
        <v>-76.53</v>
      </c>
      <c r="N2853" s="4">
        <f t="shared" si="133"/>
        <v>-205866.06</v>
      </c>
      <c r="O2853" s="4">
        <f t="shared" si="134"/>
        <v>0</v>
      </c>
      <c r="P2853" s="3" t="s">
        <v>19</v>
      </c>
    </row>
    <row r="2854" spans="1:16" x14ac:dyDescent="0.35">
      <c r="A2854" s="3" t="s">
        <v>25</v>
      </c>
      <c r="B2854" s="3" t="str">
        <f>INDEX(State_Region!$B$2:$B$26,MATCH(TRIM(A2854),State_Region!$A$2:$A$26,0))</f>
        <v>South</v>
      </c>
      <c r="C2854" s="3" t="s">
        <v>63</v>
      </c>
      <c r="D2854" s="3" t="str">
        <f>INDEX(Port_Type!$B$2:$B$227,MATCH(TRIM(C2854),Port_Type!$A$2:$A$227,0))</f>
        <v>Sea Port</v>
      </c>
      <c r="E2854" s="3" t="s">
        <v>39</v>
      </c>
      <c r="F2854" s="3" t="str">
        <f>INDEX(Product_Category!$B$2:$B$45,MATCH(TRIM(E2854),Product_Category!$A$2:$A$45,0))</f>
        <v>Processed Foods</v>
      </c>
      <c r="G2854" s="4">
        <v>0.28000000000000003</v>
      </c>
      <c r="H2854" s="4">
        <v>0</v>
      </c>
      <c r="I2854" s="4">
        <v>0</v>
      </c>
      <c r="J2854" s="4">
        <v>611.67999999999995</v>
      </c>
      <c r="K2854" s="4">
        <v>0</v>
      </c>
      <c r="L2854" s="4">
        <v>0</v>
      </c>
      <c r="M2854" s="4">
        <f t="shared" si="132"/>
        <v>-0.28000000000000003</v>
      </c>
      <c r="N2854" s="4">
        <f t="shared" si="133"/>
        <v>-611.67999999999995</v>
      </c>
      <c r="O2854" s="4">
        <f t="shared" si="134"/>
        <v>0</v>
      </c>
      <c r="P2854" s="3" t="s">
        <v>19</v>
      </c>
    </row>
    <row r="2855" spans="1:16" x14ac:dyDescent="0.35">
      <c r="A2855" s="3" t="s">
        <v>25</v>
      </c>
      <c r="B2855" s="3" t="str">
        <f>INDEX(State_Region!$B$2:$B$26,MATCH(TRIM(A2855),State_Region!$A$2:$A$26,0))</f>
        <v>South</v>
      </c>
      <c r="C2855" s="3" t="s">
        <v>63</v>
      </c>
      <c r="D2855" s="3" t="str">
        <f>INDEX(Port_Type!$B$2:$B$227,MATCH(TRIM(C2855),Port_Type!$A$2:$A$227,0))</f>
        <v>Sea Port</v>
      </c>
      <c r="E2855" s="3" t="s">
        <v>144</v>
      </c>
      <c r="F2855" s="3" t="str">
        <f>INDEX(Product_Category!$B$2:$B$45,MATCH(TRIM(E2855),Product_Category!$A$2:$A$45,0))</f>
        <v>Cereals &amp; Grains</v>
      </c>
      <c r="G2855" s="4">
        <v>0.1</v>
      </c>
      <c r="H2855" s="4">
        <v>0</v>
      </c>
      <c r="I2855" s="4">
        <v>0</v>
      </c>
      <c r="J2855" s="4">
        <v>177.92</v>
      </c>
      <c r="K2855" s="4">
        <v>0</v>
      </c>
      <c r="L2855" s="4">
        <v>0</v>
      </c>
      <c r="M2855" s="4">
        <f t="shared" si="132"/>
        <v>-0.1</v>
      </c>
      <c r="N2855" s="4">
        <f t="shared" si="133"/>
        <v>-177.92</v>
      </c>
      <c r="O2855" s="4">
        <f t="shared" si="134"/>
        <v>0</v>
      </c>
      <c r="P2855" s="3" t="s">
        <v>19</v>
      </c>
    </row>
    <row r="2856" spans="1:16" x14ac:dyDescent="0.35">
      <c r="A2856" s="3" t="s">
        <v>25</v>
      </c>
      <c r="B2856" s="3" t="str">
        <f>INDEX(State_Region!$B$2:$B$26,MATCH(TRIM(A2856),State_Region!$A$2:$A$26,0))</f>
        <v>South</v>
      </c>
      <c r="C2856" s="3" t="s">
        <v>63</v>
      </c>
      <c r="D2856" s="3" t="str">
        <f>INDEX(Port_Type!$B$2:$B$227,MATCH(TRIM(C2856),Port_Type!$A$2:$A$227,0))</f>
        <v>Sea Port</v>
      </c>
      <c r="E2856" s="3" t="s">
        <v>65</v>
      </c>
      <c r="F2856" s="3" t="str">
        <f>INDEX(Product_Category!$B$2:$B$45,MATCH(TRIM(E2856),Product_Category!$A$2:$A$45,0))</f>
        <v>Cereals &amp; Grains</v>
      </c>
      <c r="G2856" s="4">
        <v>0</v>
      </c>
      <c r="H2856" s="4">
        <v>0</v>
      </c>
      <c r="I2856" s="4">
        <v>0</v>
      </c>
      <c r="J2856" s="4">
        <v>3.1</v>
      </c>
      <c r="K2856" s="4">
        <v>0</v>
      </c>
      <c r="L2856" s="4">
        <v>0</v>
      </c>
      <c r="M2856" s="4">
        <f t="shared" si="132"/>
        <v>0</v>
      </c>
      <c r="N2856" s="4">
        <f t="shared" si="133"/>
        <v>-3.1</v>
      </c>
      <c r="O2856" s="4">
        <f t="shared" si="134"/>
        <v>0</v>
      </c>
      <c r="P2856" s="3" t="s">
        <v>19</v>
      </c>
    </row>
    <row r="2857" spans="1:16" x14ac:dyDescent="0.35">
      <c r="A2857" s="3" t="s">
        <v>25</v>
      </c>
      <c r="B2857" s="3" t="str">
        <f>INDEX(State_Region!$B$2:$B$26,MATCH(TRIM(A2857),State_Region!$A$2:$A$26,0))</f>
        <v>South</v>
      </c>
      <c r="C2857" s="3" t="s">
        <v>63</v>
      </c>
      <c r="D2857" s="3" t="str">
        <f>INDEX(Port_Type!$B$2:$B$227,MATCH(TRIM(C2857),Port_Type!$A$2:$A$227,0))</f>
        <v>Sea Port</v>
      </c>
      <c r="E2857" s="3" t="s">
        <v>53</v>
      </c>
      <c r="F2857" s="3" t="str">
        <f>INDEX(Product_Category!$B$2:$B$45,MATCH(TRIM(E2857),Product_Category!$A$2:$A$45,0))</f>
        <v>Processed Foods</v>
      </c>
      <c r="G2857" s="4">
        <v>0</v>
      </c>
      <c r="H2857" s="4">
        <v>0</v>
      </c>
      <c r="I2857" s="4">
        <v>0</v>
      </c>
      <c r="J2857" s="4">
        <v>0.5</v>
      </c>
      <c r="K2857" s="4">
        <v>0</v>
      </c>
      <c r="L2857" s="4">
        <v>0</v>
      </c>
      <c r="M2857" s="4">
        <f t="shared" si="132"/>
        <v>0</v>
      </c>
      <c r="N2857" s="4">
        <f t="shared" si="133"/>
        <v>-0.5</v>
      </c>
      <c r="O2857" s="4">
        <f t="shared" si="134"/>
        <v>0</v>
      </c>
      <c r="P2857" s="3" t="s">
        <v>19</v>
      </c>
    </row>
    <row r="2858" spans="1:16" x14ac:dyDescent="0.35">
      <c r="A2858" s="3" t="s">
        <v>25</v>
      </c>
      <c r="B2858" s="3" t="str">
        <f>INDEX(State_Region!$B$2:$B$26,MATCH(TRIM(A2858),State_Region!$A$2:$A$26,0))</f>
        <v>South</v>
      </c>
      <c r="C2858" s="3" t="s">
        <v>63</v>
      </c>
      <c r="D2858" s="3" t="str">
        <f>INDEX(Port_Type!$B$2:$B$227,MATCH(TRIM(C2858),Port_Type!$A$2:$A$227,0))</f>
        <v>Sea Port</v>
      </c>
      <c r="E2858" s="3" t="s">
        <v>48</v>
      </c>
      <c r="F2858" s="3" t="str">
        <f>INDEX(Product_Category!$B$2:$B$45,MATCH(TRIM(E2858),Product_Category!$A$2:$A$45,0))</f>
        <v>Processed Foods</v>
      </c>
      <c r="G2858" s="4">
        <v>0.02</v>
      </c>
      <c r="H2858" s="4">
        <v>0</v>
      </c>
      <c r="I2858" s="4">
        <v>0</v>
      </c>
      <c r="J2858" s="4">
        <v>13.1</v>
      </c>
      <c r="K2858" s="4">
        <v>0</v>
      </c>
      <c r="L2858" s="4">
        <v>0</v>
      </c>
      <c r="M2858" s="4">
        <f t="shared" si="132"/>
        <v>-0.02</v>
      </c>
      <c r="N2858" s="4">
        <f t="shared" si="133"/>
        <v>-13.1</v>
      </c>
      <c r="O2858" s="4">
        <f t="shared" si="134"/>
        <v>0</v>
      </c>
      <c r="P2858" s="3" t="s">
        <v>19</v>
      </c>
    </row>
    <row r="2859" spans="1:16" x14ac:dyDescent="0.35">
      <c r="A2859" s="3" t="s">
        <v>25</v>
      </c>
      <c r="B2859" s="3" t="str">
        <f>INDEX(State_Region!$B$2:$B$26,MATCH(TRIM(A2859),State_Region!$A$2:$A$26,0))</f>
        <v>South</v>
      </c>
      <c r="C2859" s="3" t="s">
        <v>26</v>
      </c>
      <c r="D2859" s="3" t="str">
        <f>INDEX(Port_Type!$B$2:$B$227,MATCH(TRIM(C2859),Port_Type!$A$2:$A$227,0))</f>
        <v>Sea Port</v>
      </c>
      <c r="E2859" s="3" t="s">
        <v>39</v>
      </c>
      <c r="F2859" s="3" t="str">
        <f>INDEX(Product_Category!$B$2:$B$45,MATCH(TRIM(E2859),Product_Category!$A$2:$A$45,0))</f>
        <v>Processed Foods</v>
      </c>
      <c r="G2859" s="4">
        <v>0.02</v>
      </c>
      <c r="H2859" s="4">
        <v>0.01</v>
      </c>
      <c r="I2859" s="4">
        <v>0</v>
      </c>
      <c r="J2859" s="4">
        <v>4.58</v>
      </c>
      <c r="K2859" s="4">
        <v>4.07</v>
      </c>
      <c r="L2859" s="4">
        <v>0</v>
      </c>
      <c r="M2859" s="4">
        <f t="shared" si="132"/>
        <v>-0.01</v>
      </c>
      <c r="N2859" s="4">
        <f t="shared" si="133"/>
        <v>-0.50999999999999979</v>
      </c>
      <c r="O2859" s="4">
        <f t="shared" si="134"/>
        <v>-0.01</v>
      </c>
      <c r="P2859" s="3" t="s">
        <v>19</v>
      </c>
    </row>
    <row r="2860" spans="1:16" x14ac:dyDescent="0.35">
      <c r="A2860" s="3" t="s">
        <v>31</v>
      </c>
      <c r="B2860" s="3" t="str">
        <f>INDEX(State_Region!$B$2:$B$26,MATCH(TRIM(A2860),State_Region!$A$2:$A$26,0))</f>
        <v>East</v>
      </c>
      <c r="C2860" s="3" t="s">
        <v>141</v>
      </c>
      <c r="D2860" s="3" t="str">
        <f>INDEX(Port_Type!$B$2:$B$227,MATCH(TRIM(C2860),Port_Type!$A$2:$A$227,0))</f>
        <v>Land Border / Rail</v>
      </c>
      <c r="E2860" s="3" t="s">
        <v>116</v>
      </c>
      <c r="F2860" s="3" t="str">
        <f>INDEX(Product_Category!$B$2:$B$45,MATCH(TRIM(E2860),Product_Category!$A$2:$A$45,0))</f>
        <v>Others</v>
      </c>
      <c r="G2860" s="4">
        <v>0.14000000000000001</v>
      </c>
      <c r="H2860" s="4">
        <v>0</v>
      </c>
      <c r="I2860" s="4">
        <v>0</v>
      </c>
      <c r="J2860" s="4">
        <v>706.3</v>
      </c>
      <c r="K2860" s="4">
        <v>0</v>
      </c>
      <c r="L2860" s="4">
        <v>0</v>
      </c>
      <c r="M2860" s="4">
        <f t="shared" si="132"/>
        <v>-0.14000000000000001</v>
      </c>
      <c r="N2860" s="4">
        <f t="shared" si="133"/>
        <v>-706.3</v>
      </c>
      <c r="O2860" s="4">
        <f t="shared" si="134"/>
        <v>0</v>
      </c>
      <c r="P2860" s="3" t="s">
        <v>19</v>
      </c>
    </row>
    <row r="2861" spans="1:16" x14ac:dyDescent="0.35">
      <c r="A2861" s="3" t="s">
        <v>31</v>
      </c>
      <c r="B2861" s="3" t="str">
        <f>INDEX(State_Region!$B$2:$B$26,MATCH(TRIM(A2861),State_Region!$A$2:$A$26,0))</f>
        <v>East</v>
      </c>
      <c r="C2861" s="3" t="s">
        <v>141</v>
      </c>
      <c r="D2861" s="3" t="str">
        <f>INDEX(Port_Type!$B$2:$B$227,MATCH(TRIM(C2861),Port_Type!$A$2:$A$227,0))</f>
        <v>Land Border / Rail</v>
      </c>
      <c r="E2861" s="3" t="s">
        <v>128</v>
      </c>
      <c r="F2861" s="3" t="str">
        <f>INDEX(Product_Category!$B$2:$B$45,MATCH(TRIM(E2861),Product_Category!$A$2:$A$45,0))</f>
        <v>Dairy, Poultry &amp; Honey</v>
      </c>
      <c r="G2861" s="4">
        <v>0</v>
      </c>
      <c r="H2861" s="4">
        <v>0</v>
      </c>
      <c r="I2861" s="4">
        <v>0</v>
      </c>
      <c r="J2861" s="4">
        <v>0.01</v>
      </c>
      <c r="K2861" s="4">
        <v>0</v>
      </c>
      <c r="L2861" s="4">
        <v>0</v>
      </c>
      <c r="M2861" s="4">
        <f t="shared" si="132"/>
        <v>0</v>
      </c>
      <c r="N2861" s="4">
        <f t="shared" si="133"/>
        <v>-0.01</v>
      </c>
      <c r="O2861" s="4">
        <f t="shared" si="134"/>
        <v>0</v>
      </c>
      <c r="P2861" s="3" t="s">
        <v>19</v>
      </c>
    </row>
    <row r="2862" spans="1:16" x14ac:dyDescent="0.35">
      <c r="A2862" s="3" t="s">
        <v>25</v>
      </c>
      <c r="B2862" s="3" t="str">
        <f>INDEX(State_Region!$B$2:$B$26,MATCH(TRIM(A2862),State_Region!$A$2:$A$26,0))</f>
        <v>South</v>
      </c>
      <c r="C2862" s="3" t="s">
        <v>254</v>
      </c>
      <c r="D2862" s="3" t="str">
        <f>INDEX(Port_Type!$B$2:$B$227,MATCH(TRIM(C2862),Port_Type!$A$2:$A$227,0))</f>
        <v>Inland ICD / CFS</v>
      </c>
      <c r="E2862" s="3" t="s">
        <v>54</v>
      </c>
      <c r="F2862" s="3" t="str">
        <f>INDEX(Product_Category!$B$2:$B$45,MATCH(TRIM(E2862),Product_Category!$A$2:$A$45,0))</f>
        <v>Processed Foods</v>
      </c>
      <c r="G2862" s="4">
        <v>0</v>
      </c>
      <c r="H2862" s="4">
        <v>0</v>
      </c>
      <c r="I2862" s="4">
        <v>0</v>
      </c>
      <c r="J2862" s="4">
        <v>0.25</v>
      </c>
      <c r="K2862" s="4">
        <v>0.33</v>
      </c>
      <c r="L2862" s="4">
        <v>0</v>
      </c>
      <c r="M2862" s="4">
        <f t="shared" si="132"/>
        <v>0</v>
      </c>
      <c r="N2862" s="4">
        <f t="shared" si="133"/>
        <v>8.0000000000000016E-2</v>
      </c>
      <c r="O2862" s="4">
        <f t="shared" si="134"/>
        <v>0</v>
      </c>
      <c r="P2862" s="3" t="s">
        <v>19</v>
      </c>
    </row>
    <row r="2863" spans="1:16" x14ac:dyDescent="0.35">
      <c r="A2863" s="3" t="s">
        <v>25</v>
      </c>
      <c r="B2863" s="3" t="str">
        <f>INDEX(State_Region!$B$2:$B$26,MATCH(TRIM(A2863),State_Region!$A$2:$A$26,0))</f>
        <v>South</v>
      </c>
      <c r="C2863" s="3" t="s">
        <v>254</v>
      </c>
      <c r="D2863" s="3" t="str">
        <f>INDEX(Port_Type!$B$2:$B$227,MATCH(TRIM(C2863),Port_Type!$A$2:$A$227,0))</f>
        <v>Inland ICD / CFS</v>
      </c>
      <c r="E2863" s="3" t="s">
        <v>39</v>
      </c>
      <c r="F2863" s="3" t="str">
        <f>INDEX(Product_Category!$B$2:$B$45,MATCH(TRIM(E2863),Product_Category!$A$2:$A$45,0))</f>
        <v>Processed Foods</v>
      </c>
      <c r="G2863" s="4">
        <v>0</v>
      </c>
      <c r="H2863" s="4">
        <v>0</v>
      </c>
      <c r="I2863" s="4">
        <v>0</v>
      </c>
      <c r="J2863" s="4">
        <v>3</v>
      </c>
      <c r="K2863" s="4">
        <v>0</v>
      </c>
      <c r="L2863" s="4">
        <v>0</v>
      </c>
      <c r="M2863" s="4">
        <f t="shared" si="132"/>
        <v>0</v>
      </c>
      <c r="N2863" s="4">
        <f t="shared" si="133"/>
        <v>-3</v>
      </c>
      <c r="O2863" s="4">
        <f t="shared" si="134"/>
        <v>0</v>
      </c>
      <c r="P2863" s="3" t="s">
        <v>19</v>
      </c>
    </row>
    <row r="2864" spans="1:16" x14ac:dyDescent="0.35">
      <c r="A2864" s="3" t="s">
        <v>25</v>
      </c>
      <c r="B2864" s="3" t="str">
        <f>INDEX(State_Region!$B$2:$B$26,MATCH(TRIM(A2864),State_Region!$A$2:$A$26,0))</f>
        <v>South</v>
      </c>
      <c r="C2864" s="3" t="s">
        <v>254</v>
      </c>
      <c r="D2864" s="3" t="str">
        <f>INDEX(Port_Type!$B$2:$B$227,MATCH(TRIM(C2864),Port_Type!$A$2:$A$227,0))</f>
        <v>Inland ICD / CFS</v>
      </c>
      <c r="E2864" s="3" t="s">
        <v>69</v>
      </c>
      <c r="F2864" s="3" t="str">
        <f>INDEX(Product_Category!$B$2:$B$45,MATCH(TRIM(E2864),Product_Category!$A$2:$A$45,0))</f>
        <v>Others</v>
      </c>
      <c r="G2864" s="4">
        <v>0.54</v>
      </c>
      <c r="H2864" s="4">
        <v>0.05</v>
      </c>
      <c r="I2864" s="4">
        <v>0</v>
      </c>
      <c r="J2864" s="4">
        <v>343</v>
      </c>
      <c r="K2864" s="4">
        <v>49.4</v>
      </c>
      <c r="L2864" s="4">
        <v>0</v>
      </c>
      <c r="M2864" s="4">
        <f t="shared" si="132"/>
        <v>-0.49000000000000005</v>
      </c>
      <c r="N2864" s="4">
        <f t="shared" si="133"/>
        <v>-293.60000000000002</v>
      </c>
      <c r="O2864" s="4">
        <f t="shared" si="134"/>
        <v>-0.05</v>
      </c>
      <c r="P2864" s="3" t="s">
        <v>19</v>
      </c>
    </row>
    <row r="2865" spans="1:16" x14ac:dyDescent="0.35">
      <c r="A2865" s="3" t="s">
        <v>31</v>
      </c>
      <c r="B2865" s="3" t="str">
        <f>INDEX(State_Region!$B$2:$B$26,MATCH(TRIM(A2865),State_Region!$A$2:$A$26,0))</f>
        <v>East</v>
      </c>
      <c r="C2865" s="3" t="s">
        <v>292</v>
      </c>
      <c r="D2865" s="3" t="str">
        <f>INDEX(Port_Type!$B$2:$B$227,MATCH(TRIM(C2865),Port_Type!$A$2:$A$227,0))</f>
        <v>Land Border / Rail</v>
      </c>
      <c r="E2865" s="3" t="s">
        <v>62</v>
      </c>
      <c r="F2865" s="3" t="str">
        <f>INDEX(Product_Category!$B$2:$B$45,MATCH(TRIM(E2865),Product_Category!$A$2:$A$45,0))</f>
        <v>Cereals &amp; Grains</v>
      </c>
      <c r="G2865" s="4">
        <v>8.3699999999999992</v>
      </c>
      <c r="H2865" s="4">
        <v>0</v>
      </c>
      <c r="I2865" s="4">
        <v>0</v>
      </c>
      <c r="J2865" s="4">
        <v>34191.97</v>
      </c>
      <c r="K2865" s="4">
        <v>0</v>
      </c>
      <c r="L2865" s="4">
        <v>0</v>
      </c>
      <c r="M2865" s="4">
        <f t="shared" si="132"/>
        <v>-8.3699999999999992</v>
      </c>
      <c r="N2865" s="4">
        <f t="shared" si="133"/>
        <v>-34191.97</v>
      </c>
      <c r="O2865" s="4">
        <f t="shared" si="134"/>
        <v>0</v>
      </c>
      <c r="P2865" s="3" t="s">
        <v>19</v>
      </c>
    </row>
    <row r="2866" spans="1:16" x14ac:dyDescent="0.35">
      <c r="A2866" s="3" t="s">
        <v>31</v>
      </c>
      <c r="B2866" s="3" t="str">
        <f>INDEX(State_Region!$B$2:$B$26,MATCH(TRIM(A2866),State_Region!$A$2:$A$26,0))</f>
        <v>East</v>
      </c>
      <c r="C2866" s="3" t="s">
        <v>292</v>
      </c>
      <c r="D2866" s="3" t="str">
        <f>INDEX(Port_Type!$B$2:$B$227,MATCH(TRIM(C2866),Port_Type!$A$2:$A$227,0))</f>
        <v>Land Border / Rail</v>
      </c>
      <c r="E2866" s="3" t="s">
        <v>116</v>
      </c>
      <c r="F2866" s="3" t="str">
        <f>INDEX(Product_Category!$B$2:$B$45,MATCH(TRIM(E2866),Product_Category!$A$2:$A$45,0))</f>
        <v>Others</v>
      </c>
      <c r="G2866" s="4">
        <v>0.44</v>
      </c>
      <c r="H2866" s="4">
        <v>0</v>
      </c>
      <c r="I2866" s="4">
        <v>0</v>
      </c>
      <c r="J2866" s="4">
        <v>2249.27</v>
      </c>
      <c r="K2866" s="4">
        <v>0</v>
      </c>
      <c r="L2866" s="4">
        <v>0</v>
      </c>
      <c r="M2866" s="4">
        <f t="shared" si="132"/>
        <v>-0.44</v>
      </c>
      <c r="N2866" s="4">
        <f t="shared" si="133"/>
        <v>-2249.27</v>
      </c>
      <c r="O2866" s="4">
        <f t="shared" si="134"/>
        <v>0</v>
      </c>
      <c r="P2866" s="3" t="s">
        <v>19</v>
      </c>
    </row>
    <row r="2867" spans="1:16" x14ac:dyDescent="0.35">
      <c r="A2867" s="3" t="s">
        <v>31</v>
      </c>
      <c r="B2867" s="3" t="str">
        <f>INDEX(State_Region!$B$2:$B$26,MATCH(TRIM(A2867),State_Region!$A$2:$A$26,0))</f>
        <v>East</v>
      </c>
      <c r="C2867" s="3" t="s">
        <v>133</v>
      </c>
      <c r="D2867" s="3" t="str">
        <f>INDEX(Port_Type!$B$2:$B$227,MATCH(TRIM(C2867),Port_Type!$A$2:$A$227,0))</f>
        <v>Inland ICD / CFS</v>
      </c>
      <c r="E2867" s="3" t="s">
        <v>27</v>
      </c>
      <c r="F2867" s="3" t="str">
        <f>INDEX(Product_Category!$B$2:$B$45,MATCH(TRIM(E2867),Product_Category!$A$2:$A$45,0))</f>
        <v>Cereals &amp; Grains</v>
      </c>
      <c r="G2867" s="4">
        <v>0</v>
      </c>
      <c r="H2867" s="4">
        <v>3.41</v>
      </c>
      <c r="I2867" s="4">
        <v>0</v>
      </c>
      <c r="J2867" s="4">
        <v>0</v>
      </c>
      <c r="K2867" s="4">
        <v>7311.27</v>
      </c>
      <c r="L2867" s="4">
        <v>0</v>
      </c>
      <c r="M2867" s="4">
        <f t="shared" si="132"/>
        <v>3.41</v>
      </c>
      <c r="N2867" s="4">
        <f t="shared" si="133"/>
        <v>7311.27</v>
      </c>
      <c r="O2867" s="4">
        <f t="shared" si="134"/>
        <v>-3.41</v>
      </c>
      <c r="P2867" s="3" t="s">
        <v>19</v>
      </c>
    </row>
    <row r="2868" spans="1:16" x14ac:dyDescent="0.35">
      <c r="A2868" s="3" t="s">
        <v>25</v>
      </c>
      <c r="B2868" s="3" t="str">
        <f>INDEX(State_Region!$B$2:$B$26,MATCH(TRIM(A2868),State_Region!$A$2:$A$26,0))</f>
        <v>South</v>
      </c>
      <c r="C2868" s="3" t="s">
        <v>195</v>
      </c>
      <c r="D2868" s="3" t="str">
        <f>INDEX(Port_Type!$B$2:$B$227,MATCH(TRIM(C2868),Port_Type!$A$2:$A$227,0))</f>
        <v>Sea Port</v>
      </c>
      <c r="E2868" s="3" t="s">
        <v>54</v>
      </c>
      <c r="F2868" s="3" t="str">
        <f>INDEX(Product_Category!$B$2:$B$45,MATCH(TRIM(E2868),Product_Category!$A$2:$A$45,0))</f>
        <v>Processed Foods</v>
      </c>
      <c r="G2868" s="4">
        <v>0</v>
      </c>
      <c r="H2868" s="4">
        <v>0.06</v>
      </c>
      <c r="I2868" s="4">
        <v>0</v>
      </c>
      <c r="J2868" s="4">
        <v>0</v>
      </c>
      <c r="K2868" s="4">
        <v>87</v>
      </c>
      <c r="L2868" s="4">
        <v>0</v>
      </c>
      <c r="M2868" s="4">
        <f t="shared" si="132"/>
        <v>0.06</v>
      </c>
      <c r="N2868" s="4">
        <f t="shared" si="133"/>
        <v>87</v>
      </c>
      <c r="O2868" s="4">
        <f t="shared" si="134"/>
        <v>-0.06</v>
      </c>
      <c r="P2868" s="3" t="s">
        <v>19</v>
      </c>
    </row>
    <row r="2869" spans="1:16" x14ac:dyDescent="0.35">
      <c r="A2869" s="3" t="s">
        <v>25</v>
      </c>
      <c r="B2869" s="3" t="str">
        <f>INDEX(State_Region!$B$2:$B$26,MATCH(TRIM(A2869),State_Region!$A$2:$A$26,0))</f>
        <v>South</v>
      </c>
      <c r="C2869" s="3" t="s">
        <v>195</v>
      </c>
      <c r="D2869" s="3" t="str">
        <f>INDEX(Port_Type!$B$2:$B$227,MATCH(TRIM(C2869),Port_Type!$A$2:$A$227,0))</f>
        <v>Sea Port</v>
      </c>
      <c r="E2869" s="3" t="s">
        <v>45</v>
      </c>
      <c r="F2869" s="3" t="str">
        <f>INDEX(Product_Category!$B$2:$B$45,MATCH(TRIM(E2869),Product_Category!$A$2:$A$45,0))</f>
        <v>Fresh Fruits &amp; Vegetables</v>
      </c>
      <c r="G2869" s="4">
        <v>0</v>
      </c>
      <c r="H2869" s="4">
        <v>0.02</v>
      </c>
      <c r="I2869" s="4">
        <v>0</v>
      </c>
      <c r="J2869" s="4">
        <v>0</v>
      </c>
      <c r="K2869" s="4">
        <v>29</v>
      </c>
      <c r="L2869" s="4">
        <v>0</v>
      </c>
      <c r="M2869" s="4">
        <f t="shared" si="132"/>
        <v>0.02</v>
      </c>
      <c r="N2869" s="4">
        <f t="shared" si="133"/>
        <v>29</v>
      </c>
      <c r="O2869" s="4">
        <f t="shared" si="134"/>
        <v>-0.02</v>
      </c>
      <c r="P2869" s="3" t="s">
        <v>19</v>
      </c>
    </row>
    <row r="2870" spans="1:16" x14ac:dyDescent="0.35">
      <c r="A2870" s="3" t="s">
        <v>25</v>
      </c>
      <c r="B2870" s="3" t="str">
        <f>INDEX(State_Region!$B$2:$B$26,MATCH(TRIM(A2870),State_Region!$A$2:$A$26,0))</f>
        <v>South</v>
      </c>
      <c r="C2870" s="3" t="s">
        <v>195</v>
      </c>
      <c r="D2870" s="3" t="str">
        <f>INDEX(Port_Type!$B$2:$B$227,MATCH(TRIM(C2870),Port_Type!$A$2:$A$227,0))</f>
        <v>Sea Port</v>
      </c>
      <c r="E2870" s="3" t="s">
        <v>62</v>
      </c>
      <c r="F2870" s="3" t="str">
        <f>INDEX(Product_Category!$B$2:$B$45,MATCH(TRIM(E2870),Product_Category!$A$2:$A$45,0))</f>
        <v>Cereals &amp; Grains</v>
      </c>
      <c r="G2870" s="4">
        <v>8.15</v>
      </c>
      <c r="H2870" s="4">
        <v>0</v>
      </c>
      <c r="I2870" s="4">
        <v>0</v>
      </c>
      <c r="J2870" s="4">
        <v>31200</v>
      </c>
      <c r="K2870" s="4">
        <v>0</v>
      </c>
      <c r="L2870" s="4">
        <v>0</v>
      </c>
      <c r="M2870" s="4">
        <f t="shared" si="132"/>
        <v>-8.15</v>
      </c>
      <c r="N2870" s="4">
        <f t="shared" si="133"/>
        <v>-31200</v>
      </c>
      <c r="O2870" s="4">
        <f t="shared" si="134"/>
        <v>0</v>
      </c>
      <c r="P2870" s="3" t="s">
        <v>19</v>
      </c>
    </row>
    <row r="2871" spans="1:16" x14ac:dyDescent="0.35">
      <c r="A2871" s="3" t="s">
        <v>20</v>
      </c>
      <c r="B2871" s="3" t="str">
        <f>INDEX(State_Region!$B$2:$B$26,MATCH(TRIM(A2871),State_Region!$A$2:$A$26,0))</f>
        <v>West</v>
      </c>
      <c r="C2871" s="3" t="s">
        <v>222</v>
      </c>
      <c r="D2871" s="3" t="str">
        <f>INDEX(Port_Type!$B$2:$B$227,MATCH(TRIM(C2871),Port_Type!$A$2:$A$227,0))</f>
        <v>Air Cargo</v>
      </c>
      <c r="E2871" s="3" t="s">
        <v>93</v>
      </c>
      <c r="F2871" s="3" t="str">
        <f>INDEX(Product_Category!$B$2:$B$45,MATCH(TRIM(E2871),Product_Category!$A$2:$A$45,0))</f>
        <v>Meat &amp; Animal Products</v>
      </c>
      <c r="G2871" s="4">
        <v>0</v>
      </c>
      <c r="H2871" s="4">
        <v>0.32</v>
      </c>
      <c r="I2871" s="4">
        <v>0</v>
      </c>
      <c r="J2871" s="4">
        <v>0</v>
      </c>
      <c r="K2871" s="4">
        <v>35.97</v>
      </c>
      <c r="L2871" s="4">
        <v>0</v>
      </c>
      <c r="M2871" s="4">
        <f t="shared" si="132"/>
        <v>0.32</v>
      </c>
      <c r="N2871" s="4">
        <f t="shared" si="133"/>
        <v>35.97</v>
      </c>
      <c r="O2871" s="4">
        <f t="shared" si="134"/>
        <v>-0.32</v>
      </c>
      <c r="P2871" s="3" t="s">
        <v>19</v>
      </c>
    </row>
    <row r="2872" spans="1:16" x14ac:dyDescent="0.35">
      <c r="A2872" s="3" t="s">
        <v>258</v>
      </c>
      <c r="B2872" s="3" t="str">
        <f>INDEX(State_Region!$B$2:$B$26,MATCH(TRIM(A2872),State_Region!$A$2:$A$26,0))</f>
        <v>North-East</v>
      </c>
      <c r="C2872" s="3" t="s">
        <v>293</v>
      </c>
      <c r="D2872" s="3" t="str">
        <f>INDEX(Port_Type!$B$2:$B$227,MATCH(TRIM(C2872),Port_Type!$A$2:$A$227,0))</f>
        <v>Land Border / Rail</v>
      </c>
      <c r="E2872" s="3" t="s">
        <v>84</v>
      </c>
      <c r="F2872" s="3" t="str">
        <f>INDEX(Product_Category!$B$2:$B$45,MATCH(TRIM(E2872),Product_Category!$A$2:$A$45,0))</f>
        <v>Nuts &amp; Oilseeds</v>
      </c>
      <c r="G2872" s="4">
        <v>0</v>
      </c>
      <c r="H2872" s="4">
        <v>0</v>
      </c>
      <c r="I2872" s="4">
        <v>0</v>
      </c>
      <c r="J2872" s="4">
        <v>0</v>
      </c>
      <c r="K2872" s="4">
        <v>1</v>
      </c>
      <c r="L2872" s="4">
        <v>0</v>
      </c>
      <c r="M2872" s="4">
        <f t="shared" si="132"/>
        <v>0</v>
      </c>
      <c r="N2872" s="4">
        <f t="shared" si="133"/>
        <v>1</v>
      </c>
      <c r="O2872" s="4">
        <f t="shared" si="134"/>
        <v>0</v>
      </c>
      <c r="P2872" s="3" t="s">
        <v>19</v>
      </c>
    </row>
    <row r="2873" spans="1:16" x14ac:dyDescent="0.35">
      <c r="A2873" s="3" t="s">
        <v>20</v>
      </c>
      <c r="B2873" s="3" t="str">
        <f>INDEX(State_Region!$B$2:$B$26,MATCH(TRIM(A2873),State_Region!$A$2:$A$26,0))</f>
        <v>West</v>
      </c>
      <c r="C2873" s="3" t="s">
        <v>294</v>
      </c>
      <c r="D2873" s="3" t="str">
        <f>INDEX(Port_Type!$B$2:$B$227,MATCH(TRIM(C2873),Port_Type!$A$2:$A$227,0))</f>
        <v>SEZ / EPZ</v>
      </c>
      <c r="E2873" s="3" t="s">
        <v>39</v>
      </c>
      <c r="F2873" s="3" t="str">
        <f>INDEX(Product_Category!$B$2:$B$45,MATCH(TRIM(E2873),Product_Category!$A$2:$A$45,0))</f>
        <v>Processed Foods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  <c r="L2873" s="4">
        <v>0</v>
      </c>
      <c r="M2873" s="4">
        <f t="shared" si="132"/>
        <v>0</v>
      </c>
      <c r="N2873" s="4">
        <f t="shared" si="133"/>
        <v>0</v>
      </c>
      <c r="O2873" s="4">
        <f t="shared" si="134"/>
        <v>0</v>
      </c>
      <c r="P2873" s="3" t="s">
        <v>19</v>
      </c>
    </row>
    <row r="2874" spans="1:16" x14ac:dyDescent="0.35">
      <c r="A2874" s="3" t="s">
        <v>258</v>
      </c>
      <c r="B2874" s="3" t="str">
        <f>INDEX(State_Region!$B$2:$B$26,MATCH(TRIM(A2874),State_Region!$A$2:$A$26,0))</f>
        <v>North-East</v>
      </c>
      <c r="C2874" s="3" t="s">
        <v>293</v>
      </c>
      <c r="D2874" s="3" t="str">
        <f>INDEX(Port_Type!$B$2:$B$227,MATCH(TRIM(C2874),Port_Type!$A$2:$A$227,0))</f>
        <v>Land Border / Rail</v>
      </c>
      <c r="E2874" s="3" t="s">
        <v>27</v>
      </c>
      <c r="F2874" s="3" t="str">
        <f>INDEX(Product_Category!$B$2:$B$45,MATCH(TRIM(E2874),Product_Category!$A$2:$A$45,0))</f>
        <v>Cereals &amp; Grains</v>
      </c>
      <c r="G2874" s="4">
        <v>0</v>
      </c>
      <c r="H2874" s="4">
        <v>0.22</v>
      </c>
      <c r="I2874" s="4">
        <v>0</v>
      </c>
      <c r="J2874" s="4">
        <v>0</v>
      </c>
      <c r="K2874" s="4">
        <v>595</v>
      </c>
      <c r="L2874" s="4">
        <v>0</v>
      </c>
      <c r="M2874" s="4">
        <f t="shared" si="132"/>
        <v>0.22</v>
      </c>
      <c r="N2874" s="4">
        <f t="shared" si="133"/>
        <v>595</v>
      </c>
      <c r="O2874" s="4">
        <f t="shared" si="134"/>
        <v>-0.22</v>
      </c>
      <c r="P2874" s="3" t="s">
        <v>19</v>
      </c>
    </row>
    <row r="2875" spans="1:16" x14ac:dyDescent="0.35">
      <c r="A2875" s="3" t="s">
        <v>258</v>
      </c>
      <c r="B2875" s="3" t="str">
        <f>INDEX(State_Region!$B$2:$B$26,MATCH(TRIM(A2875),State_Region!$A$2:$A$26,0))</f>
        <v>North-East</v>
      </c>
      <c r="C2875" s="3" t="s">
        <v>293</v>
      </c>
      <c r="D2875" s="3" t="str">
        <f>INDEX(Port_Type!$B$2:$B$227,MATCH(TRIM(C2875),Port_Type!$A$2:$A$227,0))</f>
        <v>Land Border / Rail</v>
      </c>
      <c r="E2875" s="3" t="s">
        <v>45</v>
      </c>
      <c r="F2875" s="3" t="str">
        <f>INDEX(Product_Category!$B$2:$B$45,MATCH(TRIM(E2875),Product_Category!$A$2:$A$45,0))</f>
        <v>Fresh Fruits &amp; Vegetables</v>
      </c>
      <c r="G2875" s="4">
        <v>0</v>
      </c>
      <c r="H2875" s="4">
        <v>0</v>
      </c>
      <c r="I2875" s="4">
        <v>0</v>
      </c>
      <c r="J2875" s="4">
        <v>0</v>
      </c>
      <c r="K2875" s="4">
        <v>4</v>
      </c>
      <c r="L2875" s="4">
        <v>0</v>
      </c>
      <c r="M2875" s="4">
        <f t="shared" si="132"/>
        <v>0</v>
      </c>
      <c r="N2875" s="4">
        <f t="shared" si="133"/>
        <v>4</v>
      </c>
      <c r="O2875" s="4">
        <f t="shared" si="134"/>
        <v>0</v>
      </c>
      <c r="P2875" s="3" t="s">
        <v>19</v>
      </c>
    </row>
    <row r="2876" spans="1:16" x14ac:dyDescent="0.35">
      <c r="A2876" s="3" t="s">
        <v>258</v>
      </c>
      <c r="B2876" s="3" t="str">
        <f>INDEX(State_Region!$B$2:$B$26,MATCH(TRIM(A2876),State_Region!$A$2:$A$26,0))</f>
        <v>North-East</v>
      </c>
      <c r="C2876" s="3" t="s">
        <v>293</v>
      </c>
      <c r="D2876" s="3" t="str">
        <f>INDEX(Port_Type!$B$2:$B$227,MATCH(TRIM(C2876),Port_Type!$A$2:$A$227,0))</f>
        <v>Land Border / Rail</v>
      </c>
      <c r="E2876" s="3" t="s">
        <v>54</v>
      </c>
      <c r="F2876" s="3" t="str">
        <f>INDEX(Product_Category!$B$2:$B$45,MATCH(TRIM(E2876),Product_Category!$A$2:$A$45,0))</f>
        <v>Processed Foods</v>
      </c>
      <c r="G2876" s="4">
        <v>0</v>
      </c>
      <c r="H2876" s="4">
        <v>0.01</v>
      </c>
      <c r="I2876" s="4">
        <v>0</v>
      </c>
      <c r="J2876" s="4">
        <v>0</v>
      </c>
      <c r="K2876" s="4">
        <v>5</v>
      </c>
      <c r="L2876" s="4">
        <v>0</v>
      </c>
      <c r="M2876" s="4">
        <f t="shared" si="132"/>
        <v>0.01</v>
      </c>
      <c r="N2876" s="4">
        <f t="shared" si="133"/>
        <v>5</v>
      </c>
      <c r="O2876" s="4">
        <f t="shared" si="134"/>
        <v>-0.01</v>
      </c>
      <c r="P2876" s="3" t="s">
        <v>19</v>
      </c>
    </row>
    <row r="2877" spans="1:16" x14ac:dyDescent="0.35">
      <c r="A2877" s="3" t="s">
        <v>20</v>
      </c>
      <c r="B2877" s="3" t="str">
        <f>INDEX(State_Region!$B$2:$B$26,MATCH(TRIM(A2877),State_Region!$A$2:$A$26,0))</f>
        <v>West</v>
      </c>
      <c r="C2877" s="3" t="s">
        <v>222</v>
      </c>
      <c r="D2877" s="3" t="str">
        <f>INDEX(Port_Type!$B$2:$B$227,MATCH(TRIM(C2877),Port_Type!$A$2:$A$227,0))</f>
        <v>Air Cargo</v>
      </c>
      <c r="E2877" s="3" t="s">
        <v>54</v>
      </c>
      <c r="F2877" s="3" t="str">
        <f>INDEX(Product_Category!$B$2:$B$45,MATCH(TRIM(E2877),Product_Category!$A$2:$A$45,0))</f>
        <v>Processed Foods</v>
      </c>
      <c r="G2877" s="4">
        <v>0</v>
      </c>
      <c r="H2877" s="4">
        <v>0</v>
      </c>
      <c r="I2877" s="4">
        <v>0</v>
      </c>
      <c r="J2877" s="4">
        <v>0</v>
      </c>
      <c r="K2877" s="4">
        <v>0.43</v>
      </c>
      <c r="L2877" s="4">
        <v>0</v>
      </c>
      <c r="M2877" s="4">
        <f t="shared" si="132"/>
        <v>0</v>
      </c>
      <c r="N2877" s="4">
        <f t="shared" si="133"/>
        <v>0.43</v>
      </c>
      <c r="O2877" s="4">
        <f t="shared" si="134"/>
        <v>0</v>
      </c>
      <c r="P2877" s="3" t="s">
        <v>19</v>
      </c>
    </row>
    <row r="2878" spans="1:16" x14ac:dyDescent="0.35">
      <c r="A2878" s="3" t="s">
        <v>129</v>
      </c>
      <c r="B2878" s="3" t="str">
        <f>INDEX(State_Region!$B$2:$B$26,MATCH(TRIM(A2878),State_Region!$A$2:$A$26,0))</f>
        <v>East</v>
      </c>
      <c r="C2878" s="3" t="s">
        <v>147</v>
      </c>
      <c r="D2878" s="3" t="str">
        <f>INDEX(Port_Type!$B$2:$B$227,MATCH(TRIM(C2878),Port_Type!$A$2:$A$227,0))</f>
        <v>Land Border / Rail</v>
      </c>
      <c r="E2878" s="3" t="s">
        <v>150</v>
      </c>
      <c r="F2878" s="3" t="str">
        <f>INDEX(Product_Category!$B$2:$B$45,MATCH(TRIM(E2878),Product_Category!$A$2:$A$45,0))</f>
        <v>Nuts &amp; Oilseeds</v>
      </c>
      <c r="G2878" s="4">
        <v>0</v>
      </c>
      <c r="H2878" s="4">
        <v>0</v>
      </c>
      <c r="I2878" s="4">
        <v>0</v>
      </c>
      <c r="J2878" s="4">
        <v>0</v>
      </c>
      <c r="K2878" s="4">
        <v>0.02</v>
      </c>
      <c r="L2878" s="4">
        <v>0</v>
      </c>
      <c r="M2878" s="4">
        <f t="shared" si="132"/>
        <v>0</v>
      </c>
      <c r="N2878" s="4">
        <f t="shared" si="133"/>
        <v>0.02</v>
      </c>
      <c r="O2878" s="4">
        <f t="shared" si="134"/>
        <v>0</v>
      </c>
      <c r="P2878" s="3" t="s">
        <v>19</v>
      </c>
    </row>
    <row r="2879" spans="1:16" x14ac:dyDescent="0.35">
      <c r="A2879" s="3" t="s">
        <v>129</v>
      </c>
      <c r="B2879" s="3" t="str">
        <f>INDEX(State_Region!$B$2:$B$26,MATCH(TRIM(A2879),State_Region!$A$2:$A$26,0))</f>
        <v>East</v>
      </c>
      <c r="C2879" s="3" t="s">
        <v>147</v>
      </c>
      <c r="D2879" s="3" t="str">
        <f>INDEX(Port_Type!$B$2:$B$227,MATCH(TRIM(C2879),Port_Type!$A$2:$A$227,0))</f>
        <v>Land Border / Rail</v>
      </c>
      <c r="E2879" s="3" t="s">
        <v>142</v>
      </c>
      <c r="F2879" s="3" t="str">
        <f>INDEX(Product_Category!$B$2:$B$45,MATCH(TRIM(E2879),Product_Category!$A$2:$A$45,0))</f>
        <v>Nuts &amp; Oilseeds</v>
      </c>
      <c r="G2879" s="4">
        <v>0.04</v>
      </c>
      <c r="H2879" s="4">
        <v>0.02</v>
      </c>
      <c r="I2879" s="4">
        <v>0</v>
      </c>
      <c r="J2879" s="4">
        <v>59.93</v>
      </c>
      <c r="K2879" s="4">
        <v>30</v>
      </c>
      <c r="L2879" s="4">
        <v>0</v>
      </c>
      <c r="M2879" s="4">
        <f t="shared" si="132"/>
        <v>-0.02</v>
      </c>
      <c r="N2879" s="4">
        <f t="shared" si="133"/>
        <v>-29.93</v>
      </c>
      <c r="O2879" s="4">
        <f t="shared" si="134"/>
        <v>-0.02</v>
      </c>
      <c r="P2879" s="3" t="s">
        <v>19</v>
      </c>
    </row>
    <row r="2880" spans="1:16" x14ac:dyDescent="0.35">
      <c r="A2880" s="3" t="s">
        <v>20</v>
      </c>
      <c r="B2880" s="3" t="str">
        <f>INDEX(State_Region!$B$2:$B$26,MATCH(TRIM(A2880),State_Region!$A$2:$A$26,0))</f>
        <v>West</v>
      </c>
      <c r="C2880" s="3" t="s">
        <v>222</v>
      </c>
      <c r="D2880" s="3" t="str">
        <f>INDEX(Port_Type!$B$2:$B$227,MATCH(TRIM(C2880),Port_Type!$A$2:$A$227,0))</f>
        <v>Air Cargo</v>
      </c>
      <c r="E2880" s="3" t="s">
        <v>65</v>
      </c>
      <c r="F2880" s="3" t="str">
        <f>INDEX(Product_Category!$B$2:$B$45,MATCH(TRIM(E2880),Product_Category!$A$2:$A$45,0))</f>
        <v>Cereals &amp; Grains</v>
      </c>
      <c r="G2880" s="4">
        <v>0</v>
      </c>
      <c r="H2880" s="4">
        <v>0</v>
      </c>
      <c r="I2880" s="4">
        <v>0</v>
      </c>
      <c r="J2880" s="4">
        <v>0</v>
      </c>
      <c r="K2880" s="4">
        <v>0.01</v>
      </c>
      <c r="L2880" s="4">
        <v>0</v>
      </c>
      <c r="M2880" s="4">
        <f t="shared" si="132"/>
        <v>0</v>
      </c>
      <c r="N2880" s="4">
        <f t="shared" si="133"/>
        <v>0.01</v>
      </c>
      <c r="O2880" s="4">
        <f t="shared" si="134"/>
        <v>0</v>
      </c>
      <c r="P2880" s="3" t="s">
        <v>19</v>
      </c>
    </row>
    <row r="2881" spans="1:16" x14ac:dyDescent="0.35">
      <c r="A2881" s="3" t="s">
        <v>129</v>
      </c>
      <c r="B2881" s="3" t="str">
        <f>INDEX(State_Region!$B$2:$B$26,MATCH(TRIM(A2881),State_Region!$A$2:$A$26,0))</f>
        <v>East</v>
      </c>
      <c r="C2881" s="3" t="s">
        <v>147</v>
      </c>
      <c r="D2881" s="3" t="str">
        <f>INDEX(Port_Type!$B$2:$B$227,MATCH(TRIM(C2881),Port_Type!$A$2:$A$227,0))</f>
        <v>Land Border / Rail</v>
      </c>
      <c r="E2881" s="3" t="s">
        <v>59</v>
      </c>
      <c r="F2881" s="3" t="str">
        <f>INDEX(Product_Category!$B$2:$B$45,MATCH(TRIM(E2881),Product_Category!$A$2:$A$45,0))</f>
        <v>Processed Foods</v>
      </c>
      <c r="G2881" s="4">
        <v>0</v>
      </c>
      <c r="H2881" s="4">
        <v>0</v>
      </c>
      <c r="I2881" s="4">
        <v>0</v>
      </c>
      <c r="J2881" s="4">
        <v>0.49</v>
      </c>
      <c r="K2881" s="4">
        <v>0</v>
      </c>
      <c r="L2881" s="4">
        <v>0</v>
      </c>
      <c r="M2881" s="4">
        <f t="shared" si="132"/>
        <v>0</v>
      </c>
      <c r="N2881" s="4">
        <f t="shared" si="133"/>
        <v>-0.49</v>
      </c>
      <c r="O2881" s="4">
        <f t="shared" si="134"/>
        <v>0</v>
      </c>
      <c r="P2881" s="3" t="s">
        <v>19</v>
      </c>
    </row>
    <row r="2882" spans="1:16" x14ac:dyDescent="0.35">
      <c r="A2882" s="3" t="s">
        <v>20</v>
      </c>
      <c r="B2882" s="3" t="str">
        <f>INDEX(State_Region!$B$2:$B$26,MATCH(TRIM(A2882),State_Region!$A$2:$A$26,0))</f>
        <v>West</v>
      </c>
      <c r="C2882" s="3" t="s">
        <v>222</v>
      </c>
      <c r="D2882" s="3" t="str">
        <f>INDEX(Port_Type!$B$2:$B$227,MATCH(TRIM(C2882),Port_Type!$A$2:$A$227,0))</f>
        <v>Air Cargo</v>
      </c>
      <c r="E2882" s="3" t="s">
        <v>83</v>
      </c>
      <c r="F2882" s="3" t="str">
        <f>INDEX(Product_Category!$B$2:$B$45,MATCH(TRIM(E2882),Product_Category!$A$2:$A$45,0))</f>
        <v>Fresh Fruits &amp; Vegetables</v>
      </c>
      <c r="G2882" s="4">
        <v>0</v>
      </c>
      <c r="H2882" s="4">
        <v>0</v>
      </c>
      <c r="I2882" s="4">
        <v>0</v>
      </c>
      <c r="J2882" s="4">
        <v>0</v>
      </c>
      <c r="K2882" s="4">
        <v>0.1</v>
      </c>
      <c r="L2882" s="4">
        <v>0</v>
      </c>
      <c r="M2882" s="4">
        <f t="shared" ref="M2882:M2945" si="135">H2882-G2882</f>
        <v>0</v>
      </c>
      <c r="N2882" s="4">
        <f t="shared" ref="N2882:N2945" si="136">K2882-J2882</f>
        <v>0.1</v>
      </c>
      <c r="O2882" s="4">
        <f t="shared" ref="O2882:O2945" si="137">I2882-H2882</f>
        <v>0</v>
      </c>
      <c r="P2882" s="3" t="s">
        <v>19</v>
      </c>
    </row>
    <row r="2883" spans="1:16" x14ac:dyDescent="0.35">
      <c r="A2883" s="3" t="s">
        <v>20</v>
      </c>
      <c r="B2883" s="3" t="str">
        <f>INDEX(State_Region!$B$2:$B$26,MATCH(TRIM(A2883),State_Region!$A$2:$A$26,0))</f>
        <v>West</v>
      </c>
      <c r="C2883" s="3" t="s">
        <v>222</v>
      </c>
      <c r="D2883" s="3" t="str">
        <f>INDEX(Port_Type!$B$2:$B$227,MATCH(TRIM(C2883),Port_Type!$A$2:$A$227,0))</f>
        <v>Air Cargo</v>
      </c>
      <c r="E2883" s="3" t="s">
        <v>122</v>
      </c>
      <c r="F2883" s="3" t="str">
        <f>INDEX(Product_Category!$B$2:$B$45,MATCH(TRIM(E2883),Product_Category!$A$2:$A$45,0))</f>
        <v>Others</v>
      </c>
      <c r="G2883" s="4">
        <v>0</v>
      </c>
      <c r="H2883" s="4">
        <v>0.01</v>
      </c>
      <c r="I2883" s="4">
        <v>0</v>
      </c>
      <c r="J2883" s="4">
        <v>0.45</v>
      </c>
      <c r="K2883" s="4">
        <v>1.96</v>
      </c>
      <c r="L2883" s="4">
        <v>0</v>
      </c>
      <c r="M2883" s="4">
        <f t="shared" si="135"/>
        <v>0.01</v>
      </c>
      <c r="N2883" s="4">
        <f t="shared" si="136"/>
        <v>1.51</v>
      </c>
      <c r="O2883" s="4">
        <f t="shared" si="137"/>
        <v>-0.01</v>
      </c>
      <c r="P2883" s="3" t="s">
        <v>19</v>
      </c>
    </row>
    <row r="2884" spans="1:16" x14ac:dyDescent="0.35">
      <c r="A2884" s="3" t="s">
        <v>129</v>
      </c>
      <c r="B2884" s="3" t="str">
        <f>INDEX(State_Region!$B$2:$B$26,MATCH(TRIM(A2884),State_Region!$A$2:$A$26,0))</f>
        <v>East</v>
      </c>
      <c r="C2884" s="3" t="s">
        <v>147</v>
      </c>
      <c r="D2884" s="3" t="str">
        <f>INDEX(Port_Type!$B$2:$B$227,MATCH(TRIM(C2884),Port_Type!$A$2:$A$227,0))</f>
        <v>Land Border / Rail</v>
      </c>
      <c r="E2884" s="3" t="s">
        <v>69</v>
      </c>
      <c r="F2884" s="3" t="str">
        <f>INDEX(Product_Category!$B$2:$B$45,MATCH(TRIM(E2884),Product_Category!$A$2:$A$45,0))</f>
        <v>Others</v>
      </c>
      <c r="G2884" s="4">
        <v>0</v>
      </c>
      <c r="H2884" s="4">
        <v>0.01</v>
      </c>
      <c r="I2884" s="4">
        <v>0</v>
      </c>
      <c r="J2884" s="4">
        <v>0</v>
      </c>
      <c r="K2884" s="4">
        <v>1.5</v>
      </c>
      <c r="L2884" s="4">
        <v>0</v>
      </c>
      <c r="M2884" s="4">
        <f t="shared" si="135"/>
        <v>0.01</v>
      </c>
      <c r="N2884" s="4">
        <f t="shared" si="136"/>
        <v>1.5</v>
      </c>
      <c r="O2884" s="4">
        <f t="shared" si="137"/>
        <v>-0.01</v>
      </c>
      <c r="P2884" s="3" t="s">
        <v>19</v>
      </c>
    </row>
    <row r="2885" spans="1:16" x14ac:dyDescent="0.35">
      <c r="A2885" s="3" t="s">
        <v>20</v>
      </c>
      <c r="B2885" s="3" t="str">
        <f>INDEX(State_Region!$B$2:$B$26,MATCH(TRIM(A2885),State_Region!$A$2:$A$26,0))</f>
        <v>West</v>
      </c>
      <c r="C2885" s="3" t="s">
        <v>222</v>
      </c>
      <c r="D2885" s="3" t="str">
        <f>INDEX(Port_Type!$B$2:$B$227,MATCH(TRIM(C2885),Port_Type!$A$2:$A$227,0))</f>
        <v>Air Cargo</v>
      </c>
      <c r="E2885" s="3" t="s">
        <v>48</v>
      </c>
      <c r="F2885" s="3" t="str">
        <f>INDEX(Product_Category!$B$2:$B$45,MATCH(TRIM(E2885),Product_Category!$A$2:$A$45,0))</f>
        <v>Processed Foods</v>
      </c>
      <c r="G2885" s="4">
        <v>0</v>
      </c>
      <c r="H2885" s="4">
        <v>0</v>
      </c>
      <c r="I2885" s="4">
        <v>0</v>
      </c>
      <c r="J2885" s="4">
        <v>0</v>
      </c>
      <c r="K2885" s="4">
        <v>0.06</v>
      </c>
      <c r="L2885" s="4">
        <v>0</v>
      </c>
      <c r="M2885" s="4">
        <f t="shared" si="135"/>
        <v>0</v>
      </c>
      <c r="N2885" s="4">
        <f t="shared" si="136"/>
        <v>0.06</v>
      </c>
      <c r="O2885" s="4">
        <f t="shared" si="137"/>
        <v>0</v>
      </c>
      <c r="P2885" s="3" t="s">
        <v>19</v>
      </c>
    </row>
    <row r="2886" spans="1:16" x14ac:dyDescent="0.35">
      <c r="A2886" s="3" t="s">
        <v>20</v>
      </c>
      <c r="B2886" s="3" t="str">
        <f>INDEX(State_Region!$B$2:$B$26,MATCH(TRIM(A2886),State_Region!$A$2:$A$26,0))</f>
        <v>West</v>
      </c>
      <c r="C2886" s="3" t="s">
        <v>21</v>
      </c>
      <c r="D2886" s="3" t="str">
        <f>INDEX(Port_Type!$B$2:$B$227,MATCH(TRIM(C2886),Port_Type!$A$2:$A$227,0))</f>
        <v>Sea Port</v>
      </c>
      <c r="E2886" s="3" t="s">
        <v>116</v>
      </c>
      <c r="F2886" s="3" t="str">
        <f>INDEX(Product_Category!$B$2:$B$45,MATCH(TRIM(E2886),Product_Category!$A$2:$A$45,0))</f>
        <v>Others</v>
      </c>
      <c r="G2886" s="4">
        <v>0</v>
      </c>
      <c r="H2886" s="4">
        <v>0.01</v>
      </c>
      <c r="I2886" s="4">
        <v>0</v>
      </c>
      <c r="J2886" s="4">
        <v>0</v>
      </c>
      <c r="K2886" s="4">
        <v>16</v>
      </c>
      <c r="L2886" s="4">
        <v>0</v>
      </c>
      <c r="M2886" s="4">
        <f t="shared" si="135"/>
        <v>0.01</v>
      </c>
      <c r="N2886" s="4">
        <f t="shared" si="136"/>
        <v>16</v>
      </c>
      <c r="O2886" s="4">
        <f t="shared" si="137"/>
        <v>-0.01</v>
      </c>
      <c r="P2886" s="3" t="s">
        <v>19</v>
      </c>
    </row>
    <row r="2887" spans="1:16" x14ac:dyDescent="0.35">
      <c r="A2887" s="3" t="s">
        <v>20</v>
      </c>
      <c r="B2887" s="3" t="str">
        <f>INDEX(State_Region!$B$2:$B$26,MATCH(TRIM(A2887),State_Region!$A$2:$A$26,0))</f>
        <v>West</v>
      </c>
      <c r="C2887" s="3" t="s">
        <v>21</v>
      </c>
      <c r="D2887" s="3" t="str">
        <f>INDEX(Port_Type!$B$2:$B$227,MATCH(TRIM(C2887),Port_Type!$A$2:$A$227,0))</f>
        <v>Sea Port</v>
      </c>
      <c r="E2887" s="3" t="s">
        <v>261</v>
      </c>
      <c r="F2887" s="3" t="str">
        <f>INDEX(Product_Category!$B$2:$B$45,MATCH(TRIM(E2887),Product_Category!$A$2:$A$45,0))</f>
        <v>Meat &amp; Animal Products</v>
      </c>
      <c r="G2887" s="4">
        <v>0.01</v>
      </c>
      <c r="H2887" s="4">
        <v>0</v>
      </c>
      <c r="I2887" s="4">
        <v>0</v>
      </c>
      <c r="J2887" s="4">
        <v>1.53</v>
      </c>
      <c r="K2887" s="4">
        <v>0</v>
      </c>
      <c r="L2887" s="4">
        <v>0</v>
      </c>
      <c r="M2887" s="4">
        <f t="shared" si="135"/>
        <v>-0.01</v>
      </c>
      <c r="N2887" s="4">
        <f t="shared" si="136"/>
        <v>-1.53</v>
      </c>
      <c r="O2887" s="4">
        <f t="shared" si="137"/>
        <v>0</v>
      </c>
      <c r="P2887" s="3" t="s">
        <v>19</v>
      </c>
    </row>
    <row r="2888" spans="1:16" x14ac:dyDescent="0.35">
      <c r="A2888" s="3" t="s">
        <v>129</v>
      </c>
      <c r="B2888" s="3" t="str">
        <f>INDEX(State_Region!$B$2:$B$26,MATCH(TRIM(A2888),State_Region!$A$2:$A$26,0))</f>
        <v>East</v>
      </c>
      <c r="C2888" s="3" t="s">
        <v>147</v>
      </c>
      <c r="D2888" s="3" t="str">
        <f>INDEX(Port_Type!$B$2:$B$227,MATCH(TRIM(C2888),Port_Type!$A$2:$A$227,0))</f>
        <v>Land Border / Rail</v>
      </c>
      <c r="E2888" s="3" t="s">
        <v>151</v>
      </c>
      <c r="F2888" s="3" t="str">
        <f>INDEX(Product_Category!$B$2:$B$45,MATCH(TRIM(E2888),Product_Category!$A$2:$A$45,0))</f>
        <v>Processed Foods</v>
      </c>
      <c r="G2888" s="4">
        <v>0</v>
      </c>
      <c r="H2888" s="4">
        <v>0</v>
      </c>
      <c r="I2888" s="4">
        <v>0</v>
      </c>
      <c r="J2888" s="4">
        <v>0.27</v>
      </c>
      <c r="K2888" s="4">
        <v>0</v>
      </c>
      <c r="L2888" s="4">
        <v>0</v>
      </c>
      <c r="M2888" s="4">
        <f t="shared" si="135"/>
        <v>0</v>
      </c>
      <c r="N2888" s="4">
        <f t="shared" si="136"/>
        <v>-0.27</v>
      </c>
      <c r="O2888" s="4">
        <f t="shared" si="137"/>
        <v>0</v>
      </c>
      <c r="P2888" s="3" t="s">
        <v>19</v>
      </c>
    </row>
    <row r="2889" spans="1:16" x14ac:dyDescent="0.35">
      <c r="A2889" s="3" t="s">
        <v>129</v>
      </c>
      <c r="B2889" s="3" t="str">
        <f>INDEX(State_Region!$B$2:$B$26,MATCH(TRIM(A2889),State_Region!$A$2:$A$26,0))</f>
        <v>East</v>
      </c>
      <c r="C2889" s="3" t="s">
        <v>147</v>
      </c>
      <c r="D2889" s="3" t="str">
        <f>INDEX(Port_Type!$B$2:$B$227,MATCH(TRIM(C2889),Port_Type!$A$2:$A$227,0))</f>
        <v>Land Border / Rail</v>
      </c>
      <c r="E2889" s="3" t="s">
        <v>144</v>
      </c>
      <c r="F2889" s="3" t="str">
        <f>INDEX(Product_Category!$B$2:$B$45,MATCH(TRIM(E2889),Product_Category!$A$2:$A$45,0))</f>
        <v>Cereals &amp; Grains</v>
      </c>
      <c r="G2889" s="4">
        <v>0</v>
      </c>
      <c r="H2889" s="4">
        <v>0</v>
      </c>
      <c r="I2889" s="4">
        <v>0</v>
      </c>
      <c r="J2889" s="4">
        <v>0.01</v>
      </c>
      <c r="K2889" s="4">
        <v>0</v>
      </c>
      <c r="L2889" s="4">
        <v>0</v>
      </c>
      <c r="M2889" s="4">
        <f t="shared" si="135"/>
        <v>0</v>
      </c>
      <c r="N2889" s="4">
        <f t="shared" si="136"/>
        <v>-0.01</v>
      </c>
      <c r="O2889" s="4">
        <f t="shared" si="137"/>
        <v>0</v>
      </c>
      <c r="P2889" s="3" t="s">
        <v>19</v>
      </c>
    </row>
    <row r="2890" spans="1:16" x14ac:dyDescent="0.35">
      <c r="A2890" s="3" t="s">
        <v>20</v>
      </c>
      <c r="B2890" s="3" t="str">
        <f>INDEX(State_Region!$B$2:$B$26,MATCH(TRIM(A2890),State_Region!$A$2:$A$26,0))</f>
        <v>West</v>
      </c>
      <c r="C2890" s="3" t="s">
        <v>245</v>
      </c>
      <c r="D2890" s="3" t="str">
        <f>INDEX(Port_Type!$B$2:$B$227,MATCH(TRIM(C2890),Port_Type!$A$2:$A$227,0))</f>
        <v>Air Cargo</v>
      </c>
      <c r="E2890" s="3" t="s">
        <v>33</v>
      </c>
      <c r="F2890" s="3" t="str">
        <f>INDEX(Product_Category!$B$2:$B$45,MATCH(TRIM(E2890),Product_Category!$A$2:$A$45,0))</f>
        <v>Pulses</v>
      </c>
      <c r="G2890" s="4">
        <v>0</v>
      </c>
      <c r="H2890" s="4">
        <v>0</v>
      </c>
      <c r="I2890" s="4">
        <v>0</v>
      </c>
      <c r="J2890" s="4">
        <v>0.05</v>
      </c>
      <c r="K2890" s="4">
        <v>0</v>
      </c>
      <c r="L2890" s="4">
        <v>0</v>
      </c>
      <c r="M2890" s="4">
        <f t="shared" si="135"/>
        <v>0</v>
      </c>
      <c r="N2890" s="4">
        <f t="shared" si="136"/>
        <v>-0.05</v>
      </c>
      <c r="O2890" s="4">
        <f t="shared" si="137"/>
        <v>0</v>
      </c>
      <c r="P2890" s="3" t="s">
        <v>19</v>
      </c>
    </row>
    <row r="2891" spans="1:16" x14ac:dyDescent="0.35">
      <c r="A2891" s="3" t="s">
        <v>20</v>
      </c>
      <c r="B2891" s="3" t="str">
        <f>INDEX(State_Region!$B$2:$B$26,MATCH(TRIM(A2891),State_Region!$A$2:$A$26,0))</f>
        <v>West</v>
      </c>
      <c r="C2891" s="3" t="s">
        <v>245</v>
      </c>
      <c r="D2891" s="3" t="str">
        <f>INDEX(Port_Type!$B$2:$B$227,MATCH(TRIM(C2891),Port_Type!$A$2:$A$227,0))</f>
        <v>Air Cargo</v>
      </c>
      <c r="E2891" s="3" t="s">
        <v>27</v>
      </c>
      <c r="F2891" s="3" t="str">
        <f>INDEX(Product_Category!$B$2:$B$45,MATCH(TRIM(E2891),Product_Category!$A$2:$A$45,0))</f>
        <v>Cereals &amp; Grains</v>
      </c>
      <c r="G2891" s="4">
        <v>0</v>
      </c>
      <c r="H2891" s="4">
        <v>0</v>
      </c>
      <c r="I2891" s="4">
        <v>0</v>
      </c>
      <c r="J2891" s="4">
        <v>0</v>
      </c>
      <c r="K2891" s="4">
        <v>0</v>
      </c>
      <c r="L2891" s="4">
        <v>0</v>
      </c>
      <c r="M2891" s="4">
        <f t="shared" si="135"/>
        <v>0</v>
      </c>
      <c r="N2891" s="4">
        <f t="shared" si="136"/>
        <v>0</v>
      </c>
      <c r="O2891" s="4">
        <f t="shared" si="137"/>
        <v>0</v>
      </c>
      <c r="P2891" s="3" t="s">
        <v>19</v>
      </c>
    </row>
    <row r="2892" spans="1:16" x14ac:dyDescent="0.35">
      <c r="A2892" s="3" t="s">
        <v>129</v>
      </c>
      <c r="B2892" s="3" t="str">
        <f>INDEX(State_Region!$B$2:$B$26,MATCH(TRIM(A2892),State_Region!$A$2:$A$26,0))</f>
        <v>East</v>
      </c>
      <c r="C2892" s="3" t="s">
        <v>147</v>
      </c>
      <c r="D2892" s="3" t="str">
        <f>INDEX(Port_Type!$B$2:$B$227,MATCH(TRIM(C2892),Port_Type!$A$2:$A$227,0))</f>
        <v>Land Border / Rail</v>
      </c>
      <c r="E2892" s="3" t="s">
        <v>42</v>
      </c>
      <c r="F2892" s="3" t="str">
        <f>INDEX(Product_Category!$B$2:$B$45,MATCH(TRIM(E2892),Product_Category!$A$2:$A$45,0))</f>
        <v>Processed Foods</v>
      </c>
      <c r="G2892" s="4">
        <v>7.0000000000000007E-2</v>
      </c>
      <c r="H2892" s="4">
        <v>0.01</v>
      </c>
      <c r="I2892" s="4">
        <v>0</v>
      </c>
      <c r="J2892" s="4">
        <v>106.65</v>
      </c>
      <c r="K2892" s="4">
        <v>69.86</v>
      </c>
      <c r="L2892" s="4">
        <v>0</v>
      </c>
      <c r="M2892" s="4">
        <f t="shared" si="135"/>
        <v>-6.0000000000000005E-2</v>
      </c>
      <c r="N2892" s="4">
        <f t="shared" si="136"/>
        <v>-36.790000000000006</v>
      </c>
      <c r="O2892" s="4">
        <f t="shared" si="137"/>
        <v>-0.01</v>
      </c>
      <c r="P2892" s="3" t="s">
        <v>19</v>
      </c>
    </row>
    <row r="2893" spans="1:16" x14ac:dyDescent="0.35">
      <c r="A2893" s="3" t="s">
        <v>20</v>
      </c>
      <c r="B2893" s="3" t="str">
        <f>INDEX(State_Region!$B$2:$B$26,MATCH(TRIM(A2893),State_Region!$A$2:$A$26,0))</f>
        <v>West</v>
      </c>
      <c r="C2893" s="3" t="s">
        <v>245</v>
      </c>
      <c r="D2893" s="3" t="str">
        <f>INDEX(Port_Type!$B$2:$B$227,MATCH(TRIM(C2893),Port_Type!$A$2:$A$227,0))</f>
        <v>Air Cargo</v>
      </c>
      <c r="E2893" s="3" t="s">
        <v>151</v>
      </c>
      <c r="F2893" s="3" t="str">
        <f>INDEX(Product_Category!$B$2:$B$45,MATCH(TRIM(E2893),Product_Category!$A$2:$A$45,0))</f>
        <v>Processed Foods</v>
      </c>
      <c r="G2893" s="4">
        <v>0.01</v>
      </c>
      <c r="H2893" s="4">
        <v>0</v>
      </c>
      <c r="I2893" s="4">
        <v>0</v>
      </c>
      <c r="J2893" s="4">
        <v>0.9</v>
      </c>
      <c r="K2893" s="4">
        <v>0</v>
      </c>
      <c r="L2893" s="4">
        <v>0</v>
      </c>
      <c r="M2893" s="4">
        <f t="shared" si="135"/>
        <v>-0.01</v>
      </c>
      <c r="N2893" s="4">
        <f t="shared" si="136"/>
        <v>-0.9</v>
      </c>
      <c r="O2893" s="4">
        <f t="shared" si="137"/>
        <v>0</v>
      </c>
      <c r="P2893" s="3" t="s">
        <v>19</v>
      </c>
    </row>
    <row r="2894" spans="1:16" x14ac:dyDescent="0.35">
      <c r="A2894" s="3" t="s">
        <v>129</v>
      </c>
      <c r="B2894" s="3" t="str">
        <f>INDEX(State_Region!$B$2:$B$26,MATCH(TRIM(A2894),State_Region!$A$2:$A$26,0))</f>
        <v>East</v>
      </c>
      <c r="C2894" s="3" t="s">
        <v>147</v>
      </c>
      <c r="D2894" s="3" t="str">
        <f>INDEX(Port_Type!$B$2:$B$227,MATCH(TRIM(C2894),Port_Type!$A$2:$A$227,0))</f>
        <v>Land Border / Rail</v>
      </c>
      <c r="E2894" s="3" t="s">
        <v>181</v>
      </c>
      <c r="F2894" s="3" t="str">
        <f>INDEX(Product_Category!$B$2:$B$45,MATCH(TRIM(E2894),Product_Category!$A$2:$A$45,0))</f>
        <v>Nuts &amp; Oilseeds</v>
      </c>
      <c r="G2894" s="4">
        <v>0</v>
      </c>
      <c r="H2894" s="4">
        <v>0</v>
      </c>
      <c r="I2894" s="4">
        <v>0</v>
      </c>
      <c r="J2894" s="4">
        <v>0.06</v>
      </c>
      <c r="K2894" s="4">
        <v>0.03</v>
      </c>
      <c r="L2894" s="4">
        <v>0</v>
      </c>
      <c r="M2894" s="4">
        <f t="shared" si="135"/>
        <v>0</v>
      </c>
      <c r="N2894" s="4">
        <f t="shared" si="136"/>
        <v>-0.03</v>
      </c>
      <c r="O2894" s="4">
        <f t="shared" si="137"/>
        <v>0</v>
      </c>
      <c r="P2894" s="3" t="s">
        <v>19</v>
      </c>
    </row>
    <row r="2895" spans="1:16" x14ac:dyDescent="0.35">
      <c r="A2895" s="3" t="s">
        <v>20</v>
      </c>
      <c r="B2895" s="3" t="str">
        <f>INDEX(State_Region!$B$2:$B$26,MATCH(TRIM(A2895),State_Region!$A$2:$A$26,0))</f>
        <v>West</v>
      </c>
      <c r="C2895" s="3" t="s">
        <v>245</v>
      </c>
      <c r="D2895" s="3" t="str">
        <f>INDEX(Port_Type!$B$2:$B$227,MATCH(TRIM(C2895),Port_Type!$A$2:$A$227,0))</f>
        <v>Air Cargo</v>
      </c>
      <c r="E2895" s="3" t="s">
        <v>62</v>
      </c>
      <c r="F2895" s="3" t="str">
        <f>INDEX(Product_Category!$B$2:$B$45,MATCH(TRIM(E2895),Product_Category!$A$2:$A$45,0))</f>
        <v>Cereals &amp; Grains</v>
      </c>
      <c r="G2895" s="4">
        <v>0</v>
      </c>
      <c r="H2895" s="4">
        <v>0</v>
      </c>
      <c r="I2895" s="4">
        <v>0</v>
      </c>
      <c r="J2895" s="4">
        <v>0.01</v>
      </c>
      <c r="K2895" s="4">
        <v>0</v>
      </c>
      <c r="L2895" s="4">
        <v>0</v>
      </c>
      <c r="M2895" s="4">
        <f t="shared" si="135"/>
        <v>0</v>
      </c>
      <c r="N2895" s="4">
        <f t="shared" si="136"/>
        <v>-0.01</v>
      </c>
      <c r="O2895" s="4">
        <f t="shared" si="137"/>
        <v>0</v>
      </c>
      <c r="P2895" s="3" t="s">
        <v>19</v>
      </c>
    </row>
    <row r="2896" spans="1:16" x14ac:dyDescent="0.35">
      <c r="A2896" s="3" t="s">
        <v>129</v>
      </c>
      <c r="B2896" s="3" t="str">
        <f>INDEX(State_Region!$B$2:$B$26,MATCH(TRIM(A2896),State_Region!$A$2:$A$26,0))</f>
        <v>East</v>
      </c>
      <c r="C2896" s="3" t="s">
        <v>295</v>
      </c>
      <c r="D2896" s="3" t="str">
        <f>INDEX(Port_Type!$B$2:$B$227,MATCH(TRIM(C2896),Port_Type!$A$2:$A$227,0))</f>
        <v>Air Cargo</v>
      </c>
      <c r="E2896" s="3" t="s">
        <v>84</v>
      </c>
      <c r="F2896" s="3" t="str">
        <f>INDEX(Product_Category!$B$2:$B$45,MATCH(TRIM(E2896),Product_Category!$A$2:$A$45,0))</f>
        <v>Nuts &amp; Oilseeds</v>
      </c>
      <c r="G2896" s="4">
        <v>0</v>
      </c>
      <c r="H2896" s="4">
        <v>0</v>
      </c>
      <c r="I2896" s="4">
        <v>0</v>
      </c>
      <c r="J2896" s="4">
        <v>0.1</v>
      </c>
      <c r="K2896" s="4">
        <v>0</v>
      </c>
      <c r="L2896" s="4">
        <v>0</v>
      </c>
      <c r="M2896" s="4">
        <f t="shared" si="135"/>
        <v>0</v>
      </c>
      <c r="N2896" s="4">
        <f t="shared" si="136"/>
        <v>-0.1</v>
      </c>
      <c r="O2896" s="4">
        <f t="shared" si="137"/>
        <v>0</v>
      </c>
      <c r="P2896" s="3" t="s">
        <v>19</v>
      </c>
    </row>
    <row r="2897" spans="1:16" x14ac:dyDescent="0.35">
      <c r="A2897" s="3" t="s">
        <v>129</v>
      </c>
      <c r="B2897" s="3" t="str">
        <f>INDEX(State_Region!$B$2:$B$26,MATCH(TRIM(A2897),State_Region!$A$2:$A$26,0))</f>
        <v>East</v>
      </c>
      <c r="C2897" s="3" t="s">
        <v>295</v>
      </c>
      <c r="D2897" s="3" t="str">
        <f>INDEX(Port_Type!$B$2:$B$227,MATCH(TRIM(C2897),Port_Type!$A$2:$A$227,0))</f>
        <v>Air Cargo</v>
      </c>
      <c r="E2897" s="3" t="s">
        <v>76</v>
      </c>
      <c r="F2897" s="3" t="str">
        <f>INDEX(Product_Category!$B$2:$B$45,MATCH(TRIM(E2897),Product_Category!$A$2:$A$45,0))</f>
        <v>Fresh Fruits &amp; Vegetables</v>
      </c>
      <c r="G2897" s="4">
        <v>0</v>
      </c>
      <c r="H2897" s="4">
        <v>0</v>
      </c>
      <c r="I2897" s="4">
        <v>0</v>
      </c>
      <c r="J2897" s="4">
        <v>0</v>
      </c>
      <c r="K2897" s="4">
        <v>8.61</v>
      </c>
      <c r="L2897" s="4">
        <v>0</v>
      </c>
      <c r="M2897" s="4">
        <f t="shared" si="135"/>
        <v>0</v>
      </c>
      <c r="N2897" s="4">
        <f t="shared" si="136"/>
        <v>8.61</v>
      </c>
      <c r="O2897" s="4">
        <f t="shared" si="137"/>
        <v>0</v>
      </c>
      <c r="P2897" s="3" t="s">
        <v>19</v>
      </c>
    </row>
    <row r="2898" spans="1:16" x14ac:dyDescent="0.35">
      <c r="A2898" s="3" t="s">
        <v>129</v>
      </c>
      <c r="B2898" s="3" t="str">
        <f>INDEX(State_Region!$B$2:$B$26,MATCH(TRIM(A2898),State_Region!$A$2:$A$26,0))</f>
        <v>East</v>
      </c>
      <c r="C2898" s="3" t="s">
        <v>295</v>
      </c>
      <c r="D2898" s="3" t="str">
        <f>INDEX(Port_Type!$B$2:$B$227,MATCH(TRIM(C2898),Port_Type!$A$2:$A$227,0))</f>
        <v>Air Cargo</v>
      </c>
      <c r="E2898" s="3" t="s">
        <v>45</v>
      </c>
      <c r="F2898" s="3" t="str">
        <f>INDEX(Product_Category!$B$2:$B$45,MATCH(TRIM(E2898),Product_Category!$A$2:$A$45,0))</f>
        <v>Fresh Fruits &amp; Vegetables</v>
      </c>
      <c r="G2898" s="4">
        <v>0</v>
      </c>
      <c r="H2898" s="4">
        <v>0</v>
      </c>
      <c r="I2898" s="4">
        <v>0</v>
      </c>
      <c r="J2898" s="4">
        <v>0</v>
      </c>
      <c r="K2898" s="4">
        <v>5</v>
      </c>
      <c r="L2898" s="4">
        <v>0</v>
      </c>
      <c r="M2898" s="4">
        <f t="shared" si="135"/>
        <v>0</v>
      </c>
      <c r="N2898" s="4">
        <f t="shared" si="136"/>
        <v>5</v>
      </c>
      <c r="O2898" s="4">
        <f t="shared" si="137"/>
        <v>0</v>
      </c>
      <c r="P2898" s="3" t="s">
        <v>19</v>
      </c>
    </row>
    <row r="2899" spans="1:16" x14ac:dyDescent="0.35">
      <c r="A2899" s="3" t="s">
        <v>129</v>
      </c>
      <c r="B2899" s="3" t="str">
        <f>INDEX(State_Region!$B$2:$B$26,MATCH(TRIM(A2899),State_Region!$A$2:$A$26,0))</f>
        <v>East</v>
      </c>
      <c r="C2899" s="3" t="s">
        <v>295</v>
      </c>
      <c r="D2899" s="3" t="str">
        <f>INDEX(Port_Type!$B$2:$B$227,MATCH(TRIM(C2899),Port_Type!$A$2:$A$227,0))</f>
        <v>Air Cargo</v>
      </c>
      <c r="E2899" s="3" t="s">
        <v>102</v>
      </c>
      <c r="F2899" s="3" t="str">
        <f>INDEX(Product_Category!$B$2:$B$45,MATCH(TRIM(E2899),Product_Category!$A$2:$A$45,0))</f>
        <v>Fresh Fruits &amp; Vegetables</v>
      </c>
      <c r="G2899" s="4">
        <v>0</v>
      </c>
      <c r="H2899" s="4">
        <v>0.02</v>
      </c>
      <c r="I2899" s="4">
        <v>0</v>
      </c>
      <c r="J2899" s="4">
        <v>0</v>
      </c>
      <c r="K2899" s="4">
        <v>40.15</v>
      </c>
      <c r="L2899" s="4">
        <v>0</v>
      </c>
      <c r="M2899" s="4">
        <f t="shared" si="135"/>
        <v>0.02</v>
      </c>
      <c r="N2899" s="4">
        <f t="shared" si="136"/>
        <v>40.15</v>
      </c>
      <c r="O2899" s="4">
        <f t="shared" si="137"/>
        <v>-0.02</v>
      </c>
      <c r="P2899" s="3" t="s">
        <v>19</v>
      </c>
    </row>
    <row r="2900" spans="1:16" x14ac:dyDescent="0.35">
      <c r="A2900" s="3" t="s">
        <v>20</v>
      </c>
      <c r="B2900" s="3" t="str">
        <f>INDEX(State_Region!$B$2:$B$26,MATCH(TRIM(A2900),State_Region!$A$2:$A$26,0))</f>
        <v>West</v>
      </c>
      <c r="C2900" s="3" t="s">
        <v>245</v>
      </c>
      <c r="D2900" s="3" t="str">
        <f>INDEX(Port_Type!$B$2:$B$227,MATCH(TRIM(C2900),Port_Type!$A$2:$A$227,0))</f>
        <v>Air Cargo</v>
      </c>
      <c r="E2900" s="3" t="s">
        <v>53</v>
      </c>
      <c r="F2900" s="3" t="str">
        <f>INDEX(Product_Category!$B$2:$B$45,MATCH(TRIM(E2900),Product_Category!$A$2:$A$45,0))</f>
        <v>Processed Foods</v>
      </c>
      <c r="G2900" s="4">
        <v>0</v>
      </c>
      <c r="H2900" s="4">
        <v>0</v>
      </c>
      <c r="I2900" s="4">
        <v>0</v>
      </c>
      <c r="J2900" s="4">
        <v>0</v>
      </c>
      <c r="K2900" s="4">
        <v>0.01</v>
      </c>
      <c r="L2900" s="4">
        <v>0</v>
      </c>
      <c r="M2900" s="4">
        <f t="shared" si="135"/>
        <v>0</v>
      </c>
      <c r="N2900" s="4">
        <f t="shared" si="136"/>
        <v>0.01</v>
      </c>
      <c r="O2900" s="4">
        <f t="shared" si="137"/>
        <v>0</v>
      </c>
      <c r="P2900" s="3" t="s">
        <v>19</v>
      </c>
    </row>
    <row r="2901" spans="1:16" x14ac:dyDescent="0.35">
      <c r="A2901" s="3" t="s">
        <v>20</v>
      </c>
      <c r="B2901" s="3" t="str">
        <f>INDEX(State_Region!$B$2:$B$26,MATCH(TRIM(A2901),State_Region!$A$2:$A$26,0))</f>
        <v>West</v>
      </c>
      <c r="C2901" s="3" t="s">
        <v>245</v>
      </c>
      <c r="D2901" s="3" t="str">
        <f>INDEX(Port_Type!$B$2:$B$227,MATCH(TRIM(C2901),Port_Type!$A$2:$A$227,0))</f>
        <v>Air Cargo</v>
      </c>
      <c r="E2901" s="3" t="s">
        <v>72</v>
      </c>
      <c r="F2901" s="3" t="str">
        <f>INDEX(Product_Category!$B$2:$B$45,MATCH(TRIM(E2901),Product_Category!$A$2:$A$45,0))</f>
        <v>Dairy, Poultry &amp; Honey</v>
      </c>
      <c r="G2901" s="4">
        <v>0</v>
      </c>
      <c r="H2901" s="4">
        <v>0</v>
      </c>
      <c r="I2901" s="4">
        <v>0</v>
      </c>
      <c r="J2901" s="4">
        <v>0.24</v>
      </c>
      <c r="K2901" s="4">
        <v>0</v>
      </c>
      <c r="L2901" s="4">
        <v>0</v>
      </c>
      <c r="M2901" s="4">
        <f t="shared" si="135"/>
        <v>0</v>
      </c>
      <c r="N2901" s="4">
        <f t="shared" si="136"/>
        <v>-0.24</v>
      </c>
      <c r="O2901" s="4">
        <f t="shared" si="137"/>
        <v>0</v>
      </c>
      <c r="P2901" s="3" t="s">
        <v>19</v>
      </c>
    </row>
    <row r="2902" spans="1:16" x14ac:dyDescent="0.35">
      <c r="A2902" s="3" t="s">
        <v>251</v>
      </c>
      <c r="B2902" s="3" t="str">
        <f>INDEX(State_Region!$B$2:$B$26,MATCH(TRIM(A2902),State_Region!$A$2:$A$26,0))</f>
        <v>South</v>
      </c>
      <c r="C2902" s="3" t="s">
        <v>252</v>
      </c>
      <c r="D2902" s="3" t="str">
        <f>INDEX(Port_Type!$B$2:$B$227,MATCH(TRIM(C2902),Port_Type!$A$2:$A$227,0))</f>
        <v>Inland ICD / CFS</v>
      </c>
      <c r="E2902" s="3" t="s">
        <v>142</v>
      </c>
      <c r="F2902" s="3" t="str">
        <f>INDEX(Product_Category!$B$2:$B$45,MATCH(TRIM(E2902),Product_Category!$A$2:$A$45,0))</f>
        <v>Nuts &amp; Oilseeds</v>
      </c>
      <c r="G2902" s="4">
        <v>0.24</v>
      </c>
      <c r="H2902" s="4">
        <v>0.35</v>
      </c>
      <c r="I2902" s="4">
        <v>0</v>
      </c>
      <c r="J2902" s="4">
        <v>520.04999999999995</v>
      </c>
      <c r="K2902" s="4">
        <v>538</v>
      </c>
      <c r="L2902" s="4">
        <v>0</v>
      </c>
      <c r="M2902" s="4">
        <f t="shared" si="135"/>
        <v>0.10999999999999999</v>
      </c>
      <c r="N2902" s="4">
        <f t="shared" si="136"/>
        <v>17.950000000000045</v>
      </c>
      <c r="O2902" s="4">
        <f t="shared" si="137"/>
        <v>-0.35</v>
      </c>
      <c r="P2902" s="3" t="s">
        <v>19</v>
      </c>
    </row>
    <row r="2903" spans="1:16" x14ac:dyDescent="0.35">
      <c r="A2903" s="3" t="s">
        <v>20</v>
      </c>
      <c r="B2903" s="3" t="str">
        <f>INDEX(State_Region!$B$2:$B$26,MATCH(TRIM(A2903),State_Region!$A$2:$A$26,0))</f>
        <v>West</v>
      </c>
      <c r="C2903" s="3" t="s">
        <v>296</v>
      </c>
      <c r="D2903" s="3" t="str">
        <f>INDEX(Port_Type!$B$2:$B$227,MATCH(TRIM(C2903),Port_Type!$A$2:$A$227,0))</f>
        <v>Sea Port</v>
      </c>
      <c r="E2903" s="3" t="s">
        <v>33</v>
      </c>
      <c r="F2903" s="3" t="str">
        <f>INDEX(Product_Category!$B$2:$B$45,MATCH(TRIM(E2903),Product_Category!$A$2:$A$45,0))</f>
        <v>Pulses</v>
      </c>
      <c r="G2903" s="4">
        <v>0</v>
      </c>
      <c r="H2903" s="4">
        <v>0</v>
      </c>
      <c r="I2903" s="4">
        <v>0</v>
      </c>
      <c r="J2903" s="4">
        <v>0</v>
      </c>
      <c r="K2903" s="4">
        <v>2.44</v>
      </c>
      <c r="L2903" s="4">
        <v>0</v>
      </c>
      <c r="M2903" s="4">
        <f t="shared" si="135"/>
        <v>0</v>
      </c>
      <c r="N2903" s="4">
        <f t="shared" si="136"/>
        <v>2.44</v>
      </c>
      <c r="O2903" s="4">
        <f t="shared" si="137"/>
        <v>0</v>
      </c>
      <c r="P2903" s="3" t="s">
        <v>19</v>
      </c>
    </row>
    <row r="2904" spans="1:16" x14ac:dyDescent="0.35">
      <c r="A2904" s="3" t="s">
        <v>251</v>
      </c>
      <c r="B2904" s="3" t="str">
        <f>INDEX(State_Region!$B$2:$B$26,MATCH(TRIM(A2904),State_Region!$A$2:$A$26,0))</f>
        <v>South</v>
      </c>
      <c r="C2904" s="3" t="s">
        <v>252</v>
      </c>
      <c r="D2904" s="3" t="str">
        <f>INDEX(Port_Type!$B$2:$B$227,MATCH(TRIM(C2904),Port_Type!$A$2:$A$227,0))</f>
        <v>Inland ICD / CFS</v>
      </c>
      <c r="E2904" s="3" t="s">
        <v>72</v>
      </c>
      <c r="F2904" s="3" t="str">
        <f>INDEX(Product_Category!$B$2:$B$45,MATCH(TRIM(E2904),Product_Category!$A$2:$A$45,0))</f>
        <v>Dairy, Poultry &amp; Honey</v>
      </c>
      <c r="G2904" s="4">
        <v>0.01</v>
      </c>
      <c r="H2904" s="4">
        <v>0</v>
      </c>
      <c r="I2904" s="4">
        <v>0</v>
      </c>
      <c r="J2904" s="4">
        <v>0.72</v>
      </c>
      <c r="K2904" s="4">
        <v>0</v>
      </c>
      <c r="L2904" s="4">
        <v>0</v>
      </c>
      <c r="M2904" s="4">
        <f t="shared" si="135"/>
        <v>-0.01</v>
      </c>
      <c r="N2904" s="4">
        <f t="shared" si="136"/>
        <v>-0.72</v>
      </c>
      <c r="O2904" s="4">
        <f t="shared" si="137"/>
        <v>0</v>
      </c>
      <c r="P2904" s="3" t="s">
        <v>19</v>
      </c>
    </row>
    <row r="2905" spans="1:16" x14ac:dyDescent="0.35">
      <c r="A2905" s="3" t="s">
        <v>20</v>
      </c>
      <c r="B2905" s="3" t="str">
        <f>INDEX(State_Region!$B$2:$B$26,MATCH(TRIM(A2905),State_Region!$A$2:$A$26,0))</f>
        <v>West</v>
      </c>
      <c r="C2905" s="3" t="s">
        <v>296</v>
      </c>
      <c r="D2905" s="3" t="str">
        <f>INDEX(Port_Type!$B$2:$B$227,MATCH(TRIM(C2905),Port_Type!$A$2:$A$227,0))</f>
        <v>Sea Port</v>
      </c>
      <c r="E2905" s="3" t="s">
        <v>42</v>
      </c>
      <c r="F2905" s="3" t="str">
        <f>INDEX(Product_Category!$B$2:$B$45,MATCH(TRIM(E2905),Product_Category!$A$2:$A$45,0))</f>
        <v>Processed Foods</v>
      </c>
      <c r="G2905" s="4">
        <v>0</v>
      </c>
      <c r="H2905" s="4">
        <v>0</v>
      </c>
      <c r="I2905" s="4">
        <v>0</v>
      </c>
      <c r="J2905" s="4">
        <v>0</v>
      </c>
      <c r="K2905" s="4">
        <v>0.34</v>
      </c>
      <c r="L2905" s="4">
        <v>0</v>
      </c>
      <c r="M2905" s="4">
        <f t="shared" si="135"/>
        <v>0</v>
      </c>
      <c r="N2905" s="4">
        <f t="shared" si="136"/>
        <v>0.34</v>
      </c>
      <c r="O2905" s="4">
        <f t="shared" si="137"/>
        <v>0</v>
      </c>
      <c r="P2905" s="3" t="s">
        <v>19</v>
      </c>
    </row>
    <row r="2906" spans="1:16" x14ac:dyDescent="0.35">
      <c r="A2906" s="3" t="s">
        <v>251</v>
      </c>
      <c r="B2906" s="3" t="str">
        <f>INDEX(State_Region!$B$2:$B$26,MATCH(TRIM(A2906),State_Region!$A$2:$A$26,0))</f>
        <v>South</v>
      </c>
      <c r="C2906" s="3" t="s">
        <v>252</v>
      </c>
      <c r="D2906" s="3" t="str">
        <f>INDEX(Port_Type!$B$2:$B$227,MATCH(TRIM(C2906),Port_Type!$A$2:$A$227,0))</f>
        <v>Inland ICD / CFS</v>
      </c>
      <c r="E2906" s="3" t="s">
        <v>62</v>
      </c>
      <c r="F2906" s="3" t="str">
        <f>INDEX(Product_Category!$B$2:$B$45,MATCH(TRIM(E2906),Product_Category!$A$2:$A$45,0))</f>
        <v>Cereals &amp; Grains</v>
      </c>
      <c r="G2906" s="4">
        <v>0</v>
      </c>
      <c r="H2906" s="4">
        <v>0</v>
      </c>
      <c r="I2906" s="4">
        <v>0</v>
      </c>
      <c r="J2906" s="4">
        <v>0.2</v>
      </c>
      <c r="K2906" s="4">
        <v>0.57999999999999996</v>
      </c>
      <c r="L2906" s="4">
        <v>0</v>
      </c>
      <c r="M2906" s="4">
        <f t="shared" si="135"/>
        <v>0</v>
      </c>
      <c r="N2906" s="4">
        <f t="shared" si="136"/>
        <v>0.37999999999999995</v>
      </c>
      <c r="O2906" s="4">
        <f t="shared" si="137"/>
        <v>0</v>
      </c>
      <c r="P2906" s="3" t="s">
        <v>19</v>
      </c>
    </row>
    <row r="2907" spans="1:16" x14ac:dyDescent="0.35">
      <c r="A2907" s="3" t="s">
        <v>251</v>
      </c>
      <c r="B2907" s="3" t="str">
        <f>INDEX(State_Region!$B$2:$B$26,MATCH(TRIM(A2907),State_Region!$A$2:$A$26,0))</f>
        <v>South</v>
      </c>
      <c r="C2907" s="3" t="s">
        <v>252</v>
      </c>
      <c r="D2907" s="3" t="str">
        <f>INDEX(Port_Type!$B$2:$B$227,MATCH(TRIM(C2907),Port_Type!$A$2:$A$227,0))</f>
        <v>Inland ICD / CFS</v>
      </c>
      <c r="E2907" s="3" t="s">
        <v>65</v>
      </c>
      <c r="F2907" s="3" t="str">
        <f>INDEX(Product_Category!$B$2:$B$45,MATCH(TRIM(E2907),Product_Category!$A$2:$A$45,0))</f>
        <v>Cereals &amp; Grains</v>
      </c>
      <c r="G2907" s="4">
        <v>0</v>
      </c>
      <c r="H2907" s="4">
        <v>0.01</v>
      </c>
      <c r="I2907" s="4">
        <v>0</v>
      </c>
      <c r="J2907" s="4">
        <v>0</v>
      </c>
      <c r="K2907" s="4">
        <v>8.61</v>
      </c>
      <c r="L2907" s="4">
        <v>0</v>
      </c>
      <c r="M2907" s="4">
        <f t="shared" si="135"/>
        <v>0.01</v>
      </c>
      <c r="N2907" s="4">
        <f t="shared" si="136"/>
        <v>8.61</v>
      </c>
      <c r="O2907" s="4">
        <f t="shared" si="137"/>
        <v>-0.01</v>
      </c>
      <c r="P2907" s="3" t="s">
        <v>19</v>
      </c>
    </row>
    <row r="2908" spans="1:16" x14ac:dyDescent="0.35">
      <c r="A2908" s="3" t="s">
        <v>251</v>
      </c>
      <c r="B2908" s="3" t="str">
        <f>INDEX(State_Region!$B$2:$B$26,MATCH(TRIM(A2908),State_Region!$A$2:$A$26,0))</f>
        <v>South</v>
      </c>
      <c r="C2908" s="3" t="s">
        <v>252</v>
      </c>
      <c r="D2908" s="3" t="str">
        <f>INDEX(Port_Type!$B$2:$B$227,MATCH(TRIM(C2908),Port_Type!$A$2:$A$227,0))</f>
        <v>Inland ICD / CFS</v>
      </c>
      <c r="E2908" s="3" t="s">
        <v>27</v>
      </c>
      <c r="F2908" s="3" t="str">
        <f>INDEX(Product_Category!$B$2:$B$45,MATCH(TRIM(E2908),Product_Category!$A$2:$A$45,0))</f>
        <v>Cereals &amp; Grains</v>
      </c>
      <c r="G2908" s="4">
        <v>0</v>
      </c>
      <c r="H2908" s="4">
        <v>0</v>
      </c>
      <c r="I2908" s="4">
        <v>0</v>
      </c>
      <c r="J2908" s="4">
        <v>0</v>
      </c>
      <c r="K2908" s="4">
        <v>0.1</v>
      </c>
      <c r="L2908" s="4">
        <v>0</v>
      </c>
      <c r="M2908" s="4">
        <f t="shared" si="135"/>
        <v>0</v>
      </c>
      <c r="N2908" s="4">
        <f t="shared" si="136"/>
        <v>0.1</v>
      </c>
      <c r="O2908" s="4">
        <f t="shared" si="137"/>
        <v>0</v>
      </c>
      <c r="P2908" s="3" t="s">
        <v>19</v>
      </c>
    </row>
    <row r="2909" spans="1:16" x14ac:dyDescent="0.35">
      <c r="A2909" s="3" t="s">
        <v>251</v>
      </c>
      <c r="B2909" s="3" t="str">
        <f>INDEX(State_Region!$B$2:$B$26,MATCH(TRIM(A2909),State_Region!$A$2:$A$26,0))</f>
        <v>South</v>
      </c>
      <c r="C2909" s="3" t="s">
        <v>252</v>
      </c>
      <c r="D2909" s="3" t="str">
        <f>INDEX(Port_Type!$B$2:$B$227,MATCH(TRIM(C2909),Port_Type!$A$2:$A$227,0))</f>
        <v>Inland ICD / CFS</v>
      </c>
      <c r="E2909" s="3" t="s">
        <v>42</v>
      </c>
      <c r="F2909" s="3" t="str">
        <f>INDEX(Product_Category!$B$2:$B$45,MATCH(TRIM(E2909),Product_Category!$A$2:$A$45,0))</f>
        <v>Processed Foods</v>
      </c>
      <c r="G2909" s="4">
        <v>0</v>
      </c>
      <c r="H2909" s="4">
        <v>0</v>
      </c>
      <c r="I2909" s="4">
        <v>0</v>
      </c>
      <c r="J2909" s="4">
        <v>0</v>
      </c>
      <c r="K2909" s="4">
        <v>0.13</v>
      </c>
      <c r="L2909" s="4">
        <v>0</v>
      </c>
      <c r="M2909" s="4">
        <f t="shared" si="135"/>
        <v>0</v>
      </c>
      <c r="N2909" s="4">
        <f t="shared" si="136"/>
        <v>0.13</v>
      </c>
      <c r="O2909" s="4">
        <f t="shared" si="137"/>
        <v>0</v>
      </c>
      <c r="P2909" s="3" t="s">
        <v>19</v>
      </c>
    </row>
    <row r="2910" spans="1:16" x14ac:dyDescent="0.35">
      <c r="A2910" s="3" t="s">
        <v>251</v>
      </c>
      <c r="B2910" s="3" t="str">
        <f>INDEX(State_Region!$B$2:$B$26,MATCH(TRIM(A2910),State_Region!$A$2:$A$26,0))</f>
        <v>South</v>
      </c>
      <c r="C2910" s="3" t="s">
        <v>252</v>
      </c>
      <c r="D2910" s="3" t="str">
        <f>INDEX(Port_Type!$B$2:$B$227,MATCH(TRIM(C2910),Port_Type!$A$2:$A$227,0))</f>
        <v>Inland ICD / CFS</v>
      </c>
      <c r="E2910" s="3" t="s">
        <v>181</v>
      </c>
      <c r="F2910" s="3" t="str">
        <f>INDEX(Product_Category!$B$2:$B$45,MATCH(TRIM(E2910),Product_Category!$A$2:$A$45,0))</f>
        <v>Nuts &amp; Oilseeds</v>
      </c>
      <c r="G2910" s="4">
        <v>0</v>
      </c>
      <c r="H2910" s="4">
        <v>0.01</v>
      </c>
      <c r="I2910" s="4">
        <v>0</v>
      </c>
      <c r="J2910" s="4">
        <v>0.15</v>
      </c>
      <c r="K2910" s="4">
        <v>0.56000000000000005</v>
      </c>
      <c r="L2910" s="4">
        <v>0</v>
      </c>
      <c r="M2910" s="4">
        <f t="shared" si="135"/>
        <v>0.01</v>
      </c>
      <c r="N2910" s="4">
        <f t="shared" si="136"/>
        <v>0.41000000000000003</v>
      </c>
      <c r="O2910" s="4">
        <f t="shared" si="137"/>
        <v>-0.01</v>
      </c>
      <c r="P2910" s="3" t="s">
        <v>19</v>
      </c>
    </row>
    <row r="2911" spans="1:16" x14ac:dyDescent="0.35">
      <c r="A2911" s="3" t="s">
        <v>66</v>
      </c>
      <c r="B2911" s="3" t="str">
        <f>INDEX(State_Region!$B$2:$B$26,MATCH(TRIM(A2911),State_Region!$A$2:$A$26,0))</f>
        <v>North</v>
      </c>
      <c r="C2911" s="3" t="s">
        <v>219</v>
      </c>
      <c r="D2911" s="3" t="str">
        <f>INDEX(Port_Type!$B$2:$B$227,MATCH(TRIM(C2911),Port_Type!$A$2:$A$227,0))</f>
        <v>Air Cargo</v>
      </c>
      <c r="E2911" s="3" t="s">
        <v>18</v>
      </c>
      <c r="F2911" s="3" t="str">
        <f>INDEX(Product_Category!$B$2:$B$45,MATCH(TRIM(E2911),Product_Category!$A$2:$A$45,0))</f>
        <v>Cereals &amp; Grains</v>
      </c>
      <c r="G2911" s="4">
        <v>0</v>
      </c>
      <c r="H2911" s="4">
        <v>0.03</v>
      </c>
      <c r="I2911" s="4">
        <v>0</v>
      </c>
      <c r="J2911" s="4">
        <v>0.04</v>
      </c>
      <c r="K2911" s="4">
        <v>28.75</v>
      </c>
      <c r="L2911" s="4">
        <v>0</v>
      </c>
      <c r="M2911" s="4">
        <f t="shared" si="135"/>
        <v>0.03</v>
      </c>
      <c r="N2911" s="4">
        <f t="shared" si="136"/>
        <v>28.71</v>
      </c>
      <c r="O2911" s="4">
        <f t="shared" si="137"/>
        <v>-0.03</v>
      </c>
      <c r="P2911" s="3" t="s">
        <v>19</v>
      </c>
    </row>
    <row r="2912" spans="1:16" x14ac:dyDescent="0.35">
      <c r="A2912" s="3" t="s">
        <v>66</v>
      </c>
      <c r="B2912" s="3" t="str">
        <f>INDEX(State_Region!$B$2:$B$26,MATCH(TRIM(A2912),State_Region!$A$2:$A$26,0))</f>
        <v>North</v>
      </c>
      <c r="C2912" s="3" t="s">
        <v>219</v>
      </c>
      <c r="D2912" s="3" t="str">
        <f>INDEX(Port_Type!$B$2:$B$227,MATCH(TRIM(C2912),Port_Type!$A$2:$A$227,0))</f>
        <v>Air Cargo</v>
      </c>
      <c r="E2912" s="3" t="s">
        <v>72</v>
      </c>
      <c r="F2912" s="3" t="str">
        <f>INDEX(Product_Category!$B$2:$B$45,MATCH(TRIM(E2912),Product_Category!$A$2:$A$45,0))</f>
        <v>Dairy, Poultry &amp; Honey</v>
      </c>
      <c r="G2912" s="4">
        <v>0</v>
      </c>
      <c r="H2912" s="4">
        <v>0</v>
      </c>
      <c r="I2912" s="4">
        <v>0</v>
      </c>
      <c r="J2912" s="4">
        <v>0.14000000000000001</v>
      </c>
      <c r="K2912" s="4">
        <v>0</v>
      </c>
      <c r="L2912" s="4">
        <v>0</v>
      </c>
      <c r="M2912" s="4">
        <f t="shared" si="135"/>
        <v>0</v>
      </c>
      <c r="N2912" s="4">
        <f t="shared" si="136"/>
        <v>-0.14000000000000001</v>
      </c>
      <c r="O2912" s="4">
        <f t="shared" si="137"/>
        <v>0</v>
      </c>
      <c r="P2912" s="3" t="s">
        <v>19</v>
      </c>
    </row>
    <row r="2913" spans="1:16" x14ac:dyDescent="0.35">
      <c r="A2913" s="3" t="s">
        <v>20</v>
      </c>
      <c r="B2913" s="3" t="str">
        <f>INDEX(State_Region!$B$2:$B$26,MATCH(TRIM(A2913),State_Region!$A$2:$A$26,0))</f>
        <v>West</v>
      </c>
      <c r="C2913" s="3" t="s">
        <v>296</v>
      </c>
      <c r="D2913" s="3" t="str">
        <f>INDEX(Port_Type!$B$2:$B$227,MATCH(TRIM(C2913),Port_Type!$A$2:$A$227,0))</f>
        <v>Sea Port</v>
      </c>
      <c r="E2913" s="3" t="s">
        <v>54</v>
      </c>
      <c r="F2913" s="3" t="str">
        <f>INDEX(Product_Category!$B$2:$B$45,MATCH(TRIM(E2913),Product_Category!$A$2:$A$45,0))</f>
        <v>Processed Foods</v>
      </c>
      <c r="G2913" s="4">
        <v>0</v>
      </c>
      <c r="H2913" s="4">
        <v>0</v>
      </c>
      <c r="I2913" s="4">
        <v>0</v>
      </c>
      <c r="J2913" s="4">
        <v>0</v>
      </c>
      <c r="K2913" s="4">
        <v>0.32</v>
      </c>
      <c r="L2913" s="4">
        <v>0</v>
      </c>
      <c r="M2913" s="4">
        <f t="shared" si="135"/>
        <v>0</v>
      </c>
      <c r="N2913" s="4">
        <f t="shared" si="136"/>
        <v>0.32</v>
      </c>
      <c r="O2913" s="4">
        <f t="shared" si="137"/>
        <v>0</v>
      </c>
      <c r="P2913" s="3" t="s">
        <v>19</v>
      </c>
    </row>
    <row r="2914" spans="1:16" x14ac:dyDescent="0.35">
      <c r="A2914" s="3" t="s">
        <v>66</v>
      </c>
      <c r="B2914" s="3" t="str">
        <f>INDEX(State_Region!$B$2:$B$26,MATCH(TRIM(A2914),State_Region!$A$2:$A$26,0))</f>
        <v>North</v>
      </c>
      <c r="C2914" s="3" t="s">
        <v>219</v>
      </c>
      <c r="D2914" s="3" t="str">
        <f>INDEX(Port_Type!$B$2:$B$227,MATCH(TRIM(C2914),Port_Type!$A$2:$A$227,0))</f>
        <v>Air Cargo</v>
      </c>
      <c r="E2914" s="3" t="s">
        <v>55</v>
      </c>
      <c r="F2914" s="3" t="str">
        <f>INDEX(Product_Category!$B$2:$B$45,MATCH(TRIM(E2914),Product_Category!$A$2:$A$45,0))</f>
        <v>Fresh Fruits &amp; Vegetables</v>
      </c>
      <c r="G2914" s="4">
        <v>0</v>
      </c>
      <c r="H2914" s="4">
        <v>0</v>
      </c>
      <c r="I2914" s="4">
        <v>0</v>
      </c>
      <c r="J2914" s="4">
        <v>0</v>
      </c>
      <c r="K2914" s="4">
        <v>0.02</v>
      </c>
      <c r="L2914" s="4">
        <v>0</v>
      </c>
      <c r="M2914" s="4">
        <f t="shared" si="135"/>
        <v>0</v>
      </c>
      <c r="N2914" s="4">
        <f t="shared" si="136"/>
        <v>0.02</v>
      </c>
      <c r="O2914" s="4">
        <f t="shared" si="137"/>
        <v>0</v>
      </c>
      <c r="P2914" s="3" t="s">
        <v>19</v>
      </c>
    </row>
    <row r="2915" spans="1:16" x14ac:dyDescent="0.35">
      <c r="A2915" s="3" t="s">
        <v>66</v>
      </c>
      <c r="B2915" s="3" t="str">
        <f>INDEX(State_Region!$B$2:$B$26,MATCH(TRIM(A2915),State_Region!$A$2:$A$26,0))</f>
        <v>North</v>
      </c>
      <c r="C2915" s="3" t="s">
        <v>219</v>
      </c>
      <c r="D2915" s="3" t="str">
        <f>INDEX(Port_Type!$B$2:$B$227,MATCH(TRIM(C2915),Port_Type!$A$2:$A$227,0))</f>
        <v>Air Cargo</v>
      </c>
      <c r="E2915" s="3" t="s">
        <v>53</v>
      </c>
      <c r="F2915" s="3" t="str">
        <f>INDEX(Product_Category!$B$2:$B$45,MATCH(TRIM(E2915),Product_Category!$A$2:$A$45,0))</f>
        <v>Processed Foods</v>
      </c>
      <c r="G2915" s="4">
        <v>0</v>
      </c>
      <c r="H2915" s="4">
        <v>0</v>
      </c>
      <c r="I2915" s="4">
        <v>0</v>
      </c>
      <c r="J2915" s="4">
        <v>0.6</v>
      </c>
      <c r="K2915" s="4">
        <v>0</v>
      </c>
      <c r="L2915" s="4">
        <v>0</v>
      </c>
      <c r="M2915" s="4">
        <f t="shared" si="135"/>
        <v>0</v>
      </c>
      <c r="N2915" s="4">
        <f t="shared" si="136"/>
        <v>-0.6</v>
      </c>
      <c r="O2915" s="4">
        <f t="shared" si="137"/>
        <v>0</v>
      </c>
      <c r="P2915" s="3" t="s">
        <v>19</v>
      </c>
    </row>
    <row r="2916" spans="1:16" x14ac:dyDescent="0.35">
      <c r="A2916" s="3" t="s">
        <v>20</v>
      </c>
      <c r="B2916" s="3" t="str">
        <f>INDEX(State_Region!$B$2:$B$26,MATCH(TRIM(A2916),State_Region!$A$2:$A$26,0))</f>
        <v>West</v>
      </c>
      <c r="C2916" s="3" t="s">
        <v>296</v>
      </c>
      <c r="D2916" s="3" t="str">
        <f>INDEX(Port_Type!$B$2:$B$227,MATCH(TRIM(C2916),Port_Type!$A$2:$A$227,0))</f>
        <v>Sea Port</v>
      </c>
      <c r="E2916" s="3" t="s">
        <v>170</v>
      </c>
      <c r="F2916" s="3" t="str">
        <f>INDEX(Product_Category!$B$2:$B$45,MATCH(TRIM(E2916),Product_Category!$A$2:$A$45,0))</f>
        <v>Others</v>
      </c>
      <c r="G2916" s="4">
        <v>0</v>
      </c>
      <c r="H2916" s="4">
        <v>0</v>
      </c>
      <c r="I2916" s="4">
        <v>0</v>
      </c>
      <c r="J2916" s="4">
        <v>0</v>
      </c>
      <c r="K2916" s="4">
        <v>0.01</v>
      </c>
      <c r="L2916" s="4">
        <v>0</v>
      </c>
      <c r="M2916" s="4">
        <f t="shared" si="135"/>
        <v>0</v>
      </c>
      <c r="N2916" s="4">
        <f t="shared" si="136"/>
        <v>0.01</v>
      </c>
      <c r="O2916" s="4">
        <f t="shared" si="137"/>
        <v>0</v>
      </c>
      <c r="P2916" s="3" t="s">
        <v>19</v>
      </c>
    </row>
    <row r="2917" spans="1:16" x14ac:dyDescent="0.35">
      <c r="A2917" s="3" t="s">
        <v>66</v>
      </c>
      <c r="B2917" s="3" t="str">
        <f>INDEX(State_Region!$B$2:$B$26,MATCH(TRIM(A2917),State_Region!$A$2:$A$26,0))</f>
        <v>North</v>
      </c>
      <c r="C2917" s="3" t="s">
        <v>219</v>
      </c>
      <c r="D2917" s="3" t="str">
        <f>INDEX(Port_Type!$B$2:$B$227,MATCH(TRIM(C2917),Port_Type!$A$2:$A$227,0))</f>
        <v>Air Cargo</v>
      </c>
      <c r="E2917" s="3" t="s">
        <v>27</v>
      </c>
      <c r="F2917" s="3" t="str">
        <f>INDEX(Product_Category!$B$2:$B$45,MATCH(TRIM(E2917),Product_Category!$A$2:$A$45,0))</f>
        <v>Cereals &amp; Grains</v>
      </c>
      <c r="G2917" s="4">
        <v>0</v>
      </c>
      <c r="H2917" s="4">
        <v>0</v>
      </c>
      <c r="I2917" s="4">
        <v>0</v>
      </c>
      <c r="J2917" s="4">
        <v>0</v>
      </c>
      <c r="K2917" s="4">
        <v>0.01</v>
      </c>
      <c r="L2917" s="4">
        <v>0</v>
      </c>
      <c r="M2917" s="4">
        <f t="shared" si="135"/>
        <v>0</v>
      </c>
      <c r="N2917" s="4">
        <f t="shared" si="136"/>
        <v>0.01</v>
      </c>
      <c r="O2917" s="4">
        <f t="shared" si="137"/>
        <v>0</v>
      </c>
      <c r="P2917" s="3" t="s">
        <v>19</v>
      </c>
    </row>
    <row r="2918" spans="1:16" x14ac:dyDescent="0.35">
      <c r="A2918" s="3" t="s">
        <v>20</v>
      </c>
      <c r="B2918" s="3" t="str">
        <f>INDEX(State_Region!$B$2:$B$26,MATCH(TRIM(A2918),State_Region!$A$2:$A$26,0))</f>
        <v>West</v>
      </c>
      <c r="C2918" s="3" t="s">
        <v>296</v>
      </c>
      <c r="D2918" s="3" t="str">
        <f>INDEX(Port_Type!$B$2:$B$227,MATCH(TRIM(C2918),Port_Type!$A$2:$A$227,0))</f>
        <v>Sea Port</v>
      </c>
      <c r="E2918" s="3" t="s">
        <v>102</v>
      </c>
      <c r="F2918" s="3" t="str">
        <f>INDEX(Product_Category!$B$2:$B$45,MATCH(TRIM(E2918),Product_Category!$A$2:$A$45,0))</f>
        <v>Fresh Fruits &amp; Vegetables</v>
      </c>
      <c r="G2918" s="4">
        <v>0</v>
      </c>
      <c r="H2918" s="4">
        <v>0</v>
      </c>
      <c r="I2918" s="4">
        <v>0</v>
      </c>
      <c r="J2918" s="4">
        <v>0</v>
      </c>
      <c r="K2918" s="4">
        <v>0.9</v>
      </c>
      <c r="L2918" s="4">
        <v>0</v>
      </c>
      <c r="M2918" s="4">
        <f t="shared" si="135"/>
        <v>0</v>
      </c>
      <c r="N2918" s="4">
        <f t="shared" si="136"/>
        <v>0.9</v>
      </c>
      <c r="O2918" s="4">
        <f t="shared" si="137"/>
        <v>0</v>
      </c>
      <c r="P2918" s="3" t="s">
        <v>19</v>
      </c>
    </row>
    <row r="2919" spans="1:16" x14ac:dyDescent="0.35">
      <c r="A2919" s="3" t="s">
        <v>20</v>
      </c>
      <c r="B2919" s="3" t="str">
        <f>INDEX(State_Region!$B$2:$B$26,MATCH(TRIM(A2919),State_Region!$A$2:$A$26,0))</f>
        <v>West</v>
      </c>
      <c r="C2919" s="3" t="s">
        <v>296</v>
      </c>
      <c r="D2919" s="3" t="str">
        <f>INDEX(Port_Type!$B$2:$B$227,MATCH(TRIM(C2919),Port_Type!$A$2:$A$227,0))</f>
        <v>Sea Port</v>
      </c>
      <c r="E2919" s="3" t="s">
        <v>45</v>
      </c>
      <c r="F2919" s="3" t="str">
        <f>INDEX(Product_Category!$B$2:$B$45,MATCH(TRIM(E2919),Product_Category!$A$2:$A$45,0))</f>
        <v>Fresh Fruits &amp; Vegetables</v>
      </c>
      <c r="G2919" s="4">
        <v>0</v>
      </c>
      <c r="H2919" s="4">
        <v>0</v>
      </c>
      <c r="I2919" s="4">
        <v>0</v>
      </c>
      <c r="J2919" s="4">
        <v>0</v>
      </c>
      <c r="K2919" s="4">
        <v>0.01</v>
      </c>
      <c r="L2919" s="4">
        <v>0</v>
      </c>
      <c r="M2919" s="4">
        <f t="shared" si="135"/>
        <v>0</v>
      </c>
      <c r="N2919" s="4">
        <f t="shared" si="136"/>
        <v>0.01</v>
      </c>
      <c r="O2919" s="4">
        <f t="shared" si="137"/>
        <v>0</v>
      </c>
      <c r="P2919" s="3" t="s">
        <v>19</v>
      </c>
    </row>
    <row r="2920" spans="1:16" x14ac:dyDescent="0.35">
      <c r="A2920" s="3" t="s">
        <v>66</v>
      </c>
      <c r="B2920" s="3" t="str">
        <f>INDEX(State_Region!$B$2:$B$26,MATCH(TRIM(A2920),State_Region!$A$2:$A$26,0))</f>
        <v>North</v>
      </c>
      <c r="C2920" s="3" t="s">
        <v>219</v>
      </c>
      <c r="D2920" s="3" t="str">
        <f>INDEX(Port_Type!$B$2:$B$227,MATCH(TRIM(C2920),Port_Type!$A$2:$A$227,0))</f>
        <v>Air Cargo</v>
      </c>
      <c r="E2920" s="3" t="s">
        <v>170</v>
      </c>
      <c r="F2920" s="3" t="str">
        <f>INDEX(Product_Category!$B$2:$B$45,MATCH(TRIM(E2920),Product_Category!$A$2:$A$45,0))</f>
        <v>Others</v>
      </c>
      <c r="G2920" s="4">
        <v>0.01</v>
      </c>
      <c r="H2920" s="4">
        <v>0</v>
      </c>
      <c r="I2920" s="4">
        <v>0</v>
      </c>
      <c r="J2920" s="4">
        <v>4.5999999999999996</v>
      </c>
      <c r="K2920" s="4">
        <v>0</v>
      </c>
      <c r="L2920" s="4">
        <v>0</v>
      </c>
      <c r="M2920" s="4">
        <f t="shared" si="135"/>
        <v>-0.01</v>
      </c>
      <c r="N2920" s="4">
        <f t="shared" si="136"/>
        <v>-4.5999999999999996</v>
      </c>
      <c r="O2920" s="4">
        <f t="shared" si="137"/>
        <v>0</v>
      </c>
      <c r="P2920" s="3" t="s">
        <v>19</v>
      </c>
    </row>
    <row r="2921" spans="1:16" x14ac:dyDescent="0.35">
      <c r="A2921" s="3" t="s">
        <v>66</v>
      </c>
      <c r="B2921" s="3" t="str">
        <f>INDEX(State_Region!$B$2:$B$26,MATCH(TRIM(A2921),State_Region!$A$2:$A$26,0))</f>
        <v>North</v>
      </c>
      <c r="C2921" s="3" t="s">
        <v>219</v>
      </c>
      <c r="D2921" s="3" t="str">
        <f>INDEX(Port_Type!$B$2:$B$227,MATCH(TRIM(C2921),Port_Type!$A$2:$A$227,0))</f>
        <v>Air Cargo</v>
      </c>
      <c r="E2921" s="3" t="s">
        <v>54</v>
      </c>
      <c r="F2921" s="3" t="str">
        <f>INDEX(Product_Category!$B$2:$B$45,MATCH(TRIM(E2921),Product_Category!$A$2:$A$45,0))</f>
        <v>Processed Foods</v>
      </c>
      <c r="G2921" s="4">
        <v>0</v>
      </c>
      <c r="H2921" s="4">
        <v>0</v>
      </c>
      <c r="I2921" s="4">
        <v>0</v>
      </c>
      <c r="J2921" s="4">
        <v>0</v>
      </c>
      <c r="K2921" s="4">
        <v>0.2</v>
      </c>
      <c r="L2921" s="4">
        <v>0</v>
      </c>
      <c r="M2921" s="4">
        <f t="shared" si="135"/>
        <v>0</v>
      </c>
      <c r="N2921" s="4">
        <f t="shared" si="136"/>
        <v>0.2</v>
      </c>
      <c r="O2921" s="4">
        <f t="shared" si="137"/>
        <v>0</v>
      </c>
      <c r="P2921" s="3" t="s">
        <v>19</v>
      </c>
    </row>
    <row r="2922" spans="1:16" x14ac:dyDescent="0.35">
      <c r="A2922" s="3" t="s">
        <v>20</v>
      </c>
      <c r="B2922" s="3" t="str">
        <f>INDEX(State_Region!$B$2:$B$26,MATCH(TRIM(A2922),State_Region!$A$2:$A$26,0))</f>
        <v>West</v>
      </c>
      <c r="C2922" s="3" t="s">
        <v>296</v>
      </c>
      <c r="D2922" s="3" t="str">
        <f>INDEX(Port_Type!$B$2:$B$227,MATCH(TRIM(C2922),Port_Type!$A$2:$A$227,0))</f>
        <v>Sea Port</v>
      </c>
      <c r="E2922" s="3" t="s">
        <v>126</v>
      </c>
      <c r="F2922" s="3" t="str">
        <f>INDEX(Product_Category!$B$2:$B$45,MATCH(TRIM(E2922),Product_Category!$A$2:$A$45,0))</f>
        <v>Cereals &amp; Grains</v>
      </c>
      <c r="G2922" s="4">
        <v>0</v>
      </c>
      <c r="H2922" s="4">
        <v>0</v>
      </c>
      <c r="I2922" s="4">
        <v>0</v>
      </c>
      <c r="J2922" s="4">
        <v>0</v>
      </c>
      <c r="K2922" s="4">
        <v>0.02</v>
      </c>
      <c r="L2922" s="4">
        <v>0</v>
      </c>
      <c r="M2922" s="4">
        <f t="shared" si="135"/>
        <v>0</v>
      </c>
      <c r="N2922" s="4">
        <f t="shared" si="136"/>
        <v>0.02</v>
      </c>
      <c r="O2922" s="4">
        <f t="shared" si="137"/>
        <v>0</v>
      </c>
      <c r="P2922" s="3" t="s">
        <v>19</v>
      </c>
    </row>
    <row r="2923" spans="1:16" x14ac:dyDescent="0.35">
      <c r="A2923" s="3" t="s">
        <v>66</v>
      </c>
      <c r="B2923" s="3" t="str">
        <f>INDEX(State_Region!$B$2:$B$26,MATCH(TRIM(A2923),State_Region!$A$2:$A$26,0))</f>
        <v>North</v>
      </c>
      <c r="C2923" s="3" t="s">
        <v>219</v>
      </c>
      <c r="D2923" s="3" t="str">
        <f>INDEX(Port_Type!$B$2:$B$227,MATCH(TRIM(C2923),Port_Type!$A$2:$A$227,0))</f>
        <v>Air Cargo</v>
      </c>
      <c r="E2923" s="3" t="s">
        <v>33</v>
      </c>
      <c r="F2923" s="3" t="str">
        <f>INDEX(Product_Category!$B$2:$B$45,MATCH(TRIM(E2923),Product_Category!$A$2:$A$45,0))</f>
        <v>Pulses</v>
      </c>
      <c r="G2923" s="4">
        <v>0</v>
      </c>
      <c r="H2923" s="4">
        <v>0</v>
      </c>
      <c r="I2923" s="4">
        <v>0</v>
      </c>
      <c r="J2923" s="4">
        <v>0.53</v>
      </c>
      <c r="K2923" s="4">
        <v>0</v>
      </c>
      <c r="L2923" s="4">
        <v>0</v>
      </c>
      <c r="M2923" s="4">
        <f t="shared" si="135"/>
        <v>0</v>
      </c>
      <c r="N2923" s="4">
        <f t="shared" si="136"/>
        <v>-0.53</v>
      </c>
      <c r="O2923" s="4">
        <f t="shared" si="137"/>
        <v>0</v>
      </c>
      <c r="P2923" s="3" t="s">
        <v>19</v>
      </c>
    </row>
    <row r="2924" spans="1:16" x14ac:dyDescent="0.35">
      <c r="A2924" s="3" t="s">
        <v>66</v>
      </c>
      <c r="B2924" s="3" t="str">
        <f>INDEX(State_Region!$B$2:$B$26,MATCH(TRIM(A2924),State_Region!$A$2:$A$26,0))</f>
        <v>North</v>
      </c>
      <c r="C2924" s="3" t="s">
        <v>67</v>
      </c>
      <c r="D2924" s="3" t="str">
        <f>INDEX(Port_Type!$B$2:$B$227,MATCH(TRIM(C2924),Port_Type!$A$2:$A$227,0))</f>
        <v>Inland ICD / CFS</v>
      </c>
      <c r="E2924" s="3" t="s">
        <v>18</v>
      </c>
      <c r="F2924" s="3" t="str">
        <f>INDEX(Product_Category!$B$2:$B$45,MATCH(TRIM(E2924),Product_Category!$A$2:$A$45,0))</f>
        <v>Cereals &amp; Grains</v>
      </c>
      <c r="G2924" s="4">
        <v>0.01</v>
      </c>
      <c r="H2924" s="4">
        <v>0.14000000000000001</v>
      </c>
      <c r="I2924" s="4">
        <v>0</v>
      </c>
      <c r="J2924" s="4">
        <v>5.7</v>
      </c>
      <c r="K2924" s="4">
        <v>307</v>
      </c>
      <c r="L2924" s="4">
        <v>0</v>
      </c>
      <c r="M2924" s="4">
        <f t="shared" si="135"/>
        <v>0.13</v>
      </c>
      <c r="N2924" s="4">
        <f t="shared" si="136"/>
        <v>301.3</v>
      </c>
      <c r="O2924" s="4">
        <f t="shared" si="137"/>
        <v>-0.14000000000000001</v>
      </c>
      <c r="P2924" s="3" t="s">
        <v>19</v>
      </c>
    </row>
    <row r="2925" spans="1:16" x14ac:dyDescent="0.35">
      <c r="A2925" s="3" t="s">
        <v>20</v>
      </c>
      <c r="B2925" s="3" t="str">
        <f>INDEX(State_Region!$B$2:$B$26,MATCH(TRIM(A2925),State_Region!$A$2:$A$26,0))</f>
        <v>West</v>
      </c>
      <c r="C2925" s="3" t="s">
        <v>296</v>
      </c>
      <c r="D2925" s="3" t="str">
        <f>INDEX(Port_Type!$B$2:$B$227,MATCH(TRIM(C2925),Port_Type!$A$2:$A$227,0))</f>
        <v>Sea Port</v>
      </c>
      <c r="E2925" s="3" t="s">
        <v>27</v>
      </c>
      <c r="F2925" s="3" t="str">
        <f>INDEX(Product_Category!$B$2:$B$45,MATCH(TRIM(E2925),Product_Category!$A$2:$A$45,0))</f>
        <v>Cereals &amp; Grains</v>
      </c>
      <c r="G2925" s="4">
        <v>0</v>
      </c>
      <c r="H2925" s="4">
        <v>0</v>
      </c>
      <c r="I2925" s="4">
        <v>0</v>
      </c>
      <c r="J2925" s="4">
        <v>0</v>
      </c>
      <c r="K2925" s="4">
        <v>6.51</v>
      </c>
      <c r="L2925" s="4">
        <v>0</v>
      </c>
      <c r="M2925" s="4">
        <f t="shared" si="135"/>
        <v>0</v>
      </c>
      <c r="N2925" s="4">
        <f t="shared" si="136"/>
        <v>6.51</v>
      </c>
      <c r="O2925" s="4">
        <f t="shared" si="137"/>
        <v>0</v>
      </c>
      <c r="P2925" s="3" t="s">
        <v>19</v>
      </c>
    </row>
    <row r="2926" spans="1:16" x14ac:dyDescent="0.35">
      <c r="A2926" s="3" t="s">
        <v>66</v>
      </c>
      <c r="B2926" s="3" t="str">
        <f>INDEX(State_Region!$B$2:$B$26,MATCH(TRIM(A2926),State_Region!$A$2:$A$26,0))</f>
        <v>North</v>
      </c>
      <c r="C2926" s="3" t="s">
        <v>67</v>
      </c>
      <c r="D2926" s="3" t="str">
        <f>INDEX(Port_Type!$B$2:$B$227,MATCH(TRIM(C2926),Port_Type!$A$2:$A$227,0))</f>
        <v>Inland ICD / CFS</v>
      </c>
      <c r="E2926" s="3" t="s">
        <v>59</v>
      </c>
      <c r="F2926" s="3" t="str">
        <f>INDEX(Product_Category!$B$2:$B$45,MATCH(TRIM(E2926),Product_Category!$A$2:$A$45,0))</f>
        <v>Processed Foods</v>
      </c>
      <c r="G2926" s="4">
        <v>0</v>
      </c>
      <c r="H2926" s="4">
        <v>0</v>
      </c>
      <c r="I2926" s="4">
        <v>0</v>
      </c>
      <c r="J2926" s="4">
        <v>0.26</v>
      </c>
      <c r="K2926" s="4">
        <v>0.02</v>
      </c>
      <c r="L2926" s="4">
        <v>0</v>
      </c>
      <c r="M2926" s="4">
        <f t="shared" si="135"/>
        <v>0</v>
      </c>
      <c r="N2926" s="4">
        <f t="shared" si="136"/>
        <v>-0.24000000000000002</v>
      </c>
      <c r="O2926" s="4">
        <f t="shared" si="137"/>
        <v>0</v>
      </c>
      <c r="P2926" s="3" t="s">
        <v>19</v>
      </c>
    </row>
    <row r="2927" spans="1:16" x14ac:dyDescent="0.35">
      <c r="A2927" s="3" t="s">
        <v>66</v>
      </c>
      <c r="B2927" s="3" t="str">
        <f>INDEX(State_Region!$B$2:$B$26,MATCH(TRIM(A2927),State_Region!$A$2:$A$26,0))</f>
        <v>North</v>
      </c>
      <c r="C2927" s="3" t="s">
        <v>67</v>
      </c>
      <c r="D2927" s="3" t="str">
        <f>INDEX(Port_Type!$B$2:$B$227,MATCH(TRIM(C2927),Port_Type!$A$2:$A$227,0))</f>
        <v>Inland ICD / CFS</v>
      </c>
      <c r="E2927" s="3" t="s">
        <v>46</v>
      </c>
      <c r="F2927" s="3" t="str">
        <f>INDEX(Product_Category!$B$2:$B$45,MATCH(TRIM(E2927),Product_Category!$A$2:$A$45,0))</f>
        <v>Others</v>
      </c>
      <c r="G2927" s="4">
        <v>0.02</v>
      </c>
      <c r="H2927" s="4">
        <v>0</v>
      </c>
      <c r="I2927" s="4">
        <v>0</v>
      </c>
      <c r="J2927" s="4">
        <v>16.440000000000001</v>
      </c>
      <c r="K2927" s="4">
        <v>0</v>
      </c>
      <c r="L2927" s="4">
        <v>0</v>
      </c>
      <c r="M2927" s="4">
        <f t="shared" si="135"/>
        <v>-0.02</v>
      </c>
      <c r="N2927" s="4">
        <f t="shared" si="136"/>
        <v>-16.440000000000001</v>
      </c>
      <c r="O2927" s="4">
        <f t="shared" si="137"/>
        <v>0</v>
      </c>
      <c r="P2927" s="3" t="s">
        <v>19</v>
      </c>
    </row>
    <row r="2928" spans="1:16" x14ac:dyDescent="0.35">
      <c r="A2928" s="3" t="s">
        <v>66</v>
      </c>
      <c r="B2928" s="3" t="str">
        <f>INDEX(State_Region!$B$2:$B$26,MATCH(TRIM(A2928),State_Region!$A$2:$A$26,0))</f>
        <v>North</v>
      </c>
      <c r="C2928" s="3" t="s">
        <v>67</v>
      </c>
      <c r="D2928" s="3" t="str">
        <f>INDEX(Port_Type!$B$2:$B$227,MATCH(TRIM(C2928),Port_Type!$A$2:$A$227,0))</f>
        <v>Inland ICD / CFS</v>
      </c>
      <c r="E2928" s="3" t="s">
        <v>53</v>
      </c>
      <c r="F2928" s="3" t="str">
        <f>INDEX(Product_Category!$B$2:$B$45,MATCH(TRIM(E2928),Product_Category!$A$2:$A$45,0))</f>
        <v>Processed Foods</v>
      </c>
      <c r="G2928" s="4">
        <v>0</v>
      </c>
      <c r="H2928" s="4">
        <v>0</v>
      </c>
      <c r="I2928" s="4">
        <v>0</v>
      </c>
      <c r="J2928" s="4">
        <v>0.08</v>
      </c>
      <c r="K2928" s="4">
        <v>0.18</v>
      </c>
      <c r="L2928" s="4">
        <v>0</v>
      </c>
      <c r="M2928" s="4">
        <f t="shared" si="135"/>
        <v>0</v>
      </c>
      <c r="N2928" s="4">
        <f t="shared" si="136"/>
        <v>9.9999999999999992E-2</v>
      </c>
      <c r="O2928" s="4">
        <f t="shared" si="137"/>
        <v>0</v>
      </c>
      <c r="P2928" s="3" t="s">
        <v>19</v>
      </c>
    </row>
    <row r="2929" spans="1:16" x14ac:dyDescent="0.35">
      <c r="A2929" s="3" t="s">
        <v>66</v>
      </c>
      <c r="B2929" s="3" t="str">
        <f>INDEX(State_Region!$B$2:$B$26,MATCH(TRIM(A2929),State_Region!$A$2:$A$26,0))</f>
        <v>North</v>
      </c>
      <c r="C2929" s="3" t="s">
        <v>67</v>
      </c>
      <c r="D2929" s="3" t="str">
        <f>INDEX(Port_Type!$B$2:$B$227,MATCH(TRIM(C2929),Port_Type!$A$2:$A$227,0))</f>
        <v>Inland ICD / CFS</v>
      </c>
      <c r="E2929" s="3" t="s">
        <v>65</v>
      </c>
      <c r="F2929" s="3" t="str">
        <f>INDEX(Product_Category!$B$2:$B$45,MATCH(TRIM(E2929),Product_Category!$A$2:$A$45,0))</f>
        <v>Cereals &amp; Grains</v>
      </c>
      <c r="G2929" s="4">
        <v>0</v>
      </c>
      <c r="H2929" s="4">
        <v>0</v>
      </c>
      <c r="I2929" s="4">
        <v>0</v>
      </c>
      <c r="J2929" s="4">
        <v>0</v>
      </c>
      <c r="K2929" s="4">
        <v>0.7</v>
      </c>
      <c r="L2929" s="4">
        <v>0</v>
      </c>
      <c r="M2929" s="4">
        <f t="shared" si="135"/>
        <v>0</v>
      </c>
      <c r="N2929" s="4">
        <f t="shared" si="136"/>
        <v>0.7</v>
      </c>
      <c r="O2929" s="4">
        <f t="shared" si="137"/>
        <v>0</v>
      </c>
      <c r="P2929" s="3" t="s">
        <v>19</v>
      </c>
    </row>
    <row r="2930" spans="1:16" x14ac:dyDescent="0.35">
      <c r="A2930" s="3" t="s">
        <v>66</v>
      </c>
      <c r="B2930" s="3" t="str">
        <f>INDEX(State_Region!$B$2:$B$26,MATCH(TRIM(A2930),State_Region!$A$2:$A$26,0))</f>
        <v>North</v>
      </c>
      <c r="C2930" s="3" t="s">
        <v>67</v>
      </c>
      <c r="D2930" s="3" t="str">
        <f>INDEX(Port_Type!$B$2:$B$227,MATCH(TRIM(C2930),Port_Type!$A$2:$A$227,0))</f>
        <v>Inland ICD / CFS</v>
      </c>
      <c r="E2930" s="3" t="s">
        <v>144</v>
      </c>
      <c r="F2930" s="3" t="str">
        <f>INDEX(Product_Category!$B$2:$B$45,MATCH(TRIM(E2930),Product_Category!$A$2:$A$45,0))</f>
        <v>Cereals &amp; Grains</v>
      </c>
      <c r="G2930" s="4">
        <v>0</v>
      </c>
      <c r="H2930" s="4">
        <v>0</v>
      </c>
      <c r="I2930" s="4">
        <v>0</v>
      </c>
      <c r="J2930" s="4">
        <v>0</v>
      </c>
      <c r="K2930" s="4">
        <v>0.02</v>
      </c>
      <c r="L2930" s="4">
        <v>0</v>
      </c>
      <c r="M2930" s="4">
        <f t="shared" si="135"/>
        <v>0</v>
      </c>
      <c r="N2930" s="4">
        <f t="shared" si="136"/>
        <v>0.02</v>
      </c>
      <c r="O2930" s="4">
        <f t="shared" si="137"/>
        <v>0</v>
      </c>
      <c r="P2930" s="3" t="s">
        <v>19</v>
      </c>
    </row>
    <row r="2931" spans="1:16" x14ac:dyDescent="0.35">
      <c r="A2931" s="3" t="s">
        <v>20</v>
      </c>
      <c r="B2931" s="3" t="str">
        <f>INDEX(State_Region!$B$2:$B$26,MATCH(TRIM(A2931),State_Region!$A$2:$A$26,0))</f>
        <v>West</v>
      </c>
      <c r="C2931" s="3" t="s">
        <v>296</v>
      </c>
      <c r="D2931" s="3" t="str">
        <f>INDEX(Port_Type!$B$2:$B$227,MATCH(TRIM(C2931),Port_Type!$A$2:$A$227,0))</f>
        <v>Sea Port</v>
      </c>
      <c r="E2931" s="3" t="s">
        <v>39</v>
      </c>
      <c r="F2931" s="3" t="str">
        <f>INDEX(Product_Category!$B$2:$B$45,MATCH(TRIM(E2931),Product_Category!$A$2:$A$45,0))</f>
        <v>Processed Foods</v>
      </c>
      <c r="G2931" s="4">
        <v>0</v>
      </c>
      <c r="H2931" s="4">
        <v>0</v>
      </c>
      <c r="I2931" s="4">
        <v>0</v>
      </c>
      <c r="J2931" s="4">
        <v>0.2</v>
      </c>
      <c r="K2931" s="4">
        <v>1.53</v>
      </c>
      <c r="L2931" s="4">
        <v>0</v>
      </c>
      <c r="M2931" s="4">
        <f t="shared" si="135"/>
        <v>0</v>
      </c>
      <c r="N2931" s="4">
        <f t="shared" si="136"/>
        <v>1.33</v>
      </c>
      <c r="O2931" s="4">
        <f t="shared" si="137"/>
        <v>0</v>
      </c>
      <c r="P2931" s="3" t="s">
        <v>19</v>
      </c>
    </row>
    <row r="2932" spans="1:16" x14ac:dyDescent="0.35">
      <c r="A2932" s="3" t="s">
        <v>20</v>
      </c>
      <c r="B2932" s="3" t="str">
        <f>INDEX(State_Region!$B$2:$B$26,MATCH(TRIM(A2932),State_Region!$A$2:$A$26,0))</f>
        <v>West</v>
      </c>
      <c r="C2932" s="3" t="s">
        <v>296</v>
      </c>
      <c r="D2932" s="3" t="str">
        <f>INDEX(Port_Type!$B$2:$B$227,MATCH(TRIM(C2932),Port_Type!$A$2:$A$227,0))</f>
        <v>Sea Port</v>
      </c>
      <c r="E2932" s="3" t="s">
        <v>144</v>
      </c>
      <c r="F2932" s="3" t="str">
        <f>INDEX(Product_Category!$B$2:$B$45,MATCH(TRIM(E2932),Product_Category!$A$2:$A$45,0))</f>
        <v>Cereals &amp; Grains</v>
      </c>
      <c r="G2932" s="4">
        <v>0</v>
      </c>
      <c r="H2932" s="4">
        <v>0</v>
      </c>
      <c r="I2932" s="4">
        <v>0</v>
      </c>
      <c r="J2932" s="4">
        <v>0.12</v>
      </c>
      <c r="K2932" s="4">
        <v>0.06</v>
      </c>
      <c r="L2932" s="4">
        <v>0</v>
      </c>
      <c r="M2932" s="4">
        <f t="shared" si="135"/>
        <v>0</v>
      </c>
      <c r="N2932" s="4">
        <f t="shared" si="136"/>
        <v>-0.06</v>
      </c>
      <c r="O2932" s="4">
        <f t="shared" si="137"/>
        <v>0</v>
      </c>
      <c r="P2932" s="3" t="s">
        <v>19</v>
      </c>
    </row>
    <row r="2933" spans="1:16" x14ac:dyDescent="0.35">
      <c r="A2933" s="3" t="s">
        <v>66</v>
      </c>
      <c r="B2933" s="3" t="str">
        <f>INDEX(State_Region!$B$2:$B$26,MATCH(TRIM(A2933),State_Region!$A$2:$A$26,0))</f>
        <v>North</v>
      </c>
      <c r="C2933" s="3" t="s">
        <v>67</v>
      </c>
      <c r="D2933" s="3" t="str">
        <f>INDEX(Port_Type!$B$2:$B$227,MATCH(TRIM(C2933),Port_Type!$A$2:$A$227,0))</f>
        <v>Inland ICD / CFS</v>
      </c>
      <c r="E2933" s="3" t="s">
        <v>45</v>
      </c>
      <c r="F2933" s="3" t="str">
        <f>INDEX(Product_Category!$B$2:$B$45,MATCH(TRIM(E2933),Product_Category!$A$2:$A$45,0))</f>
        <v>Fresh Fruits &amp; Vegetables</v>
      </c>
      <c r="G2933" s="4">
        <v>0.01</v>
      </c>
      <c r="H2933" s="4">
        <v>0</v>
      </c>
      <c r="I2933" s="4">
        <v>0</v>
      </c>
      <c r="J2933" s="4">
        <v>2.1800000000000002</v>
      </c>
      <c r="K2933" s="4">
        <v>0</v>
      </c>
      <c r="L2933" s="4">
        <v>0</v>
      </c>
      <c r="M2933" s="4">
        <f t="shared" si="135"/>
        <v>-0.01</v>
      </c>
      <c r="N2933" s="4">
        <f t="shared" si="136"/>
        <v>-2.1800000000000002</v>
      </c>
      <c r="O2933" s="4">
        <f t="shared" si="137"/>
        <v>0</v>
      </c>
      <c r="P2933" s="3" t="s">
        <v>19</v>
      </c>
    </row>
    <row r="2934" spans="1:16" x14ac:dyDescent="0.35">
      <c r="A2934" s="3" t="s">
        <v>66</v>
      </c>
      <c r="B2934" s="3" t="str">
        <f>INDEX(State_Region!$B$2:$B$26,MATCH(TRIM(A2934),State_Region!$A$2:$A$26,0))</f>
        <v>North</v>
      </c>
      <c r="C2934" s="3" t="s">
        <v>67</v>
      </c>
      <c r="D2934" s="3" t="str">
        <f>INDEX(Port_Type!$B$2:$B$227,MATCH(TRIM(C2934),Port_Type!$A$2:$A$227,0))</f>
        <v>Inland ICD / CFS</v>
      </c>
      <c r="E2934" s="3" t="s">
        <v>54</v>
      </c>
      <c r="F2934" s="3" t="str">
        <f>INDEX(Product_Category!$B$2:$B$45,MATCH(TRIM(E2934),Product_Category!$A$2:$A$45,0))</f>
        <v>Processed Foods</v>
      </c>
      <c r="G2934" s="4">
        <v>0</v>
      </c>
      <c r="H2934" s="4">
        <v>0</v>
      </c>
      <c r="I2934" s="4">
        <v>0</v>
      </c>
      <c r="J2934" s="4">
        <v>0.06</v>
      </c>
      <c r="K2934" s="4">
        <v>2.08</v>
      </c>
      <c r="L2934" s="4">
        <v>0</v>
      </c>
      <c r="M2934" s="4">
        <f t="shared" si="135"/>
        <v>0</v>
      </c>
      <c r="N2934" s="4">
        <f t="shared" si="136"/>
        <v>2.02</v>
      </c>
      <c r="O2934" s="4">
        <f t="shared" si="137"/>
        <v>0</v>
      </c>
      <c r="P2934" s="3" t="s">
        <v>19</v>
      </c>
    </row>
    <row r="2935" spans="1:16" x14ac:dyDescent="0.35">
      <c r="A2935" s="3" t="s">
        <v>20</v>
      </c>
      <c r="B2935" s="3" t="str">
        <f>INDEX(State_Region!$B$2:$B$26,MATCH(TRIM(A2935),State_Region!$A$2:$A$26,0))</f>
        <v>West</v>
      </c>
      <c r="C2935" s="3" t="s">
        <v>296</v>
      </c>
      <c r="D2935" s="3" t="str">
        <f>INDEX(Port_Type!$B$2:$B$227,MATCH(TRIM(C2935),Port_Type!$A$2:$A$227,0))</f>
        <v>Sea Port</v>
      </c>
      <c r="E2935" s="3" t="s">
        <v>65</v>
      </c>
      <c r="F2935" s="3" t="str">
        <f>INDEX(Product_Category!$B$2:$B$45,MATCH(TRIM(E2935),Product_Category!$A$2:$A$45,0))</f>
        <v>Cereals &amp; Grains</v>
      </c>
      <c r="G2935" s="4">
        <v>0</v>
      </c>
      <c r="H2935" s="4">
        <v>0</v>
      </c>
      <c r="I2935" s="4">
        <v>0</v>
      </c>
      <c r="J2935" s="4">
        <v>0</v>
      </c>
      <c r="K2935" s="4">
        <v>0.21</v>
      </c>
      <c r="L2935" s="4">
        <v>0</v>
      </c>
      <c r="M2935" s="4">
        <f t="shared" si="135"/>
        <v>0</v>
      </c>
      <c r="N2935" s="4">
        <f t="shared" si="136"/>
        <v>0.21</v>
      </c>
      <c r="O2935" s="4">
        <f t="shared" si="137"/>
        <v>0</v>
      </c>
      <c r="P2935" s="3" t="s">
        <v>19</v>
      </c>
    </row>
    <row r="2936" spans="1:16" x14ac:dyDescent="0.35">
      <c r="A2936" s="3" t="s">
        <v>66</v>
      </c>
      <c r="B2936" s="3" t="str">
        <f>INDEX(State_Region!$B$2:$B$26,MATCH(TRIM(A2936),State_Region!$A$2:$A$26,0))</f>
        <v>North</v>
      </c>
      <c r="C2936" s="3" t="s">
        <v>67</v>
      </c>
      <c r="D2936" s="3" t="str">
        <f>INDEX(Port_Type!$B$2:$B$227,MATCH(TRIM(C2936),Port_Type!$A$2:$A$227,0))</f>
        <v>Inland ICD / CFS</v>
      </c>
      <c r="E2936" s="3" t="s">
        <v>33</v>
      </c>
      <c r="F2936" s="3" t="str">
        <f>INDEX(Product_Category!$B$2:$B$45,MATCH(TRIM(E2936),Product_Category!$A$2:$A$45,0))</f>
        <v>Pulses</v>
      </c>
      <c r="G2936" s="4">
        <v>0</v>
      </c>
      <c r="H2936" s="4">
        <v>0.01</v>
      </c>
      <c r="I2936" s="4">
        <v>0</v>
      </c>
      <c r="J2936" s="4">
        <v>1.96</v>
      </c>
      <c r="K2936" s="4">
        <v>5.32</v>
      </c>
      <c r="L2936" s="4">
        <v>0</v>
      </c>
      <c r="M2936" s="4">
        <f t="shared" si="135"/>
        <v>0.01</v>
      </c>
      <c r="N2936" s="4">
        <f t="shared" si="136"/>
        <v>3.3600000000000003</v>
      </c>
      <c r="O2936" s="4">
        <f t="shared" si="137"/>
        <v>-0.01</v>
      </c>
      <c r="P2936" s="3" t="s">
        <v>19</v>
      </c>
    </row>
    <row r="2937" spans="1:16" x14ac:dyDescent="0.35">
      <c r="A2937" s="3" t="s">
        <v>66</v>
      </c>
      <c r="B2937" s="3" t="str">
        <f>INDEX(State_Region!$B$2:$B$26,MATCH(TRIM(A2937),State_Region!$A$2:$A$26,0))</f>
        <v>North</v>
      </c>
      <c r="C2937" s="3" t="s">
        <v>297</v>
      </c>
      <c r="D2937" s="3" t="str">
        <f>INDEX(Port_Type!$B$2:$B$227,MATCH(TRIM(C2937),Port_Type!$A$2:$A$227,0))</f>
        <v>Inland ICD / CFS</v>
      </c>
      <c r="E2937" s="3" t="s">
        <v>48</v>
      </c>
      <c r="F2937" s="3" t="str">
        <f>INDEX(Product_Category!$B$2:$B$45,MATCH(TRIM(E2937),Product_Category!$A$2:$A$45,0))</f>
        <v>Processed Foods</v>
      </c>
      <c r="G2937" s="4">
        <v>0.01</v>
      </c>
      <c r="H2937" s="4">
        <v>0</v>
      </c>
      <c r="I2937" s="4">
        <v>0</v>
      </c>
      <c r="J2937" s="4">
        <v>3.8</v>
      </c>
      <c r="K2937" s="4">
        <v>0</v>
      </c>
      <c r="L2937" s="4">
        <v>0</v>
      </c>
      <c r="M2937" s="4">
        <f t="shared" si="135"/>
        <v>-0.01</v>
      </c>
      <c r="N2937" s="4">
        <f t="shared" si="136"/>
        <v>-3.8</v>
      </c>
      <c r="O2937" s="4">
        <f t="shared" si="137"/>
        <v>0</v>
      </c>
      <c r="P2937" s="3" t="s">
        <v>19</v>
      </c>
    </row>
    <row r="2938" spans="1:16" x14ac:dyDescent="0.35">
      <c r="A2938" s="3" t="s">
        <v>20</v>
      </c>
      <c r="B2938" s="3" t="str">
        <f>INDEX(State_Region!$B$2:$B$26,MATCH(TRIM(A2938),State_Region!$A$2:$A$26,0))</f>
        <v>West</v>
      </c>
      <c r="C2938" s="3" t="s">
        <v>296</v>
      </c>
      <c r="D2938" s="3" t="str">
        <f>INDEX(Port_Type!$B$2:$B$227,MATCH(TRIM(C2938),Port_Type!$A$2:$A$227,0))</f>
        <v>Sea Port</v>
      </c>
      <c r="E2938" s="3" t="s">
        <v>62</v>
      </c>
      <c r="F2938" s="3" t="str">
        <f>INDEX(Product_Category!$B$2:$B$45,MATCH(TRIM(E2938),Product_Category!$A$2:$A$45,0))</f>
        <v>Cereals &amp; Grains</v>
      </c>
      <c r="G2938" s="4">
        <v>0</v>
      </c>
      <c r="H2938" s="4">
        <v>0</v>
      </c>
      <c r="I2938" s="4">
        <v>0</v>
      </c>
      <c r="J2938" s="4">
        <v>0</v>
      </c>
      <c r="K2938" s="4">
        <v>0.02</v>
      </c>
      <c r="L2938" s="4">
        <v>0</v>
      </c>
      <c r="M2938" s="4">
        <f t="shared" si="135"/>
        <v>0</v>
      </c>
      <c r="N2938" s="4">
        <f t="shared" si="136"/>
        <v>0.02</v>
      </c>
      <c r="O2938" s="4">
        <f t="shared" si="137"/>
        <v>0</v>
      </c>
      <c r="P2938" s="3" t="s">
        <v>19</v>
      </c>
    </row>
    <row r="2939" spans="1:16" x14ac:dyDescent="0.35">
      <c r="A2939" s="3" t="s">
        <v>66</v>
      </c>
      <c r="B2939" s="3" t="str">
        <f>INDEX(State_Region!$B$2:$B$26,MATCH(TRIM(A2939),State_Region!$A$2:$A$26,0))</f>
        <v>North</v>
      </c>
      <c r="C2939" s="3" t="s">
        <v>224</v>
      </c>
      <c r="D2939" s="3" t="str">
        <f>INDEX(Port_Type!$B$2:$B$227,MATCH(TRIM(C2939),Port_Type!$A$2:$A$227,0))</f>
        <v>Inland ICD / CFS</v>
      </c>
      <c r="E2939" s="3" t="s">
        <v>27</v>
      </c>
      <c r="F2939" s="3" t="str">
        <f>INDEX(Product_Category!$B$2:$B$45,MATCH(TRIM(E2939),Product_Category!$A$2:$A$45,0))</f>
        <v>Cereals &amp; Grains</v>
      </c>
      <c r="G2939" s="4">
        <v>0.1</v>
      </c>
      <c r="H2939" s="4">
        <v>0.02</v>
      </c>
      <c r="I2939" s="4">
        <v>0</v>
      </c>
      <c r="J2939" s="4">
        <v>81.27</v>
      </c>
      <c r="K2939" s="4">
        <v>21.99</v>
      </c>
      <c r="L2939" s="4">
        <v>0</v>
      </c>
      <c r="M2939" s="4">
        <f t="shared" si="135"/>
        <v>-0.08</v>
      </c>
      <c r="N2939" s="4">
        <f t="shared" si="136"/>
        <v>-59.28</v>
      </c>
      <c r="O2939" s="4">
        <f t="shared" si="137"/>
        <v>-0.02</v>
      </c>
      <c r="P2939" s="3" t="s">
        <v>19</v>
      </c>
    </row>
    <row r="2940" spans="1:16" x14ac:dyDescent="0.35">
      <c r="A2940" s="3" t="s">
        <v>20</v>
      </c>
      <c r="B2940" s="3" t="str">
        <f>INDEX(State_Region!$B$2:$B$26,MATCH(TRIM(A2940),State_Region!$A$2:$A$26,0))</f>
        <v>West</v>
      </c>
      <c r="C2940" s="3" t="s">
        <v>296</v>
      </c>
      <c r="D2940" s="3" t="str">
        <f>INDEX(Port_Type!$B$2:$B$227,MATCH(TRIM(C2940),Port_Type!$A$2:$A$227,0))</f>
        <v>Sea Port</v>
      </c>
      <c r="E2940" s="3" t="s">
        <v>53</v>
      </c>
      <c r="F2940" s="3" t="str">
        <f>INDEX(Product_Category!$B$2:$B$45,MATCH(TRIM(E2940),Product_Category!$A$2:$A$45,0))</f>
        <v>Processed Foods</v>
      </c>
      <c r="G2940" s="4">
        <v>0</v>
      </c>
      <c r="H2940" s="4">
        <v>0</v>
      </c>
      <c r="I2940" s="4">
        <v>0</v>
      </c>
      <c r="J2940" s="4">
        <v>0</v>
      </c>
      <c r="K2940" s="4">
        <v>0.04</v>
      </c>
      <c r="L2940" s="4">
        <v>0</v>
      </c>
      <c r="M2940" s="4">
        <f t="shared" si="135"/>
        <v>0</v>
      </c>
      <c r="N2940" s="4">
        <f t="shared" si="136"/>
        <v>0.04</v>
      </c>
      <c r="O2940" s="4">
        <f t="shared" si="137"/>
        <v>0</v>
      </c>
      <c r="P2940" s="3" t="s">
        <v>19</v>
      </c>
    </row>
    <row r="2941" spans="1:16" x14ac:dyDescent="0.35">
      <c r="A2941" s="3" t="s">
        <v>20</v>
      </c>
      <c r="B2941" s="3" t="str">
        <f>INDEX(State_Region!$B$2:$B$26,MATCH(TRIM(A2941),State_Region!$A$2:$A$26,0))</f>
        <v>West</v>
      </c>
      <c r="C2941" s="3" t="s">
        <v>296</v>
      </c>
      <c r="D2941" s="3" t="str">
        <f>INDEX(Port_Type!$B$2:$B$227,MATCH(TRIM(C2941),Port_Type!$A$2:$A$227,0))</f>
        <v>Sea Port</v>
      </c>
      <c r="E2941" s="3" t="s">
        <v>51</v>
      </c>
      <c r="F2941" s="3" t="str">
        <f>INDEX(Product_Category!$B$2:$B$45,MATCH(TRIM(E2941),Product_Category!$A$2:$A$45,0))</f>
        <v>Nuts &amp; Oilseeds</v>
      </c>
      <c r="G2941" s="4">
        <v>0</v>
      </c>
      <c r="H2941" s="4">
        <v>0</v>
      </c>
      <c r="I2941" s="4">
        <v>0</v>
      </c>
      <c r="J2941" s="4">
        <v>0</v>
      </c>
      <c r="K2941" s="4">
        <v>0.23</v>
      </c>
      <c r="L2941" s="4">
        <v>0</v>
      </c>
      <c r="M2941" s="4">
        <f t="shared" si="135"/>
        <v>0</v>
      </c>
      <c r="N2941" s="4">
        <f t="shared" si="136"/>
        <v>0.23</v>
      </c>
      <c r="O2941" s="4">
        <f t="shared" si="137"/>
        <v>0</v>
      </c>
      <c r="P2941" s="3" t="s">
        <v>19</v>
      </c>
    </row>
    <row r="2942" spans="1:16" x14ac:dyDescent="0.35">
      <c r="A2942" s="3" t="s">
        <v>20</v>
      </c>
      <c r="B2942" s="3" t="str">
        <f>INDEX(State_Region!$B$2:$B$26,MATCH(TRIM(A2942),State_Region!$A$2:$A$26,0))</f>
        <v>West</v>
      </c>
      <c r="C2942" s="3" t="s">
        <v>296</v>
      </c>
      <c r="D2942" s="3" t="str">
        <f>INDEX(Port_Type!$B$2:$B$227,MATCH(TRIM(C2942),Port_Type!$A$2:$A$227,0))</f>
        <v>Sea Port</v>
      </c>
      <c r="E2942" s="3" t="s">
        <v>72</v>
      </c>
      <c r="F2942" s="3" t="str">
        <f>INDEX(Product_Category!$B$2:$B$45,MATCH(TRIM(E2942),Product_Category!$A$2:$A$45,0))</f>
        <v>Dairy, Poultry &amp; Honey</v>
      </c>
      <c r="G2942" s="4">
        <v>0</v>
      </c>
      <c r="H2942" s="4">
        <v>0.01</v>
      </c>
      <c r="I2942" s="4">
        <v>0</v>
      </c>
      <c r="J2942" s="4">
        <v>0</v>
      </c>
      <c r="K2942" s="4">
        <v>6.21</v>
      </c>
      <c r="L2942" s="4">
        <v>0</v>
      </c>
      <c r="M2942" s="4">
        <f t="shared" si="135"/>
        <v>0.01</v>
      </c>
      <c r="N2942" s="4">
        <f t="shared" si="136"/>
        <v>6.21</v>
      </c>
      <c r="O2942" s="4">
        <f t="shared" si="137"/>
        <v>-0.01</v>
      </c>
      <c r="P2942" s="3" t="s">
        <v>19</v>
      </c>
    </row>
    <row r="2943" spans="1:16" x14ac:dyDescent="0.35">
      <c r="A2943" s="3" t="s">
        <v>66</v>
      </c>
      <c r="B2943" s="3" t="str">
        <f>INDEX(State_Region!$B$2:$B$26,MATCH(TRIM(A2943),State_Region!$A$2:$A$26,0))</f>
        <v>North</v>
      </c>
      <c r="C2943" s="3" t="s">
        <v>71</v>
      </c>
      <c r="D2943" s="3" t="str">
        <f>INDEX(Port_Type!$B$2:$B$227,MATCH(TRIM(C2943),Port_Type!$A$2:$A$227,0))</f>
        <v>Inland ICD / CFS</v>
      </c>
      <c r="E2943" s="3" t="s">
        <v>59</v>
      </c>
      <c r="F2943" s="3" t="str">
        <f>INDEX(Product_Category!$B$2:$B$45,MATCH(TRIM(E2943),Product_Category!$A$2:$A$45,0))</f>
        <v>Processed Foods</v>
      </c>
      <c r="G2943" s="4">
        <v>0</v>
      </c>
      <c r="H2943" s="4">
        <v>0</v>
      </c>
      <c r="I2943" s="4">
        <v>0</v>
      </c>
      <c r="J2943" s="4">
        <v>0.34</v>
      </c>
      <c r="K2943" s="4">
        <v>0.69</v>
      </c>
      <c r="L2943" s="4">
        <v>0</v>
      </c>
      <c r="M2943" s="4">
        <f t="shared" si="135"/>
        <v>0</v>
      </c>
      <c r="N2943" s="4">
        <f t="shared" si="136"/>
        <v>0.34999999999999992</v>
      </c>
      <c r="O2943" s="4">
        <f t="shared" si="137"/>
        <v>0</v>
      </c>
      <c r="P2943" s="3" t="s">
        <v>19</v>
      </c>
    </row>
    <row r="2944" spans="1:16" x14ac:dyDescent="0.35">
      <c r="A2944" s="3" t="s">
        <v>66</v>
      </c>
      <c r="B2944" s="3" t="str">
        <f>INDEX(State_Region!$B$2:$B$26,MATCH(TRIM(A2944),State_Region!$A$2:$A$26,0))</f>
        <v>North</v>
      </c>
      <c r="C2944" s="3" t="s">
        <v>71</v>
      </c>
      <c r="D2944" s="3" t="str">
        <f>INDEX(Port_Type!$B$2:$B$227,MATCH(TRIM(C2944),Port_Type!$A$2:$A$227,0))</f>
        <v>Inland ICD / CFS</v>
      </c>
      <c r="E2944" s="3" t="s">
        <v>69</v>
      </c>
      <c r="F2944" s="3" t="str">
        <f>INDEX(Product_Category!$B$2:$B$45,MATCH(TRIM(E2944),Product_Category!$A$2:$A$45,0))</f>
        <v>Others</v>
      </c>
      <c r="G2944" s="4">
        <v>0.2</v>
      </c>
      <c r="H2944" s="4">
        <v>0</v>
      </c>
      <c r="I2944" s="4">
        <v>0</v>
      </c>
      <c r="J2944" s="4">
        <v>122.4</v>
      </c>
      <c r="K2944" s="4">
        <v>0</v>
      </c>
      <c r="L2944" s="4">
        <v>0</v>
      </c>
      <c r="M2944" s="4">
        <f t="shared" si="135"/>
        <v>-0.2</v>
      </c>
      <c r="N2944" s="4">
        <f t="shared" si="136"/>
        <v>-122.4</v>
      </c>
      <c r="O2944" s="4">
        <f t="shared" si="137"/>
        <v>0</v>
      </c>
      <c r="P2944" s="3" t="s">
        <v>19</v>
      </c>
    </row>
    <row r="2945" spans="1:16" x14ac:dyDescent="0.35">
      <c r="A2945" s="3" t="s">
        <v>66</v>
      </c>
      <c r="B2945" s="3" t="str">
        <f>INDEX(State_Region!$B$2:$B$26,MATCH(TRIM(A2945),State_Region!$A$2:$A$26,0))</f>
        <v>North</v>
      </c>
      <c r="C2945" s="3" t="s">
        <v>71</v>
      </c>
      <c r="D2945" s="3" t="str">
        <f>INDEX(Port_Type!$B$2:$B$227,MATCH(TRIM(C2945),Port_Type!$A$2:$A$227,0))</f>
        <v>Inland ICD / CFS</v>
      </c>
      <c r="E2945" s="3" t="s">
        <v>51</v>
      </c>
      <c r="F2945" s="3" t="str">
        <f>INDEX(Product_Category!$B$2:$B$45,MATCH(TRIM(E2945),Product_Category!$A$2:$A$45,0))</f>
        <v>Nuts &amp; Oilseeds</v>
      </c>
      <c r="G2945" s="4">
        <v>0.01</v>
      </c>
      <c r="H2945" s="4">
        <v>0</v>
      </c>
      <c r="I2945" s="4">
        <v>0</v>
      </c>
      <c r="J2945" s="4">
        <v>6</v>
      </c>
      <c r="K2945" s="4">
        <v>0</v>
      </c>
      <c r="L2945" s="4">
        <v>0</v>
      </c>
      <c r="M2945" s="4">
        <f t="shared" si="135"/>
        <v>-0.01</v>
      </c>
      <c r="N2945" s="4">
        <f t="shared" si="136"/>
        <v>-6</v>
      </c>
      <c r="O2945" s="4">
        <f t="shared" si="137"/>
        <v>0</v>
      </c>
      <c r="P2945" s="3" t="s">
        <v>19</v>
      </c>
    </row>
    <row r="2946" spans="1:16" x14ac:dyDescent="0.35">
      <c r="A2946" s="3" t="s">
        <v>20</v>
      </c>
      <c r="B2946" s="3" t="str">
        <f>INDEX(State_Region!$B$2:$B$26,MATCH(TRIM(A2946),State_Region!$A$2:$A$26,0))</f>
        <v>West</v>
      </c>
      <c r="C2946" s="3" t="s">
        <v>296</v>
      </c>
      <c r="D2946" s="3" t="str">
        <f>INDEX(Port_Type!$B$2:$B$227,MATCH(TRIM(C2946),Port_Type!$A$2:$A$227,0))</f>
        <v>Sea Port</v>
      </c>
      <c r="E2946" s="3" t="s">
        <v>48</v>
      </c>
      <c r="F2946" s="3" t="str">
        <f>INDEX(Product_Category!$B$2:$B$45,MATCH(TRIM(E2946),Product_Category!$A$2:$A$45,0))</f>
        <v>Processed Foods</v>
      </c>
      <c r="G2946" s="4">
        <v>0</v>
      </c>
      <c r="H2946" s="4">
        <v>0</v>
      </c>
      <c r="I2946" s="4">
        <v>0</v>
      </c>
      <c r="J2946" s="4">
        <v>0</v>
      </c>
      <c r="K2946" s="4">
        <v>1.73</v>
      </c>
      <c r="L2946" s="4">
        <v>0</v>
      </c>
      <c r="M2946" s="4">
        <f t="shared" ref="M2946:M3009" si="138">H2946-G2946</f>
        <v>0</v>
      </c>
      <c r="N2946" s="4">
        <f t="shared" ref="N2946:N3009" si="139">K2946-J2946</f>
        <v>1.73</v>
      </c>
      <c r="O2946" s="4">
        <f t="shared" ref="O2946:O3009" si="140">I2946-H2946</f>
        <v>0</v>
      </c>
      <c r="P2946" s="3" t="s">
        <v>19</v>
      </c>
    </row>
    <row r="2947" spans="1:16" x14ac:dyDescent="0.35">
      <c r="A2947" s="3" t="s">
        <v>66</v>
      </c>
      <c r="B2947" s="3" t="str">
        <f>INDEX(State_Region!$B$2:$B$26,MATCH(TRIM(A2947),State_Region!$A$2:$A$26,0))</f>
        <v>North</v>
      </c>
      <c r="C2947" s="3" t="s">
        <v>71</v>
      </c>
      <c r="D2947" s="3" t="str">
        <f>INDEX(Port_Type!$B$2:$B$227,MATCH(TRIM(C2947),Port_Type!$A$2:$A$227,0))</f>
        <v>Inland ICD / CFS</v>
      </c>
      <c r="E2947" s="3" t="s">
        <v>144</v>
      </c>
      <c r="F2947" s="3" t="str">
        <f>INDEX(Product_Category!$B$2:$B$45,MATCH(TRIM(E2947),Product_Category!$A$2:$A$45,0))</f>
        <v>Cereals &amp; Grains</v>
      </c>
      <c r="G2947" s="4">
        <v>0</v>
      </c>
      <c r="H2947" s="4">
        <v>0</v>
      </c>
      <c r="I2947" s="4">
        <v>0</v>
      </c>
      <c r="J2947" s="4">
        <v>3.44</v>
      </c>
      <c r="K2947" s="4">
        <v>0</v>
      </c>
      <c r="L2947" s="4">
        <v>0</v>
      </c>
      <c r="M2947" s="4">
        <f t="shared" si="138"/>
        <v>0</v>
      </c>
      <c r="N2947" s="4">
        <f t="shared" si="139"/>
        <v>-3.44</v>
      </c>
      <c r="O2947" s="4">
        <f t="shared" si="140"/>
        <v>0</v>
      </c>
      <c r="P2947" s="3" t="s">
        <v>19</v>
      </c>
    </row>
    <row r="2948" spans="1:16" x14ac:dyDescent="0.35">
      <c r="A2948" s="3" t="s">
        <v>20</v>
      </c>
      <c r="B2948" s="3" t="str">
        <f>INDEX(State_Region!$B$2:$B$26,MATCH(TRIM(A2948),State_Region!$A$2:$A$26,0))</f>
        <v>West</v>
      </c>
      <c r="C2948" s="3" t="s">
        <v>296</v>
      </c>
      <c r="D2948" s="3" t="str">
        <f>INDEX(Port_Type!$B$2:$B$227,MATCH(TRIM(C2948),Port_Type!$A$2:$A$227,0))</f>
        <v>Sea Port</v>
      </c>
      <c r="E2948" s="3" t="s">
        <v>179</v>
      </c>
      <c r="F2948" s="3" t="str">
        <f>INDEX(Product_Category!$B$2:$B$45,MATCH(TRIM(E2948),Product_Category!$A$2:$A$45,0))</f>
        <v>Nuts &amp; Oilseeds</v>
      </c>
      <c r="G2948" s="4">
        <v>0</v>
      </c>
      <c r="H2948" s="4">
        <v>0</v>
      </c>
      <c r="I2948" s="4">
        <v>0</v>
      </c>
      <c r="J2948" s="4">
        <v>0</v>
      </c>
      <c r="K2948" s="4">
        <v>0.01</v>
      </c>
      <c r="L2948" s="4">
        <v>0</v>
      </c>
      <c r="M2948" s="4">
        <f t="shared" si="138"/>
        <v>0</v>
      </c>
      <c r="N2948" s="4">
        <f t="shared" si="139"/>
        <v>0.01</v>
      </c>
      <c r="O2948" s="4">
        <f t="shared" si="140"/>
        <v>0</v>
      </c>
      <c r="P2948" s="3" t="s">
        <v>19</v>
      </c>
    </row>
    <row r="2949" spans="1:16" x14ac:dyDescent="0.35">
      <c r="A2949" s="3" t="s">
        <v>20</v>
      </c>
      <c r="B2949" s="3" t="str">
        <f>INDEX(State_Region!$B$2:$B$26,MATCH(TRIM(A2949),State_Region!$A$2:$A$26,0))</f>
        <v>West</v>
      </c>
      <c r="C2949" s="3" t="s">
        <v>296</v>
      </c>
      <c r="D2949" s="3" t="str">
        <f>INDEX(Port_Type!$B$2:$B$227,MATCH(TRIM(C2949),Port_Type!$A$2:$A$227,0))</f>
        <v>Sea Port</v>
      </c>
      <c r="E2949" s="3" t="s">
        <v>84</v>
      </c>
      <c r="F2949" s="3" t="str">
        <f>INDEX(Product_Category!$B$2:$B$45,MATCH(TRIM(E2949),Product_Category!$A$2:$A$45,0))</f>
        <v>Nuts &amp; Oilseeds</v>
      </c>
      <c r="G2949" s="4">
        <v>0</v>
      </c>
      <c r="H2949" s="4">
        <v>0</v>
      </c>
      <c r="I2949" s="4">
        <v>0</v>
      </c>
      <c r="J2949" s="4">
        <v>0</v>
      </c>
      <c r="K2949" s="4">
        <v>0.03</v>
      </c>
      <c r="L2949" s="4">
        <v>0</v>
      </c>
      <c r="M2949" s="4">
        <f t="shared" si="138"/>
        <v>0</v>
      </c>
      <c r="N2949" s="4">
        <f t="shared" si="139"/>
        <v>0.03</v>
      </c>
      <c r="O2949" s="4">
        <f t="shared" si="140"/>
        <v>0</v>
      </c>
      <c r="P2949" s="3" t="s">
        <v>19</v>
      </c>
    </row>
    <row r="2950" spans="1:16" x14ac:dyDescent="0.35">
      <c r="A2950" s="3" t="s">
        <v>20</v>
      </c>
      <c r="B2950" s="3" t="str">
        <f>INDEX(State_Region!$B$2:$B$26,MATCH(TRIM(A2950),State_Region!$A$2:$A$26,0))</f>
        <v>West</v>
      </c>
      <c r="C2950" s="3" t="s">
        <v>68</v>
      </c>
      <c r="D2950" s="3" t="str">
        <f>INDEX(Port_Type!$B$2:$B$227,MATCH(TRIM(C2950),Port_Type!$A$2:$A$227,0))</f>
        <v>Air Cargo</v>
      </c>
      <c r="E2950" s="3" t="s">
        <v>113</v>
      </c>
      <c r="F2950" s="3" t="str">
        <f>INDEX(Product_Category!$B$2:$B$45,MATCH(TRIM(E2950),Product_Category!$A$2:$A$45,0))</f>
        <v>Cereals &amp; Grains</v>
      </c>
      <c r="G2950" s="4">
        <v>0</v>
      </c>
      <c r="H2950" s="4">
        <v>0.01</v>
      </c>
      <c r="I2950" s="4">
        <v>0</v>
      </c>
      <c r="J2950" s="4">
        <v>0</v>
      </c>
      <c r="K2950" s="4">
        <v>1.5</v>
      </c>
      <c r="L2950" s="4">
        <v>0</v>
      </c>
      <c r="M2950" s="4">
        <f t="shared" si="138"/>
        <v>0.01</v>
      </c>
      <c r="N2950" s="4">
        <f t="shared" si="139"/>
        <v>1.5</v>
      </c>
      <c r="O2950" s="4">
        <f t="shared" si="140"/>
        <v>-0.01</v>
      </c>
      <c r="P2950" s="3" t="s">
        <v>19</v>
      </c>
    </row>
    <row r="2951" spans="1:16" x14ac:dyDescent="0.35">
      <c r="A2951" s="3" t="s">
        <v>20</v>
      </c>
      <c r="B2951" s="3" t="str">
        <f>INDEX(State_Region!$B$2:$B$26,MATCH(TRIM(A2951),State_Region!$A$2:$A$26,0))</f>
        <v>West</v>
      </c>
      <c r="C2951" s="3" t="s">
        <v>68</v>
      </c>
      <c r="D2951" s="3" t="str">
        <f>INDEX(Port_Type!$B$2:$B$227,MATCH(TRIM(C2951),Port_Type!$A$2:$A$227,0))</f>
        <v>Air Cargo</v>
      </c>
      <c r="E2951" s="3" t="s">
        <v>221</v>
      </c>
      <c r="F2951" s="3" t="str">
        <f>INDEX(Product_Category!$B$2:$B$45,MATCH(TRIM(E2951),Product_Category!$A$2:$A$45,0))</f>
        <v>Meat &amp; Animal Products</v>
      </c>
      <c r="G2951" s="4">
        <v>0</v>
      </c>
      <c r="H2951" s="4">
        <v>0</v>
      </c>
      <c r="I2951" s="4">
        <v>0</v>
      </c>
      <c r="J2951" s="4">
        <v>0.03</v>
      </c>
      <c r="K2951" s="4">
        <v>0.01</v>
      </c>
      <c r="L2951" s="4">
        <v>0</v>
      </c>
      <c r="M2951" s="4">
        <f t="shared" si="138"/>
        <v>0</v>
      </c>
      <c r="N2951" s="4">
        <f t="shared" si="139"/>
        <v>-1.9999999999999997E-2</v>
      </c>
      <c r="O2951" s="4">
        <f t="shared" si="140"/>
        <v>0</v>
      </c>
      <c r="P2951" s="3" t="s">
        <v>19</v>
      </c>
    </row>
    <row r="2952" spans="1:16" x14ac:dyDescent="0.35">
      <c r="A2952" s="3" t="s">
        <v>20</v>
      </c>
      <c r="B2952" s="3" t="str">
        <f>INDEX(State_Region!$B$2:$B$26,MATCH(TRIM(A2952),State_Region!$A$2:$A$26,0))</f>
        <v>West</v>
      </c>
      <c r="C2952" s="3" t="s">
        <v>68</v>
      </c>
      <c r="D2952" s="3" t="str">
        <f>INDEX(Port_Type!$B$2:$B$227,MATCH(TRIM(C2952),Port_Type!$A$2:$A$227,0))</f>
        <v>Air Cargo</v>
      </c>
      <c r="E2952" s="3" t="s">
        <v>126</v>
      </c>
      <c r="F2952" s="3" t="str">
        <f>INDEX(Product_Category!$B$2:$B$45,MATCH(TRIM(E2952),Product_Category!$A$2:$A$45,0))</f>
        <v>Cereals &amp; Grains</v>
      </c>
      <c r="G2952" s="4">
        <v>0</v>
      </c>
      <c r="H2952" s="4">
        <v>0</v>
      </c>
      <c r="I2952" s="4">
        <v>0</v>
      </c>
      <c r="J2952" s="4">
        <v>1.51</v>
      </c>
      <c r="K2952" s="4">
        <v>0.36</v>
      </c>
      <c r="L2952" s="4">
        <v>0</v>
      </c>
      <c r="M2952" s="4">
        <f t="shared" si="138"/>
        <v>0</v>
      </c>
      <c r="N2952" s="4">
        <f t="shared" si="139"/>
        <v>-1.1499999999999999</v>
      </c>
      <c r="O2952" s="4">
        <f t="shared" si="140"/>
        <v>0</v>
      </c>
      <c r="P2952" s="3" t="s">
        <v>19</v>
      </c>
    </row>
    <row r="2953" spans="1:16" x14ac:dyDescent="0.35">
      <c r="A2953" s="3" t="s">
        <v>66</v>
      </c>
      <c r="B2953" s="3" t="str">
        <f>INDEX(State_Region!$B$2:$B$26,MATCH(TRIM(A2953),State_Region!$A$2:$A$26,0))</f>
        <v>North</v>
      </c>
      <c r="C2953" s="3" t="s">
        <v>73</v>
      </c>
      <c r="D2953" s="3" t="str">
        <f>INDEX(Port_Type!$B$2:$B$227,MATCH(TRIM(C2953),Port_Type!$A$2:$A$227,0))</f>
        <v>Inland ICD / CFS</v>
      </c>
      <c r="E2953" s="3" t="s">
        <v>150</v>
      </c>
      <c r="F2953" s="3" t="str">
        <f>INDEX(Product_Category!$B$2:$B$45,MATCH(TRIM(E2953),Product_Category!$A$2:$A$45,0))</f>
        <v>Nuts &amp; Oilseeds</v>
      </c>
      <c r="G2953" s="4">
        <v>0</v>
      </c>
      <c r="H2953" s="4">
        <v>0</v>
      </c>
      <c r="I2953" s="4">
        <v>0</v>
      </c>
      <c r="J2953" s="4">
        <v>0.08</v>
      </c>
      <c r="K2953" s="4">
        <v>0</v>
      </c>
      <c r="L2953" s="4">
        <v>0</v>
      </c>
      <c r="M2953" s="4">
        <f t="shared" si="138"/>
        <v>0</v>
      </c>
      <c r="N2953" s="4">
        <f t="shared" si="139"/>
        <v>-0.08</v>
      </c>
      <c r="O2953" s="4">
        <f t="shared" si="140"/>
        <v>0</v>
      </c>
      <c r="P2953" s="3" t="s">
        <v>19</v>
      </c>
    </row>
    <row r="2954" spans="1:16" x14ac:dyDescent="0.35">
      <c r="A2954" s="3" t="s">
        <v>66</v>
      </c>
      <c r="B2954" s="3" t="str">
        <f>INDEX(State_Region!$B$2:$B$26,MATCH(TRIM(A2954),State_Region!$A$2:$A$26,0))</f>
        <v>North</v>
      </c>
      <c r="C2954" s="3" t="s">
        <v>73</v>
      </c>
      <c r="D2954" s="3" t="str">
        <f>INDEX(Port_Type!$B$2:$B$227,MATCH(TRIM(C2954),Port_Type!$A$2:$A$227,0))</f>
        <v>Inland ICD / CFS</v>
      </c>
      <c r="E2954" s="3" t="s">
        <v>81</v>
      </c>
      <c r="F2954" s="3" t="str">
        <f>INDEX(Product_Category!$B$2:$B$45,MATCH(TRIM(E2954),Product_Category!$A$2:$A$45,0))</f>
        <v>Processed Foods</v>
      </c>
      <c r="G2954" s="4">
        <v>0</v>
      </c>
      <c r="H2954" s="4">
        <v>0</v>
      </c>
      <c r="I2954" s="4">
        <v>0</v>
      </c>
      <c r="J2954" s="4">
        <v>0</v>
      </c>
      <c r="K2954" s="4">
        <v>0.84</v>
      </c>
      <c r="L2954" s="4">
        <v>0</v>
      </c>
      <c r="M2954" s="4">
        <f t="shared" si="138"/>
        <v>0</v>
      </c>
      <c r="N2954" s="4">
        <f t="shared" si="139"/>
        <v>0.84</v>
      </c>
      <c r="O2954" s="4">
        <f t="shared" si="140"/>
        <v>0</v>
      </c>
      <c r="P2954" s="3" t="s">
        <v>19</v>
      </c>
    </row>
    <row r="2955" spans="1:16" x14ac:dyDescent="0.35">
      <c r="A2955" s="3" t="s">
        <v>20</v>
      </c>
      <c r="B2955" s="3" t="str">
        <f>INDEX(State_Region!$B$2:$B$26,MATCH(TRIM(A2955),State_Region!$A$2:$A$26,0))</f>
        <v>West</v>
      </c>
      <c r="C2955" s="3" t="s">
        <v>68</v>
      </c>
      <c r="D2955" s="3" t="str">
        <f>INDEX(Port_Type!$B$2:$B$227,MATCH(TRIM(C2955),Port_Type!$A$2:$A$227,0))</f>
        <v>Air Cargo</v>
      </c>
      <c r="E2955" s="3" t="s">
        <v>51</v>
      </c>
      <c r="F2955" s="3" t="str">
        <f>INDEX(Product_Category!$B$2:$B$45,MATCH(TRIM(E2955),Product_Category!$A$2:$A$45,0))</f>
        <v>Nuts &amp; Oilseeds</v>
      </c>
      <c r="G2955" s="4">
        <v>0</v>
      </c>
      <c r="H2955" s="4">
        <v>0</v>
      </c>
      <c r="I2955" s="4">
        <v>0</v>
      </c>
      <c r="J2955" s="4">
        <v>0.12</v>
      </c>
      <c r="K2955" s="4">
        <v>0.16</v>
      </c>
      <c r="L2955" s="4">
        <v>0</v>
      </c>
      <c r="M2955" s="4">
        <f t="shared" si="138"/>
        <v>0</v>
      </c>
      <c r="N2955" s="4">
        <f t="shared" si="139"/>
        <v>4.0000000000000008E-2</v>
      </c>
      <c r="O2955" s="4">
        <f t="shared" si="140"/>
        <v>0</v>
      </c>
      <c r="P2955" s="3" t="s">
        <v>19</v>
      </c>
    </row>
    <row r="2956" spans="1:16" x14ac:dyDescent="0.35">
      <c r="A2956" s="3" t="s">
        <v>66</v>
      </c>
      <c r="B2956" s="3" t="str">
        <f>INDEX(State_Region!$B$2:$B$26,MATCH(TRIM(A2956),State_Region!$A$2:$A$26,0))</f>
        <v>North</v>
      </c>
      <c r="C2956" s="3" t="s">
        <v>73</v>
      </c>
      <c r="D2956" s="3" t="str">
        <f>INDEX(Port_Type!$B$2:$B$227,MATCH(TRIM(C2956),Port_Type!$A$2:$A$227,0))</f>
        <v>Inland ICD / CFS</v>
      </c>
      <c r="E2956" s="3" t="s">
        <v>122</v>
      </c>
      <c r="F2956" s="3" t="str">
        <f>INDEX(Product_Category!$B$2:$B$45,MATCH(TRIM(E2956),Product_Category!$A$2:$A$45,0))</f>
        <v>Others</v>
      </c>
      <c r="G2956" s="4">
        <v>0</v>
      </c>
      <c r="H2956" s="4">
        <v>0</v>
      </c>
      <c r="I2956" s="4">
        <v>0</v>
      </c>
      <c r="J2956" s="4">
        <v>0.05</v>
      </c>
      <c r="K2956" s="4">
        <v>0.02</v>
      </c>
      <c r="L2956" s="4">
        <v>0</v>
      </c>
      <c r="M2956" s="4">
        <f t="shared" si="138"/>
        <v>0</v>
      </c>
      <c r="N2956" s="4">
        <f t="shared" si="139"/>
        <v>-3.0000000000000002E-2</v>
      </c>
      <c r="O2956" s="4">
        <f t="shared" si="140"/>
        <v>0</v>
      </c>
      <c r="P2956" s="3" t="s">
        <v>19</v>
      </c>
    </row>
    <row r="2957" spans="1:16" x14ac:dyDescent="0.35">
      <c r="A2957" s="3" t="s">
        <v>20</v>
      </c>
      <c r="B2957" s="3" t="str">
        <f>INDEX(State_Region!$B$2:$B$26,MATCH(TRIM(A2957),State_Region!$A$2:$A$26,0))</f>
        <v>West</v>
      </c>
      <c r="C2957" s="3" t="s">
        <v>68</v>
      </c>
      <c r="D2957" s="3" t="str">
        <f>INDEX(Port_Type!$B$2:$B$227,MATCH(TRIM(C2957),Port_Type!$A$2:$A$227,0))</f>
        <v>Air Cargo</v>
      </c>
      <c r="E2957" s="3" t="s">
        <v>81</v>
      </c>
      <c r="F2957" s="3" t="str">
        <f>INDEX(Product_Category!$B$2:$B$45,MATCH(TRIM(E2957),Product_Category!$A$2:$A$45,0))</f>
        <v>Processed Foods</v>
      </c>
      <c r="G2957" s="4">
        <v>0.02</v>
      </c>
      <c r="H2957" s="4">
        <v>0.01</v>
      </c>
      <c r="I2957" s="4">
        <v>0</v>
      </c>
      <c r="J2957" s="4">
        <v>19.260000000000002</v>
      </c>
      <c r="K2957" s="4">
        <v>7.99</v>
      </c>
      <c r="L2957" s="4">
        <v>0.02</v>
      </c>
      <c r="M2957" s="4">
        <f t="shared" si="138"/>
        <v>-0.01</v>
      </c>
      <c r="N2957" s="4">
        <f t="shared" si="139"/>
        <v>-11.270000000000001</v>
      </c>
      <c r="O2957" s="4">
        <f t="shared" si="140"/>
        <v>-0.01</v>
      </c>
      <c r="P2957" s="3" t="s">
        <v>19</v>
      </c>
    </row>
    <row r="2958" spans="1:16" x14ac:dyDescent="0.35">
      <c r="A2958" s="3" t="s">
        <v>66</v>
      </c>
      <c r="B2958" s="3" t="str">
        <f>INDEX(State_Region!$B$2:$B$26,MATCH(TRIM(A2958),State_Region!$A$2:$A$26,0))</f>
        <v>North</v>
      </c>
      <c r="C2958" s="3" t="s">
        <v>73</v>
      </c>
      <c r="D2958" s="3" t="str">
        <f>INDEX(Port_Type!$B$2:$B$227,MATCH(TRIM(C2958),Port_Type!$A$2:$A$227,0))</f>
        <v>Inland ICD / CFS</v>
      </c>
      <c r="E2958" s="3" t="s">
        <v>62</v>
      </c>
      <c r="F2958" s="3" t="str">
        <f>INDEX(Product_Category!$B$2:$B$45,MATCH(TRIM(E2958),Product_Category!$A$2:$A$45,0))</f>
        <v>Cereals &amp; Grains</v>
      </c>
      <c r="G2958" s="4">
        <v>0</v>
      </c>
      <c r="H2958" s="4">
        <v>0</v>
      </c>
      <c r="I2958" s="4">
        <v>0</v>
      </c>
      <c r="J2958" s="4">
        <v>0</v>
      </c>
      <c r="K2958" s="4">
        <v>1.21</v>
      </c>
      <c r="L2958" s="4">
        <v>0</v>
      </c>
      <c r="M2958" s="4">
        <f t="shared" si="138"/>
        <v>0</v>
      </c>
      <c r="N2958" s="4">
        <f t="shared" si="139"/>
        <v>1.21</v>
      </c>
      <c r="O2958" s="4">
        <f t="shared" si="140"/>
        <v>0</v>
      </c>
      <c r="P2958" s="3" t="s">
        <v>19</v>
      </c>
    </row>
    <row r="2959" spans="1:16" x14ac:dyDescent="0.35">
      <c r="A2959" s="3" t="s">
        <v>66</v>
      </c>
      <c r="B2959" s="3" t="str">
        <f>INDEX(State_Region!$B$2:$B$26,MATCH(TRIM(A2959),State_Region!$A$2:$A$26,0))</f>
        <v>North</v>
      </c>
      <c r="C2959" s="3" t="s">
        <v>73</v>
      </c>
      <c r="D2959" s="3" t="str">
        <f>INDEX(Port_Type!$B$2:$B$227,MATCH(TRIM(C2959),Port_Type!$A$2:$A$227,0))</f>
        <v>Inland ICD / CFS</v>
      </c>
      <c r="E2959" s="3" t="s">
        <v>151</v>
      </c>
      <c r="F2959" s="3" t="str">
        <f>INDEX(Product_Category!$B$2:$B$45,MATCH(TRIM(E2959),Product_Category!$A$2:$A$45,0))</f>
        <v>Processed Foods</v>
      </c>
      <c r="G2959" s="4">
        <v>0.01</v>
      </c>
      <c r="H2959" s="4">
        <v>0.01</v>
      </c>
      <c r="I2959" s="4">
        <v>0</v>
      </c>
      <c r="J2959" s="4">
        <v>2.54</v>
      </c>
      <c r="K2959" s="4">
        <v>2.4500000000000002</v>
      </c>
      <c r="L2959" s="4">
        <v>0</v>
      </c>
      <c r="M2959" s="4">
        <f t="shared" si="138"/>
        <v>0</v>
      </c>
      <c r="N2959" s="4">
        <f t="shared" si="139"/>
        <v>-8.9999999999999858E-2</v>
      </c>
      <c r="O2959" s="4">
        <f t="shared" si="140"/>
        <v>-0.01</v>
      </c>
      <c r="P2959" s="3" t="s">
        <v>19</v>
      </c>
    </row>
    <row r="2960" spans="1:16" x14ac:dyDescent="0.35">
      <c r="A2960" s="3" t="s">
        <v>66</v>
      </c>
      <c r="B2960" s="3" t="str">
        <f>INDEX(State_Region!$B$2:$B$26,MATCH(TRIM(A2960),State_Region!$A$2:$A$26,0))</f>
        <v>North</v>
      </c>
      <c r="C2960" s="3" t="s">
        <v>73</v>
      </c>
      <c r="D2960" s="3" t="str">
        <f>INDEX(Port_Type!$B$2:$B$227,MATCH(TRIM(C2960),Port_Type!$A$2:$A$227,0))</f>
        <v>Inland ICD / CFS</v>
      </c>
      <c r="E2960" s="3" t="s">
        <v>144</v>
      </c>
      <c r="F2960" s="3" t="str">
        <f>INDEX(Product_Category!$B$2:$B$45,MATCH(TRIM(E2960),Product_Category!$A$2:$A$45,0))</f>
        <v>Cereals &amp; Grains</v>
      </c>
      <c r="G2960" s="4">
        <v>0</v>
      </c>
      <c r="H2960" s="4">
        <v>0</v>
      </c>
      <c r="I2960" s="4">
        <v>0</v>
      </c>
      <c r="J2960" s="4">
        <v>6.81</v>
      </c>
      <c r="K2960" s="4">
        <v>1.77</v>
      </c>
      <c r="L2960" s="4">
        <v>0</v>
      </c>
      <c r="M2960" s="4">
        <f t="shared" si="138"/>
        <v>0</v>
      </c>
      <c r="N2960" s="4">
        <f t="shared" si="139"/>
        <v>-5.0399999999999991</v>
      </c>
      <c r="O2960" s="4">
        <f t="shared" si="140"/>
        <v>0</v>
      </c>
      <c r="P2960" s="3" t="s">
        <v>19</v>
      </c>
    </row>
    <row r="2961" spans="1:16" x14ac:dyDescent="0.35">
      <c r="A2961" s="3" t="s">
        <v>20</v>
      </c>
      <c r="B2961" s="3" t="str">
        <f>INDEX(State_Region!$B$2:$B$26,MATCH(TRIM(A2961),State_Region!$A$2:$A$26,0))</f>
        <v>West</v>
      </c>
      <c r="C2961" s="3" t="s">
        <v>298</v>
      </c>
      <c r="D2961" s="3" t="str">
        <f>INDEX(Port_Type!$B$2:$B$227,MATCH(TRIM(C2961),Port_Type!$A$2:$A$227,0))</f>
        <v>Air Cargo</v>
      </c>
      <c r="E2961" s="3" t="s">
        <v>33</v>
      </c>
      <c r="F2961" s="3" t="str">
        <f>INDEX(Product_Category!$B$2:$B$45,MATCH(TRIM(E2961),Product_Category!$A$2:$A$45,0))</f>
        <v>Pulses</v>
      </c>
      <c r="G2961" s="4">
        <v>0.86</v>
      </c>
      <c r="H2961" s="4">
        <v>0</v>
      </c>
      <c r="I2961" s="4">
        <v>0</v>
      </c>
      <c r="J2961" s="4">
        <v>604.13</v>
      </c>
      <c r="K2961" s="4">
        <v>0</v>
      </c>
      <c r="L2961" s="4">
        <v>0</v>
      </c>
      <c r="M2961" s="4">
        <f t="shared" si="138"/>
        <v>-0.86</v>
      </c>
      <c r="N2961" s="4">
        <f t="shared" si="139"/>
        <v>-604.13</v>
      </c>
      <c r="O2961" s="4">
        <f t="shared" si="140"/>
        <v>0</v>
      </c>
      <c r="P2961" s="3" t="s">
        <v>19</v>
      </c>
    </row>
    <row r="2962" spans="1:16" x14ac:dyDescent="0.35">
      <c r="A2962" s="3" t="s">
        <v>20</v>
      </c>
      <c r="B2962" s="3" t="str">
        <f>INDEX(State_Region!$B$2:$B$26,MATCH(TRIM(A2962),State_Region!$A$2:$A$26,0))</f>
        <v>West</v>
      </c>
      <c r="C2962" s="3" t="s">
        <v>298</v>
      </c>
      <c r="D2962" s="3" t="str">
        <f>INDEX(Port_Type!$B$2:$B$227,MATCH(TRIM(C2962),Port_Type!$A$2:$A$227,0))</f>
        <v>Air Cargo</v>
      </c>
      <c r="E2962" s="3" t="s">
        <v>39</v>
      </c>
      <c r="F2962" s="3" t="str">
        <f>INDEX(Product_Category!$B$2:$B$45,MATCH(TRIM(E2962),Product_Category!$A$2:$A$45,0))</f>
        <v>Processed Foods</v>
      </c>
      <c r="G2962" s="4">
        <v>0</v>
      </c>
      <c r="H2962" s="4">
        <v>0</v>
      </c>
      <c r="I2962" s="4">
        <v>0</v>
      </c>
      <c r="J2962" s="4">
        <v>0</v>
      </c>
      <c r="K2962" s="4">
        <v>0.01</v>
      </c>
      <c r="L2962" s="4">
        <v>0</v>
      </c>
      <c r="M2962" s="4">
        <f t="shared" si="138"/>
        <v>0</v>
      </c>
      <c r="N2962" s="4">
        <f t="shared" si="139"/>
        <v>0.01</v>
      </c>
      <c r="O2962" s="4">
        <f t="shared" si="140"/>
        <v>0</v>
      </c>
      <c r="P2962" s="3" t="s">
        <v>19</v>
      </c>
    </row>
    <row r="2963" spans="1:16" x14ac:dyDescent="0.35">
      <c r="A2963" s="3" t="s">
        <v>66</v>
      </c>
      <c r="B2963" s="3" t="str">
        <f>INDEX(State_Region!$B$2:$B$26,MATCH(TRIM(A2963),State_Region!$A$2:$A$26,0))</f>
        <v>North</v>
      </c>
      <c r="C2963" s="3" t="s">
        <v>73</v>
      </c>
      <c r="D2963" s="3" t="str">
        <f>INDEX(Port_Type!$B$2:$B$227,MATCH(TRIM(C2963),Port_Type!$A$2:$A$227,0))</f>
        <v>Inland ICD / CFS</v>
      </c>
      <c r="E2963" s="3" t="s">
        <v>126</v>
      </c>
      <c r="F2963" s="3" t="str">
        <f>INDEX(Product_Category!$B$2:$B$45,MATCH(TRIM(E2963),Product_Category!$A$2:$A$45,0))</f>
        <v>Cereals &amp; Grains</v>
      </c>
      <c r="G2963" s="4">
        <v>0.01</v>
      </c>
      <c r="H2963" s="4">
        <v>0</v>
      </c>
      <c r="I2963" s="4">
        <v>0</v>
      </c>
      <c r="J2963" s="4">
        <v>2.89</v>
      </c>
      <c r="K2963" s="4">
        <v>0</v>
      </c>
      <c r="L2963" s="4">
        <v>0</v>
      </c>
      <c r="M2963" s="4">
        <f t="shared" si="138"/>
        <v>-0.01</v>
      </c>
      <c r="N2963" s="4">
        <f t="shared" si="139"/>
        <v>-2.89</v>
      </c>
      <c r="O2963" s="4">
        <f t="shared" si="140"/>
        <v>0</v>
      </c>
      <c r="P2963" s="3" t="s">
        <v>19</v>
      </c>
    </row>
    <row r="2964" spans="1:16" x14ac:dyDescent="0.35">
      <c r="A2964" s="3" t="s">
        <v>20</v>
      </c>
      <c r="B2964" s="3" t="str">
        <f>INDEX(State_Region!$B$2:$B$26,MATCH(TRIM(A2964),State_Region!$A$2:$A$26,0))</f>
        <v>West</v>
      </c>
      <c r="C2964" s="3" t="s">
        <v>299</v>
      </c>
      <c r="D2964" s="3" t="str">
        <f>INDEX(Port_Type!$B$2:$B$227,MATCH(TRIM(C2964),Port_Type!$A$2:$A$227,0))</f>
        <v>SEZ / EPZ</v>
      </c>
      <c r="E2964" s="3" t="s">
        <v>72</v>
      </c>
      <c r="F2964" s="3" t="str">
        <f>INDEX(Product_Category!$B$2:$B$45,MATCH(TRIM(E2964),Product_Category!$A$2:$A$45,0))</f>
        <v>Dairy, Poultry &amp; Honey</v>
      </c>
      <c r="G2964" s="4">
        <v>0</v>
      </c>
      <c r="H2964" s="4">
        <v>0</v>
      </c>
      <c r="I2964" s="4">
        <v>0</v>
      </c>
      <c r="J2964" s="4">
        <v>0</v>
      </c>
      <c r="K2964" s="4">
        <v>0</v>
      </c>
      <c r="L2964" s="4">
        <v>0</v>
      </c>
      <c r="M2964" s="4">
        <f t="shared" si="138"/>
        <v>0</v>
      </c>
      <c r="N2964" s="4">
        <f t="shared" si="139"/>
        <v>0</v>
      </c>
      <c r="O2964" s="4">
        <f t="shared" si="140"/>
        <v>0</v>
      </c>
      <c r="P2964" s="3" t="s">
        <v>19</v>
      </c>
    </row>
    <row r="2965" spans="1:16" x14ac:dyDescent="0.35">
      <c r="A2965" s="3" t="s">
        <v>66</v>
      </c>
      <c r="B2965" s="3" t="str">
        <f>INDEX(State_Region!$B$2:$B$26,MATCH(TRIM(A2965),State_Region!$A$2:$A$26,0))</f>
        <v>North</v>
      </c>
      <c r="C2965" s="3" t="s">
        <v>73</v>
      </c>
      <c r="D2965" s="3" t="str">
        <f>INDEX(Port_Type!$B$2:$B$227,MATCH(TRIM(C2965),Port_Type!$A$2:$A$227,0))</f>
        <v>Inland ICD / CFS</v>
      </c>
      <c r="E2965" s="3" t="s">
        <v>102</v>
      </c>
      <c r="F2965" s="3" t="str">
        <f>INDEX(Product_Category!$B$2:$B$45,MATCH(TRIM(E2965),Product_Category!$A$2:$A$45,0))</f>
        <v>Fresh Fruits &amp; Vegetables</v>
      </c>
      <c r="G2965" s="4">
        <v>0.02</v>
      </c>
      <c r="H2965" s="4">
        <v>0.02</v>
      </c>
      <c r="I2965" s="4">
        <v>0</v>
      </c>
      <c r="J2965" s="4">
        <v>36.97</v>
      </c>
      <c r="K2965" s="4">
        <v>23</v>
      </c>
      <c r="L2965" s="4">
        <v>0</v>
      </c>
      <c r="M2965" s="4">
        <f t="shared" si="138"/>
        <v>0</v>
      </c>
      <c r="N2965" s="4">
        <f t="shared" si="139"/>
        <v>-13.969999999999999</v>
      </c>
      <c r="O2965" s="4">
        <f t="shared" si="140"/>
        <v>-0.02</v>
      </c>
      <c r="P2965" s="3" t="s">
        <v>19</v>
      </c>
    </row>
    <row r="2966" spans="1:16" x14ac:dyDescent="0.35">
      <c r="A2966" s="3" t="s">
        <v>66</v>
      </c>
      <c r="B2966" s="3" t="str">
        <f>INDEX(State_Region!$B$2:$B$26,MATCH(TRIM(A2966),State_Region!$A$2:$A$26,0))</f>
        <v>North</v>
      </c>
      <c r="C2966" s="3" t="s">
        <v>73</v>
      </c>
      <c r="D2966" s="3" t="str">
        <f>INDEX(Port_Type!$B$2:$B$227,MATCH(TRIM(C2966),Port_Type!$A$2:$A$227,0))</f>
        <v>Inland ICD / CFS</v>
      </c>
      <c r="E2966" s="3" t="s">
        <v>170</v>
      </c>
      <c r="F2966" s="3" t="str">
        <f>INDEX(Product_Category!$B$2:$B$45,MATCH(TRIM(E2966),Product_Category!$A$2:$A$45,0))</f>
        <v>Others</v>
      </c>
      <c r="G2966" s="4">
        <v>0</v>
      </c>
      <c r="H2966" s="4">
        <v>0.02</v>
      </c>
      <c r="I2966" s="4">
        <v>0</v>
      </c>
      <c r="J2966" s="4">
        <v>0</v>
      </c>
      <c r="K2966" s="4">
        <v>0.79</v>
      </c>
      <c r="L2966" s="4">
        <v>0</v>
      </c>
      <c r="M2966" s="4">
        <f t="shared" si="138"/>
        <v>0.02</v>
      </c>
      <c r="N2966" s="4">
        <f t="shared" si="139"/>
        <v>0.79</v>
      </c>
      <c r="O2966" s="4">
        <f t="shared" si="140"/>
        <v>-0.02</v>
      </c>
      <c r="P2966" s="3" t="s">
        <v>19</v>
      </c>
    </row>
    <row r="2967" spans="1:16" x14ac:dyDescent="0.35">
      <c r="A2967" s="3" t="s">
        <v>20</v>
      </c>
      <c r="B2967" s="3" t="str">
        <f>INDEX(State_Region!$B$2:$B$26,MATCH(TRIM(A2967),State_Region!$A$2:$A$26,0))</f>
        <v>West</v>
      </c>
      <c r="C2967" s="3" t="s">
        <v>156</v>
      </c>
      <c r="D2967" s="3" t="str">
        <f>INDEX(Port_Type!$B$2:$B$227,MATCH(TRIM(C2967),Port_Type!$A$2:$A$227,0))</f>
        <v>Sea Port</v>
      </c>
      <c r="E2967" s="3" t="s">
        <v>181</v>
      </c>
      <c r="F2967" s="3" t="str">
        <f>INDEX(Product_Category!$B$2:$B$45,MATCH(TRIM(E2967),Product_Category!$A$2:$A$45,0))</f>
        <v>Nuts &amp; Oilseeds</v>
      </c>
      <c r="G2967" s="4">
        <v>0</v>
      </c>
      <c r="H2967" s="4">
        <v>0.15</v>
      </c>
      <c r="I2967" s="4">
        <v>0</v>
      </c>
      <c r="J2967" s="4">
        <v>0</v>
      </c>
      <c r="K2967" s="4">
        <v>48.58</v>
      </c>
      <c r="L2967" s="4">
        <v>0</v>
      </c>
      <c r="M2967" s="4">
        <f t="shared" si="138"/>
        <v>0.15</v>
      </c>
      <c r="N2967" s="4">
        <f t="shared" si="139"/>
        <v>48.58</v>
      </c>
      <c r="O2967" s="4">
        <f t="shared" si="140"/>
        <v>-0.15</v>
      </c>
      <c r="P2967" s="3" t="s">
        <v>19</v>
      </c>
    </row>
    <row r="2968" spans="1:16" x14ac:dyDescent="0.35">
      <c r="A2968" s="3" t="s">
        <v>20</v>
      </c>
      <c r="B2968" s="3" t="str">
        <f>INDEX(State_Region!$B$2:$B$26,MATCH(TRIM(A2968),State_Region!$A$2:$A$26,0))</f>
        <v>West</v>
      </c>
      <c r="C2968" s="3" t="s">
        <v>156</v>
      </c>
      <c r="D2968" s="3" t="str">
        <f>INDEX(Port_Type!$B$2:$B$227,MATCH(TRIM(C2968),Port_Type!$A$2:$A$227,0))</f>
        <v>Sea Port</v>
      </c>
      <c r="E2968" s="3" t="s">
        <v>42</v>
      </c>
      <c r="F2968" s="3" t="str">
        <f>INDEX(Product_Category!$B$2:$B$45,MATCH(TRIM(E2968),Product_Category!$A$2:$A$45,0))</f>
        <v>Processed Foods</v>
      </c>
      <c r="G2968" s="4">
        <v>0</v>
      </c>
      <c r="H2968" s="4">
        <v>0.01</v>
      </c>
      <c r="I2968" s="4">
        <v>0</v>
      </c>
      <c r="J2968" s="4">
        <v>0</v>
      </c>
      <c r="K2968" s="4">
        <v>1</v>
      </c>
      <c r="L2968" s="4">
        <v>0</v>
      </c>
      <c r="M2968" s="4">
        <f t="shared" si="138"/>
        <v>0.01</v>
      </c>
      <c r="N2968" s="4">
        <f t="shared" si="139"/>
        <v>1</v>
      </c>
      <c r="O2968" s="4">
        <f t="shared" si="140"/>
        <v>-0.01</v>
      </c>
      <c r="P2968" s="3" t="s">
        <v>19</v>
      </c>
    </row>
    <row r="2969" spans="1:16" x14ac:dyDescent="0.35">
      <c r="A2969" s="3" t="s">
        <v>20</v>
      </c>
      <c r="B2969" s="3" t="str">
        <f>INDEX(State_Region!$B$2:$B$26,MATCH(TRIM(A2969),State_Region!$A$2:$A$26,0))</f>
        <v>West</v>
      </c>
      <c r="C2969" s="3" t="s">
        <v>156</v>
      </c>
      <c r="D2969" s="3" t="str">
        <f>INDEX(Port_Type!$B$2:$B$227,MATCH(TRIM(C2969),Port_Type!$A$2:$A$227,0))</f>
        <v>Sea Port</v>
      </c>
      <c r="E2969" s="3" t="s">
        <v>59</v>
      </c>
      <c r="F2969" s="3" t="str">
        <f>INDEX(Product_Category!$B$2:$B$45,MATCH(TRIM(E2969),Product_Category!$A$2:$A$45,0))</f>
        <v>Processed Foods</v>
      </c>
      <c r="G2969" s="4">
        <v>0.26</v>
      </c>
      <c r="H2969" s="4">
        <v>0.02</v>
      </c>
      <c r="I2969" s="4">
        <v>0</v>
      </c>
      <c r="J2969" s="4">
        <v>133.65</v>
      </c>
      <c r="K2969" s="4">
        <v>12.87</v>
      </c>
      <c r="L2969" s="4">
        <v>0</v>
      </c>
      <c r="M2969" s="4">
        <f t="shared" si="138"/>
        <v>-0.24000000000000002</v>
      </c>
      <c r="N2969" s="4">
        <f t="shared" si="139"/>
        <v>-120.78</v>
      </c>
      <c r="O2969" s="4">
        <f t="shared" si="140"/>
        <v>-0.02</v>
      </c>
      <c r="P2969" s="3" t="s">
        <v>19</v>
      </c>
    </row>
    <row r="2970" spans="1:16" x14ac:dyDescent="0.35">
      <c r="A2970" s="3" t="s">
        <v>20</v>
      </c>
      <c r="B2970" s="3" t="str">
        <f>INDEX(State_Region!$B$2:$B$26,MATCH(TRIM(A2970),State_Region!$A$2:$A$26,0))</f>
        <v>West</v>
      </c>
      <c r="C2970" s="3" t="s">
        <v>265</v>
      </c>
      <c r="D2970" s="3" t="str">
        <f>INDEX(Port_Type!$B$2:$B$227,MATCH(TRIM(C2970),Port_Type!$A$2:$A$227,0))</f>
        <v>Sea Port</v>
      </c>
      <c r="E2970" s="3" t="s">
        <v>93</v>
      </c>
      <c r="F2970" s="3" t="str">
        <f>INDEX(Product_Category!$B$2:$B$45,MATCH(TRIM(E2970),Product_Category!$A$2:$A$45,0))</f>
        <v>Meat &amp; Animal Products</v>
      </c>
      <c r="G2970" s="4">
        <v>0</v>
      </c>
      <c r="H2970" s="4">
        <v>0</v>
      </c>
      <c r="I2970" s="4">
        <v>0</v>
      </c>
      <c r="J2970" s="4">
        <v>0</v>
      </c>
      <c r="K2970" s="4">
        <v>0.1</v>
      </c>
      <c r="L2970" s="4">
        <v>0</v>
      </c>
      <c r="M2970" s="4">
        <f t="shared" si="138"/>
        <v>0</v>
      </c>
      <c r="N2970" s="4">
        <f t="shared" si="139"/>
        <v>0.1</v>
      </c>
      <c r="O2970" s="4">
        <f t="shared" si="140"/>
        <v>0</v>
      </c>
      <c r="P2970" s="3" t="s">
        <v>19</v>
      </c>
    </row>
    <row r="2971" spans="1:16" x14ac:dyDescent="0.35">
      <c r="A2971" s="3" t="s">
        <v>66</v>
      </c>
      <c r="B2971" s="3" t="str">
        <f>INDEX(State_Region!$B$2:$B$26,MATCH(TRIM(A2971),State_Region!$A$2:$A$26,0))</f>
        <v>North</v>
      </c>
      <c r="C2971" s="3" t="s">
        <v>73</v>
      </c>
      <c r="D2971" s="3" t="str">
        <f>INDEX(Port_Type!$B$2:$B$227,MATCH(TRIM(C2971),Port_Type!$A$2:$A$227,0))</f>
        <v>Inland ICD / CFS</v>
      </c>
      <c r="E2971" s="3" t="s">
        <v>181</v>
      </c>
      <c r="F2971" s="3" t="str">
        <f>INDEX(Product_Category!$B$2:$B$45,MATCH(TRIM(E2971),Product_Category!$A$2:$A$45,0))</f>
        <v>Nuts &amp; Oilseeds</v>
      </c>
      <c r="G2971" s="4">
        <v>0</v>
      </c>
      <c r="H2971" s="4">
        <v>0.23</v>
      </c>
      <c r="I2971" s="4">
        <v>0</v>
      </c>
      <c r="J2971" s="4">
        <v>0</v>
      </c>
      <c r="K2971" s="4">
        <v>24.98</v>
      </c>
      <c r="L2971" s="4">
        <v>0</v>
      </c>
      <c r="M2971" s="4">
        <f t="shared" si="138"/>
        <v>0.23</v>
      </c>
      <c r="N2971" s="4">
        <f t="shared" si="139"/>
        <v>24.98</v>
      </c>
      <c r="O2971" s="4">
        <f t="shared" si="140"/>
        <v>-0.23</v>
      </c>
      <c r="P2971" s="3" t="s">
        <v>19</v>
      </c>
    </row>
    <row r="2972" spans="1:16" x14ac:dyDescent="0.35">
      <c r="A2972" s="3" t="s">
        <v>66</v>
      </c>
      <c r="B2972" s="3" t="str">
        <f>INDEX(State_Region!$B$2:$B$26,MATCH(TRIM(A2972),State_Region!$A$2:$A$26,0))</f>
        <v>North</v>
      </c>
      <c r="C2972" s="3" t="s">
        <v>300</v>
      </c>
      <c r="D2972" s="3" t="str">
        <f>INDEX(Port_Type!$B$2:$B$227,MATCH(TRIM(C2972),Port_Type!$A$2:$A$227,0))</f>
        <v>Inland ICD / CFS</v>
      </c>
      <c r="E2972" s="3" t="s">
        <v>118</v>
      </c>
      <c r="F2972" s="3" t="str">
        <f>INDEX(Product_Category!$B$2:$B$45,MATCH(TRIM(E2972),Product_Category!$A$2:$A$45,0))</f>
        <v>Dairy, Poultry &amp; Honey</v>
      </c>
      <c r="G2972" s="4">
        <v>0</v>
      </c>
      <c r="H2972" s="4">
        <v>0.05</v>
      </c>
      <c r="I2972" s="4">
        <v>0</v>
      </c>
      <c r="J2972" s="4">
        <v>0</v>
      </c>
      <c r="K2972" s="4">
        <v>33</v>
      </c>
      <c r="L2972" s="4">
        <v>0</v>
      </c>
      <c r="M2972" s="4">
        <f t="shared" si="138"/>
        <v>0.05</v>
      </c>
      <c r="N2972" s="4">
        <f t="shared" si="139"/>
        <v>33</v>
      </c>
      <c r="O2972" s="4">
        <f t="shared" si="140"/>
        <v>-0.05</v>
      </c>
      <c r="P2972" s="3" t="s">
        <v>19</v>
      </c>
    </row>
    <row r="2973" spans="1:16" x14ac:dyDescent="0.35">
      <c r="A2973" s="3" t="s">
        <v>66</v>
      </c>
      <c r="B2973" s="3" t="str">
        <f>INDEX(State_Region!$B$2:$B$26,MATCH(TRIM(A2973),State_Region!$A$2:$A$26,0))</f>
        <v>North</v>
      </c>
      <c r="C2973" s="3" t="s">
        <v>208</v>
      </c>
      <c r="D2973" s="3" t="str">
        <f>INDEX(Port_Type!$B$2:$B$227,MATCH(TRIM(C2973),Port_Type!$A$2:$A$227,0))</f>
        <v>Inland ICD / CFS</v>
      </c>
      <c r="E2973" s="3" t="s">
        <v>60</v>
      </c>
      <c r="F2973" s="3" t="str">
        <f>INDEX(Product_Category!$B$2:$B$45,MATCH(TRIM(E2973),Product_Category!$A$2:$A$45,0))</f>
        <v>Processed Foods</v>
      </c>
      <c r="G2973" s="4">
        <v>0.15</v>
      </c>
      <c r="H2973" s="4">
        <v>0.02</v>
      </c>
      <c r="I2973" s="4">
        <v>0</v>
      </c>
      <c r="J2973" s="4">
        <v>167.5</v>
      </c>
      <c r="K2973" s="4">
        <v>8</v>
      </c>
      <c r="L2973" s="4">
        <v>0</v>
      </c>
      <c r="M2973" s="4">
        <f t="shared" si="138"/>
        <v>-0.13</v>
      </c>
      <c r="N2973" s="4">
        <f t="shared" si="139"/>
        <v>-159.5</v>
      </c>
      <c r="O2973" s="4">
        <f t="shared" si="140"/>
        <v>-0.02</v>
      </c>
      <c r="P2973" s="3" t="s">
        <v>19</v>
      </c>
    </row>
    <row r="2974" spans="1:16" x14ac:dyDescent="0.35">
      <c r="A2974" s="3" t="s">
        <v>66</v>
      </c>
      <c r="B2974" s="3" t="str">
        <f>INDEX(State_Region!$B$2:$B$26,MATCH(TRIM(A2974),State_Region!$A$2:$A$26,0))</f>
        <v>North</v>
      </c>
      <c r="C2974" s="3" t="s">
        <v>208</v>
      </c>
      <c r="D2974" s="3" t="str">
        <f>INDEX(Port_Type!$B$2:$B$227,MATCH(TRIM(C2974),Port_Type!$A$2:$A$227,0))</f>
        <v>Inland ICD / CFS</v>
      </c>
      <c r="E2974" s="3" t="s">
        <v>18</v>
      </c>
      <c r="F2974" s="3" t="str">
        <f>INDEX(Product_Category!$B$2:$B$45,MATCH(TRIM(E2974),Product_Category!$A$2:$A$45,0))</f>
        <v>Cereals &amp; Grains</v>
      </c>
      <c r="G2974" s="4">
        <v>0.02</v>
      </c>
      <c r="H2974" s="4">
        <v>0.09</v>
      </c>
      <c r="I2974" s="4">
        <v>0</v>
      </c>
      <c r="J2974" s="4">
        <v>16.940000000000001</v>
      </c>
      <c r="K2974" s="4">
        <v>97.15</v>
      </c>
      <c r="L2974" s="4">
        <v>0</v>
      </c>
      <c r="M2974" s="4">
        <f t="shared" si="138"/>
        <v>6.9999999999999993E-2</v>
      </c>
      <c r="N2974" s="4">
        <f t="shared" si="139"/>
        <v>80.210000000000008</v>
      </c>
      <c r="O2974" s="4">
        <f t="shared" si="140"/>
        <v>-0.09</v>
      </c>
      <c r="P2974" s="3" t="s">
        <v>19</v>
      </c>
    </row>
    <row r="2975" spans="1:16" x14ac:dyDescent="0.35">
      <c r="A2975" s="3" t="s">
        <v>66</v>
      </c>
      <c r="B2975" s="3" t="str">
        <f>INDEX(State_Region!$B$2:$B$26,MATCH(TRIM(A2975),State_Region!$A$2:$A$26,0))</f>
        <v>North</v>
      </c>
      <c r="C2975" s="3" t="s">
        <v>208</v>
      </c>
      <c r="D2975" s="3" t="str">
        <f>INDEX(Port_Type!$B$2:$B$227,MATCH(TRIM(C2975),Port_Type!$A$2:$A$227,0))</f>
        <v>Inland ICD / CFS</v>
      </c>
      <c r="E2975" s="3" t="s">
        <v>114</v>
      </c>
      <c r="F2975" s="3" t="str">
        <f>INDEX(Product_Category!$B$2:$B$45,MATCH(TRIM(E2975),Product_Category!$A$2:$A$45,0))</f>
        <v>Dairy, Poultry &amp; Honey</v>
      </c>
      <c r="G2975" s="4">
        <v>0</v>
      </c>
      <c r="H2975" s="4">
        <v>0.26</v>
      </c>
      <c r="I2975" s="4">
        <v>0</v>
      </c>
      <c r="J2975" s="4">
        <v>0</v>
      </c>
      <c r="K2975" s="4">
        <v>33</v>
      </c>
      <c r="L2975" s="4">
        <v>0</v>
      </c>
      <c r="M2975" s="4">
        <f t="shared" si="138"/>
        <v>0.26</v>
      </c>
      <c r="N2975" s="4">
        <f t="shared" si="139"/>
        <v>33</v>
      </c>
      <c r="O2975" s="4">
        <f t="shared" si="140"/>
        <v>-0.26</v>
      </c>
      <c r="P2975" s="3" t="s">
        <v>19</v>
      </c>
    </row>
    <row r="2976" spans="1:16" x14ac:dyDescent="0.35">
      <c r="A2976" s="3" t="s">
        <v>66</v>
      </c>
      <c r="B2976" s="3" t="str">
        <f>INDEX(State_Region!$B$2:$B$26,MATCH(TRIM(A2976),State_Region!$A$2:$A$26,0))</f>
        <v>North</v>
      </c>
      <c r="C2976" s="3" t="s">
        <v>208</v>
      </c>
      <c r="D2976" s="3" t="str">
        <f>INDEX(Port_Type!$B$2:$B$227,MATCH(TRIM(C2976),Port_Type!$A$2:$A$227,0))</f>
        <v>Inland ICD / CFS</v>
      </c>
      <c r="E2976" s="3" t="s">
        <v>150</v>
      </c>
      <c r="F2976" s="3" t="str">
        <f>INDEX(Product_Category!$B$2:$B$45,MATCH(TRIM(E2976),Product_Category!$A$2:$A$45,0))</f>
        <v>Nuts &amp; Oilseeds</v>
      </c>
      <c r="G2976" s="4">
        <v>0.02</v>
      </c>
      <c r="H2976" s="4">
        <v>0</v>
      </c>
      <c r="I2976" s="4">
        <v>0</v>
      </c>
      <c r="J2976" s="4">
        <v>1.89</v>
      </c>
      <c r="K2976" s="4">
        <v>0</v>
      </c>
      <c r="L2976" s="4">
        <v>0</v>
      </c>
      <c r="M2976" s="4">
        <f t="shared" si="138"/>
        <v>-0.02</v>
      </c>
      <c r="N2976" s="4">
        <f t="shared" si="139"/>
        <v>-1.89</v>
      </c>
      <c r="O2976" s="4">
        <f t="shared" si="140"/>
        <v>0</v>
      </c>
      <c r="P2976" s="3" t="s">
        <v>19</v>
      </c>
    </row>
    <row r="2977" spans="1:16" x14ac:dyDescent="0.35">
      <c r="A2977" s="3" t="s">
        <v>20</v>
      </c>
      <c r="B2977" s="3" t="str">
        <f>INDEX(State_Region!$B$2:$B$26,MATCH(TRIM(A2977),State_Region!$A$2:$A$26,0))</f>
        <v>West</v>
      </c>
      <c r="C2977" s="3" t="s">
        <v>265</v>
      </c>
      <c r="D2977" s="3" t="str">
        <f>INDEX(Port_Type!$B$2:$B$227,MATCH(TRIM(C2977),Port_Type!$A$2:$A$227,0))</f>
        <v>Sea Port</v>
      </c>
      <c r="E2977" s="3" t="s">
        <v>33</v>
      </c>
      <c r="F2977" s="3" t="str">
        <f>INDEX(Product_Category!$B$2:$B$45,MATCH(TRIM(E2977),Product_Category!$A$2:$A$45,0))</f>
        <v>Pulses</v>
      </c>
      <c r="G2977" s="4">
        <v>0</v>
      </c>
      <c r="H2977" s="4">
        <v>0</v>
      </c>
      <c r="I2977" s="4">
        <v>0</v>
      </c>
      <c r="J2977" s="4">
        <v>0</v>
      </c>
      <c r="K2977" s="4">
        <v>0.09</v>
      </c>
      <c r="L2977" s="4">
        <v>0.01</v>
      </c>
      <c r="M2977" s="4">
        <f t="shared" si="138"/>
        <v>0</v>
      </c>
      <c r="N2977" s="4">
        <f t="shared" si="139"/>
        <v>0.09</v>
      </c>
      <c r="O2977" s="4">
        <f t="shared" si="140"/>
        <v>0</v>
      </c>
      <c r="P2977" s="3" t="s">
        <v>19</v>
      </c>
    </row>
    <row r="2978" spans="1:16" x14ac:dyDescent="0.35">
      <c r="A2978" s="3" t="s">
        <v>20</v>
      </c>
      <c r="B2978" s="3" t="str">
        <f>INDEX(State_Region!$B$2:$B$26,MATCH(TRIM(A2978),State_Region!$A$2:$A$26,0))</f>
        <v>West</v>
      </c>
      <c r="C2978" s="3" t="s">
        <v>265</v>
      </c>
      <c r="D2978" s="3" t="str">
        <f>INDEX(Port_Type!$B$2:$B$227,MATCH(TRIM(C2978),Port_Type!$A$2:$A$227,0))</f>
        <v>Sea Port</v>
      </c>
      <c r="E2978" s="3" t="s">
        <v>42</v>
      </c>
      <c r="F2978" s="3" t="str">
        <f>INDEX(Product_Category!$B$2:$B$45,MATCH(TRIM(E2978),Product_Category!$A$2:$A$45,0))</f>
        <v>Processed Foods</v>
      </c>
      <c r="G2978" s="4">
        <v>0</v>
      </c>
      <c r="H2978" s="4">
        <v>0</v>
      </c>
      <c r="I2978" s="4">
        <v>0</v>
      </c>
      <c r="J2978" s="4">
        <v>0</v>
      </c>
      <c r="K2978" s="4">
        <v>0.31</v>
      </c>
      <c r="L2978" s="4">
        <v>0.1</v>
      </c>
      <c r="M2978" s="4">
        <f t="shared" si="138"/>
        <v>0</v>
      </c>
      <c r="N2978" s="4">
        <f t="shared" si="139"/>
        <v>0.31</v>
      </c>
      <c r="O2978" s="4">
        <f t="shared" si="140"/>
        <v>0</v>
      </c>
      <c r="P2978" s="3" t="s">
        <v>19</v>
      </c>
    </row>
    <row r="2979" spans="1:16" x14ac:dyDescent="0.35">
      <c r="A2979" s="3" t="s">
        <v>66</v>
      </c>
      <c r="B2979" s="3" t="str">
        <f>INDEX(State_Region!$B$2:$B$26,MATCH(TRIM(A2979),State_Region!$A$2:$A$26,0))</f>
        <v>North</v>
      </c>
      <c r="C2979" s="3" t="s">
        <v>208</v>
      </c>
      <c r="D2979" s="3" t="str">
        <f>INDEX(Port_Type!$B$2:$B$227,MATCH(TRIM(C2979),Port_Type!$A$2:$A$227,0))</f>
        <v>Inland ICD / CFS</v>
      </c>
      <c r="E2979" s="3" t="s">
        <v>122</v>
      </c>
      <c r="F2979" s="3" t="str">
        <f>INDEX(Product_Category!$B$2:$B$45,MATCH(TRIM(E2979),Product_Category!$A$2:$A$45,0))</f>
        <v>Others</v>
      </c>
      <c r="G2979" s="4">
        <v>0</v>
      </c>
      <c r="H2979" s="4">
        <v>0</v>
      </c>
      <c r="I2979" s="4">
        <v>0</v>
      </c>
      <c r="J2979" s="4">
        <v>0.01</v>
      </c>
      <c r="K2979" s="4">
        <v>0</v>
      </c>
      <c r="L2979" s="4">
        <v>0</v>
      </c>
      <c r="M2979" s="4">
        <f t="shared" si="138"/>
        <v>0</v>
      </c>
      <c r="N2979" s="4">
        <f t="shared" si="139"/>
        <v>-0.01</v>
      </c>
      <c r="O2979" s="4">
        <f t="shared" si="140"/>
        <v>0</v>
      </c>
      <c r="P2979" s="3" t="s">
        <v>19</v>
      </c>
    </row>
    <row r="2980" spans="1:16" x14ac:dyDescent="0.35">
      <c r="A2980" s="3" t="s">
        <v>66</v>
      </c>
      <c r="B2980" s="3" t="str">
        <f>INDEX(State_Region!$B$2:$B$26,MATCH(TRIM(A2980),State_Region!$A$2:$A$26,0))</f>
        <v>North</v>
      </c>
      <c r="C2980" s="3" t="s">
        <v>208</v>
      </c>
      <c r="D2980" s="3" t="str">
        <f>INDEX(Port_Type!$B$2:$B$227,MATCH(TRIM(C2980),Port_Type!$A$2:$A$227,0))</f>
        <v>Inland ICD / CFS</v>
      </c>
      <c r="E2980" s="3" t="s">
        <v>69</v>
      </c>
      <c r="F2980" s="3" t="str">
        <f>INDEX(Product_Category!$B$2:$B$45,MATCH(TRIM(E2980),Product_Category!$A$2:$A$45,0))</f>
        <v>Others</v>
      </c>
      <c r="G2980" s="4">
        <v>0</v>
      </c>
      <c r="H2980" s="4">
        <v>0</v>
      </c>
      <c r="I2980" s="4">
        <v>0</v>
      </c>
      <c r="J2980" s="4">
        <v>0</v>
      </c>
      <c r="K2980" s="4">
        <v>0.03</v>
      </c>
      <c r="L2980" s="4">
        <v>0</v>
      </c>
      <c r="M2980" s="4">
        <f t="shared" si="138"/>
        <v>0</v>
      </c>
      <c r="N2980" s="4">
        <f t="shared" si="139"/>
        <v>0.03</v>
      </c>
      <c r="O2980" s="4">
        <f t="shared" si="140"/>
        <v>0</v>
      </c>
      <c r="P2980" s="3" t="s">
        <v>19</v>
      </c>
    </row>
    <row r="2981" spans="1:16" x14ac:dyDescent="0.35">
      <c r="A2981" s="3" t="s">
        <v>20</v>
      </c>
      <c r="B2981" s="3" t="str">
        <f>INDEX(State_Region!$B$2:$B$26,MATCH(TRIM(A2981),State_Region!$A$2:$A$26,0))</f>
        <v>West</v>
      </c>
      <c r="C2981" s="3" t="s">
        <v>265</v>
      </c>
      <c r="D2981" s="3" t="str">
        <f>INDEX(Port_Type!$B$2:$B$227,MATCH(TRIM(C2981),Port_Type!$A$2:$A$227,0))</f>
        <v>Sea Port</v>
      </c>
      <c r="E2981" s="3" t="s">
        <v>221</v>
      </c>
      <c r="F2981" s="3" t="str">
        <f>INDEX(Product_Category!$B$2:$B$45,MATCH(TRIM(E2981),Product_Category!$A$2:$A$45,0))</f>
        <v>Meat &amp; Animal Products</v>
      </c>
      <c r="G2981" s="4">
        <v>0</v>
      </c>
      <c r="H2981" s="4">
        <v>0</v>
      </c>
      <c r="I2981" s="4">
        <v>0</v>
      </c>
      <c r="J2981" s="4">
        <v>0</v>
      </c>
      <c r="K2981" s="4">
        <v>0</v>
      </c>
      <c r="L2981" s="4">
        <v>0</v>
      </c>
      <c r="M2981" s="4">
        <f t="shared" si="138"/>
        <v>0</v>
      </c>
      <c r="N2981" s="4">
        <f t="shared" si="139"/>
        <v>0</v>
      </c>
      <c r="O2981" s="4">
        <f t="shared" si="140"/>
        <v>0</v>
      </c>
      <c r="P2981" s="3" t="s">
        <v>19</v>
      </c>
    </row>
    <row r="2982" spans="1:16" x14ac:dyDescent="0.35">
      <c r="A2982" s="3" t="s">
        <v>66</v>
      </c>
      <c r="B2982" s="3" t="str">
        <f>INDEX(State_Region!$B$2:$B$26,MATCH(TRIM(A2982),State_Region!$A$2:$A$26,0))</f>
        <v>North</v>
      </c>
      <c r="C2982" s="3" t="s">
        <v>208</v>
      </c>
      <c r="D2982" s="3" t="str">
        <f>INDEX(Port_Type!$B$2:$B$227,MATCH(TRIM(C2982),Port_Type!$A$2:$A$227,0))</f>
        <v>Inland ICD / CFS</v>
      </c>
      <c r="E2982" s="3" t="s">
        <v>151</v>
      </c>
      <c r="F2982" s="3" t="str">
        <f>INDEX(Product_Category!$B$2:$B$45,MATCH(TRIM(E2982),Product_Category!$A$2:$A$45,0))</f>
        <v>Processed Foods</v>
      </c>
      <c r="G2982" s="4">
        <v>0</v>
      </c>
      <c r="H2982" s="4">
        <v>0</v>
      </c>
      <c r="I2982" s="4">
        <v>0</v>
      </c>
      <c r="J2982" s="4">
        <v>0</v>
      </c>
      <c r="K2982" s="4">
        <v>2.08</v>
      </c>
      <c r="L2982" s="4">
        <v>0</v>
      </c>
      <c r="M2982" s="4">
        <f t="shared" si="138"/>
        <v>0</v>
      </c>
      <c r="N2982" s="4">
        <f t="shared" si="139"/>
        <v>2.08</v>
      </c>
      <c r="O2982" s="4">
        <f t="shared" si="140"/>
        <v>0</v>
      </c>
      <c r="P2982" s="3" t="s">
        <v>19</v>
      </c>
    </row>
    <row r="2983" spans="1:16" x14ac:dyDescent="0.35">
      <c r="A2983" s="3" t="s">
        <v>20</v>
      </c>
      <c r="B2983" s="3" t="str">
        <f>INDEX(State_Region!$B$2:$B$26,MATCH(TRIM(A2983),State_Region!$A$2:$A$26,0))</f>
        <v>West</v>
      </c>
      <c r="C2983" s="3" t="s">
        <v>265</v>
      </c>
      <c r="D2983" s="3" t="str">
        <f>INDEX(Port_Type!$B$2:$B$227,MATCH(TRIM(C2983),Port_Type!$A$2:$A$227,0))</f>
        <v>Sea Port</v>
      </c>
      <c r="E2983" s="3" t="s">
        <v>54</v>
      </c>
      <c r="F2983" s="3" t="str">
        <f>INDEX(Product_Category!$B$2:$B$45,MATCH(TRIM(E2983),Product_Category!$A$2:$A$45,0))</f>
        <v>Processed Foods</v>
      </c>
      <c r="G2983" s="4">
        <v>0</v>
      </c>
      <c r="H2983" s="4">
        <v>0</v>
      </c>
      <c r="I2983" s="4">
        <v>0</v>
      </c>
      <c r="J2983" s="4">
        <v>0</v>
      </c>
      <c r="K2983" s="4">
        <v>0.26</v>
      </c>
      <c r="L2983" s="4">
        <v>0</v>
      </c>
      <c r="M2983" s="4">
        <f t="shared" si="138"/>
        <v>0</v>
      </c>
      <c r="N2983" s="4">
        <f t="shared" si="139"/>
        <v>0.26</v>
      </c>
      <c r="O2983" s="4">
        <f t="shared" si="140"/>
        <v>0</v>
      </c>
      <c r="P2983" s="3" t="s">
        <v>19</v>
      </c>
    </row>
    <row r="2984" spans="1:16" x14ac:dyDescent="0.35">
      <c r="A2984" s="3" t="s">
        <v>66</v>
      </c>
      <c r="B2984" s="3" t="str">
        <f>INDEX(State_Region!$B$2:$B$26,MATCH(TRIM(A2984),State_Region!$A$2:$A$26,0))</f>
        <v>North</v>
      </c>
      <c r="C2984" s="3" t="s">
        <v>208</v>
      </c>
      <c r="D2984" s="3" t="str">
        <f>INDEX(Port_Type!$B$2:$B$227,MATCH(TRIM(C2984),Port_Type!$A$2:$A$227,0))</f>
        <v>Inland ICD / CFS</v>
      </c>
      <c r="E2984" s="3" t="s">
        <v>144</v>
      </c>
      <c r="F2984" s="3" t="str">
        <f>INDEX(Product_Category!$B$2:$B$45,MATCH(TRIM(E2984),Product_Category!$A$2:$A$45,0))</f>
        <v>Cereals &amp; Grains</v>
      </c>
      <c r="G2984" s="4">
        <v>0.01</v>
      </c>
      <c r="H2984" s="4">
        <v>0</v>
      </c>
      <c r="I2984" s="4">
        <v>0</v>
      </c>
      <c r="J2984" s="4">
        <v>8.48</v>
      </c>
      <c r="K2984" s="4">
        <v>0</v>
      </c>
      <c r="L2984" s="4">
        <v>0</v>
      </c>
      <c r="M2984" s="4">
        <f t="shared" si="138"/>
        <v>-0.01</v>
      </c>
      <c r="N2984" s="4">
        <f t="shared" si="139"/>
        <v>-8.48</v>
      </c>
      <c r="O2984" s="4">
        <f t="shared" si="140"/>
        <v>0</v>
      </c>
      <c r="P2984" s="3" t="s">
        <v>19</v>
      </c>
    </row>
    <row r="2985" spans="1:16" x14ac:dyDescent="0.35">
      <c r="A2985" s="3" t="s">
        <v>20</v>
      </c>
      <c r="B2985" s="3" t="str">
        <f>INDEX(State_Region!$B$2:$B$26,MATCH(TRIM(A2985),State_Region!$A$2:$A$26,0))</f>
        <v>West</v>
      </c>
      <c r="C2985" s="3" t="s">
        <v>265</v>
      </c>
      <c r="D2985" s="3" t="str">
        <f>INDEX(Port_Type!$B$2:$B$227,MATCH(TRIM(C2985),Port_Type!$A$2:$A$227,0))</f>
        <v>Sea Port</v>
      </c>
      <c r="E2985" s="3" t="s">
        <v>128</v>
      </c>
      <c r="F2985" s="3" t="str">
        <f>INDEX(Product_Category!$B$2:$B$45,MATCH(TRIM(E2985),Product_Category!$A$2:$A$45,0))</f>
        <v>Dairy, Poultry &amp; Honey</v>
      </c>
      <c r="G2985" s="4">
        <v>0</v>
      </c>
      <c r="H2985" s="4">
        <v>0</v>
      </c>
      <c r="I2985" s="4">
        <v>0</v>
      </c>
      <c r="J2985" s="4">
        <v>0</v>
      </c>
      <c r="K2985" s="4">
        <v>0.46</v>
      </c>
      <c r="L2985" s="4">
        <v>0.04</v>
      </c>
      <c r="M2985" s="4">
        <f t="shared" si="138"/>
        <v>0</v>
      </c>
      <c r="N2985" s="4">
        <f t="shared" si="139"/>
        <v>0.46</v>
      </c>
      <c r="O2985" s="4">
        <f t="shared" si="140"/>
        <v>0</v>
      </c>
      <c r="P2985" s="3" t="s">
        <v>19</v>
      </c>
    </row>
    <row r="2986" spans="1:16" x14ac:dyDescent="0.35">
      <c r="A2986" s="3" t="s">
        <v>66</v>
      </c>
      <c r="B2986" s="3" t="str">
        <f>INDEX(State_Region!$B$2:$B$26,MATCH(TRIM(A2986),State_Region!$A$2:$A$26,0))</f>
        <v>North</v>
      </c>
      <c r="C2986" s="3" t="s">
        <v>208</v>
      </c>
      <c r="D2986" s="3" t="str">
        <f>INDEX(Port_Type!$B$2:$B$227,MATCH(TRIM(C2986),Port_Type!$A$2:$A$227,0))</f>
        <v>Inland ICD / CFS</v>
      </c>
      <c r="E2986" s="3" t="s">
        <v>118</v>
      </c>
      <c r="F2986" s="3" t="str">
        <f>INDEX(Product_Category!$B$2:$B$45,MATCH(TRIM(E2986),Product_Category!$A$2:$A$45,0))</f>
        <v>Dairy, Poultry &amp; Honey</v>
      </c>
      <c r="G2986" s="4">
        <v>0.09</v>
      </c>
      <c r="H2986" s="4">
        <v>0.04</v>
      </c>
      <c r="I2986" s="4">
        <v>0</v>
      </c>
      <c r="J2986" s="4">
        <v>55.8</v>
      </c>
      <c r="K2986" s="4">
        <v>18.899999999999999</v>
      </c>
      <c r="L2986" s="4">
        <v>0</v>
      </c>
      <c r="M2986" s="4">
        <f t="shared" si="138"/>
        <v>-4.9999999999999996E-2</v>
      </c>
      <c r="N2986" s="4">
        <f t="shared" si="139"/>
        <v>-36.9</v>
      </c>
      <c r="O2986" s="4">
        <f t="shared" si="140"/>
        <v>-0.04</v>
      </c>
      <c r="P2986" s="3" t="s">
        <v>19</v>
      </c>
    </row>
    <row r="2987" spans="1:16" x14ac:dyDescent="0.35">
      <c r="A2987" s="3" t="s">
        <v>66</v>
      </c>
      <c r="B2987" s="3" t="str">
        <f>INDEX(State_Region!$B$2:$B$26,MATCH(TRIM(A2987),State_Region!$A$2:$A$26,0))</f>
        <v>North</v>
      </c>
      <c r="C2987" s="3" t="s">
        <v>208</v>
      </c>
      <c r="D2987" s="3" t="str">
        <f>INDEX(Port_Type!$B$2:$B$227,MATCH(TRIM(C2987),Port_Type!$A$2:$A$227,0))</f>
        <v>Inland ICD / CFS</v>
      </c>
      <c r="E2987" s="3" t="s">
        <v>27</v>
      </c>
      <c r="F2987" s="3" t="str">
        <f>INDEX(Product_Category!$B$2:$B$45,MATCH(TRIM(E2987),Product_Category!$A$2:$A$45,0))</f>
        <v>Cereals &amp; Grains</v>
      </c>
      <c r="G2987" s="4">
        <v>0</v>
      </c>
      <c r="H2987" s="4">
        <v>0</v>
      </c>
      <c r="I2987" s="4">
        <v>0</v>
      </c>
      <c r="J2987" s="4">
        <v>0</v>
      </c>
      <c r="K2987" s="4">
        <v>0.48</v>
      </c>
      <c r="L2987" s="4">
        <v>0</v>
      </c>
      <c r="M2987" s="4">
        <f t="shared" si="138"/>
        <v>0</v>
      </c>
      <c r="N2987" s="4">
        <f t="shared" si="139"/>
        <v>0.48</v>
      </c>
      <c r="O2987" s="4">
        <f t="shared" si="140"/>
        <v>0</v>
      </c>
      <c r="P2987" s="3" t="s">
        <v>19</v>
      </c>
    </row>
    <row r="2988" spans="1:16" x14ac:dyDescent="0.35">
      <c r="A2988" s="3" t="s">
        <v>66</v>
      </c>
      <c r="B2988" s="3" t="str">
        <f>INDEX(State_Region!$B$2:$B$26,MATCH(TRIM(A2988),State_Region!$A$2:$A$26,0))</f>
        <v>North</v>
      </c>
      <c r="C2988" s="3" t="s">
        <v>208</v>
      </c>
      <c r="D2988" s="3" t="str">
        <f>INDEX(Port_Type!$B$2:$B$227,MATCH(TRIM(C2988),Port_Type!$A$2:$A$227,0))</f>
        <v>Inland ICD / CFS</v>
      </c>
      <c r="E2988" s="3" t="s">
        <v>126</v>
      </c>
      <c r="F2988" s="3" t="str">
        <f>INDEX(Product_Category!$B$2:$B$45,MATCH(TRIM(E2988),Product_Category!$A$2:$A$45,0))</f>
        <v>Cereals &amp; Grains</v>
      </c>
      <c r="G2988" s="4">
        <v>0.01</v>
      </c>
      <c r="H2988" s="4">
        <v>0</v>
      </c>
      <c r="I2988" s="4">
        <v>0</v>
      </c>
      <c r="J2988" s="4">
        <v>5</v>
      </c>
      <c r="K2988" s="4">
        <v>0</v>
      </c>
      <c r="L2988" s="4">
        <v>0</v>
      </c>
      <c r="M2988" s="4">
        <f t="shared" si="138"/>
        <v>-0.01</v>
      </c>
      <c r="N2988" s="4">
        <f t="shared" si="139"/>
        <v>-5</v>
      </c>
      <c r="O2988" s="4">
        <f t="shared" si="140"/>
        <v>0</v>
      </c>
      <c r="P2988" s="3" t="s">
        <v>19</v>
      </c>
    </row>
    <row r="2989" spans="1:16" x14ac:dyDescent="0.35">
      <c r="A2989" s="3" t="s">
        <v>20</v>
      </c>
      <c r="B2989" s="3" t="str">
        <f>INDEX(State_Region!$B$2:$B$26,MATCH(TRIM(A2989),State_Region!$A$2:$A$26,0))</f>
        <v>West</v>
      </c>
      <c r="C2989" s="3" t="s">
        <v>265</v>
      </c>
      <c r="D2989" s="3" t="str">
        <f>INDEX(Port_Type!$B$2:$B$227,MATCH(TRIM(C2989),Port_Type!$A$2:$A$227,0))</f>
        <v>Sea Port</v>
      </c>
      <c r="E2989" s="3" t="s">
        <v>261</v>
      </c>
      <c r="F2989" s="3" t="str">
        <f>INDEX(Product_Category!$B$2:$B$45,MATCH(TRIM(E2989),Product_Category!$A$2:$A$45,0))</f>
        <v>Meat &amp; Animal Products</v>
      </c>
      <c r="G2989" s="4">
        <v>0</v>
      </c>
      <c r="H2989" s="4">
        <v>0</v>
      </c>
      <c r="I2989" s="4">
        <v>0</v>
      </c>
      <c r="J2989" s="4">
        <v>0</v>
      </c>
      <c r="K2989" s="4">
        <v>0.21</v>
      </c>
      <c r="L2989" s="4">
        <v>0</v>
      </c>
      <c r="M2989" s="4">
        <f t="shared" si="138"/>
        <v>0</v>
      </c>
      <c r="N2989" s="4">
        <f t="shared" si="139"/>
        <v>0.21</v>
      </c>
      <c r="O2989" s="4">
        <f t="shared" si="140"/>
        <v>0</v>
      </c>
      <c r="P2989" s="3" t="s">
        <v>19</v>
      </c>
    </row>
    <row r="2990" spans="1:16" x14ac:dyDescent="0.35">
      <c r="A2990" s="3" t="s">
        <v>66</v>
      </c>
      <c r="B2990" s="3" t="str">
        <f>INDEX(State_Region!$B$2:$B$26,MATCH(TRIM(A2990),State_Region!$A$2:$A$26,0))</f>
        <v>North</v>
      </c>
      <c r="C2990" s="3" t="s">
        <v>208</v>
      </c>
      <c r="D2990" s="3" t="str">
        <f>INDEX(Port_Type!$B$2:$B$227,MATCH(TRIM(C2990),Port_Type!$A$2:$A$227,0))</f>
        <v>Inland ICD / CFS</v>
      </c>
      <c r="E2990" s="3" t="s">
        <v>102</v>
      </c>
      <c r="F2990" s="3" t="str">
        <f>INDEX(Product_Category!$B$2:$B$45,MATCH(TRIM(E2990),Product_Category!$A$2:$A$45,0))</f>
        <v>Fresh Fruits &amp; Vegetables</v>
      </c>
      <c r="G2990" s="4">
        <v>0</v>
      </c>
      <c r="H2990" s="4">
        <v>0</v>
      </c>
      <c r="I2990" s="4">
        <v>0</v>
      </c>
      <c r="J2990" s="4">
        <v>0.3</v>
      </c>
      <c r="K2990" s="4">
        <v>0</v>
      </c>
      <c r="L2990" s="4">
        <v>0</v>
      </c>
      <c r="M2990" s="4">
        <f t="shared" si="138"/>
        <v>0</v>
      </c>
      <c r="N2990" s="4">
        <f t="shared" si="139"/>
        <v>-0.3</v>
      </c>
      <c r="O2990" s="4">
        <f t="shared" si="140"/>
        <v>0</v>
      </c>
      <c r="P2990" s="3" t="s">
        <v>19</v>
      </c>
    </row>
    <row r="2991" spans="1:16" x14ac:dyDescent="0.35">
      <c r="A2991" s="3" t="s">
        <v>20</v>
      </c>
      <c r="B2991" s="3" t="str">
        <f>INDEX(State_Region!$B$2:$B$26,MATCH(TRIM(A2991),State_Region!$A$2:$A$26,0))</f>
        <v>West</v>
      </c>
      <c r="C2991" s="3" t="s">
        <v>265</v>
      </c>
      <c r="D2991" s="3" t="str">
        <f>INDEX(Port_Type!$B$2:$B$227,MATCH(TRIM(C2991),Port_Type!$A$2:$A$227,0))</f>
        <v>Sea Port</v>
      </c>
      <c r="E2991" s="3" t="s">
        <v>27</v>
      </c>
      <c r="F2991" s="3" t="str">
        <f>INDEX(Product_Category!$B$2:$B$45,MATCH(TRIM(E2991),Product_Category!$A$2:$A$45,0))</f>
        <v>Cereals &amp; Grains</v>
      </c>
      <c r="G2991" s="4">
        <v>0</v>
      </c>
      <c r="H2991" s="4">
        <v>0</v>
      </c>
      <c r="I2991" s="4">
        <v>0</v>
      </c>
      <c r="J2991" s="4">
        <v>0</v>
      </c>
      <c r="K2991" s="4">
        <v>0.27</v>
      </c>
      <c r="L2991" s="4">
        <v>0</v>
      </c>
      <c r="M2991" s="4">
        <f t="shared" si="138"/>
        <v>0</v>
      </c>
      <c r="N2991" s="4">
        <f t="shared" si="139"/>
        <v>0.27</v>
      </c>
      <c r="O2991" s="4">
        <f t="shared" si="140"/>
        <v>0</v>
      </c>
      <c r="P2991" s="3" t="s">
        <v>19</v>
      </c>
    </row>
    <row r="2992" spans="1:16" x14ac:dyDescent="0.35">
      <c r="A2992" s="3" t="s">
        <v>20</v>
      </c>
      <c r="B2992" s="3" t="str">
        <f>INDEX(State_Region!$B$2:$B$26,MATCH(TRIM(A2992),State_Region!$A$2:$A$26,0))</f>
        <v>West</v>
      </c>
      <c r="C2992" s="3" t="s">
        <v>265</v>
      </c>
      <c r="D2992" s="3" t="str">
        <f>INDEX(Port_Type!$B$2:$B$227,MATCH(TRIM(C2992),Port_Type!$A$2:$A$227,0))</f>
        <v>Sea Port</v>
      </c>
      <c r="E2992" s="3" t="s">
        <v>118</v>
      </c>
      <c r="F2992" s="3" t="str">
        <f>INDEX(Product_Category!$B$2:$B$45,MATCH(TRIM(E2992),Product_Category!$A$2:$A$45,0))</f>
        <v>Dairy, Poultry &amp; Honey</v>
      </c>
      <c r="G2992" s="4">
        <v>0</v>
      </c>
      <c r="H2992" s="4">
        <v>0</v>
      </c>
      <c r="I2992" s="4">
        <v>0</v>
      </c>
      <c r="J2992" s="4">
        <v>0</v>
      </c>
      <c r="K2992" s="4">
        <v>0.01</v>
      </c>
      <c r="L2992" s="4">
        <v>0</v>
      </c>
      <c r="M2992" s="4">
        <f t="shared" si="138"/>
        <v>0</v>
      </c>
      <c r="N2992" s="4">
        <f t="shared" si="139"/>
        <v>0.01</v>
      </c>
      <c r="O2992" s="4">
        <f t="shared" si="140"/>
        <v>0</v>
      </c>
      <c r="P2992" s="3" t="s">
        <v>19</v>
      </c>
    </row>
    <row r="2993" spans="1:16" x14ac:dyDescent="0.35">
      <c r="A2993" s="3" t="s">
        <v>20</v>
      </c>
      <c r="B2993" s="3" t="str">
        <f>INDEX(State_Region!$B$2:$B$26,MATCH(TRIM(A2993),State_Region!$A$2:$A$26,0))</f>
        <v>West</v>
      </c>
      <c r="C2993" s="3" t="s">
        <v>265</v>
      </c>
      <c r="D2993" s="3" t="str">
        <f>INDEX(Port_Type!$B$2:$B$227,MATCH(TRIM(C2993),Port_Type!$A$2:$A$227,0))</f>
        <v>Sea Port</v>
      </c>
      <c r="E2993" s="3" t="s">
        <v>65</v>
      </c>
      <c r="F2993" s="3" t="str">
        <f>INDEX(Product_Category!$B$2:$B$45,MATCH(TRIM(E2993),Product_Category!$A$2:$A$45,0))</f>
        <v>Cereals &amp; Grains</v>
      </c>
      <c r="G2993" s="4">
        <v>0</v>
      </c>
      <c r="H2993" s="4">
        <v>0</v>
      </c>
      <c r="I2993" s="4">
        <v>0</v>
      </c>
      <c r="J2993" s="4">
        <v>0</v>
      </c>
      <c r="K2993" s="4">
        <v>7.0000000000000007E-2</v>
      </c>
      <c r="L2993" s="4">
        <v>0</v>
      </c>
      <c r="M2993" s="4">
        <f t="shared" si="138"/>
        <v>0</v>
      </c>
      <c r="N2993" s="4">
        <f t="shared" si="139"/>
        <v>7.0000000000000007E-2</v>
      </c>
      <c r="O2993" s="4">
        <f t="shared" si="140"/>
        <v>0</v>
      </c>
      <c r="P2993" s="3" t="s">
        <v>19</v>
      </c>
    </row>
    <row r="2994" spans="1:16" x14ac:dyDescent="0.35">
      <c r="A2994" s="3" t="s">
        <v>66</v>
      </c>
      <c r="B2994" s="3" t="str">
        <f>INDEX(State_Region!$B$2:$B$26,MATCH(TRIM(A2994),State_Region!$A$2:$A$26,0))</f>
        <v>North</v>
      </c>
      <c r="C2994" s="3" t="s">
        <v>127</v>
      </c>
      <c r="D2994" s="3" t="str">
        <f>INDEX(Port_Type!$B$2:$B$227,MATCH(TRIM(C2994),Port_Type!$A$2:$A$227,0))</f>
        <v>Inland ICD / CFS</v>
      </c>
      <c r="E2994" s="3" t="s">
        <v>150</v>
      </c>
      <c r="F2994" s="3" t="str">
        <f>INDEX(Product_Category!$B$2:$B$45,MATCH(TRIM(E2994),Product_Category!$A$2:$A$45,0))</f>
        <v>Nuts &amp; Oilseeds</v>
      </c>
      <c r="G2994" s="4">
        <v>0.03</v>
      </c>
      <c r="H2994" s="4">
        <v>0</v>
      </c>
      <c r="I2994" s="4">
        <v>0</v>
      </c>
      <c r="J2994" s="4">
        <v>3</v>
      </c>
      <c r="K2994" s="4">
        <v>0.16</v>
      </c>
      <c r="L2994" s="4">
        <v>0</v>
      </c>
      <c r="M2994" s="4">
        <f t="shared" si="138"/>
        <v>-0.03</v>
      </c>
      <c r="N2994" s="4">
        <f t="shared" si="139"/>
        <v>-2.84</v>
      </c>
      <c r="O2994" s="4">
        <f t="shared" si="140"/>
        <v>0</v>
      </c>
      <c r="P2994" s="3" t="s">
        <v>19</v>
      </c>
    </row>
    <row r="2995" spans="1:16" x14ac:dyDescent="0.35">
      <c r="A2995" s="3" t="s">
        <v>20</v>
      </c>
      <c r="B2995" s="3" t="str">
        <f>INDEX(State_Region!$B$2:$B$26,MATCH(TRIM(A2995),State_Region!$A$2:$A$26,0))</f>
        <v>West</v>
      </c>
      <c r="C2995" s="3" t="s">
        <v>265</v>
      </c>
      <c r="D2995" s="3" t="str">
        <f>INDEX(Port_Type!$B$2:$B$227,MATCH(TRIM(C2995),Port_Type!$A$2:$A$227,0))</f>
        <v>Sea Port</v>
      </c>
      <c r="E2995" s="3" t="s">
        <v>53</v>
      </c>
      <c r="F2995" s="3" t="str">
        <f>INDEX(Product_Category!$B$2:$B$45,MATCH(TRIM(E2995),Product_Category!$A$2:$A$45,0))</f>
        <v>Processed Foods</v>
      </c>
      <c r="G2995" s="4">
        <v>0</v>
      </c>
      <c r="H2995" s="4">
        <v>0</v>
      </c>
      <c r="I2995" s="4">
        <v>0</v>
      </c>
      <c r="J2995" s="4">
        <v>0</v>
      </c>
      <c r="K2995" s="4">
        <v>0</v>
      </c>
      <c r="L2995" s="4">
        <v>0</v>
      </c>
      <c r="M2995" s="4">
        <f t="shared" si="138"/>
        <v>0</v>
      </c>
      <c r="N2995" s="4">
        <f t="shared" si="139"/>
        <v>0</v>
      </c>
      <c r="O2995" s="4">
        <f t="shared" si="140"/>
        <v>0</v>
      </c>
      <c r="P2995" s="3" t="s">
        <v>19</v>
      </c>
    </row>
    <row r="2996" spans="1:16" x14ac:dyDescent="0.35">
      <c r="A2996" s="3" t="s">
        <v>20</v>
      </c>
      <c r="B2996" s="3" t="str">
        <f>INDEX(State_Region!$B$2:$B$26,MATCH(TRIM(A2996),State_Region!$A$2:$A$26,0))</f>
        <v>West</v>
      </c>
      <c r="C2996" s="3" t="s">
        <v>265</v>
      </c>
      <c r="D2996" s="3" t="str">
        <f>INDEX(Port_Type!$B$2:$B$227,MATCH(TRIM(C2996),Port_Type!$A$2:$A$227,0))</f>
        <v>Sea Port</v>
      </c>
      <c r="E2996" s="3" t="s">
        <v>55</v>
      </c>
      <c r="F2996" s="3" t="str">
        <f>INDEX(Product_Category!$B$2:$B$45,MATCH(TRIM(E2996),Product_Category!$A$2:$A$45,0))</f>
        <v>Fresh Fruits &amp; Vegetables</v>
      </c>
      <c r="G2996" s="4">
        <v>0</v>
      </c>
      <c r="H2996" s="4">
        <v>0</v>
      </c>
      <c r="I2996" s="4">
        <v>0</v>
      </c>
      <c r="J2996" s="4">
        <v>0</v>
      </c>
      <c r="K2996" s="4">
        <v>0.01</v>
      </c>
      <c r="L2996" s="4">
        <v>0.01</v>
      </c>
      <c r="M2996" s="4">
        <f t="shared" si="138"/>
        <v>0</v>
      </c>
      <c r="N2996" s="4">
        <f t="shared" si="139"/>
        <v>0.01</v>
      </c>
      <c r="O2996" s="4">
        <f t="shared" si="140"/>
        <v>0</v>
      </c>
      <c r="P2996" s="3" t="s">
        <v>19</v>
      </c>
    </row>
    <row r="2997" spans="1:16" x14ac:dyDescent="0.35">
      <c r="A2997" s="3" t="s">
        <v>20</v>
      </c>
      <c r="B2997" s="3" t="str">
        <f>INDEX(State_Region!$B$2:$B$26,MATCH(TRIM(A2997),State_Region!$A$2:$A$26,0))</f>
        <v>West</v>
      </c>
      <c r="C2997" s="3" t="s">
        <v>265</v>
      </c>
      <c r="D2997" s="3" t="str">
        <f>INDEX(Port_Type!$B$2:$B$227,MATCH(TRIM(C2997),Port_Type!$A$2:$A$227,0))</f>
        <v>Sea Port</v>
      </c>
      <c r="E2997" s="3" t="s">
        <v>76</v>
      </c>
      <c r="F2997" s="3" t="str">
        <f>INDEX(Product_Category!$B$2:$B$45,MATCH(TRIM(E2997),Product_Category!$A$2:$A$45,0))</f>
        <v>Fresh Fruits &amp; Vegetables</v>
      </c>
      <c r="G2997" s="4">
        <v>0</v>
      </c>
      <c r="H2997" s="4">
        <v>0</v>
      </c>
      <c r="I2997" s="4">
        <v>0</v>
      </c>
      <c r="J2997" s="4">
        <v>0</v>
      </c>
      <c r="K2997" s="4">
        <v>0.01</v>
      </c>
      <c r="L2997" s="4">
        <v>0</v>
      </c>
      <c r="M2997" s="4">
        <f t="shared" si="138"/>
        <v>0</v>
      </c>
      <c r="N2997" s="4">
        <f t="shared" si="139"/>
        <v>0.01</v>
      </c>
      <c r="O2997" s="4">
        <f t="shared" si="140"/>
        <v>0</v>
      </c>
      <c r="P2997" s="3" t="s">
        <v>19</v>
      </c>
    </row>
    <row r="2998" spans="1:16" x14ac:dyDescent="0.35">
      <c r="A2998" s="3" t="s">
        <v>66</v>
      </c>
      <c r="B2998" s="3" t="str">
        <f>INDEX(State_Region!$B$2:$B$26,MATCH(TRIM(A2998),State_Region!$A$2:$A$26,0))</f>
        <v>North</v>
      </c>
      <c r="C2998" s="3" t="s">
        <v>127</v>
      </c>
      <c r="D2998" s="3" t="str">
        <f>INDEX(Port_Type!$B$2:$B$227,MATCH(TRIM(C2998),Port_Type!$A$2:$A$227,0))</f>
        <v>Inland ICD / CFS</v>
      </c>
      <c r="E2998" s="3" t="s">
        <v>51</v>
      </c>
      <c r="F2998" s="3" t="str">
        <f>INDEX(Product_Category!$B$2:$B$45,MATCH(TRIM(E2998),Product_Category!$A$2:$A$45,0))</f>
        <v>Nuts &amp; Oilseeds</v>
      </c>
      <c r="G2998" s="4">
        <v>0</v>
      </c>
      <c r="H2998" s="4">
        <v>0</v>
      </c>
      <c r="I2998" s="4">
        <v>0</v>
      </c>
      <c r="J2998" s="4">
        <v>0.69</v>
      </c>
      <c r="K2998" s="4">
        <v>0.53</v>
      </c>
      <c r="L2998" s="4">
        <v>0</v>
      </c>
      <c r="M2998" s="4">
        <f t="shared" si="138"/>
        <v>0</v>
      </c>
      <c r="N2998" s="4">
        <f t="shared" si="139"/>
        <v>-0.15999999999999992</v>
      </c>
      <c r="O2998" s="4">
        <f t="shared" si="140"/>
        <v>0</v>
      </c>
      <c r="P2998" s="3" t="s">
        <v>19</v>
      </c>
    </row>
    <row r="2999" spans="1:16" x14ac:dyDescent="0.35">
      <c r="A2999" s="3" t="s">
        <v>20</v>
      </c>
      <c r="B2999" s="3" t="str">
        <f>INDEX(State_Region!$B$2:$B$26,MATCH(TRIM(A2999),State_Region!$A$2:$A$26,0))</f>
        <v>West</v>
      </c>
      <c r="C2999" s="3" t="s">
        <v>265</v>
      </c>
      <c r="D2999" s="3" t="str">
        <f>INDEX(Port_Type!$B$2:$B$227,MATCH(TRIM(C2999),Port_Type!$A$2:$A$227,0))</f>
        <v>Sea Port</v>
      </c>
      <c r="E2999" s="3" t="s">
        <v>83</v>
      </c>
      <c r="F2999" s="3" t="str">
        <f>INDEX(Product_Category!$B$2:$B$45,MATCH(TRIM(E2999),Product_Category!$A$2:$A$45,0))</f>
        <v>Fresh Fruits &amp; Vegetables</v>
      </c>
      <c r="G2999" s="4">
        <v>0</v>
      </c>
      <c r="H2999" s="4">
        <v>0</v>
      </c>
      <c r="I2999" s="4">
        <v>0</v>
      </c>
      <c r="J2999" s="4">
        <v>0</v>
      </c>
      <c r="K2999" s="4">
        <v>0.02</v>
      </c>
      <c r="L2999" s="4">
        <v>0</v>
      </c>
      <c r="M2999" s="4">
        <f t="shared" si="138"/>
        <v>0</v>
      </c>
      <c r="N2999" s="4">
        <f t="shared" si="139"/>
        <v>0.02</v>
      </c>
      <c r="O2999" s="4">
        <f t="shared" si="140"/>
        <v>0</v>
      </c>
      <c r="P2999" s="3" t="s">
        <v>19</v>
      </c>
    </row>
    <row r="3000" spans="1:16" x14ac:dyDescent="0.35">
      <c r="A3000" s="3" t="s">
        <v>66</v>
      </c>
      <c r="B3000" s="3" t="str">
        <f>INDEX(State_Region!$B$2:$B$26,MATCH(TRIM(A3000),State_Region!$A$2:$A$26,0))</f>
        <v>North</v>
      </c>
      <c r="C3000" s="3" t="s">
        <v>127</v>
      </c>
      <c r="D3000" s="3" t="str">
        <f>INDEX(Port_Type!$B$2:$B$227,MATCH(TRIM(C3000),Port_Type!$A$2:$A$227,0))</f>
        <v>Inland ICD / CFS</v>
      </c>
      <c r="E3000" s="3" t="s">
        <v>62</v>
      </c>
      <c r="F3000" s="3" t="str">
        <f>INDEX(Product_Category!$B$2:$B$45,MATCH(TRIM(E3000),Product_Category!$A$2:$A$45,0))</f>
        <v>Cereals &amp; Grains</v>
      </c>
      <c r="G3000" s="4">
        <v>0</v>
      </c>
      <c r="H3000" s="4">
        <v>0</v>
      </c>
      <c r="I3000" s="4">
        <v>0</v>
      </c>
      <c r="J3000" s="4">
        <v>0</v>
      </c>
      <c r="K3000" s="4">
        <v>1</v>
      </c>
      <c r="L3000" s="4">
        <v>0</v>
      </c>
      <c r="M3000" s="4">
        <f t="shared" si="138"/>
        <v>0</v>
      </c>
      <c r="N3000" s="4">
        <f t="shared" si="139"/>
        <v>1</v>
      </c>
      <c r="O3000" s="4">
        <f t="shared" si="140"/>
        <v>0</v>
      </c>
      <c r="P3000" s="3" t="s">
        <v>19</v>
      </c>
    </row>
    <row r="3001" spans="1:16" x14ac:dyDescent="0.35">
      <c r="A3001" s="3" t="s">
        <v>66</v>
      </c>
      <c r="B3001" s="3" t="str">
        <f>INDEX(State_Region!$B$2:$B$26,MATCH(TRIM(A3001),State_Region!$A$2:$A$26,0))</f>
        <v>North</v>
      </c>
      <c r="C3001" s="3" t="s">
        <v>127</v>
      </c>
      <c r="D3001" s="3" t="str">
        <f>INDEX(Port_Type!$B$2:$B$227,MATCH(TRIM(C3001),Port_Type!$A$2:$A$227,0))</f>
        <v>Inland ICD / CFS</v>
      </c>
      <c r="E3001" s="3" t="s">
        <v>151</v>
      </c>
      <c r="F3001" s="3" t="str">
        <f>INDEX(Product_Category!$B$2:$B$45,MATCH(TRIM(E3001),Product_Category!$A$2:$A$45,0))</f>
        <v>Processed Foods</v>
      </c>
      <c r="G3001" s="4">
        <v>0</v>
      </c>
      <c r="H3001" s="4">
        <v>0</v>
      </c>
      <c r="I3001" s="4">
        <v>0</v>
      </c>
      <c r="J3001" s="4">
        <v>0.36</v>
      </c>
      <c r="K3001" s="4">
        <v>0</v>
      </c>
      <c r="L3001" s="4">
        <v>0</v>
      </c>
      <c r="M3001" s="4">
        <f t="shared" si="138"/>
        <v>0</v>
      </c>
      <c r="N3001" s="4">
        <f t="shared" si="139"/>
        <v>-0.36</v>
      </c>
      <c r="O3001" s="4">
        <f t="shared" si="140"/>
        <v>0</v>
      </c>
      <c r="P3001" s="3" t="s">
        <v>19</v>
      </c>
    </row>
    <row r="3002" spans="1:16" x14ac:dyDescent="0.35">
      <c r="A3002" s="3" t="s">
        <v>20</v>
      </c>
      <c r="B3002" s="3" t="str">
        <f>INDEX(State_Region!$B$2:$B$26,MATCH(TRIM(A3002),State_Region!$A$2:$A$26,0))</f>
        <v>West</v>
      </c>
      <c r="C3002" s="3" t="s">
        <v>265</v>
      </c>
      <c r="D3002" s="3" t="str">
        <f>INDEX(Port_Type!$B$2:$B$227,MATCH(TRIM(C3002),Port_Type!$A$2:$A$227,0))</f>
        <v>Sea Port</v>
      </c>
      <c r="E3002" s="3" t="s">
        <v>122</v>
      </c>
      <c r="F3002" s="3" t="str">
        <f>INDEX(Product_Category!$B$2:$B$45,MATCH(TRIM(E3002),Product_Category!$A$2:$A$45,0))</f>
        <v>Others</v>
      </c>
      <c r="G3002" s="4">
        <v>0</v>
      </c>
      <c r="H3002" s="4">
        <v>0</v>
      </c>
      <c r="I3002" s="4">
        <v>0</v>
      </c>
      <c r="J3002" s="4">
        <v>0</v>
      </c>
      <c r="K3002" s="4">
        <v>0</v>
      </c>
      <c r="L3002" s="4">
        <v>0</v>
      </c>
      <c r="M3002" s="4">
        <f t="shared" si="138"/>
        <v>0</v>
      </c>
      <c r="N3002" s="4">
        <f t="shared" si="139"/>
        <v>0</v>
      </c>
      <c r="O3002" s="4">
        <f t="shared" si="140"/>
        <v>0</v>
      </c>
      <c r="P3002" s="3" t="s">
        <v>19</v>
      </c>
    </row>
    <row r="3003" spans="1:16" x14ac:dyDescent="0.35">
      <c r="A3003" s="3" t="s">
        <v>20</v>
      </c>
      <c r="B3003" s="3" t="str">
        <f>INDEX(State_Region!$B$2:$B$26,MATCH(TRIM(A3003),State_Region!$A$2:$A$26,0))</f>
        <v>West</v>
      </c>
      <c r="C3003" s="3" t="s">
        <v>265</v>
      </c>
      <c r="D3003" s="3" t="str">
        <f>INDEX(Port_Type!$B$2:$B$227,MATCH(TRIM(C3003),Port_Type!$A$2:$A$227,0))</f>
        <v>Sea Port</v>
      </c>
      <c r="E3003" s="3" t="s">
        <v>110</v>
      </c>
      <c r="F3003" s="3" t="str">
        <f>INDEX(Product_Category!$B$2:$B$45,MATCH(TRIM(E3003),Product_Category!$A$2:$A$45,0))</f>
        <v>Dairy, Poultry &amp; Honey</v>
      </c>
      <c r="G3003" s="4">
        <v>0</v>
      </c>
      <c r="H3003" s="4">
        <v>0</v>
      </c>
      <c r="I3003" s="4">
        <v>0</v>
      </c>
      <c r="J3003" s="4">
        <v>0</v>
      </c>
      <c r="K3003" s="4">
        <v>3.96</v>
      </c>
      <c r="L3003" s="4">
        <v>0</v>
      </c>
      <c r="M3003" s="4">
        <f t="shared" si="138"/>
        <v>0</v>
      </c>
      <c r="N3003" s="4">
        <f t="shared" si="139"/>
        <v>3.96</v>
      </c>
      <c r="O3003" s="4">
        <f t="shared" si="140"/>
        <v>0</v>
      </c>
      <c r="P3003" s="3" t="s">
        <v>19</v>
      </c>
    </row>
    <row r="3004" spans="1:16" x14ac:dyDescent="0.35">
      <c r="A3004" s="3" t="s">
        <v>20</v>
      </c>
      <c r="B3004" s="3" t="str">
        <f>INDEX(State_Region!$B$2:$B$26,MATCH(TRIM(A3004),State_Region!$A$2:$A$26,0))</f>
        <v>West</v>
      </c>
      <c r="C3004" s="3" t="s">
        <v>265</v>
      </c>
      <c r="D3004" s="3" t="str">
        <f>INDEX(Port_Type!$B$2:$B$227,MATCH(TRIM(C3004),Port_Type!$A$2:$A$227,0))</f>
        <v>Sea Port</v>
      </c>
      <c r="E3004" s="3" t="s">
        <v>59</v>
      </c>
      <c r="F3004" s="3" t="str">
        <f>INDEX(Product_Category!$B$2:$B$45,MATCH(TRIM(E3004),Product_Category!$A$2:$A$45,0))</f>
        <v>Processed Foods</v>
      </c>
      <c r="G3004" s="4">
        <v>0</v>
      </c>
      <c r="H3004" s="4">
        <v>0</v>
      </c>
      <c r="I3004" s="4">
        <v>0</v>
      </c>
      <c r="J3004" s="4">
        <v>0</v>
      </c>
      <c r="K3004" s="4">
        <v>0.02</v>
      </c>
      <c r="L3004" s="4">
        <v>0</v>
      </c>
      <c r="M3004" s="4">
        <f t="shared" si="138"/>
        <v>0</v>
      </c>
      <c r="N3004" s="4">
        <f t="shared" si="139"/>
        <v>0.02</v>
      </c>
      <c r="O3004" s="4">
        <f t="shared" si="140"/>
        <v>0</v>
      </c>
      <c r="P3004" s="3" t="s">
        <v>19</v>
      </c>
    </row>
    <row r="3005" spans="1:16" x14ac:dyDescent="0.35">
      <c r="A3005" s="3" t="s">
        <v>20</v>
      </c>
      <c r="B3005" s="3" t="str">
        <f>INDEX(State_Region!$B$2:$B$26,MATCH(TRIM(A3005),State_Region!$A$2:$A$26,0))</f>
        <v>West</v>
      </c>
      <c r="C3005" s="3" t="s">
        <v>265</v>
      </c>
      <c r="D3005" s="3" t="str">
        <f>INDEX(Port_Type!$B$2:$B$227,MATCH(TRIM(C3005),Port_Type!$A$2:$A$227,0))</f>
        <v>Sea Port</v>
      </c>
      <c r="E3005" s="3" t="s">
        <v>84</v>
      </c>
      <c r="F3005" s="3" t="str">
        <f>INDEX(Product_Category!$B$2:$B$45,MATCH(TRIM(E3005),Product_Category!$A$2:$A$45,0))</f>
        <v>Nuts &amp; Oilseeds</v>
      </c>
      <c r="G3005" s="4">
        <v>0</v>
      </c>
      <c r="H3005" s="4">
        <v>0</v>
      </c>
      <c r="I3005" s="4">
        <v>0</v>
      </c>
      <c r="J3005" s="4">
        <v>0</v>
      </c>
      <c r="K3005" s="4">
        <v>0</v>
      </c>
      <c r="L3005" s="4">
        <v>0</v>
      </c>
      <c r="M3005" s="4">
        <f t="shared" si="138"/>
        <v>0</v>
      </c>
      <c r="N3005" s="4">
        <f t="shared" si="139"/>
        <v>0</v>
      </c>
      <c r="O3005" s="4">
        <f t="shared" si="140"/>
        <v>0</v>
      </c>
      <c r="P3005" s="3" t="s">
        <v>19</v>
      </c>
    </row>
    <row r="3006" spans="1:16" x14ac:dyDescent="0.35">
      <c r="A3006" s="3" t="s">
        <v>20</v>
      </c>
      <c r="B3006" s="3" t="str">
        <f>INDEX(State_Region!$B$2:$B$26,MATCH(TRIM(A3006),State_Region!$A$2:$A$26,0))</f>
        <v>West</v>
      </c>
      <c r="C3006" s="3" t="s">
        <v>265</v>
      </c>
      <c r="D3006" s="3" t="str">
        <f>INDEX(Port_Type!$B$2:$B$227,MATCH(TRIM(C3006),Port_Type!$A$2:$A$227,0))</f>
        <v>Sea Port</v>
      </c>
      <c r="E3006" s="3" t="s">
        <v>18</v>
      </c>
      <c r="F3006" s="3" t="str">
        <f>INDEX(Product_Category!$B$2:$B$45,MATCH(TRIM(E3006),Product_Category!$A$2:$A$45,0))</f>
        <v>Cereals &amp; Grains</v>
      </c>
      <c r="G3006" s="4">
        <v>0</v>
      </c>
      <c r="H3006" s="4">
        <v>0</v>
      </c>
      <c r="I3006" s="4">
        <v>0</v>
      </c>
      <c r="J3006" s="4">
        <v>0</v>
      </c>
      <c r="K3006" s="4">
        <v>0</v>
      </c>
      <c r="L3006" s="4">
        <v>0.03</v>
      </c>
      <c r="M3006" s="4">
        <f t="shared" si="138"/>
        <v>0</v>
      </c>
      <c r="N3006" s="4">
        <f t="shared" si="139"/>
        <v>0</v>
      </c>
      <c r="O3006" s="4">
        <f t="shared" si="140"/>
        <v>0</v>
      </c>
      <c r="P3006" s="3" t="s">
        <v>19</v>
      </c>
    </row>
    <row r="3007" spans="1:16" x14ac:dyDescent="0.35">
      <c r="A3007" s="3" t="s">
        <v>66</v>
      </c>
      <c r="B3007" s="3" t="str">
        <f>INDEX(State_Region!$B$2:$B$26,MATCH(TRIM(A3007),State_Region!$A$2:$A$26,0))</f>
        <v>North</v>
      </c>
      <c r="C3007" s="3" t="s">
        <v>127</v>
      </c>
      <c r="D3007" s="3" t="str">
        <f>INDEX(Port_Type!$B$2:$B$227,MATCH(TRIM(C3007),Port_Type!$A$2:$A$227,0))</f>
        <v>Inland ICD / CFS</v>
      </c>
      <c r="E3007" s="3" t="s">
        <v>102</v>
      </c>
      <c r="F3007" s="3" t="str">
        <f>INDEX(Product_Category!$B$2:$B$45,MATCH(TRIM(E3007),Product_Category!$A$2:$A$45,0))</f>
        <v>Fresh Fruits &amp; Vegetables</v>
      </c>
      <c r="G3007" s="4">
        <v>0</v>
      </c>
      <c r="H3007" s="4">
        <v>0</v>
      </c>
      <c r="I3007" s="4">
        <v>0</v>
      </c>
      <c r="J3007" s="4">
        <v>6.84</v>
      </c>
      <c r="K3007" s="4">
        <v>0</v>
      </c>
      <c r="L3007" s="4">
        <v>0</v>
      </c>
      <c r="M3007" s="4">
        <f t="shared" si="138"/>
        <v>0</v>
      </c>
      <c r="N3007" s="4">
        <f t="shared" si="139"/>
        <v>-6.84</v>
      </c>
      <c r="O3007" s="4">
        <f t="shared" si="140"/>
        <v>0</v>
      </c>
      <c r="P3007" s="3" t="s">
        <v>19</v>
      </c>
    </row>
    <row r="3008" spans="1:16" x14ac:dyDescent="0.35">
      <c r="A3008" s="3" t="s">
        <v>20</v>
      </c>
      <c r="B3008" s="3" t="str">
        <f>INDEX(State_Region!$B$2:$B$26,MATCH(TRIM(A3008),State_Region!$A$2:$A$26,0))</f>
        <v>West</v>
      </c>
      <c r="C3008" s="3" t="s">
        <v>265</v>
      </c>
      <c r="D3008" s="3" t="str">
        <f>INDEX(Port_Type!$B$2:$B$227,MATCH(TRIM(C3008),Port_Type!$A$2:$A$227,0))</f>
        <v>Sea Port</v>
      </c>
      <c r="E3008" s="3" t="s">
        <v>60</v>
      </c>
      <c r="F3008" s="3" t="str">
        <f>INDEX(Product_Category!$B$2:$B$45,MATCH(TRIM(E3008),Product_Category!$A$2:$A$45,0))</f>
        <v>Processed Foods</v>
      </c>
      <c r="G3008" s="4">
        <v>0</v>
      </c>
      <c r="H3008" s="4">
        <v>0</v>
      </c>
      <c r="I3008" s="4">
        <v>0</v>
      </c>
      <c r="J3008" s="4">
        <v>0</v>
      </c>
      <c r="K3008" s="4">
        <v>0.03</v>
      </c>
      <c r="L3008" s="4">
        <v>0</v>
      </c>
      <c r="M3008" s="4">
        <f t="shared" si="138"/>
        <v>0</v>
      </c>
      <c r="N3008" s="4">
        <f t="shared" si="139"/>
        <v>0.03</v>
      </c>
      <c r="O3008" s="4">
        <f t="shared" si="140"/>
        <v>0</v>
      </c>
      <c r="P3008" s="3" t="s">
        <v>19</v>
      </c>
    </row>
    <row r="3009" spans="1:16" x14ac:dyDescent="0.35">
      <c r="A3009" s="3" t="s">
        <v>20</v>
      </c>
      <c r="B3009" s="3" t="str">
        <f>INDEX(State_Region!$B$2:$B$26,MATCH(TRIM(A3009),State_Region!$A$2:$A$26,0))</f>
        <v>West</v>
      </c>
      <c r="C3009" s="3" t="s">
        <v>301</v>
      </c>
      <c r="D3009" s="3" t="str">
        <f>INDEX(Port_Type!$B$2:$B$227,MATCH(TRIM(C3009),Port_Type!$A$2:$A$227,0))</f>
        <v>Inland ICD / CFS</v>
      </c>
      <c r="E3009" s="3" t="s">
        <v>93</v>
      </c>
      <c r="F3009" s="3" t="str">
        <f>INDEX(Product_Category!$B$2:$B$45,MATCH(TRIM(E3009),Product_Category!$A$2:$A$45,0))</f>
        <v>Meat &amp; Animal Products</v>
      </c>
      <c r="G3009" s="4">
        <v>0.08</v>
      </c>
      <c r="H3009" s="4">
        <v>0</v>
      </c>
      <c r="I3009" s="4">
        <v>0</v>
      </c>
      <c r="J3009" s="4">
        <v>13.7</v>
      </c>
      <c r="K3009" s="4">
        <v>0</v>
      </c>
      <c r="L3009" s="4">
        <v>0</v>
      </c>
      <c r="M3009" s="4">
        <f t="shared" si="138"/>
        <v>-0.08</v>
      </c>
      <c r="N3009" s="4">
        <f t="shared" si="139"/>
        <v>-13.7</v>
      </c>
      <c r="O3009" s="4">
        <f t="shared" si="140"/>
        <v>0</v>
      </c>
      <c r="P3009" s="3" t="s">
        <v>19</v>
      </c>
    </row>
    <row r="3010" spans="1:16" x14ac:dyDescent="0.35">
      <c r="A3010" s="3" t="s">
        <v>20</v>
      </c>
      <c r="B3010" s="3" t="str">
        <f>INDEX(State_Region!$B$2:$B$26,MATCH(TRIM(A3010),State_Region!$A$2:$A$26,0))</f>
        <v>West</v>
      </c>
      <c r="C3010" s="3" t="s">
        <v>301</v>
      </c>
      <c r="D3010" s="3" t="str">
        <f>INDEX(Port_Type!$B$2:$B$227,MATCH(TRIM(C3010),Port_Type!$A$2:$A$227,0))</f>
        <v>Inland ICD / CFS</v>
      </c>
      <c r="E3010" s="3" t="s">
        <v>33</v>
      </c>
      <c r="F3010" s="3" t="str">
        <f>INDEX(Product_Category!$B$2:$B$45,MATCH(TRIM(E3010),Product_Category!$A$2:$A$45,0))</f>
        <v>Pulses</v>
      </c>
      <c r="G3010" s="4">
        <v>0.42</v>
      </c>
      <c r="H3010" s="4">
        <v>0</v>
      </c>
      <c r="I3010" s="4">
        <v>0</v>
      </c>
      <c r="J3010" s="4">
        <v>232.05</v>
      </c>
      <c r="K3010" s="4">
        <v>0</v>
      </c>
      <c r="L3010" s="4">
        <v>0</v>
      </c>
      <c r="M3010" s="4">
        <f t="shared" ref="M3010:M3073" si="141">H3010-G3010</f>
        <v>-0.42</v>
      </c>
      <c r="N3010" s="4">
        <f t="shared" ref="N3010:N3073" si="142">K3010-J3010</f>
        <v>-232.05</v>
      </c>
      <c r="O3010" s="4">
        <f t="shared" ref="O3010:O3073" si="143">I3010-H3010</f>
        <v>0</v>
      </c>
      <c r="P3010" s="3" t="s">
        <v>19</v>
      </c>
    </row>
    <row r="3011" spans="1:16" x14ac:dyDescent="0.35">
      <c r="A3011" s="3" t="s">
        <v>20</v>
      </c>
      <c r="B3011" s="3" t="str">
        <f>INDEX(State_Region!$B$2:$B$26,MATCH(TRIM(A3011),State_Region!$A$2:$A$26,0))</f>
        <v>West</v>
      </c>
      <c r="C3011" s="3" t="s">
        <v>301</v>
      </c>
      <c r="D3011" s="3" t="str">
        <f>INDEX(Port_Type!$B$2:$B$227,MATCH(TRIM(C3011),Port_Type!$A$2:$A$227,0))</f>
        <v>Inland ICD / CFS</v>
      </c>
      <c r="E3011" s="3" t="s">
        <v>42</v>
      </c>
      <c r="F3011" s="3" t="str">
        <f>INDEX(Product_Category!$B$2:$B$45,MATCH(TRIM(E3011),Product_Category!$A$2:$A$45,0))</f>
        <v>Processed Foods</v>
      </c>
      <c r="G3011" s="4">
        <v>1.36</v>
      </c>
      <c r="H3011" s="4">
        <v>0</v>
      </c>
      <c r="I3011" s="4">
        <v>0</v>
      </c>
      <c r="J3011" s="4">
        <v>1087.25</v>
      </c>
      <c r="K3011" s="4">
        <v>0</v>
      </c>
      <c r="L3011" s="4">
        <v>0</v>
      </c>
      <c r="M3011" s="4">
        <f t="shared" si="141"/>
        <v>-1.36</v>
      </c>
      <c r="N3011" s="4">
        <f t="shared" si="142"/>
        <v>-1087.25</v>
      </c>
      <c r="O3011" s="4">
        <f t="shared" si="143"/>
        <v>0</v>
      </c>
      <c r="P3011" s="3" t="s">
        <v>19</v>
      </c>
    </row>
    <row r="3012" spans="1:16" x14ac:dyDescent="0.35">
      <c r="A3012" s="3" t="s">
        <v>66</v>
      </c>
      <c r="B3012" s="3" t="str">
        <f>INDEX(State_Region!$B$2:$B$26,MATCH(TRIM(A3012),State_Region!$A$2:$A$26,0))</f>
        <v>North</v>
      </c>
      <c r="C3012" s="3" t="s">
        <v>127</v>
      </c>
      <c r="D3012" s="3" t="str">
        <f>INDEX(Port_Type!$B$2:$B$227,MATCH(TRIM(C3012),Port_Type!$A$2:$A$227,0))</f>
        <v>Inland ICD / CFS</v>
      </c>
      <c r="E3012" s="3" t="s">
        <v>181</v>
      </c>
      <c r="F3012" s="3" t="str">
        <f>INDEX(Product_Category!$B$2:$B$45,MATCH(TRIM(E3012),Product_Category!$A$2:$A$45,0))</f>
        <v>Nuts &amp; Oilseeds</v>
      </c>
      <c r="G3012" s="4">
        <v>0</v>
      </c>
      <c r="H3012" s="4">
        <v>0</v>
      </c>
      <c r="I3012" s="4">
        <v>0</v>
      </c>
      <c r="J3012" s="4">
        <v>0</v>
      </c>
      <c r="K3012" s="4">
        <v>0.06</v>
      </c>
      <c r="L3012" s="4">
        <v>0</v>
      </c>
      <c r="M3012" s="4">
        <f t="shared" si="141"/>
        <v>0</v>
      </c>
      <c r="N3012" s="4">
        <f t="shared" si="142"/>
        <v>0.06</v>
      </c>
      <c r="O3012" s="4">
        <f t="shared" si="143"/>
        <v>0</v>
      </c>
      <c r="P3012" s="3" t="s">
        <v>19</v>
      </c>
    </row>
    <row r="3013" spans="1:16" x14ac:dyDescent="0.35">
      <c r="A3013" s="3" t="s">
        <v>20</v>
      </c>
      <c r="B3013" s="3" t="str">
        <f>INDEX(State_Region!$B$2:$B$26,MATCH(TRIM(A3013),State_Region!$A$2:$A$26,0))</f>
        <v>West</v>
      </c>
      <c r="C3013" s="3" t="s">
        <v>301</v>
      </c>
      <c r="D3013" s="3" t="str">
        <f>INDEX(Port_Type!$B$2:$B$227,MATCH(TRIM(C3013),Port_Type!$A$2:$A$227,0))</f>
        <v>Inland ICD / CFS</v>
      </c>
      <c r="E3013" s="3" t="s">
        <v>221</v>
      </c>
      <c r="F3013" s="3" t="str">
        <f>INDEX(Product_Category!$B$2:$B$45,MATCH(TRIM(E3013),Product_Category!$A$2:$A$45,0))</f>
        <v>Meat &amp; Animal Products</v>
      </c>
      <c r="G3013" s="4">
        <v>0.06</v>
      </c>
      <c r="H3013" s="4">
        <v>0</v>
      </c>
      <c r="I3013" s="4">
        <v>0</v>
      </c>
      <c r="J3013" s="4">
        <v>15</v>
      </c>
      <c r="K3013" s="4">
        <v>0</v>
      </c>
      <c r="L3013" s="4">
        <v>0</v>
      </c>
      <c r="M3013" s="4">
        <f t="shared" si="141"/>
        <v>-0.06</v>
      </c>
      <c r="N3013" s="4">
        <f t="shared" si="142"/>
        <v>-15</v>
      </c>
      <c r="O3013" s="4">
        <f t="shared" si="143"/>
        <v>0</v>
      </c>
      <c r="P3013" s="3" t="s">
        <v>19</v>
      </c>
    </row>
    <row r="3014" spans="1:16" x14ac:dyDescent="0.35">
      <c r="A3014" s="3" t="s">
        <v>20</v>
      </c>
      <c r="B3014" s="3" t="str">
        <f>INDEX(State_Region!$B$2:$B$26,MATCH(TRIM(A3014),State_Region!$A$2:$A$26,0))</f>
        <v>West</v>
      </c>
      <c r="C3014" s="3" t="s">
        <v>301</v>
      </c>
      <c r="D3014" s="3" t="str">
        <f>INDEX(Port_Type!$B$2:$B$227,MATCH(TRIM(C3014),Port_Type!$A$2:$A$227,0))</f>
        <v>Inland ICD / CFS</v>
      </c>
      <c r="E3014" s="3" t="s">
        <v>54</v>
      </c>
      <c r="F3014" s="3" t="str">
        <f>INDEX(Product_Category!$B$2:$B$45,MATCH(TRIM(E3014),Product_Category!$A$2:$A$45,0))</f>
        <v>Processed Foods</v>
      </c>
      <c r="G3014" s="4">
        <v>4.5</v>
      </c>
      <c r="H3014" s="4">
        <v>0</v>
      </c>
      <c r="I3014" s="4">
        <v>0</v>
      </c>
      <c r="J3014" s="4">
        <v>3691.66</v>
      </c>
      <c r="K3014" s="4">
        <v>0</v>
      </c>
      <c r="L3014" s="4">
        <v>0</v>
      </c>
      <c r="M3014" s="4">
        <f t="shared" si="141"/>
        <v>-4.5</v>
      </c>
      <c r="N3014" s="4">
        <f t="shared" si="142"/>
        <v>-3691.66</v>
      </c>
      <c r="O3014" s="4">
        <f t="shared" si="143"/>
        <v>0</v>
      </c>
      <c r="P3014" s="3" t="s">
        <v>19</v>
      </c>
    </row>
    <row r="3015" spans="1:16" x14ac:dyDescent="0.35">
      <c r="A3015" s="3" t="s">
        <v>66</v>
      </c>
      <c r="B3015" s="3" t="str">
        <f>INDEX(State_Region!$B$2:$B$26,MATCH(TRIM(A3015),State_Region!$A$2:$A$26,0))</f>
        <v>North</v>
      </c>
      <c r="C3015" s="3" t="s">
        <v>108</v>
      </c>
      <c r="D3015" s="3" t="str">
        <f>INDEX(Port_Type!$B$2:$B$227,MATCH(TRIM(C3015),Port_Type!$A$2:$A$227,0))</f>
        <v>Inland ICD / CFS</v>
      </c>
      <c r="E3015" s="3" t="s">
        <v>179</v>
      </c>
      <c r="F3015" s="3" t="str">
        <f>INDEX(Product_Category!$B$2:$B$45,MATCH(TRIM(E3015),Product_Category!$A$2:$A$45,0))</f>
        <v>Nuts &amp; Oilseeds</v>
      </c>
      <c r="G3015" s="4">
        <v>0</v>
      </c>
      <c r="H3015" s="4">
        <v>0</v>
      </c>
      <c r="I3015" s="4">
        <v>0</v>
      </c>
      <c r="J3015" s="4">
        <v>0.15</v>
      </c>
      <c r="K3015" s="4">
        <v>0.06</v>
      </c>
      <c r="L3015" s="4">
        <v>0</v>
      </c>
      <c r="M3015" s="4">
        <f t="shared" si="141"/>
        <v>0</v>
      </c>
      <c r="N3015" s="4">
        <f t="shared" si="142"/>
        <v>-0.09</v>
      </c>
      <c r="O3015" s="4">
        <f t="shared" si="143"/>
        <v>0</v>
      </c>
      <c r="P3015" s="3" t="s">
        <v>19</v>
      </c>
    </row>
    <row r="3016" spans="1:16" x14ac:dyDescent="0.35">
      <c r="A3016" s="3" t="s">
        <v>66</v>
      </c>
      <c r="B3016" s="3" t="str">
        <f>INDEX(State_Region!$B$2:$B$26,MATCH(TRIM(A3016),State_Region!$A$2:$A$26,0))</f>
        <v>North</v>
      </c>
      <c r="C3016" s="3" t="s">
        <v>108</v>
      </c>
      <c r="D3016" s="3" t="str">
        <f>INDEX(Port_Type!$B$2:$B$227,MATCH(TRIM(C3016),Port_Type!$A$2:$A$227,0))</f>
        <v>Inland ICD / CFS</v>
      </c>
      <c r="E3016" s="3" t="s">
        <v>150</v>
      </c>
      <c r="F3016" s="3" t="str">
        <f>INDEX(Product_Category!$B$2:$B$45,MATCH(TRIM(E3016),Product_Category!$A$2:$A$45,0))</f>
        <v>Nuts &amp; Oilseeds</v>
      </c>
      <c r="G3016" s="4">
        <v>0</v>
      </c>
      <c r="H3016" s="4">
        <v>0</v>
      </c>
      <c r="I3016" s="4">
        <v>0</v>
      </c>
      <c r="J3016" s="4">
        <v>0</v>
      </c>
      <c r="K3016" s="4">
        <v>7.0000000000000007E-2</v>
      </c>
      <c r="L3016" s="4">
        <v>0</v>
      </c>
      <c r="M3016" s="4">
        <f t="shared" si="141"/>
        <v>0</v>
      </c>
      <c r="N3016" s="4">
        <f t="shared" si="142"/>
        <v>7.0000000000000007E-2</v>
      </c>
      <c r="O3016" s="4">
        <f t="shared" si="143"/>
        <v>0</v>
      </c>
      <c r="P3016" s="3" t="s">
        <v>19</v>
      </c>
    </row>
    <row r="3017" spans="1:16" x14ac:dyDescent="0.35">
      <c r="A3017" s="3" t="s">
        <v>20</v>
      </c>
      <c r="B3017" s="3" t="str">
        <f>INDEX(State_Region!$B$2:$B$26,MATCH(TRIM(A3017),State_Region!$A$2:$A$26,0))</f>
        <v>West</v>
      </c>
      <c r="C3017" s="3" t="s">
        <v>301</v>
      </c>
      <c r="D3017" s="3" t="str">
        <f>INDEX(Port_Type!$B$2:$B$227,MATCH(TRIM(C3017),Port_Type!$A$2:$A$227,0))</f>
        <v>Inland ICD / CFS</v>
      </c>
      <c r="E3017" s="3" t="s">
        <v>128</v>
      </c>
      <c r="F3017" s="3" t="str">
        <f>INDEX(Product_Category!$B$2:$B$45,MATCH(TRIM(E3017),Product_Category!$A$2:$A$45,0))</f>
        <v>Dairy, Poultry &amp; Honey</v>
      </c>
      <c r="G3017" s="4">
        <v>0.6</v>
      </c>
      <c r="H3017" s="4">
        <v>0</v>
      </c>
      <c r="I3017" s="4">
        <v>0</v>
      </c>
      <c r="J3017" s="4">
        <v>308.02999999999997</v>
      </c>
      <c r="K3017" s="4">
        <v>0</v>
      </c>
      <c r="L3017" s="4">
        <v>0</v>
      </c>
      <c r="M3017" s="4">
        <f t="shared" si="141"/>
        <v>-0.6</v>
      </c>
      <c r="N3017" s="4">
        <f t="shared" si="142"/>
        <v>-308.02999999999997</v>
      </c>
      <c r="O3017" s="4">
        <f t="shared" si="143"/>
        <v>0</v>
      </c>
      <c r="P3017" s="3" t="s">
        <v>19</v>
      </c>
    </row>
    <row r="3018" spans="1:16" x14ac:dyDescent="0.35">
      <c r="A3018" s="3" t="s">
        <v>20</v>
      </c>
      <c r="B3018" s="3" t="str">
        <f>INDEX(State_Region!$B$2:$B$26,MATCH(TRIM(A3018),State_Region!$A$2:$A$26,0))</f>
        <v>West</v>
      </c>
      <c r="C3018" s="3" t="s">
        <v>301</v>
      </c>
      <c r="D3018" s="3" t="str">
        <f>INDEX(Port_Type!$B$2:$B$227,MATCH(TRIM(C3018),Port_Type!$A$2:$A$227,0))</f>
        <v>Inland ICD / CFS</v>
      </c>
      <c r="E3018" s="3" t="s">
        <v>102</v>
      </c>
      <c r="F3018" s="3" t="str">
        <f>INDEX(Product_Category!$B$2:$B$45,MATCH(TRIM(E3018),Product_Category!$A$2:$A$45,0))</f>
        <v>Fresh Fruits &amp; Vegetables</v>
      </c>
      <c r="G3018" s="4">
        <v>0.06</v>
      </c>
      <c r="H3018" s="4">
        <v>0</v>
      </c>
      <c r="I3018" s="4">
        <v>0</v>
      </c>
      <c r="J3018" s="4">
        <v>85.44</v>
      </c>
      <c r="K3018" s="4">
        <v>0</v>
      </c>
      <c r="L3018" s="4">
        <v>0</v>
      </c>
      <c r="M3018" s="4">
        <f t="shared" si="141"/>
        <v>-0.06</v>
      </c>
      <c r="N3018" s="4">
        <f t="shared" si="142"/>
        <v>-85.44</v>
      </c>
      <c r="O3018" s="4">
        <f t="shared" si="143"/>
        <v>0</v>
      </c>
      <c r="P3018" s="3" t="s">
        <v>19</v>
      </c>
    </row>
    <row r="3019" spans="1:16" x14ac:dyDescent="0.35">
      <c r="A3019" s="3" t="s">
        <v>66</v>
      </c>
      <c r="B3019" s="3" t="str">
        <f>INDEX(State_Region!$B$2:$B$26,MATCH(TRIM(A3019),State_Region!$A$2:$A$26,0))</f>
        <v>North</v>
      </c>
      <c r="C3019" s="3" t="s">
        <v>108</v>
      </c>
      <c r="D3019" s="3" t="str">
        <f>INDEX(Port_Type!$B$2:$B$227,MATCH(TRIM(C3019),Port_Type!$A$2:$A$227,0))</f>
        <v>Inland ICD / CFS</v>
      </c>
      <c r="E3019" s="3" t="s">
        <v>122</v>
      </c>
      <c r="F3019" s="3" t="str">
        <f>INDEX(Product_Category!$B$2:$B$45,MATCH(TRIM(E3019),Product_Category!$A$2:$A$45,0))</f>
        <v>Others</v>
      </c>
      <c r="G3019" s="4">
        <v>0.01</v>
      </c>
      <c r="H3019" s="4">
        <v>0</v>
      </c>
      <c r="I3019" s="4">
        <v>0</v>
      </c>
      <c r="J3019" s="4">
        <v>0.49</v>
      </c>
      <c r="K3019" s="4">
        <v>0</v>
      </c>
      <c r="L3019" s="4">
        <v>0</v>
      </c>
      <c r="M3019" s="4">
        <f t="shared" si="141"/>
        <v>-0.01</v>
      </c>
      <c r="N3019" s="4">
        <f t="shared" si="142"/>
        <v>-0.49</v>
      </c>
      <c r="O3019" s="4">
        <f t="shared" si="143"/>
        <v>0</v>
      </c>
      <c r="P3019" s="3" t="s">
        <v>19</v>
      </c>
    </row>
    <row r="3020" spans="1:16" x14ac:dyDescent="0.35">
      <c r="A3020" s="3" t="s">
        <v>20</v>
      </c>
      <c r="B3020" s="3" t="str">
        <f>INDEX(State_Region!$B$2:$B$26,MATCH(TRIM(A3020),State_Region!$A$2:$A$26,0))</f>
        <v>West</v>
      </c>
      <c r="C3020" s="3" t="s">
        <v>301</v>
      </c>
      <c r="D3020" s="3" t="str">
        <f>INDEX(Port_Type!$B$2:$B$227,MATCH(TRIM(C3020),Port_Type!$A$2:$A$227,0))</f>
        <v>Inland ICD / CFS</v>
      </c>
      <c r="E3020" s="3" t="s">
        <v>45</v>
      </c>
      <c r="F3020" s="3" t="str">
        <f>INDEX(Product_Category!$B$2:$B$45,MATCH(TRIM(E3020),Product_Category!$A$2:$A$45,0))</f>
        <v>Fresh Fruits &amp; Vegetables</v>
      </c>
      <c r="G3020" s="4">
        <v>7.63</v>
      </c>
      <c r="H3020" s="4">
        <v>0</v>
      </c>
      <c r="I3020" s="4">
        <v>0</v>
      </c>
      <c r="J3020" s="4">
        <v>12696.98</v>
      </c>
      <c r="K3020" s="4">
        <v>0</v>
      </c>
      <c r="L3020" s="4">
        <v>0</v>
      </c>
      <c r="M3020" s="4">
        <f t="shared" si="141"/>
        <v>-7.63</v>
      </c>
      <c r="N3020" s="4">
        <f t="shared" si="142"/>
        <v>-12696.98</v>
      </c>
      <c r="O3020" s="4">
        <f t="shared" si="143"/>
        <v>0</v>
      </c>
      <c r="P3020" s="3" t="s">
        <v>19</v>
      </c>
    </row>
    <row r="3021" spans="1:16" x14ac:dyDescent="0.35">
      <c r="A3021" s="3" t="s">
        <v>20</v>
      </c>
      <c r="B3021" s="3" t="str">
        <f>INDEX(State_Region!$B$2:$B$26,MATCH(TRIM(A3021),State_Region!$A$2:$A$26,0))</f>
        <v>West</v>
      </c>
      <c r="C3021" s="3" t="s">
        <v>301</v>
      </c>
      <c r="D3021" s="3" t="str">
        <f>INDEX(Port_Type!$B$2:$B$227,MATCH(TRIM(C3021),Port_Type!$A$2:$A$227,0))</f>
        <v>Inland ICD / CFS</v>
      </c>
      <c r="E3021" s="3" t="s">
        <v>126</v>
      </c>
      <c r="F3021" s="3" t="str">
        <f>INDEX(Product_Category!$B$2:$B$45,MATCH(TRIM(E3021),Product_Category!$A$2:$A$45,0))</f>
        <v>Cereals &amp; Grains</v>
      </c>
      <c r="G3021" s="4">
        <v>0.02</v>
      </c>
      <c r="H3021" s="4">
        <v>0</v>
      </c>
      <c r="I3021" s="4">
        <v>0</v>
      </c>
      <c r="J3021" s="4">
        <v>7.26</v>
      </c>
      <c r="K3021" s="4">
        <v>0</v>
      </c>
      <c r="L3021" s="4">
        <v>0</v>
      </c>
      <c r="M3021" s="4">
        <f t="shared" si="141"/>
        <v>-0.02</v>
      </c>
      <c r="N3021" s="4">
        <f t="shared" si="142"/>
        <v>-7.26</v>
      </c>
      <c r="O3021" s="4">
        <f t="shared" si="143"/>
        <v>0</v>
      </c>
      <c r="P3021" s="3" t="s">
        <v>19</v>
      </c>
    </row>
    <row r="3022" spans="1:16" x14ac:dyDescent="0.35">
      <c r="A3022" s="3" t="s">
        <v>20</v>
      </c>
      <c r="B3022" s="3" t="str">
        <f>INDEX(State_Region!$B$2:$B$26,MATCH(TRIM(A3022),State_Region!$A$2:$A$26,0))</f>
        <v>West</v>
      </c>
      <c r="C3022" s="3" t="s">
        <v>301</v>
      </c>
      <c r="D3022" s="3" t="str">
        <f>INDEX(Port_Type!$B$2:$B$227,MATCH(TRIM(C3022),Port_Type!$A$2:$A$227,0))</f>
        <v>Inland ICD / CFS</v>
      </c>
      <c r="E3022" s="3" t="s">
        <v>27</v>
      </c>
      <c r="F3022" s="3" t="str">
        <f>INDEX(Product_Category!$B$2:$B$45,MATCH(TRIM(E3022),Product_Category!$A$2:$A$45,0))</f>
        <v>Cereals &amp; Grains</v>
      </c>
      <c r="G3022" s="4">
        <v>4.59</v>
      </c>
      <c r="H3022" s="4">
        <v>0</v>
      </c>
      <c r="I3022" s="4">
        <v>0</v>
      </c>
      <c r="J3022" s="4">
        <v>10241.969999999999</v>
      </c>
      <c r="K3022" s="4">
        <v>0</v>
      </c>
      <c r="L3022" s="4">
        <v>0</v>
      </c>
      <c r="M3022" s="4">
        <f t="shared" si="141"/>
        <v>-4.59</v>
      </c>
      <c r="N3022" s="4">
        <f t="shared" si="142"/>
        <v>-10241.969999999999</v>
      </c>
      <c r="O3022" s="4">
        <f t="shared" si="143"/>
        <v>0</v>
      </c>
      <c r="P3022" s="3" t="s">
        <v>19</v>
      </c>
    </row>
    <row r="3023" spans="1:16" x14ac:dyDescent="0.35">
      <c r="A3023" s="3" t="s">
        <v>20</v>
      </c>
      <c r="B3023" s="3" t="str">
        <f>INDEX(State_Region!$B$2:$B$26,MATCH(TRIM(A3023),State_Region!$A$2:$A$26,0))</f>
        <v>West</v>
      </c>
      <c r="C3023" s="3" t="s">
        <v>301</v>
      </c>
      <c r="D3023" s="3" t="str">
        <f>INDEX(Port_Type!$B$2:$B$227,MATCH(TRIM(C3023),Port_Type!$A$2:$A$227,0))</f>
        <v>Inland ICD / CFS</v>
      </c>
      <c r="E3023" s="3" t="s">
        <v>39</v>
      </c>
      <c r="F3023" s="3" t="str">
        <f>INDEX(Product_Category!$B$2:$B$45,MATCH(TRIM(E3023),Product_Category!$A$2:$A$45,0))</f>
        <v>Processed Foods</v>
      </c>
      <c r="G3023" s="4">
        <v>2.33</v>
      </c>
      <c r="H3023" s="4">
        <v>0</v>
      </c>
      <c r="I3023" s="4">
        <v>0</v>
      </c>
      <c r="J3023" s="4">
        <v>1012.07</v>
      </c>
      <c r="K3023" s="4">
        <v>0</v>
      </c>
      <c r="L3023" s="4">
        <v>0</v>
      </c>
      <c r="M3023" s="4">
        <f t="shared" si="141"/>
        <v>-2.33</v>
      </c>
      <c r="N3023" s="4">
        <f t="shared" si="142"/>
        <v>-1012.07</v>
      </c>
      <c r="O3023" s="4">
        <f t="shared" si="143"/>
        <v>0</v>
      </c>
      <c r="P3023" s="3" t="s">
        <v>19</v>
      </c>
    </row>
    <row r="3024" spans="1:16" x14ac:dyDescent="0.35">
      <c r="A3024" s="3" t="s">
        <v>20</v>
      </c>
      <c r="B3024" s="3" t="str">
        <f>INDEX(State_Region!$B$2:$B$26,MATCH(TRIM(A3024),State_Region!$A$2:$A$26,0))</f>
        <v>West</v>
      </c>
      <c r="C3024" s="3" t="s">
        <v>301</v>
      </c>
      <c r="D3024" s="3" t="str">
        <f>INDEX(Port_Type!$B$2:$B$227,MATCH(TRIM(C3024),Port_Type!$A$2:$A$227,0))</f>
        <v>Inland ICD / CFS</v>
      </c>
      <c r="E3024" s="3" t="s">
        <v>144</v>
      </c>
      <c r="F3024" s="3" t="str">
        <f>INDEX(Product_Category!$B$2:$B$45,MATCH(TRIM(E3024),Product_Category!$A$2:$A$45,0))</f>
        <v>Cereals &amp; Grains</v>
      </c>
      <c r="G3024" s="4">
        <v>0</v>
      </c>
      <c r="H3024" s="4">
        <v>0</v>
      </c>
      <c r="I3024" s="4">
        <v>0</v>
      </c>
      <c r="J3024" s="4">
        <v>2.2000000000000002</v>
      </c>
      <c r="K3024" s="4">
        <v>0</v>
      </c>
      <c r="L3024" s="4">
        <v>0</v>
      </c>
      <c r="M3024" s="4">
        <f t="shared" si="141"/>
        <v>0</v>
      </c>
      <c r="N3024" s="4">
        <f t="shared" si="142"/>
        <v>-2.2000000000000002</v>
      </c>
      <c r="O3024" s="4">
        <f t="shared" si="143"/>
        <v>0</v>
      </c>
      <c r="P3024" s="3" t="s">
        <v>19</v>
      </c>
    </row>
    <row r="3025" spans="1:16" x14ac:dyDescent="0.35">
      <c r="A3025" s="3" t="s">
        <v>20</v>
      </c>
      <c r="B3025" s="3" t="str">
        <f>INDEX(State_Region!$B$2:$B$26,MATCH(TRIM(A3025),State_Region!$A$2:$A$26,0))</f>
        <v>West</v>
      </c>
      <c r="C3025" s="3" t="s">
        <v>301</v>
      </c>
      <c r="D3025" s="3" t="str">
        <f>INDEX(Port_Type!$B$2:$B$227,MATCH(TRIM(C3025),Port_Type!$A$2:$A$227,0))</f>
        <v>Inland ICD / CFS</v>
      </c>
      <c r="E3025" s="3" t="s">
        <v>65</v>
      </c>
      <c r="F3025" s="3" t="str">
        <f>INDEX(Product_Category!$B$2:$B$45,MATCH(TRIM(E3025),Product_Category!$A$2:$A$45,0))</f>
        <v>Cereals &amp; Grains</v>
      </c>
      <c r="G3025" s="4">
        <v>0.02</v>
      </c>
      <c r="H3025" s="4">
        <v>0</v>
      </c>
      <c r="I3025" s="4">
        <v>0</v>
      </c>
      <c r="J3025" s="4">
        <v>23.85</v>
      </c>
      <c r="K3025" s="4">
        <v>0</v>
      </c>
      <c r="L3025" s="4">
        <v>0</v>
      </c>
      <c r="M3025" s="4">
        <f t="shared" si="141"/>
        <v>-0.02</v>
      </c>
      <c r="N3025" s="4">
        <f t="shared" si="142"/>
        <v>-23.85</v>
      </c>
      <c r="O3025" s="4">
        <f t="shared" si="143"/>
        <v>0</v>
      </c>
      <c r="P3025" s="3" t="s">
        <v>19</v>
      </c>
    </row>
    <row r="3026" spans="1:16" x14ac:dyDescent="0.35">
      <c r="A3026" s="3" t="s">
        <v>66</v>
      </c>
      <c r="B3026" s="3" t="str">
        <f>INDEX(State_Region!$B$2:$B$26,MATCH(TRIM(A3026),State_Region!$A$2:$A$26,0))</f>
        <v>North</v>
      </c>
      <c r="C3026" s="3" t="s">
        <v>108</v>
      </c>
      <c r="D3026" s="3" t="str">
        <f>INDEX(Port_Type!$B$2:$B$227,MATCH(TRIM(C3026),Port_Type!$A$2:$A$227,0))</f>
        <v>Inland ICD / CFS</v>
      </c>
      <c r="E3026" s="3" t="s">
        <v>126</v>
      </c>
      <c r="F3026" s="3" t="str">
        <f>INDEX(Product_Category!$B$2:$B$45,MATCH(TRIM(E3026),Product_Category!$A$2:$A$45,0))</f>
        <v>Cereals &amp; Grains</v>
      </c>
      <c r="G3026" s="4">
        <v>0.02</v>
      </c>
      <c r="H3026" s="4">
        <v>0</v>
      </c>
      <c r="I3026" s="4">
        <v>0</v>
      </c>
      <c r="J3026" s="4">
        <v>7.01</v>
      </c>
      <c r="K3026" s="4">
        <v>1.29</v>
      </c>
      <c r="L3026" s="4">
        <v>0</v>
      </c>
      <c r="M3026" s="4">
        <f t="shared" si="141"/>
        <v>-0.02</v>
      </c>
      <c r="N3026" s="4">
        <f t="shared" si="142"/>
        <v>-5.72</v>
      </c>
      <c r="O3026" s="4">
        <f t="shared" si="143"/>
        <v>0</v>
      </c>
      <c r="P3026" s="3" t="s">
        <v>19</v>
      </c>
    </row>
    <row r="3027" spans="1:16" x14ac:dyDescent="0.35">
      <c r="A3027" s="3" t="s">
        <v>66</v>
      </c>
      <c r="B3027" s="3" t="str">
        <f>INDEX(State_Region!$B$2:$B$26,MATCH(TRIM(A3027),State_Region!$A$2:$A$26,0))</f>
        <v>North</v>
      </c>
      <c r="C3027" s="3" t="s">
        <v>108</v>
      </c>
      <c r="D3027" s="3" t="str">
        <f>INDEX(Port_Type!$B$2:$B$227,MATCH(TRIM(C3027),Port_Type!$A$2:$A$227,0))</f>
        <v>Inland ICD / CFS</v>
      </c>
      <c r="E3027" s="3" t="s">
        <v>45</v>
      </c>
      <c r="F3027" s="3" t="str">
        <f>INDEX(Product_Category!$B$2:$B$45,MATCH(TRIM(E3027),Product_Category!$A$2:$A$45,0))</f>
        <v>Fresh Fruits &amp; Vegetables</v>
      </c>
      <c r="G3027" s="4">
        <v>0</v>
      </c>
      <c r="H3027" s="4">
        <v>0.01</v>
      </c>
      <c r="I3027" s="4">
        <v>0</v>
      </c>
      <c r="J3027" s="4">
        <v>0.05</v>
      </c>
      <c r="K3027" s="4">
        <v>5.32</v>
      </c>
      <c r="L3027" s="4">
        <v>0</v>
      </c>
      <c r="M3027" s="4">
        <f t="shared" si="141"/>
        <v>0.01</v>
      </c>
      <c r="N3027" s="4">
        <f t="shared" si="142"/>
        <v>5.2700000000000005</v>
      </c>
      <c r="O3027" s="4">
        <f t="shared" si="143"/>
        <v>-0.01</v>
      </c>
      <c r="P3027" s="3" t="s">
        <v>19</v>
      </c>
    </row>
    <row r="3028" spans="1:16" x14ac:dyDescent="0.35">
      <c r="A3028" s="3" t="s">
        <v>66</v>
      </c>
      <c r="B3028" s="3" t="str">
        <f>INDEX(State_Region!$B$2:$B$26,MATCH(TRIM(A3028),State_Region!$A$2:$A$26,0))</f>
        <v>North</v>
      </c>
      <c r="C3028" s="3" t="s">
        <v>108</v>
      </c>
      <c r="D3028" s="3" t="str">
        <f>INDEX(Port_Type!$B$2:$B$227,MATCH(TRIM(C3028),Port_Type!$A$2:$A$227,0))</f>
        <v>Inland ICD / CFS</v>
      </c>
      <c r="E3028" s="3" t="s">
        <v>102</v>
      </c>
      <c r="F3028" s="3" t="str">
        <f>INDEX(Product_Category!$B$2:$B$45,MATCH(TRIM(E3028),Product_Category!$A$2:$A$45,0))</f>
        <v>Fresh Fruits &amp; Vegetables</v>
      </c>
      <c r="G3028" s="4">
        <v>0</v>
      </c>
      <c r="H3028" s="4">
        <v>0</v>
      </c>
      <c r="I3028" s="4">
        <v>0</v>
      </c>
      <c r="J3028" s="4">
        <v>0</v>
      </c>
      <c r="K3028" s="4">
        <v>2</v>
      </c>
      <c r="L3028" s="4">
        <v>0</v>
      </c>
      <c r="M3028" s="4">
        <f t="shared" si="141"/>
        <v>0</v>
      </c>
      <c r="N3028" s="4">
        <f t="shared" si="142"/>
        <v>2</v>
      </c>
      <c r="O3028" s="4">
        <f t="shared" si="143"/>
        <v>0</v>
      </c>
      <c r="P3028" s="3" t="s">
        <v>19</v>
      </c>
    </row>
    <row r="3029" spans="1:16" x14ac:dyDescent="0.35">
      <c r="A3029" s="3" t="s">
        <v>66</v>
      </c>
      <c r="B3029" s="3" t="str">
        <f>INDEX(State_Region!$B$2:$B$26,MATCH(TRIM(A3029),State_Region!$A$2:$A$26,0))</f>
        <v>North</v>
      </c>
      <c r="C3029" s="3" t="s">
        <v>108</v>
      </c>
      <c r="D3029" s="3" t="str">
        <f>INDEX(Port_Type!$B$2:$B$227,MATCH(TRIM(C3029),Port_Type!$A$2:$A$227,0))</f>
        <v>Inland ICD / CFS</v>
      </c>
      <c r="E3029" s="3" t="s">
        <v>170</v>
      </c>
      <c r="F3029" s="3" t="str">
        <f>INDEX(Product_Category!$B$2:$B$45,MATCH(TRIM(E3029),Product_Category!$A$2:$A$45,0))</f>
        <v>Others</v>
      </c>
      <c r="G3029" s="4">
        <v>0</v>
      </c>
      <c r="H3029" s="4">
        <v>0.14000000000000001</v>
      </c>
      <c r="I3029" s="4">
        <v>0</v>
      </c>
      <c r="J3029" s="4">
        <v>0</v>
      </c>
      <c r="K3029" s="4">
        <v>108</v>
      </c>
      <c r="L3029" s="4">
        <v>0</v>
      </c>
      <c r="M3029" s="4">
        <f t="shared" si="141"/>
        <v>0.14000000000000001</v>
      </c>
      <c r="N3029" s="4">
        <f t="shared" si="142"/>
        <v>108</v>
      </c>
      <c r="O3029" s="4">
        <f t="shared" si="143"/>
        <v>-0.14000000000000001</v>
      </c>
      <c r="P3029" s="3" t="s">
        <v>19</v>
      </c>
    </row>
    <row r="3030" spans="1:16" x14ac:dyDescent="0.35">
      <c r="A3030" s="3" t="s">
        <v>20</v>
      </c>
      <c r="B3030" s="3" t="str">
        <f>INDEX(State_Region!$B$2:$B$26,MATCH(TRIM(A3030),State_Region!$A$2:$A$26,0))</f>
        <v>West</v>
      </c>
      <c r="C3030" s="3" t="s">
        <v>301</v>
      </c>
      <c r="D3030" s="3" t="str">
        <f>INDEX(Port_Type!$B$2:$B$227,MATCH(TRIM(C3030),Port_Type!$A$2:$A$227,0))</f>
        <v>Inland ICD / CFS</v>
      </c>
      <c r="E3030" s="3" t="s">
        <v>53</v>
      </c>
      <c r="F3030" s="3" t="str">
        <f>INDEX(Product_Category!$B$2:$B$45,MATCH(TRIM(E3030),Product_Category!$A$2:$A$45,0))</f>
        <v>Processed Foods</v>
      </c>
      <c r="G3030" s="4">
        <v>0.01</v>
      </c>
      <c r="H3030" s="4">
        <v>0</v>
      </c>
      <c r="I3030" s="4">
        <v>0</v>
      </c>
      <c r="J3030" s="4">
        <v>7.57</v>
      </c>
      <c r="K3030" s="4">
        <v>0</v>
      </c>
      <c r="L3030" s="4">
        <v>0</v>
      </c>
      <c r="M3030" s="4">
        <f t="shared" si="141"/>
        <v>-0.01</v>
      </c>
      <c r="N3030" s="4">
        <f t="shared" si="142"/>
        <v>-7.57</v>
      </c>
      <c r="O3030" s="4">
        <f t="shared" si="143"/>
        <v>0</v>
      </c>
      <c r="P3030" s="3" t="s">
        <v>19</v>
      </c>
    </row>
    <row r="3031" spans="1:16" x14ac:dyDescent="0.35">
      <c r="A3031" s="3" t="s">
        <v>20</v>
      </c>
      <c r="B3031" s="3" t="str">
        <f>INDEX(State_Region!$B$2:$B$26,MATCH(TRIM(A3031),State_Region!$A$2:$A$26,0))</f>
        <v>West</v>
      </c>
      <c r="C3031" s="3" t="s">
        <v>301</v>
      </c>
      <c r="D3031" s="3" t="str">
        <f>INDEX(Port_Type!$B$2:$B$227,MATCH(TRIM(C3031),Port_Type!$A$2:$A$227,0))</f>
        <v>Inland ICD / CFS</v>
      </c>
      <c r="E3031" s="3" t="s">
        <v>51</v>
      </c>
      <c r="F3031" s="3" t="str">
        <f>INDEX(Product_Category!$B$2:$B$45,MATCH(TRIM(E3031),Product_Category!$A$2:$A$45,0))</f>
        <v>Nuts &amp; Oilseeds</v>
      </c>
      <c r="G3031" s="4">
        <v>0</v>
      </c>
      <c r="H3031" s="4">
        <v>0</v>
      </c>
      <c r="I3031" s="4">
        <v>0</v>
      </c>
      <c r="J3031" s="4">
        <v>0.26</v>
      </c>
      <c r="K3031" s="4">
        <v>0</v>
      </c>
      <c r="L3031" s="4">
        <v>0</v>
      </c>
      <c r="M3031" s="4">
        <f t="shared" si="141"/>
        <v>0</v>
      </c>
      <c r="N3031" s="4">
        <f t="shared" si="142"/>
        <v>-0.26</v>
      </c>
      <c r="O3031" s="4">
        <f t="shared" si="143"/>
        <v>0</v>
      </c>
      <c r="P3031" s="3" t="s">
        <v>19</v>
      </c>
    </row>
    <row r="3032" spans="1:16" x14ac:dyDescent="0.35">
      <c r="A3032" s="3" t="s">
        <v>20</v>
      </c>
      <c r="B3032" s="3" t="str">
        <f>INDEX(State_Region!$B$2:$B$26,MATCH(TRIM(A3032),State_Region!$A$2:$A$26,0))</f>
        <v>West</v>
      </c>
      <c r="C3032" s="3" t="s">
        <v>301</v>
      </c>
      <c r="D3032" s="3" t="str">
        <f>INDEX(Port_Type!$B$2:$B$227,MATCH(TRIM(C3032),Port_Type!$A$2:$A$227,0))</f>
        <v>Inland ICD / CFS</v>
      </c>
      <c r="E3032" s="3" t="s">
        <v>69</v>
      </c>
      <c r="F3032" s="3" t="str">
        <f>INDEX(Product_Category!$B$2:$B$45,MATCH(TRIM(E3032),Product_Category!$A$2:$A$45,0))</f>
        <v>Others</v>
      </c>
      <c r="G3032" s="4">
        <v>0.01</v>
      </c>
      <c r="H3032" s="4">
        <v>0</v>
      </c>
      <c r="I3032" s="4">
        <v>0</v>
      </c>
      <c r="J3032" s="4">
        <v>4</v>
      </c>
      <c r="K3032" s="4">
        <v>0</v>
      </c>
      <c r="L3032" s="4">
        <v>0</v>
      </c>
      <c r="M3032" s="4">
        <f t="shared" si="141"/>
        <v>-0.01</v>
      </c>
      <c r="N3032" s="4">
        <f t="shared" si="142"/>
        <v>-4</v>
      </c>
      <c r="O3032" s="4">
        <f t="shared" si="143"/>
        <v>0</v>
      </c>
      <c r="P3032" s="3" t="s">
        <v>19</v>
      </c>
    </row>
    <row r="3033" spans="1:16" x14ac:dyDescent="0.35">
      <c r="A3033" s="3" t="s">
        <v>66</v>
      </c>
      <c r="B3033" s="3" t="str">
        <f>INDEX(State_Region!$B$2:$B$26,MATCH(TRIM(A3033),State_Region!$A$2:$A$26,0))</f>
        <v>North</v>
      </c>
      <c r="C3033" s="3" t="s">
        <v>108</v>
      </c>
      <c r="D3033" s="3" t="str">
        <f>INDEX(Port_Type!$B$2:$B$227,MATCH(TRIM(C3033),Port_Type!$A$2:$A$227,0))</f>
        <v>Inland ICD / CFS</v>
      </c>
      <c r="E3033" s="3" t="s">
        <v>181</v>
      </c>
      <c r="F3033" s="3" t="str">
        <f>INDEX(Product_Category!$B$2:$B$45,MATCH(TRIM(E3033),Product_Category!$A$2:$A$45,0))</f>
        <v>Nuts &amp; Oilseeds</v>
      </c>
      <c r="G3033" s="4">
        <v>0.05</v>
      </c>
      <c r="H3033" s="4">
        <v>0.06</v>
      </c>
      <c r="I3033" s="4">
        <v>0</v>
      </c>
      <c r="J3033" s="4">
        <v>13.5</v>
      </c>
      <c r="K3033" s="4">
        <v>20.059999999999999</v>
      </c>
      <c r="L3033" s="4">
        <v>0</v>
      </c>
      <c r="M3033" s="4">
        <f t="shared" si="141"/>
        <v>9.999999999999995E-3</v>
      </c>
      <c r="N3033" s="4">
        <f t="shared" si="142"/>
        <v>6.5599999999999987</v>
      </c>
      <c r="O3033" s="4">
        <f t="shared" si="143"/>
        <v>-0.06</v>
      </c>
      <c r="P3033" s="3" t="s">
        <v>19</v>
      </c>
    </row>
    <row r="3034" spans="1:16" x14ac:dyDescent="0.35">
      <c r="A3034" s="3" t="s">
        <v>20</v>
      </c>
      <c r="B3034" s="3" t="str">
        <f>INDEX(State_Region!$B$2:$B$26,MATCH(TRIM(A3034),State_Region!$A$2:$A$26,0))</f>
        <v>West</v>
      </c>
      <c r="C3034" s="3" t="s">
        <v>301</v>
      </c>
      <c r="D3034" s="3" t="str">
        <f>INDEX(Port_Type!$B$2:$B$227,MATCH(TRIM(C3034),Port_Type!$A$2:$A$227,0))</f>
        <v>Inland ICD / CFS</v>
      </c>
      <c r="E3034" s="3" t="s">
        <v>55</v>
      </c>
      <c r="F3034" s="3" t="str">
        <f>INDEX(Product_Category!$B$2:$B$45,MATCH(TRIM(E3034),Product_Category!$A$2:$A$45,0))</f>
        <v>Fresh Fruits &amp; Vegetables</v>
      </c>
      <c r="G3034" s="4">
        <v>0.01</v>
      </c>
      <c r="H3034" s="4">
        <v>0</v>
      </c>
      <c r="I3034" s="4">
        <v>0</v>
      </c>
      <c r="J3034" s="4">
        <v>17.5</v>
      </c>
      <c r="K3034" s="4">
        <v>0</v>
      </c>
      <c r="L3034" s="4">
        <v>0</v>
      </c>
      <c r="M3034" s="4">
        <f t="shared" si="141"/>
        <v>-0.01</v>
      </c>
      <c r="N3034" s="4">
        <f t="shared" si="142"/>
        <v>-17.5</v>
      </c>
      <c r="O3034" s="4">
        <f t="shared" si="143"/>
        <v>0</v>
      </c>
      <c r="P3034" s="3" t="s">
        <v>19</v>
      </c>
    </row>
    <row r="3035" spans="1:16" x14ac:dyDescent="0.35">
      <c r="A3035" s="3" t="s">
        <v>20</v>
      </c>
      <c r="B3035" s="3" t="str">
        <f>INDEX(State_Region!$B$2:$B$26,MATCH(TRIM(A3035),State_Region!$A$2:$A$26,0))</f>
        <v>West</v>
      </c>
      <c r="C3035" s="3" t="s">
        <v>301</v>
      </c>
      <c r="D3035" s="3" t="str">
        <f>INDEX(Port_Type!$B$2:$B$227,MATCH(TRIM(C3035),Port_Type!$A$2:$A$227,0))</f>
        <v>Inland ICD / CFS</v>
      </c>
      <c r="E3035" s="3" t="s">
        <v>76</v>
      </c>
      <c r="F3035" s="3" t="str">
        <f>INDEX(Product_Category!$B$2:$B$45,MATCH(TRIM(E3035),Product_Category!$A$2:$A$45,0))</f>
        <v>Fresh Fruits &amp; Vegetables</v>
      </c>
      <c r="G3035" s="4">
        <v>0.44</v>
      </c>
      <c r="H3035" s="4">
        <v>0</v>
      </c>
      <c r="I3035" s="4">
        <v>0</v>
      </c>
      <c r="J3035" s="4">
        <v>355.32</v>
      </c>
      <c r="K3035" s="4">
        <v>0</v>
      </c>
      <c r="L3035" s="4">
        <v>0</v>
      </c>
      <c r="M3035" s="4">
        <f t="shared" si="141"/>
        <v>-0.44</v>
      </c>
      <c r="N3035" s="4">
        <f t="shared" si="142"/>
        <v>-355.32</v>
      </c>
      <c r="O3035" s="4">
        <f t="shared" si="143"/>
        <v>0</v>
      </c>
      <c r="P3035" s="3" t="s">
        <v>19</v>
      </c>
    </row>
    <row r="3036" spans="1:16" x14ac:dyDescent="0.35">
      <c r="A3036" s="3" t="s">
        <v>20</v>
      </c>
      <c r="B3036" s="3" t="str">
        <f>INDEX(State_Region!$B$2:$B$26,MATCH(TRIM(A3036),State_Region!$A$2:$A$26,0))</f>
        <v>West</v>
      </c>
      <c r="C3036" s="3" t="s">
        <v>301</v>
      </c>
      <c r="D3036" s="3" t="str">
        <f>INDEX(Port_Type!$B$2:$B$227,MATCH(TRIM(C3036),Port_Type!$A$2:$A$227,0))</f>
        <v>Inland ICD / CFS</v>
      </c>
      <c r="E3036" s="3" t="s">
        <v>83</v>
      </c>
      <c r="F3036" s="3" t="str">
        <f>INDEX(Product_Category!$B$2:$B$45,MATCH(TRIM(E3036),Product_Category!$A$2:$A$45,0))</f>
        <v>Fresh Fruits &amp; Vegetables</v>
      </c>
      <c r="G3036" s="4">
        <v>34.28</v>
      </c>
      <c r="H3036" s="4">
        <v>0</v>
      </c>
      <c r="I3036" s="4">
        <v>0</v>
      </c>
      <c r="J3036" s="4">
        <v>20230.77</v>
      </c>
      <c r="K3036" s="4">
        <v>0</v>
      </c>
      <c r="L3036" s="4">
        <v>0</v>
      </c>
      <c r="M3036" s="4">
        <f t="shared" si="141"/>
        <v>-34.28</v>
      </c>
      <c r="N3036" s="4">
        <f t="shared" si="142"/>
        <v>-20230.77</v>
      </c>
      <c r="O3036" s="4">
        <f t="shared" si="143"/>
        <v>0</v>
      </c>
      <c r="P3036" s="3" t="s">
        <v>19</v>
      </c>
    </row>
    <row r="3037" spans="1:16" x14ac:dyDescent="0.35">
      <c r="A3037" s="3" t="s">
        <v>66</v>
      </c>
      <c r="B3037" s="3" t="str">
        <f>INDEX(State_Region!$B$2:$B$26,MATCH(TRIM(A3037),State_Region!$A$2:$A$26,0))</f>
        <v>North</v>
      </c>
      <c r="C3037" s="3" t="s">
        <v>100</v>
      </c>
      <c r="D3037" s="3" t="str">
        <f>INDEX(Port_Type!$B$2:$B$227,MATCH(TRIM(C3037),Port_Type!$A$2:$A$227,0))</f>
        <v>Inland ICD / CFS</v>
      </c>
      <c r="E3037" s="3" t="s">
        <v>59</v>
      </c>
      <c r="F3037" s="3" t="str">
        <f>INDEX(Product_Category!$B$2:$B$45,MATCH(TRIM(E3037),Product_Category!$A$2:$A$45,0))</f>
        <v>Processed Foods</v>
      </c>
      <c r="G3037" s="4">
        <v>0</v>
      </c>
      <c r="H3037" s="4">
        <v>0</v>
      </c>
      <c r="I3037" s="4">
        <v>0</v>
      </c>
      <c r="J3037" s="4">
        <v>0</v>
      </c>
      <c r="K3037" s="4">
        <v>1.44</v>
      </c>
      <c r="L3037" s="4">
        <v>0</v>
      </c>
      <c r="M3037" s="4">
        <f t="shared" si="141"/>
        <v>0</v>
      </c>
      <c r="N3037" s="4">
        <f t="shared" si="142"/>
        <v>1.44</v>
      </c>
      <c r="O3037" s="4">
        <f t="shared" si="143"/>
        <v>0</v>
      </c>
      <c r="P3037" s="3" t="s">
        <v>19</v>
      </c>
    </row>
    <row r="3038" spans="1:16" x14ac:dyDescent="0.35">
      <c r="A3038" s="3" t="s">
        <v>20</v>
      </c>
      <c r="B3038" s="3" t="str">
        <f>INDEX(State_Region!$B$2:$B$26,MATCH(TRIM(A3038),State_Region!$A$2:$A$26,0))</f>
        <v>West</v>
      </c>
      <c r="C3038" s="3" t="s">
        <v>301</v>
      </c>
      <c r="D3038" s="3" t="str">
        <f>INDEX(Port_Type!$B$2:$B$227,MATCH(TRIM(C3038),Port_Type!$A$2:$A$227,0))</f>
        <v>Inland ICD / CFS</v>
      </c>
      <c r="E3038" s="3" t="s">
        <v>72</v>
      </c>
      <c r="F3038" s="3" t="str">
        <f>INDEX(Product_Category!$B$2:$B$45,MATCH(TRIM(E3038),Product_Category!$A$2:$A$45,0))</f>
        <v>Dairy, Poultry &amp; Honey</v>
      </c>
      <c r="G3038" s="4">
        <v>0.02</v>
      </c>
      <c r="H3038" s="4">
        <v>0</v>
      </c>
      <c r="I3038" s="4">
        <v>0</v>
      </c>
      <c r="J3038" s="4">
        <v>12.89</v>
      </c>
      <c r="K3038" s="4">
        <v>0</v>
      </c>
      <c r="L3038" s="4">
        <v>0</v>
      </c>
      <c r="M3038" s="4">
        <f t="shared" si="141"/>
        <v>-0.02</v>
      </c>
      <c r="N3038" s="4">
        <f t="shared" si="142"/>
        <v>-12.89</v>
      </c>
      <c r="O3038" s="4">
        <f t="shared" si="143"/>
        <v>0</v>
      </c>
      <c r="P3038" s="3" t="s">
        <v>19</v>
      </c>
    </row>
    <row r="3039" spans="1:16" x14ac:dyDescent="0.35">
      <c r="A3039" s="3" t="s">
        <v>20</v>
      </c>
      <c r="B3039" s="3" t="str">
        <f>INDEX(State_Region!$B$2:$B$26,MATCH(TRIM(A3039),State_Region!$A$2:$A$26,0))</f>
        <v>West</v>
      </c>
      <c r="C3039" s="3" t="s">
        <v>301</v>
      </c>
      <c r="D3039" s="3" t="str">
        <f>INDEX(Port_Type!$B$2:$B$227,MATCH(TRIM(C3039),Port_Type!$A$2:$A$227,0))</f>
        <v>Inland ICD / CFS</v>
      </c>
      <c r="E3039" s="3" t="s">
        <v>48</v>
      </c>
      <c r="F3039" s="3" t="str">
        <f>INDEX(Product_Category!$B$2:$B$45,MATCH(TRIM(E3039),Product_Category!$A$2:$A$45,0))</f>
        <v>Processed Foods</v>
      </c>
      <c r="G3039" s="4">
        <v>0.03</v>
      </c>
      <c r="H3039" s="4">
        <v>0</v>
      </c>
      <c r="I3039" s="4">
        <v>0</v>
      </c>
      <c r="J3039" s="4">
        <v>7.15</v>
      </c>
      <c r="K3039" s="4">
        <v>0</v>
      </c>
      <c r="L3039" s="4">
        <v>0</v>
      </c>
      <c r="M3039" s="4">
        <f t="shared" si="141"/>
        <v>-0.03</v>
      </c>
      <c r="N3039" s="4">
        <f t="shared" si="142"/>
        <v>-7.15</v>
      </c>
      <c r="O3039" s="4">
        <f t="shared" si="143"/>
        <v>0</v>
      </c>
      <c r="P3039" s="3" t="s">
        <v>19</v>
      </c>
    </row>
    <row r="3040" spans="1:16" x14ac:dyDescent="0.35">
      <c r="A3040" s="3" t="s">
        <v>20</v>
      </c>
      <c r="B3040" s="3" t="str">
        <f>INDEX(State_Region!$B$2:$B$26,MATCH(TRIM(A3040),State_Region!$A$2:$A$26,0))</f>
        <v>West</v>
      </c>
      <c r="C3040" s="3" t="s">
        <v>301</v>
      </c>
      <c r="D3040" s="3" t="str">
        <f>INDEX(Port_Type!$B$2:$B$227,MATCH(TRIM(C3040),Port_Type!$A$2:$A$227,0))</f>
        <v>Inland ICD / CFS</v>
      </c>
      <c r="E3040" s="3" t="s">
        <v>179</v>
      </c>
      <c r="F3040" s="3" t="str">
        <f>INDEX(Product_Category!$B$2:$B$45,MATCH(TRIM(E3040),Product_Category!$A$2:$A$45,0))</f>
        <v>Nuts &amp; Oilseeds</v>
      </c>
      <c r="G3040" s="4">
        <v>0</v>
      </c>
      <c r="H3040" s="4">
        <v>0</v>
      </c>
      <c r="I3040" s="4">
        <v>0</v>
      </c>
      <c r="J3040" s="4">
        <v>0.11</v>
      </c>
      <c r="K3040" s="4">
        <v>0</v>
      </c>
      <c r="L3040" s="4">
        <v>0</v>
      </c>
      <c r="M3040" s="4">
        <f t="shared" si="141"/>
        <v>0</v>
      </c>
      <c r="N3040" s="4">
        <f t="shared" si="142"/>
        <v>-0.11</v>
      </c>
      <c r="O3040" s="4">
        <f t="shared" si="143"/>
        <v>0</v>
      </c>
      <c r="P3040" s="3" t="s">
        <v>19</v>
      </c>
    </row>
    <row r="3041" spans="1:16" x14ac:dyDescent="0.35">
      <c r="A3041" s="3" t="s">
        <v>20</v>
      </c>
      <c r="B3041" s="3" t="str">
        <f>INDEX(State_Region!$B$2:$B$26,MATCH(TRIM(A3041),State_Region!$A$2:$A$26,0))</f>
        <v>West</v>
      </c>
      <c r="C3041" s="3" t="s">
        <v>301</v>
      </c>
      <c r="D3041" s="3" t="str">
        <f>INDEX(Port_Type!$B$2:$B$227,MATCH(TRIM(C3041),Port_Type!$A$2:$A$227,0))</f>
        <v>Inland ICD / CFS</v>
      </c>
      <c r="E3041" s="3" t="s">
        <v>84</v>
      </c>
      <c r="F3041" s="3" t="str">
        <f>INDEX(Product_Category!$B$2:$B$45,MATCH(TRIM(E3041),Product_Category!$A$2:$A$45,0))</f>
        <v>Nuts &amp; Oilseeds</v>
      </c>
      <c r="G3041" s="4">
        <v>0</v>
      </c>
      <c r="H3041" s="4">
        <v>0</v>
      </c>
      <c r="I3041" s="4">
        <v>0</v>
      </c>
      <c r="J3041" s="4">
        <v>0.01</v>
      </c>
      <c r="K3041" s="4">
        <v>0</v>
      </c>
      <c r="L3041" s="4">
        <v>0</v>
      </c>
      <c r="M3041" s="4">
        <f t="shared" si="141"/>
        <v>0</v>
      </c>
      <c r="N3041" s="4">
        <f t="shared" si="142"/>
        <v>-0.01</v>
      </c>
      <c r="O3041" s="4">
        <f t="shared" si="143"/>
        <v>0</v>
      </c>
      <c r="P3041" s="3" t="s">
        <v>19</v>
      </c>
    </row>
    <row r="3042" spans="1:16" x14ac:dyDescent="0.35">
      <c r="A3042" s="3" t="s">
        <v>20</v>
      </c>
      <c r="B3042" s="3" t="str">
        <f>INDEX(State_Region!$B$2:$B$26,MATCH(TRIM(A3042),State_Region!$A$2:$A$26,0))</f>
        <v>West</v>
      </c>
      <c r="C3042" s="3" t="s">
        <v>301</v>
      </c>
      <c r="D3042" s="3" t="str">
        <f>INDEX(Port_Type!$B$2:$B$227,MATCH(TRIM(C3042),Port_Type!$A$2:$A$227,0))</f>
        <v>Inland ICD / CFS</v>
      </c>
      <c r="E3042" s="3" t="s">
        <v>22</v>
      </c>
      <c r="F3042" s="3" t="str">
        <f>INDEX(Product_Category!$B$2:$B$45,MATCH(TRIM(E3042),Product_Category!$A$2:$A$45,0))</f>
        <v>Meat &amp; Animal Products</v>
      </c>
      <c r="G3042" s="4">
        <v>113.68</v>
      </c>
      <c r="H3042" s="4">
        <v>0</v>
      </c>
      <c r="I3042" s="4">
        <v>0</v>
      </c>
      <c r="J3042" s="4">
        <v>34913.949999999997</v>
      </c>
      <c r="K3042" s="4">
        <v>0</v>
      </c>
      <c r="L3042" s="4">
        <v>0</v>
      </c>
      <c r="M3042" s="4">
        <f t="shared" si="141"/>
        <v>-113.68</v>
      </c>
      <c r="N3042" s="4">
        <f t="shared" si="142"/>
        <v>-34913.949999999997</v>
      </c>
      <c r="O3042" s="4">
        <f t="shared" si="143"/>
        <v>0</v>
      </c>
      <c r="P3042" s="3" t="s">
        <v>19</v>
      </c>
    </row>
    <row r="3043" spans="1:16" x14ac:dyDescent="0.35">
      <c r="A3043" s="3" t="s">
        <v>20</v>
      </c>
      <c r="B3043" s="3" t="str">
        <f>INDEX(State_Region!$B$2:$B$26,MATCH(TRIM(A3043),State_Region!$A$2:$A$26,0))</f>
        <v>West</v>
      </c>
      <c r="C3043" s="3" t="s">
        <v>301</v>
      </c>
      <c r="D3043" s="3" t="str">
        <f>INDEX(Port_Type!$B$2:$B$227,MATCH(TRIM(C3043),Port_Type!$A$2:$A$227,0))</f>
        <v>Inland ICD / CFS</v>
      </c>
      <c r="E3043" s="3" t="s">
        <v>18</v>
      </c>
      <c r="F3043" s="3" t="str">
        <f>INDEX(Product_Category!$B$2:$B$45,MATCH(TRIM(E3043),Product_Category!$A$2:$A$45,0))</f>
        <v>Cereals &amp; Grains</v>
      </c>
      <c r="G3043" s="4">
        <v>0.11</v>
      </c>
      <c r="H3043" s="4">
        <v>0</v>
      </c>
      <c r="I3043" s="4">
        <v>0</v>
      </c>
      <c r="J3043" s="4">
        <v>66.290000000000006</v>
      </c>
      <c r="K3043" s="4">
        <v>0</v>
      </c>
      <c r="L3043" s="4">
        <v>0</v>
      </c>
      <c r="M3043" s="4">
        <f t="shared" si="141"/>
        <v>-0.11</v>
      </c>
      <c r="N3043" s="4">
        <f t="shared" si="142"/>
        <v>-66.290000000000006</v>
      </c>
      <c r="O3043" s="4">
        <f t="shared" si="143"/>
        <v>0</v>
      </c>
      <c r="P3043" s="3" t="s">
        <v>19</v>
      </c>
    </row>
    <row r="3044" spans="1:16" x14ac:dyDescent="0.35">
      <c r="A3044" s="3" t="s">
        <v>20</v>
      </c>
      <c r="B3044" s="3" t="str">
        <f>INDEX(State_Region!$B$2:$B$26,MATCH(TRIM(A3044),State_Region!$A$2:$A$26,0))</f>
        <v>West</v>
      </c>
      <c r="C3044" s="3" t="s">
        <v>301</v>
      </c>
      <c r="D3044" s="3" t="str">
        <f>INDEX(Port_Type!$B$2:$B$227,MATCH(TRIM(C3044),Port_Type!$A$2:$A$227,0))</f>
        <v>Inland ICD / CFS</v>
      </c>
      <c r="E3044" s="3" t="s">
        <v>125</v>
      </c>
      <c r="F3044" s="3" t="str">
        <f>INDEX(Product_Category!$B$2:$B$45,MATCH(TRIM(E3044),Product_Category!$A$2:$A$45,0))</f>
        <v>Meat &amp; Animal Products</v>
      </c>
      <c r="G3044" s="4">
        <v>1.1599999999999999</v>
      </c>
      <c r="H3044" s="4">
        <v>0</v>
      </c>
      <c r="I3044" s="4">
        <v>0</v>
      </c>
      <c r="J3044" s="4">
        <v>401</v>
      </c>
      <c r="K3044" s="4">
        <v>0</v>
      </c>
      <c r="L3044" s="4">
        <v>0</v>
      </c>
      <c r="M3044" s="4">
        <f t="shared" si="141"/>
        <v>-1.1599999999999999</v>
      </c>
      <c r="N3044" s="4">
        <f t="shared" si="142"/>
        <v>-401</v>
      </c>
      <c r="O3044" s="4">
        <f t="shared" si="143"/>
        <v>0</v>
      </c>
      <c r="P3044" s="3" t="s">
        <v>19</v>
      </c>
    </row>
    <row r="3045" spans="1:16" x14ac:dyDescent="0.35">
      <c r="A3045" s="3" t="s">
        <v>20</v>
      </c>
      <c r="B3045" s="3" t="str">
        <f>INDEX(State_Region!$B$2:$B$26,MATCH(TRIM(A3045),State_Region!$A$2:$A$26,0))</f>
        <v>West</v>
      </c>
      <c r="C3045" s="3" t="s">
        <v>145</v>
      </c>
      <c r="D3045" s="3" t="str">
        <f>INDEX(Port_Type!$B$2:$B$227,MATCH(TRIM(C3045),Port_Type!$A$2:$A$227,0))</f>
        <v>Inland ICD / CFS</v>
      </c>
      <c r="E3045" s="3" t="s">
        <v>128</v>
      </c>
      <c r="F3045" s="3" t="str">
        <f>INDEX(Product_Category!$B$2:$B$45,MATCH(TRIM(E3045),Product_Category!$A$2:$A$45,0))</f>
        <v>Dairy, Poultry &amp; Honey</v>
      </c>
      <c r="G3045" s="4">
        <v>0</v>
      </c>
      <c r="H3045" s="4">
        <v>0.36</v>
      </c>
      <c r="I3045" s="4">
        <v>0</v>
      </c>
      <c r="J3045" s="4">
        <v>0</v>
      </c>
      <c r="K3045" s="4">
        <v>187.26</v>
      </c>
      <c r="L3045" s="4">
        <v>0</v>
      </c>
      <c r="M3045" s="4">
        <f t="shared" si="141"/>
        <v>0.36</v>
      </c>
      <c r="N3045" s="4">
        <f t="shared" si="142"/>
        <v>187.26</v>
      </c>
      <c r="O3045" s="4">
        <f t="shared" si="143"/>
        <v>-0.36</v>
      </c>
      <c r="P3045" s="3" t="s">
        <v>19</v>
      </c>
    </row>
    <row r="3046" spans="1:16" x14ac:dyDescent="0.35">
      <c r="A3046" s="3" t="s">
        <v>20</v>
      </c>
      <c r="B3046" s="3" t="str">
        <f>INDEX(State_Region!$B$2:$B$26,MATCH(TRIM(A3046),State_Region!$A$2:$A$26,0))</f>
        <v>West</v>
      </c>
      <c r="C3046" s="3" t="s">
        <v>145</v>
      </c>
      <c r="D3046" s="3" t="str">
        <f>INDEX(Port_Type!$B$2:$B$227,MATCH(TRIM(C3046),Port_Type!$A$2:$A$227,0))</f>
        <v>Inland ICD / CFS</v>
      </c>
      <c r="E3046" s="3" t="s">
        <v>102</v>
      </c>
      <c r="F3046" s="3" t="str">
        <f>INDEX(Product_Category!$B$2:$B$45,MATCH(TRIM(E3046),Product_Category!$A$2:$A$45,0))</f>
        <v>Fresh Fruits &amp; Vegetables</v>
      </c>
      <c r="G3046" s="4">
        <v>0</v>
      </c>
      <c r="H3046" s="4">
        <v>0.01</v>
      </c>
      <c r="I3046" s="4">
        <v>0</v>
      </c>
      <c r="J3046" s="4">
        <v>0</v>
      </c>
      <c r="K3046" s="4">
        <v>14.12</v>
      </c>
      <c r="L3046" s="4">
        <v>0</v>
      </c>
      <c r="M3046" s="4">
        <f t="shared" si="141"/>
        <v>0.01</v>
      </c>
      <c r="N3046" s="4">
        <f t="shared" si="142"/>
        <v>14.12</v>
      </c>
      <c r="O3046" s="4">
        <f t="shared" si="143"/>
        <v>-0.01</v>
      </c>
      <c r="P3046" s="3" t="s">
        <v>19</v>
      </c>
    </row>
    <row r="3047" spans="1:16" x14ac:dyDescent="0.35">
      <c r="A3047" s="3" t="s">
        <v>49</v>
      </c>
      <c r="B3047" s="3" t="str">
        <f>INDEX(State_Region!$B$2:$B$26,MATCH(TRIM(A3047),State_Region!$A$2:$A$26,0))</f>
        <v>North</v>
      </c>
      <c r="C3047" s="3" t="s">
        <v>302</v>
      </c>
      <c r="D3047" s="3" t="str">
        <f>INDEX(Port_Type!$B$2:$B$227,MATCH(TRIM(C3047),Port_Type!$A$2:$A$227,0))</f>
        <v>Inland ICD / CFS</v>
      </c>
      <c r="E3047" s="3" t="s">
        <v>18</v>
      </c>
      <c r="F3047" s="3" t="str">
        <f>INDEX(Product_Category!$B$2:$B$45,MATCH(TRIM(E3047),Product_Category!$A$2:$A$45,0))</f>
        <v>Cereals &amp; Grains</v>
      </c>
      <c r="G3047" s="4">
        <v>0.03</v>
      </c>
      <c r="H3047" s="4">
        <v>0</v>
      </c>
      <c r="I3047" s="4">
        <v>0</v>
      </c>
      <c r="J3047" s="4">
        <v>37.090000000000003</v>
      </c>
      <c r="K3047" s="4">
        <v>0</v>
      </c>
      <c r="L3047" s="4">
        <v>0</v>
      </c>
      <c r="M3047" s="4">
        <f t="shared" si="141"/>
        <v>-0.03</v>
      </c>
      <c r="N3047" s="4">
        <f t="shared" si="142"/>
        <v>-37.090000000000003</v>
      </c>
      <c r="O3047" s="4">
        <f t="shared" si="143"/>
        <v>0</v>
      </c>
      <c r="P3047" s="3" t="s">
        <v>19</v>
      </c>
    </row>
    <row r="3048" spans="1:16" x14ac:dyDescent="0.35">
      <c r="A3048" s="3" t="s">
        <v>49</v>
      </c>
      <c r="B3048" s="3" t="str">
        <f>INDEX(State_Region!$B$2:$B$26,MATCH(TRIM(A3048),State_Region!$A$2:$A$26,0))</f>
        <v>North</v>
      </c>
      <c r="C3048" s="3" t="s">
        <v>302</v>
      </c>
      <c r="D3048" s="3" t="str">
        <f>INDEX(Port_Type!$B$2:$B$227,MATCH(TRIM(C3048),Port_Type!$A$2:$A$227,0))</f>
        <v>Inland ICD / CFS</v>
      </c>
      <c r="E3048" s="3" t="s">
        <v>84</v>
      </c>
      <c r="F3048" s="3" t="str">
        <f>INDEX(Product_Category!$B$2:$B$45,MATCH(TRIM(E3048),Product_Category!$A$2:$A$45,0))</f>
        <v>Nuts &amp; Oilseeds</v>
      </c>
      <c r="G3048" s="4">
        <v>0</v>
      </c>
      <c r="H3048" s="4">
        <v>0</v>
      </c>
      <c r="I3048" s="4">
        <v>0</v>
      </c>
      <c r="J3048" s="4">
        <v>0.05</v>
      </c>
      <c r="K3048" s="4">
        <v>0</v>
      </c>
      <c r="L3048" s="4">
        <v>0</v>
      </c>
      <c r="M3048" s="4">
        <f t="shared" si="141"/>
        <v>0</v>
      </c>
      <c r="N3048" s="4">
        <f t="shared" si="142"/>
        <v>-0.05</v>
      </c>
      <c r="O3048" s="4">
        <f t="shared" si="143"/>
        <v>0</v>
      </c>
      <c r="P3048" s="3" t="s">
        <v>19</v>
      </c>
    </row>
    <row r="3049" spans="1:16" x14ac:dyDescent="0.35">
      <c r="A3049" s="3" t="s">
        <v>49</v>
      </c>
      <c r="B3049" s="3" t="str">
        <f>INDEX(State_Region!$B$2:$B$26,MATCH(TRIM(A3049),State_Region!$A$2:$A$26,0))</f>
        <v>North</v>
      </c>
      <c r="C3049" s="3" t="s">
        <v>302</v>
      </c>
      <c r="D3049" s="3" t="str">
        <f>INDEX(Port_Type!$B$2:$B$227,MATCH(TRIM(C3049),Port_Type!$A$2:$A$227,0))</f>
        <v>Inland ICD / CFS</v>
      </c>
      <c r="E3049" s="3" t="s">
        <v>48</v>
      </c>
      <c r="F3049" s="3" t="str">
        <f>INDEX(Product_Category!$B$2:$B$45,MATCH(TRIM(E3049),Product_Category!$A$2:$A$45,0))</f>
        <v>Processed Foods</v>
      </c>
      <c r="G3049" s="4">
        <v>0.01</v>
      </c>
      <c r="H3049" s="4">
        <v>0</v>
      </c>
      <c r="I3049" s="4">
        <v>0</v>
      </c>
      <c r="J3049" s="4">
        <v>4.4800000000000004</v>
      </c>
      <c r="K3049" s="4">
        <v>0</v>
      </c>
      <c r="L3049" s="4">
        <v>0</v>
      </c>
      <c r="M3049" s="4">
        <f t="shared" si="141"/>
        <v>-0.01</v>
      </c>
      <c r="N3049" s="4">
        <f t="shared" si="142"/>
        <v>-4.4800000000000004</v>
      </c>
      <c r="O3049" s="4">
        <f t="shared" si="143"/>
        <v>0</v>
      </c>
      <c r="P3049" s="3" t="s">
        <v>19</v>
      </c>
    </row>
    <row r="3050" spans="1:16" x14ac:dyDescent="0.35">
      <c r="A3050" s="3" t="s">
        <v>49</v>
      </c>
      <c r="B3050" s="3" t="str">
        <f>INDEX(State_Region!$B$2:$B$26,MATCH(TRIM(A3050),State_Region!$A$2:$A$26,0))</f>
        <v>North</v>
      </c>
      <c r="C3050" s="3" t="s">
        <v>302</v>
      </c>
      <c r="D3050" s="3" t="str">
        <f>INDEX(Port_Type!$B$2:$B$227,MATCH(TRIM(C3050),Port_Type!$A$2:$A$227,0))</f>
        <v>Inland ICD / CFS</v>
      </c>
      <c r="E3050" s="3" t="s">
        <v>59</v>
      </c>
      <c r="F3050" s="3" t="str">
        <f>INDEX(Product_Category!$B$2:$B$45,MATCH(TRIM(E3050),Product_Category!$A$2:$A$45,0))</f>
        <v>Processed Foods</v>
      </c>
      <c r="G3050" s="4">
        <v>0.02</v>
      </c>
      <c r="H3050" s="4">
        <v>0</v>
      </c>
      <c r="I3050" s="4">
        <v>0</v>
      </c>
      <c r="J3050" s="4">
        <v>7.24</v>
      </c>
      <c r="K3050" s="4">
        <v>0</v>
      </c>
      <c r="L3050" s="4">
        <v>0</v>
      </c>
      <c r="M3050" s="4">
        <f t="shared" si="141"/>
        <v>-0.02</v>
      </c>
      <c r="N3050" s="4">
        <f t="shared" si="142"/>
        <v>-7.24</v>
      </c>
      <c r="O3050" s="4">
        <f t="shared" si="143"/>
        <v>0</v>
      </c>
      <c r="P3050" s="3" t="s">
        <v>19</v>
      </c>
    </row>
    <row r="3051" spans="1:16" x14ac:dyDescent="0.35">
      <c r="A3051" s="3" t="s">
        <v>49</v>
      </c>
      <c r="B3051" s="3" t="str">
        <f>INDEX(State_Region!$B$2:$B$26,MATCH(TRIM(A3051),State_Region!$A$2:$A$26,0))</f>
        <v>North</v>
      </c>
      <c r="C3051" s="3" t="s">
        <v>302</v>
      </c>
      <c r="D3051" s="3" t="str">
        <f>INDEX(Port_Type!$B$2:$B$227,MATCH(TRIM(C3051),Port_Type!$A$2:$A$227,0))</f>
        <v>Inland ICD / CFS</v>
      </c>
      <c r="E3051" s="3" t="s">
        <v>72</v>
      </c>
      <c r="F3051" s="3" t="str">
        <f>INDEX(Product_Category!$B$2:$B$45,MATCH(TRIM(E3051),Product_Category!$A$2:$A$45,0))</f>
        <v>Dairy, Poultry &amp; Honey</v>
      </c>
      <c r="G3051" s="4">
        <v>0.04</v>
      </c>
      <c r="H3051" s="4">
        <v>0</v>
      </c>
      <c r="I3051" s="4">
        <v>0</v>
      </c>
      <c r="J3051" s="4">
        <v>7.77</v>
      </c>
      <c r="K3051" s="4">
        <v>0</v>
      </c>
      <c r="L3051" s="4">
        <v>0</v>
      </c>
      <c r="M3051" s="4">
        <f t="shared" si="141"/>
        <v>-0.04</v>
      </c>
      <c r="N3051" s="4">
        <f t="shared" si="142"/>
        <v>-7.77</v>
      </c>
      <c r="O3051" s="4">
        <f t="shared" si="143"/>
        <v>0</v>
      </c>
      <c r="P3051" s="3" t="s">
        <v>19</v>
      </c>
    </row>
    <row r="3052" spans="1:16" x14ac:dyDescent="0.35">
      <c r="A3052" s="3" t="s">
        <v>49</v>
      </c>
      <c r="B3052" s="3" t="str">
        <f>INDEX(State_Region!$B$2:$B$26,MATCH(TRIM(A3052),State_Region!$A$2:$A$26,0))</f>
        <v>North</v>
      </c>
      <c r="C3052" s="3" t="s">
        <v>302</v>
      </c>
      <c r="D3052" s="3" t="str">
        <f>INDEX(Port_Type!$B$2:$B$227,MATCH(TRIM(C3052),Port_Type!$A$2:$A$227,0))</f>
        <v>Inland ICD / CFS</v>
      </c>
      <c r="E3052" s="3" t="s">
        <v>51</v>
      </c>
      <c r="F3052" s="3" t="str">
        <f>INDEX(Product_Category!$B$2:$B$45,MATCH(TRIM(E3052),Product_Category!$A$2:$A$45,0))</f>
        <v>Nuts &amp; Oilseeds</v>
      </c>
      <c r="G3052" s="4">
        <v>0</v>
      </c>
      <c r="H3052" s="4">
        <v>0</v>
      </c>
      <c r="I3052" s="4">
        <v>0</v>
      </c>
      <c r="J3052" s="4">
        <v>0.2</v>
      </c>
      <c r="K3052" s="4">
        <v>0</v>
      </c>
      <c r="L3052" s="4">
        <v>0</v>
      </c>
      <c r="M3052" s="4">
        <f t="shared" si="141"/>
        <v>0</v>
      </c>
      <c r="N3052" s="4">
        <f t="shared" si="142"/>
        <v>-0.2</v>
      </c>
      <c r="O3052" s="4">
        <f t="shared" si="143"/>
        <v>0</v>
      </c>
      <c r="P3052" s="3" t="s">
        <v>19</v>
      </c>
    </row>
    <row r="3053" spans="1:16" x14ac:dyDescent="0.35">
      <c r="A3053" s="3" t="s">
        <v>49</v>
      </c>
      <c r="B3053" s="3" t="str">
        <f>INDEX(State_Region!$B$2:$B$26,MATCH(TRIM(A3053),State_Region!$A$2:$A$26,0))</f>
        <v>North</v>
      </c>
      <c r="C3053" s="3" t="s">
        <v>302</v>
      </c>
      <c r="D3053" s="3" t="str">
        <f>INDEX(Port_Type!$B$2:$B$227,MATCH(TRIM(C3053),Port_Type!$A$2:$A$227,0))</f>
        <v>Inland ICD / CFS</v>
      </c>
      <c r="E3053" s="3" t="s">
        <v>46</v>
      </c>
      <c r="F3053" s="3" t="str">
        <f>INDEX(Product_Category!$B$2:$B$45,MATCH(TRIM(E3053),Product_Category!$A$2:$A$45,0))</f>
        <v>Others</v>
      </c>
      <c r="G3053" s="4">
        <v>0.03</v>
      </c>
      <c r="H3053" s="4">
        <v>0</v>
      </c>
      <c r="I3053" s="4">
        <v>0</v>
      </c>
      <c r="J3053" s="4">
        <v>20</v>
      </c>
      <c r="K3053" s="4">
        <v>0</v>
      </c>
      <c r="L3053" s="4">
        <v>0</v>
      </c>
      <c r="M3053" s="4">
        <f t="shared" si="141"/>
        <v>-0.03</v>
      </c>
      <c r="N3053" s="4">
        <f t="shared" si="142"/>
        <v>-20</v>
      </c>
      <c r="O3053" s="4">
        <f t="shared" si="143"/>
        <v>0</v>
      </c>
      <c r="P3053" s="3" t="s">
        <v>19</v>
      </c>
    </row>
    <row r="3054" spans="1:16" x14ac:dyDescent="0.35">
      <c r="A3054" s="3" t="s">
        <v>49</v>
      </c>
      <c r="B3054" s="3" t="str">
        <f>INDEX(State_Region!$B$2:$B$26,MATCH(TRIM(A3054),State_Region!$A$2:$A$26,0))</f>
        <v>North</v>
      </c>
      <c r="C3054" s="3" t="s">
        <v>302</v>
      </c>
      <c r="D3054" s="3" t="str">
        <f>INDEX(Port_Type!$B$2:$B$227,MATCH(TRIM(C3054),Port_Type!$A$2:$A$227,0))</f>
        <v>Inland ICD / CFS</v>
      </c>
      <c r="E3054" s="3" t="s">
        <v>53</v>
      </c>
      <c r="F3054" s="3" t="str">
        <f>INDEX(Product_Category!$B$2:$B$45,MATCH(TRIM(E3054),Product_Category!$A$2:$A$45,0))</f>
        <v>Processed Foods</v>
      </c>
      <c r="G3054" s="4">
        <v>0.03</v>
      </c>
      <c r="H3054" s="4">
        <v>0</v>
      </c>
      <c r="I3054" s="4">
        <v>0</v>
      </c>
      <c r="J3054" s="4">
        <v>10.62</v>
      </c>
      <c r="K3054" s="4">
        <v>0</v>
      </c>
      <c r="L3054" s="4">
        <v>0</v>
      </c>
      <c r="M3054" s="4">
        <f t="shared" si="141"/>
        <v>-0.03</v>
      </c>
      <c r="N3054" s="4">
        <f t="shared" si="142"/>
        <v>-10.62</v>
      </c>
      <c r="O3054" s="4">
        <f t="shared" si="143"/>
        <v>0</v>
      </c>
      <c r="P3054" s="3" t="s">
        <v>19</v>
      </c>
    </row>
    <row r="3055" spans="1:16" x14ac:dyDescent="0.35">
      <c r="A3055" s="3" t="s">
        <v>49</v>
      </c>
      <c r="B3055" s="3" t="str">
        <f>INDEX(State_Region!$B$2:$B$26,MATCH(TRIM(A3055),State_Region!$A$2:$A$26,0))</f>
        <v>North</v>
      </c>
      <c r="C3055" s="3" t="s">
        <v>302</v>
      </c>
      <c r="D3055" s="3" t="str">
        <f>INDEX(Port_Type!$B$2:$B$227,MATCH(TRIM(C3055),Port_Type!$A$2:$A$227,0))</f>
        <v>Inland ICD / CFS</v>
      </c>
      <c r="E3055" s="3" t="s">
        <v>65</v>
      </c>
      <c r="F3055" s="3" t="str">
        <f>INDEX(Product_Category!$B$2:$B$45,MATCH(TRIM(E3055),Product_Category!$A$2:$A$45,0))</f>
        <v>Cereals &amp; Grains</v>
      </c>
      <c r="G3055" s="4">
        <v>0.01</v>
      </c>
      <c r="H3055" s="4">
        <v>0</v>
      </c>
      <c r="I3055" s="4">
        <v>0</v>
      </c>
      <c r="J3055" s="4">
        <v>13.59</v>
      </c>
      <c r="K3055" s="4">
        <v>0</v>
      </c>
      <c r="L3055" s="4">
        <v>0</v>
      </c>
      <c r="M3055" s="4">
        <f t="shared" si="141"/>
        <v>-0.01</v>
      </c>
      <c r="N3055" s="4">
        <f t="shared" si="142"/>
        <v>-13.59</v>
      </c>
      <c r="O3055" s="4">
        <f t="shared" si="143"/>
        <v>0</v>
      </c>
      <c r="P3055" s="3" t="s">
        <v>19</v>
      </c>
    </row>
    <row r="3056" spans="1:16" x14ac:dyDescent="0.35">
      <c r="A3056" s="3" t="s">
        <v>49</v>
      </c>
      <c r="B3056" s="3" t="str">
        <f>INDEX(State_Region!$B$2:$B$26,MATCH(TRIM(A3056),State_Region!$A$2:$A$26,0))</f>
        <v>North</v>
      </c>
      <c r="C3056" s="3" t="s">
        <v>302</v>
      </c>
      <c r="D3056" s="3" t="str">
        <f>INDEX(Port_Type!$B$2:$B$227,MATCH(TRIM(C3056),Port_Type!$A$2:$A$227,0))</f>
        <v>Inland ICD / CFS</v>
      </c>
      <c r="E3056" s="3" t="s">
        <v>39</v>
      </c>
      <c r="F3056" s="3" t="str">
        <f>INDEX(Product_Category!$B$2:$B$45,MATCH(TRIM(E3056),Product_Category!$A$2:$A$45,0))</f>
        <v>Processed Foods</v>
      </c>
      <c r="G3056" s="4">
        <v>0.02</v>
      </c>
      <c r="H3056" s="4">
        <v>0</v>
      </c>
      <c r="I3056" s="4">
        <v>0</v>
      </c>
      <c r="J3056" s="4">
        <v>6.03</v>
      </c>
      <c r="K3056" s="4">
        <v>0</v>
      </c>
      <c r="L3056" s="4">
        <v>0</v>
      </c>
      <c r="M3056" s="4">
        <f t="shared" si="141"/>
        <v>-0.02</v>
      </c>
      <c r="N3056" s="4">
        <f t="shared" si="142"/>
        <v>-6.03</v>
      </c>
      <c r="O3056" s="4">
        <f t="shared" si="143"/>
        <v>0</v>
      </c>
      <c r="P3056" s="3" t="s">
        <v>19</v>
      </c>
    </row>
    <row r="3057" spans="1:16" x14ac:dyDescent="0.35">
      <c r="A3057" s="3" t="s">
        <v>49</v>
      </c>
      <c r="B3057" s="3" t="str">
        <f>INDEX(State_Region!$B$2:$B$26,MATCH(TRIM(A3057),State_Region!$A$2:$A$26,0))</f>
        <v>North</v>
      </c>
      <c r="C3057" s="3" t="s">
        <v>302</v>
      </c>
      <c r="D3057" s="3" t="str">
        <f>INDEX(Port_Type!$B$2:$B$227,MATCH(TRIM(C3057),Port_Type!$A$2:$A$227,0))</f>
        <v>Inland ICD / CFS</v>
      </c>
      <c r="E3057" s="3" t="s">
        <v>45</v>
      </c>
      <c r="F3057" s="3" t="str">
        <f>INDEX(Product_Category!$B$2:$B$45,MATCH(TRIM(E3057),Product_Category!$A$2:$A$45,0))</f>
        <v>Fresh Fruits &amp; Vegetables</v>
      </c>
      <c r="G3057" s="4">
        <v>0</v>
      </c>
      <c r="H3057" s="4">
        <v>0</v>
      </c>
      <c r="I3057" s="4">
        <v>0</v>
      </c>
      <c r="J3057" s="4">
        <v>0.05</v>
      </c>
      <c r="K3057" s="4">
        <v>0</v>
      </c>
      <c r="L3057" s="4">
        <v>0</v>
      </c>
      <c r="M3057" s="4">
        <f t="shared" si="141"/>
        <v>0</v>
      </c>
      <c r="N3057" s="4">
        <f t="shared" si="142"/>
        <v>-0.05</v>
      </c>
      <c r="O3057" s="4">
        <f t="shared" si="143"/>
        <v>0</v>
      </c>
      <c r="P3057" s="3" t="s">
        <v>19</v>
      </c>
    </row>
    <row r="3058" spans="1:16" x14ac:dyDescent="0.35">
      <c r="A3058" s="3" t="s">
        <v>49</v>
      </c>
      <c r="B3058" s="3" t="str">
        <f>INDEX(State_Region!$B$2:$B$26,MATCH(TRIM(A3058),State_Region!$A$2:$A$26,0))</f>
        <v>North</v>
      </c>
      <c r="C3058" s="3" t="s">
        <v>302</v>
      </c>
      <c r="D3058" s="3" t="str">
        <f>INDEX(Port_Type!$B$2:$B$227,MATCH(TRIM(C3058),Port_Type!$A$2:$A$227,0))</f>
        <v>Inland ICD / CFS</v>
      </c>
      <c r="E3058" s="3" t="s">
        <v>54</v>
      </c>
      <c r="F3058" s="3" t="str">
        <f>INDEX(Product_Category!$B$2:$B$45,MATCH(TRIM(E3058),Product_Category!$A$2:$A$45,0))</f>
        <v>Processed Foods</v>
      </c>
      <c r="G3058" s="4">
        <v>0</v>
      </c>
      <c r="H3058" s="4">
        <v>0</v>
      </c>
      <c r="I3058" s="4">
        <v>0</v>
      </c>
      <c r="J3058" s="4">
        <v>0.42</v>
      </c>
      <c r="K3058" s="4">
        <v>0</v>
      </c>
      <c r="L3058" s="4">
        <v>0</v>
      </c>
      <c r="M3058" s="4">
        <f t="shared" si="141"/>
        <v>0</v>
      </c>
      <c r="N3058" s="4">
        <f t="shared" si="142"/>
        <v>-0.42</v>
      </c>
      <c r="O3058" s="4">
        <f t="shared" si="143"/>
        <v>0</v>
      </c>
      <c r="P3058" s="3" t="s">
        <v>19</v>
      </c>
    </row>
    <row r="3059" spans="1:16" x14ac:dyDescent="0.35">
      <c r="A3059" s="3" t="s">
        <v>49</v>
      </c>
      <c r="B3059" s="3" t="str">
        <f>INDEX(State_Region!$B$2:$B$26,MATCH(TRIM(A3059),State_Region!$A$2:$A$26,0))</f>
        <v>North</v>
      </c>
      <c r="C3059" s="3" t="s">
        <v>302</v>
      </c>
      <c r="D3059" s="3" t="str">
        <f>INDEX(Port_Type!$B$2:$B$227,MATCH(TRIM(C3059),Port_Type!$A$2:$A$227,0))</f>
        <v>Inland ICD / CFS</v>
      </c>
      <c r="E3059" s="3" t="s">
        <v>42</v>
      </c>
      <c r="F3059" s="3" t="str">
        <f>INDEX(Product_Category!$B$2:$B$45,MATCH(TRIM(E3059),Product_Category!$A$2:$A$45,0))</f>
        <v>Processed Foods</v>
      </c>
      <c r="G3059" s="4">
        <v>0.02</v>
      </c>
      <c r="H3059" s="4">
        <v>0</v>
      </c>
      <c r="I3059" s="4">
        <v>0</v>
      </c>
      <c r="J3059" s="4">
        <v>8.66</v>
      </c>
      <c r="K3059" s="4">
        <v>0</v>
      </c>
      <c r="L3059" s="4">
        <v>0</v>
      </c>
      <c r="M3059" s="4">
        <f t="shared" si="141"/>
        <v>-0.02</v>
      </c>
      <c r="N3059" s="4">
        <f t="shared" si="142"/>
        <v>-8.66</v>
      </c>
      <c r="O3059" s="4">
        <f t="shared" si="143"/>
        <v>0</v>
      </c>
      <c r="P3059" s="3" t="s">
        <v>19</v>
      </c>
    </row>
    <row r="3060" spans="1:16" x14ac:dyDescent="0.35">
      <c r="A3060" s="3" t="s">
        <v>49</v>
      </c>
      <c r="B3060" s="3" t="str">
        <f>INDEX(State_Region!$B$2:$B$26,MATCH(TRIM(A3060),State_Region!$A$2:$A$26,0))</f>
        <v>North</v>
      </c>
      <c r="C3060" s="3" t="s">
        <v>302</v>
      </c>
      <c r="D3060" s="3" t="str">
        <f>INDEX(Port_Type!$B$2:$B$227,MATCH(TRIM(C3060),Port_Type!$A$2:$A$227,0))</f>
        <v>Inland ICD / CFS</v>
      </c>
      <c r="E3060" s="3" t="s">
        <v>33</v>
      </c>
      <c r="F3060" s="3" t="str">
        <f>INDEX(Product_Category!$B$2:$B$45,MATCH(TRIM(E3060),Product_Category!$A$2:$A$45,0))</f>
        <v>Pulses</v>
      </c>
      <c r="G3060" s="4">
        <v>0.05</v>
      </c>
      <c r="H3060" s="4">
        <v>0</v>
      </c>
      <c r="I3060" s="4">
        <v>0</v>
      </c>
      <c r="J3060" s="4">
        <v>32.979999999999997</v>
      </c>
      <c r="K3060" s="4">
        <v>0</v>
      </c>
      <c r="L3060" s="4">
        <v>0</v>
      </c>
      <c r="M3060" s="4">
        <f t="shared" si="141"/>
        <v>-0.05</v>
      </c>
      <c r="N3060" s="4">
        <f t="shared" si="142"/>
        <v>-32.979999999999997</v>
      </c>
      <c r="O3060" s="4">
        <f t="shared" si="143"/>
        <v>0</v>
      </c>
      <c r="P3060" s="3" t="s">
        <v>19</v>
      </c>
    </row>
    <row r="3061" spans="1:16" x14ac:dyDescent="0.35">
      <c r="A3061" s="3" t="s">
        <v>20</v>
      </c>
      <c r="B3061" s="3" t="str">
        <f>INDEX(State_Region!$B$2:$B$26,MATCH(TRIM(A3061),State_Region!$A$2:$A$26,0))</f>
        <v>West</v>
      </c>
      <c r="C3061" s="3" t="s">
        <v>145</v>
      </c>
      <c r="D3061" s="3" t="str">
        <f>INDEX(Port_Type!$B$2:$B$227,MATCH(TRIM(C3061),Port_Type!$A$2:$A$227,0))</f>
        <v>Inland ICD / CFS</v>
      </c>
      <c r="E3061" s="3" t="s">
        <v>151</v>
      </c>
      <c r="F3061" s="3" t="str">
        <f>INDEX(Product_Category!$B$2:$B$45,MATCH(TRIM(E3061),Product_Category!$A$2:$A$45,0))</f>
        <v>Processed Foods</v>
      </c>
      <c r="G3061" s="4">
        <v>0</v>
      </c>
      <c r="H3061" s="4">
        <v>0.13</v>
      </c>
      <c r="I3061" s="4">
        <v>0</v>
      </c>
      <c r="J3061" s="4">
        <v>0</v>
      </c>
      <c r="K3061" s="4">
        <v>161.54</v>
      </c>
      <c r="L3061" s="4">
        <v>0</v>
      </c>
      <c r="M3061" s="4">
        <f t="shared" si="141"/>
        <v>0.13</v>
      </c>
      <c r="N3061" s="4">
        <f t="shared" si="142"/>
        <v>161.54</v>
      </c>
      <c r="O3061" s="4">
        <f t="shared" si="143"/>
        <v>-0.13</v>
      </c>
      <c r="P3061" s="3" t="s">
        <v>19</v>
      </c>
    </row>
    <row r="3062" spans="1:16" x14ac:dyDescent="0.35">
      <c r="A3062" s="3" t="s">
        <v>20</v>
      </c>
      <c r="B3062" s="3" t="str">
        <f>INDEX(State_Region!$B$2:$B$26,MATCH(TRIM(A3062),State_Region!$A$2:$A$26,0))</f>
        <v>West</v>
      </c>
      <c r="C3062" s="3" t="s">
        <v>145</v>
      </c>
      <c r="D3062" s="3" t="str">
        <f>INDEX(Port_Type!$B$2:$B$227,MATCH(TRIM(C3062),Port_Type!$A$2:$A$227,0))</f>
        <v>Inland ICD / CFS</v>
      </c>
      <c r="E3062" s="3" t="s">
        <v>53</v>
      </c>
      <c r="F3062" s="3" t="str">
        <f>INDEX(Product_Category!$B$2:$B$45,MATCH(TRIM(E3062),Product_Category!$A$2:$A$45,0))</f>
        <v>Processed Foods</v>
      </c>
      <c r="G3062" s="4">
        <v>0</v>
      </c>
      <c r="H3062" s="4">
        <v>0</v>
      </c>
      <c r="I3062" s="4">
        <v>0</v>
      </c>
      <c r="J3062" s="4">
        <v>0</v>
      </c>
      <c r="K3062" s="4">
        <v>0</v>
      </c>
      <c r="L3062" s="4">
        <v>0.05</v>
      </c>
      <c r="M3062" s="4">
        <f t="shared" si="141"/>
        <v>0</v>
      </c>
      <c r="N3062" s="4">
        <f t="shared" si="142"/>
        <v>0</v>
      </c>
      <c r="O3062" s="4">
        <f t="shared" si="143"/>
        <v>0</v>
      </c>
      <c r="P3062" s="3" t="s">
        <v>19</v>
      </c>
    </row>
    <row r="3063" spans="1:16" x14ac:dyDescent="0.35">
      <c r="A3063" s="3" t="s">
        <v>20</v>
      </c>
      <c r="B3063" s="3" t="str">
        <f>INDEX(State_Region!$B$2:$B$26,MATCH(TRIM(A3063),State_Region!$A$2:$A$26,0))</f>
        <v>West</v>
      </c>
      <c r="C3063" s="3" t="s">
        <v>145</v>
      </c>
      <c r="D3063" s="3" t="str">
        <f>INDEX(Port_Type!$B$2:$B$227,MATCH(TRIM(C3063),Port_Type!$A$2:$A$227,0))</f>
        <v>Inland ICD / CFS</v>
      </c>
      <c r="E3063" s="3" t="s">
        <v>46</v>
      </c>
      <c r="F3063" s="3" t="str">
        <f>INDEX(Product_Category!$B$2:$B$45,MATCH(TRIM(E3063),Product_Category!$A$2:$A$45,0))</f>
        <v>Others</v>
      </c>
      <c r="G3063" s="4">
        <v>0</v>
      </c>
      <c r="H3063" s="4">
        <v>0</v>
      </c>
      <c r="I3063" s="4">
        <v>0</v>
      </c>
      <c r="J3063" s="4">
        <v>0</v>
      </c>
      <c r="K3063" s="4">
        <v>0.06</v>
      </c>
      <c r="L3063" s="4">
        <v>0</v>
      </c>
      <c r="M3063" s="4">
        <f t="shared" si="141"/>
        <v>0</v>
      </c>
      <c r="N3063" s="4">
        <f t="shared" si="142"/>
        <v>0.06</v>
      </c>
      <c r="O3063" s="4">
        <f t="shared" si="143"/>
        <v>0</v>
      </c>
      <c r="P3063" s="3" t="s">
        <v>19</v>
      </c>
    </row>
    <row r="3064" spans="1:16" x14ac:dyDescent="0.35">
      <c r="A3064" s="3" t="s">
        <v>20</v>
      </c>
      <c r="B3064" s="3" t="str">
        <f>INDEX(State_Region!$B$2:$B$26,MATCH(TRIM(A3064),State_Region!$A$2:$A$26,0))</f>
        <v>West</v>
      </c>
      <c r="C3064" s="3" t="s">
        <v>145</v>
      </c>
      <c r="D3064" s="3" t="str">
        <f>INDEX(Port_Type!$B$2:$B$227,MATCH(TRIM(C3064),Port_Type!$A$2:$A$227,0))</f>
        <v>Inland ICD / CFS</v>
      </c>
      <c r="E3064" s="3" t="s">
        <v>122</v>
      </c>
      <c r="F3064" s="3" t="str">
        <f>INDEX(Product_Category!$B$2:$B$45,MATCH(TRIM(E3064),Product_Category!$A$2:$A$45,0))</f>
        <v>Others</v>
      </c>
      <c r="G3064" s="4">
        <v>0</v>
      </c>
      <c r="H3064" s="4">
        <v>0.02</v>
      </c>
      <c r="I3064" s="4">
        <v>0</v>
      </c>
      <c r="J3064" s="4">
        <v>0</v>
      </c>
      <c r="K3064" s="4">
        <v>23</v>
      </c>
      <c r="L3064" s="4">
        <v>0</v>
      </c>
      <c r="M3064" s="4">
        <f t="shared" si="141"/>
        <v>0.02</v>
      </c>
      <c r="N3064" s="4">
        <f t="shared" si="142"/>
        <v>23</v>
      </c>
      <c r="O3064" s="4">
        <f t="shared" si="143"/>
        <v>-0.02</v>
      </c>
      <c r="P3064" s="3" t="s">
        <v>19</v>
      </c>
    </row>
    <row r="3065" spans="1:16" x14ac:dyDescent="0.35">
      <c r="A3065" s="3" t="s">
        <v>49</v>
      </c>
      <c r="B3065" s="3" t="str">
        <f>INDEX(State_Region!$B$2:$B$26,MATCH(TRIM(A3065),State_Region!$A$2:$A$26,0))</f>
        <v>North</v>
      </c>
      <c r="C3065" s="3" t="s">
        <v>70</v>
      </c>
      <c r="D3065" s="3" t="str">
        <f>INDEX(Port_Type!$B$2:$B$227,MATCH(TRIM(C3065),Port_Type!$A$2:$A$227,0))</f>
        <v>Inland ICD / CFS</v>
      </c>
      <c r="E3065" s="3" t="s">
        <v>45</v>
      </c>
      <c r="F3065" s="3" t="str">
        <f>INDEX(Product_Category!$B$2:$B$45,MATCH(TRIM(E3065),Product_Category!$A$2:$A$45,0))</f>
        <v>Fresh Fruits &amp; Vegetables</v>
      </c>
      <c r="G3065" s="4">
        <v>0.02</v>
      </c>
      <c r="H3065" s="4">
        <v>0</v>
      </c>
      <c r="I3065" s="4">
        <v>0</v>
      </c>
      <c r="J3065" s="4">
        <v>4.33</v>
      </c>
      <c r="K3065" s="4">
        <v>0</v>
      </c>
      <c r="L3065" s="4">
        <v>0</v>
      </c>
      <c r="M3065" s="4">
        <f t="shared" si="141"/>
        <v>-0.02</v>
      </c>
      <c r="N3065" s="4">
        <f t="shared" si="142"/>
        <v>-4.33</v>
      </c>
      <c r="O3065" s="4">
        <f t="shared" si="143"/>
        <v>0</v>
      </c>
      <c r="P3065" s="3" t="s">
        <v>19</v>
      </c>
    </row>
    <row r="3066" spans="1:16" x14ac:dyDescent="0.35">
      <c r="A3066" s="3" t="s">
        <v>49</v>
      </c>
      <c r="B3066" s="3" t="str">
        <f>INDEX(State_Region!$B$2:$B$26,MATCH(TRIM(A3066),State_Region!$A$2:$A$26,0))</f>
        <v>North</v>
      </c>
      <c r="C3066" s="3" t="s">
        <v>70</v>
      </c>
      <c r="D3066" s="3" t="str">
        <f>INDEX(Port_Type!$B$2:$B$227,MATCH(TRIM(C3066),Port_Type!$A$2:$A$227,0))</f>
        <v>Inland ICD / CFS</v>
      </c>
      <c r="E3066" s="3" t="s">
        <v>54</v>
      </c>
      <c r="F3066" s="3" t="str">
        <f>INDEX(Product_Category!$B$2:$B$45,MATCH(TRIM(E3066),Product_Category!$A$2:$A$45,0))</f>
        <v>Processed Foods</v>
      </c>
      <c r="G3066" s="4">
        <v>0.02</v>
      </c>
      <c r="H3066" s="4">
        <v>0.04</v>
      </c>
      <c r="I3066" s="4">
        <v>0</v>
      </c>
      <c r="J3066" s="4">
        <v>6</v>
      </c>
      <c r="K3066" s="4">
        <v>14.14</v>
      </c>
      <c r="L3066" s="4">
        <v>0</v>
      </c>
      <c r="M3066" s="4">
        <f t="shared" si="141"/>
        <v>0.02</v>
      </c>
      <c r="N3066" s="4">
        <f t="shared" si="142"/>
        <v>8.14</v>
      </c>
      <c r="O3066" s="4">
        <f t="shared" si="143"/>
        <v>-0.04</v>
      </c>
      <c r="P3066" s="3" t="s">
        <v>19</v>
      </c>
    </row>
    <row r="3067" spans="1:16" x14ac:dyDescent="0.35">
      <c r="A3067" s="3" t="s">
        <v>20</v>
      </c>
      <c r="B3067" s="3" t="str">
        <f>INDEX(State_Region!$B$2:$B$26,MATCH(TRIM(A3067),State_Region!$A$2:$A$26,0))</f>
        <v>West</v>
      </c>
      <c r="C3067" s="3" t="s">
        <v>145</v>
      </c>
      <c r="D3067" s="3" t="str">
        <f>INDEX(Port_Type!$B$2:$B$227,MATCH(TRIM(C3067),Port_Type!$A$2:$A$227,0))</f>
        <v>Inland ICD / CFS</v>
      </c>
      <c r="E3067" s="3" t="s">
        <v>22</v>
      </c>
      <c r="F3067" s="3" t="str">
        <f>INDEX(Product_Category!$B$2:$B$45,MATCH(TRIM(E3067),Product_Category!$A$2:$A$45,0))</f>
        <v>Meat &amp; Animal Products</v>
      </c>
      <c r="G3067" s="4">
        <v>0</v>
      </c>
      <c r="H3067" s="4">
        <v>29.77</v>
      </c>
      <c r="I3067" s="4">
        <v>0</v>
      </c>
      <c r="J3067" s="4">
        <v>0</v>
      </c>
      <c r="K3067" s="4">
        <v>7459.42</v>
      </c>
      <c r="L3067" s="4">
        <v>0</v>
      </c>
      <c r="M3067" s="4">
        <f t="shared" si="141"/>
        <v>29.77</v>
      </c>
      <c r="N3067" s="4">
        <f t="shared" si="142"/>
        <v>7459.42</v>
      </c>
      <c r="O3067" s="4">
        <f t="shared" si="143"/>
        <v>-29.77</v>
      </c>
      <c r="P3067" s="3" t="s">
        <v>19</v>
      </c>
    </row>
    <row r="3068" spans="1:16" x14ac:dyDescent="0.35">
      <c r="A3068" s="3" t="s">
        <v>20</v>
      </c>
      <c r="B3068" s="3" t="str">
        <f>INDEX(State_Region!$B$2:$B$26,MATCH(TRIM(A3068),State_Region!$A$2:$A$26,0))</f>
        <v>West</v>
      </c>
      <c r="C3068" s="3" t="s">
        <v>145</v>
      </c>
      <c r="D3068" s="3" t="str">
        <f>INDEX(Port_Type!$B$2:$B$227,MATCH(TRIM(C3068),Port_Type!$A$2:$A$227,0))</f>
        <v>Inland ICD / CFS</v>
      </c>
      <c r="E3068" s="3" t="s">
        <v>125</v>
      </c>
      <c r="F3068" s="3" t="str">
        <f>INDEX(Product_Category!$B$2:$B$45,MATCH(TRIM(E3068),Product_Category!$A$2:$A$45,0))</f>
        <v>Meat &amp; Animal Products</v>
      </c>
      <c r="G3068" s="4">
        <v>0</v>
      </c>
      <c r="H3068" s="4">
        <v>7.0000000000000007E-2</v>
      </c>
      <c r="I3068" s="4">
        <v>0</v>
      </c>
      <c r="J3068" s="4">
        <v>0</v>
      </c>
      <c r="K3068" s="4">
        <v>38</v>
      </c>
      <c r="L3068" s="4">
        <v>0</v>
      </c>
      <c r="M3068" s="4">
        <f t="shared" si="141"/>
        <v>7.0000000000000007E-2</v>
      </c>
      <c r="N3068" s="4">
        <f t="shared" si="142"/>
        <v>38</v>
      </c>
      <c r="O3068" s="4">
        <f t="shared" si="143"/>
        <v>-7.0000000000000007E-2</v>
      </c>
      <c r="P3068" s="3" t="s">
        <v>19</v>
      </c>
    </row>
    <row r="3069" spans="1:16" x14ac:dyDescent="0.35">
      <c r="A3069" s="3" t="s">
        <v>49</v>
      </c>
      <c r="B3069" s="3" t="str">
        <f>INDEX(State_Region!$B$2:$B$26,MATCH(TRIM(A3069),State_Region!$A$2:$A$26,0))</f>
        <v>North</v>
      </c>
      <c r="C3069" s="3" t="s">
        <v>176</v>
      </c>
      <c r="D3069" s="3" t="str">
        <f>INDEX(Port_Type!$B$2:$B$227,MATCH(TRIM(C3069),Port_Type!$A$2:$A$227,0))</f>
        <v>Inland ICD / CFS</v>
      </c>
      <c r="E3069" s="3" t="s">
        <v>150</v>
      </c>
      <c r="F3069" s="3" t="str">
        <f>INDEX(Product_Category!$B$2:$B$45,MATCH(TRIM(E3069),Product_Category!$A$2:$A$45,0))</f>
        <v>Nuts &amp; Oilseeds</v>
      </c>
      <c r="G3069" s="4">
        <v>0</v>
      </c>
      <c r="H3069" s="4">
        <v>0</v>
      </c>
      <c r="I3069" s="4">
        <v>0</v>
      </c>
      <c r="J3069" s="4">
        <v>0</v>
      </c>
      <c r="K3069" s="4">
        <v>0.04</v>
      </c>
      <c r="L3069" s="4">
        <v>0</v>
      </c>
      <c r="M3069" s="4">
        <f t="shared" si="141"/>
        <v>0</v>
      </c>
      <c r="N3069" s="4">
        <f t="shared" si="142"/>
        <v>0.04</v>
      </c>
      <c r="O3069" s="4">
        <f t="shared" si="143"/>
        <v>0</v>
      </c>
      <c r="P3069" s="3" t="s">
        <v>19</v>
      </c>
    </row>
    <row r="3070" spans="1:16" x14ac:dyDescent="0.35">
      <c r="A3070" s="3" t="s">
        <v>20</v>
      </c>
      <c r="B3070" s="3" t="str">
        <f>INDEX(State_Region!$B$2:$B$26,MATCH(TRIM(A3070),State_Region!$A$2:$A$26,0))</f>
        <v>West</v>
      </c>
      <c r="C3070" s="3" t="s">
        <v>134</v>
      </c>
      <c r="D3070" s="3" t="str">
        <f>INDEX(Port_Type!$B$2:$B$227,MATCH(TRIM(C3070),Port_Type!$A$2:$A$227,0))</f>
        <v>Inland ICD / CFS</v>
      </c>
      <c r="E3070" s="3" t="s">
        <v>144</v>
      </c>
      <c r="F3070" s="3" t="str">
        <f>INDEX(Product_Category!$B$2:$B$45,MATCH(TRIM(E3070),Product_Category!$A$2:$A$45,0))</f>
        <v>Cereals &amp; Grains</v>
      </c>
      <c r="G3070" s="4">
        <v>0</v>
      </c>
      <c r="H3070" s="4">
        <v>0</v>
      </c>
      <c r="I3070" s="4">
        <v>0</v>
      </c>
      <c r="J3070" s="4">
        <v>0</v>
      </c>
      <c r="K3070" s="4">
        <v>0.61</v>
      </c>
      <c r="L3070" s="4">
        <v>0</v>
      </c>
      <c r="M3070" s="4">
        <f t="shared" si="141"/>
        <v>0</v>
      </c>
      <c r="N3070" s="4">
        <f t="shared" si="142"/>
        <v>0.61</v>
      </c>
      <c r="O3070" s="4">
        <f t="shared" si="143"/>
        <v>0</v>
      </c>
      <c r="P3070" s="3" t="s">
        <v>19</v>
      </c>
    </row>
    <row r="3071" spans="1:16" x14ac:dyDescent="0.35">
      <c r="A3071" s="3" t="s">
        <v>49</v>
      </c>
      <c r="B3071" s="3" t="str">
        <f>INDEX(State_Region!$B$2:$B$26,MATCH(TRIM(A3071),State_Region!$A$2:$A$26,0))</f>
        <v>North</v>
      </c>
      <c r="C3071" s="3" t="s">
        <v>176</v>
      </c>
      <c r="D3071" s="3" t="str">
        <f>INDEX(Port_Type!$B$2:$B$227,MATCH(TRIM(C3071),Port_Type!$A$2:$A$227,0))</f>
        <v>Inland ICD / CFS</v>
      </c>
      <c r="E3071" s="3" t="s">
        <v>122</v>
      </c>
      <c r="F3071" s="3" t="str">
        <f>INDEX(Product_Category!$B$2:$B$45,MATCH(TRIM(E3071),Product_Category!$A$2:$A$45,0))</f>
        <v>Others</v>
      </c>
      <c r="G3071" s="4">
        <v>0.01</v>
      </c>
      <c r="H3071" s="4">
        <v>0</v>
      </c>
      <c r="I3071" s="4">
        <v>0</v>
      </c>
      <c r="J3071" s="4">
        <v>0.63</v>
      </c>
      <c r="K3071" s="4">
        <v>0</v>
      </c>
      <c r="L3071" s="4">
        <v>0</v>
      </c>
      <c r="M3071" s="4">
        <f t="shared" si="141"/>
        <v>-0.01</v>
      </c>
      <c r="N3071" s="4">
        <f t="shared" si="142"/>
        <v>-0.63</v>
      </c>
      <c r="O3071" s="4">
        <f t="shared" si="143"/>
        <v>0</v>
      </c>
      <c r="P3071" s="3" t="s">
        <v>19</v>
      </c>
    </row>
    <row r="3072" spans="1:16" x14ac:dyDescent="0.35">
      <c r="A3072" s="3" t="s">
        <v>49</v>
      </c>
      <c r="B3072" s="3" t="str">
        <f>INDEX(State_Region!$B$2:$B$26,MATCH(TRIM(A3072),State_Region!$A$2:$A$26,0))</f>
        <v>North</v>
      </c>
      <c r="C3072" s="3" t="s">
        <v>176</v>
      </c>
      <c r="D3072" s="3" t="str">
        <f>INDEX(Port_Type!$B$2:$B$227,MATCH(TRIM(C3072),Port_Type!$A$2:$A$227,0))</f>
        <v>Inland ICD / CFS</v>
      </c>
      <c r="E3072" s="3" t="s">
        <v>55</v>
      </c>
      <c r="F3072" s="3" t="str">
        <f>INDEX(Product_Category!$B$2:$B$45,MATCH(TRIM(E3072),Product_Category!$A$2:$A$45,0))</f>
        <v>Fresh Fruits &amp; Vegetables</v>
      </c>
      <c r="G3072" s="4">
        <v>0</v>
      </c>
      <c r="H3072" s="4">
        <v>0</v>
      </c>
      <c r="I3072" s="4">
        <v>0</v>
      </c>
      <c r="J3072" s="4">
        <v>0</v>
      </c>
      <c r="K3072" s="4">
        <v>2.13</v>
      </c>
      <c r="L3072" s="4">
        <v>0</v>
      </c>
      <c r="M3072" s="4">
        <f t="shared" si="141"/>
        <v>0</v>
      </c>
      <c r="N3072" s="4">
        <f t="shared" si="142"/>
        <v>2.13</v>
      </c>
      <c r="O3072" s="4">
        <f t="shared" si="143"/>
        <v>0</v>
      </c>
      <c r="P3072" s="3" t="s">
        <v>19</v>
      </c>
    </row>
    <row r="3073" spans="1:16" x14ac:dyDescent="0.35">
      <c r="A3073" s="3" t="s">
        <v>20</v>
      </c>
      <c r="B3073" s="3" t="str">
        <f>INDEX(State_Region!$B$2:$B$26,MATCH(TRIM(A3073),State_Region!$A$2:$A$26,0))</f>
        <v>West</v>
      </c>
      <c r="C3073" s="3" t="s">
        <v>134</v>
      </c>
      <c r="D3073" s="3" t="str">
        <f>INDEX(Port_Type!$B$2:$B$227,MATCH(TRIM(C3073),Port_Type!$A$2:$A$227,0))</f>
        <v>Inland ICD / CFS</v>
      </c>
      <c r="E3073" s="3" t="s">
        <v>69</v>
      </c>
      <c r="F3073" s="3" t="str">
        <f>INDEX(Product_Category!$B$2:$B$45,MATCH(TRIM(E3073),Product_Category!$A$2:$A$45,0))</f>
        <v>Others</v>
      </c>
      <c r="G3073" s="4">
        <v>0</v>
      </c>
      <c r="H3073" s="4">
        <v>0</v>
      </c>
      <c r="I3073" s="4">
        <v>0</v>
      </c>
      <c r="J3073" s="4">
        <v>0</v>
      </c>
      <c r="K3073" s="4">
        <v>0</v>
      </c>
      <c r="L3073" s="4">
        <v>0.01</v>
      </c>
      <c r="M3073" s="4">
        <f t="shared" si="141"/>
        <v>0</v>
      </c>
      <c r="N3073" s="4">
        <f t="shared" si="142"/>
        <v>0</v>
      </c>
      <c r="O3073" s="4">
        <f t="shared" si="143"/>
        <v>0</v>
      </c>
      <c r="P3073" s="3" t="s">
        <v>19</v>
      </c>
    </row>
    <row r="3074" spans="1:16" x14ac:dyDescent="0.35">
      <c r="A3074" s="3" t="s">
        <v>20</v>
      </c>
      <c r="B3074" s="3" t="str">
        <f>INDEX(State_Region!$B$2:$B$26,MATCH(TRIM(A3074),State_Region!$A$2:$A$26,0))</f>
        <v>West</v>
      </c>
      <c r="C3074" s="3" t="s">
        <v>134</v>
      </c>
      <c r="D3074" s="3" t="str">
        <f>INDEX(Port_Type!$B$2:$B$227,MATCH(TRIM(C3074),Port_Type!$A$2:$A$227,0))</f>
        <v>Inland ICD / CFS</v>
      </c>
      <c r="E3074" s="3" t="s">
        <v>76</v>
      </c>
      <c r="F3074" s="3" t="str">
        <f>INDEX(Product_Category!$B$2:$B$45,MATCH(TRIM(E3074),Product_Category!$A$2:$A$45,0))</f>
        <v>Fresh Fruits &amp; Vegetables</v>
      </c>
      <c r="G3074" s="4">
        <v>0</v>
      </c>
      <c r="H3074" s="4">
        <v>0.04</v>
      </c>
      <c r="I3074" s="4">
        <v>0</v>
      </c>
      <c r="J3074" s="4">
        <v>0</v>
      </c>
      <c r="K3074" s="4">
        <v>26.75</v>
      </c>
      <c r="L3074" s="4">
        <v>0</v>
      </c>
      <c r="M3074" s="4">
        <f t="shared" ref="M3074:M3137" si="144">H3074-G3074</f>
        <v>0.04</v>
      </c>
      <c r="N3074" s="4">
        <f t="shared" ref="N3074:N3137" si="145">K3074-J3074</f>
        <v>26.75</v>
      </c>
      <c r="O3074" s="4">
        <f t="shared" ref="O3074:O3137" si="146">I3074-H3074</f>
        <v>-0.04</v>
      </c>
      <c r="P3074" s="3" t="s">
        <v>19</v>
      </c>
    </row>
    <row r="3075" spans="1:16" x14ac:dyDescent="0.35">
      <c r="A3075" s="3" t="s">
        <v>20</v>
      </c>
      <c r="B3075" s="3" t="str">
        <f>INDEX(State_Region!$B$2:$B$26,MATCH(TRIM(A3075),State_Region!$A$2:$A$26,0))</f>
        <v>West</v>
      </c>
      <c r="C3075" s="3" t="s">
        <v>56</v>
      </c>
      <c r="D3075" s="3" t="str">
        <f>INDEX(Port_Type!$B$2:$B$227,MATCH(TRIM(C3075),Port_Type!$A$2:$A$227,0))</f>
        <v>Inland ICD / CFS</v>
      </c>
      <c r="E3075" s="3" t="s">
        <v>45</v>
      </c>
      <c r="F3075" s="3" t="str">
        <f>INDEX(Product_Category!$B$2:$B$45,MATCH(TRIM(E3075),Product_Category!$A$2:$A$45,0))</f>
        <v>Fresh Fruits &amp; Vegetables</v>
      </c>
      <c r="G3075" s="4">
        <v>0</v>
      </c>
      <c r="H3075" s="4">
        <v>7.0000000000000007E-2</v>
      </c>
      <c r="I3075" s="4">
        <v>0</v>
      </c>
      <c r="J3075" s="4">
        <v>0.54</v>
      </c>
      <c r="K3075" s="4">
        <v>16.91</v>
      </c>
      <c r="L3075" s="4">
        <v>0</v>
      </c>
      <c r="M3075" s="4">
        <f t="shared" si="144"/>
        <v>7.0000000000000007E-2</v>
      </c>
      <c r="N3075" s="4">
        <f t="shared" si="145"/>
        <v>16.37</v>
      </c>
      <c r="O3075" s="4">
        <f t="shared" si="146"/>
        <v>-7.0000000000000007E-2</v>
      </c>
      <c r="P3075" s="3" t="s">
        <v>19</v>
      </c>
    </row>
    <row r="3076" spans="1:16" x14ac:dyDescent="0.35">
      <c r="A3076" s="3" t="s">
        <v>20</v>
      </c>
      <c r="B3076" s="3" t="str">
        <f>INDEX(State_Region!$B$2:$B$26,MATCH(TRIM(A3076),State_Region!$A$2:$A$26,0))</f>
        <v>West</v>
      </c>
      <c r="C3076" s="3" t="s">
        <v>56</v>
      </c>
      <c r="D3076" s="3" t="str">
        <f>INDEX(Port_Type!$B$2:$B$227,MATCH(TRIM(C3076),Port_Type!$A$2:$A$227,0))</f>
        <v>Inland ICD / CFS</v>
      </c>
      <c r="E3076" s="3" t="s">
        <v>118</v>
      </c>
      <c r="F3076" s="3" t="str">
        <f>INDEX(Product_Category!$B$2:$B$45,MATCH(TRIM(E3076),Product_Category!$A$2:$A$45,0))</f>
        <v>Dairy, Poultry &amp; Honey</v>
      </c>
      <c r="G3076" s="4">
        <v>0</v>
      </c>
      <c r="H3076" s="4">
        <v>0</v>
      </c>
      <c r="I3076" s="4">
        <v>0</v>
      </c>
      <c r="J3076" s="4">
        <v>0.02</v>
      </c>
      <c r="K3076" s="4">
        <v>0</v>
      </c>
      <c r="L3076" s="4">
        <v>0</v>
      </c>
      <c r="M3076" s="4">
        <f t="shared" si="144"/>
        <v>0</v>
      </c>
      <c r="N3076" s="4">
        <f t="shared" si="145"/>
        <v>-0.02</v>
      </c>
      <c r="O3076" s="4">
        <f t="shared" si="146"/>
        <v>0</v>
      </c>
      <c r="P3076" s="3" t="s">
        <v>19</v>
      </c>
    </row>
    <row r="3077" spans="1:16" x14ac:dyDescent="0.35">
      <c r="A3077" s="3" t="s">
        <v>20</v>
      </c>
      <c r="B3077" s="3" t="str">
        <f>INDEX(State_Region!$B$2:$B$26,MATCH(TRIM(A3077),State_Region!$A$2:$A$26,0))</f>
        <v>West</v>
      </c>
      <c r="C3077" s="3" t="s">
        <v>56</v>
      </c>
      <c r="D3077" s="3" t="str">
        <f>INDEX(Port_Type!$B$2:$B$227,MATCH(TRIM(C3077),Port_Type!$A$2:$A$227,0))</f>
        <v>Inland ICD / CFS</v>
      </c>
      <c r="E3077" s="3" t="s">
        <v>144</v>
      </c>
      <c r="F3077" s="3" t="str">
        <f>INDEX(Product_Category!$B$2:$B$45,MATCH(TRIM(E3077),Product_Category!$A$2:$A$45,0))</f>
        <v>Cereals &amp; Grains</v>
      </c>
      <c r="G3077" s="4">
        <v>0.01</v>
      </c>
      <c r="H3077" s="4">
        <v>0</v>
      </c>
      <c r="I3077" s="4">
        <v>0</v>
      </c>
      <c r="J3077" s="4">
        <v>21.75</v>
      </c>
      <c r="K3077" s="4">
        <v>0</v>
      </c>
      <c r="L3077" s="4">
        <v>0</v>
      </c>
      <c r="M3077" s="4">
        <f t="shared" si="144"/>
        <v>-0.01</v>
      </c>
      <c r="N3077" s="4">
        <f t="shared" si="145"/>
        <v>-21.75</v>
      </c>
      <c r="O3077" s="4">
        <f t="shared" si="146"/>
        <v>0</v>
      </c>
      <c r="P3077" s="3" t="s">
        <v>19</v>
      </c>
    </row>
    <row r="3078" spans="1:16" x14ac:dyDescent="0.35">
      <c r="A3078" s="3" t="s">
        <v>49</v>
      </c>
      <c r="B3078" s="3" t="str">
        <f>INDEX(State_Region!$B$2:$B$26,MATCH(TRIM(A3078),State_Region!$A$2:$A$26,0))</f>
        <v>North</v>
      </c>
      <c r="C3078" s="3" t="s">
        <v>176</v>
      </c>
      <c r="D3078" s="3" t="str">
        <f>INDEX(Port_Type!$B$2:$B$227,MATCH(TRIM(C3078),Port_Type!$A$2:$A$227,0))</f>
        <v>Inland ICD / CFS</v>
      </c>
      <c r="E3078" s="3" t="s">
        <v>102</v>
      </c>
      <c r="F3078" s="3" t="str">
        <f>INDEX(Product_Category!$B$2:$B$45,MATCH(TRIM(E3078),Product_Category!$A$2:$A$45,0))</f>
        <v>Fresh Fruits &amp; Vegetables</v>
      </c>
      <c r="G3078" s="4">
        <v>0</v>
      </c>
      <c r="H3078" s="4">
        <v>0.01</v>
      </c>
      <c r="I3078" s="4">
        <v>0</v>
      </c>
      <c r="J3078" s="4">
        <v>0.01</v>
      </c>
      <c r="K3078" s="4">
        <v>0.89</v>
      </c>
      <c r="L3078" s="4">
        <v>0</v>
      </c>
      <c r="M3078" s="4">
        <f t="shared" si="144"/>
        <v>0.01</v>
      </c>
      <c r="N3078" s="4">
        <f t="shared" si="145"/>
        <v>0.88</v>
      </c>
      <c r="O3078" s="4">
        <f t="shared" si="146"/>
        <v>-0.01</v>
      </c>
      <c r="P3078" s="3" t="s">
        <v>19</v>
      </c>
    </row>
    <row r="3079" spans="1:16" x14ac:dyDescent="0.35">
      <c r="A3079" s="3" t="s">
        <v>49</v>
      </c>
      <c r="B3079" s="3" t="str">
        <f>INDEX(State_Region!$B$2:$B$26,MATCH(TRIM(A3079),State_Region!$A$2:$A$26,0))</f>
        <v>North</v>
      </c>
      <c r="C3079" s="3" t="s">
        <v>176</v>
      </c>
      <c r="D3079" s="3" t="str">
        <f>INDEX(Port_Type!$B$2:$B$227,MATCH(TRIM(C3079),Port_Type!$A$2:$A$227,0))</f>
        <v>Inland ICD / CFS</v>
      </c>
      <c r="E3079" s="3" t="s">
        <v>116</v>
      </c>
      <c r="F3079" s="3" t="str">
        <f>INDEX(Product_Category!$B$2:$B$45,MATCH(TRIM(E3079),Product_Category!$A$2:$A$45,0))</f>
        <v>Others</v>
      </c>
      <c r="G3079" s="4">
        <v>0.06</v>
      </c>
      <c r="H3079" s="4">
        <v>0</v>
      </c>
      <c r="I3079" s="4">
        <v>0</v>
      </c>
      <c r="J3079" s="4">
        <v>182.67</v>
      </c>
      <c r="K3079" s="4">
        <v>0</v>
      </c>
      <c r="L3079" s="4">
        <v>0</v>
      </c>
      <c r="M3079" s="4">
        <f t="shared" si="144"/>
        <v>-0.06</v>
      </c>
      <c r="N3079" s="4">
        <f t="shared" si="145"/>
        <v>-182.67</v>
      </c>
      <c r="O3079" s="4">
        <f t="shared" si="146"/>
        <v>0</v>
      </c>
      <c r="P3079" s="3" t="s">
        <v>19</v>
      </c>
    </row>
    <row r="3080" spans="1:16" x14ac:dyDescent="0.35">
      <c r="A3080" s="3" t="s">
        <v>20</v>
      </c>
      <c r="B3080" s="3" t="str">
        <f>INDEX(State_Region!$B$2:$B$26,MATCH(TRIM(A3080),State_Region!$A$2:$A$26,0))</f>
        <v>West</v>
      </c>
      <c r="C3080" s="3" t="s">
        <v>56</v>
      </c>
      <c r="D3080" s="3" t="str">
        <f>INDEX(Port_Type!$B$2:$B$227,MATCH(TRIM(C3080),Port_Type!$A$2:$A$227,0))</f>
        <v>Inland ICD / CFS</v>
      </c>
      <c r="E3080" s="3" t="s">
        <v>65</v>
      </c>
      <c r="F3080" s="3" t="str">
        <f>INDEX(Product_Category!$B$2:$B$45,MATCH(TRIM(E3080),Product_Category!$A$2:$A$45,0))</f>
        <v>Cereals &amp; Grains</v>
      </c>
      <c r="G3080" s="4">
        <v>0.01</v>
      </c>
      <c r="H3080" s="4">
        <v>0.02</v>
      </c>
      <c r="I3080" s="4">
        <v>0</v>
      </c>
      <c r="J3080" s="4">
        <v>31.54</v>
      </c>
      <c r="K3080" s="4">
        <v>49.88</v>
      </c>
      <c r="L3080" s="4">
        <v>0</v>
      </c>
      <c r="M3080" s="4">
        <f t="shared" si="144"/>
        <v>0.01</v>
      </c>
      <c r="N3080" s="4">
        <f t="shared" si="145"/>
        <v>18.340000000000003</v>
      </c>
      <c r="O3080" s="4">
        <f t="shared" si="146"/>
        <v>-0.02</v>
      </c>
      <c r="P3080" s="3" t="s">
        <v>19</v>
      </c>
    </row>
    <row r="3081" spans="1:16" x14ac:dyDescent="0.35">
      <c r="A3081" s="3" t="s">
        <v>20</v>
      </c>
      <c r="B3081" s="3" t="str">
        <f>INDEX(State_Region!$B$2:$B$26,MATCH(TRIM(A3081),State_Region!$A$2:$A$26,0))</f>
        <v>West</v>
      </c>
      <c r="C3081" s="3" t="s">
        <v>56</v>
      </c>
      <c r="D3081" s="3" t="str">
        <f>INDEX(Port_Type!$B$2:$B$227,MATCH(TRIM(C3081),Port_Type!$A$2:$A$227,0))</f>
        <v>Inland ICD / CFS</v>
      </c>
      <c r="E3081" s="3" t="s">
        <v>151</v>
      </c>
      <c r="F3081" s="3" t="str">
        <f>INDEX(Product_Category!$B$2:$B$45,MATCH(TRIM(E3081),Product_Category!$A$2:$A$45,0))</f>
        <v>Processed Foods</v>
      </c>
      <c r="G3081" s="4">
        <v>0</v>
      </c>
      <c r="H3081" s="4">
        <v>0.01</v>
      </c>
      <c r="I3081" s="4">
        <v>0</v>
      </c>
      <c r="J3081" s="4">
        <v>0</v>
      </c>
      <c r="K3081" s="4">
        <v>0.21</v>
      </c>
      <c r="L3081" s="4">
        <v>0</v>
      </c>
      <c r="M3081" s="4">
        <f t="shared" si="144"/>
        <v>0.01</v>
      </c>
      <c r="N3081" s="4">
        <f t="shared" si="145"/>
        <v>0.21</v>
      </c>
      <c r="O3081" s="4">
        <f t="shared" si="146"/>
        <v>-0.01</v>
      </c>
      <c r="P3081" s="3" t="s">
        <v>19</v>
      </c>
    </row>
    <row r="3082" spans="1:16" x14ac:dyDescent="0.35">
      <c r="A3082" s="3" t="s">
        <v>49</v>
      </c>
      <c r="B3082" s="3" t="str">
        <f>INDEX(State_Region!$B$2:$B$26,MATCH(TRIM(A3082),State_Region!$A$2:$A$26,0))</f>
        <v>North</v>
      </c>
      <c r="C3082" s="3" t="s">
        <v>176</v>
      </c>
      <c r="D3082" s="3" t="str">
        <f>INDEX(Port_Type!$B$2:$B$227,MATCH(TRIM(C3082),Port_Type!$A$2:$A$227,0))</f>
        <v>Inland ICD / CFS</v>
      </c>
      <c r="E3082" s="3" t="s">
        <v>181</v>
      </c>
      <c r="F3082" s="3" t="str">
        <f>INDEX(Product_Category!$B$2:$B$45,MATCH(TRIM(E3082),Product_Category!$A$2:$A$45,0))</f>
        <v>Nuts &amp; Oilseeds</v>
      </c>
      <c r="G3082" s="4">
        <v>0</v>
      </c>
      <c r="H3082" s="4">
        <v>0</v>
      </c>
      <c r="I3082" s="4">
        <v>0</v>
      </c>
      <c r="J3082" s="4">
        <v>0</v>
      </c>
      <c r="K3082" s="4">
        <v>0.01</v>
      </c>
      <c r="L3082" s="4">
        <v>0</v>
      </c>
      <c r="M3082" s="4">
        <f t="shared" si="144"/>
        <v>0</v>
      </c>
      <c r="N3082" s="4">
        <f t="shared" si="145"/>
        <v>0.01</v>
      </c>
      <c r="O3082" s="4">
        <f t="shared" si="146"/>
        <v>0</v>
      </c>
      <c r="P3082" s="3" t="s">
        <v>19</v>
      </c>
    </row>
    <row r="3083" spans="1:16" x14ac:dyDescent="0.35">
      <c r="A3083" s="3" t="s">
        <v>20</v>
      </c>
      <c r="B3083" s="3" t="str">
        <f>INDEX(State_Region!$B$2:$B$26,MATCH(TRIM(A3083),State_Region!$A$2:$A$26,0))</f>
        <v>West</v>
      </c>
      <c r="C3083" s="3" t="s">
        <v>56</v>
      </c>
      <c r="D3083" s="3" t="str">
        <f>INDEX(Port_Type!$B$2:$B$227,MATCH(TRIM(C3083),Port_Type!$A$2:$A$227,0))</f>
        <v>Inland ICD / CFS</v>
      </c>
      <c r="E3083" s="3" t="s">
        <v>69</v>
      </c>
      <c r="F3083" s="3" t="str">
        <f>INDEX(Product_Category!$B$2:$B$45,MATCH(TRIM(E3083),Product_Category!$A$2:$A$45,0))</f>
        <v>Others</v>
      </c>
      <c r="G3083" s="4">
        <v>0.02</v>
      </c>
      <c r="H3083" s="4">
        <v>0</v>
      </c>
      <c r="I3083" s="4">
        <v>0</v>
      </c>
      <c r="J3083" s="4">
        <v>7</v>
      </c>
      <c r="K3083" s="4">
        <v>0</v>
      </c>
      <c r="L3083" s="4">
        <v>0</v>
      </c>
      <c r="M3083" s="4">
        <f t="shared" si="144"/>
        <v>-0.02</v>
      </c>
      <c r="N3083" s="4">
        <f t="shared" si="145"/>
        <v>-7</v>
      </c>
      <c r="O3083" s="4">
        <f t="shared" si="146"/>
        <v>0</v>
      </c>
      <c r="P3083" s="3" t="s">
        <v>19</v>
      </c>
    </row>
    <row r="3084" spans="1:16" x14ac:dyDescent="0.35">
      <c r="A3084" s="3" t="s">
        <v>49</v>
      </c>
      <c r="B3084" s="3" t="str">
        <f>INDEX(State_Region!$B$2:$B$26,MATCH(TRIM(A3084),State_Region!$A$2:$A$26,0))</f>
        <v>North</v>
      </c>
      <c r="C3084" s="3" t="s">
        <v>158</v>
      </c>
      <c r="D3084" s="3" t="str">
        <f>INDEX(Port_Type!$B$2:$B$227,MATCH(TRIM(C3084),Port_Type!$A$2:$A$227,0))</f>
        <v>Inland ICD / CFS</v>
      </c>
      <c r="E3084" s="3" t="s">
        <v>53</v>
      </c>
      <c r="F3084" s="3" t="str">
        <f>INDEX(Product_Category!$B$2:$B$45,MATCH(TRIM(E3084),Product_Category!$A$2:$A$45,0))</f>
        <v>Processed Foods</v>
      </c>
      <c r="G3084" s="4">
        <v>0.02</v>
      </c>
      <c r="H3084" s="4">
        <v>0</v>
      </c>
      <c r="I3084" s="4">
        <v>0</v>
      </c>
      <c r="J3084" s="4">
        <v>25</v>
      </c>
      <c r="K3084" s="4">
        <v>0</v>
      </c>
      <c r="L3084" s="4">
        <v>0</v>
      </c>
      <c r="M3084" s="4">
        <f t="shared" si="144"/>
        <v>-0.02</v>
      </c>
      <c r="N3084" s="4">
        <f t="shared" si="145"/>
        <v>-25</v>
      </c>
      <c r="O3084" s="4">
        <f t="shared" si="146"/>
        <v>0</v>
      </c>
      <c r="P3084" s="3" t="s">
        <v>19</v>
      </c>
    </row>
    <row r="3085" spans="1:16" x14ac:dyDescent="0.35">
      <c r="A3085" s="3" t="s">
        <v>20</v>
      </c>
      <c r="B3085" s="3" t="str">
        <f>INDEX(State_Region!$B$2:$B$26,MATCH(TRIM(A3085),State_Region!$A$2:$A$26,0))</f>
        <v>West</v>
      </c>
      <c r="C3085" s="3" t="s">
        <v>56</v>
      </c>
      <c r="D3085" s="3" t="str">
        <f>INDEX(Port_Type!$B$2:$B$227,MATCH(TRIM(C3085),Port_Type!$A$2:$A$227,0))</f>
        <v>Inland ICD / CFS</v>
      </c>
      <c r="E3085" s="3" t="s">
        <v>59</v>
      </c>
      <c r="F3085" s="3" t="str">
        <f>INDEX(Product_Category!$B$2:$B$45,MATCH(TRIM(E3085),Product_Category!$A$2:$A$45,0))</f>
        <v>Processed Foods</v>
      </c>
      <c r="G3085" s="4">
        <v>0.15</v>
      </c>
      <c r="H3085" s="4">
        <v>0</v>
      </c>
      <c r="I3085" s="4">
        <v>0</v>
      </c>
      <c r="J3085" s="4">
        <v>24.48</v>
      </c>
      <c r="K3085" s="4">
        <v>0.01</v>
      </c>
      <c r="L3085" s="4">
        <v>0</v>
      </c>
      <c r="M3085" s="4">
        <f t="shared" si="144"/>
        <v>-0.15</v>
      </c>
      <c r="N3085" s="4">
        <f t="shared" si="145"/>
        <v>-24.47</v>
      </c>
      <c r="O3085" s="4">
        <f t="shared" si="146"/>
        <v>0</v>
      </c>
      <c r="P3085" s="3" t="s">
        <v>19</v>
      </c>
    </row>
    <row r="3086" spans="1:16" x14ac:dyDescent="0.35">
      <c r="A3086" s="3" t="s">
        <v>20</v>
      </c>
      <c r="B3086" s="3" t="str">
        <f>INDEX(State_Region!$B$2:$B$26,MATCH(TRIM(A3086),State_Region!$A$2:$A$26,0))</f>
        <v>West</v>
      </c>
      <c r="C3086" s="3" t="s">
        <v>56</v>
      </c>
      <c r="D3086" s="3" t="str">
        <f>INDEX(Port_Type!$B$2:$B$227,MATCH(TRIM(C3086),Port_Type!$A$2:$A$227,0))</f>
        <v>Inland ICD / CFS</v>
      </c>
      <c r="E3086" s="3" t="s">
        <v>114</v>
      </c>
      <c r="F3086" s="3" t="str">
        <f>INDEX(Product_Category!$B$2:$B$45,MATCH(TRIM(E3086),Product_Category!$A$2:$A$45,0))</f>
        <v>Dairy, Poultry &amp; Honey</v>
      </c>
      <c r="G3086" s="4">
        <v>0</v>
      </c>
      <c r="H3086" s="4">
        <v>0.03</v>
      </c>
      <c r="I3086" s="4">
        <v>0</v>
      </c>
      <c r="J3086" s="4">
        <v>0</v>
      </c>
      <c r="K3086" s="4">
        <v>2.52</v>
      </c>
      <c r="L3086" s="4">
        <v>0</v>
      </c>
      <c r="M3086" s="4">
        <f t="shared" si="144"/>
        <v>0.03</v>
      </c>
      <c r="N3086" s="4">
        <f t="shared" si="145"/>
        <v>2.52</v>
      </c>
      <c r="O3086" s="4">
        <f t="shared" si="146"/>
        <v>-0.03</v>
      </c>
      <c r="P3086" s="3" t="s">
        <v>19</v>
      </c>
    </row>
    <row r="3087" spans="1:16" x14ac:dyDescent="0.35">
      <c r="A3087" s="3" t="s">
        <v>20</v>
      </c>
      <c r="B3087" s="3" t="str">
        <f>INDEX(State_Region!$B$2:$B$26,MATCH(TRIM(A3087),State_Region!$A$2:$A$26,0))</f>
        <v>West</v>
      </c>
      <c r="C3087" s="3" t="s">
        <v>154</v>
      </c>
      <c r="D3087" s="3" t="str">
        <f>INDEX(Port_Type!$B$2:$B$227,MATCH(TRIM(C3087),Port_Type!$A$2:$A$227,0))</f>
        <v>Inland ICD / CFS</v>
      </c>
      <c r="E3087" s="3" t="s">
        <v>53</v>
      </c>
      <c r="F3087" s="3" t="str">
        <f>INDEX(Product_Category!$B$2:$B$45,MATCH(TRIM(E3087),Product_Category!$A$2:$A$45,0))</f>
        <v>Processed Foods</v>
      </c>
      <c r="G3087" s="4">
        <v>0.3</v>
      </c>
      <c r="H3087" s="4">
        <v>0</v>
      </c>
      <c r="I3087" s="4">
        <v>0</v>
      </c>
      <c r="J3087" s="4">
        <v>15.07</v>
      </c>
      <c r="K3087" s="4">
        <v>0</v>
      </c>
      <c r="L3087" s="4">
        <v>0</v>
      </c>
      <c r="M3087" s="4">
        <f t="shared" si="144"/>
        <v>-0.3</v>
      </c>
      <c r="N3087" s="4">
        <f t="shared" si="145"/>
        <v>-15.07</v>
      </c>
      <c r="O3087" s="4">
        <f t="shared" si="146"/>
        <v>0</v>
      </c>
      <c r="P3087" s="3" t="s">
        <v>19</v>
      </c>
    </row>
    <row r="3088" spans="1:16" x14ac:dyDescent="0.35">
      <c r="A3088" s="3" t="s">
        <v>20</v>
      </c>
      <c r="B3088" s="3" t="str">
        <f>INDEX(State_Region!$B$2:$B$26,MATCH(TRIM(A3088),State_Region!$A$2:$A$26,0))</f>
        <v>West</v>
      </c>
      <c r="C3088" s="3" t="s">
        <v>154</v>
      </c>
      <c r="D3088" s="3" t="str">
        <f>INDEX(Port_Type!$B$2:$B$227,MATCH(TRIM(C3088),Port_Type!$A$2:$A$227,0))</f>
        <v>Inland ICD / CFS</v>
      </c>
      <c r="E3088" s="3" t="s">
        <v>46</v>
      </c>
      <c r="F3088" s="3" t="str">
        <f>INDEX(Product_Category!$B$2:$B$45,MATCH(TRIM(E3088),Product_Category!$A$2:$A$45,0))</f>
        <v>Others</v>
      </c>
      <c r="G3088" s="4">
        <v>0.62</v>
      </c>
      <c r="H3088" s="4">
        <v>0.55000000000000004</v>
      </c>
      <c r="I3088" s="4">
        <v>0</v>
      </c>
      <c r="J3088" s="4">
        <v>99.45</v>
      </c>
      <c r="K3088" s="4">
        <v>80.5</v>
      </c>
      <c r="L3088" s="4">
        <v>0</v>
      </c>
      <c r="M3088" s="4">
        <f t="shared" si="144"/>
        <v>-6.9999999999999951E-2</v>
      </c>
      <c r="N3088" s="4">
        <f t="shared" si="145"/>
        <v>-18.950000000000003</v>
      </c>
      <c r="O3088" s="4">
        <f t="shared" si="146"/>
        <v>-0.55000000000000004</v>
      </c>
      <c r="P3088" s="3" t="s">
        <v>19</v>
      </c>
    </row>
    <row r="3089" spans="1:16" x14ac:dyDescent="0.35">
      <c r="A3089" s="3" t="s">
        <v>20</v>
      </c>
      <c r="B3089" s="3" t="str">
        <f>INDEX(State_Region!$B$2:$B$26,MATCH(TRIM(A3089),State_Region!$A$2:$A$26,0))</f>
        <v>West</v>
      </c>
      <c r="C3089" s="3" t="s">
        <v>154</v>
      </c>
      <c r="D3089" s="3" t="str">
        <f>INDEX(Port_Type!$B$2:$B$227,MATCH(TRIM(C3089),Port_Type!$A$2:$A$227,0))</f>
        <v>Inland ICD / CFS</v>
      </c>
      <c r="E3089" s="3" t="s">
        <v>59</v>
      </c>
      <c r="F3089" s="3" t="str">
        <f>INDEX(Product_Category!$B$2:$B$45,MATCH(TRIM(E3089),Product_Category!$A$2:$A$45,0))</f>
        <v>Processed Foods</v>
      </c>
      <c r="G3089" s="4">
        <v>0.08</v>
      </c>
      <c r="H3089" s="4">
        <v>0</v>
      </c>
      <c r="I3089" s="4">
        <v>0</v>
      </c>
      <c r="J3089" s="4">
        <v>3.13</v>
      </c>
      <c r="K3089" s="4">
        <v>0</v>
      </c>
      <c r="L3089" s="4">
        <v>0</v>
      </c>
      <c r="M3089" s="4">
        <f t="shared" si="144"/>
        <v>-0.08</v>
      </c>
      <c r="N3089" s="4">
        <f t="shared" si="145"/>
        <v>-3.13</v>
      </c>
      <c r="O3089" s="4">
        <f t="shared" si="146"/>
        <v>0</v>
      </c>
      <c r="P3089" s="3" t="s">
        <v>19</v>
      </c>
    </row>
    <row r="3090" spans="1:16" x14ac:dyDescent="0.35">
      <c r="A3090" s="3" t="s">
        <v>49</v>
      </c>
      <c r="B3090" s="3" t="str">
        <f>INDEX(State_Region!$B$2:$B$26,MATCH(TRIM(A3090),State_Region!$A$2:$A$26,0))</f>
        <v>North</v>
      </c>
      <c r="C3090" s="3" t="s">
        <v>303</v>
      </c>
      <c r="D3090" s="3" t="str">
        <f>INDEX(Port_Type!$B$2:$B$227,MATCH(TRIM(C3090),Port_Type!$A$2:$A$227,0))</f>
        <v>Inland ICD / CFS</v>
      </c>
      <c r="E3090" s="3" t="s">
        <v>59</v>
      </c>
      <c r="F3090" s="3" t="str">
        <f>INDEX(Product_Category!$B$2:$B$45,MATCH(TRIM(E3090),Product_Category!$A$2:$A$45,0))</f>
        <v>Processed Foods</v>
      </c>
      <c r="G3090" s="4">
        <v>0</v>
      </c>
      <c r="H3090" s="4">
        <v>0</v>
      </c>
      <c r="I3090" s="4">
        <v>0</v>
      </c>
      <c r="J3090" s="4">
        <v>0.25</v>
      </c>
      <c r="K3090" s="4">
        <v>0</v>
      </c>
      <c r="L3090" s="4">
        <v>0</v>
      </c>
      <c r="M3090" s="4">
        <f t="shared" si="144"/>
        <v>0</v>
      </c>
      <c r="N3090" s="4">
        <f t="shared" si="145"/>
        <v>-0.25</v>
      </c>
      <c r="O3090" s="4">
        <f t="shared" si="146"/>
        <v>0</v>
      </c>
      <c r="P3090" s="3" t="s">
        <v>19</v>
      </c>
    </row>
    <row r="3091" spans="1:16" x14ac:dyDescent="0.35">
      <c r="A3091" s="3" t="s">
        <v>49</v>
      </c>
      <c r="B3091" s="3" t="str">
        <f>INDEX(State_Region!$B$2:$B$26,MATCH(TRIM(A3091),State_Region!$A$2:$A$26,0))</f>
        <v>North</v>
      </c>
      <c r="C3091" s="3" t="s">
        <v>303</v>
      </c>
      <c r="D3091" s="3" t="str">
        <f>INDEX(Port_Type!$B$2:$B$227,MATCH(TRIM(C3091),Port_Type!$A$2:$A$227,0))</f>
        <v>Inland ICD / CFS</v>
      </c>
      <c r="E3091" s="3" t="s">
        <v>46</v>
      </c>
      <c r="F3091" s="3" t="str">
        <f>INDEX(Product_Category!$B$2:$B$45,MATCH(TRIM(E3091),Product_Category!$A$2:$A$45,0))</f>
        <v>Others</v>
      </c>
      <c r="G3091" s="4">
        <v>0.01</v>
      </c>
      <c r="H3091" s="4">
        <v>0</v>
      </c>
      <c r="I3091" s="4">
        <v>0</v>
      </c>
      <c r="J3091" s="4">
        <v>3</v>
      </c>
      <c r="K3091" s="4">
        <v>0</v>
      </c>
      <c r="L3091" s="4">
        <v>0</v>
      </c>
      <c r="M3091" s="4">
        <f t="shared" si="144"/>
        <v>-0.01</v>
      </c>
      <c r="N3091" s="4">
        <f t="shared" si="145"/>
        <v>-3</v>
      </c>
      <c r="O3091" s="4">
        <f t="shared" si="146"/>
        <v>0</v>
      </c>
      <c r="P3091" s="3" t="s">
        <v>19</v>
      </c>
    </row>
    <row r="3092" spans="1:16" x14ac:dyDescent="0.35">
      <c r="A3092" s="3" t="s">
        <v>49</v>
      </c>
      <c r="B3092" s="3" t="str">
        <f>INDEX(State_Region!$B$2:$B$26,MATCH(TRIM(A3092),State_Region!$A$2:$A$26,0))</f>
        <v>North</v>
      </c>
      <c r="C3092" s="3" t="s">
        <v>303</v>
      </c>
      <c r="D3092" s="3" t="str">
        <f>INDEX(Port_Type!$B$2:$B$227,MATCH(TRIM(C3092),Port_Type!$A$2:$A$227,0))</f>
        <v>Inland ICD / CFS</v>
      </c>
      <c r="E3092" s="3" t="s">
        <v>144</v>
      </c>
      <c r="F3092" s="3" t="str">
        <f>INDEX(Product_Category!$B$2:$B$45,MATCH(TRIM(E3092),Product_Category!$A$2:$A$45,0))</f>
        <v>Cereals &amp; Grains</v>
      </c>
      <c r="G3092" s="4">
        <v>0</v>
      </c>
      <c r="H3092" s="4">
        <v>0</v>
      </c>
      <c r="I3092" s="4">
        <v>0</v>
      </c>
      <c r="J3092" s="4">
        <v>0.7</v>
      </c>
      <c r="K3092" s="4">
        <v>0</v>
      </c>
      <c r="L3092" s="4">
        <v>0</v>
      </c>
      <c r="M3092" s="4">
        <f t="shared" si="144"/>
        <v>0</v>
      </c>
      <c r="N3092" s="4">
        <f t="shared" si="145"/>
        <v>-0.7</v>
      </c>
      <c r="O3092" s="4">
        <f t="shared" si="146"/>
        <v>0</v>
      </c>
      <c r="P3092" s="3" t="s">
        <v>19</v>
      </c>
    </row>
    <row r="3093" spans="1:16" x14ac:dyDescent="0.35">
      <c r="A3093" s="3" t="s">
        <v>49</v>
      </c>
      <c r="B3093" s="3" t="str">
        <f>INDEX(State_Region!$B$2:$B$26,MATCH(TRIM(A3093),State_Region!$A$2:$A$26,0))</f>
        <v>North</v>
      </c>
      <c r="C3093" s="3" t="s">
        <v>303</v>
      </c>
      <c r="D3093" s="3" t="str">
        <f>INDEX(Port_Type!$B$2:$B$227,MATCH(TRIM(C3093),Port_Type!$A$2:$A$227,0))</f>
        <v>Inland ICD / CFS</v>
      </c>
      <c r="E3093" s="3" t="s">
        <v>39</v>
      </c>
      <c r="F3093" s="3" t="str">
        <f>INDEX(Product_Category!$B$2:$B$45,MATCH(TRIM(E3093),Product_Category!$A$2:$A$45,0))</f>
        <v>Processed Foods</v>
      </c>
      <c r="G3093" s="4">
        <v>0.01</v>
      </c>
      <c r="H3093" s="4">
        <v>0</v>
      </c>
      <c r="I3093" s="4">
        <v>0</v>
      </c>
      <c r="J3093" s="4">
        <v>3.38</v>
      </c>
      <c r="K3093" s="4">
        <v>0</v>
      </c>
      <c r="L3093" s="4">
        <v>0</v>
      </c>
      <c r="M3093" s="4">
        <f t="shared" si="144"/>
        <v>-0.01</v>
      </c>
      <c r="N3093" s="4">
        <f t="shared" si="145"/>
        <v>-3.38</v>
      </c>
      <c r="O3093" s="4">
        <f t="shared" si="146"/>
        <v>0</v>
      </c>
      <c r="P3093" s="3" t="s">
        <v>19</v>
      </c>
    </row>
    <row r="3094" spans="1:16" x14ac:dyDescent="0.35">
      <c r="A3094" s="3" t="s">
        <v>49</v>
      </c>
      <c r="B3094" s="3" t="str">
        <f>INDEX(State_Region!$B$2:$B$26,MATCH(TRIM(A3094),State_Region!$A$2:$A$26,0))</f>
        <v>North</v>
      </c>
      <c r="C3094" s="3" t="s">
        <v>303</v>
      </c>
      <c r="D3094" s="3" t="str">
        <f>INDEX(Port_Type!$B$2:$B$227,MATCH(TRIM(C3094),Port_Type!$A$2:$A$227,0))</f>
        <v>Inland ICD / CFS</v>
      </c>
      <c r="E3094" s="3" t="s">
        <v>102</v>
      </c>
      <c r="F3094" s="3" t="str">
        <f>INDEX(Product_Category!$B$2:$B$45,MATCH(TRIM(E3094),Product_Category!$A$2:$A$45,0))</f>
        <v>Fresh Fruits &amp; Vegetables</v>
      </c>
      <c r="G3094" s="4">
        <v>0</v>
      </c>
      <c r="H3094" s="4">
        <v>0</v>
      </c>
      <c r="I3094" s="4">
        <v>0</v>
      </c>
      <c r="J3094" s="4">
        <v>0.1</v>
      </c>
      <c r="K3094" s="4">
        <v>0</v>
      </c>
      <c r="L3094" s="4">
        <v>0</v>
      </c>
      <c r="M3094" s="4">
        <f t="shared" si="144"/>
        <v>0</v>
      </c>
      <c r="N3094" s="4">
        <f t="shared" si="145"/>
        <v>-0.1</v>
      </c>
      <c r="O3094" s="4">
        <f t="shared" si="146"/>
        <v>0</v>
      </c>
      <c r="P3094" s="3" t="s">
        <v>19</v>
      </c>
    </row>
    <row r="3095" spans="1:16" x14ac:dyDescent="0.35">
      <c r="A3095" s="3" t="s">
        <v>49</v>
      </c>
      <c r="B3095" s="3" t="str">
        <f>INDEX(State_Region!$B$2:$B$26,MATCH(TRIM(A3095),State_Region!$A$2:$A$26,0))</f>
        <v>North</v>
      </c>
      <c r="C3095" s="3" t="s">
        <v>303</v>
      </c>
      <c r="D3095" s="3" t="str">
        <f>INDEX(Port_Type!$B$2:$B$227,MATCH(TRIM(C3095),Port_Type!$A$2:$A$227,0))</f>
        <v>Inland ICD / CFS</v>
      </c>
      <c r="E3095" s="3" t="s">
        <v>42</v>
      </c>
      <c r="F3095" s="3" t="str">
        <f>INDEX(Product_Category!$B$2:$B$45,MATCH(TRIM(E3095),Product_Category!$A$2:$A$45,0))</f>
        <v>Processed Foods</v>
      </c>
      <c r="G3095" s="4">
        <v>0</v>
      </c>
      <c r="H3095" s="4">
        <v>0</v>
      </c>
      <c r="I3095" s="4">
        <v>0</v>
      </c>
      <c r="J3095" s="4">
        <v>0.15</v>
      </c>
      <c r="K3095" s="4">
        <v>0</v>
      </c>
      <c r="L3095" s="4">
        <v>0</v>
      </c>
      <c r="M3095" s="4">
        <f t="shared" si="144"/>
        <v>0</v>
      </c>
      <c r="N3095" s="4">
        <f t="shared" si="145"/>
        <v>-0.15</v>
      </c>
      <c r="O3095" s="4">
        <f t="shared" si="146"/>
        <v>0</v>
      </c>
      <c r="P3095" s="3" t="s">
        <v>19</v>
      </c>
    </row>
    <row r="3096" spans="1:16" x14ac:dyDescent="0.35">
      <c r="A3096" s="3" t="s">
        <v>20</v>
      </c>
      <c r="B3096" s="3" t="str">
        <f>INDEX(State_Region!$B$2:$B$26,MATCH(TRIM(A3096),State_Region!$A$2:$A$26,0))</f>
        <v>West</v>
      </c>
      <c r="C3096" s="3" t="s">
        <v>154</v>
      </c>
      <c r="D3096" s="3" t="str">
        <f>INDEX(Port_Type!$B$2:$B$227,MATCH(TRIM(C3096),Port_Type!$A$2:$A$227,0))</f>
        <v>Inland ICD / CFS</v>
      </c>
      <c r="E3096" s="3" t="s">
        <v>48</v>
      </c>
      <c r="F3096" s="3" t="str">
        <f>INDEX(Product_Category!$B$2:$B$45,MATCH(TRIM(E3096),Product_Category!$A$2:$A$45,0))</f>
        <v>Processed Foods</v>
      </c>
      <c r="G3096" s="4">
        <v>0.06</v>
      </c>
      <c r="H3096" s="4">
        <v>0</v>
      </c>
      <c r="I3096" s="4">
        <v>0</v>
      </c>
      <c r="J3096" s="4">
        <v>4.3099999999999996</v>
      </c>
      <c r="K3096" s="4">
        <v>0</v>
      </c>
      <c r="L3096" s="4">
        <v>0</v>
      </c>
      <c r="M3096" s="4">
        <f t="shared" si="144"/>
        <v>-0.06</v>
      </c>
      <c r="N3096" s="4">
        <f t="shared" si="145"/>
        <v>-4.3099999999999996</v>
      </c>
      <c r="O3096" s="4">
        <f t="shared" si="146"/>
        <v>0</v>
      </c>
      <c r="P3096" s="3" t="s">
        <v>19</v>
      </c>
    </row>
    <row r="3097" spans="1:16" x14ac:dyDescent="0.35">
      <c r="A3097" s="3" t="s">
        <v>49</v>
      </c>
      <c r="B3097" s="3" t="str">
        <f>INDEX(State_Region!$B$2:$B$26,MATCH(TRIM(A3097),State_Region!$A$2:$A$26,0))</f>
        <v>North</v>
      </c>
      <c r="C3097" s="3" t="s">
        <v>121</v>
      </c>
      <c r="D3097" s="3" t="str">
        <f>INDEX(Port_Type!$B$2:$B$227,MATCH(TRIM(C3097),Port_Type!$A$2:$A$227,0))</f>
        <v>Inland ICD / CFS</v>
      </c>
      <c r="E3097" s="3" t="s">
        <v>84</v>
      </c>
      <c r="F3097" s="3" t="str">
        <f>INDEX(Product_Category!$B$2:$B$45,MATCH(TRIM(E3097),Product_Category!$A$2:$A$45,0))</f>
        <v>Nuts &amp; Oilseeds</v>
      </c>
      <c r="G3097" s="4">
        <v>0.01</v>
      </c>
      <c r="H3097" s="4">
        <v>0</v>
      </c>
      <c r="I3097" s="4">
        <v>0</v>
      </c>
      <c r="J3097" s="4">
        <v>3</v>
      </c>
      <c r="K3097" s="4">
        <v>0</v>
      </c>
      <c r="L3097" s="4">
        <v>0</v>
      </c>
      <c r="M3097" s="4">
        <f t="shared" si="144"/>
        <v>-0.01</v>
      </c>
      <c r="N3097" s="4">
        <f t="shared" si="145"/>
        <v>-3</v>
      </c>
      <c r="O3097" s="4">
        <f t="shared" si="146"/>
        <v>0</v>
      </c>
      <c r="P3097" s="3" t="s">
        <v>19</v>
      </c>
    </row>
    <row r="3098" spans="1:16" x14ac:dyDescent="0.35">
      <c r="A3098" s="3" t="s">
        <v>49</v>
      </c>
      <c r="B3098" s="3" t="str">
        <f>INDEX(State_Region!$B$2:$B$26,MATCH(TRIM(A3098),State_Region!$A$2:$A$26,0))</f>
        <v>North</v>
      </c>
      <c r="C3098" s="3" t="s">
        <v>121</v>
      </c>
      <c r="D3098" s="3" t="str">
        <f>INDEX(Port_Type!$B$2:$B$227,MATCH(TRIM(C3098),Port_Type!$A$2:$A$227,0))</f>
        <v>Inland ICD / CFS</v>
      </c>
      <c r="E3098" s="3" t="s">
        <v>179</v>
      </c>
      <c r="F3098" s="3" t="str">
        <f>INDEX(Product_Category!$B$2:$B$45,MATCH(TRIM(E3098),Product_Category!$A$2:$A$45,0))</f>
        <v>Nuts &amp; Oilseeds</v>
      </c>
      <c r="G3098" s="4">
        <v>0.01</v>
      </c>
      <c r="H3098" s="4">
        <v>0</v>
      </c>
      <c r="I3098" s="4">
        <v>0</v>
      </c>
      <c r="J3098" s="4">
        <v>0.47</v>
      </c>
      <c r="K3098" s="4">
        <v>0</v>
      </c>
      <c r="L3098" s="4">
        <v>0</v>
      </c>
      <c r="M3098" s="4">
        <f t="shared" si="144"/>
        <v>-0.01</v>
      </c>
      <c r="N3098" s="4">
        <f t="shared" si="145"/>
        <v>-0.47</v>
      </c>
      <c r="O3098" s="4">
        <f t="shared" si="146"/>
        <v>0</v>
      </c>
      <c r="P3098" s="3" t="s">
        <v>19</v>
      </c>
    </row>
    <row r="3099" spans="1:16" x14ac:dyDescent="0.35">
      <c r="A3099" s="3" t="s">
        <v>20</v>
      </c>
      <c r="B3099" s="3" t="str">
        <f>INDEX(State_Region!$B$2:$B$26,MATCH(TRIM(A3099),State_Region!$A$2:$A$26,0))</f>
        <v>West</v>
      </c>
      <c r="C3099" s="3" t="s">
        <v>82</v>
      </c>
      <c r="D3099" s="3" t="str">
        <f>INDEX(Port_Type!$B$2:$B$227,MATCH(TRIM(C3099),Port_Type!$A$2:$A$227,0))</f>
        <v>Inland ICD / CFS</v>
      </c>
      <c r="E3099" s="3" t="s">
        <v>33</v>
      </c>
      <c r="F3099" s="3" t="str">
        <f>INDEX(Product_Category!$B$2:$B$45,MATCH(TRIM(E3099),Product_Category!$A$2:$A$45,0))</f>
        <v>Pulses</v>
      </c>
      <c r="G3099" s="4">
        <v>0.02</v>
      </c>
      <c r="H3099" s="4">
        <v>0</v>
      </c>
      <c r="I3099" s="4">
        <v>0</v>
      </c>
      <c r="J3099" s="4">
        <v>12.19</v>
      </c>
      <c r="K3099" s="4">
        <v>0</v>
      </c>
      <c r="L3099" s="4">
        <v>0</v>
      </c>
      <c r="M3099" s="4">
        <f t="shared" si="144"/>
        <v>-0.02</v>
      </c>
      <c r="N3099" s="4">
        <f t="shared" si="145"/>
        <v>-12.19</v>
      </c>
      <c r="O3099" s="4">
        <f t="shared" si="146"/>
        <v>0</v>
      </c>
      <c r="P3099" s="3" t="s">
        <v>19</v>
      </c>
    </row>
    <row r="3100" spans="1:16" x14ac:dyDescent="0.35">
      <c r="A3100" s="3" t="s">
        <v>49</v>
      </c>
      <c r="B3100" s="3" t="str">
        <f>INDEX(State_Region!$B$2:$B$26,MATCH(TRIM(A3100),State_Region!$A$2:$A$26,0))</f>
        <v>North</v>
      </c>
      <c r="C3100" s="3" t="s">
        <v>121</v>
      </c>
      <c r="D3100" s="3" t="str">
        <f>INDEX(Port_Type!$B$2:$B$227,MATCH(TRIM(C3100),Port_Type!$A$2:$A$227,0))</f>
        <v>Inland ICD / CFS</v>
      </c>
      <c r="E3100" s="3" t="s">
        <v>72</v>
      </c>
      <c r="F3100" s="3" t="str">
        <f>INDEX(Product_Category!$B$2:$B$45,MATCH(TRIM(E3100),Product_Category!$A$2:$A$45,0))</f>
        <v>Dairy, Poultry &amp; Honey</v>
      </c>
      <c r="G3100" s="4">
        <v>0</v>
      </c>
      <c r="H3100" s="4">
        <v>0.05</v>
      </c>
      <c r="I3100" s="4">
        <v>0</v>
      </c>
      <c r="J3100" s="4">
        <v>0</v>
      </c>
      <c r="K3100" s="4">
        <v>3.6</v>
      </c>
      <c r="L3100" s="4">
        <v>0</v>
      </c>
      <c r="M3100" s="4">
        <f t="shared" si="144"/>
        <v>0.05</v>
      </c>
      <c r="N3100" s="4">
        <f t="shared" si="145"/>
        <v>3.6</v>
      </c>
      <c r="O3100" s="4">
        <f t="shared" si="146"/>
        <v>-0.05</v>
      </c>
      <c r="P3100" s="3" t="s">
        <v>19</v>
      </c>
    </row>
    <row r="3101" spans="1:16" x14ac:dyDescent="0.35">
      <c r="A3101" s="3" t="s">
        <v>49</v>
      </c>
      <c r="B3101" s="3" t="str">
        <f>INDEX(State_Region!$B$2:$B$26,MATCH(TRIM(A3101),State_Region!$A$2:$A$26,0))</f>
        <v>North</v>
      </c>
      <c r="C3101" s="3" t="s">
        <v>121</v>
      </c>
      <c r="D3101" s="3" t="str">
        <f>INDEX(Port_Type!$B$2:$B$227,MATCH(TRIM(C3101),Port_Type!$A$2:$A$227,0))</f>
        <v>Inland ICD / CFS</v>
      </c>
      <c r="E3101" s="3" t="s">
        <v>122</v>
      </c>
      <c r="F3101" s="3" t="str">
        <f>INDEX(Product_Category!$B$2:$B$45,MATCH(TRIM(E3101),Product_Category!$A$2:$A$45,0))</f>
        <v>Others</v>
      </c>
      <c r="G3101" s="4">
        <v>0</v>
      </c>
      <c r="H3101" s="4">
        <v>0</v>
      </c>
      <c r="I3101" s="4">
        <v>0</v>
      </c>
      <c r="J3101" s="4">
        <v>0</v>
      </c>
      <c r="K3101" s="4">
        <v>0.04</v>
      </c>
      <c r="L3101" s="4">
        <v>0</v>
      </c>
      <c r="M3101" s="4">
        <f t="shared" si="144"/>
        <v>0</v>
      </c>
      <c r="N3101" s="4">
        <f t="shared" si="145"/>
        <v>0.04</v>
      </c>
      <c r="O3101" s="4">
        <f t="shared" si="146"/>
        <v>0</v>
      </c>
      <c r="P3101" s="3" t="s">
        <v>19</v>
      </c>
    </row>
    <row r="3102" spans="1:16" x14ac:dyDescent="0.35">
      <c r="A3102" s="3" t="s">
        <v>20</v>
      </c>
      <c r="B3102" s="3" t="str">
        <f>INDEX(State_Region!$B$2:$B$26,MATCH(TRIM(A3102),State_Region!$A$2:$A$26,0))</f>
        <v>West</v>
      </c>
      <c r="C3102" s="3" t="s">
        <v>82</v>
      </c>
      <c r="D3102" s="3" t="str">
        <f>INDEX(Port_Type!$B$2:$B$227,MATCH(TRIM(C3102),Port_Type!$A$2:$A$227,0))</f>
        <v>Inland ICD / CFS</v>
      </c>
      <c r="E3102" s="3" t="s">
        <v>128</v>
      </c>
      <c r="F3102" s="3" t="str">
        <f>INDEX(Product_Category!$B$2:$B$45,MATCH(TRIM(E3102),Product_Category!$A$2:$A$45,0))</f>
        <v>Dairy, Poultry &amp; Honey</v>
      </c>
      <c r="G3102" s="4">
        <v>0.01</v>
      </c>
      <c r="H3102" s="4">
        <v>0</v>
      </c>
      <c r="I3102" s="4">
        <v>0</v>
      </c>
      <c r="J3102" s="4">
        <v>5.0199999999999996</v>
      </c>
      <c r="K3102" s="4">
        <v>0</v>
      </c>
      <c r="L3102" s="4">
        <v>0</v>
      </c>
      <c r="M3102" s="4">
        <f t="shared" si="144"/>
        <v>-0.01</v>
      </c>
      <c r="N3102" s="4">
        <f t="shared" si="145"/>
        <v>-5.0199999999999996</v>
      </c>
      <c r="O3102" s="4">
        <f t="shared" si="146"/>
        <v>0</v>
      </c>
      <c r="P3102" s="3" t="s">
        <v>19</v>
      </c>
    </row>
    <row r="3103" spans="1:16" x14ac:dyDescent="0.35">
      <c r="A3103" s="3" t="s">
        <v>49</v>
      </c>
      <c r="B3103" s="3" t="str">
        <f>INDEX(State_Region!$B$2:$B$26,MATCH(TRIM(A3103),State_Region!$A$2:$A$26,0))</f>
        <v>North</v>
      </c>
      <c r="C3103" s="3" t="s">
        <v>121</v>
      </c>
      <c r="D3103" s="3" t="str">
        <f>INDEX(Port_Type!$B$2:$B$227,MATCH(TRIM(C3103),Port_Type!$A$2:$A$227,0))</f>
        <v>Inland ICD / CFS</v>
      </c>
      <c r="E3103" s="3" t="s">
        <v>53</v>
      </c>
      <c r="F3103" s="3" t="str">
        <f>INDEX(Product_Category!$B$2:$B$45,MATCH(TRIM(E3103),Product_Category!$A$2:$A$45,0))</f>
        <v>Processed Foods</v>
      </c>
      <c r="G3103" s="4">
        <v>0.08</v>
      </c>
      <c r="H3103" s="4">
        <v>0.01</v>
      </c>
      <c r="I3103" s="4">
        <v>0</v>
      </c>
      <c r="J3103" s="4">
        <v>48.46</v>
      </c>
      <c r="K3103" s="4">
        <v>3.84</v>
      </c>
      <c r="L3103" s="4">
        <v>0</v>
      </c>
      <c r="M3103" s="4">
        <f t="shared" si="144"/>
        <v>-7.0000000000000007E-2</v>
      </c>
      <c r="N3103" s="4">
        <f t="shared" si="145"/>
        <v>-44.620000000000005</v>
      </c>
      <c r="O3103" s="4">
        <f t="shared" si="146"/>
        <v>-0.01</v>
      </c>
      <c r="P3103" s="3" t="s">
        <v>19</v>
      </c>
    </row>
    <row r="3104" spans="1:16" x14ac:dyDescent="0.35">
      <c r="A3104" s="3" t="s">
        <v>20</v>
      </c>
      <c r="B3104" s="3" t="str">
        <f>INDEX(State_Region!$B$2:$B$26,MATCH(TRIM(A3104),State_Region!$A$2:$A$26,0))</f>
        <v>West</v>
      </c>
      <c r="C3104" s="3" t="s">
        <v>82</v>
      </c>
      <c r="D3104" s="3" t="str">
        <f>INDEX(Port_Type!$B$2:$B$227,MATCH(TRIM(C3104),Port_Type!$A$2:$A$227,0))</f>
        <v>Inland ICD / CFS</v>
      </c>
      <c r="E3104" s="3" t="s">
        <v>65</v>
      </c>
      <c r="F3104" s="3" t="str">
        <f>INDEX(Product_Category!$B$2:$B$45,MATCH(TRIM(E3104),Product_Category!$A$2:$A$45,0))</f>
        <v>Cereals &amp; Grains</v>
      </c>
      <c r="G3104" s="4">
        <v>0.03</v>
      </c>
      <c r="H3104" s="4">
        <v>0</v>
      </c>
      <c r="I3104" s="4">
        <v>0</v>
      </c>
      <c r="J3104" s="4">
        <v>84.25</v>
      </c>
      <c r="K3104" s="4">
        <v>0</v>
      </c>
      <c r="L3104" s="4">
        <v>0</v>
      </c>
      <c r="M3104" s="4">
        <f t="shared" si="144"/>
        <v>-0.03</v>
      </c>
      <c r="N3104" s="4">
        <f t="shared" si="145"/>
        <v>-84.25</v>
      </c>
      <c r="O3104" s="4">
        <f t="shared" si="146"/>
        <v>0</v>
      </c>
      <c r="P3104" s="3" t="s">
        <v>19</v>
      </c>
    </row>
    <row r="3105" spans="1:16" x14ac:dyDescent="0.35">
      <c r="A3105" s="3" t="s">
        <v>20</v>
      </c>
      <c r="B3105" s="3" t="str">
        <f>INDEX(State_Region!$B$2:$B$26,MATCH(TRIM(A3105),State_Region!$A$2:$A$26,0))</f>
        <v>West</v>
      </c>
      <c r="C3105" s="3" t="s">
        <v>82</v>
      </c>
      <c r="D3105" s="3" t="str">
        <f>INDEX(Port_Type!$B$2:$B$227,MATCH(TRIM(C3105),Port_Type!$A$2:$A$227,0))</f>
        <v>Inland ICD / CFS</v>
      </c>
      <c r="E3105" s="3" t="s">
        <v>51</v>
      </c>
      <c r="F3105" s="3" t="str">
        <f>INDEX(Product_Category!$B$2:$B$45,MATCH(TRIM(E3105),Product_Category!$A$2:$A$45,0))</f>
        <v>Nuts &amp; Oilseeds</v>
      </c>
      <c r="G3105" s="4">
        <v>0</v>
      </c>
      <c r="H3105" s="4">
        <v>0</v>
      </c>
      <c r="I3105" s="4">
        <v>0</v>
      </c>
      <c r="J3105" s="4">
        <v>0.19</v>
      </c>
      <c r="K3105" s="4">
        <v>0</v>
      </c>
      <c r="L3105" s="4">
        <v>0</v>
      </c>
      <c r="M3105" s="4">
        <f t="shared" si="144"/>
        <v>0</v>
      </c>
      <c r="N3105" s="4">
        <f t="shared" si="145"/>
        <v>-0.19</v>
      </c>
      <c r="O3105" s="4">
        <f t="shared" si="146"/>
        <v>0</v>
      </c>
      <c r="P3105" s="3" t="s">
        <v>19</v>
      </c>
    </row>
    <row r="3106" spans="1:16" x14ac:dyDescent="0.35">
      <c r="A3106" s="3" t="s">
        <v>20</v>
      </c>
      <c r="B3106" s="3" t="str">
        <f>INDEX(State_Region!$B$2:$B$26,MATCH(TRIM(A3106),State_Region!$A$2:$A$26,0))</f>
        <v>West</v>
      </c>
      <c r="C3106" s="3" t="s">
        <v>82</v>
      </c>
      <c r="D3106" s="3" t="str">
        <f>INDEX(Port_Type!$B$2:$B$227,MATCH(TRIM(C3106),Port_Type!$A$2:$A$227,0))</f>
        <v>Inland ICD / CFS</v>
      </c>
      <c r="E3106" s="3" t="s">
        <v>69</v>
      </c>
      <c r="F3106" s="3" t="str">
        <f>INDEX(Product_Category!$B$2:$B$45,MATCH(TRIM(E3106),Product_Category!$A$2:$A$45,0))</f>
        <v>Others</v>
      </c>
      <c r="G3106" s="4">
        <v>0.01</v>
      </c>
      <c r="H3106" s="4">
        <v>0</v>
      </c>
      <c r="I3106" s="4">
        <v>0</v>
      </c>
      <c r="J3106" s="4">
        <v>10.95</v>
      </c>
      <c r="K3106" s="4">
        <v>0</v>
      </c>
      <c r="L3106" s="4">
        <v>0</v>
      </c>
      <c r="M3106" s="4">
        <f t="shared" si="144"/>
        <v>-0.01</v>
      </c>
      <c r="N3106" s="4">
        <f t="shared" si="145"/>
        <v>-10.95</v>
      </c>
      <c r="O3106" s="4">
        <f t="shared" si="146"/>
        <v>0</v>
      </c>
      <c r="P3106" s="3" t="s">
        <v>19</v>
      </c>
    </row>
    <row r="3107" spans="1:16" x14ac:dyDescent="0.35">
      <c r="A3107" s="3" t="s">
        <v>20</v>
      </c>
      <c r="B3107" s="3" t="str">
        <f>INDEX(State_Region!$B$2:$B$26,MATCH(TRIM(A3107),State_Region!$A$2:$A$26,0))</f>
        <v>West</v>
      </c>
      <c r="C3107" s="3" t="s">
        <v>82</v>
      </c>
      <c r="D3107" s="3" t="str">
        <f>INDEX(Port_Type!$B$2:$B$227,MATCH(TRIM(C3107),Port_Type!$A$2:$A$227,0))</f>
        <v>Inland ICD / CFS</v>
      </c>
      <c r="E3107" s="3" t="s">
        <v>76</v>
      </c>
      <c r="F3107" s="3" t="str">
        <f>INDEX(Product_Category!$B$2:$B$45,MATCH(TRIM(E3107),Product_Category!$A$2:$A$45,0))</f>
        <v>Fresh Fruits &amp; Vegetables</v>
      </c>
      <c r="G3107" s="4">
        <v>0.06</v>
      </c>
      <c r="H3107" s="4">
        <v>0</v>
      </c>
      <c r="I3107" s="4">
        <v>0</v>
      </c>
      <c r="J3107" s="4">
        <v>51.71</v>
      </c>
      <c r="K3107" s="4">
        <v>0</v>
      </c>
      <c r="L3107" s="4">
        <v>0</v>
      </c>
      <c r="M3107" s="4">
        <f t="shared" si="144"/>
        <v>-0.06</v>
      </c>
      <c r="N3107" s="4">
        <f t="shared" si="145"/>
        <v>-51.71</v>
      </c>
      <c r="O3107" s="4">
        <f t="shared" si="146"/>
        <v>0</v>
      </c>
      <c r="P3107" s="3" t="s">
        <v>19</v>
      </c>
    </row>
    <row r="3108" spans="1:16" x14ac:dyDescent="0.35">
      <c r="A3108" s="3" t="s">
        <v>20</v>
      </c>
      <c r="B3108" s="3" t="str">
        <f>INDEX(State_Region!$B$2:$B$26,MATCH(TRIM(A3108),State_Region!$A$2:$A$26,0))</f>
        <v>West</v>
      </c>
      <c r="C3108" s="3" t="s">
        <v>82</v>
      </c>
      <c r="D3108" s="3" t="str">
        <f>INDEX(Port_Type!$B$2:$B$227,MATCH(TRIM(C3108),Port_Type!$A$2:$A$227,0))</f>
        <v>Inland ICD / CFS</v>
      </c>
      <c r="E3108" s="3" t="s">
        <v>72</v>
      </c>
      <c r="F3108" s="3" t="str">
        <f>INDEX(Product_Category!$B$2:$B$45,MATCH(TRIM(E3108),Product_Category!$A$2:$A$45,0))</f>
        <v>Dairy, Poultry &amp; Honey</v>
      </c>
      <c r="G3108" s="4">
        <v>6.99</v>
      </c>
      <c r="H3108" s="4">
        <v>0.18</v>
      </c>
      <c r="I3108" s="4">
        <v>0</v>
      </c>
      <c r="J3108" s="4">
        <v>1711.88</v>
      </c>
      <c r="K3108" s="4">
        <v>40.24</v>
      </c>
      <c r="L3108" s="4">
        <v>0</v>
      </c>
      <c r="M3108" s="4">
        <f t="shared" si="144"/>
        <v>-6.8100000000000005</v>
      </c>
      <c r="N3108" s="4">
        <f t="shared" si="145"/>
        <v>-1671.64</v>
      </c>
      <c r="O3108" s="4">
        <f t="shared" si="146"/>
        <v>-0.18</v>
      </c>
      <c r="P3108" s="3" t="s">
        <v>19</v>
      </c>
    </row>
    <row r="3109" spans="1:16" x14ac:dyDescent="0.35">
      <c r="A3109" s="3" t="s">
        <v>20</v>
      </c>
      <c r="B3109" s="3" t="str">
        <f>INDEX(State_Region!$B$2:$B$26,MATCH(TRIM(A3109),State_Region!$A$2:$A$26,0))</f>
        <v>West</v>
      </c>
      <c r="C3109" s="3" t="s">
        <v>82</v>
      </c>
      <c r="D3109" s="3" t="str">
        <f>INDEX(Port_Type!$B$2:$B$227,MATCH(TRIM(C3109),Port_Type!$A$2:$A$227,0))</f>
        <v>Inland ICD / CFS</v>
      </c>
      <c r="E3109" s="3" t="s">
        <v>59</v>
      </c>
      <c r="F3109" s="3" t="str">
        <f>INDEX(Product_Category!$B$2:$B$45,MATCH(TRIM(E3109),Product_Category!$A$2:$A$45,0))</f>
        <v>Processed Foods</v>
      </c>
      <c r="G3109" s="4">
        <v>0</v>
      </c>
      <c r="H3109" s="4">
        <v>0</v>
      </c>
      <c r="I3109" s="4">
        <v>0</v>
      </c>
      <c r="J3109" s="4">
        <v>0</v>
      </c>
      <c r="K3109" s="4">
        <v>0.01</v>
      </c>
      <c r="L3109" s="4">
        <v>0</v>
      </c>
      <c r="M3109" s="4">
        <f t="shared" si="144"/>
        <v>0</v>
      </c>
      <c r="N3109" s="4">
        <f t="shared" si="145"/>
        <v>0.01</v>
      </c>
      <c r="O3109" s="4">
        <f t="shared" si="146"/>
        <v>0</v>
      </c>
      <c r="P3109" s="3" t="s">
        <v>19</v>
      </c>
    </row>
    <row r="3110" spans="1:16" x14ac:dyDescent="0.35">
      <c r="A3110" s="3" t="s">
        <v>20</v>
      </c>
      <c r="B3110" s="3" t="str">
        <f>INDEX(State_Region!$B$2:$B$26,MATCH(TRIM(A3110),State_Region!$A$2:$A$26,0))</f>
        <v>West</v>
      </c>
      <c r="C3110" s="3" t="s">
        <v>82</v>
      </c>
      <c r="D3110" s="3" t="str">
        <f>INDEX(Port_Type!$B$2:$B$227,MATCH(TRIM(C3110),Port_Type!$A$2:$A$227,0))</f>
        <v>Inland ICD / CFS</v>
      </c>
      <c r="E3110" s="3" t="s">
        <v>179</v>
      </c>
      <c r="F3110" s="3" t="str">
        <f>INDEX(Product_Category!$B$2:$B$45,MATCH(TRIM(E3110),Product_Category!$A$2:$A$45,0))</f>
        <v>Nuts &amp; Oilseeds</v>
      </c>
      <c r="G3110" s="4">
        <v>0</v>
      </c>
      <c r="H3110" s="4">
        <v>0</v>
      </c>
      <c r="I3110" s="4">
        <v>0</v>
      </c>
      <c r="J3110" s="4">
        <v>0.01</v>
      </c>
      <c r="K3110" s="4">
        <v>0</v>
      </c>
      <c r="L3110" s="4">
        <v>0</v>
      </c>
      <c r="M3110" s="4">
        <f t="shared" si="144"/>
        <v>0</v>
      </c>
      <c r="N3110" s="4">
        <f t="shared" si="145"/>
        <v>-0.01</v>
      </c>
      <c r="O3110" s="4">
        <f t="shared" si="146"/>
        <v>0</v>
      </c>
      <c r="P3110" s="3" t="s">
        <v>19</v>
      </c>
    </row>
    <row r="3111" spans="1:16" x14ac:dyDescent="0.35">
      <c r="A3111" s="3" t="s">
        <v>20</v>
      </c>
      <c r="B3111" s="3" t="str">
        <f>INDEX(State_Region!$B$2:$B$26,MATCH(TRIM(A3111),State_Region!$A$2:$A$26,0))</f>
        <v>West</v>
      </c>
      <c r="C3111" s="3" t="s">
        <v>82</v>
      </c>
      <c r="D3111" s="3" t="str">
        <f>INDEX(Port_Type!$B$2:$B$227,MATCH(TRIM(C3111),Port_Type!$A$2:$A$227,0))</f>
        <v>Inland ICD / CFS</v>
      </c>
      <c r="E3111" s="3" t="s">
        <v>84</v>
      </c>
      <c r="F3111" s="3" t="str">
        <f>INDEX(Product_Category!$B$2:$B$45,MATCH(TRIM(E3111),Product_Category!$A$2:$A$45,0))</f>
        <v>Nuts &amp; Oilseeds</v>
      </c>
      <c r="G3111" s="4">
        <v>0.24</v>
      </c>
      <c r="H3111" s="4">
        <v>0</v>
      </c>
      <c r="I3111" s="4">
        <v>0</v>
      </c>
      <c r="J3111" s="4">
        <v>35.01</v>
      </c>
      <c r="K3111" s="4">
        <v>0</v>
      </c>
      <c r="L3111" s="4">
        <v>0</v>
      </c>
      <c r="M3111" s="4">
        <f t="shared" si="144"/>
        <v>-0.24</v>
      </c>
      <c r="N3111" s="4">
        <f t="shared" si="145"/>
        <v>-35.01</v>
      </c>
      <c r="O3111" s="4">
        <f t="shared" si="146"/>
        <v>0</v>
      </c>
      <c r="P3111" s="3" t="s">
        <v>19</v>
      </c>
    </row>
    <row r="3112" spans="1:16" x14ac:dyDescent="0.35">
      <c r="A3112" s="3" t="s">
        <v>20</v>
      </c>
      <c r="B3112" s="3" t="str">
        <f>INDEX(State_Region!$B$2:$B$26,MATCH(TRIM(A3112),State_Region!$A$2:$A$26,0))</f>
        <v>West</v>
      </c>
      <c r="C3112" s="3" t="s">
        <v>82</v>
      </c>
      <c r="D3112" s="3" t="str">
        <f>INDEX(Port_Type!$B$2:$B$227,MATCH(TRIM(C3112),Port_Type!$A$2:$A$227,0))</f>
        <v>Inland ICD / CFS</v>
      </c>
      <c r="E3112" s="3" t="s">
        <v>22</v>
      </c>
      <c r="F3112" s="3" t="str">
        <f>INDEX(Product_Category!$B$2:$B$45,MATCH(TRIM(E3112),Product_Category!$A$2:$A$45,0))</f>
        <v>Meat &amp; Animal Products</v>
      </c>
      <c r="G3112" s="4">
        <v>1.82</v>
      </c>
      <c r="H3112" s="4">
        <v>0</v>
      </c>
      <c r="I3112" s="4">
        <v>0</v>
      </c>
      <c r="J3112" s="4">
        <v>793.5</v>
      </c>
      <c r="K3112" s="4">
        <v>0</v>
      </c>
      <c r="L3112" s="4">
        <v>0</v>
      </c>
      <c r="M3112" s="4">
        <f t="shared" si="144"/>
        <v>-1.82</v>
      </c>
      <c r="N3112" s="4">
        <f t="shared" si="145"/>
        <v>-793.5</v>
      </c>
      <c r="O3112" s="4">
        <f t="shared" si="146"/>
        <v>0</v>
      </c>
      <c r="P3112" s="3" t="s">
        <v>19</v>
      </c>
    </row>
    <row r="3113" spans="1:16" x14ac:dyDescent="0.35">
      <c r="A3113" s="3" t="s">
        <v>49</v>
      </c>
      <c r="B3113" s="3" t="str">
        <f>INDEX(State_Region!$B$2:$B$26,MATCH(TRIM(A3113),State_Region!$A$2:$A$26,0))</f>
        <v>North</v>
      </c>
      <c r="C3113" s="3" t="s">
        <v>121</v>
      </c>
      <c r="D3113" s="3" t="str">
        <f>INDEX(Port_Type!$B$2:$B$227,MATCH(TRIM(C3113),Port_Type!$A$2:$A$227,0))</f>
        <v>Inland ICD / CFS</v>
      </c>
      <c r="E3113" s="3" t="s">
        <v>181</v>
      </c>
      <c r="F3113" s="3" t="str">
        <f>INDEX(Product_Category!$B$2:$B$45,MATCH(TRIM(E3113),Product_Category!$A$2:$A$45,0))</f>
        <v>Nuts &amp; Oilseeds</v>
      </c>
      <c r="G3113" s="4">
        <v>0.05</v>
      </c>
      <c r="H3113" s="4">
        <v>0</v>
      </c>
      <c r="I3113" s="4">
        <v>0</v>
      </c>
      <c r="J3113" s="4">
        <v>13.76</v>
      </c>
      <c r="K3113" s="4">
        <v>0</v>
      </c>
      <c r="L3113" s="4">
        <v>0</v>
      </c>
      <c r="M3113" s="4">
        <f t="shared" si="144"/>
        <v>-0.05</v>
      </c>
      <c r="N3113" s="4">
        <f t="shared" si="145"/>
        <v>-13.76</v>
      </c>
      <c r="O3113" s="4">
        <f t="shared" si="146"/>
        <v>0</v>
      </c>
      <c r="P3113" s="3" t="s">
        <v>19</v>
      </c>
    </row>
    <row r="3114" spans="1:16" x14ac:dyDescent="0.35">
      <c r="A3114" s="3" t="s">
        <v>49</v>
      </c>
      <c r="B3114" s="3" t="str">
        <f>INDEX(State_Region!$B$2:$B$26,MATCH(TRIM(A3114),State_Region!$A$2:$A$26,0))</f>
        <v>North</v>
      </c>
      <c r="C3114" s="3" t="s">
        <v>237</v>
      </c>
      <c r="D3114" s="3" t="str">
        <f>INDEX(Port_Type!$B$2:$B$227,MATCH(TRIM(C3114),Port_Type!$A$2:$A$227,0))</f>
        <v>Air Cargo</v>
      </c>
      <c r="E3114" s="3" t="s">
        <v>81</v>
      </c>
      <c r="F3114" s="3" t="str">
        <f>INDEX(Product_Category!$B$2:$B$45,MATCH(TRIM(E3114),Product_Category!$A$2:$A$45,0))</f>
        <v>Processed Foods</v>
      </c>
      <c r="G3114" s="4">
        <v>0</v>
      </c>
      <c r="H3114" s="4">
        <v>0</v>
      </c>
      <c r="I3114" s="4">
        <v>0</v>
      </c>
      <c r="J3114" s="4">
        <v>0.04</v>
      </c>
      <c r="K3114" s="4">
        <v>0.06</v>
      </c>
      <c r="L3114" s="4">
        <v>0</v>
      </c>
      <c r="M3114" s="4">
        <f t="shared" si="144"/>
        <v>0</v>
      </c>
      <c r="N3114" s="4">
        <f t="shared" si="145"/>
        <v>1.9999999999999997E-2</v>
      </c>
      <c r="O3114" s="4">
        <f t="shared" si="146"/>
        <v>0</v>
      </c>
      <c r="P3114" s="3" t="s">
        <v>19</v>
      </c>
    </row>
    <row r="3115" spans="1:16" x14ac:dyDescent="0.35">
      <c r="A3115" s="3" t="s">
        <v>49</v>
      </c>
      <c r="B3115" s="3" t="str">
        <f>INDEX(State_Region!$B$2:$B$26,MATCH(TRIM(A3115),State_Region!$A$2:$A$26,0))</f>
        <v>North</v>
      </c>
      <c r="C3115" s="3" t="s">
        <v>237</v>
      </c>
      <c r="D3115" s="3" t="str">
        <f>INDEX(Port_Type!$B$2:$B$227,MATCH(TRIM(C3115),Port_Type!$A$2:$A$227,0))</f>
        <v>Air Cargo</v>
      </c>
      <c r="E3115" s="3" t="s">
        <v>83</v>
      </c>
      <c r="F3115" s="3" t="str">
        <f>INDEX(Product_Category!$B$2:$B$45,MATCH(TRIM(E3115),Product_Category!$A$2:$A$45,0))</f>
        <v>Fresh Fruits &amp; Vegetables</v>
      </c>
      <c r="G3115" s="4">
        <v>0</v>
      </c>
      <c r="H3115" s="4">
        <v>0</v>
      </c>
      <c r="I3115" s="4">
        <v>0</v>
      </c>
      <c r="J3115" s="4">
        <v>0.02</v>
      </c>
      <c r="K3115" s="4">
        <v>0</v>
      </c>
      <c r="L3115" s="4">
        <v>0</v>
      </c>
      <c r="M3115" s="4">
        <f t="shared" si="144"/>
        <v>0</v>
      </c>
      <c r="N3115" s="4">
        <f t="shared" si="145"/>
        <v>-0.02</v>
      </c>
      <c r="O3115" s="4">
        <f t="shared" si="146"/>
        <v>0</v>
      </c>
      <c r="P3115" s="3" t="s">
        <v>19</v>
      </c>
    </row>
    <row r="3116" spans="1:16" x14ac:dyDescent="0.35">
      <c r="A3116" s="3" t="s">
        <v>20</v>
      </c>
      <c r="B3116" s="3" t="str">
        <f>INDEX(State_Region!$B$2:$B$26,MATCH(TRIM(A3116),State_Region!$A$2:$A$26,0))</f>
        <v>West</v>
      </c>
      <c r="C3116" s="3" t="s">
        <v>82</v>
      </c>
      <c r="D3116" s="3" t="str">
        <f>INDEX(Port_Type!$B$2:$B$227,MATCH(TRIM(C3116),Port_Type!$A$2:$A$227,0))</f>
        <v>Inland ICD / CFS</v>
      </c>
      <c r="E3116" s="3" t="s">
        <v>18</v>
      </c>
      <c r="F3116" s="3" t="str">
        <f>INDEX(Product_Category!$B$2:$B$45,MATCH(TRIM(E3116),Product_Category!$A$2:$A$45,0))</f>
        <v>Cereals &amp; Grains</v>
      </c>
      <c r="G3116" s="4">
        <v>0.05</v>
      </c>
      <c r="H3116" s="4">
        <v>0</v>
      </c>
      <c r="I3116" s="4">
        <v>0</v>
      </c>
      <c r="J3116" s="4">
        <v>24.5</v>
      </c>
      <c r="K3116" s="4">
        <v>0</v>
      </c>
      <c r="L3116" s="4">
        <v>0</v>
      </c>
      <c r="M3116" s="4">
        <f t="shared" si="144"/>
        <v>-0.05</v>
      </c>
      <c r="N3116" s="4">
        <f t="shared" si="145"/>
        <v>-24.5</v>
      </c>
      <c r="O3116" s="4">
        <f t="shared" si="146"/>
        <v>0</v>
      </c>
      <c r="P3116" s="3" t="s">
        <v>19</v>
      </c>
    </row>
    <row r="3117" spans="1:16" x14ac:dyDescent="0.35">
      <c r="A3117" s="3" t="s">
        <v>49</v>
      </c>
      <c r="B3117" s="3" t="str">
        <f>INDEX(State_Region!$B$2:$B$26,MATCH(TRIM(A3117),State_Region!$A$2:$A$26,0))</f>
        <v>North</v>
      </c>
      <c r="C3117" s="3" t="s">
        <v>237</v>
      </c>
      <c r="D3117" s="3" t="str">
        <f>INDEX(Port_Type!$B$2:$B$227,MATCH(TRIM(C3117),Port_Type!$A$2:$A$227,0))</f>
        <v>Air Cargo</v>
      </c>
      <c r="E3117" s="3" t="s">
        <v>55</v>
      </c>
      <c r="F3117" s="3" t="str">
        <f>INDEX(Product_Category!$B$2:$B$45,MATCH(TRIM(E3117),Product_Category!$A$2:$A$45,0))</f>
        <v>Fresh Fruits &amp; Vegetables</v>
      </c>
      <c r="G3117" s="4">
        <v>0</v>
      </c>
      <c r="H3117" s="4">
        <v>0</v>
      </c>
      <c r="I3117" s="4">
        <v>0</v>
      </c>
      <c r="J3117" s="4">
        <v>0.28999999999999998</v>
      </c>
      <c r="K3117" s="4">
        <v>1.03</v>
      </c>
      <c r="L3117" s="4">
        <v>0.01</v>
      </c>
      <c r="M3117" s="4">
        <f t="shared" si="144"/>
        <v>0</v>
      </c>
      <c r="N3117" s="4">
        <f t="shared" si="145"/>
        <v>0.74</v>
      </c>
      <c r="O3117" s="4">
        <f t="shared" si="146"/>
        <v>0</v>
      </c>
      <c r="P3117" s="3" t="s">
        <v>19</v>
      </c>
    </row>
    <row r="3118" spans="1:16" x14ac:dyDescent="0.35">
      <c r="A3118" s="3" t="s">
        <v>49</v>
      </c>
      <c r="B3118" s="3" t="str">
        <f>INDEX(State_Region!$B$2:$B$26,MATCH(TRIM(A3118),State_Region!$A$2:$A$26,0))</f>
        <v>North</v>
      </c>
      <c r="C3118" s="3" t="s">
        <v>237</v>
      </c>
      <c r="D3118" s="3" t="str">
        <f>INDEX(Port_Type!$B$2:$B$227,MATCH(TRIM(C3118),Port_Type!$A$2:$A$227,0))</f>
        <v>Air Cargo</v>
      </c>
      <c r="E3118" s="3" t="s">
        <v>53</v>
      </c>
      <c r="F3118" s="3" t="str">
        <f>INDEX(Product_Category!$B$2:$B$45,MATCH(TRIM(E3118),Product_Category!$A$2:$A$45,0))</f>
        <v>Processed Foods</v>
      </c>
      <c r="G3118" s="4">
        <v>0</v>
      </c>
      <c r="H3118" s="4">
        <v>0</v>
      </c>
      <c r="I3118" s="4">
        <v>0</v>
      </c>
      <c r="J3118" s="4">
        <v>0.27</v>
      </c>
      <c r="K3118" s="4">
        <v>0.82</v>
      </c>
      <c r="L3118" s="4">
        <v>0</v>
      </c>
      <c r="M3118" s="4">
        <f t="shared" si="144"/>
        <v>0</v>
      </c>
      <c r="N3118" s="4">
        <f t="shared" si="145"/>
        <v>0.54999999999999993</v>
      </c>
      <c r="O3118" s="4">
        <f t="shared" si="146"/>
        <v>0</v>
      </c>
      <c r="P3118" s="3" t="s">
        <v>19</v>
      </c>
    </row>
    <row r="3119" spans="1:16" x14ac:dyDescent="0.35">
      <c r="A3119" s="3" t="s">
        <v>49</v>
      </c>
      <c r="B3119" s="3" t="str">
        <f>INDEX(State_Region!$B$2:$B$26,MATCH(TRIM(A3119),State_Region!$A$2:$A$26,0))</f>
        <v>North</v>
      </c>
      <c r="C3119" s="3" t="s">
        <v>237</v>
      </c>
      <c r="D3119" s="3" t="str">
        <f>INDEX(Port_Type!$B$2:$B$227,MATCH(TRIM(C3119),Port_Type!$A$2:$A$227,0))</f>
        <v>Air Cargo</v>
      </c>
      <c r="E3119" s="3" t="s">
        <v>39</v>
      </c>
      <c r="F3119" s="3" t="str">
        <f>INDEX(Product_Category!$B$2:$B$45,MATCH(TRIM(E3119),Product_Category!$A$2:$A$45,0))</f>
        <v>Processed Foods</v>
      </c>
      <c r="G3119" s="4">
        <v>0</v>
      </c>
      <c r="H3119" s="4">
        <v>0</v>
      </c>
      <c r="I3119" s="4">
        <v>0</v>
      </c>
      <c r="J3119" s="4">
        <v>0.27</v>
      </c>
      <c r="K3119" s="4">
        <v>0.72</v>
      </c>
      <c r="L3119" s="4">
        <v>0.03</v>
      </c>
      <c r="M3119" s="4">
        <f t="shared" si="144"/>
        <v>0</v>
      </c>
      <c r="N3119" s="4">
        <f t="shared" si="145"/>
        <v>0.44999999999999996</v>
      </c>
      <c r="O3119" s="4">
        <f t="shared" si="146"/>
        <v>0</v>
      </c>
      <c r="P3119" s="3" t="s">
        <v>19</v>
      </c>
    </row>
    <row r="3120" spans="1:16" x14ac:dyDescent="0.35">
      <c r="A3120" s="3" t="s">
        <v>49</v>
      </c>
      <c r="B3120" s="3" t="str">
        <f>INDEX(State_Region!$B$2:$B$26,MATCH(TRIM(A3120),State_Region!$A$2:$A$26,0))</f>
        <v>North</v>
      </c>
      <c r="C3120" s="3" t="s">
        <v>237</v>
      </c>
      <c r="D3120" s="3" t="str">
        <f>INDEX(Port_Type!$B$2:$B$227,MATCH(TRIM(C3120),Port_Type!$A$2:$A$227,0))</f>
        <v>Air Cargo</v>
      </c>
      <c r="E3120" s="3" t="s">
        <v>126</v>
      </c>
      <c r="F3120" s="3" t="str">
        <f>INDEX(Product_Category!$B$2:$B$45,MATCH(TRIM(E3120),Product_Category!$A$2:$A$45,0))</f>
        <v>Cereals &amp; Grains</v>
      </c>
      <c r="G3120" s="4">
        <v>0</v>
      </c>
      <c r="H3120" s="4">
        <v>0.01</v>
      </c>
      <c r="I3120" s="4">
        <v>0</v>
      </c>
      <c r="J3120" s="4">
        <v>0</v>
      </c>
      <c r="K3120" s="4">
        <v>3</v>
      </c>
      <c r="L3120" s="4">
        <v>0</v>
      </c>
      <c r="M3120" s="4">
        <f t="shared" si="144"/>
        <v>0.01</v>
      </c>
      <c r="N3120" s="4">
        <f t="shared" si="145"/>
        <v>3</v>
      </c>
      <c r="O3120" s="4">
        <f t="shared" si="146"/>
        <v>-0.01</v>
      </c>
      <c r="P3120" s="3" t="s">
        <v>19</v>
      </c>
    </row>
    <row r="3121" spans="1:16" x14ac:dyDescent="0.35">
      <c r="A3121" s="3" t="s">
        <v>20</v>
      </c>
      <c r="B3121" s="3" t="str">
        <f>INDEX(State_Region!$B$2:$B$26,MATCH(TRIM(A3121),State_Region!$A$2:$A$26,0))</f>
        <v>West</v>
      </c>
      <c r="C3121" s="3" t="s">
        <v>82</v>
      </c>
      <c r="D3121" s="3" t="str">
        <f>INDEX(Port_Type!$B$2:$B$227,MATCH(TRIM(C3121),Port_Type!$A$2:$A$227,0))</f>
        <v>Inland ICD / CFS</v>
      </c>
      <c r="E3121" s="3" t="s">
        <v>60</v>
      </c>
      <c r="F3121" s="3" t="str">
        <f>INDEX(Product_Category!$B$2:$B$45,MATCH(TRIM(E3121),Product_Category!$A$2:$A$45,0))</f>
        <v>Processed Foods</v>
      </c>
      <c r="G3121" s="4">
        <v>0.02</v>
      </c>
      <c r="H3121" s="4">
        <v>0</v>
      </c>
      <c r="I3121" s="4">
        <v>0</v>
      </c>
      <c r="J3121" s="4">
        <v>4.7300000000000004</v>
      </c>
      <c r="K3121" s="4">
        <v>0</v>
      </c>
      <c r="L3121" s="4">
        <v>0</v>
      </c>
      <c r="M3121" s="4">
        <f t="shared" si="144"/>
        <v>-0.02</v>
      </c>
      <c r="N3121" s="4">
        <f t="shared" si="145"/>
        <v>-4.7300000000000004</v>
      </c>
      <c r="O3121" s="4">
        <f t="shared" si="146"/>
        <v>0</v>
      </c>
      <c r="P3121" s="3" t="s">
        <v>19</v>
      </c>
    </row>
    <row r="3122" spans="1:16" x14ac:dyDescent="0.35">
      <c r="A3122" s="3" t="s">
        <v>20</v>
      </c>
      <c r="B3122" s="3" t="str">
        <f>INDEX(State_Region!$B$2:$B$26,MATCH(TRIM(A3122),State_Region!$A$2:$A$26,0))</f>
        <v>West</v>
      </c>
      <c r="C3122" s="3" t="s">
        <v>173</v>
      </c>
      <c r="D3122" s="3" t="str">
        <f>INDEX(Port_Type!$B$2:$B$227,MATCH(TRIM(C3122),Port_Type!$A$2:$A$227,0))</f>
        <v>Inland ICD / CFS</v>
      </c>
      <c r="E3122" s="3" t="s">
        <v>181</v>
      </c>
      <c r="F3122" s="3" t="str">
        <f>INDEX(Product_Category!$B$2:$B$45,MATCH(TRIM(E3122),Product_Category!$A$2:$A$45,0))</f>
        <v>Nuts &amp; Oilseeds</v>
      </c>
      <c r="G3122" s="4">
        <v>0</v>
      </c>
      <c r="H3122" s="4">
        <v>0</v>
      </c>
      <c r="I3122" s="4">
        <v>0</v>
      </c>
      <c r="J3122" s="4">
        <v>0</v>
      </c>
      <c r="K3122" s="4">
        <v>0.04</v>
      </c>
      <c r="L3122" s="4">
        <v>0</v>
      </c>
      <c r="M3122" s="4">
        <f t="shared" si="144"/>
        <v>0</v>
      </c>
      <c r="N3122" s="4">
        <f t="shared" si="145"/>
        <v>0.04</v>
      </c>
      <c r="O3122" s="4">
        <f t="shared" si="146"/>
        <v>0</v>
      </c>
      <c r="P3122" s="3" t="s">
        <v>19</v>
      </c>
    </row>
    <row r="3123" spans="1:16" x14ac:dyDescent="0.35">
      <c r="A3123" s="3" t="s">
        <v>49</v>
      </c>
      <c r="B3123" s="3" t="str">
        <f>INDEX(State_Region!$B$2:$B$26,MATCH(TRIM(A3123),State_Region!$A$2:$A$26,0))</f>
        <v>North</v>
      </c>
      <c r="C3123" s="3" t="s">
        <v>237</v>
      </c>
      <c r="D3123" s="3" t="str">
        <f>INDEX(Port_Type!$B$2:$B$227,MATCH(TRIM(C3123),Port_Type!$A$2:$A$227,0))</f>
        <v>Air Cargo</v>
      </c>
      <c r="E3123" s="3" t="s">
        <v>33</v>
      </c>
      <c r="F3123" s="3" t="str">
        <f>INDEX(Product_Category!$B$2:$B$45,MATCH(TRIM(E3123),Product_Category!$A$2:$A$45,0))</f>
        <v>Pulses</v>
      </c>
      <c r="G3123" s="4">
        <v>0</v>
      </c>
      <c r="H3123" s="4">
        <v>0.02</v>
      </c>
      <c r="I3123" s="4">
        <v>0</v>
      </c>
      <c r="J3123" s="4">
        <v>4.9400000000000004</v>
      </c>
      <c r="K3123" s="4">
        <v>31.27</v>
      </c>
      <c r="L3123" s="4">
        <v>0</v>
      </c>
      <c r="M3123" s="4">
        <f t="shared" si="144"/>
        <v>0.02</v>
      </c>
      <c r="N3123" s="4">
        <f t="shared" si="145"/>
        <v>26.33</v>
      </c>
      <c r="O3123" s="4">
        <f t="shared" si="146"/>
        <v>-0.02</v>
      </c>
      <c r="P3123" s="3" t="s">
        <v>19</v>
      </c>
    </row>
    <row r="3124" spans="1:16" x14ac:dyDescent="0.35">
      <c r="A3124" s="3" t="s">
        <v>20</v>
      </c>
      <c r="B3124" s="3" t="str">
        <f>INDEX(State_Region!$B$2:$B$26,MATCH(TRIM(A3124),State_Region!$A$2:$A$26,0))</f>
        <v>West</v>
      </c>
      <c r="C3124" s="3" t="s">
        <v>173</v>
      </c>
      <c r="D3124" s="3" t="str">
        <f>INDEX(Port_Type!$B$2:$B$227,MATCH(TRIM(C3124),Port_Type!$A$2:$A$227,0))</f>
        <v>Inland ICD / CFS</v>
      </c>
      <c r="E3124" s="3" t="s">
        <v>102</v>
      </c>
      <c r="F3124" s="3" t="str">
        <f>INDEX(Product_Category!$B$2:$B$45,MATCH(TRIM(E3124),Product_Category!$A$2:$A$45,0))</f>
        <v>Fresh Fruits &amp; Vegetables</v>
      </c>
      <c r="G3124" s="4">
        <v>0.01</v>
      </c>
      <c r="H3124" s="4">
        <v>0</v>
      </c>
      <c r="I3124" s="4">
        <v>0</v>
      </c>
      <c r="J3124" s="4">
        <v>10.4</v>
      </c>
      <c r="K3124" s="4">
        <v>0.03</v>
      </c>
      <c r="L3124" s="4">
        <v>0</v>
      </c>
      <c r="M3124" s="4">
        <f t="shared" si="144"/>
        <v>-0.01</v>
      </c>
      <c r="N3124" s="4">
        <f t="shared" si="145"/>
        <v>-10.370000000000001</v>
      </c>
      <c r="O3124" s="4">
        <f t="shared" si="146"/>
        <v>0</v>
      </c>
      <c r="P3124" s="3" t="s">
        <v>19</v>
      </c>
    </row>
    <row r="3125" spans="1:16" x14ac:dyDescent="0.35">
      <c r="A3125" s="3" t="s">
        <v>49</v>
      </c>
      <c r="B3125" s="3" t="str">
        <f>INDEX(State_Region!$B$2:$B$26,MATCH(TRIM(A3125),State_Region!$A$2:$A$26,0))</f>
        <v>North</v>
      </c>
      <c r="C3125" s="3" t="s">
        <v>304</v>
      </c>
      <c r="D3125" s="3" t="str">
        <f>INDEX(Port_Type!$B$2:$B$227,MATCH(TRIM(C3125),Port_Type!$A$2:$A$227,0))</f>
        <v>SEZ / EPZ</v>
      </c>
      <c r="E3125" s="3" t="s">
        <v>42</v>
      </c>
      <c r="F3125" s="3" t="str">
        <f>INDEX(Product_Category!$B$2:$B$45,MATCH(TRIM(E3125),Product_Category!$A$2:$A$45,0))</f>
        <v>Processed Foods</v>
      </c>
      <c r="G3125" s="4">
        <v>0</v>
      </c>
      <c r="H3125" s="4">
        <v>0</v>
      </c>
      <c r="I3125" s="4">
        <v>0</v>
      </c>
      <c r="J3125" s="4">
        <v>0</v>
      </c>
      <c r="K3125" s="4">
        <v>0</v>
      </c>
      <c r="L3125" s="4">
        <v>0</v>
      </c>
      <c r="M3125" s="4">
        <f t="shared" si="144"/>
        <v>0</v>
      </c>
      <c r="N3125" s="4">
        <f t="shared" si="145"/>
        <v>0</v>
      </c>
      <c r="O3125" s="4">
        <f t="shared" si="146"/>
        <v>0</v>
      </c>
      <c r="P3125" s="3" t="s">
        <v>19</v>
      </c>
    </row>
    <row r="3126" spans="1:16" x14ac:dyDescent="0.35">
      <c r="A3126" s="3" t="s">
        <v>231</v>
      </c>
      <c r="B3126" s="3" t="str">
        <f>INDEX(State_Region!$B$2:$B$26,MATCH(TRIM(A3126),State_Region!$A$2:$A$26,0))</f>
        <v>North-East</v>
      </c>
      <c r="C3126" s="3" t="s">
        <v>232</v>
      </c>
      <c r="D3126" s="3" t="str">
        <f>INDEX(Port_Type!$B$2:$B$227,MATCH(TRIM(C3126),Port_Type!$A$2:$A$227,0))</f>
        <v>Land Border / Rail</v>
      </c>
      <c r="E3126" s="3" t="s">
        <v>60</v>
      </c>
      <c r="F3126" s="3" t="str">
        <f>INDEX(Product_Category!$B$2:$B$45,MATCH(TRIM(E3126),Product_Category!$A$2:$A$45,0))</f>
        <v>Processed Foods</v>
      </c>
      <c r="G3126" s="4">
        <v>0.09</v>
      </c>
      <c r="H3126" s="4">
        <v>0.02</v>
      </c>
      <c r="I3126" s="4">
        <v>0</v>
      </c>
      <c r="J3126" s="4">
        <v>25</v>
      </c>
      <c r="K3126" s="4">
        <v>12.64</v>
      </c>
      <c r="L3126" s="4">
        <v>0</v>
      </c>
      <c r="M3126" s="4">
        <f t="shared" si="144"/>
        <v>-6.9999999999999993E-2</v>
      </c>
      <c r="N3126" s="4">
        <f t="shared" si="145"/>
        <v>-12.36</v>
      </c>
      <c r="O3126" s="4">
        <f t="shared" si="146"/>
        <v>-0.02</v>
      </c>
      <c r="P3126" s="3" t="s">
        <v>19</v>
      </c>
    </row>
    <row r="3127" spans="1:16" x14ac:dyDescent="0.35">
      <c r="A3127" s="3" t="s">
        <v>231</v>
      </c>
      <c r="B3127" s="3" t="str">
        <f>INDEX(State_Region!$B$2:$B$26,MATCH(TRIM(A3127),State_Region!$A$2:$A$26,0))</f>
        <v>North-East</v>
      </c>
      <c r="C3127" s="3" t="s">
        <v>232</v>
      </c>
      <c r="D3127" s="3" t="str">
        <f>INDEX(Port_Type!$B$2:$B$227,MATCH(TRIM(C3127),Port_Type!$A$2:$A$227,0))</f>
        <v>Land Border / Rail</v>
      </c>
      <c r="E3127" s="3" t="s">
        <v>150</v>
      </c>
      <c r="F3127" s="3" t="str">
        <f>INDEX(Product_Category!$B$2:$B$45,MATCH(TRIM(E3127),Product_Category!$A$2:$A$45,0))</f>
        <v>Nuts &amp; Oilseeds</v>
      </c>
      <c r="G3127" s="4">
        <v>0</v>
      </c>
      <c r="H3127" s="4">
        <v>0</v>
      </c>
      <c r="I3127" s="4">
        <v>0</v>
      </c>
      <c r="J3127" s="4">
        <v>0.03</v>
      </c>
      <c r="K3127" s="4">
        <v>0.01</v>
      </c>
      <c r="L3127" s="4">
        <v>0</v>
      </c>
      <c r="M3127" s="4">
        <f t="shared" si="144"/>
        <v>0</v>
      </c>
      <c r="N3127" s="4">
        <f t="shared" si="145"/>
        <v>-1.9999999999999997E-2</v>
      </c>
      <c r="O3127" s="4">
        <f t="shared" si="146"/>
        <v>0</v>
      </c>
      <c r="P3127" s="3" t="s">
        <v>19</v>
      </c>
    </row>
    <row r="3128" spans="1:16" x14ac:dyDescent="0.35">
      <c r="A3128" s="3" t="s">
        <v>231</v>
      </c>
      <c r="B3128" s="3" t="str">
        <f>INDEX(State_Region!$B$2:$B$26,MATCH(TRIM(A3128),State_Region!$A$2:$A$26,0))</f>
        <v>North-East</v>
      </c>
      <c r="C3128" s="3" t="s">
        <v>232</v>
      </c>
      <c r="D3128" s="3" t="str">
        <f>INDEX(Port_Type!$B$2:$B$227,MATCH(TRIM(C3128),Port_Type!$A$2:$A$227,0))</f>
        <v>Land Border / Rail</v>
      </c>
      <c r="E3128" s="3" t="s">
        <v>110</v>
      </c>
      <c r="F3128" s="3" t="str">
        <f>INDEX(Product_Category!$B$2:$B$45,MATCH(TRIM(E3128),Product_Category!$A$2:$A$45,0))</f>
        <v>Dairy, Poultry &amp; Honey</v>
      </c>
      <c r="G3128" s="4">
        <v>0.52</v>
      </c>
      <c r="H3128" s="4">
        <v>0.59</v>
      </c>
      <c r="I3128" s="4">
        <v>0</v>
      </c>
      <c r="J3128" s="4">
        <v>1007.25</v>
      </c>
      <c r="K3128" s="4">
        <v>1184.2</v>
      </c>
      <c r="L3128" s="4">
        <v>0</v>
      </c>
      <c r="M3128" s="4">
        <f t="shared" si="144"/>
        <v>6.9999999999999951E-2</v>
      </c>
      <c r="N3128" s="4">
        <f t="shared" si="145"/>
        <v>176.95000000000005</v>
      </c>
      <c r="O3128" s="4">
        <f t="shared" si="146"/>
        <v>-0.59</v>
      </c>
      <c r="P3128" s="3" t="s">
        <v>19</v>
      </c>
    </row>
    <row r="3129" spans="1:16" x14ac:dyDescent="0.35">
      <c r="A3129" s="3" t="s">
        <v>231</v>
      </c>
      <c r="B3129" s="3" t="str">
        <f>INDEX(State_Region!$B$2:$B$26,MATCH(TRIM(A3129),State_Region!$A$2:$A$26,0))</f>
        <v>North-East</v>
      </c>
      <c r="C3129" s="3" t="s">
        <v>232</v>
      </c>
      <c r="D3129" s="3" t="str">
        <f>INDEX(Port_Type!$B$2:$B$227,MATCH(TRIM(C3129),Port_Type!$A$2:$A$227,0))</f>
        <v>Land Border / Rail</v>
      </c>
      <c r="E3129" s="3" t="s">
        <v>122</v>
      </c>
      <c r="F3129" s="3" t="str">
        <f>INDEX(Product_Category!$B$2:$B$45,MATCH(TRIM(E3129),Product_Category!$A$2:$A$45,0))</f>
        <v>Others</v>
      </c>
      <c r="G3129" s="4">
        <v>0</v>
      </c>
      <c r="H3129" s="4">
        <v>0</v>
      </c>
      <c r="I3129" s="4">
        <v>0</v>
      </c>
      <c r="J3129" s="4">
        <v>0</v>
      </c>
      <c r="K3129" s="4">
        <v>0</v>
      </c>
      <c r="L3129" s="4">
        <v>0</v>
      </c>
      <c r="M3129" s="4">
        <f t="shared" si="144"/>
        <v>0</v>
      </c>
      <c r="N3129" s="4">
        <f t="shared" si="145"/>
        <v>0</v>
      </c>
      <c r="O3129" s="4">
        <f t="shared" si="146"/>
        <v>0</v>
      </c>
      <c r="P3129" s="3" t="s">
        <v>19</v>
      </c>
    </row>
    <row r="3130" spans="1:16" x14ac:dyDescent="0.35">
      <c r="A3130" s="3" t="s">
        <v>231</v>
      </c>
      <c r="B3130" s="3" t="str">
        <f>INDEX(State_Region!$B$2:$B$26,MATCH(TRIM(A3130),State_Region!$A$2:$A$26,0))</f>
        <v>North-East</v>
      </c>
      <c r="C3130" s="3" t="s">
        <v>232</v>
      </c>
      <c r="D3130" s="3" t="str">
        <f>INDEX(Port_Type!$B$2:$B$227,MATCH(TRIM(C3130),Port_Type!$A$2:$A$227,0))</f>
        <v>Land Border / Rail</v>
      </c>
      <c r="E3130" s="3" t="s">
        <v>69</v>
      </c>
      <c r="F3130" s="3" t="str">
        <f>INDEX(Product_Category!$B$2:$B$45,MATCH(TRIM(E3130),Product_Category!$A$2:$A$45,0))</f>
        <v>Others</v>
      </c>
      <c r="G3130" s="4">
        <v>0</v>
      </c>
      <c r="H3130" s="4">
        <v>0</v>
      </c>
      <c r="I3130" s="4">
        <v>0</v>
      </c>
      <c r="J3130" s="4">
        <v>0.1</v>
      </c>
      <c r="K3130" s="4">
        <v>0.01</v>
      </c>
      <c r="L3130" s="4">
        <v>0</v>
      </c>
      <c r="M3130" s="4">
        <f t="shared" si="144"/>
        <v>0</v>
      </c>
      <c r="N3130" s="4">
        <f t="shared" si="145"/>
        <v>-9.0000000000000011E-2</v>
      </c>
      <c r="O3130" s="4">
        <f t="shared" si="146"/>
        <v>0</v>
      </c>
      <c r="P3130" s="3" t="s">
        <v>19</v>
      </c>
    </row>
    <row r="3131" spans="1:16" x14ac:dyDescent="0.35">
      <c r="A3131" s="3" t="s">
        <v>231</v>
      </c>
      <c r="B3131" s="3" t="str">
        <f>INDEX(State_Region!$B$2:$B$26,MATCH(TRIM(A3131),State_Region!$A$2:$A$26,0))</f>
        <v>North-East</v>
      </c>
      <c r="C3131" s="3" t="s">
        <v>232</v>
      </c>
      <c r="D3131" s="3" t="str">
        <f>INDEX(Port_Type!$B$2:$B$227,MATCH(TRIM(C3131),Port_Type!$A$2:$A$227,0))</f>
        <v>Land Border / Rail</v>
      </c>
      <c r="E3131" s="3" t="s">
        <v>46</v>
      </c>
      <c r="F3131" s="3" t="str">
        <f>INDEX(Product_Category!$B$2:$B$45,MATCH(TRIM(E3131),Product_Category!$A$2:$A$45,0))</f>
        <v>Others</v>
      </c>
      <c r="G3131" s="4">
        <v>0</v>
      </c>
      <c r="H3131" s="4">
        <v>0</v>
      </c>
      <c r="I3131" s="4">
        <v>0</v>
      </c>
      <c r="J3131" s="4">
        <v>0.01</v>
      </c>
      <c r="K3131" s="4">
        <v>7.0000000000000007E-2</v>
      </c>
      <c r="L3131" s="4">
        <v>0.01</v>
      </c>
      <c r="M3131" s="4">
        <f t="shared" si="144"/>
        <v>0</v>
      </c>
      <c r="N3131" s="4">
        <f t="shared" si="145"/>
        <v>6.0000000000000005E-2</v>
      </c>
      <c r="O3131" s="4">
        <f t="shared" si="146"/>
        <v>0</v>
      </c>
      <c r="P3131" s="3" t="s">
        <v>19</v>
      </c>
    </row>
    <row r="3132" spans="1:16" x14ac:dyDescent="0.35">
      <c r="A3132" s="3" t="s">
        <v>20</v>
      </c>
      <c r="B3132" s="3" t="str">
        <f>INDEX(State_Region!$B$2:$B$26,MATCH(TRIM(A3132),State_Region!$A$2:$A$26,0))</f>
        <v>West</v>
      </c>
      <c r="C3132" s="3" t="s">
        <v>173</v>
      </c>
      <c r="D3132" s="3" t="str">
        <f>INDEX(Port_Type!$B$2:$B$227,MATCH(TRIM(C3132),Port_Type!$A$2:$A$227,0))</f>
        <v>Inland ICD / CFS</v>
      </c>
      <c r="E3132" s="3" t="s">
        <v>118</v>
      </c>
      <c r="F3132" s="3" t="str">
        <f>INDEX(Product_Category!$B$2:$B$45,MATCH(TRIM(E3132),Product_Category!$A$2:$A$45,0))</f>
        <v>Dairy, Poultry &amp; Honey</v>
      </c>
      <c r="G3132" s="4">
        <v>0</v>
      </c>
      <c r="H3132" s="4">
        <v>0</v>
      </c>
      <c r="I3132" s="4">
        <v>0</v>
      </c>
      <c r="J3132" s="4">
        <v>0.2</v>
      </c>
      <c r="K3132" s="4">
        <v>0</v>
      </c>
      <c r="L3132" s="4">
        <v>0</v>
      </c>
      <c r="M3132" s="4">
        <f t="shared" si="144"/>
        <v>0</v>
      </c>
      <c r="N3132" s="4">
        <f t="shared" si="145"/>
        <v>-0.2</v>
      </c>
      <c r="O3132" s="4">
        <f t="shared" si="146"/>
        <v>0</v>
      </c>
      <c r="P3132" s="3" t="s">
        <v>19</v>
      </c>
    </row>
    <row r="3133" spans="1:16" x14ac:dyDescent="0.35">
      <c r="A3133" s="3" t="s">
        <v>231</v>
      </c>
      <c r="B3133" s="3" t="str">
        <f>INDEX(State_Region!$B$2:$B$26,MATCH(TRIM(A3133),State_Region!$A$2:$A$26,0))</f>
        <v>North-East</v>
      </c>
      <c r="C3133" s="3" t="s">
        <v>232</v>
      </c>
      <c r="D3133" s="3" t="str">
        <f>INDEX(Port_Type!$B$2:$B$227,MATCH(TRIM(C3133),Port_Type!$A$2:$A$227,0))</f>
        <v>Land Border / Rail</v>
      </c>
      <c r="E3133" s="3" t="s">
        <v>144</v>
      </c>
      <c r="F3133" s="3" t="str">
        <f>INDEX(Product_Category!$B$2:$B$45,MATCH(TRIM(E3133),Product_Category!$A$2:$A$45,0))</f>
        <v>Cereals &amp; Grains</v>
      </c>
      <c r="G3133" s="4">
        <v>0</v>
      </c>
      <c r="H3133" s="4">
        <v>0</v>
      </c>
      <c r="I3133" s="4">
        <v>0</v>
      </c>
      <c r="J3133" s="4">
        <v>0.02</v>
      </c>
      <c r="K3133" s="4">
        <v>0</v>
      </c>
      <c r="L3133" s="4">
        <v>0</v>
      </c>
      <c r="M3133" s="4">
        <f t="shared" si="144"/>
        <v>0</v>
      </c>
      <c r="N3133" s="4">
        <f t="shared" si="145"/>
        <v>-0.02</v>
      </c>
      <c r="O3133" s="4">
        <f t="shared" si="146"/>
        <v>0</v>
      </c>
      <c r="P3133" s="3" t="s">
        <v>19</v>
      </c>
    </row>
    <row r="3134" spans="1:16" x14ac:dyDescent="0.35">
      <c r="A3134" s="3" t="s">
        <v>20</v>
      </c>
      <c r="B3134" s="3" t="str">
        <f>INDEX(State_Region!$B$2:$B$26,MATCH(TRIM(A3134),State_Region!$A$2:$A$26,0))</f>
        <v>West</v>
      </c>
      <c r="C3134" s="3" t="s">
        <v>173</v>
      </c>
      <c r="D3134" s="3" t="str">
        <f>INDEX(Port_Type!$B$2:$B$227,MATCH(TRIM(C3134),Port_Type!$A$2:$A$227,0))</f>
        <v>Inland ICD / CFS</v>
      </c>
      <c r="E3134" s="3" t="s">
        <v>51</v>
      </c>
      <c r="F3134" s="3" t="str">
        <f>INDEX(Product_Category!$B$2:$B$45,MATCH(TRIM(E3134),Product_Category!$A$2:$A$45,0))</f>
        <v>Nuts &amp; Oilseeds</v>
      </c>
      <c r="G3134" s="4">
        <v>0</v>
      </c>
      <c r="H3134" s="4">
        <v>0</v>
      </c>
      <c r="I3134" s="4">
        <v>0</v>
      </c>
      <c r="J3134" s="4">
        <v>0.3</v>
      </c>
      <c r="K3134" s="4">
        <v>0.03</v>
      </c>
      <c r="L3134" s="4">
        <v>0</v>
      </c>
      <c r="M3134" s="4">
        <f t="shared" si="144"/>
        <v>0</v>
      </c>
      <c r="N3134" s="4">
        <f t="shared" si="145"/>
        <v>-0.27</v>
      </c>
      <c r="O3134" s="4">
        <f t="shared" si="146"/>
        <v>0</v>
      </c>
      <c r="P3134" s="3" t="s">
        <v>19</v>
      </c>
    </row>
    <row r="3135" spans="1:16" x14ac:dyDescent="0.35">
      <c r="A3135" s="3" t="s">
        <v>231</v>
      </c>
      <c r="B3135" s="3" t="str">
        <f>INDEX(State_Region!$B$2:$B$26,MATCH(TRIM(A3135),State_Region!$A$2:$A$26,0))</f>
        <v>North-East</v>
      </c>
      <c r="C3135" s="3" t="s">
        <v>232</v>
      </c>
      <c r="D3135" s="3" t="str">
        <f>INDEX(Port_Type!$B$2:$B$227,MATCH(TRIM(C3135),Port_Type!$A$2:$A$227,0))</f>
        <v>Land Border / Rail</v>
      </c>
      <c r="E3135" s="3" t="s">
        <v>27</v>
      </c>
      <c r="F3135" s="3" t="str">
        <f>INDEX(Product_Category!$B$2:$B$45,MATCH(TRIM(E3135),Product_Category!$A$2:$A$45,0))</f>
        <v>Cereals &amp; Grains</v>
      </c>
      <c r="G3135" s="4">
        <v>0.09</v>
      </c>
      <c r="H3135" s="4">
        <v>0.02</v>
      </c>
      <c r="I3135" s="4">
        <v>0</v>
      </c>
      <c r="J3135" s="4">
        <v>245.85</v>
      </c>
      <c r="K3135" s="4">
        <v>39.14</v>
      </c>
      <c r="L3135" s="4">
        <v>0</v>
      </c>
      <c r="M3135" s="4">
        <f t="shared" si="144"/>
        <v>-6.9999999999999993E-2</v>
      </c>
      <c r="N3135" s="4">
        <f t="shared" si="145"/>
        <v>-206.70999999999998</v>
      </c>
      <c r="O3135" s="4">
        <f t="shared" si="146"/>
        <v>-0.02</v>
      </c>
      <c r="P3135" s="3" t="s">
        <v>19</v>
      </c>
    </row>
    <row r="3136" spans="1:16" x14ac:dyDescent="0.35">
      <c r="A3136" s="3" t="s">
        <v>20</v>
      </c>
      <c r="B3136" s="3" t="str">
        <f>INDEX(State_Region!$B$2:$B$26,MATCH(TRIM(A3136),State_Region!$A$2:$A$26,0))</f>
        <v>West</v>
      </c>
      <c r="C3136" s="3" t="s">
        <v>173</v>
      </c>
      <c r="D3136" s="3" t="str">
        <f>INDEX(Port_Type!$B$2:$B$227,MATCH(TRIM(C3136),Port_Type!$A$2:$A$227,0))</f>
        <v>Inland ICD / CFS</v>
      </c>
      <c r="E3136" s="3" t="s">
        <v>55</v>
      </c>
      <c r="F3136" s="3" t="str">
        <f>INDEX(Product_Category!$B$2:$B$45,MATCH(TRIM(E3136),Product_Category!$A$2:$A$45,0))</f>
        <v>Fresh Fruits &amp; Vegetables</v>
      </c>
      <c r="G3136" s="4">
        <v>0</v>
      </c>
      <c r="H3136" s="4">
        <v>0.01</v>
      </c>
      <c r="I3136" s="4">
        <v>0</v>
      </c>
      <c r="J3136" s="4">
        <v>0</v>
      </c>
      <c r="K3136" s="4">
        <v>29.92</v>
      </c>
      <c r="L3136" s="4">
        <v>0</v>
      </c>
      <c r="M3136" s="4">
        <f t="shared" si="144"/>
        <v>0.01</v>
      </c>
      <c r="N3136" s="4">
        <f t="shared" si="145"/>
        <v>29.92</v>
      </c>
      <c r="O3136" s="4">
        <f t="shared" si="146"/>
        <v>-0.01</v>
      </c>
      <c r="P3136" s="3" t="s">
        <v>19</v>
      </c>
    </row>
    <row r="3137" spans="1:16" x14ac:dyDescent="0.35">
      <c r="A3137" s="3" t="s">
        <v>231</v>
      </c>
      <c r="B3137" s="3" t="str">
        <f>INDEX(State_Region!$B$2:$B$26,MATCH(TRIM(A3137),State_Region!$A$2:$A$26,0))</f>
        <v>North-East</v>
      </c>
      <c r="C3137" s="3" t="s">
        <v>232</v>
      </c>
      <c r="D3137" s="3" t="str">
        <f>INDEX(Port_Type!$B$2:$B$227,MATCH(TRIM(C3137),Port_Type!$A$2:$A$227,0))</f>
        <v>Land Border / Rail</v>
      </c>
      <c r="E3137" s="3" t="s">
        <v>128</v>
      </c>
      <c r="F3137" s="3" t="str">
        <f>INDEX(Product_Category!$B$2:$B$45,MATCH(TRIM(E3137),Product_Category!$A$2:$A$45,0))</f>
        <v>Dairy, Poultry &amp; Honey</v>
      </c>
      <c r="G3137" s="4">
        <v>0</v>
      </c>
      <c r="H3137" s="4">
        <v>0</v>
      </c>
      <c r="I3137" s="4">
        <v>0</v>
      </c>
      <c r="J3137" s="4">
        <v>0.17</v>
      </c>
      <c r="K3137" s="4">
        <v>0</v>
      </c>
      <c r="L3137" s="4">
        <v>0</v>
      </c>
      <c r="M3137" s="4">
        <f t="shared" si="144"/>
        <v>0</v>
      </c>
      <c r="N3137" s="4">
        <f t="shared" si="145"/>
        <v>-0.17</v>
      </c>
      <c r="O3137" s="4">
        <f t="shared" si="146"/>
        <v>0</v>
      </c>
      <c r="P3137" s="3" t="s">
        <v>19</v>
      </c>
    </row>
    <row r="3138" spans="1:16" x14ac:dyDescent="0.35">
      <c r="A3138" s="3" t="s">
        <v>20</v>
      </c>
      <c r="B3138" s="3" t="str">
        <f>INDEX(State_Region!$B$2:$B$26,MATCH(TRIM(A3138),State_Region!$A$2:$A$26,0))</f>
        <v>West</v>
      </c>
      <c r="C3138" s="3" t="s">
        <v>173</v>
      </c>
      <c r="D3138" s="3" t="str">
        <f>INDEX(Port_Type!$B$2:$B$227,MATCH(TRIM(C3138),Port_Type!$A$2:$A$227,0))</f>
        <v>Inland ICD / CFS</v>
      </c>
      <c r="E3138" s="3" t="s">
        <v>83</v>
      </c>
      <c r="F3138" s="3" t="str">
        <f>INDEX(Product_Category!$B$2:$B$45,MATCH(TRIM(E3138),Product_Category!$A$2:$A$45,0))</f>
        <v>Fresh Fruits &amp; Vegetables</v>
      </c>
      <c r="G3138" s="4">
        <v>0</v>
      </c>
      <c r="H3138" s="4">
        <v>0.06</v>
      </c>
      <c r="I3138" s="4">
        <v>0</v>
      </c>
      <c r="J3138" s="4">
        <v>0</v>
      </c>
      <c r="K3138" s="4">
        <v>23.81</v>
      </c>
      <c r="L3138" s="4">
        <v>0</v>
      </c>
      <c r="M3138" s="4">
        <f t="shared" ref="M3138:M3201" si="147">H3138-G3138</f>
        <v>0.06</v>
      </c>
      <c r="N3138" s="4">
        <f t="shared" ref="N3138:N3201" si="148">K3138-J3138</f>
        <v>23.81</v>
      </c>
      <c r="O3138" s="4">
        <f t="shared" ref="O3138:O3201" si="149">I3138-H3138</f>
        <v>-0.06</v>
      </c>
      <c r="P3138" s="3" t="s">
        <v>19</v>
      </c>
    </row>
    <row r="3139" spans="1:16" x14ac:dyDescent="0.35">
      <c r="A3139" s="3" t="s">
        <v>231</v>
      </c>
      <c r="B3139" s="3" t="str">
        <f>INDEX(State_Region!$B$2:$B$26,MATCH(TRIM(A3139),State_Region!$A$2:$A$26,0))</f>
        <v>North-East</v>
      </c>
      <c r="C3139" s="3" t="s">
        <v>232</v>
      </c>
      <c r="D3139" s="3" t="str">
        <f>INDEX(Port_Type!$B$2:$B$227,MATCH(TRIM(C3139),Port_Type!$A$2:$A$227,0))</f>
        <v>Land Border / Rail</v>
      </c>
      <c r="E3139" s="3" t="s">
        <v>221</v>
      </c>
      <c r="F3139" s="3" t="str">
        <f>INDEX(Product_Category!$B$2:$B$45,MATCH(TRIM(E3139),Product_Category!$A$2:$A$45,0))</f>
        <v>Meat &amp; Animal Products</v>
      </c>
      <c r="G3139" s="4">
        <v>0</v>
      </c>
      <c r="H3139" s="4">
        <v>0</v>
      </c>
      <c r="I3139" s="4">
        <v>0</v>
      </c>
      <c r="J3139" s="4">
        <v>0.69</v>
      </c>
      <c r="K3139" s="4">
        <v>0</v>
      </c>
      <c r="L3139" s="4">
        <v>0</v>
      </c>
      <c r="M3139" s="4">
        <f t="shared" si="147"/>
        <v>0</v>
      </c>
      <c r="N3139" s="4">
        <f t="shared" si="148"/>
        <v>-0.69</v>
      </c>
      <c r="O3139" s="4">
        <f t="shared" si="149"/>
        <v>0</v>
      </c>
      <c r="P3139" s="3" t="s">
        <v>19</v>
      </c>
    </row>
    <row r="3140" spans="1:16" x14ac:dyDescent="0.35">
      <c r="A3140" s="3" t="s">
        <v>20</v>
      </c>
      <c r="B3140" s="3" t="str">
        <f>INDEX(State_Region!$B$2:$B$26,MATCH(TRIM(A3140),State_Region!$A$2:$A$26,0))</f>
        <v>West</v>
      </c>
      <c r="C3140" s="3" t="s">
        <v>173</v>
      </c>
      <c r="D3140" s="3" t="str">
        <f>INDEX(Port_Type!$B$2:$B$227,MATCH(TRIM(C3140),Port_Type!$A$2:$A$227,0))</f>
        <v>Inland ICD / CFS</v>
      </c>
      <c r="E3140" s="3" t="s">
        <v>122</v>
      </c>
      <c r="F3140" s="3" t="str">
        <f>INDEX(Product_Category!$B$2:$B$45,MATCH(TRIM(E3140),Product_Category!$A$2:$A$45,0))</f>
        <v>Others</v>
      </c>
      <c r="G3140" s="4">
        <v>0.53</v>
      </c>
      <c r="H3140" s="4">
        <v>0.02</v>
      </c>
      <c r="I3140" s="4">
        <v>0</v>
      </c>
      <c r="J3140" s="4">
        <v>129.72999999999999</v>
      </c>
      <c r="K3140" s="4">
        <v>36.799999999999997</v>
      </c>
      <c r="L3140" s="4">
        <v>0</v>
      </c>
      <c r="M3140" s="4">
        <f t="shared" si="147"/>
        <v>-0.51</v>
      </c>
      <c r="N3140" s="4">
        <f t="shared" si="148"/>
        <v>-92.929999999999993</v>
      </c>
      <c r="O3140" s="4">
        <f t="shared" si="149"/>
        <v>-0.02</v>
      </c>
      <c r="P3140" s="3" t="s">
        <v>19</v>
      </c>
    </row>
    <row r="3141" spans="1:16" x14ac:dyDescent="0.35">
      <c r="A3141" s="3" t="s">
        <v>231</v>
      </c>
      <c r="B3141" s="3" t="str">
        <f>INDEX(State_Region!$B$2:$B$26,MATCH(TRIM(A3141),State_Region!$A$2:$A$26,0))</f>
        <v>North-East</v>
      </c>
      <c r="C3141" s="3" t="s">
        <v>232</v>
      </c>
      <c r="D3141" s="3" t="str">
        <f>INDEX(Port_Type!$B$2:$B$227,MATCH(TRIM(C3141),Port_Type!$A$2:$A$227,0))</f>
        <v>Land Border / Rail</v>
      </c>
      <c r="E3141" s="3" t="s">
        <v>181</v>
      </c>
      <c r="F3141" s="3" t="str">
        <f>INDEX(Product_Category!$B$2:$B$45,MATCH(TRIM(E3141),Product_Category!$A$2:$A$45,0))</f>
        <v>Nuts &amp; Oilseeds</v>
      </c>
      <c r="G3141" s="4">
        <v>0</v>
      </c>
      <c r="H3141" s="4">
        <v>0</v>
      </c>
      <c r="I3141" s="4">
        <v>0</v>
      </c>
      <c r="J3141" s="4">
        <v>0.42</v>
      </c>
      <c r="K3141" s="4">
        <v>0.1</v>
      </c>
      <c r="L3141" s="4">
        <v>0</v>
      </c>
      <c r="M3141" s="4">
        <f t="shared" si="147"/>
        <v>0</v>
      </c>
      <c r="N3141" s="4">
        <f t="shared" si="148"/>
        <v>-0.31999999999999995</v>
      </c>
      <c r="O3141" s="4">
        <f t="shared" si="149"/>
        <v>0</v>
      </c>
      <c r="P3141" s="3" t="s">
        <v>19</v>
      </c>
    </row>
    <row r="3142" spans="1:16" x14ac:dyDescent="0.35">
      <c r="A3142" s="3" t="s">
        <v>231</v>
      </c>
      <c r="B3142" s="3" t="str">
        <f>INDEX(State_Region!$B$2:$B$26,MATCH(TRIM(A3142),State_Region!$A$2:$A$26,0))</f>
        <v>North-East</v>
      </c>
      <c r="C3142" s="3" t="s">
        <v>232</v>
      </c>
      <c r="D3142" s="3" t="str">
        <f>INDEX(Port_Type!$B$2:$B$227,MATCH(TRIM(C3142),Port_Type!$A$2:$A$227,0))</f>
        <v>Land Border / Rail</v>
      </c>
      <c r="E3142" s="3" t="s">
        <v>113</v>
      </c>
      <c r="F3142" s="3" t="str">
        <f>INDEX(Product_Category!$B$2:$B$45,MATCH(TRIM(E3142),Product_Category!$A$2:$A$45,0))</f>
        <v>Cereals &amp; Grains</v>
      </c>
      <c r="G3142" s="4">
        <v>0</v>
      </c>
      <c r="H3142" s="4">
        <v>0</v>
      </c>
      <c r="I3142" s="4">
        <v>0</v>
      </c>
      <c r="J3142" s="4">
        <v>0</v>
      </c>
      <c r="K3142" s="4">
        <v>0.63</v>
      </c>
      <c r="L3142" s="4">
        <v>0</v>
      </c>
      <c r="M3142" s="4">
        <f t="shared" si="147"/>
        <v>0</v>
      </c>
      <c r="N3142" s="4">
        <f t="shared" si="148"/>
        <v>0.63</v>
      </c>
      <c r="O3142" s="4">
        <f t="shared" si="149"/>
        <v>0</v>
      </c>
      <c r="P3142" s="3" t="s">
        <v>19</v>
      </c>
    </row>
    <row r="3143" spans="1:16" x14ac:dyDescent="0.35">
      <c r="A3143" s="3" t="s">
        <v>231</v>
      </c>
      <c r="B3143" s="3" t="str">
        <f>INDEX(State_Region!$B$2:$B$26,MATCH(TRIM(A3143),State_Region!$A$2:$A$26,0))</f>
        <v>North-East</v>
      </c>
      <c r="C3143" s="3" t="s">
        <v>236</v>
      </c>
      <c r="D3143" s="3" t="str">
        <f>INDEX(Port_Type!$B$2:$B$227,MATCH(TRIM(C3143),Port_Type!$A$2:$A$227,0))</f>
        <v>Land Border / Rail</v>
      </c>
      <c r="E3143" s="3" t="s">
        <v>18</v>
      </c>
      <c r="F3143" s="3" t="str">
        <f>INDEX(Product_Category!$B$2:$B$45,MATCH(TRIM(E3143),Product_Category!$A$2:$A$45,0))</f>
        <v>Cereals &amp; Grains</v>
      </c>
      <c r="G3143" s="4">
        <v>0</v>
      </c>
      <c r="H3143" s="4">
        <v>0.02</v>
      </c>
      <c r="I3143" s="4">
        <v>0</v>
      </c>
      <c r="J3143" s="4">
        <v>0</v>
      </c>
      <c r="K3143" s="4">
        <v>26.9</v>
      </c>
      <c r="L3143" s="4">
        <v>0</v>
      </c>
      <c r="M3143" s="4">
        <f t="shared" si="147"/>
        <v>0.02</v>
      </c>
      <c r="N3143" s="4">
        <f t="shared" si="148"/>
        <v>26.9</v>
      </c>
      <c r="O3143" s="4">
        <f t="shared" si="149"/>
        <v>-0.02</v>
      </c>
      <c r="P3143" s="3" t="s">
        <v>19</v>
      </c>
    </row>
    <row r="3144" spans="1:16" x14ac:dyDescent="0.35">
      <c r="A3144" s="3" t="s">
        <v>231</v>
      </c>
      <c r="B3144" s="3" t="str">
        <f>INDEX(State_Region!$B$2:$B$26,MATCH(TRIM(A3144),State_Region!$A$2:$A$26,0))</f>
        <v>North-East</v>
      </c>
      <c r="C3144" s="3" t="s">
        <v>236</v>
      </c>
      <c r="D3144" s="3" t="str">
        <f>INDEX(Port_Type!$B$2:$B$227,MATCH(TRIM(C3144),Port_Type!$A$2:$A$227,0))</f>
        <v>Land Border / Rail</v>
      </c>
      <c r="E3144" s="3" t="s">
        <v>84</v>
      </c>
      <c r="F3144" s="3" t="str">
        <f>INDEX(Product_Category!$B$2:$B$45,MATCH(TRIM(E3144),Product_Category!$A$2:$A$45,0))</f>
        <v>Nuts &amp; Oilseeds</v>
      </c>
      <c r="G3144" s="4">
        <v>0</v>
      </c>
      <c r="H3144" s="4">
        <v>0</v>
      </c>
      <c r="I3144" s="4">
        <v>0</v>
      </c>
      <c r="J3144" s="4">
        <v>0</v>
      </c>
      <c r="K3144" s="4">
        <v>0.01</v>
      </c>
      <c r="L3144" s="4">
        <v>0</v>
      </c>
      <c r="M3144" s="4">
        <f t="shared" si="147"/>
        <v>0</v>
      </c>
      <c r="N3144" s="4">
        <f t="shared" si="148"/>
        <v>0.01</v>
      </c>
      <c r="O3144" s="4">
        <f t="shared" si="149"/>
        <v>0</v>
      </c>
      <c r="P3144" s="3" t="s">
        <v>19</v>
      </c>
    </row>
    <row r="3145" spans="1:16" x14ac:dyDescent="0.35">
      <c r="A3145" s="3" t="s">
        <v>20</v>
      </c>
      <c r="B3145" s="3" t="str">
        <f>INDEX(State_Region!$B$2:$B$26,MATCH(TRIM(A3145),State_Region!$A$2:$A$26,0))</f>
        <v>West</v>
      </c>
      <c r="C3145" s="3" t="s">
        <v>173</v>
      </c>
      <c r="D3145" s="3" t="str">
        <f>INDEX(Port_Type!$B$2:$B$227,MATCH(TRIM(C3145),Port_Type!$A$2:$A$227,0))</f>
        <v>Inland ICD / CFS</v>
      </c>
      <c r="E3145" s="3" t="s">
        <v>150</v>
      </c>
      <c r="F3145" s="3" t="str">
        <f>INDEX(Product_Category!$B$2:$B$45,MATCH(TRIM(E3145),Product_Category!$A$2:$A$45,0))</f>
        <v>Nuts &amp; Oilseeds</v>
      </c>
      <c r="G3145" s="4">
        <v>0</v>
      </c>
      <c r="H3145" s="4">
        <v>0</v>
      </c>
      <c r="I3145" s="4">
        <v>0</v>
      </c>
      <c r="J3145" s="4">
        <v>7.0000000000000007E-2</v>
      </c>
      <c r="K3145" s="4">
        <v>0.01</v>
      </c>
      <c r="L3145" s="4">
        <v>0</v>
      </c>
      <c r="M3145" s="4">
        <f t="shared" si="147"/>
        <v>0</v>
      </c>
      <c r="N3145" s="4">
        <f t="shared" si="148"/>
        <v>-6.0000000000000005E-2</v>
      </c>
      <c r="O3145" s="4">
        <f t="shared" si="149"/>
        <v>0</v>
      </c>
      <c r="P3145" s="3" t="s">
        <v>19</v>
      </c>
    </row>
    <row r="3146" spans="1:16" x14ac:dyDescent="0.35">
      <c r="A3146" s="3" t="s">
        <v>231</v>
      </c>
      <c r="B3146" s="3" t="str">
        <f>INDEX(State_Region!$B$2:$B$26,MATCH(TRIM(A3146),State_Region!$A$2:$A$26,0))</f>
        <v>North-East</v>
      </c>
      <c r="C3146" s="3" t="s">
        <v>236</v>
      </c>
      <c r="D3146" s="3" t="str">
        <f>INDEX(Port_Type!$B$2:$B$227,MATCH(TRIM(C3146),Port_Type!$A$2:$A$227,0))</f>
        <v>Land Border / Rail</v>
      </c>
      <c r="E3146" s="3" t="s">
        <v>51</v>
      </c>
      <c r="F3146" s="3" t="str">
        <f>INDEX(Product_Category!$B$2:$B$45,MATCH(TRIM(E3146),Product_Category!$A$2:$A$45,0))</f>
        <v>Nuts &amp; Oilseeds</v>
      </c>
      <c r="G3146" s="4">
        <v>0</v>
      </c>
      <c r="H3146" s="4">
        <v>0</v>
      </c>
      <c r="I3146" s="4">
        <v>0</v>
      </c>
      <c r="J3146" s="4">
        <v>0.01</v>
      </c>
      <c r="K3146" s="4">
        <v>0</v>
      </c>
      <c r="L3146" s="4">
        <v>0</v>
      </c>
      <c r="M3146" s="4">
        <f t="shared" si="147"/>
        <v>0</v>
      </c>
      <c r="N3146" s="4">
        <f t="shared" si="148"/>
        <v>-0.01</v>
      </c>
      <c r="O3146" s="4">
        <f t="shared" si="149"/>
        <v>0</v>
      </c>
      <c r="P3146" s="3" t="s">
        <v>19</v>
      </c>
    </row>
    <row r="3147" spans="1:16" x14ac:dyDescent="0.35">
      <c r="A3147" s="3" t="s">
        <v>231</v>
      </c>
      <c r="B3147" s="3" t="str">
        <f>INDEX(State_Region!$B$2:$B$26,MATCH(TRIM(A3147),State_Region!$A$2:$A$26,0))</f>
        <v>North-East</v>
      </c>
      <c r="C3147" s="3" t="s">
        <v>236</v>
      </c>
      <c r="D3147" s="3" t="str">
        <f>INDEX(Port_Type!$B$2:$B$227,MATCH(TRIM(C3147),Port_Type!$A$2:$A$227,0))</f>
        <v>Land Border / Rail</v>
      </c>
      <c r="E3147" s="3" t="s">
        <v>27</v>
      </c>
      <c r="F3147" s="3" t="str">
        <f>INDEX(Product_Category!$B$2:$B$45,MATCH(TRIM(E3147),Product_Category!$A$2:$A$45,0))</f>
        <v>Cereals &amp; Grains</v>
      </c>
      <c r="G3147" s="4">
        <v>0</v>
      </c>
      <c r="H3147" s="4">
        <v>0.08</v>
      </c>
      <c r="I3147" s="4">
        <v>0</v>
      </c>
      <c r="J3147" s="4">
        <v>0</v>
      </c>
      <c r="K3147" s="4">
        <v>209.26</v>
      </c>
      <c r="L3147" s="4">
        <v>0</v>
      </c>
      <c r="M3147" s="4">
        <f t="shared" si="147"/>
        <v>0.08</v>
      </c>
      <c r="N3147" s="4">
        <f t="shared" si="148"/>
        <v>209.26</v>
      </c>
      <c r="O3147" s="4">
        <f t="shared" si="149"/>
        <v>-0.08</v>
      </c>
      <c r="P3147" s="3" t="s">
        <v>19</v>
      </c>
    </row>
    <row r="3148" spans="1:16" x14ac:dyDescent="0.35">
      <c r="A3148" s="3" t="s">
        <v>20</v>
      </c>
      <c r="B3148" s="3" t="str">
        <f>INDEX(State_Region!$B$2:$B$26,MATCH(TRIM(A3148),State_Region!$A$2:$A$26,0))</f>
        <v>West</v>
      </c>
      <c r="C3148" s="3" t="s">
        <v>173</v>
      </c>
      <c r="D3148" s="3" t="str">
        <f>INDEX(Port_Type!$B$2:$B$227,MATCH(TRIM(C3148),Port_Type!$A$2:$A$227,0))</f>
        <v>Inland ICD / CFS</v>
      </c>
      <c r="E3148" s="3" t="s">
        <v>22</v>
      </c>
      <c r="F3148" s="3" t="str">
        <f>INDEX(Product_Category!$B$2:$B$45,MATCH(TRIM(E3148),Product_Category!$A$2:$A$45,0))</f>
        <v>Meat &amp; Animal Products</v>
      </c>
      <c r="G3148" s="4">
        <v>0</v>
      </c>
      <c r="H3148" s="4">
        <v>0.22</v>
      </c>
      <c r="I3148" s="4">
        <v>0</v>
      </c>
      <c r="J3148" s="4">
        <v>0</v>
      </c>
      <c r="K3148" s="4">
        <v>57</v>
      </c>
      <c r="L3148" s="4">
        <v>0</v>
      </c>
      <c r="M3148" s="4">
        <f t="shared" si="147"/>
        <v>0.22</v>
      </c>
      <c r="N3148" s="4">
        <f t="shared" si="148"/>
        <v>57</v>
      </c>
      <c r="O3148" s="4">
        <f t="shared" si="149"/>
        <v>-0.22</v>
      </c>
      <c r="P3148" s="3" t="s">
        <v>19</v>
      </c>
    </row>
    <row r="3149" spans="1:16" x14ac:dyDescent="0.35">
      <c r="A3149" s="3" t="s">
        <v>20</v>
      </c>
      <c r="B3149" s="3" t="str">
        <f>INDEX(State_Region!$B$2:$B$26,MATCH(TRIM(A3149),State_Region!$A$2:$A$26,0))</f>
        <v>West</v>
      </c>
      <c r="C3149" s="3" t="s">
        <v>173</v>
      </c>
      <c r="D3149" s="3" t="str">
        <f>INDEX(Port_Type!$B$2:$B$227,MATCH(TRIM(C3149),Port_Type!$A$2:$A$227,0))</f>
        <v>Inland ICD / CFS</v>
      </c>
      <c r="E3149" s="3" t="s">
        <v>18</v>
      </c>
      <c r="F3149" s="3" t="str">
        <f>INDEX(Product_Category!$B$2:$B$45,MATCH(TRIM(E3149),Product_Category!$A$2:$A$45,0))</f>
        <v>Cereals &amp; Grains</v>
      </c>
      <c r="G3149" s="4">
        <v>0.01</v>
      </c>
      <c r="H3149" s="4">
        <v>0</v>
      </c>
      <c r="I3149" s="4">
        <v>0</v>
      </c>
      <c r="J3149" s="4">
        <v>7.36</v>
      </c>
      <c r="K3149" s="4">
        <v>0.1</v>
      </c>
      <c r="L3149" s="4">
        <v>0</v>
      </c>
      <c r="M3149" s="4">
        <f t="shared" si="147"/>
        <v>-0.01</v>
      </c>
      <c r="N3149" s="4">
        <f t="shared" si="148"/>
        <v>-7.2600000000000007</v>
      </c>
      <c r="O3149" s="4">
        <f t="shared" si="149"/>
        <v>0</v>
      </c>
      <c r="P3149" s="3" t="s">
        <v>19</v>
      </c>
    </row>
    <row r="3150" spans="1:16" x14ac:dyDescent="0.35">
      <c r="A3150" s="3" t="s">
        <v>40</v>
      </c>
      <c r="B3150" s="3" t="str">
        <f>INDEX(State_Region!$B$2:$B$26,MATCH(TRIM(A3150),State_Region!$A$2:$A$26,0))</f>
        <v>South</v>
      </c>
      <c r="C3150" s="3" t="s">
        <v>211</v>
      </c>
      <c r="D3150" s="3" t="str">
        <f>INDEX(Port_Type!$B$2:$B$227,MATCH(TRIM(C3150),Port_Type!$A$2:$A$227,0))</f>
        <v>Air Cargo</v>
      </c>
      <c r="E3150" s="3" t="s">
        <v>150</v>
      </c>
      <c r="F3150" s="3" t="str">
        <f>INDEX(Product_Category!$B$2:$B$45,MATCH(TRIM(E3150),Product_Category!$A$2:$A$45,0))</f>
        <v>Nuts &amp; Oilseeds</v>
      </c>
      <c r="G3150" s="4">
        <v>0</v>
      </c>
      <c r="H3150" s="4">
        <v>0</v>
      </c>
      <c r="I3150" s="4">
        <v>0</v>
      </c>
      <c r="J3150" s="4">
        <v>0</v>
      </c>
      <c r="K3150" s="4">
        <v>0.03</v>
      </c>
      <c r="L3150" s="4">
        <v>0</v>
      </c>
      <c r="M3150" s="4">
        <f t="shared" si="147"/>
        <v>0</v>
      </c>
      <c r="N3150" s="4">
        <f t="shared" si="148"/>
        <v>0.03</v>
      </c>
      <c r="O3150" s="4">
        <f t="shared" si="149"/>
        <v>0</v>
      </c>
      <c r="P3150" s="3" t="s">
        <v>19</v>
      </c>
    </row>
    <row r="3151" spans="1:16" x14ac:dyDescent="0.35">
      <c r="A3151" s="3" t="s">
        <v>40</v>
      </c>
      <c r="B3151" s="3" t="str">
        <f>INDEX(State_Region!$B$2:$B$26,MATCH(TRIM(A3151),State_Region!$A$2:$A$26,0))</f>
        <v>South</v>
      </c>
      <c r="C3151" s="3" t="s">
        <v>211</v>
      </c>
      <c r="D3151" s="3" t="str">
        <f>INDEX(Port_Type!$B$2:$B$227,MATCH(TRIM(C3151),Port_Type!$A$2:$A$227,0))</f>
        <v>Air Cargo</v>
      </c>
      <c r="E3151" s="3" t="s">
        <v>48</v>
      </c>
      <c r="F3151" s="3" t="str">
        <f>INDEX(Product_Category!$B$2:$B$45,MATCH(TRIM(E3151),Product_Category!$A$2:$A$45,0))</f>
        <v>Processed Foods</v>
      </c>
      <c r="G3151" s="4">
        <v>0.01</v>
      </c>
      <c r="H3151" s="4">
        <v>0.01</v>
      </c>
      <c r="I3151" s="4">
        <v>0</v>
      </c>
      <c r="J3151" s="4">
        <v>2.19</v>
      </c>
      <c r="K3151" s="4">
        <v>2.0699999999999998</v>
      </c>
      <c r="L3151" s="4">
        <v>0</v>
      </c>
      <c r="M3151" s="4">
        <f t="shared" si="147"/>
        <v>0</v>
      </c>
      <c r="N3151" s="4">
        <f t="shared" si="148"/>
        <v>-0.12000000000000011</v>
      </c>
      <c r="O3151" s="4">
        <f t="shared" si="149"/>
        <v>-0.01</v>
      </c>
      <c r="P3151" s="3" t="s">
        <v>19</v>
      </c>
    </row>
    <row r="3152" spans="1:16" x14ac:dyDescent="0.35">
      <c r="A3152" s="3" t="s">
        <v>40</v>
      </c>
      <c r="B3152" s="3" t="str">
        <f>INDEX(State_Region!$B$2:$B$26,MATCH(TRIM(A3152),State_Region!$A$2:$A$26,0))</f>
        <v>South</v>
      </c>
      <c r="C3152" s="3" t="s">
        <v>211</v>
      </c>
      <c r="D3152" s="3" t="str">
        <f>INDEX(Port_Type!$B$2:$B$227,MATCH(TRIM(C3152),Port_Type!$A$2:$A$227,0))</f>
        <v>Air Cargo</v>
      </c>
      <c r="E3152" s="3" t="s">
        <v>59</v>
      </c>
      <c r="F3152" s="3" t="str">
        <f>INDEX(Product_Category!$B$2:$B$45,MATCH(TRIM(E3152),Product_Category!$A$2:$A$45,0))</f>
        <v>Processed Foods</v>
      </c>
      <c r="G3152" s="4">
        <v>0</v>
      </c>
      <c r="H3152" s="4">
        <v>0</v>
      </c>
      <c r="I3152" s="4">
        <v>0</v>
      </c>
      <c r="J3152" s="4">
        <v>0</v>
      </c>
      <c r="K3152" s="4">
        <v>0</v>
      </c>
      <c r="L3152" s="4">
        <v>0</v>
      </c>
      <c r="M3152" s="4">
        <f t="shared" si="147"/>
        <v>0</v>
      </c>
      <c r="N3152" s="4">
        <f t="shared" si="148"/>
        <v>0</v>
      </c>
      <c r="O3152" s="4">
        <f t="shared" si="149"/>
        <v>0</v>
      </c>
      <c r="P3152" s="3" t="s">
        <v>19</v>
      </c>
    </row>
    <row r="3153" spans="1:16" x14ac:dyDescent="0.35">
      <c r="A3153" s="3" t="s">
        <v>20</v>
      </c>
      <c r="B3153" s="3" t="str">
        <f>INDEX(State_Region!$B$2:$B$26,MATCH(TRIM(A3153),State_Region!$A$2:$A$26,0))</f>
        <v>West</v>
      </c>
      <c r="C3153" s="3" t="s">
        <v>305</v>
      </c>
      <c r="D3153" s="3" t="str">
        <f>INDEX(Port_Type!$B$2:$B$227,MATCH(TRIM(C3153),Port_Type!$A$2:$A$227,0))</f>
        <v>Inland ICD / CFS</v>
      </c>
      <c r="E3153" s="3" t="s">
        <v>33</v>
      </c>
      <c r="F3153" s="3" t="str">
        <f>INDEX(Product_Category!$B$2:$B$45,MATCH(TRIM(E3153),Product_Category!$A$2:$A$45,0))</f>
        <v>Pulses</v>
      </c>
      <c r="G3153" s="4">
        <v>0.03</v>
      </c>
      <c r="H3153" s="4">
        <v>0</v>
      </c>
      <c r="I3153" s="4">
        <v>0</v>
      </c>
      <c r="J3153" s="4">
        <v>24.37</v>
      </c>
      <c r="K3153" s="4">
        <v>0</v>
      </c>
      <c r="L3153" s="4">
        <v>0</v>
      </c>
      <c r="M3153" s="4">
        <f t="shared" si="147"/>
        <v>-0.03</v>
      </c>
      <c r="N3153" s="4">
        <f t="shared" si="148"/>
        <v>-24.37</v>
      </c>
      <c r="O3153" s="4">
        <f t="shared" si="149"/>
        <v>0</v>
      </c>
      <c r="P3153" s="3" t="s">
        <v>19</v>
      </c>
    </row>
    <row r="3154" spans="1:16" x14ac:dyDescent="0.35">
      <c r="A3154" s="3" t="s">
        <v>20</v>
      </c>
      <c r="B3154" s="3" t="str">
        <f>INDEX(State_Region!$B$2:$B$26,MATCH(TRIM(A3154),State_Region!$A$2:$A$26,0))</f>
        <v>West</v>
      </c>
      <c r="C3154" s="3" t="s">
        <v>305</v>
      </c>
      <c r="D3154" s="3" t="str">
        <f>INDEX(Port_Type!$B$2:$B$227,MATCH(TRIM(C3154),Port_Type!$A$2:$A$227,0))</f>
        <v>Inland ICD / CFS</v>
      </c>
      <c r="E3154" s="3" t="s">
        <v>42</v>
      </c>
      <c r="F3154" s="3" t="str">
        <f>INDEX(Product_Category!$B$2:$B$45,MATCH(TRIM(E3154),Product_Category!$A$2:$A$45,0))</f>
        <v>Processed Foods</v>
      </c>
      <c r="G3154" s="4">
        <v>0.02</v>
      </c>
      <c r="H3154" s="4">
        <v>0</v>
      </c>
      <c r="I3154" s="4">
        <v>0</v>
      </c>
      <c r="J3154" s="4">
        <v>7.95</v>
      </c>
      <c r="K3154" s="4">
        <v>0</v>
      </c>
      <c r="L3154" s="4">
        <v>0</v>
      </c>
      <c r="M3154" s="4">
        <f t="shared" si="147"/>
        <v>-0.02</v>
      </c>
      <c r="N3154" s="4">
        <f t="shared" si="148"/>
        <v>-7.95</v>
      </c>
      <c r="O3154" s="4">
        <f t="shared" si="149"/>
        <v>0</v>
      </c>
      <c r="P3154" s="3" t="s">
        <v>19</v>
      </c>
    </row>
    <row r="3155" spans="1:16" x14ac:dyDescent="0.35">
      <c r="A3155" s="3" t="s">
        <v>40</v>
      </c>
      <c r="B3155" s="3" t="str">
        <f>INDEX(State_Region!$B$2:$B$26,MATCH(TRIM(A3155),State_Region!$A$2:$A$26,0))</f>
        <v>South</v>
      </c>
      <c r="C3155" s="3" t="s">
        <v>211</v>
      </c>
      <c r="D3155" s="3" t="str">
        <f>INDEX(Port_Type!$B$2:$B$227,MATCH(TRIM(C3155),Port_Type!$A$2:$A$227,0))</f>
        <v>Air Cargo</v>
      </c>
      <c r="E3155" s="3" t="s">
        <v>55</v>
      </c>
      <c r="F3155" s="3" t="str">
        <f>INDEX(Product_Category!$B$2:$B$45,MATCH(TRIM(E3155),Product_Category!$A$2:$A$45,0))</f>
        <v>Fresh Fruits &amp; Vegetables</v>
      </c>
      <c r="G3155" s="4">
        <v>0</v>
      </c>
      <c r="H3155" s="4">
        <v>0</v>
      </c>
      <c r="I3155" s="4">
        <v>0</v>
      </c>
      <c r="J3155" s="4">
        <v>0.38</v>
      </c>
      <c r="K3155" s="4">
        <v>0.01</v>
      </c>
      <c r="L3155" s="4">
        <v>0</v>
      </c>
      <c r="M3155" s="4">
        <f t="shared" si="147"/>
        <v>0</v>
      </c>
      <c r="N3155" s="4">
        <f t="shared" si="148"/>
        <v>-0.37</v>
      </c>
      <c r="O3155" s="4">
        <f t="shared" si="149"/>
        <v>0</v>
      </c>
      <c r="P3155" s="3" t="s">
        <v>19</v>
      </c>
    </row>
    <row r="3156" spans="1:16" x14ac:dyDescent="0.35">
      <c r="A3156" s="3" t="s">
        <v>40</v>
      </c>
      <c r="B3156" s="3" t="str">
        <f>INDEX(State_Region!$B$2:$B$26,MATCH(TRIM(A3156),State_Region!$A$2:$A$26,0))</f>
        <v>South</v>
      </c>
      <c r="C3156" s="3" t="s">
        <v>211</v>
      </c>
      <c r="D3156" s="3" t="str">
        <f>INDEX(Port_Type!$B$2:$B$227,MATCH(TRIM(C3156),Port_Type!$A$2:$A$227,0))</f>
        <v>Air Cargo</v>
      </c>
      <c r="E3156" s="3" t="s">
        <v>53</v>
      </c>
      <c r="F3156" s="3" t="str">
        <f>INDEX(Product_Category!$B$2:$B$45,MATCH(TRIM(E3156),Product_Category!$A$2:$A$45,0))</f>
        <v>Processed Foods</v>
      </c>
      <c r="G3156" s="4">
        <v>0</v>
      </c>
      <c r="H3156" s="4">
        <v>0</v>
      </c>
      <c r="I3156" s="4">
        <v>0</v>
      </c>
      <c r="J3156" s="4">
        <v>0</v>
      </c>
      <c r="K3156" s="4">
        <v>0.4</v>
      </c>
      <c r="L3156" s="4">
        <v>0</v>
      </c>
      <c r="M3156" s="4">
        <f t="shared" si="147"/>
        <v>0</v>
      </c>
      <c r="N3156" s="4">
        <f t="shared" si="148"/>
        <v>0.4</v>
      </c>
      <c r="O3156" s="4">
        <f t="shared" si="149"/>
        <v>0</v>
      </c>
      <c r="P3156" s="3" t="s">
        <v>19</v>
      </c>
    </row>
    <row r="3157" spans="1:16" x14ac:dyDescent="0.35">
      <c r="A3157" s="3" t="s">
        <v>40</v>
      </c>
      <c r="B3157" s="3" t="str">
        <f>INDEX(State_Region!$B$2:$B$26,MATCH(TRIM(A3157),State_Region!$A$2:$A$26,0))</f>
        <v>South</v>
      </c>
      <c r="C3157" s="3" t="s">
        <v>211</v>
      </c>
      <c r="D3157" s="3" t="str">
        <f>INDEX(Port_Type!$B$2:$B$227,MATCH(TRIM(C3157),Port_Type!$A$2:$A$227,0))</f>
        <v>Air Cargo</v>
      </c>
      <c r="E3157" s="3" t="s">
        <v>65</v>
      </c>
      <c r="F3157" s="3" t="str">
        <f>INDEX(Product_Category!$B$2:$B$45,MATCH(TRIM(E3157),Product_Category!$A$2:$A$45,0))</f>
        <v>Cereals &amp; Grains</v>
      </c>
      <c r="G3157" s="4">
        <v>0</v>
      </c>
      <c r="H3157" s="4">
        <v>0</v>
      </c>
      <c r="I3157" s="4">
        <v>0</v>
      </c>
      <c r="J3157" s="4">
        <v>0</v>
      </c>
      <c r="K3157" s="4">
        <v>0</v>
      </c>
      <c r="L3157" s="4">
        <v>0</v>
      </c>
      <c r="M3157" s="4">
        <f t="shared" si="147"/>
        <v>0</v>
      </c>
      <c r="N3157" s="4">
        <f t="shared" si="148"/>
        <v>0</v>
      </c>
      <c r="O3157" s="4">
        <f t="shared" si="149"/>
        <v>0</v>
      </c>
      <c r="P3157" s="3" t="s">
        <v>19</v>
      </c>
    </row>
    <row r="3158" spans="1:16" x14ac:dyDescent="0.35">
      <c r="A3158" s="3" t="s">
        <v>20</v>
      </c>
      <c r="B3158" s="3" t="str">
        <f>INDEX(State_Region!$B$2:$B$26,MATCH(TRIM(A3158),State_Region!$A$2:$A$26,0))</f>
        <v>West</v>
      </c>
      <c r="C3158" s="3" t="s">
        <v>305</v>
      </c>
      <c r="D3158" s="3" t="str">
        <f>INDEX(Port_Type!$B$2:$B$227,MATCH(TRIM(C3158),Port_Type!$A$2:$A$227,0))</f>
        <v>Inland ICD / CFS</v>
      </c>
      <c r="E3158" s="3" t="s">
        <v>54</v>
      </c>
      <c r="F3158" s="3" t="str">
        <f>INDEX(Product_Category!$B$2:$B$45,MATCH(TRIM(E3158),Product_Category!$A$2:$A$45,0))</f>
        <v>Processed Foods</v>
      </c>
      <c r="G3158" s="4">
        <v>3.04</v>
      </c>
      <c r="H3158" s="4">
        <v>0</v>
      </c>
      <c r="I3158" s="4">
        <v>0</v>
      </c>
      <c r="J3158" s="4">
        <v>2175.52</v>
      </c>
      <c r="K3158" s="4">
        <v>0</v>
      </c>
      <c r="L3158" s="4">
        <v>0</v>
      </c>
      <c r="M3158" s="4">
        <f t="shared" si="147"/>
        <v>-3.04</v>
      </c>
      <c r="N3158" s="4">
        <f t="shared" si="148"/>
        <v>-2175.52</v>
      </c>
      <c r="O3158" s="4">
        <f t="shared" si="149"/>
        <v>0</v>
      </c>
      <c r="P3158" s="3" t="s">
        <v>19</v>
      </c>
    </row>
    <row r="3159" spans="1:16" x14ac:dyDescent="0.35">
      <c r="A3159" s="3" t="s">
        <v>40</v>
      </c>
      <c r="B3159" s="3" t="str">
        <f>INDEX(State_Region!$B$2:$B$26,MATCH(TRIM(A3159),State_Region!$A$2:$A$26,0))</f>
        <v>South</v>
      </c>
      <c r="C3159" s="3" t="s">
        <v>211</v>
      </c>
      <c r="D3159" s="3" t="str">
        <f>INDEX(Port_Type!$B$2:$B$227,MATCH(TRIM(C3159),Port_Type!$A$2:$A$227,0))</f>
        <v>Air Cargo</v>
      </c>
      <c r="E3159" s="3" t="s">
        <v>118</v>
      </c>
      <c r="F3159" s="3" t="str">
        <f>INDEX(Product_Category!$B$2:$B$45,MATCH(TRIM(E3159),Product_Category!$A$2:$A$45,0))</f>
        <v>Dairy, Poultry &amp; Honey</v>
      </c>
      <c r="G3159" s="4">
        <v>0</v>
      </c>
      <c r="H3159" s="4">
        <v>0</v>
      </c>
      <c r="I3159" s="4">
        <v>0</v>
      </c>
      <c r="J3159" s="4">
        <v>0</v>
      </c>
      <c r="K3159" s="4">
        <v>7.0000000000000007E-2</v>
      </c>
      <c r="L3159" s="4">
        <v>0</v>
      </c>
      <c r="M3159" s="4">
        <f t="shared" si="147"/>
        <v>0</v>
      </c>
      <c r="N3159" s="4">
        <f t="shared" si="148"/>
        <v>7.0000000000000007E-2</v>
      </c>
      <c r="O3159" s="4">
        <f t="shared" si="149"/>
        <v>0</v>
      </c>
      <c r="P3159" s="3" t="s">
        <v>19</v>
      </c>
    </row>
    <row r="3160" spans="1:16" x14ac:dyDescent="0.35">
      <c r="A3160" s="3" t="s">
        <v>20</v>
      </c>
      <c r="B3160" s="3" t="str">
        <f>INDEX(State_Region!$B$2:$B$26,MATCH(TRIM(A3160),State_Region!$A$2:$A$26,0))</f>
        <v>West</v>
      </c>
      <c r="C3160" s="3" t="s">
        <v>305</v>
      </c>
      <c r="D3160" s="3" t="str">
        <f>INDEX(Port_Type!$B$2:$B$227,MATCH(TRIM(C3160),Port_Type!$A$2:$A$227,0))</f>
        <v>Inland ICD / CFS</v>
      </c>
      <c r="E3160" s="3" t="s">
        <v>170</v>
      </c>
      <c r="F3160" s="3" t="str">
        <f>INDEX(Product_Category!$B$2:$B$45,MATCH(TRIM(E3160),Product_Category!$A$2:$A$45,0))</f>
        <v>Others</v>
      </c>
      <c r="G3160" s="4">
        <v>0.06</v>
      </c>
      <c r="H3160" s="4">
        <v>0</v>
      </c>
      <c r="I3160" s="4">
        <v>0</v>
      </c>
      <c r="J3160" s="4">
        <v>7.38</v>
      </c>
      <c r="K3160" s="4">
        <v>0</v>
      </c>
      <c r="L3160" s="4">
        <v>0</v>
      </c>
      <c r="M3160" s="4">
        <f t="shared" si="147"/>
        <v>-0.06</v>
      </c>
      <c r="N3160" s="4">
        <f t="shared" si="148"/>
        <v>-7.38</v>
      </c>
      <c r="O3160" s="4">
        <f t="shared" si="149"/>
        <v>0</v>
      </c>
      <c r="P3160" s="3" t="s">
        <v>19</v>
      </c>
    </row>
    <row r="3161" spans="1:16" x14ac:dyDescent="0.35">
      <c r="A3161" s="3" t="s">
        <v>20</v>
      </c>
      <c r="B3161" s="3" t="str">
        <f>INDEX(State_Region!$B$2:$B$26,MATCH(TRIM(A3161),State_Region!$A$2:$A$26,0))</f>
        <v>West</v>
      </c>
      <c r="C3161" s="3" t="s">
        <v>305</v>
      </c>
      <c r="D3161" s="3" t="str">
        <f>INDEX(Port_Type!$B$2:$B$227,MATCH(TRIM(C3161),Port_Type!$A$2:$A$227,0))</f>
        <v>Inland ICD / CFS</v>
      </c>
      <c r="E3161" s="3" t="s">
        <v>102</v>
      </c>
      <c r="F3161" s="3" t="str">
        <f>INDEX(Product_Category!$B$2:$B$45,MATCH(TRIM(E3161),Product_Category!$A$2:$A$45,0))</f>
        <v>Fresh Fruits &amp; Vegetables</v>
      </c>
      <c r="G3161" s="4">
        <v>0.14000000000000001</v>
      </c>
      <c r="H3161" s="4">
        <v>0</v>
      </c>
      <c r="I3161" s="4">
        <v>0</v>
      </c>
      <c r="J3161" s="4">
        <v>172.2</v>
      </c>
      <c r="K3161" s="4">
        <v>0</v>
      </c>
      <c r="L3161" s="4">
        <v>0</v>
      </c>
      <c r="M3161" s="4">
        <f t="shared" si="147"/>
        <v>-0.14000000000000001</v>
      </c>
      <c r="N3161" s="4">
        <f t="shared" si="148"/>
        <v>-172.2</v>
      </c>
      <c r="O3161" s="4">
        <f t="shared" si="149"/>
        <v>0</v>
      </c>
      <c r="P3161" s="3" t="s">
        <v>19</v>
      </c>
    </row>
    <row r="3162" spans="1:16" x14ac:dyDescent="0.35">
      <c r="A3162" s="3" t="s">
        <v>40</v>
      </c>
      <c r="B3162" s="3" t="str">
        <f>INDEX(State_Region!$B$2:$B$26,MATCH(TRIM(A3162),State_Region!$A$2:$A$26,0))</f>
        <v>South</v>
      </c>
      <c r="C3162" s="3" t="s">
        <v>211</v>
      </c>
      <c r="D3162" s="3" t="str">
        <f>INDEX(Port_Type!$B$2:$B$227,MATCH(TRIM(C3162),Port_Type!$A$2:$A$227,0))</f>
        <v>Air Cargo</v>
      </c>
      <c r="E3162" s="3" t="s">
        <v>42</v>
      </c>
      <c r="F3162" s="3" t="str">
        <f>INDEX(Product_Category!$B$2:$B$45,MATCH(TRIM(E3162),Product_Category!$A$2:$A$45,0))</f>
        <v>Processed Foods</v>
      </c>
      <c r="G3162" s="4">
        <v>0.02</v>
      </c>
      <c r="H3162" s="4">
        <v>0</v>
      </c>
      <c r="I3162" s="4">
        <v>0</v>
      </c>
      <c r="J3162" s="4">
        <v>41.17</v>
      </c>
      <c r="K3162" s="4">
        <v>0.41</v>
      </c>
      <c r="L3162" s="4">
        <v>0</v>
      </c>
      <c r="M3162" s="4">
        <f t="shared" si="147"/>
        <v>-0.02</v>
      </c>
      <c r="N3162" s="4">
        <f t="shared" si="148"/>
        <v>-40.760000000000005</v>
      </c>
      <c r="O3162" s="4">
        <f t="shared" si="149"/>
        <v>0</v>
      </c>
      <c r="P3162" s="3" t="s">
        <v>19</v>
      </c>
    </row>
    <row r="3163" spans="1:16" x14ac:dyDescent="0.35">
      <c r="A3163" s="3" t="s">
        <v>40</v>
      </c>
      <c r="B3163" s="3" t="str">
        <f>INDEX(State_Region!$B$2:$B$26,MATCH(TRIM(A3163),State_Region!$A$2:$A$26,0))</f>
        <v>South</v>
      </c>
      <c r="C3163" s="3" t="s">
        <v>211</v>
      </c>
      <c r="D3163" s="3" t="str">
        <f>INDEX(Port_Type!$B$2:$B$227,MATCH(TRIM(C3163),Port_Type!$A$2:$A$227,0))</f>
        <v>Air Cargo</v>
      </c>
      <c r="E3163" s="3" t="s">
        <v>33</v>
      </c>
      <c r="F3163" s="3" t="str">
        <f>INDEX(Product_Category!$B$2:$B$45,MATCH(TRIM(E3163),Product_Category!$A$2:$A$45,0))</f>
        <v>Pulses</v>
      </c>
      <c r="G3163" s="4">
        <v>0</v>
      </c>
      <c r="H3163" s="4">
        <v>0</v>
      </c>
      <c r="I3163" s="4">
        <v>0</v>
      </c>
      <c r="J3163" s="4">
        <v>0</v>
      </c>
      <c r="K3163" s="4">
        <v>0</v>
      </c>
      <c r="L3163" s="4">
        <v>0</v>
      </c>
      <c r="M3163" s="4">
        <f t="shared" si="147"/>
        <v>0</v>
      </c>
      <c r="N3163" s="4">
        <f t="shared" si="148"/>
        <v>0</v>
      </c>
      <c r="O3163" s="4">
        <f t="shared" si="149"/>
        <v>0</v>
      </c>
      <c r="P3163" s="3" t="s">
        <v>19</v>
      </c>
    </row>
    <row r="3164" spans="1:16" x14ac:dyDescent="0.35">
      <c r="A3164" s="3" t="s">
        <v>40</v>
      </c>
      <c r="B3164" s="3" t="str">
        <f>INDEX(State_Region!$B$2:$B$26,MATCH(TRIM(A3164),State_Region!$A$2:$A$26,0))</f>
        <v>South</v>
      </c>
      <c r="C3164" s="3" t="s">
        <v>194</v>
      </c>
      <c r="D3164" s="3" t="str">
        <f>INDEX(Port_Type!$B$2:$B$227,MATCH(TRIM(C3164),Port_Type!$A$2:$A$227,0))</f>
        <v>Air Cargo</v>
      </c>
      <c r="E3164" s="3" t="s">
        <v>150</v>
      </c>
      <c r="F3164" s="3" t="str">
        <f>INDEX(Product_Category!$B$2:$B$45,MATCH(TRIM(E3164),Product_Category!$A$2:$A$45,0))</f>
        <v>Nuts &amp; Oilseeds</v>
      </c>
      <c r="G3164" s="4">
        <v>0</v>
      </c>
      <c r="H3164" s="4">
        <v>0</v>
      </c>
      <c r="I3164" s="4">
        <v>0</v>
      </c>
      <c r="J3164" s="4">
        <v>0</v>
      </c>
      <c r="K3164" s="4">
        <v>2.04</v>
      </c>
      <c r="L3164" s="4">
        <v>0</v>
      </c>
      <c r="M3164" s="4">
        <f t="shared" si="147"/>
        <v>0</v>
      </c>
      <c r="N3164" s="4">
        <f t="shared" si="148"/>
        <v>2.04</v>
      </c>
      <c r="O3164" s="4">
        <f t="shared" si="149"/>
        <v>0</v>
      </c>
      <c r="P3164" s="3" t="s">
        <v>19</v>
      </c>
    </row>
    <row r="3165" spans="1:16" x14ac:dyDescent="0.35">
      <c r="A3165" s="3" t="s">
        <v>20</v>
      </c>
      <c r="B3165" s="3" t="str">
        <f>INDEX(State_Region!$B$2:$B$26,MATCH(TRIM(A3165),State_Region!$A$2:$A$26,0))</f>
        <v>West</v>
      </c>
      <c r="C3165" s="3" t="s">
        <v>305</v>
      </c>
      <c r="D3165" s="3" t="str">
        <f>INDEX(Port_Type!$B$2:$B$227,MATCH(TRIM(C3165),Port_Type!$A$2:$A$227,0))</f>
        <v>Inland ICD / CFS</v>
      </c>
      <c r="E3165" s="3" t="s">
        <v>45</v>
      </c>
      <c r="F3165" s="3" t="str">
        <f>INDEX(Product_Category!$B$2:$B$45,MATCH(TRIM(E3165),Product_Category!$A$2:$A$45,0))</f>
        <v>Fresh Fruits &amp; Vegetables</v>
      </c>
      <c r="G3165" s="4">
        <v>0.59</v>
      </c>
      <c r="H3165" s="4">
        <v>0</v>
      </c>
      <c r="I3165" s="4">
        <v>0</v>
      </c>
      <c r="J3165" s="4">
        <v>1086.33</v>
      </c>
      <c r="K3165" s="4">
        <v>0</v>
      </c>
      <c r="L3165" s="4">
        <v>0</v>
      </c>
      <c r="M3165" s="4">
        <f t="shared" si="147"/>
        <v>-0.59</v>
      </c>
      <c r="N3165" s="4">
        <f t="shared" si="148"/>
        <v>-1086.33</v>
      </c>
      <c r="O3165" s="4">
        <f t="shared" si="149"/>
        <v>0</v>
      </c>
      <c r="P3165" s="3" t="s">
        <v>19</v>
      </c>
    </row>
    <row r="3166" spans="1:16" x14ac:dyDescent="0.35">
      <c r="A3166" s="3" t="s">
        <v>20</v>
      </c>
      <c r="B3166" s="3" t="str">
        <f>INDEX(State_Region!$B$2:$B$26,MATCH(TRIM(A3166),State_Region!$A$2:$A$26,0))</f>
        <v>West</v>
      </c>
      <c r="C3166" s="3" t="s">
        <v>305</v>
      </c>
      <c r="D3166" s="3" t="str">
        <f>INDEX(Port_Type!$B$2:$B$227,MATCH(TRIM(C3166),Port_Type!$A$2:$A$227,0))</f>
        <v>Inland ICD / CFS</v>
      </c>
      <c r="E3166" s="3" t="s">
        <v>39</v>
      </c>
      <c r="F3166" s="3" t="str">
        <f>INDEX(Product_Category!$B$2:$B$45,MATCH(TRIM(E3166),Product_Category!$A$2:$A$45,0))</f>
        <v>Processed Foods</v>
      </c>
      <c r="G3166" s="4">
        <v>0.02</v>
      </c>
      <c r="H3166" s="4">
        <v>0</v>
      </c>
      <c r="I3166" s="4">
        <v>0</v>
      </c>
      <c r="J3166" s="4">
        <v>7.87</v>
      </c>
      <c r="K3166" s="4">
        <v>0</v>
      </c>
      <c r="L3166" s="4">
        <v>0</v>
      </c>
      <c r="M3166" s="4">
        <f t="shared" si="147"/>
        <v>-0.02</v>
      </c>
      <c r="N3166" s="4">
        <f t="shared" si="148"/>
        <v>-7.87</v>
      </c>
      <c r="O3166" s="4">
        <f t="shared" si="149"/>
        <v>0</v>
      </c>
      <c r="P3166" s="3" t="s">
        <v>19</v>
      </c>
    </row>
    <row r="3167" spans="1:16" x14ac:dyDescent="0.35">
      <c r="A3167" s="3" t="s">
        <v>20</v>
      </c>
      <c r="B3167" s="3" t="str">
        <f>INDEX(State_Region!$B$2:$B$26,MATCH(TRIM(A3167),State_Region!$A$2:$A$26,0))</f>
        <v>West</v>
      </c>
      <c r="C3167" s="3" t="s">
        <v>305</v>
      </c>
      <c r="D3167" s="3" t="str">
        <f>INDEX(Port_Type!$B$2:$B$227,MATCH(TRIM(C3167),Port_Type!$A$2:$A$227,0))</f>
        <v>Inland ICD / CFS</v>
      </c>
      <c r="E3167" s="3" t="s">
        <v>144</v>
      </c>
      <c r="F3167" s="3" t="str">
        <f>INDEX(Product_Category!$B$2:$B$45,MATCH(TRIM(E3167),Product_Category!$A$2:$A$45,0))</f>
        <v>Cereals &amp; Grains</v>
      </c>
      <c r="G3167" s="4">
        <v>0</v>
      </c>
      <c r="H3167" s="4">
        <v>0</v>
      </c>
      <c r="I3167" s="4">
        <v>0</v>
      </c>
      <c r="J3167" s="4">
        <v>0.3</v>
      </c>
      <c r="K3167" s="4">
        <v>0</v>
      </c>
      <c r="L3167" s="4">
        <v>0</v>
      </c>
      <c r="M3167" s="4">
        <f t="shared" si="147"/>
        <v>0</v>
      </c>
      <c r="N3167" s="4">
        <f t="shared" si="148"/>
        <v>-0.3</v>
      </c>
      <c r="O3167" s="4">
        <f t="shared" si="149"/>
        <v>0</v>
      </c>
      <c r="P3167" s="3" t="s">
        <v>19</v>
      </c>
    </row>
    <row r="3168" spans="1:16" x14ac:dyDescent="0.35">
      <c r="A3168" s="3" t="s">
        <v>20</v>
      </c>
      <c r="B3168" s="3" t="str">
        <f>INDEX(State_Region!$B$2:$B$26,MATCH(TRIM(A3168),State_Region!$A$2:$A$26,0))</f>
        <v>West</v>
      </c>
      <c r="C3168" s="3" t="s">
        <v>305</v>
      </c>
      <c r="D3168" s="3" t="str">
        <f>INDEX(Port_Type!$B$2:$B$227,MATCH(TRIM(C3168),Port_Type!$A$2:$A$227,0))</f>
        <v>Inland ICD / CFS</v>
      </c>
      <c r="E3168" s="3" t="s">
        <v>151</v>
      </c>
      <c r="F3168" s="3" t="str">
        <f>INDEX(Product_Category!$B$2:$B$45,MATCH(TRIM(E3168),Product_Category!$A$2:$A$45,0))</f>
        <v>Processed Foods</v>
      </c>
      <c r="G3168" s="4">
        <v>0.02</v>
      </c>
      <c r="H3168" s="4">
        <v>0</v>
      </c>
      <c r="I3168" s="4">
        <v>0</v>
      </c>
      <c r="J3168" s="4">
        <v>10.91</v>
      </c>
      <c r="K3168" s="4">
        <v>0</v>
      </c>
      <c r="L3168" s="4">
        <v>0</v>
      </c>
      <c r="M3168" s="4">
        <f t="shared" si="147"/>
        <v>-0.02</v>
      </c>
      <c r="N3168" s="4">
        <f t="shared" si="148"/>
        <v>-10.91</v>
      </c>
      <c r="O3168" s="4">
        <f t="shared" si="149"/>
        <v>0</v>
      </c>
      <c r="P3168" s="3" t="s">
        <v>19</v>
      </c>
    </row>
    <row r="3169" spans="1:16" x14ac:dyDescent="0.35">
      <c r="A3169" s="3" t="s">
        <v>40</v>
      </c>
      <c r="B3169" s="3" t="str">
        <f>INDEX(State_Region!$B$2:$B$26,MATCH(TRIM(A3169),State_Region!$A$2:$A$26,0))</f>
        <v>South</v>
      </c>
      <c r="C3169" s="3" t="s">
        <v>194</v>
      </c>
      <c r="D3169" s="3" t="str">
        <f>INDEX(Port_Type!$B$2:$B$227,MATCH(TRIM(C3169),Port_Type!$A$2:$A$227,0))</f>
        <v>Air Cargo</v>
      </c>
      <c r="E3169" s="3" t="s">
        <v>69</v>
      </c>
      <c r="F3169" s="3" t="str">
        <f>INDEX(Product_Category!$B$2:$B$45,MATCH(TRIM(E3169),Product_Category!$A$2:$A$45,0))</f>
        <v>Others</v>
      </c>
      <c r="G3169" s="4">
        <v>0</v>
      </c>
      <c r="H3169" s="4">
        <v>0</v>
      </c>
      <c r="I3169" s="4">
        <v>0</v>
      </c>
      <c r="J3169" s="4">
        <v>0.02</v>
      </c>
      <c r="K3169" s="4">
        <v>0.01</v>
      </c>
      <c r="L3169" s="4">
        <v>0</v>
      </c>
      <c r="M3169" s="4">
        <f t="shared" si="147"/>
        <v>0</v>
      </c>
      <c r="N3169" s="4">
        <f t="shared" si="148"/>
        <v>-0.01</v>
      </c>
      <c r="O3169" s="4">
        <f t="shared" si="149"/>
        <v>0</v>
      </c>
      <c r="P3169" s="3" t="s">
        <v>19</v>
      </c>
    </row>
    <row r="3170" spans="1:16" x14ac:dyDescent="0.35">
      <c r="A3170" s="3" t="s">
        <v>40</v>
      </c>
      <c r="B3170" s="3" t="str">
        <f>INDEX(State_Region!$B$2:$B$26,MATCH(TRIM(A3170),State_Region!$A$2:$A$26,0))</f>
        <v>South</v>
      </c>
      <c r="C3170" s="3" t="s">
        <v>194</v>
      </c>
      <c r="D3170" s="3" t="str">
        <f>INDEX(Port_Type!$B$2:$B$227,MATCH(TRIM(C3170),Port_Type!$A$2:$A$227,0))</f>
        <v>Air Cargo</v>
      </c>
      <c r="E3170" s="3" t="s">
        <v>51</v>
      </c>
      <c r="F3170" s="3" t="str">
        <f>INDEX(Product_Category!$B$2:$B$45,MATCH(TRIM(E3170),Product_Category!$A$2:$A$45,0))</f>
        <v>Nuts &amp; Oilseeds</v>
      </c>
      <c r="G3170" s="4">
        <v>0</v>
      </c>
      <c r="H3170" s="4">
        <v>0</v>
      </c>
      <c r="I3170" s="4">
        <v>0</v>
      </c>
      <c r="J3170" s="4">
        <v>0.54</v>
      </c>
      <c r="K3170" s="4">
        <v>0.04</v>
      </c>
      <c r="L3170" s="4">
        <v>0</v>
      </c>
      <c r="M3170" s="4">
        <f t="shared" si="147"/>
        <v>0</v>
      </c>
      <c r="N3170" s="4">
        <f t="shared" si="148"/>
        <v>-0.5</v>
      </c>
      <c r="O3170" s="4">
        <f t="shared" si="149"/>
        <v>0</v>
      </c>
      <c r="P3170" s="3" t="s">
        <v>19</v>
      </c>
    </row>
    <row r="3171" spans="1:16" x14ac:dyDescent="0.35">
      <c r="A3171" s="3" t="s">
        <v>20</v>
      </c>
      <c r="B3171" s="3" t="str">
        <f>INDEX(State_Region!$B$2:$B$26,MATCH(TRIM(A3171),State_Region!$A$2:$A$26,0))</f>
        <v>West</v>
      </c>
      <c r="C3171" s="3" t="s">
        <v>305</v>
      </c>
      <c r="D3171" s="3" t="str">
        <f>INDEX(Port_Type!$B$2:$B$227,MATCH(TRIM(C3171),Port_Type!$A$2:$A$227,0))</f>
        <v>Inland ICD / CFS</v>
      </c>
      <c r="E3171" s="3" t="s">
        <v>53</v>
      </c>
      <c r="F3171" s="3" t="str">
        <f>INDEX(Product_Category!$B$2:$B$45,MATCH(TRIM(E3171),Product_Category!$A$2:$A$45,0))</f>
        <v>Processed Foods</v>
      </c>
      <c r="G3171" s="4">
        <v>0.04</v>
      </c>
      <c r="H3171" s="4">
        <v>0</v>
      </c>
      <c r="I3171" s="4">
        <v>0</v>
      </c>
      <c r="J3171" s="4">
        <v>31.36</v>
      </c>
      <c r="K3171" s="4">
        <v>0</v>
      </c>
      <c r="L3171" s="4">
        <v>0</v>
      </c>
      <c r="M3171" s="4">
        <f t="shared" si="147"/>
        <v>-0.04</v>
      </c>
      <c r="N3171" s="4">
        <f t="shared" si="148"/>
        <v>-31.36</v>
      </c>
      <c r="O3171" s="4">
        <f t="shared" si="149"/>
        <v>0</v>
      </c>
      <c r="P3171" s="3" t="s">
        <v>19</v>
      </c>
    </row>
    <row r="3172" spans="1:16" x14ac:dyDescent="0.35">
      <c r="A3172" s="3" t="s">
        <v>20</v>
      </c>
      <c r="B3172" s="3" t="str">
        <f>INDEX(State_Region!$B$2:$B$26,MATCH(TRIM(A3172),State_Region!$A$2:$A$26,0))</f>
        <v>West</v>
      </c>
      <c r="C3172" s="3" t="s">
        <v>305</v>
      </c>
      <c r="D3172" s="3" t="str">
        <f>INDEX(Port_Type!$B$2:$B$227,MATCH(TRIM(C3172),Port_Type!$A$2:$A$227,0))</f>
        <v>Inland ICD / CFS</v>
      </c>
      <c r="E3172" s="3" t="s">
        <v>69</v>
      </c>
      <c r="F3172" s="3" t="str">
        <f>INDEX(Product_Category!$B$2:$B$45,MATCH(TRIM(E3172),Product_Category!$A$2:$A$45,0))</f>
        <v>Others</v>
      </c>
      <c r="G3172" s="4">
        <v>0</v>
      </c>
      <c r="H3172" s="4">
        <v>0</v>
      </c>
      <c r="I3172" s="4">
        <v>0</v>
      </c>
      <c r="J3172" s="4">
        <v>1.1000000000000001</v>
      </c>
      <c r="K3172" s="4">
        <v>0</v>
      </c>
      <c r="L3172" s="4">
        <v>0</v>
      </c>
      <c r="M3172" s="4">
        <f t="shared" si="147"/>
        <v>0</v>
      </c>
      <c r="N3172" s="4">
        <f t="shared" si="148"/>
        <v>-1.1000000000000001</v>
      </c>
      <c r="O3172" s="4">
        <f t="shared" si="149"/>
        <v>0</v>
      </c>
      <c r="P3172" s="3" t="s">
        <v>19</v>
      </c>
    </row>
    <row r="3173" spans="1:16" x14ac:dyDescent="0.35">
      <c r="A3173" s="3" t="s">
        <v>40</v>
      </c>
      <c r="B3173" s="3" t="str">
        <f>INDEX(State_Region!$B$2:$B$26,MATCH(TRIM(A3173),State_Region!$A$2:$A$26,0))</f>
        <v>South</v>
      </c>
      <c r="C3173" s="3" t="s">
        <v>194</v>
      </c>
      <c r="D3173" s="3" t="str">
        <f>INDEX(Port_Type!$B$2:$B$227,MATCH(TRIM(C3173),Port_Type!$A$2:$A$227,0))</f>
        <v>Air Cargo</v>
      </c>
      <c r="E3173" s="3" t="s">
        <v>118</v>
      </c>
      <c r="F3173" s="3" t="str">
        <f>INDEX(Product_Category!$B$2:$B$45,MATCH(TRIM(E3173),Product_Category!$A$2:$A$45,0))</f>
        <v>Dairy, Poultry &amp; Honey</v>
      </c>
      <c r="G3173" s="4">
        <v>0</v>
      </c>
      <c r="H3173" s="4">
        <v>0</v>
      </c>
      <c r="I3173" s="4">
        <v>0</v>
      </c>
      <c r="J3173" s="4">
        <v>0</v>
      </c>
      <c r="K3173" s="4">
        <v>0.04</v>
      </c>
      <c r="L3173" s="4">
        <v>0</v>
      </c>
      <c r="M3173" s="4">
        <f t="shared" si="147"/>
        <v>0</v>
      </c>
      <c r="N3173" s="4">
        <f t="shared" si="148"/>
        <v>0.04</v>
      </c>
      <c r="O3173" s="4">
        <f t="shared" si="149"/>
        <v>0</v>
      </c>
      <c r="P3173" s="3" t="s">
        <v>19</v>
      </c>
    </row>
    <row r="3174" spans="1:16" x14ac:dyDescent="0.35">
      <c r="A3174" s="3" t="s">
        <v>40</v>
      </c>
      <c r="B3174" s="3" t="str">
        <f>INDEX(State_Region!$B$2:$B$26,MATCH(TRIM(A3174),State_Region!$A$2:$A$26,0))</f>
        <v>South</v>
      </c>
      <c r="C3174" s="3" t="s">
        <v>194</v>
      </c>
      <c r="D3174" s="3" t="str">
        <f>INDEX(Port_Type!$B$2:$B$227,MATCH(TRIM(C3174),Port_Type!$A$2:$A$227,0))</f>
        <v>Air Cargo</v>
      </c>
      <c r="E3174" s="3" t="s">
        <v>27</v>
      </c>
      <c r="F3174" s="3" t="str">
        <f>INDEX(Product_Category!$B$2:$B$45,MATCH(TRIM(E3174),Product_Category!$A$2:$A$45,0))</f>
        <v>Cereals &amp; Grains</v>
      </c>
      <c r="G3174" s="4">
        <v>0</v>
      </c>
      <c r="H3174" s="4">
        <v>0</v>
      </c>
      <c r="I3174" s="4">
        <v>0</v>
      </c>
      <c r="J3174" s="4">
        <v>0.04</v>
      </c>
      <c r="K3174" s="4">
        <v>0.16</v>
      </c>
      <c r="L3174" s="4">
        <v>0</v>
      </c>
      <c r="M3174" s="4">
        <f t="shared" si="147"/>
        <v>0</v>
      </c>
      <c r="N3174" s="4">
        <f t="shared" si="148"/>
        <v>0.12</v>
      </c>
      <c r="O3174" s="4">
        <f t="shared" si="149"/>
        <v>0</v>
      </c>
      <c r="P3174" s="3" t="s">
        <v>19</v>
      </c>
    </row>
    <row r="3175" spans="1:16" x14ac:dyDescent="0.35">
      <c r="A3175" s="3" t="s">
        <v>40</v>
      </c>
      <c r="B3175" s="3" t="str">
        <f>INDEX(State_Region!$B$2:$B$26,MATCH(TRIM(A3175),State_Region!$A$2:$A$26,0))</f>
        <v>South</v>
      </c>
      <c r="C3175" s="3" t="s">
        <v>194</v>
      </c>
      <c r="D3175" s="3" t="str">
        <f>INDEX(Port_Type!$B$2:$B$227,MATCH(TRIM(C3175),Port_Type!$A$2:$A$227,0))</f>
        <v>Air Cargo</v>
      </c>
      <c r="E3175" s="3" t="s">
        <v>126</v>
      </c>
      <c r="F3175" s="3" t="str">
        <f>INDEX(Product_Category!$B$2:$B$45,MATCH(TRIM(E3175),Product_Category!$A$2:$A$45,0))</f>
        <v>Cereals &amp; Grains</v>
      </c>
      <c r="G3175" s="4">
        <v>0</v>
      </c>
      <c r="H3175" s="4">
        <v>0</v>
      </c>
      <c r="I3175" s="4">
        <v>0</v>
      </c>
      <c r="J3175" s="4">
        <v>0.25</v>
      </c>
      <c r="K3175" s="4">
        <v>0.82</v>
      </c>
      <c r="L3175" s="4">
        <v>0</v>
      </c>
      <c r="M3175" s="4">
        <f t="shared" si="147"/>
        <v>0</v>
      </c>
      <c r="N3175" s="4">
        <f t="shared" si="148"/>
        <v>0.56999999999999995</v>
      </c>
      <c r="O3175" s="4">
        <f t="shared" si="149"/>
        <v>0</v>
      </c>
      <c r="P3175" s="3" t="s">
        <v>19</v>
      </c>
    </row>
    <row r="3176" spans="1:16" x14ac:dyDescent="0.35">
      <c r="A3176" s="3" t="s">
        <v>20</v>
      </c>
      <c r="B3176" s="3" t="str">
        <f>INDEX(State_Region!$B$2:$B$26,MATCH(TRIM(A3176),State_Region!$A$2:$A$26,0))</f>
        <v>West</v>
      </c>
      <c r="C3176" s="3" t="s">
        <v>305</v>
      </c>
      <c r="D3176" s="3" t="str">
        <f>INDEX(Port_Type!$B$2:$B$227,MATCH(TRIM(C3176),Port_Type!$A$2:$A$227,0))</f>
        <v>Inland ICD / CFS</v>
      </c>
      <c r="E3176" s="3" t="s">
        <v>55</v>
      </c>
      <c r="F3176" s="3" t="str">
        <f>INDEX(Product_Category!$B$2:$B$45,MATCH(TRIM(E3176),Product_Category!$A$2:$A$45,0))</f>
        <v>Fresh Fruits &amp; Vegetables</v>
      </c>
      <c r="G3176" s="4">
        <v>1.5</v>
      </c>
      <c r="H3176" s="4">
        <v>0</v>
      </c>
      <c r="I3176" s="4">
        <v>0</v>
      </c>
      <c r="J3176" s="4">
        <v>9289.25</v>
      </c>
      <c r="K3176" s="4">
        <v>0</v>
      </c>
      <c r="L3176" s="4">
        <v>0</v>
      </c>
      <c r="M3176" s="4">
        <f t="shared" si="147"/>
        <v>-1.5</v>
      </c>
      <c r="N3176" s="4">
        <f t="shared" si="148"/>
        <v>-9289.25</v>
      </c>
      <c r="O3176" s="4">
        <f t="shared" si="149"/>
        <v>0</v>
      </c>
      <c r="P3176" s="3" t="s">
        <v>19</v>
      </c>
    </row>
    <row r="3177" spans="1:16" x14ac:dyDescent="0.35">
      <c r="A3177" s="3" t="s">
        <v>20</v>
      </c>
      <c r="B3177" s="3" t="str">
        <f>INDEX(State_Region!$B$2:$B$26,MATCH(TRIM(A3177),State_Region!$A$2:$A$26,0))</f>
        <v>West</v>
      </c>
      <c r="C3177" s="3" t="s">
        <v>305</v>
      </c>
      <c r="D3177" s="3" t="str">
        <f>INDEX(Port_Type!$B$2:$B$227,MATCH(TRIM(C3177),Port_Type!$A$2:$A$227,0))</f>
        <v>Inland ICD / CFS</v>
      </c>
      <c r="E3177" s="3" t="s">
        <v>76</v>
      </c>
      <c r="F3177" s="3" t="str">
        <f>INDEX(Product_Category!$B$2:$B$45,MATCH(TRIM(E3177),Product_Category!$A$2:$A$45,0))</f>
        <v>Fresh Fruits &amp; Vegetables</v>
      </c>
      <c r="G3177" s="4">
        <v>0</v>
      </c>
      <c r="H3177" s="4">
        <v>0</v>
      </c>
      <c r="I3177" s="4">
        <v>0</v>
      </c>
      <c r="J3177" s="4">
        <v>2.02</v>
      </c>
      <c r="K3177" s="4">
        <v>0</v>
      </c>
      <c r="L3177" s="4">
        <v>0</v>
      </c>
      <c r="M3177" s="4">
        <f t="shared" si="147"/>
        <v>0</v>
      </c>
      <c r="N3177" s="4">
        <f t="shared" si="148"/>
        <v>-2.02</v>
      </c>
      <c r="O3177" s="4">
        <f t="shared" si="149"/>
        <v>0</v>
      </c>
      <c r="P3177" s="3" t="s">
        <v>19</v>
      </c>
    </row>
    <row r="3178" spans="1:16" x14ac:dyDescent="0.35">
      <c r="A3178" s="3" t="s">
        <v>20</v>
      </c>
      <c r="B3178" s="3" t="str">
        <f>INDEX(State_Region!$B$2:$B$26,MATCH(TRIM(A3178),State_Region!$A$2:$A$26,0))</f>
        <v>West</v>
      </c>
      <c r="C3178" s="3" t="s">
        <v>305</v>
      </c>
      <c r="D3178" s="3" t="str">
        <f>INDEX(Port_Type!$B$2:$B$227,MATCH(TRIM(C3178),Port_Type!$A$2:$A$227,0))</f>
        <v>Inland ICD / CFS</v>
      </c>
      <c r="E3178" s="3" t="s">
        <v>83</v>
      </c>
      <c r="F3178" s="3" t="str">
        <f>INDEX(Product_Category!$B$2:$B$45,MATCH(TRIM(E3178),Product_Category!$A$2:$A$45,0))</f>
        <v>Fresh Fruits &amp; Vegetables</v>
      </c>
      <c r="G3178" s="4">
        <v>5.36</v>
      </c>
      <c r="H3178" s="4">
        <v>0</v>
      </c>
      <c r="I3178" s="4">
        <v>0</v>
      </c>
      <c r="J3178" s="4">
        <v>3469.85</v>
      </c>
      <c r="K3178" s="4">
        <v>0</v>
      </c>
      <c r="L3178" s="4">
        <v>0</v>
      </c>
      <c r="M3178" s="4">
        <f t="shared" si="147"/>
        <v>-5.36</v>
      </c>
      <c r="N3178" s="4">
        <f t="shared" si="148"/>
        <v>-3469.85</v>
      </c>
      <c r="O3178" s="4">
        <f t="shared" si="149"/>
        <v>0</v>
      </c>
      <c r="P3178" s="3" t="s">
        <v>19</v>
      </c>
    </row>
    <row r="3179" spans="1:16" x14ac:dyDescent="0.35">
      <c r="A3179" s="3" t="s">
        <v>40</v>
      </c>
      <c r="B3179" s="3" t="str">
        <f>INDEX(State_Region!$B$2:$B$26,MATCH(TRIM(A3179),State_Region!$A$2:$A$26,0))</f>
        <v>South</v>
      </c>
      <c r="C3179" s="3" t="s">
        <v>194</v>
      </c>
      <c r="D3179" s="3" t="str">
        <f>INDEX(Port_Type!$B$2:$B$227,MATCH(TRIM(C3179),Port_Type!$A$2:$A$227,0))</f>
        <v>Air Cargo</v>
      </c>
      <c r="E3179" s="3" t="s">
        <v>221</v>
      </c>
      <c r="F3179" s="3" t="str">
        <f>INDEX(Product_Category!$B$2:$B$45,MATCH(TRIM(E3179),Product_Category!$A$2:$A$45,0))</f>
        <v>Meat &amp; Animal Products</v>
      </c>
      <c r="G3179" s="4">
        <v>0</v>
      </c>
      <c r="H3179" s="4">
        <v>0</v>
      </c>
      <c r="I3179" s="4">
        <v>0</v>
      </c>
      <c r="J3179" s="4">
        <v>0</v>
      </c>
      <c r="K3179" s="4">
        <v>0.23</v>
      </c>
      <c r="L3179" s="4">
        <v>0</v>
      </c>
      <c r="M3179" s="4">
        <f t="shared" si="147"/>
        <v>0</v>
      </c>
      <c r="N3179" s="4">
        <f t="shared" si="148"/>
        <v>0.23</v>
      </c>
      <c r="O3179" s="4">
        <f t="shared" si="149"/>
        <v>0</v>
      </c>
      <c r="P3179" s="3" t="s">
        <v>19</v>
      </c>
    </row>
    <row r="3180" spans="1:16" x14ac:dyDescent="0.35">
      <c r="A3180" s="3" t="s">
        <v>20</v>
      </c>
      <c r="B3180" s="3" t="str">
        <f>INDEX(State_Region!$B$2:$B$26,MATCH(TRIM(A3180),State_Region!$A$2:$A$26,0))</f>
        <v>West</v>
      </c>
      <c r="C3180" s="3" t="s">
        <v>305</v>
      </c>
      <c r="D3180" s="3" t="str">
        <f>INDEX(Port_Type!$B$2:$B$227,MATCH(TRIM(C3180),Port_Type!$A$2:$A$227,0))</f>
        <v>Inland ICD / CFS</v>
      </c>
      <c r="E3180" s="3" t="s">
        <v>72</v>
      </c>
      <c r="F3180" s="3" t="str">
        <f>INDEX(Product_Category!$B$2:$B$45,MATCH(TRIM(E3180),Product_Category!$A$2:$A$45,0))</f>
        <v>Dairy, Poultry &amp; Honey</v>
      </c>
      <c r="G3180" s="4">
        <v>0.61</v>
      </c>
      <c r="H3180" s="4">
        <v>0</v>
      </c>
      <c r="I3180" s="4">
        <v>0</v>
      </c>
      <c r="J3180" s="4">
        <v>134.47999999999999</v>
      </c>
      <c r="K3180" s="4">
        <v>0</v>
      </c>
      <c r="L3180" s="4">
        <v>0</v>
      </c>
      <c r="M3180" s="4">
        <f t="shared" si="147"/>
        <v>-0.61</v>
      </c>
      <c r="N3180" s="4">
        <f t="shared" si="148"/>
        <v>-134.47999999999999</v>
      </c>
      <c r="O3180" s="4">
        <f t="shared" si="149"/>
        <v>0</v>
      </c>
      <c r="P3180" s="3" t="s">
        <v>19</v>
      </c>
    </row>
    <row r="3181" spans="1:16" x14ac:dyDescent="0.35">
      <c r="A3181" s="3" t="s">
        <v>40</v>
      </c>
      <c r="B3181" s="3" t="str">
        <f>INDEX(State_Region!$B$2:$B$26,MATCH(TRIM(A3181),State_Region!$A$2:$A$26,0))</f>
        <v>South</v>
      </c>
      <c r="C3181" s="3" t="s">
        <v>306</v>
      </c>
      <c r="D3181" s="3" t="str">
        <f>INDEX(Port_Type!$B$2:$B$227,MATCH(TRIM(C3181),Port_Type!$A$2:$A$227,0))</f>
        <v>Inland ICD / CFS</v>
      </c>
      <c r="E3181" s="3" t="s">
        <v>48</v>
      </c>
      <c r="F3181" s="3" t="str">
        <f>INDEX(Product_Category!$B$2:$B$45,MATCH(TRIM(E3181),Product_Category!$A$2:$A$45,0))</f>
        <v>Processed Foods</v>
      </c>
      <c r="G3181" s="4">
        <v>0</v>
      </c>
      <c r="H3181" s="4">
        <v>0</v>
      </c>
      <c r="I3181" s="4">
        <v>0</v>
      </c>
      <c r="J3181" s="4">
        <v>0</v>
      </c>
      <c r="K3181" s="4">
        <v>0.01</v>
      </c>
      <c r="L3181" s="4">
        <v>0</v>
      </c>
      <c r="M3181" s="4">
        <f t="shared" si="147"/>
        <v>0</v>
      </c>
      <c r="N3181" s="4">
        <f t="shared" si="148"/>
        <v>0.01</v>
      </c>
      <c r="O3181" s="4">
        <f t="shared" si="149"/>
        <v>0</v>
      </c>
      <c r="P3181" s="3" t="s">
        <v>19</v>
      </c>
    </row>
    <row r="3182" spans="1:16" x14ac:dyDescent="0.35">
      <c r="A3182" s="3" t="s">
        <v>40</v>
      </c>
      <c r="B3182" s="3" t="str">
        <f>INDEX(State_Region!$B$2:$B$26,MATCH(TRIM(A3182),State_Region!$A$2:$A$26,0))</f>
        <v>South</v>
      </c>
      <c r="C3182" s="3" t="s">
        <v>306</v>
      </c>
      <c r="D3182" s="3" t="str">
        <f>INDEX(Port_Type!$B$2:$B$227,MATCH(TRIM(C3182),Port_Type!$A$2:$A$227,0))</f>
        <v>Inland ICD / CFS</v>
      </c>
      <c r="E3182" s="3" t="s">
        <v>55</v>
      </c>
      <c r="F3182" s="3" t="str">
        <f>INDEX(Product_Category!$B$2:$B$45,MATCH(TRIM(E3182),Product_Category!$A$2:$A$45,0))</f>
        <v>Fresh Fruits &amp; Vegetables</v>
      </c>
      <c r="G3182" s="4">
        <v>0.21</v>
      </c>
      <c r="H3182" s="4">
        <v>0</v>
      </c>
      <c r="I3182" s="4">
        <v>0</v>
      </c>
      <c r="J3182" s="4">
        <v>261</v>
      </c>
      <c r="K3182" s="4">
        <v>0</v>
      </c>
      <c r="L3182" s="4">
        <v>0</v>
      </c>
      <c r="M3182" s="4">
        <f t="shared" si="147"/>
        <v>-0.21</v>
      </c>
      <c r="N3182" s="4">
        <f t="shared" si="148"/>
        <v>-261</v>
      </c>
      <c r="O3182" s="4">
        <f t="shared" si="149"/>
        <v>0</v>
      </c>
      <c r="P3182" s="3" t="s">
        <v>19</v>
      </c>
    </row>
    <row r="3183" spans="1:16" x14ac:dyDescent="0.35">
      <c r="A3183" s="3" t="s">
        <v>40</v>
      </c>
      <c r="B3183" s="3" t="str">
        <f>INDEX(State_Region!$B$2:$B$26,MATCH(TRIM(A3183),State_Region!$A$2:$A$26,0))</f>
        <v>South</v>
      </c>
      <c r="C3183" s="3" t="s">
        <v>306</v>
      </c>
      <c r="D3183" s="3" t="str">
        <f>INDEX(Port_Type!$B$2:$B$227,MATCH(TRIM(C3183),Port_Type!$A$2:$A$227,0))</f>
        <v>Inland ICD / CFS</v>
      </c>
      <c r="E3183" s="3" t="s">
        <v>53</v>
      </c>
      <c r="F3183" s="3" t="str">
        <f>INDEX(Product_Category!$B$2:$B$45,MATCH(TRIM(E3183),Product_Category!$A$2:$A$45,0))</f>
        <v>Processed Foods</v>
      </c>
      <c r="G3183" s="4">
        <v>0.25</v>
      </c>
      <c r="H3183" s="4">
        <v>0</v>
      </c>
      <c r="I3183" s="4">
        <v>0</v>
      </c>
      <c r="J3183" s="4">
        <v>96.03</v>
      </c>
      <c r="K3183" s="4">
        <v>0</v>
      </c>
      <c r="L3183" s="4">
        <v>0</v>
      </c>
      <c r="M3183" s="4">
        <f t="shared" si="147"/>
        <v>-0.25</v>
      </c>
      <c r="N3183" s="4">
        <f t="shared" si="148"/>
        <v>-96.03</v>
      </c>
      <c r="O3183" s="4">
        <f t="shared" si="149"/>
        <v>0</v>
      </c>
      <c r="P3183" s="3" t="s">
        <v>19</v>
      </c>
    </row>
    <row r="3184" spans="1:16" x14ac:dyDescent="0.35">
      <c r="A3184" s="3" t="s">
        <v>40</v>
      </c>
      <c r="B3184" s="3" t="str">
        <f>INDEX(State_Region!$B$2:$B$26,MATCH(TRIM(A3184),State_Region!$A$2:$A$26,0))</f>
        <v>South</v>
      </c>
      <c r="C3184" s="3" t="s">
        <v>306</v>
      </c>
      <c r="D3184" s="3" t="str">
        <f>INDEX(Port_Type!$B$2:$B$227,MATCH(TRIM(C3184),Port_Type!$A$2:$A$227,0))</f>
        <v>Inland ICD / CFS</v>
      </c>
      <c r="E3184" s="3" t="s">
        <v>39</v>
      </c>
      <c r="F3184" s="3" t="str">
        <f>INDEX(Product_Category!$B$2:$B$45,MATCH(TRIM(E3184),Product_Category!$A$2:$A$45,0))</f>
        <v>Processed Foods</v>
      </c>
      <c r="G3184" s="4">
        <v>0</v>
      </c>
      <c r="H3184" s="4">
        <v>0</v>
      </c>
      <c r="I3184" s="4">
        <v>0</v>
      </c>
      <c r="J3184" s="4">
        <v>3</v>
      </c>
      <c r="K3184" s="4">
        <v>0.02</v>
      </c>
      <c r="L3184" s="4">
        <v>0</v>
      </c>
      <c r="M3184" s="4">
        <f t="shared" si="147"/>
        <v>0</v>
      </c>
      <c r="N3184" s="4">
        <f t="shared" si="148"/>
        <v>-2.98</v>
      </c>
      <c r="O3184" s="4">
        <f t="shared" si="149"/>
        <v>0</v>
      </c>
      <c r="P3184" s="3" t="s">
        <v>19</v>
      </c>
    </row>
    <row r="3185" spans="1:16" x14ac:dyDescent="0.35">
      <c r="A3185" s="3" t="s">
        <v>40</v>
      </c>
      <c r="B3185" s="3" t="str">
        <f>INDEX(State_Region!$B$2:$B$26,MATCH(TRIM(A3185),State_Region!$A$2:$A$26,0))</f>
        <v>South</v>
      </c>
      <c r="C3185" s="3" t="s">
        <v>306</v>
      </c>
      <c r="D3185" s="3" t="str">
        <f>INDEX(Port_Type!$B$2:$B$227,MATCH(TRIM(C3185),Port_Type!$A$2:$A$227,0))</f>
        <v>Inland ICD / CFS</v>
      </c>
      <c r="E3185" s="3" t="s">
        <v>118</v>
      </c>
      <c r="F3185" s="3" t="str">
        <f>INDEX(Product_Category!$B$2:$B$45,MATCH(TRIM(E3185),Product_Category!$A$2:$A$45,0))</f>
        <v>Dairy, Poultry &amp; Honey</v>
      </c>
      <c r="G3185" s="4">
        <v>0</v>
      </c>
      <c r="H3185" s="4">
        <v>0</v>
      </c>
      <c r="I3185" s="4">
        <v>0</v>
      </c>
      <c r="J3185" s="4">
        <v>0</v>
      </c>
      <c r="K3185" s="4">
        <v>0.1</v>
      </c>
      <c r="L3185" s="4">
        <v>0</v>
      </c>
      <c r="M3185" s="4">
        <f t="shared" si="147"/>
        <v>0</v>
      </c>
      <c r="N3185" s="4">
        <f t="shared" si="148"/>
        <v>0.1</v>
      </c>
      <c r="O3185" s="4">
        <f t="shared" si="149"/>
        <v>0</v>
      </c>
      <c r="P3185" s="3" t="s">
        <v>19</v>
      </c>
    </row>
    <row r="3186" spans="1:16" x14ac:dyDescent="0.35">
      <c r="A3186" s="3" t="s">
        <v>40</v>
      </c>
      <c r="B3186" s="3" t="str">
        <f>INDEX(State_Region!$B$2:$B$26,MATCH(TRIM(A3186),State_Region!$A$2:$A$26,0))</f>
        <v>South</v>
      </c>
      <c r="C3186" s="3" t="s">
        <v>306</v>
      </c>
      <c r="D3186" s="3" t="str">
        <f>INDEX(Port_Type!$B$2:$B$227,MATCH(TRIM(C3186),Port_Type!$A$2:$A$227,0))</f>
        <v>Inland ICD / CFS</v>
      </c>
      <c r="E3186" s="3" t="s">
        <v>27</v>
      </c>
      <c r="F3186" s="3" t="str">
        <f>INDEX(Product_Category!$B$2:$B$45,MATCH(TRIM(E3186),Product_Category!$A$2:$A$45,0))</f>
        <v>Cereals &amp; Grains</v>
      </c>
      <c r="G3186" s="4">
        <v>0</v>
      </c>
      <c r="H3186" s="4">
        <v>0</v>
      </c>
      <c r="I3186" s="4">
        <v>0</v>
      </c>
      <c r="J3186" s="4">
        <v>0</v>
      </c>
      <c r="K3186" s="4">
        <v>0.05</v>
      </c>
      <c r="L3186" s="4">
        <v>0</v>
      </c>
      <c r="M3186" s="4">
        <f t="shared" si="147"/>
        <v>0</v>
      </c>
      <c r="N3186" s="4">
        <f t="shared" si="148"/>
        <v>0.05</v>
      </c>
      <c r="O3186" s="4">
        <f t="shared" si="149"/>
        <v>0</v>
      </c>
      <c r="P3186" s="3" t="s">
        <v>19</v>
      </c>
    </row>
    <row r="3187" spans="1:16" x14ac:dyDescent="0.35">
      <c r="A3187" s="3" t="s">
        <v>40</v>
      </c>
      <c r="B3187" s="3" t="str">
        <f>INDEX(State_Region!$B$2:$B$26,MATCH(TRIM(A3187),State_Region!$A$2:$A$26,0))</f>
        <v>South</v>
      </c>
      <c r="C3187" s="3" t="s">
        <v>306</v>
      </c>
      <c r="D3187" s="3" t="str">
        <f>INDEX(Port_Type!$B$2:$B$227,MATCH(TRIM(C3187),Port_Type!$A$2:$A$227,0))</f>
        <v>Inland ICD / CFS</v>
      </c>
      <c r="E3187" s="3" t="s">
        <v>126</v>
      </c>
      <c r="F3187" s="3" t="str">
        <f>INDEX(Product_Category!$B$2:$B$45,MATCH(TRIM(E3187),Product_Category!$A$2:$A$45,0))</f>
        <v>Cereals &amp; Grains</v>
      </c>
      <c r="G3187" s="4">
        <v>0</v>
      </c>
      <c r="H3187" s="4">
        <v>0</v>
      </c>
      <c r="I3187" s="4">
        <v>0</v>
      </c>
      <c r="J3187" s="4">
        <v>0</v>
      </c>
      <c r="K3187" s="4">
        <v>0.03</v>
      </c>
      <c r="L3187" s="4">
        <v>0</v>
      </c>
      <c r="M3187" s="4">
        <f t="shared" si="147"/>
        <v>0</v>
      </c>
      <c r="N3187" s="4">
        <f t="shared" si="148"/>
        <v>0.03</v>
      </c>
      <c r="O3187" s="4">
        <f t="shared" si="149"/>
        <v>0</v>
      </c>
      <c r="P3187" s="3" t="s">
        <v>19</v>
      </c>
    </row>
    <row r="3188" spans="1:16" x14ac:dyDescent="0.35">
      <c r="A3188" s="3" t="s">
        <v>40</v>
      </c>
      <c r="B3188" s="3" t="str">
        <f>INDEX(State_Region!$B$2:$B$26,MATCH(TRIM(A3188),State_Region!$A$2:$A$26,0))</f>
        <v>South</v>
      </c>
      <c r="C3188" s="3" t="s">
        <v>306</v>
      </c>
      <c r="D3188" s="3" t="str">
        <f>INDEX(Port_Type!$B$2:$B$227,MATCH(TRIM(C3188),Port_Type!$A$2:$A$227,0))</f>
        <v>Inland ICD / CFS</v>
      </c>
      <c r="E3188" s="3" t="s">
        <v>102</v>
      </c>
      <c r="F3188" s="3" t="str">
        <f>INDEX(Product_Category!$B$2:$B$45,MATCH(TRIM(E3188),Product_Category!$A$2:$A$45,0))</f>
        <v>Fresh Fruits &amp; Vegetables</v>
      </c>
      <c r="G3188" s="4">
        <v>0.03</v>
      </c>
      <c r="H3188" s="4">
        <v>0</v>
      </c>
      <c r="I3188" s="4">
        <v>0</v>
      </c>
      <c r="J3188" s="4">
        <v>58</v>
      </c>
      <c r="K3188" s="4">
        <v>0</v>
      </c>
      <c r="L3188" s="4">
        <v>0</v>
      </c>
      <c r="M3188" s="4">
        <f t="shared" si="147"/>
        <v>-0.03</v>
      </c>
      <c r="N3188" s="4">
        <f t="shared" si="148"/>
        <v>-58</v>
      </c>
      <c r="O3188" s="4">
        <f t="shared" si="149"/>
        <v>0</v>
      </c>
      <c r="P3188" s="3" t="s">
        <v>19</v>
      </c>
    </row>
    <row r="3189" spans="1:16" x14ac:dyDescent="0.35">
      <c r="A3189" s="3" t="s">
        <v>40</v>
      </c>
      <c r="B3189" s="3" t="str">
        <f>INDEX(State_Region!$B$2:$B$26,MATCH(TRIM(A3189),State_Region!$A$2:$A$26,0))</f>
        <v>South</v>
      </c>
      <c r="C3189" s="3" t="s">
        <v>306</v>
      </c>
      <c r="D3189" s="3" t="str">
        <f>INDEX(Port_Type!$B$2:$B$227,MATCH(TRIM(C3189),Port_Type!$A$2:$A$227,0))</f>
        <v>Inland ICD / CFS</v>
      </c>
      <c r="E3189" s="3" t="s">
        <v>170</v>
      </c>
      <c r="F3189" s="3" t="str">
        <f>INDEX(Product_Category!$B$2:$B$45,MATCH(TRIM(E3189),Product_Category!$A$2:$A$45,0))</f>
        <v>Others</v>
      </c>
      <c r="G3189" s="4">
        <v>2.4700000000000002</v>
      </c>
      <c r="H3189" s="4">
        <v>0</v>
      </c>
      <c r="I3189" s="4">
        <v>0</v>
      </c>
      <c r="J3189" s="4">
        <v>751.78</v>
      </c>
      <c r="K3189" s="4">
        <v>7.0000000000000007E-2</v>
      </c>
      <c r="L3189" s="4">
        <v>0</v>
      </c>
      <c r="M3189" s="4">
        <f t="shared" si="147"/>
        <v>-2.4700000000000002</v>
      </c>
      <c r="N3189" s="4">
        <f t="shared" si="148"/>
        <v>-751.70999999999992</v>
      </c>
      <c r="O3189" s="4">
        <f t="shared" si="149"/>
        <v>0</v>
      </c>
      <c r="P3189" s="3" t="s">
        <v>19</v>
      </c>
    </row>
    <row r="3190" spans="1:16" x14ac:dyDescent="0.35">
      <c r="A3190" s="3" t="s">
        <v>40</v>
      </c>
      <c r="B3190" s="3" t="str">
        <f>INDEX(State_Region!$B$2:$B$26,MATCH(TRIM(A3190),State_Region!$A$2:$A$26,0))</f>
        <v>South</v>
      </c>
      <c r="C3190" s="3" t="s">
        <v>306</v>
      </c>
      <c r="D3190" s="3" t="str">
        <f>INDEX(Port_Type!$B$2:$B$227,MATCH(TRIM(C3190),Port_Type!$A$2:$A$227,0))</f>
        <v>Inland ICD / CFS</v>
      </c>
      <c r="E3190" s="3" t="s">
        <v>42</v>
      </c>
      <c r="F3190" s="3" t="str">
        <f>INDEX(Product_Category!$B$2:$B$45,MATCH(TRIM(E3190),Product_Category!$A$2:$A$45,0))</f>
        <v>Processed Foods</v>
      </c>
      <c r="G3190" s="4">
        <v>0.04</v>
      </c>
      <c r="H3190" s="4">
        <v>0</v>
      </c>
      <c r="I3190" s="4">
        <v>0</v>
      </c>
      <c r="J3190" s="4">
        <v>25.54</v>
      </c>
      <c r="K3190" s="4">
        <v>0</v>
      </c>
      <c r="L3190" s="4">
        <v>0</v>
      </c>
      <c r="M3190" s="4">
        <f t="shared" si="147"/>
        <v>-0.04</v>
      </c>
      <c r="N3190" s="4">
        <f t="shared" si="148"/>
        <v>-25.54</v>
      </c>
      <c r="O3190" s="4">
        <f t="shared" si="149"/>
        <v>0</v>
      </c>
      <c r="P3190" s="3" t="s">
        <v>19</v>
      </c>
    </row>
    <row r="3191" spans="1:16" x14ac:dyDescent="0.35">
      <c r="A3191" s="3" t="s">
        <v>40</v>
      </c>
      <c r="B3191" s="3" t="str">
        <f>INDEX(State_Region!$B$2:$B$26,MATCH(TRIM(A3191),State_Region!$A$2:$A$26,0))</f>
        <v>South</v>
      </c>
      <c r="C3191" s="3" t="s">
        <v>164</v>
      </c>
      <c r="D3191" s="3" t="str">
        <f>INDEX(Port_Type!$B$2:$B$227,MATCH(TRIM(C3191),Port_Type!$A$2:$A$227,0))</f>
        <v>Air Cargo</v>
      </c>
      <c r="E3191" s="3" t="s">
        <v>174</v>
      </c>
      <c r="F3191" s="3" t="str">
        <f>INDEX(Product_Category!$B$2:$B$45,MATCH(TRIM(E3191),Product_Category!$A$2:$A$45,0))</f>
        <v>Dairy, Poultry &amp; Honey</v>
      </c>
      <c r="G3191" s="4">
        <v>0.01</v>
      </c>
      <c r="H3191" s="4">
        <v>0.01</v>
      </c>
      <c r="I3191" s="4">
        <v>0</v>
      </c>
      <c r="J3191" s="4">
        <v>0.52</v>
      </c>
      <c r="K3191" s="4">
        <v>1.07</v>
      </c>
      <c r="L3191" s="4">
        <v>0.03</v>
      </c>
      <c r="M3191" s="4">
        <f t="shared" si="147"/>
        <v>0</v>
      </c>
      <c r="N3191" s="4">
        <f t="shared" si="148"/>
        <v>0.55000000000000004</v>
      </c>
      <c r="O3191" s="4">
        <f t="shared" si="149"/>
        <v>-0.01</v>
      </c>
      <c r="P3191" s="3" t="s">
        <v>19</v>
      </c>
    </row>
    <row r="3192" spans="1:16" x14ac:dyDescent="0.35">
      <c r="A3192" s="3" t="s">
        <v>40</v>
      </c>
      <c r="B3192" s="3" t="str">
        <f>INDEX(State_Region!$B$2:$B$26,MATCH(TRIM(A3192),State_Region!$A$2:$A$26,0))</f>
        <v>South</v>
      </c>
      <c r="C3192" s="3" t="s">
        <v>164</v>
      </c>
      <c r="D3192" s="3" t="str">
        <f>INDEX(Port_Type!$B$2:$B$227,MATCH(TRIM(C3192),Port_Type!$A$2:$A$227,0))</f>
        <v>Air Cargo</v>
      </c>
      <c r="E3192" s="3" t="s">
        <v>60</v>
      </c>
      <c r="F3192" s="3" t="str">
        <f>INDEX(Product_Category!$B$2:$B$45,MATCH(TRIM(E3192),Product_Category!$A$2:$A$45,0))</f>
        <v>Processed Foods</v>
      </c>
      <c r="G3192" s="4">
        <v>0</v>
      </c>
      <c r="H3192" s="4">
        <v>0</v>
      </c>
      <c r="I3192" s="4">
        <v>0</v>
      </c>
      <c r="J3192" s="4">
        <v>0.27</v>
      </c>
      <c r="K3192" s="4">
        <v>0.02</v>
      </c>
      <c r="L3192" s="4">
        <v>0</v>
      </c>
      <c r="M3192" s="4">
        <f t="shared" si="147"/>
        <v>0</v>
      </c>
      <c r="N3192" s="4">
        <f t="shared" si="148"/>
        <v>-0.25</v>
      </c>
      <c r="O3192" s="4">
        <f t="shared" si="149"/>
        <v>0</v>
      </c>
      <c r="P3192" s="3" t="s">
        <v>19</v>
      </c>
    </row>
    <row r="3193" spans="1:16" x14ac:dyDescent="0.35">
      <c r="A3193" s="3" t="s">
        <v>40</v>
      </c>
      <c r="B3193" s="3" t="str">
        <f>INDEX(State_Region!$B$2:$B$26,MATCH(TRIM(A3193),State_Region!$A$2:$A$26,0))</f>
        <v>South</v>
      </c>
      <c r="C3193" s="3" t="s">
        <v>164</v>
      </c>
      <c r="D3193" s="3" t="str">
        <f>INDEX(Port_Type!$B$2:$B$227,MATCH(TRIM(C3193),Port_Type!$A$2:$A$227,0))</f>
        <v>Air Cargo</v>
      </c>
      <c r="E3193" s="3" t="s">
        <v>179</v>
      </c>
      <c r="F3193" s="3" t="str">
        <f>INDEX(Product_Category!$B$2:$B$45,MATCH(TRIM(E3193),Product_Category!$A$2:$A$45,0))</f>
        <v>Nuts &amp; Oilseeds</v>
      </c>
      <c r="G3193" s="4">
        <v>0</v>
      </c>
      <c r="H3193" s="4">
        <v>0</v>
      </c>
      <c r="I3193" s="4">
        <v>0</v>
      </c>
      <c r="J3193" s="4">
        <v>0.01</v>
      </c>
      <c r="K3193" s="4">
        <v>0</v>
      </c>
      <c r="L3193" s="4">
        <v>0</v>
      </c>
      <c r="M3193" s="4">
        <f t="shared" si="147"/>
        <v>0</v>
      </c>
      <c r="N3193" s="4">
        <f t="shared" si="148"/>
        <v>-0.01</v>
      </c>
      <c r="O3193" s="4">
        <f t="shared" si="149"/>
        <v>0</v>
      </c>
      <c r="P3193" s="3" t="s">
        <v>19</v>
      </c>
    </row>
    <row r="3194" spans="1:16" x14ac:dyDescent="0.35">
      <c r="A3194" s="3" t="s">
        <v>40</v>
      </c>
      <c r="B3194" s="3" t="str">
        <f>INDEX(State_Region!$B$2:$B$26,MATCH(TRIM(A3194),State_Region!$A$2:$A$26,0))</f>
        <v>South</v>
      </c>
      <c r="C3194" s="3" t="s">
        <v>164</v>
      </c>
      <c r="D3194" s="3" t="str">
        <f>INDEX(Port_Type!$B$2:$B$227,MATCH(TRIM(C3194),Port_Type!$A$2:$A$227,0))</f>
        <v>Air Cargo</v>
      </c>
      <c r="E3194" s="3" t="s">
        <v>142</v>
      </c>
      <c r="F3194" s="3" t="str">
        <f>INDEX(Product_Category!$B$2:$B$45,MATCH(TRIM(E3194),Product_Category!$A$2:$A$45,0))</f>
        <v>Nuts &amp; Oilseeds</v>
      </c>
      <c r="G3194" s="4">
        <v>0</v>
      </c>
      <c r="H3194" s="4">
        <v>0</v>
      </c>
      <c r="I3194" s="4">
        <v>0</v>
      </c>
      <c r="J3194" s="4">
        <v>0.06</v>
      </c>
      <c r="K3194" s="4">
        <v>0.04</v>
      </c>
      <c r="L3194" s="4">
        <v>0</v>
      </c>
      <c r="M3194" s="4">
        <f t="shared" si="147"/>
        <v>0</v>
      </c>
      <c r="N3194" s="4">
        <f t="shared" si="148"/>
        <v>-1.9999999999999997E-2</v>
      </c>
      <c r="O3194" s="4">
        <f t="shared" si="149"/>
        <v>0</v>
      </c>
      <c r="P3194" s="3" t="s">
        <v>19</v>
      </c>
    </row>
    <row r="3195" spans="1:16" x14ac:dyDescent="0.35">
      <c r="A3195" s="3" t="s">
        <v>20</v>
      </c>
      <c r="B3195" s="3" t="str">
        <f>INDEX(State_Region!$B$2:$B$26,MATCH(TRIM(A3195),State_Region!$A$2:$A$26,0))</f>
        <v>West</v>
      </c>
      <c r="C3195" s="3" t="s">
        <v>305</v>
      </c>
      <c r="D3195" s="3" t="str">
        <f>INDEX(Port_Type!$B$2:$B$227,MATCH(TRIM(C3195),Port_Type!$A$2:$A$227,0))</f>
        <v>Inland ICD / CFS</v>
      </c>
      <c r="E3195" s="3" t="s">
        <v>48</v>
      </c>
      <c r="F3195" s="3" t="str">
        <f>INDEX(Product_Category!$B$2:$B$45,MATCH(TRIM(E3195),Product_Category!$A$2:$A$45,0))</f>
        <v>Processed Foods</v>
      </c>
      <c r="G3195" s="4">
        <v>0.05</v>
      </c>
      <c r="H3195" s="4">
        <v>0</v>
      </c>
      <c r="I3195" s="4">
        <v>0</v>
      </c>
      <c r="J3195" s="4">
        <v>17.61</v>
      </c>
      <c r="K3195" s="4">
        <v>0</v>
      </c>
      <c r="L3195" s="4">
        <v>0</v>
      </c>
      <c r="M3195" s="4">
        <f t="shared" si="147"/>
        <v>-0.05</v>
      </c>
      <c r="N3195" s="4">
        <f t="shared" si="148"/>
        <v>-17.61</v>
      </c>
      <c r="O3195" s="4">
        <f t="shared" si="149"/>
        <v>0</v>
      </c>
      <c r="P3195" s="3" t="s">
        <v>19</v>
      </c>
    </row>
    <row r="3196" spans="1:16" x14ac:dyDescent="0.35">
      <c r="A3196" s="3" t="s">
        <v>20</v>
      </c>
      <c r="B3196" s="3" t="str">
        <f>INDEX(State_Region!$B$2:$B$26,MATCH(TRIM(A3196),State_Region!$A$2:$A$26,0))</f>
        <v>West</v>
      </c>
      <c r="C3196" s="3" t="s">
        <v>305</v>
      </c>
      <c r="D3196" s="3" t="str">
        <f>INDEX(Port_Type!$B$2:$B$227,MATCH(TRIM(C3196),Port_Type!$A$2:$A$227,0))</f>
        <v>Inland ICD / CFS</v>
      </c>
      <c r="E3196" s="3" t="s">
        <v>179</v>
      </c>
      <c r="F3196" s="3" t="str">
        <f>INDEX(Product_Category!$B$2:$B$45,MATCH(TRIM(E3196),Product_Category!$A$2:$A$45,0))</f>
        <v>Nuts &amp; Oilseeds</v>
      </c>
      <c r="G3196" s="4">
        <v>0</v>
      </c>
      <c r="H3196" s="4">
        <v>0</v>
      </c>
      <c r="I3196" s="4">
        <v>0</v>
      </c>
      <c r="J3196" s="4">
        <v>0.47</v>
      </c>
      <c r="K3196" s="4">
        <v>0</v>
      </c>
      <c r="L3196" s="4">
        <v>0</v>
      </c>
      <c r="M3196" s="4">
        <f t="shared" si="147"/>
        <v>0</v>
      </c>
      <c r="N3196" s="4">
        <f t="shared" si="148"/>
        <v>-0.47</v>
      </c>
      <c r="O3196" s="4">
        <f t="shared" si="149"/>
        <v>0</v>
      </c>
      <c r="P3196" s="3" t="s">
        <v>19</v>
      </c>
    </row>
    <row r="3197" spans="1:16" x14ac:dyDescent="0.35">
      <c r="A3197" s="3" t="s">
        <v>40</v>
      </c>
      <c r="B3197" s="3" t="str">
        <f>INDEX(State_Region!$B$2:$B$26,MATCH(TRIM(A3197),State_Region!$A$2:$A$26,0))</f>
        <v>South</v>
      </c>
      <c r="C3197" s="3" t="s">
        <v>164</v>
      </c>
      <c r="D3197" s="3" t="str">
        <f>INDEX(Port_Type!$B$2:$B$227,MATCH(TRIM(C3197),Port_Type!$A$2:$A$227,0))</f>
        <v>Air Cargo</v>
      </c>
      <c r="E3197" s="3" t="s">
        <v>110</v>
      </c>
      <c r="F3197" s="3" t="str">
        <f>INDEX(Product_Category!$B$2:$B$45,MATCH(TRIM(E3197),Product_Category!$A$2:$A$45,0))</f>
        <v>Dairy, Poultry &amp; Honey</v>
      </c>
      <c r="G3197" s="4">
        <v>0</v>
      </c>
      <c r="H3197" s="4">
        <v>0.04</v>
      </c>
      <c r="I3197" s="4">
        <v>0</v>
      </c>
      <c r="J3197" s="4">
        <v>0.09</v>
      </c>
      <c r="K3197" s="4">
        <v>167.4</v>
      </c>
      <c r="L3197" s="4">
        <v>0</v>
      </c>
      <c r="M3197" s="4">
        <f t="shared" si="147"/>
        <v>0.04</v>
      </c>
      <c r="N3197" s="4">
        <f t="shared" si="148"/>
        <v>167.31</v>
      </c>
      <c r="O3197" s="4">
        <f t="shared" si="149"/>
        <v>-0.04</v>
      </c>
      <c r="P3197" s="3" t="s">
        <v>19</v>
      </c>
    </row>
    <row r="3198" spans="1:16" x14ac:dyDescent="0.35">
      <c r="A3198" s="3" t="s">
        <v>20</v>
      </c>
      <c r="B3198" s="3" t="str">
        <f>INDEX(State_Region!$B$2:$B$26,MATCH(TRIM(A3198),State_Region!$A$2:$A$26,0))</f>
        <v>West</v>
      </c>
      <c r="C3198" s="3" t="s">
        <v>111</v>
      </c>
      <c r="D3198" s="3" t="str">
        <f>INDEX(Port_Type!$B$2:$B$227,MATCH(TRIM(C3198),Port_Type!$A$2:$A$227,0))</f>
        <v>Inland ICD / CFS</v>
      </c>
      <c r="E3198" s="3" t="s">
        <v>45</v>
      </c>
      <c r="F3198" s="3" t="str">
        <f>INDEX(Product_Category!$B$2:$B$45,MATCH(TRIM(E3198),Product_Category!$A$2:$A$45,0))</f>
        <v>Fresh Fruits &amp; Vegetables</v>
      </c>
      <c r="G3198" s="4">
        <v>0.02</v>
      </c>
      <c r="H3198" s="4">
        <v>0</v>
      </c>
      <c r="I3198" s="4">
        <v>0</v>
      </c>
      <c r="J3198" s="4">
        <v>3.7</v>
      </c>
      <c r="K3198" s="4">
        <v>0</v>
      </c>
      <c r="L3198" s="4">
        <v>0</v>
      </c>
      <c r="M3198" s="4">
        <f t="shared" si="147"/>
        <v>-0.02</v>
      </c>
      <c r="N3198" s="4">
        <f t="shared" si="148"/>
        <v>-3.7</v>
      </c>
      <c r="O3198" s="4">
        <f t="shared" si="149"/>
        <v>0</v>
      </c>
      <c r="P3198" s="3" t="s">
        <v>19</v>
      </c>
    </row>
    <row r="3199" spans="1:16" x14ac:dyDescent="0.35">
      <c r="A3199" s="3" t="s">
        <v>20</v>
      </c>
      <c r="B3199" s="3" t="str">
        <f>INDEX(State_Region!$B$2:$B$26,MATCH(TRIM(A3199),State_Region!$A$2:$A$26,0))</f>
        <v>West</v>
      </c>
      <c r="C3199" s="3" t="s">
        <v>111</v>
      </c>
      <c r="D3199" s="3" t="str">
        <f>INDEX(Port_Type!$B$2:$B$227,MATCH(TRIM(C3199),Port_Type!$A$2:$A$227,0))</f>
        <v>Inland ICD / CFS</v>
      </c>
      <c r="E3199" s="3" t="s">
        <v>144</v>
      </c>
      <c r="F3199" s="3" t="str">
        <f>INDEX(Product_Category!$B$2:$B$45,MATCH(TRIM(E3199),Product_Category!$A$2:$A$45,0))</f>
        <v>Cereals &amp; Grains</v>
      </c>
      <c r="G3199" s="4">
        <v>0.01</v>
      </c>
      <c r="H3199" s="4">
        <v>0</v>
      </c>
      <c r="I3199" s="4">
        <v>0</v>
      </c>
      <c r="J3199" s="4">
        <v>11.97</v>
      </c>
      <c r="K3199" s="4">
        <v>0</v>
      </c>
      <c r="L3199" s="4">
        <v>0</v>
      </c>
      <c r="M3199" s="4">
        <f t="shared" si="147"/>
        <v>-0.01</v>
      </c>
      <c r="N3199" s="4">
        <f t="shared" si="148"/>
        <v>-11.97</v>
      </c>
      <c r="O3199" s="4">
        <f t="shared" si="149"/>
        <v>0</v>
      </c>
      <c r="P3199" s="3" t="s">
        <v>19</v>
      </c>
    </row>
    <row r="3200" spans="1:16" x14ac:dyDescent="0.35">
      <c r="A3200" s="3" t="s">
        <v>20</v>
      </c>
      <c r="B3200" s="3" t="str">
        <f>INDEX(State_Region!$B$2:$B$26,MATCH(TRIM(A3200),State_Region!$A$2:$A$26,0))</f>
        <v>West</v>
      </c>
      <c r="C3200" s="3" t="s">
        <v>111</v>
      </c>
      <c r="D3200" s="3" t="str">
        <f>INDEX(Port_Type!$B$2:$B$227,MATCH(TRIM(C3200),Port_Type!$A$2:$A$227,0))</f>
        <v>Inland ICD / CFS</v>
      </c>
      <c r="E3200" s="3" t="s">
        <v>69</v>
      </c>
      <c r="F3200" s="3" t="str">
        <f>INDEX(Product_Category!$B$2:$B$45,MATCH(TRIM(E3200),Product_Category!$A$2:$A$45,0))</f>
        <v>Others</v>
      </c>
      <c r="G3200" s="4">
        <v>0.02</v>
      </c>
      <c r="H3200" s="4">
        <v>0</v>
      </c>
      <c r="I3200" s="4">
        <v>0</v>
      </c>
      <c r="J3200" s="4">
        <v>13</v>
      </c>
      <c r="K3200" s="4">
        <v>0</v>
      </c>
      <c r="L3200" s="4">
        <v>0</v>
      </c>
      <c r="M3200" s="4">
        <f t="shared" si="147"/>
        <v>-0.02</v>
      </c>
      <c r="N3200" s="4">
        <f t="shared" si="148"/>
        <v>-13</v>
      </c>
      <c r="O3200" s="4">
        <f t="shared" si="149"/>
        <v>0</v>
      </c>
      <c r="P3200" s="3" t="s">
        <v>19</v>
      </c>
    </row>
    <row r="3201" spans="1:16" x14ac:dyDescent="0.35">
      <c r="A3201" s="3" t="s">
        <v>40</v>
      </c>
      <c r="B3201" s="3" t="str">
        <f>INDEX(State_Region!$B$2:$B$26,MATCH(TRIM(A3201),State_Region!$A$2:$A$26,0))</f>
        <v>South</v>
      </c>
      <c r="C3201" s="3" t="s">
        <v>164</v>
      </c>
      <c r="D3201" s="3" t="str">
        <f>INDEX(Port_Type!$B$2:$B$227,MATCH(TRIM(C3201),Port_Type!$A$2:$A$227,0))</f>
        <v>Air Cargo</v>
      </c>
      <c r="E3201" s="3" t="s">
        <v>51</v>
      </c>
      <c r="F3201" s="3" t="str">
        <f>INDEX(Product_Category!$B$2:$B$45,MATCH(TRIM(E3201),Product_Category!$A$2:$A$45,0))</f>
        <v>Nuts &amp; Oilseeds</v>
      </c>
      <c r="G3201" s="4">
        <v>0</v>
      </c>
      <c r="H3201" s="4">
        <v>0</v>
      </c>
      <c r="I3201" s="4">
        <v>0</v>
      </c>
      <c r="J3201" s="4">
        <v>0.48</v>
      </c>
      <c r="K3201" s="4">
        <v>0.88</v>
      </c>
      <c r="L3201" s="4">
        <v>0</v>
      </c>
      <c r="M3201" s="4">
        <f t="shared" si="147"/>
        <v>0</v>
      </c>
      <c r="N3201" s="4">
        <f t="shared" si="148"/>
        <v>0.4</v>
      </c>
      <c r="O3201" s="4">
        <f t="shared" si="149"/>
        <v>0</v>
      </c>
      <c r="P3201" s="3" t="s">
        <v>19</v>
      </c>
    </row>
    <row r="3202" spans="1:16" x14ac:dyDescent="0.35">
      <c r="A3202" s="3" t="s">
        <v>40</v>
      </c>
      <c r="B3202" s="3" t="str">
        <f>INDEX(State_Region!$B$2:$B$26,MATCH(TRIM(A3202),State_Region!$A$2:$A$26,0))</f>
        <v>South</v>
      </c>
      <c r="C3202" s="3" t="s">
        <v>164</v>
      </c>
      <c r="D3202" s="3" t="str">
        <f>INDEX(Port_Type!$B$2:$B$227,MATCH(TRIM(C3202),Port_Type!$A$2:$A$227,0))</f>
        <v>Air Cargo</v>
      </c>
      <c r="E3202" s="3" t="s">
        <v>46</v>
      </c>
      <c r="F3202" s="3" t="str">
        <f>INDEX(Product_Category!$B$2:$B$45,MATCH(TRIM(E3202),Product_Category!$A$2:$A$45,0))</f>
        <v>Others</v>
      </c>
      <c r="G3202" s="4">
        <v>0</v>
      </c>
      <c r="H3202" s="4">
        <v>0</v>
      </c>
      <c r="I3202" s="4">
        <v>0</v>
      </c>
      <c r="J3202" s="4">
        <v>0</v>
      </c>
      <c r="K3202" s="4">
        <v>0.05</v>
      </c>
      <c r="L3202" s="4">
        <v>0</v>
      </c>
      <c r="M3202" s="4">
        <f t="shared" ref="M3202:M3265" si="150">H3202-G3202</f>
        <v>0</v>
      </c>
      <c r="N3202" s="4">
        <f t="shared" ref="N3202:N3265" si="151">K3202-J3202</f>
        <v>0.05</v>
      </c>
      <c r="O3202" s="4">
        <f t="shared" ref="O3202:O3265" si="152">I3202-H3202</f>
        <v>0</v>
      </c>
      <c r="P3202" s="3" t="s">
        <v>19</v>
      </c>
    </row>
    <row r="3203" spans="1:16" x14ac:dyDescent="0.35">
      <c r="A3203" s="3" t="s">
        <v>40</v>
      </c>
      <c r="B3203" s="3" t="str">
        <f>INDEX(State_Region!$B$2:$B$26,MATCH(TRIM(A3203),State_Region!$A$2:$A$26,0))</f>
        <v>South</v>
      </c>
      <c r="C3203" s="3" t="s">
        <v>164</v>
      </c>
      <c r="D3203" s="3" t="str">
        <f>INDEX(Port_Type!$B$2:$B$227,MATCH(TRIM(C3203),Port_Type!$A$2:$A$227,0))</f>
        <v>Air Cargo</v>
      </c>
      <c r="E3203" s="3" t="s">
        <v>62</v>
      </c>
      <c r="F3203" s="3" t="str">
        <f>INDEX(Product_Category!$B$2:$B$45,MATCH(TRIM(E3203),Product_Category!$A$2:$A$45,0))</f>
        <v>Cereals &amp; Grains</v>
      </c>
      <c r="G3203" s="4">
        <v>0</v>
      </c>
      <c r="H3203" s="4">
        <v>0</v>
      </c>
      <c r="I3203" s="4">
        <v>0</v>
      </c>
      <c r="J3203" s="4">
        <v>0</v>
      </c>
      <c r="K3203" s="4">
        <v>0.1</v>
      </c>
      <c r="L3203" s="4">
        <v>0</v>
      </c>
      <c r="M3203" s="4">
        <f t="shared" si="150"/>
        <v>0</v>
      </c>
      <c r="N3203" s="4">
        <f t="shared" si="151"/>
        <v>0.1</v>
      </c>
      <c r="O3203" s="4">
        <f t="shared" si="152"/>
        <v>0</v>
      </c>
      <c r="P3203" s="3" t="s">
        <v>19</v>
      </c>
    </row>
    <row r="3204" spans="1:16" x14ac:dyDescent="0.35">
      <c r="A3204" s="3" t="s">
        <v>40</v>
      </c>
      <c r="B3204" s="3" t="str">
        <f>INDEX(State_Region!$B$2:$B$26,MATCH(TRIM(A3204),State_Region!$A$2:$A$26,0))</f>
        <v>South</v>
      </c>
      <c r="C3204" s="3" t="s">
        <v>164</v>
      </c>
      <c r="D3204" s="3" t="str">
        <f>INDEX(Port_Type!$B$2:$B$227,MATCH(TRIM(C3204),Port_Type!$A$2:$A$227,0))</f>
        <v>Air Cargo</v>
      </c>
      <c r="E3204" s="3" t="s">
        <v>151</v>
      </c>
      <c r="F3204" s="3" t="str">
        <f>INDEX(Product_Category!$B$2:$B$45,MATCH(TRIM(E3204),Product_Category!$A$2:$A$45,0))</f>
        <v>Processed Foods</v>
      </c>
      <c r="G3204" s="4">
        <v>0</v>
      </c>
      <c r="H3204" s="4">
        <v>0</v>
      </c>
      <c r="I3204" s="4">
        <v>0</v>
      </c>
      <c r="J3204" s="4">
        <v>0</v>
      </c>
      <c r="K3204" s="4">
        <v>0.06</v>
      </c>
      <c r="L3204" s="4">
        <v>0</v>
      </c>
      <c r="M3204" s="4">
        <f t="shared" si="150"/>
        <v>0</v>
      </c>
      <c r="N3204" s="4">
        <f t="shared" si="151"/>
        <v>0.06</v>
      </c>
      <c r="O3204" s="4">
        <f t="shared" si="152"/>
        <v>0</v>
      </c>
      <c r="P3204" s="3" t="s">
        <v>19</v>
      </c>
    </row>
    <row r="3205" spans="1:16" x14ac:dyDescent="0.35">
      <c r="A3205" s="3" t="s">
        <v>20</v>
      </c>
      <c r="B3205" s="3" t="str">
        <f>INDEX(State_Region!$B$2:$B$26,MATCH(TRIM(A3205),State_Region!$A$2:$A$26,0))</f>
        <v>West</v>
      </c>
      <c r="C3205" s="3" t="s">
        <v>111</v>
      </c>
      <c r="D3205" s="3" t="str">
        <f>INDEX(Port_Type!$B$2:$B$227,MATCH(TRIM(C3205),Port_Type!$A$2:$A$227,0))</f>
        <v>Inland ICD / CFS</v>
      </c>
      <c r="E3205" s="3" t="s">
        <v>150</v>
      </c>
      <c r="F3205" s="3" t="str">
        <f>INDEX(Product_Category!$B$2:$B$45,MATCH(TRIM(E3205),Product_Category!$A$2:$A$45,0))</f>
        <v>Nuts &amp; Oilseeds</v>
      </c>
      <c r="G3205" s="4">
        <v>0</v>
      </c>
      <c r="H3205" s="4">
        <v>0</v>
      </c>
      <c r="I3205" s="4">
        <v>0</v>
      </c>
      <c r="J3205" s="4">
        <v>0.02</v>
      </c>
      <c r="K3205" s="4">
        <v>0</v>
      </c>
      <c r="L3205" s="4">
        <v>0</v>
      </c>
      <c r="M3205" s="4">
        <f t="shared" si="150"/>
        <v>0</v>
      </c>
      <c r="N3205" s="4">
        <f t="shared" si="151"/>
        <v>-0.02</v>
      </c>
      <c r="O3205" s="4">
        <f t="shared" si="152"/>
        <v>0</v>
      </c>
      <c r="P3205" s="3" t="s">
        <v>19</v>
      </c>
    </row>
    <row r="3206" spans="1:16" x14ac:dyDescent="0.35">
      <c r="A3206" s="3" t="s">
        <v>40</v>
      </c>
      <c r="B3206" s="3" t="str">
        <f>INDEX(State_Region!$B$2:$B$26,MATCH(TRIM(A3206),State_Region!$A$2:$A$26,0))</f>
        <v>South</v>
      </c>
      <c r="C3206" s="3" t="s">
        <v>164</v>
      </c>
      <c r="D3206" s="3" t="str">
        <f>INDEX(Port_Type!$B$2:$B$227,MATCH(TRIM(C3206),Port_Type!$A$2:$A$227,0))</f>
        <v>Air Cargo</v>
      </c>
      <c r="E3206" s="3" t="s">
        <v>144</v>
      </c>
      <c r="F3206" s="3" t="str">
        <f>INDEX(Product_Category!$B$2:$B$45,MATCH(TRIM(E3206),Product_Category!$A$2:$A$45,0))</f>
        <v>Cereals &amp; Grains</v>
      </c>
      <c r="G3206" s="4">
        <v>0.01</v>
      </c>
      <c r="H3206" s="4">
        <v>0</v>
      </c>
      <c r="I3206" s="4">
        <v>0</v>
      </c>
      <c r="J3206" s="4">
        <v>2.25</v>
      </c>
      <c r="K3206" s="4">
        <v>1.35</v>
      </c>
      <c r="L3206" s="4">
        <v>0</v>
      </c>
      <c r="M3206" s="4">
        <f t="shared" si="150"/>
        <v>-0.01</v>
      </c>
      <c r="N3206" s="4">
        <f t="shared" si="151"/>
        <v>-0.89999999999999991</v>
      </c>
      <c r="O3206" s="4">
        <f t="shared" si="152"/>
        <v>0</v>
      </c>
      <c r="P3206" s="3" t="s">
        <v>19</v>
      </c>
    </row>
    <row r="3207" spans="1:16" x14ac:dyDescent="0.35">
      <c r="A3207" s="3" t="s">
        <v>20</v>
      </c>
      <c r="B3207" s="3" t="str">
        <f>INDEX(State_Region!$B$2:$B$26,MATCH(TRIM(A3207),State_Region!$A$2:$A$26,0))</f>
        <v>West</v>
      </c>
      <c r="C3207" s="3" t="s">
        <v>111</v>
      </c>
      <c r="D3207" s="3" t="str">
        <f>INDEX(Port_Type!$B$2:$B$227,MATCH(TRIM(C3207),Port_Type!$A$2:$A$227,0))</f>
        <v>Inland ICD / CFS</v>
      </c>
      <c r="E3207" s="3" t="s">
        <v>60</v>
      </c>
      <c r="F3207" s="3" t="str">
        <f>INDEX(Product_Category!$B$2:$B$45,MATCH(TRIM(E3207),Product_Category!$A$2:$A$45,0))</f>
        <v>Processed Foods</v>
      </c>
      <c r="G3207" s="4">
        <v>0.11</v>
      </c>
      <c r="H3207" s="4">
        <v>0.11</v>
      </c>
      <c r="I3207" s="4">
        <v>0</v>
      </c>
      <c r="J3207" s="4">
        <v>60.72</v>
      </c>
      <c r="K3207" s="4">
        <v>116.22</v>
      </c>
      <c r="L3207" s="4">
        <v>0</v>
      </c>
      <c r="M3207" s="4">
        <f t="shared" si="150"/>
        <v>0</v>
      </c>
      <c r="N3207" s="4">
        <f t="shared" si="151"/>
        <v>55.5</v>
      </c>
      <c r="O3207" s="4">
        <f t="shared" si="152"/>
        <v>-0.11</v>
      </c>
      <c r="P3207" s="3" t="s">
        <v>19</v>
      </c>
    </row>
    <row r="3208" spans="1:16" x14ac:dyDescent="0.35">
      <c r="A3208" s="3" t="s">
        <v>20</v>
      </c>
      <c r="B3208" s="3" t="str">
        <f>INDEX(State_Region!$B$2:$B$26,MATCH(TRIM(A3208),State_Region!$A$2:$A$26,0))</f>
        <v>West</v>
      </c>
      <c r="C3208" s="3" t="s">
        <v>235</v>
      </c>
      <c r="D3208" s="3" t="str">
        <f>INDEX(Port_Type!$B$2:$B$227,MATCH(TRIM(C3208),Port_Type!$A$2:$A$227,0))</f>
        <v>Inland ICD / CFS</v>
      </c>
      <c r="E3208" s="3" t="s">
        <v>33</v>
      </c>
      <c r="F3208" s="3" t="str">
        <f>INDEX(Product_Category!$B$2:$B$45,MATCH(TRIM(E3208),Product_Category!$A$2:$A$45,0))</f>
        <v>Pulses</v>
      </c>
      <c r="G3208" s="4">
        <v>0.36</v>
      </c>
      <c r="H3208" s="4">
        <v>0</v>
      </c>
      <c r="I3208" s="4">
        <v>0</v>
      </c>
      <c r="J3208" s="4">
        <v>213.52</v>
      </c>
      <c r="K3208" s="4">
        <v>1.02</v>
      </c>
      <c r="L3208" s="4">
        <v>0</v>
      </c>
      <c r="M3208" s="4">
        <f t="shared" si="150"/>
        <v>-0.36</v>
      </c>
      <c r="N3208" s="4">
        <f t="shared" si="151"/>
        <v>-212.5</v>
      </c>
      <c r="O3208" s="4">
        <f t="shared" si="152"/>
        <v>0</v>
      </c>
      <c r="P3208" s="3" t="s">
        <v>19</v>
      </c>
    </row>
    <row r="3209" spans="1:16" x14ac:dyDescent="0.35">
      <c r="A3209" s="3" t="s">
        <v>20</v>
      </c>
      <c r="B3209" s="3" t="str">
        <f>INDEX(State_Region!$B$2:$B$26,MATCH(TRIM(A3209),State_Region!$A$2:$A$26,0))</f>
        <v>West</v>
      </c>
      <c r="C3209" s="3" t="s">
        <v>235</v>
      </c>
      <c r="D3209" s="3" t="str">
        <f>INDEX(Port_Type!$B$2:$B$227,MATCH(TRIM(C3209),Port_Type!$A$2:$A$227,0))</f>
        <v>Inland ICD / CFS</v>
      </c>
      <c r="E3209" s="3" t="s">
        <v>54</v>
      </c>
      <c r="F3209" s="3" t="str">
        <f>INDEX(Product_Category!$B$2:$B$45,MATCH(TRIM(E3209),Product_Category!$A$2:$A$45,0))</f>
        <v>Processed Foods</v>
      </c>
      <c r="G3209" s="4">
        <v>0.01</v>
      </c>
      <c r="H3209" s="4">
        <v>0</v>
      </c>
      <c r="I3209" s="4">
        <v>0</v>
      </c>
      <c r="J3209" s="4">
        <v>2.4500000000000002</v>
      </c>
      <c r="K3209" s="4">
        <v>0.02</v>
      </c>
      <c r="L3209" s="4">
        <v>0</v>
      </c>
      <c r="M3209" s="4">
        <f t="shared" si="150"/>
        <v>-0.01</v>
      </c>
      <c r="N3209" s="4">
        <f t="shared" si="151"/>
        <v>-2.4300000000000002</v>
      </c>
      <c r="O3209" s="4">
        <f t="shared" si="152"/>
        <v>0</v>
      </c>
      <c r="P3209" s="3" t="s">
        <v>19</v>
      </c>
    </row>
    <row r="3210" spans="1:16" x14ac:dyDescent="0.35">
      <c r="A3210" s="3" t="s">
        <v>20</v>
      </c>
      <c r="B3210" s="3" t="str">
        <f>INDEX(State_Region!$B$2:$B$26,MATCH(TRIM(A3210),State_Region!$A$2:$A$26,0))</f>
        <v>West</v>
      </c>
      <c r="C3210" s="3" t="s">
        <v>235</v>
      </c>
      <c r="D3210" s="3" t="str">
        <f>INDEX(Port_Type!$B$2:$B$227,MATCH(TRIM(C3210),Port_Type!$A$2:$A$227,0))</f>
        <v>Inland ICD / CFS</v>
      </c>
      <c r="E3210" s="3" t="s">
        <v>116</v>
      </c>
      <c r="F3210" s="3" t="str">
        <f>INDEX(Product_Category!$B$2:$B$45,MATCH(TRIM(E3210),Product_Category!$A$2:$A$45,0))</f>
        <v>Others</v>
      </c>
      <c r="G3210" s="4">
        <v>7.0000000000000007E-2</v>
      </c>
      <c r="H3210" s="4">
        <v>0.1</v>
      </c>
      <c r="I3210" s="4">
        <v>0</v>
      </c>
      <c r="J3210" s="4">
        <v>201</v>
      </c>
      <c r="K3210" s="4">
        <v>250</v>
      </c>
      <c r="L3210" s="4">
        <v>0</v>
      </c>
      <c r="M3210" s="4">
        <f t="shared" si="150"/>
        <v>0.03</v>
      </c>
      <c r="N3210" s="4">
        <f t="shared" si="151"/>
        <v>49</v>
      </c>
      <c r="O3210" s="4">
        <f t="shared" si="152"/>
        <v>-0.1</v>
      </c>
      <c r="P3210" s="3" t="s">
        <v>19</v>
      </c>
    </row>
    <row r="3211" spans="1:16" x14ac:dyDescent="0.35">
      <c r="A3211" s="3" t="s">
        <v>20</v>
      </c>
      <c r="B3211" s="3" t="str">
        <f>INDEX(State_Region!$B$2:$B$26,MATCH(TRIM(A3211),State_Region!$A$2:$A$26,0))</f>
        <v>West</v>
      </c>
      <c r="C3211" s="3" t="s">
        <v>235</v>
      </c>
      <c r="D3211" s="3" t="str">
        <f>INDEX(Port_Type!$B$2:$B$227,MATCH(TRIM(C3211),Port_Type!$A$2:$A$227,0))</f>
        <v>Inland ICD / CFS</v>
      </c>
      <c r="E3211" s="3" t="s">
        <v>45</v>
      </c>
      <c r="F3211" s="3" t="str">
        <f>INDEX(Product_Category!$B$2:$B$45,MATCH(TRIM(E3211),Product_Category!$A$2:$A$45,0))</f>
        <v>Fresh Fruits &amp; Vegetables</v>
      </c>
      <c r="G3211" s="4">
        <v>0.28999999999999998</v>
      </c>
      <c r="H3211" s="4">
        <v>0</v>
      </c>
      <c r="I3211" s="4">
        <v>0</v>
      </c>
      <c r="J3211" s="4">
        <v>14.51</v>
      </c>
      <c r="K3211" s="4">
        <v>0.02</v>
      </c>
      <c r="L3211" s="4">
        <v>0</v>
      </c>
      <c r="M3211" s="4">
        <f t="shared" si="150"/>
        <v>-0.28999999999999998</v>
      </c>
      <c r="N3211" s="4">
        <f t="shared" si="151"/>
        <v>-14.49</v>
      </c>
      <c r="O3211" s="4">
        <f t="shared" si="152"/>
        <v>0</v>
      </c>
      <c r="P3211" s="3" t="s">
        <v>19</v>
      </c>
    </row>
    <row r="3212" spans="1:16" x14ac:dyDescent="0.35">
      <c r="A3212" s="3" t="s">
        <v>20</v>
      </c>
      <c r="B3212" s="3" t="str">
        <f>INDEX(State_Region!$B$2:$B$26,MATCH(TRIM(A3212),State_Region!$A$2:$A$26,0))</f>
        <v>West</v>
      </c>
      <c r="C3212" s="3" t="s">
        <v>235</v>
      </c>
      <c r="D3212" s="3" t="str">
        <f>INDEX(Port_Type!$B$2:$B$227,MATCH(TRIM(C3212),Port_Type!$A$2:$A$227,0))</f>
        <v>Inland ICD / CFS</v>
      </c>
      <c r="E3212" s="3" t="s">
        <v>65</v>
      </c>
      <c r="F3212" s="3" t="str">
        <f>INDEX(Product_Category!$B$2:$B$45,MATCH(TRIM(E3212),Product_Category!$A$2:$A$45,0))</f>
        <v>Cereals &amp; Grains</v>
      </c>
      <c r="G3212" s="4">
        <v>0</v>
      </c>
      <c r="H3212" s="4">
        <v>0</v>
      </c>
      <c r="I3212" s="4">
        <v>0</v>
      </c>
      <c r="J3212" s="4">
        <v>0</v>
      </c>
      <c r="K3212" s="4">
        <v>1.82</v>
      </c>
      <c r="L3212" s="4">
        <v>0</v>
      </c>
      <c r="M3212" s="4">
        <f t="shared" si="150"/>
        <v>0</v>
      </c>
      <c r="N3212" s="4">
        <f t="shared" si="151"/>
        <v>1.82</v>
      </c>
      <c r="O3212" s="4">
        <f t="shared" si="152"/>
        <v>0</v>
      </c>
      <c r="P3212" s="3" t="s">
        <v>19</v>
      </c>
    </row>
    <row r="3213" spans="1:16" x14ac:dyDescent="0.35">
      <c r="A3213" s="3" t="s">
        <v>20</v>
      </c>
      <c r="B3213" s="3" t="str">
        <f>INDEX(State_Region!$B$2:$B$26,MATCH(TRIM(A3213),State_Region!$A$2:$A$26,0))</f>
        <v>West</v>
      </c>
      <c r="C3213" s="3" t="s">
        <v>235</v>
      </c>
      <c r="D3213" s="3" t="str">
        <f>INDEX(Port_Type!$B$2:$B$227,MATCH(TRIM(C3213),Port_Type!$A$2:$A$227,0))</f>
        <v>Inland ICD / CFS</v>
      </c>
      <c r="E3213" s="3" t="s">
        <v>151</v>
      </c>
      <c r="F3213" s="3" t="str">
        <f>INDEX(Product_Category!$B$2:$B$45,MATCH(TRIM(E3213),Product_Category!$A$2:$A$45,0))</f>
        <v>Processed Foods</v>
      </c>
      <c r="G3213" s="4">
        <v>0</v>
      </c>
      <c r="H3213" s="4">
        <v>0</v>
      </c>
      <c r="I3213" s="4">
        <v>0</v>
      </c>
      <c r="J3213" s="4">
        <v>0</v>
      </c>
      <c r="K3213" s="4">
        <v>1.81</v>
      </c>
      <c r="L3213" s="4">
        <v>0</v>
      </c>
      <c r="M3213" s="4">
        <f t="shared" si="150"/>
        <v>0</v>
      </c>
      <c r="N3213" s="4">
        <f t="shared" si="151"/>
        <v>1.81</v>
      </c>
      <c r="O3213" s="4">
        <f t="shared" si="152"/>
        <v>0</v>
      </c>
      <c r="P3213" s="3" t="s">
        <v>19</v>
      </c>
    </row>
    <row r="3214" spans="1:16" x14ac:dyDescent="0.35">
      <c r="A3214" s="3" t="s">
        <v>40</v>
      </c>
      <c r="B3214" s="3" t="str">
        <f>INDEX(State_Region!$B$2:$B$26,MATCH(TRIM(A3214),State_Region!$A$2:$A$26,0))</f>
        <v>South</v>
      </c>
      <c r="C3214" s="3" t="s">
        <v>164</v>
      </c>
      <c r="D3214" s="3" t="str">
        <f>INDEX(Port_Type!$B$2:$B$227,MATCH(TRIM(C3214),Port_Type!$A$2:$A$227,0))</f>
        <v>Air Cargo</v>
      </c>
      <c r="E3214" s="3" t="s">
        <v>33</v>
      </c>
      <c r="F3214" s="3" t="str">
        <f>INDEX(Product_Category!$B$2:$B$45,MATCH(TRIM(E3214),Product_Category!$A$2:$A$45,0))</f>
        <v>Pulses</v>
      </c>
      <c r="G3214" s="4">
        <v>0</v>
      </c>
      <c r="H3214" s="4">
        <v>0</v>
      </c>
      <c r="I3214" s="4">
        <v>0</v>
      </c>
      <c r="J3214" s="4">
        <v>4.47</v>
      </c>
      <c r="K3214" s="4">
        <v>0.65</v>
      </c>
      <c r="L3214" s="4">
        <v>0.04</v>
      </c>
      <c r="M3214" s="4">
        <f t="shared" si="150"/>
        <v>0</v>
      </c>
      <c r="N3214" s="4">
        <f t="shared" si="151"/>
        <v>-3.82</v>
      </c>
      <c r="O3214" s="4">
        <f t="shared" si="152"/>
        <v>0</v>
      </c>
      <c r="P3214" s="3" t="s">
        <v>19</v>
      </c>
    </row>
    <row r="3215" spans="1:16" x14ac:dyDescent="0.35">
      <c r="A3215" s="3" t="s">
        <v>40</v>
      </c>
      <c r="B3215" s="3" t="str">
        <f>INDEX(State_Region!$B$2:$B$26,MATCH(TRIM(A3215),State_Region!$A$2:$A$26,0))</f>
        <v>South</v>
      </c>
      <c r="C3215" s="3" t="s">
        <v>164</v>
      </c>
      <c r="D3215" s="3" t="str">
        <f>INDEX(Port_Type!$B$2:$B$227,MATCH(TRIM(C3215),Port_Type!$A$2:$A$227,0))</f>
        <v>Air Cargo</v>
      </c>
      <c r="E3215" s="3" t="s">
        <v>181</v>
      </c>
      <c r="F3215" s="3" t="str">
        <f>INDEX(Product_Category!$B$2:$B$45,MATCH(TRIM(E3215),Product_Category!$A$2:$A$45,0))</f>
        <v>Nuts &amp; Oilseeds</v>
      </c>
      <c r="G3215" s="4">
        <v>0</v>
      </c>
      <c r="H3215" s="4">
        <v>0</v>
      </c>
      <c r="I3215" s="4">
        <v>0</v>
      </c>
      <c r="J3215" s="4">
        <v>0</v>
      </c>
      <c r="K3215" s="4">
        <v>0.01</v>
      </c>
      <c r="L3215" s="4">
        <v>0</v>
      </c>
      <c r="M3215" s="4">
        <f t="shared" si="150"/>
        <v>0</v>
      </c>
      <c r="N3215" s="4">
        <f t="shared" si="151"/>
        <v>0.01</v>
      </c>
      <c r="O3215" s="4">
        <f t="shared" si="152"/>
        <v>0</v>
      </c>
      <c r="P3215" s="3" t="s">
        <v>19</v>
      </c>
    </row>
    <row r="3216" spans="1:16" x14ac:dyDescent="0.35">
      <c r="A3216" s="3" t="s">
        <v>20</v>
      </c>
      <c r="B3216" s="3" t="str">
        <f>INDEX(State_Region!$B$2:$B$26,MATCH(TRIM(A3216),State_Region!$A$2:$A$26,0))</f>
        <v>West</v>
      </c>
      <c r="C3216" s="3" t="s">
        <v>119</v>
      </c>
      <c r="D3216" s="3" t="str">
        <f>INDEX(Port_Type!$B$2:$B$227,MATCH(TRIM(C3216),Port_Type!$A$2:$A$227,0))</f>
        <v>SEZ / EPZ</v>
      </c>
      <c r="E3216" s="3" t="s">
        <v>33</v>
      </c>
      <c r="F3216" s="3" t="str">
        <f>INDEX(Product_Category!$B$2:$B$45,MATCH(TRIM(E3216),Product_Category!$A$2:$A$45,0))</f>
        <v>Pulses</v>
      </c>
      <c r="G3216" s="4">
        <v>7.0000000000000007E-2</v>
      </c>
      <c r="H3216" s="4">
        <v>0</v>
      </c>
      <c r="I3216" s="4">
        <v>0</v>
      </c>
      <c r="J3216" s="4">
        <v>130.05000000000001</v>
      </c>
      <c r="K3216" s="4">
        <v>0</v>
      </c>
      <c r="L3216" s="4">
        <v>0</v>
      </c>
      <c r="M3216" s="4">
        <f t="shared" si="150"/>
        <v>-7.0000000000000007E-2</v>
      </c>
      <c r="N3216" s="4">
        <f t="shared" si="151"/>
        <v>-130.05000000000001</v>
      </c>
      <c r="O3216" s="4">
        <f t="shared" si="152"/>
        <v>0</v>
      </c>
      <c r="P3216" s="3" t="s">
        <v>19</v>
      </c>
    </row>
    <row r="3217" spans="1:16" x14ac:dyDescent="0.35">
      <c r="A3217" s="3" t="s">
        <v>40</v>
      </c>
      <c r="B3217" s="3" t="str">
        <f>INDEX(State_Region!$B$2:$B$26,MATCH(TRIM(A3217),State_Region!$A$2:$A$26,0))</f>
        <v>South</v>
      </c>
      <c r="C3217" s="3" t="s">
        <v>209</v>
      </c>
      <c r="D3217" s="3" t="str">
        <f>INDEX(Port_Type!$B$2:$B$227,MATCH(TRIM(C3217),Port_Type!$A$2:$A$227,0))</f>
        <v>SEZ / EPZ</v>
      </c>
      <c r="E3217" s="3" t="s">
        <v>27</v>
      </c>
      <c r="F3217" s="3" t="str">
        <f>INDEX(Product_Category!$B$2:$B$45,MATCH(TRIM(E3217),Product_Category!$A$2:$A$45,0))</f>
        <v>Cereals &amp; Grains</v>
      </c>
      <c r="G3217" s="4">
        <v>0.11</v>
      </c>
      <c r="H3217" s="4">
        <v>0</v>
      </c>
      <c r="I3217" s="4">
        <v>0</v>
      </c>
      <c r="J3217" s="4">
        <v>58</v>
      </c>
      <c r="K3217" s="4">
        <v>0</v>
      </c>
      <c r="L3217" s="4">
        <v>0</v>
      </c>
      <c r="M3217" s="4">
        <f t="shared" si="150"/>
        <v>-0.11</v>
      </c>
      <c r="N3217" s="4">
        <f t="shared" si="151"/>
        <v>-58</v>
      </c>
      <c r="O3217" s="4">
        <f t="shared" si="152"/>
        <v>0</v>
      </c>
      <c r="P3217" s="3" t="s">
        <v>19</v>
      </c>
    </row>
    <row r="3218" spans="1:16" x14ac:dyDescent="0.35">
      <c r="A3218" s="3" t="s">
        <v>20</v>
      </c>
      <c r="B3218" s="3" t="str">
        <f>INDEX(State_Region!$B$2:$B$26,MATCH(TRIM(A3218),State_Region!$A$2:$A$26,0))</f>
        <v>West</v>
      </c>
      <c r="C3218" s="3" t="s">
        <v>119</v>
      </c>
      <c r="D3218" s="3" t="str">
        <f>INDEX(Port_Type!$B$2:$B$227,MATCH(TRIM(C3218),Port_Type!$A$2:$A$227,0))</f>
        <v>SEZ / EPZ</v>
      </c>
      <c r="E3218" s="3" t="s">
        <v>54</v>
      </c>
      <c r="F3218" s="3" t="str">
        <f>INDEX(Product_Category!$B$2:$B$45,MATCH(TRIM(E3218),Product_Category!$A$2:$A$45,0))</f>
        <v>Processed Foods</v>
      </c>
      <c r="G3218" s="4">
        <v>0</v>
      </c>
      <c r="H3218" s="4">
        <v>0.01</v>
      </c>
      <c r="I3218" s="4">
        <v>0</v>
      </c>
      <c r="J3218" s="4">
        <v>0</v>
      </c>
      <c r="K3218" s="4">
        <v>0.1</v>
      </c>
      <c r="L3218" s="4">
        <v>0</v>
      </c>
      <c r="M3218" s="4">
        <f t="shared" si="150"/>
        <v>0.01</v>
      </c>
      <c r="N3218" s="4">
        <f t="shared" si="151"/>
        <v>0.1</v>
      </c>
      <c r="O3218" s="4">
        <f t="shared" si="152"/>
        <v>-0.01</v>
      </c>
      <c r="P3218" s="3" t="s">
        <v>19</v>
      </c>
    </row>
    <row r="3219" spans="1:16" x14ac:dyDescent="0.35">
      <c r="A3219" s="3" t="s">
        <v>20</v>
      </c>
      <c r="B3219" s="3" t="str">
        <f>INDEX(State_Region!$B$2:$B$26,MATCH(TRIM(A3219),State_Region!$A$2:$A$26,0))</f>
        <v>West</v>
      </c>
      <c r="C3219" s="3" t="s">
        <v>119</v>
      </c>
      <c r="D3219" s="3" t="str">
        <f>INDEX(Port_Type!$B$2:$B$227,MATCH(TRIM(C3219),Port_Type!$A$2:$A$227,0))</f>
        <v>SEZ / EPZ</v>
      </c>
      <c r="E3219" s="3" t="s">
        <v>170</v>
      </c>
      <c r="F3219" s="3" t="str">
        <f>INDEX(Product_Category!$B$2:$B$45,MATCH(TRIM(E3219),Product_Category!$A$2:$A$45,0))</f>
        <v>Others</v>
      </c>
      <c r="G3219" s="4">
        <v>0.05</v>
      </c>
      <c r="H3219" s="4">
        <v>0</v>
      </c>
      <c r="I3219" s="4">
        <v>0</v>
      </c>
      <c r="J3219" s="4">
        <v>27</v>
      </c>
      <c r="K3219" s="4">
        <v>0</v>
      </c>
      <c r="L3219" s="4">
        <v>0</v>
      </c>
      <c r="M3219" s="4">
        <f t="shared" si="150"/>
        <v>-0.05</v>
      </c>
      <c r="N3219" s="4">
        <f t="shared" si="151"/>
        <v>-27</v>
      </c>
      <c r="O3219" s="4">
        <f t="shared" si="152"/>
        <v>0</v>
      </c>
      <c r="P3219" s="3" t="s">
        <v>19</v>
      </c>
    </row>
    <row r="3220" spans="1:16" x14ac:dyDescent="0.35">
      <c r="A3220" s="3" t="s">
        <v>40</v>
      </c>
      <c r="B3220" s="3" t="str">
        <f>INDEX(State_Region!$B$2:$B$26,MATCH(TRIM(A3220),State_Region!$A$2:$A$26,0))</f>
        <v>South</v>
      </c>
      <c r="C3220" s="3" t="s">
        <v>41</v>
      </c>
      <c r="D3220" s="3" t="str">
        <f>INDEX(Port_Type!$B$2:$B$227,MATCH(TRIM(C3220),Port_Type!$A$2:$A$227,0))</f>
        <v>Sea Port</v>
      </c>
      <c r="E3220" s="3" t="s">
        <v>125</v>
      </c>
      <c r="F3220" s="3" t="str">
        <f>INDEX(Product_Category!$B$2:$B$45,MATCH(TRIM(E3220),Product_Category!$A$2:$A$45,0))</f>
        <v>Meat &amp; Animal Products</v>
      </c>
      <c r="G3220" s="4">
        <v>0.02</v>
      </c>
      <c r="H3220" s="4">
        <v>0</v>
      </c>
      <c r="I3220" s="4">
        <v>0</v>
      </c>
      <c r="J3220" s="4">
        <v>28.48</v>
      </c>
      <c r="K3220" s="4">
        <v>0</v>
      </c>
      <c r="L3220" s="4">
        <v>0</v>
      </c>
      <c r="M3220" s="4">
        <f t="shared" si="150"/>
        <v>-0.02</v>
      </c>
      <c r="N3220" s="4">
        <f t="shared" si="151"/>
        <v>-28.48</v>
      </c>
      <c r="O3220" s="4">
        <f t="shared" si="152"/>
        <v>0</v>
      </c>
      <c r="P3220" s="3" t="s">
        <v>19</v>
      </c>
    </row>
    <row r="3221" spans="1:16" x14ac:dyDescent="0.35">
      <c r="A3221" s="3" t="s">
        <v>20</v>
      </c>
      <c r="B3221" s="3" t="str">
        <f>INDEX(State_Region!$B$2:$B$26,MATCH(TRIM(A3221),State_Region!$A$2:$A$26,0))</f>
        <v>West</v>
      </c>
      <c r="C3221" s="3" t="s">
        <v>119</v>
      </c>
      <c r="D3221" s="3" t="str">
        <f>INDEX(Port_Type!$B$2:$B$227,MATCH(TRIM(C3221),Port_Type!$A$2:$A$227,0))</f>
        <v>SEZ / EPZ</v>
      </c>
      <c r="E3221" s="3" t="s">
        <v>39</v>
      </c>
      <c r="F3221" s="3" t="str">
        <f>INDEX(Product_Category!$B$2:$B$45,MATCH(TRIM(E3221),Product_Category!$A$2:$A$45,0))</f>
        <v>Processed Foods</v>
      </c>
      <c r="G3221" s="4">
        <v>0.27</v>
      </c>
      <c r="H3221" s="4">
        <v>0.02</v>
      </c>
      <c r="I3221" s="4">
        <v>0</v>
      </c>
      <c r="J3221" s="4">
        <v>74.34</v>
      </c>
      <c r="K3221" s="4">
        <v>2.4</v>
      </c>
      <c r="L3221" s="4">
        <v>0</v>
      </c>
      <c r="M3221" s="4">
        <f t="shared" si="150"/>
        <v>-0.25</v>
      </c>
      <c r="N3221" s="4">
        <f t="shared" si="151"/>
        <v>-71.94</v>
      </c>
      <c r="O3221" s="4">
        <f t="shared" si="152"/>
        <v>-0.02</v>
      </c>
      <c r="P3221" s="3" t="s">
        <v>19</v>
      </c>
    </row>
    <row r="3222" spans="1:16" x14ac:dyDescent="0.35">
      <c r="A3222" s="3" t="s">
        <v>40</v>
      </c>
      <c r="B3222" s="3" t="str">
        <f>INDEX(State_Region!$B$2:$B$26,MATCH(TRIM(A3222),State_Region!$A$2:$A$26,0))</f>
        <v>South</v>
      </c>
      <c r="C3222" s="3" t="s">
        <v>41</v>
      </c>
      <c r="D3222" s="3" t="str">
        <f>INDEX(Port_Type!$B$2:$B$227,MATCH(TRIM(C3222),Port_Type!$A$2:$A$227,0))</f>
        <v>Sea Port</v>
      </c>
      <c r="E3222" s="3" t="s">
        <v>22</v>
      </c>
      <c r="F3222" s="3" t="str">
        <f>INDEX(Product_Category!$B$2:$B$45,MATCH(TRIM(E3222),Product_Category!$A$2:$A$45,0))</f>
        <v>Meat &amp; Animal Products</v>
      </c>
      <c r="G3222" s="4">
        <v>83.88</v>
      </c>
      <c r="H3222" s="4">
        <v>0</v>
      </c>
      <c r="I3222" s="4">
        <v>0</v>
      </c>
      <c r="J3222" s="4">
        <v>39445.93</v>
      </c>
      <c r="K3222" s="4">
        <v>0</v>
      </c>
      <c r="L3222" s="4">
        <v>0</v>
      </c>
      <c r="M3222" s="4">
        <f t="shared" si="150"/>
        <v>-83.88</v>
      </c>
      <c r="N3222" s="4">
        <f t="shared" si="151"/>
        <v>-39445.93</v>
      </c>
      <c r="O3222" s="4">
        <f t="shared" si="152"/>
        <v>0</v>
      </c>
      <c r="P3222" s="3" t="s">
        <v>19</v>
      </c>
    </row>
    <row r="3223" spans="1:16" x14ac:dyDescent="0.35">
      <c r="A3223" s="3" t="s">
        <v>20</v>
      </c>
      <c r="B3223" s="3" t="str">
        <f>INDEX(State_Region!$B$2:$B$26,MATCH(TRIM(A3223),State_Region!$A$2:$A$26,0))</f>
        <v>West</v>
      </c>
      <c r="C3223" s="3" t="s">
        <v>119</v>
      </c>
      <c r="D3223" s="3" t="str">
        <f>INDEX(Port_Type!$B$2:$B$227,MATCH(TRIM(C3223),Port_Type!$A$2:$A$227,0))</f>
        <v>SEZ / EPZ</v>
      </c>
      <c r="E3223" s="3" t="s">
        <v>53</v>
      </c>
      <c r="F3223" s="3" t="str">
        <f>INDEX(Product_Category!$B$2:$B$45,MATCH(TRIM(E3223),Product_Category!$A$2:$A$45,0))</f>
        <v>Processed Foods</v>
      </c>
      <c r="G3223" s="4">
        <v>0.02</v>
      </c>
      <c r="H3223" s="4">
        <v>0</v>
      </c>
      <c r="I3223" s="4">
        <v>0</v>
      </c>
      <c r="J3223" s="4">
        <v>5</v>
      </c>
      <c r="K3223" s="4">
        <v>0</v>
      </c>
      <c r="L3223" s="4">
        <v>0</v>
      </c>
      <c r="M3223" s="4">
        <f t="shared" si="150"/>
        <v>-0.02</v>
      </c>
      <c r="N3223" s="4">
        <f t="shared" si="151"/>
        <v>-5</v>
      </c>
      <c r="O3223" s="4">
        <f t="shared" si="152"/>
        <v>0</v>
      </c>
      <c r="P3223" s="3" t="s">
        <v>19</v>
      </c>
    </row>
    <row r="3224" spans="1:16" x14ac:dyDescent="0.35">
      <c r="A3224" s="3" t="s">
        <v>20</v>
      </c>
      <c r="B3224" s="3" t="str">
        <f>INDEX(State_Region!$B$2:$B$26,MATCH(TRIM(A3224),State_Region!$A$2:$A$26,0))</f>
        <v>West</v>
      </c>
      <c r="C3224" s="3" t="s">
        <v>119</v>
      </c>
      <c r="D3224" s="3" t="str">
        <f>INDEX(Port_Type!$B$2:$B$227,MATCH(TRIM(C3224),Port_Type!$A$2:$A$227,0))</f>
        <v>SEZ / EPZ</v>
      </c>
      <c r="E3224" s="3" t="s">
        <v>114</v>
      </c>
      <c r="F3224" s="3" t="str">
        <f>INDEX(Product_Category!$B$2:$B$45,MATCH(TRIM(E3224),Product_Category!$A$2:$A$45,0))</f>
        <v>Dairy, Poultry &amp; Honey</v>
      </c>
      <c r="G3224" s="4">
        <v>0</v>
      </c>
      <c r="H3224" s="4">
        <v>0</v>
      </c>
      <c r="I3224" s="4">
        <v>0</v>
      </c>
      <c r="J3224" s="4">
        <v>0.04</v>
      </c>
      <c r="K3224" s="4">
        <v>0</v>
      </c>
      <c r="L3224" s="4">
        <v>0</v>
      </c>
      <c r="M3224" s="4">
        <f t="shared" si="150"/>
        <v>0</v>
      </c>
      <c r="N3224" s="4">
        <f t="shared" si="151"/>
        <v>-0.04</v>
      </c>
      <c r="O3224" s="4">
        <f t="shared" si="152"/>
        <v>0</v>
      </c>
      <c r="P3224" s="3" t="s">
        <v>19</v>
      </c>
    </row>
    <row r="3225" spans="1:16" x14ac:dyDescent="0.35">
      <c r="A3225" s="3" t="s">
        <v>20</v>
      </c>
      <c r="B3225" s="3" t="str">
        <f>INDEX(State_Region!$B$2:$B$26,MATCH(TRIM(A3225),State_Region!$A$2:$A$26,0))</f>
        <v>West</v>
      </c>
      <c r="C3225" s="3" t="s">
        <v>307</v>
      </c>
      <c r="D3225" s="3" t="str">
        <f>INDEX(Port_Type!$B$2:$B$227,MATCH(TRIM(C3225),Port_Type!$A$2:$A$227,0))</f>
        <v>Air Cargo</v>
      </c>
      <c r="E3225" s="3" t="s">
        <v>48</v>
      </c>
      <c r="F3225" s="3" t="str">
        <f>INDEX(Product_Category!$B$2:$B$45,MATCH(TRIM(E3225),Product_Category!$A$2:$A$45,0))</f>
        <v>Processed Foods</v>
      </c>
      <c r="G3225" s="4">
        <v>0</v>
      </c>
      <c r="H3225" s="4">
        <v>0.02</v>
      </c>
      <c r="I3225" s="4">
        <v>0</v>
      </c>
      <c r="J3225" s="4">
        <v>0</v>
      </c>
      <c r="K3225" s="4">
        <v>1.35</v>
      </c>
      <c r="L3225" s="4">
        <v>0</v>
      </c>
      <c r="M3225" s="4">
        <f t="shared" si="150"/>
        <v>0.02</v>
      </c>
      <c r="N3225" s="4">
        <f t="shared" si="151"/>
        <v>1.35</v>
      </c>
      <c r="O3225" s="4">
        <f t="shared" si="152"/>
        <v>-0.02</v>
      </c>
      <c r="P3225" s="3" t="s">
        <v>19</v>
      </c>
    </row>
    <row r="3226" spans="1:16" x14ac:dyDescent="0.35">
      <c r="A3226" s="3" t="s">
        <v>57</v>
      </c>
      <c r="B3226" s="3" t="str">
        <f>INDEX(State_Region!$B$2:$B$26,MATCH(TRIM(A3226),State_Region!$A$2:$A$26,0))</f>
        <v>Central</v>
      </c>
      <c r="C3226" s="3" t="s">
        <v>225</v>
      </c>
      <c r="D3226" s="3" t="str">
        <f>INDEX(Port_Type!$B$2:$B$227,MATCH(TRIM(C3226),Port_Type!$A$2:$A$227,0))</f>
        <v>SEZ / EPZ</v>
      </c>
      <c r="E3226" s="3" t="s">
        <v>102</v>
      </c>
      <c r="F3226" s="3" t="str">
        <f>INDEX(Product_Category!$B$2:$B$45,MATCH(TRIM(E3226),Product_Category!$A$2:$A$45,0))</f>
        <v>Fresh Fruits &amp; Vegetables</v>
      </c>
      <c r="G3226" s="4">
        <v>0</v>
      </c>
      <c r="H3226" s="4">
        <v>0.06</v>
      </c>
      <c r="I3226" s="4">
        <v>0</v>
      </c>
      <c r="J3226" s="4">
        <v>0</v>
      </c>
      <c r="K3226" s="4">
        <v>28.75</v>
      </c>
      <c r="L3226" s="4">
        <v>0</v>
      </c>
      <c r="M3226" s="4">
        <f t="shared" si="150"/>
        <v>0.06</v>
      </c>
      <c r="N3226" s="4">
        <f t="shared" si="151"/>
        <v>28.75</v>
      </c>
      <c r="O3226" s="4">
        <f t="shared" si="152"/>
        <v>-0.06</v>
      </c>
      <c r="P3226" s="3" t="s">
        <v>19</v>
      </c>
    </row>
    <row r="3227" spans="1:16" x14ac:dyDescent="0.35">
      <c r="A3227" s="3" t="s">
        <v>57</v>
      </c>
      <c r="B3227" s="3" t="str">
        <f>INDEX(State_Region!$B$2:$B$26,MATCH(TRIM(A3227),State_Region!$A$2:$A$26,0))</f>
        <v>Central</v>
      </c>
      <c r="C3227" s="3" t="s">
        <v>225</v>
      </c>
      <c r="D3227" s="3" t="str">
        <f>INDEX(Port_Type!$B$2:$B$227,MATCH(TRIM(C3227),Port_Type!$A$2:$A$227,0))</f>
        <v>SEZ / EPZ</v>
      </c>
      <c r="E3227" s="3" t="s">
        <v>39</v>
      </c>
      <c r="F3227" s="3" t="str">
        <f>INDEX(Product_Category!$B$2:$B$45,MATCH(TRIM(E3227),Product_Category!$A$2:$A$45,0))</f>
        <v>Processed Foods</v>
      </c>
      <c r="G3227" s="4">
        <v>0.74</v>
      </c>
      <c r="H3227" s="4">
        <v>0</v>
      </c>
      <c r="I3227" s="4">
        <v>0</v>
      </c>
      <c r="J3227" s="4">
        <v>32.520000000000003</v>
      </c>
      <c r="K3227" s="4">
        <v>0</v>
      </c>
      <c r="L3227" s="4">
        <v>0</v>
      </c>
      <c r="M3227" s="4">
        <f t="shared" si="150"/>
        <v>-0.74</v>
      </c>
      <c r="N3227" s="4">
        <f t="shared" si="151"/>
        <v>-32.520000000000003</v>
      </c>
      <c r="O3227" s="4">
        <f t="shared" si="152"/>
        <v>0</v>
      </c>
      <c r="P3227" s="3" t="s">
        <v>19</v>
      </c>
    </row>
    <row r="3228" spans="1:16" x14ac:dyDescent="0.35">
      <c r="A3228" s="3" t="s">
        <v>57</v>
      </c>
      <c r="B3228" s="3" t="str">
        <f>INDEX(State_Region!$B$2:$B$26,MATCH(TRIM(A3228),State_Region!$A$2:$A$26,0))</f>
        <v>Central</v>
      </c>
      <c r="C3228" s="3" t="s">
        <v>225</v>
      </c>
      <c r="D3228" s="3" t="str">
        <f>INDEX(Port_Type!$B$2:$B$227,MATCH(TRIM(C3228),Port_Type!$A$2:$A$227,0))</f>
        <v>SEZ / EPZ</v>
      </c>
      <c r="E3228" s="3" t="s">
        <v>114</v>
      </c>
      <c r="F3228" s="3" t="str">
        <f>INDEX(Product_Category!$B$2:$B$45,MATCH(TRIM(E3228),Product_Category!$A$2:$A$45,0))</f>
        <v>Dairy, Poultry &amp; Honey</v>
      </c>
      <c r="G3228" s="4">
        <v>0</v>
      </c>
      <c r="H3228" s="4">
        <v>0</v>
      </c>
      <c r="I3228" s="4">
        <v>0</v>
      </c>
      <c r="J3228" s="4">
        <v>0</v>
      </c>
      <c r="K3228" s="4">
        <v>0</v>
      </c>
      <c r="L3228" s="4">
        <v>0</v>
      </c>
      <c r="M3228" s="4">
        <f t="shared" si="150"/>
        <v>0</v>
      </c>
      <c r="N3228" s="4">
        <f t="shared" si="151"/>
        <v>0</v>
      </c>
      <c r="O3228" s="4">
        <f t="shared" si="152"/>
        <v>0</v>
      </c>
      <c r="P3228" s="3" t="s">
        <v>19</v>
      </c>
    </row>
    <row r="3229" spans="1:16" x14ac:dyDescent="0.35">
      <c r="A3229" s="3" t="s">
        <v>40</v>
      </c>
      <c r="B3229" s="3" t="str">
        <f>INDEX(State_Region!$B$2:$B$26,MATCH(TRIM(A3229),State_Region!$A$2:$A$26,0))</f>
        <v>South</v>
      </c>
      <c r="C3229" s="3" t="s">
        <v>41</v>
      </c>
      <c r="D3229" s="3" t="str">
        <f>INDEX(Port_Type!$B$2:$B$227,MATCH(TRIM(C3229),Port_Type!$A$2:$A$227,0))</f>
        <v>Sea Port</v>
      </c>
      <c r="E3229" s="3" t="s">
        <v>110</v>
      </c>
      <c r="F3229" s="3" t="str">
        <f>INDEX(Product_Category!$B$2:$B$45,MATCH(TRIM(E3229),Product_Category!$A$2:$A$45,0))</f>
        <v>Dairy, Poultry &amp; Honey</v>
      </c>
      <c r="G3229" s="4">
        <v>0.5</v>
      </c>
      <c r="H3229" s="4">
        <v>0.08</v>
      </c>
      <c r="I3229" s="4">
        <v>0</v>
      </c>
      <c r="J3229" s="4">
        <v>6804</v>
      </c>
      <c r="K3229" s="4">
        <v>1416.96</v>
      </c>
      <c r="L3229" s="4">
        <v>0</v>
      </c>
      <c r="M3229" s="4">
        <f t="shared" si="150"/>
        <v>-0.42</v>
      </c>
      <c r="N3229" s="4">
        <f t="shared" si="151"/>
        <v>-5387.04</v>
      </c>
      <c r="O3229" s="4">
        <f t="shared" si="152"/>
        <v>-0.08</v>
      </c>
      <c r="P3229" s="3" t="s">
        <v>19</v>
      </c>
    </row>
    <row r="3230" spans="1:16" x14ac:dyDescent="0.35">
      <c r="A3230" s="3" t="s">
        <v>57</v>
      </c>
      <c r="B3230" s="3" t="str">
        <f>INDEX(State_Region!$B$2:$B$26,MATCH(TRIM(A3230),State_Region!$A$2:$A$26,0))</f>
        <v>Central</v>
      </c>
      <c r="C3230" s="3" t="s">
        <v>197</v>
      </c>
      <c r="D3230" s="3" t="str">
        <f>INDEX(Port_Type!$B$2:$B$227,MATCH(TRIM(C3230),Port_Type!$A$2:$A$227,0))</f>
        <v>Air Cargo</v>
      </c>
      <c r="E3230" s="3" t="s">
        <v>45</v>
      </c>
      <c r="F3230" s="3" t="str">
        <f>INDEX(Product_Category!$B$2:$B$45,MATCH(TRIM(E3230),Product_Category!$A$2:$A$45,0))</f>
        <v>Fresh Fruits &amp; Vegetables</v>
      </c>
      <c r="G3230" s="4">
        <v>0</v>
      </c>
      <c r="H3230" s="4">
        <v>0</v>
      </c>
      <c r="I3230" s="4">
        <v>0</v>
      </c>
      <c r="J3230" s="4">
        <v>0</v>
      </c>
      <c r="K3230" s="4">
        <v>5.05</v>
      </c>
      <c r="L3230" s="4">
        <v>0</v>
      </c>
      <c r="M3230" s="4">
        <f t="shared" si="150"/>
        <v>0</v>
      </c>
      <c r="N3230" s="4">
        <f t="shared" si="151"/>
        <v>5.05</v>
      </c>
      <c r="O3230" s="4">
        <f t="shared" si="152"/>
        <v>0</v>
      </c>
      <c r="P3230" s="3" t="s">
        <v>19</v>
      </c>
    </row>
    <row r="3231" spans="1:16" x14ac:dyDescent="0.35">
      <c r="A3231" s="3" t="s">
        <v>57</v>
      </c>
      <c r="B3231" s="3" t="str">
        <f>INDEX(State_Region!$B$2:$B$26,MATCH(TRIM(A3231),State_Region!$A$2:$A$26,0))</f>
        <v>Central</v>
      </c>
      <c r="C3231" s="3" t="s">
        <v>197</v>
      </c>
      <c r="D3231" s="3" t="str">
        <f>INDEX(Port_Type!$B$2:$B$227,MATCH(TRIM(C3231),Port_Type!$A$2:$A$227,0))</f>
        <v>Air Cargo</v>
      </c>
      <c r="E3231" s="3" t="s">
        <v>48</v>
      </c>
      <c r="F3231" s="3" t="str">
        <f>INDEX(Product_Category!$B$2:$B$45,MATCH(TRIM(E3231),Product_Category!$A$2:$A$45,0))</f>
        <v>Processed Foods</v>
      </c>
      <c r="G3231" s="4">
        <v>0.01</v>
      </c>
      <c r="H3231" s="4">
        <v>0</v>
      </c>
      <c r="I3231" s="4">
        <v>0</v>
      </c>
      <c r="J3231" s="4">
        <v>1.51</v>
      </c>
      <c r="K3231" s="4">
        <v>0</v>
      </c>
      <c r="L3231" s="4">
        <v>0</v>
      </c>
      <c r="M3231" s="4">
        <f t="shared" si="150"/>
        <v>-0.01</v>
      </c>
      <c r="N3231" s="4">
        <f t="shared" si="151"/>
        <v>-1.51</v>
      </c>
      <c r="O3231" s="4">
        <f t="shared" si="152"/>
        <v>0</v>
      </c>
      <c r="P3231" s="3" t="s">
        <v>19</v>
      </c>
    </row>
    <row r="3232" spans="1:16" x14ac:dyDescent="0.35">
      <c r="A3232" s="3" t="s">
        <v>57</v>
      </c>
      <c r="B3232" s="3" t="str">
        <f>INDEX(State_Region!$B$2:$B$26,MATCH(TRIM(A3232),State_Region!$A$2:$A$26,0))</f>
        <v>Central</v>
      </c>
      <c r="C3232" s="3" t="s">
        <v>61</v>
      </c>
      <c r="D3232" s="3" t="str">
        <f>INDEX(Port_Type!$B$2:$B$227,MATCH(TRIM(C3232),Port_Type!$A$2:$A$227,0))</f>
        <v>Inland ICD / CFS</v>
      </c>
      <c r="E3232" s="3" t="s">
        <v>54</v>
      </c>
      <c r="F3232" s="3" t="str">
        <f>INDEX(Product_Category!$B$2:$B$45,MATCH(TRIM(E3232),Product_Category!$A$2:$A$45,0))</f>
        <v>Processed Foods</v>
      </c>
      <c r="G3232" s="4">
        <v>0</v>
      </c>
      <c r="H3232" s="4">
        <v>0</v>
      </c>
      <c r="I3232" s="4">
        <v>0</v>
      </c>
      <c r="J3232" s="4">
        <v>0</v>
      </c>
      <c r="K3232" s="4">
        <v>0.72</v>
      </c>
      <c r="L3232" s="4">
        <v>0</v>
      </c>
      <c r="M3232" s="4">
        <f t="shared" si="150"/>
        <v>0</v>
      </c>
      <c r="N3232" s="4">
        <f t="shared" si="151"/>
        <v>0.72</v>
      </c>
      <c r="O3232" s="4">
        <f t="shared" si="152"/>
        <v>0</v>
      </c>
      <c r="P3232" s="3" t="s">
        <v>19</v>
      </c>
    </row>
    <row r="3233" spans="1:16" x14ac:dyDescent="0.35">
      <c r="A3233" s="3" t="s">
        <v>57</v>
      </c>
      <c r="B3233" s="3" t="str">
        <f>INDEX(State_Region!$B$2:$B$26,MATCH(TRIM(A3233),State_Region!$A$2:$A$26,0))</f>
        <v>Central</v>
      </c>
      <c r="C3233" s="3" t="s">
        <v>61</v>
      </c>
      <c r="D3233" s="3" t="str">
        <f>INDEX(Port_Type!$B$2:$B$227,MATCH(TRIM(C3233),Port_Type!$A$2:$A$227,0))</f>
        <v>Inland ICD / CFS</v>
      </c>
      <c r="E3233" s="3" t="s">
        <v>39</v>
      </c>
      <c r="F3233" s="3" t="str">
        <f>INDEX(Product_Category!$B$2:$B$45,MATCH(TRIM(E3233),Product_Category!$A$2:$A$45,0))</f>
        <v>Processed Foods</v>
      </c>
      <c r="G3233" s="4">
        <v>0</v>
      </c>
      <c r="H3233" s="4">
        <v>0.01</v>
      </c>
      <c r="I3233" s="4">
        <v>0</v>
      </c>
      <c r="J3233" s="4">
        <v>0</v>
      </c>
      <c r="K3233" s="4">
        <v>5.97</v>
      </c>
      <c r="L3233" s="4">
        <v>0</v>
      </c>
      <c r="M3233" s="4">
        <f t="shared" si="150"/>
        <v>0.01</v>
      </c>
      <c r="N3233" s="4">
        <f t="shared" si="151"/>
        <v>5.97</v>
      </c>
      <c r="O3233" s="4">
        <f t="shared" si="152"/>
        <v>-0.01</v>
      </c>
      <c r="P3233" s="3" t="s">
        <v>19</v>
      </c>
    </row>
    <row r="3234" spans="1:16" x14ac:dyDescent="0.35">
      <c r="A3234" s="3" t="s">
        <v>57</v>
      </c>
      <c r="B3234" s="3" t="str">
        <f>INDEX(State_Region!$B$2:$B$26,MATCH(TRIM(A3234),State_Region!$A$2:$A$26,0))</f>
        <v>Central</v>
      </c>
      <c r="C3234" s="3" t="s">
        <v>61</v>
      </c>
      <c r="D3234" s="3" t="str">
        <f>INDEX(Port_Type!$B$2:$B$227,MATCH(TRIM(C3234),Port_Type!$A$2:$A$227,0))</f>
        <v>Inland ICD / CFS</v>
      </c>
      <c r="E3234" s="3" t="s">
        <v>53</v>
      </c>
      <c r="F3234" s="3" t="str">
        <f>INDEX(Product_Category!$B$2:$B$45,MATCH(TRIM(E3234),Product_Category!$A$2:$A$45,0))</f>
        <v>Processed Foods</v>
      </c>
      <c r="G3234" s="4">
        <v>0</v>
      </c>
      <c r="H3234" s="4">
        <v>0</v>
      </c>
      <c r="I3234" s="4">
        <v>0</v>
      </c>
      <c r="J3234" s="4">
        <v>0</v>
      </c>
      <c r="K3234" s="4">
        <v>7.0000000000000007E-2</v>
      </c>
      <c r="L3234" s="4">
        <v>0</v>
      </c>
      <c r="M3234" s="4">
        <f t="shared" si="150"/>
        <v>0</v>
      </c>
      <c r="N3234" s="4">
        <f t="shared" si="151"/>
        <v>7.0000000000000007E-2</v>
      </c>
      <c r="O3234" s="4">
        <f t="shared" si="152"/>
        <v>0</v>
      </c>
      <c r="P3234" s="3" t="s">
        <v>19</v>
      </c>
    </row>
    <row r="3235" spans="1:16" x14ac:dyDescent="0.35">
      <c r="A3235" s="3" t="s">
        <v>57</v>
      </c>
      <c r="B3235" s="3" t="str">
        <f>INDEX(State_Region!$B$2:$B$26,MATCH(TRIM(A3235),State_Region!$A$2:$A$26,0))</f>
        <v>Central</v>
      </c>
      <c r="C3235" s="3" t="s">
        <v>61</v>
      </c>
      <c r="D3235" s="3" t="str">
        <f>INDEX(Port_Type!$B$2:$B$227,MATCH(TRIM(C3235),Port_Type!$A$2:$A$227,0))</f>
        <v>Inland ICD / CFS</v>
      </c>
      <c r="E3235" s="3" t="s">
        <v>59</v>
      </c>
      <c r="F3235" s="3" t="str">
        <f>INDEX(Product_Category!$B$2:$B$45,MATCH(TRIM(E3235),Product_Category!$A$2:$A$45,0))</f>
        <v>Processed Foods</v>
      </c>
      <c r="G3235" s="4">
        <v>0</v>
      </c>
      <c r="H3235" s="4">
        <v>0</v>
      </c>
      <c r="I3235" s="4">
        <v>0</v>
      </c>
      <c r="J3235" s="4">
        <v>0</v>
      </c>
      <c r="K3235" s="4">
        <v>0.02</v>
      </c>
      <c r="L3235" s="4">
        <v>0</v>
      </c>
      <c r="M3235" s="4">
        <f t="shared" si="150"/>
        <v>0</v>
      </c>
      <c r="N3235" s="4">
        <f t="shared" si="151"/>
        <v>0.02</v>
      </c>
      <c r="O3235" s="4">
        <f t="shared" si="152"/>
        <v>0</v>
      </c>
      <c r="P3235" s="3" t="s">
        <v>19</v>
      </c>
    </row>
    <row r="3236" spans="1:16" x14ac:dyDescent="0.35">
      <c r="A3236" s="3" t="s">
        <v>57</v>
      </c>
      <c r="B3236" s="3" t="str">
        <f>INDEX(State_Region!$B$2:$B$26,MATCH(TRIM(A3236),State_Region!$A$2:$A$26,0))</f>
        <v>Central</v>
      </c>
      <c r="C3236" s="3" t="s">
        <v>61</v>
      </c>
      <c r="D3236" s="3" t="str">
        <f>INDEX(Port_Type!$B$2:$B$227,MATCH(TRIM(C3236),Port_Type!$A$2:$A$227,0))</f>
        <v>Inland ICD / CFS</v>
      </c>
      <c r="E3236" s="3" t="s">
        <v>48</v>
      </c>
      <c r="F3236" s="3" t="str">
        <f>INDEX(Product_Category!$B$2:$B$45,MATCH(TRIM(E3236),Product_Category!$A$2:$A$45,0))</f>
        <v>Processed Foods</v>
      </c>
      <c r="G3236" s="4">
        <v>0</v>
      </c>
      <c r="H3236" s="4">
        <v>0</v>
      </c>
      <c r="I3236" s="4">
        <v>0</v>
      </c>
      <c r="J3236" s="4">
        <v>0</v>
      </c>
      <c r="K3236" s="4">
        <v>1.1299999999999999</v>
      </c>
      <c r="L3236" s="4">
        <v>0</v>
      </c>
      <c r="M3236" s="4">
        <f t="shared" si="150"/>
        <v>0</v>
      </c>
      <c r="N3236" s="4">
        <f t="shared" si="151"/>
        <v>1.1299999999999999</v>
      </c>
      <c r="O3236" s="4">
        <f t="shared" si="152"/>
        <v>0</v>
      </c>
      <c r="P3236" s="3" t="s">
        <v>19</v>
      </c>
    </row>
    <row r="3237" spans="1:16" x14ac:dyDescent="0.35">
      <c r="A3237" s="3" t="s">
        <v>57</v>
      </c>
      <c r="B3237" s="3" t="str">
        <f>INDEX(State_Region!$B$2:$B$26,MATCH(TRIM(A3237),State_Region!$A$2:$A$26,0))</f>
        <v>Central</v>
      </c>
      <c r="C3237" s="3" t="s">
        <v>161</v>
      </c>
      <c r="D3237" s="3" t="str">
        <f>INDEX(Port_Type!$B$2:$B$227,MATCH(TRIM(C3237),Port_Type!$A$2:$A$227,0))</f>
        <v>Inland ICD / CFS</v>
      </c>
      <c r="E3237" s="3" t="s">
        <v>170</v>
      </c>
      <c r="F3237" s="3" t="str">
        <f>INDEX(Product_Category!$B$2:$B$45,MATCH(TRIM(E3237),Product_Category!$A$2:$A$45,0))</f>
        <v>Others</v>
      </c>
      <c r="G3237" s="4">
        <v>0</v>
      </c>
      <c r="H3237" s="4">
        <v>0</v>
      </c>
      <c r="I3237" s="4">
        <v>0</v>
      </c>
      <c r="J3237" s="4">
        <v>0</v>
      </c>
      <c r="K3237" s="4">
        <v>0.01</v>
      </c>
      <c r="L3237" s="4">
        <v>0</v>
      </c>
      <c r="M3237" s="4">
        <f t="shared" si="150"/>
        <v>0</v>
      </c>
      <c r="N3237" s="4">
        <f t="shared" si="151"/>
        <v>0.01</v>
      </c>
      <c r="O3237" s="4">
        <f t="shared" si="152"/>
        <v>0</v>
      </c>
      <c r="P3237" s="3" t="s">
        <v>19</v>
      </c>
    </row>
    <row r="3238" spans="1:16" x14ac:dyDescent="0.35">
      <c r="A3238" s="3" t="s">
        <v>57</v>
      </c>
      <c r="B3238" s="3" t="str">
        <f>INDEX(State_Region!$B$2:$B$26,MATCH(TRIM(A3238),State_Region!$A$2:$A$26,0))</f>
        <v>Central</v>
      </c>
      <c r="C3238" s="3" t="s">
        <v>161</v>
      </c>
      <c r="D3238" s="3" t="str">
        <f>INDEX(Port_Type!$B$2:$B$227,MATCH(TRIM(C3238),Port_Type!$A$2:$A$227,0))</f>
        <v>Inland ICD / CFS</v>
      </c>
      <c r="E3238" s="3" t="s">
        <v>102</v>
      </c>
      <c r="F3238" s="3" t="str">
        <f>INDEX(Product_Category!$B$2:$B$45,MATCH(TRIM(E3238),Product_Category!$A$2:$A$45,0))</f>
        <v>Fresh Fruits &amp; Vegetables</v>
      </c>
      <c r="G3238" s="4">
        <v>0</v>
      </c>
      <c r="H3238" s="4">
        <v>0</v>
      </c>
      <c r="I3238" s="4">
        <v>0</v>
      </c>
      <c r="J3238" s="4">
        <v>0.82</v>
      </c>
      <c r="K3238" s="4">
        <v>0</v>
      </c>
      <c r="L3238" s="4">
        <v>0</v>
      </c>
      <c r="M3238" s="4">
        <f t="shared" si="150"/>
        <v>0</v>
      </c>
      <c r="N3238" s="4">
        <f t="shared" si="151"/>
        <v>-0.82</v>
      </c>
      <c r="O3238" s="4">
        <f t="shared" si="152"/>
        <v>0</v>
      </c>
      <c r="P3238" s="3" t="s">
        <v>19</v>
      </c>
    </row>
    <row r="3239" spans="1:16" x14ac:dyDescent="0.35">
      <c r="A3239" s="3" t="s">
        <v>57</v>
      </c>
      <c r="B3239" s="3" t="str">
        <f>INDEX(State_Region!$B$2:$B$26,MATCH(TRIM(A3239),State_Region!$A$2:$A$26,0))</f>
        <v>Central</v>
      </c>
      <c r="C3239" s="3" t="s">
        <v>161</v>
      </c>
      <c r="D3239" s="3" t="str">
        <f>INDEX(Port_Type!$B$2:$B$227,MATCH(TRIM(C3239),Port_Type!$A$2:$A$227,0))</f>
        <v>Inland ICD / CFS</v>
      </c>
      <c r="E3239" s="3" t="s">
        <v>118</v>
      </c>
      <c r="F3239" s="3" t="str">
        <f>INDEX(Product_Category!$B$2:$B$45,MATCH(TRIM(E3239),Product_Category!$A$2:$A$45,0))</f>
        <v>Dairy, Poultry &amp; Honey</v>
      </c>
      <c r="G3239" s="4">
        <v>0</v>
      </c>
      <c r="H3239" s="4">
        <v>0</v>
      </c>
      <c r="I3239" s="4">
        <v>0</v>
      </c>
      <c r="J3239" s="4">
        <v>0.22</v>
      </c>
      <c r="K3239" s="4">
        <v>0.16</v>
      </c>
      <c r="L3239" s="4">
        <v>0</v>
      </c>
      <c r="M3239" s="4">
        <f t="shared" si="150"/>
        <v>0</v>
      </c>
      <c r="N3239" s="4">
        <f t="shared" si="151"/>
        <v>-0.06</v>
      </c>
      <c r="O3239" s="4">
        <f t="shared" si="152"/>
        <v>0</v>
      </c>
      <c r="P3239" s="3" t="s">
        <v>19</v>
      </c>
    </row>
    <row r="3240" spans="1:16" x14ac:dyDescent="0.35">
      <c r="A3240" s="3" t="s">
        <v>57</v>
      </c>
      <c r="B3240" s="3" t="str">
        <f>INDEX(State_Region!$B$2:$B$26,MATCH(TRIM(A3240),State_Region!$A$2:$A$26,0))</f>
        <v>Central</v>
      </c>
      <c r="C3240" s="3" t="s">
        <v>161</v>
      </c>
      <c r="D3240" s="3" t="str">
        <f>INDEX(Port_Type!$B$2:$B$227,MATCH(TRIM(C3240),Port_Type!$A$2:$A$227,0))</f>
        <v>Inland ICD / CFS</v>
      </c>
      <c r="E3240" s="3" t="s">
        <v>62</v>
      </c>
      <c r="F3240" s="3" t="str">
        <f>INDEX(Product_Category!$B$2:$B$45,MATCH(TRIM(E3240),Product_Category!$A$2:$A$45,0))</f>
        <v>Cereals &amp; Grains</v>
      </c>
      <c r="G3240" s="4">
        <v>0</v>
      </c>
      <c r="H3240" s="4">
        <v>0.01</v>
      </c>
      <c r="I3240" s="4">
        <v>0</v>
      </c>
      <c r="J3240" s="4">
        <v>0.16</v>
      </c>
      <c r="K3240" s="4">
        <v>22</v>
      </c>
      <c r="L3240" s="4">
        <v>0</v>
      </c>
      <c r="M3240" s="4">
        <f t="shared" si="150"/>
        <v>0.01</v>
      </c>
      <c r="N3240" s="4">
        <f t="shared" si="151"/>
        <v>21.84</v>
      </c>
      <c r="O3240" s="4">
        <f t="shared" si="152"/>
        <v>-0.01</v>
      </c>
      <c r="P3240" s="3" t="s">
        <v>19</v>
      </c>
    </row>
    <row r="3241" spans="1:16" x14ac:dyDescent="0.35">
      <c r="A3241" s="3" t="s">
        <v>57</v>
      </c>
      <c r="B3241" s="3" t="str">
        <f>INDEX(State_Region!$B$2:$B$26,MATCH(TRIM(A3241),State_Region!$A$2:$A$26,0))</f>
        <v>Central</v>
      </c>
      <c r="C3241" s="3" t="s">
        <v>161</v>
      </c>
      <c r="D3241" s="3" t="str">
        <f>INDEX(Port_Type!$B$2:$B$227,MATCH(TRIM(C3241),Port_Type!$A$2:$A$227,0))</f>
        <v>Inland ICD / CFS</v>
      </c>
      <c r="E3241" s="3" t="s">
        <v>51</v>
      </c>
      <c r="F3241" s="3" t="str">
        <f>INDEX(Product_Category!$B$2:$B$45,MATCH(TRIM(E3241),Product_Category!$A$2:$A$45,0))</f>
        <v>Nuts &amp; Oilseeds</v>
      </c>
      <c r="G3241" s="4">
        <v>0</v>
      </c>
      <c r="H3241" s="4">
        <v>0</v>
      </c>
      <c r="I3241" s="4">
        <v>0</v>
      </c>
      <c r="J3241" s="4">
        <v>0.11</v>
      </c>
      <c r="K3241" s="4">
        <v>0</v>
      </c>
      <c r="L3241" s="4">
        <v>0</v>
      </c>
      <c r="M3241" s="4">
        <f t="shared" si="150"/>
        <v>0</v>
      </c>
      <c r="N3241" s="4">
        <f t="shared" si="151"/>
        <v>-0.11</v>
      </c>
      <c r="O3241" s="4">
        <f t="shared" si="152"/>
        <v>0</v>
      </c>
      <c r="P3241" s="3" t="s">
        <v>19</v>
      </c>
    </row>
    <row r="3242" spans="1:16" x14ac:dyDescent="0.35">
      <c r="A3242" s="3" t="s">
        <v>40</v>
      </c>
      <c r="B3242" s="3" t="str">
        <f>INDEX(State_Region!$B$2:$B$26,MATCH(TRIM(A3242),State_Region!$A$2:$A$26,0))</f>
        <v>South</v>
      </c>
      <c r="C3242" s="3" t="s">
        <v>41</v>
      </c>
      <c r="D3242" s="3" t="str">
        <f>INDEX(Port_Type!$B$2:$B$227,MATCH(TRIM(C3242),Port_Type!$A$2:$A$227,0))</f>
        <v>Sea Port</v>
      </c>
      <c r="E3242" s="3" t="s">
        <v>116</v>
      </c>
      <c r="F3242" s="3" t="str">
        <f>INDEX(Product_Category!$B$2:$B$45,MATCH(TRIM(E3242),Product_Category!$A$2:$A$45,0))</f>
        <v>Others</v>
      </c>
      <c r="G3242" s="4">
        <v>0.05</v>
      </c>
      <c r="H3242" s="4">
        <v>0</v>
      </c>
      <c r="I3242" s="4">
        <v>0</v>
      </c>
      <c r="J3242" s="4">
        <v>76</v>
      </c>
      <c r="K3242" s="4">
        <v>0</v>
      </c>
      <c r="L3242" s="4">
        <v>0</v>
      </c>
      <c r="M3242" s="4">
        <f t="shared" si="150"/>
        <v>-0.05</v>
      </c>
      <c r="N3242" s="4">
        <f t="shared" si="151"/>
        <v>-76</v>
      </c>
      <c r="O3242" s="4">
        <f t="shared" si="152"/>
        <v>0</v>
      </c>
      <c r="P3242" s="3" t="s">
        <v>19</v>
      </c>
    </row>
    <row r="3243" spans="1:16" x14ac:dyDescent="0.35">
      <c r="A3243" s="3" t="s">
        <v>57</v>
      </c>
      <c r="B3243" s="3" t="str">
        <f>INDEX(State_Region!$B$2:$B$26,MATCH(TRIM(A3243),State_Region!$A$2:$A$26,0))</f>
        <v>Central</v>
      </c>
      <c r="C3243" s="3" t="s">
        <v>161</v>
      </c>
      <c r="D3243" s="3" t="str">
        <f>INDEX(Port_Type!$B$2:$B$227,MATCH(TRIM(C3243),Port_Type!$A$2:$A$227,0))</f>
        <v>Inland ICD / CFS</v>
      </c>
      <c r="E3243" s="3" t="s">
        <v>69</v>
      </c>
      <c r="F3243" s="3" t="str">
        <f>INDEX(Product_Category!$B$2:$B$45,MATCH(TRIM(E3243),Product_Category!$A$2:$A$45,0))</f>
        <v>Others</v>
      </c>
      <c r="G3243" s="4">
        <v>0</v>
      </c>
      <c r="H3243" s="4">
        <v>0</v>
      </c>
      <c r="I3243" s="4">
        <v>0</v>
      </c>
      <c r="J3243" s="4">
        <v>0</v>
      </c>
      <c r="K3243" s="4">
        <v>0</v>
      </c>
      <c r="L3243" s="4">
        <v>0</v>
      </c>
      <c r="M3243" s="4">
        <f t="shared" si="150"/>
        <v>0</v>
      </c>
      <c r="N3243" s="4">
        <f t="shared" si="151"/>
        <v>0</v>
      </c>
      <c r="O3243" s="4">
        <f t="shared" si="152"/>
        <v>0</v>
      </c>
      <c r="P3243" s="3" t="s">
        <v>19</v>
      </c>
    </row>
    <row r="3244" spans="1:16" x14ac:dyDescent="0.35">
      <c r="A3244" s="3" t="s">
        <v>40</v>
      </c>
      <c r="B3244" s="3" t="str">
        <f>INDEX(State_Region!$B$2:$B$26,MATCH(TRIM(A3244),State_Region!$A$2:$A$26,0))</f>
        <v>South</v>
      </c>
      <c r="C3244" s="3" t="s">
        <v>41</v>
      </c>
      <c r="D3244" s="3" t="str">
        <f>INDEX(Port_Type!$B$2:$B$227,MATCH(TRIM(C3244),Port_Type!$A$2:$A$227,0))</f>
        <v>Sea Port</v>
      </c>
      <c r="E3244" s="3" t="s">
        <v>221</v>
      </c>
      <c r="F3244" s="3" t="str">
        <f>INDEX(Product_Category!$B$2:$B$45,MATCH(TRIM(E3244),Product_Category!$A$2:$A$45,0))</f>
        <v>Meat &amp; Animal Products</v>
      </c>
      <c r="G3244" s="4">
        <v>0.02</v>
      </c>
      <c r="H3244" s="4">
        <v>0.02</v>
      </c>
      <c r="I3244" s="4">
        <v>0</v>
      </c>
      <c r="J3244" s="4">
        <v>4.87</v>
      </c>
      <c r="K3244" s="4">
        <v>8.08</v>
      </c>
      <c r="L3244" s="4">
        <v>0</v>
      </c>
      <c r="M3244" s="4">
        <f t="shared" si="150"/>
        <v>0</v>
      </c>
      <c r="N3244" s="4">
        <f t="shared" si="151"/>
        <v>3.21</v>
      </c>
      <c r="O3244" s="4">
        <f t="shared" si="152"/>
        <v>-0.02</v>
      </c>
      <c r="P3244" s="3" t="s">
        <v>19</v>
      </c>
    </row>
    <row r="3245" spans="1:16" x14ac:dyDescent="0.35">
      <c r="A3245" s="3" t="s">
        <v>57</v>
      </c>
      <c r="B3245" s="3" t="str">
        <f>INDEX(State_Region!$B$2:$B$26,MATCH(TRIM(A3245),State_Region!$A$2:$A$26,0))</f>
        <v>Central</v>
      </c>
      <c r="C3245" s="3" t="s">
        <v>161</v>
      </c>
      <c r="D3245" s="3" t="str">
        <f>INDEX(Port_Type!$B$2:$B$227,MATCH(TRIM(C3245),Port_Type!$A$2:$A$227,0))</f>
        <v>Inland ICD / CFS</v>
      </c>
      <c r="E3245" s="3" t="s">
        <v>179</v>
      </c>
      <c r="F3245" s="3" t="str">
        <f>INDEX(Product_Category!$B$2:$B$45,MATCH(TRIM(E3245),Product_Category!$A$2:$A$45,0))</f>
        <v>Nuts &amp; Oilseeds</v>
      </c>
      <c r="G3245" s="4">
        <v>0</v>
      </c>
      <c r="H3245" s="4">
        <v>0</v>
      </c>
      <c r="I3245" s="4">
        <v>0</v>
      </c>
      <c r="J3245" s="4">
        <v>0.12</v>
      </c>
      <c r="K3245" s="4">
        <v>0</v>
      </c>
      <c r="L3245" s="4">
        <v>0</v>
      </c>
      <c r="M3245" s="4">
        <f t="shared" si="150"/>
        <v>0</v>
      </c>
      <c r="N3245" s="4">
        <f t="shared" si="151"/>
        <v>-0.12</v>
      </c>
      <c r="O3245" s="4">
        <f t="shared" si="152"/>
        <v>0</v>
      </c>
      <c r="P3245" s="3" t="s">
        <v>19</v>
      </c>
    </row>
    <row r="3246" spans="1:16" x14ac:dyDescent="0.35">
      <c r="A3246" s="3" t="s">
        <v>40</v>
      </c>
      <c r="B3246" s="3" t="str">
        <f>INDEX(State_Region!$B$2:$B$26,MATCH(TRIM(A3246),State_Region!$A$2:$A$26,0))</f>
        <v>South</v>
      </c>
      <c r="C3246" s="3" t="s">
        <v>41</v>
      </c>
      <c r="D3246" s="3" t="str">
        <f>INDEX(Port_Type!$B$2:$B$227,MATCH(TRIM(C3246),Port_Type!$A$2:$A$227,0))</f>
        <v>Sea Port</v>
      </c>
      <c r="E3246" s="3" t="s">
        <v>93</v>
      </c>
      <c r="F3246" s="3" t="str">
        <f>INDEX(Product_Category!$B$2:$B$45,MATCH(TRIM(E3246),Product_Category!$A$2:$A$45,0))</f>
        <v>Meat &amp; Animal Products</v>
      </c>
      <c r="G3246" s="4">
        <v>0.69</v>
      </c>
      <c r="H3246" s="4">
        <v>0</v>
      </c>
      <c r="I3246" s="4">
        <v>0</v>
      </c>
      <c r="J3246" s="4">
        <v>339.4</v>
      </c>
      <c r="K3246" s="4">
        <v>0</v>
      </c>
      <c r="L3246" s="4">
        <v>0</v>
      </c>
      <c r="M3246" s="4">
        <f t="shared" si="150"/>
        <v>-0.69</v>
      </c>
      <c r="N3246" s="4">
        <f t="shared" si="151"/>
        <v>-339.4</v>
      </c>
      <c r="O3246" s="4">
        <f t="shared" si="152"/>
        <v>0</v>
      </c>
      <c r="P3246" s="3" t="s">
        <v>19</v>
      </c>
    </row>
    <row r="3247" spans="1:16" x14ac:dyDescent="0.35">
      <c r="A3247" s="3" t="s">
        <v>57</v>
      </c>
      <c r="B3247" s="3" t="str">
        <f>INDEX(State_Region!$B$2:$B$26,MATCH(TRIM(A3247),State_Region!$A$2:$A$26,0))</f>
        <v>Central</v>
      </c>
      <c r="C3247" s="3" t="s">
        <v>161</v>
      </c>
      <c r="D3247" s="3" t="str">
        <f>INDEX(Port_Type!$B$2:$B$227,MATCH(TRIM(C3247),Port_Type!$A$2:$A$227,0))</f>
        <v>Inland ICD / CFS</v>
      </c>
      <c r="E3247" s="3" t="s">
        <v>174</v>
      </c>
      <c r="F3247" s="3" t="str">
        <f>INDEX(Product_Category!$B$2:$B$45,MATCH(TRIM(E3247),Product_Category!$A$2:$A$45,0))</f>
        <v>Dairy, Poultry &amp; Honey</v>
      </c>
      <c r="G3247" s="4">
        <v>0</v>
      </c>
      <c r="H3247" s="4">
        <v>0</v>
      </c>
      <c r="I3247" s="4">
        <v>0</v>
      </c>
      <c r="J3247" s="4">
        <v>0</v>
      </c>
      <c r="K3247" s="4">
        <v>0.03</v>
      </c>
      <c r="L3247" s="4">
        <v>0</v>
      </c>
      <c r="M3247" s="4">
        <f t="shared" si="150"/>
        <v>0</v>
      </c>
      <c r="N3247" s="4">
        <f t="shared" si="151"/>
        <v>0.03</v>
      </c>
      <c r="O3247" s="4">
        <f t="shared" si="152"/>
        <v>0</v>
      </c>
      <c r="P3247" s="3" t="s">
        <v>19</v>
      </c>
    </row>
    <row r="3248" spans="1:16" x14ac:dyDescent="0.35">
      <c r="A3248" s="3" t="s">
        <v>57</v>
      </c>
      <c r="B3248" s="3" t="str">
        <f>INDEX(State_Region!$B$2:$B$26,MATCH(TRIM(A3248),State_Region!$A$2:$A$26,0))</f>
        <v>Central</v>
      </c>
      <c r="C3248" s="3" t="s">
        <v>58</v>
      </c>
      <c r="D3248" s="3" t="str">
        <f>INDEX(Port_Type!$B$2:$B$227,MATCH(TRIM(C3248),Port_Type!$A$2:$A$227,0))</f>
        <v>Inland ICD / CFS</v>
      </c>
      <c r="E3248" s="3" t="s">
        <v>42</v>
      </c>
      <c r="F3248" s="3" t="str">
        <f>INDEX(Product_Category!$B$2:$B$45,MATCH(TRIM(E3248),Product_Category!$A$2:$A$45,0))</f>
        <v>Processed Foods</v>
      </c>
      <c r="G3248" s="4">
        <v>0</v>
      </c>
      <c r="H3248" s="4">
        <v>0</v>
      </c>
      <c r="I3248" s="4">
        <v>0</v>
      </c>
      <c r="J3248" s="4">
        <v>0</v>
      </c>
      <c r="K3248" s="4">
        <v>0.06</v>
      </c>
      <c r="L3248" s="4">
        <v>0</v>
      </c>
      <c r="M3248" s="4">
        <f t="shared" si="150"/>
        <v>0</v>
      </c>
      <c r="N3248" s="4">
        <f t="shared" si="151"/>
        <v>0.06</v>
      </c>
      <c r="O3248" s="4">
        <f t="shared" si="152"/>
        <v>0</v>
      </c>
      <c r="P3248" s="3" t="s">
        <v>19</v>
      </c>
    </row>
    <row r="3249" spans="1:16" x14ac:dyDescent="0.35">
      <c r="A3249" s="3" t="s">
        <v>40</v>
      </c>
      <c r="B3249" s="3" t="str">
        <f>INDEX(State_Region!$B$2:$B$26,MATCH(TRIM(A3249),State_Region!$A$2:$A$26,0))</f>
        <v>South</v>
      </c>
      <c r="C3249" s="3" t="s">
        <v>107</v>
      </c>
      <c r="D3249" s="3" t="str">
        <f>INDEX(Port_Type!$B$2:$B$227,MATCH(TRIM(C3249),Port_Type!$A$2:$A$227,0))</f>
        <v>Sea Port</v>
      </c>
      <c r="E3249" s="3" t="s">
        <v>22</v>
      </c>
      <c r="F3249" s="3" t="str">
        <f>INDEX(Product_Category!$B$2:$B$45,MATCH(TRIM(E3249),Product_Category!$A$2:$A$45,0))</f>
        <v>Meat &amp; Animal Products</v>
      </c>
      <c r="G3249" s="4">
        <v>4.12</v>
      </c>
      <c r="H3249" s="4">
        <v>0</v>
      </c>
      <c r="I3249" s="4">
        <v>0</v>
      </c>
      <c r="J3249" s="4">
        <v>1819.37</v>
      </c>
      <c r="K3249" s="4">
        <v>0</v>
      </c>
      <c r="L3249" s="4">
        <v>0</v>
      </c>
      <c r="M3249" s="4">
        <f t="shared" si="150"/>
        <v>-4.12</v>
      </c>
      <c r="N3249" s="4">
        <f t="shared" si="151"/>
        <v>-1819.37</v>
      </c>
      <c r="O3249" s="4">
        <f t="shared" si="152"/>
        <v>0</v>
      </c>
      <c r="P3249" s="3" t="s">
        <v>19</v>
      </c>
    </row>
    <row r="3250" spans="1:16" x14ac:dyDescent="0.35">
      <c r="A3250" s="3" t="s">
        <v>57</v>
      </c>
      <c r="B3250" s="3" t="str">
        <f>INDEX(State_Region!$B$2:$B$26,MATCH(TRIM(A3250),State_Region!$A$2:$A$26,0))</f>
        <v>Central</v>
      </c>
      <c r="C3250" s="3" t="s">
        <v>58</v>
      </c>
      <c r="D3250" s="3" t="str">
        <f>INDEX(Port_Type!$B$2:$B$227,MATCH(TRIM(C3250),Port_Type!$A$2:$A$227,0))</f>
        <v>Inland ICD / CFS</v>
      </c>
      <c r="E3250" s="3" t="s">
        <v>54</v>
      </c>
      <c r="F3250" s="3" t="str">
        <f>INDEX(Product_Category!$B$2:$B$45,MATCH(TRIM(E3250),Product_Category!$A$2:$A$45,0))</f>
        <v>Processed Foods</v>
      </c>
      <c r="G3250" s="4">
        <v>0</v>
      </c>
      <c r="H3250" s="4">
        <v>0.01</v>
      </c>
      <c r="I3250" s="4">
        <v>0</v>
      </c>
      <c r="J3250" s="4">
        <v>0</v>
      </c>
      <c r="K3250" s="4">
        <v>3.76</v>
      </c>
      <c r="L3250" s="4">
        <v>0</v>
      </c>
      <c r="M3250" s="4">
        <f t="shared" si="150"/>
        <v>0.01</v>
      </c>
      <c r="N3250" s="4">
        <f t="shared" si="151"/>
        <v>3.76</v>
      </c>
      <c r="O3250" s="4">
        <f t="shared" si="152"/>
        <v>-0.01</v>
      </c>
      <c r="P3250" s="3" t="s">
        <v>19</v>
      </c>
    </row>
    <row r="3251" spans="1:16" x14ac:dyDescent="0.35">
      <c r="A3251" s="3" t="s">
        <v>57</v>
      </c>
      <c r="B3251" s="3" t="str">
        <f>INDEX(State_Region!$B$2:$B$26,MATCH(TRIM(A3251),State_Region!$A$2:$A$26,0))</f>
        <v>Central</v>
      </c>
      <c r="C3251" s="3" t="s">
        <v>58</v>
      </c>
      <c r="D3251" s="3" t="str">
        <f>INDEX(Port_Type!$B$2:$B$227,MATCH(TRIM(C3251),Port_Type!$A$2:$A$227,0))</f>
        <v>Inland ICD / CFS</v>
      </c>
      <c r="E3251" s="3" t="s">
        <v>102</v>
      </c>
      <c r="F3251" s="3" t="str">
        <f>INDEX(Product_Category!$B$2:$B$45,MATCH(TRIM(E3251),Product_Category!$A$2:$A$45,0))</f>
        <v>Fresh Fruits &amp; Vegetables</v>
      </c>
      <c r="G3251" s="4">
        <v>0</v>
      </c>
      <c r="H3251" s="4">
        <v>0</v>
      </c>
      <c r="I3251" s="4">
        <v>0</v>
      </c>
      <c r="J3251" s="4">
        <v>0</v>
      </c>
      <c r="K3251" s="4">
        <v>0.06</v>
      </c>
      <c r="L3251" s="4">
        <v>0</v>
      </c>
      <c r="M3251" s="4">
        <f t="shared" si="150"/>
        <v>0</v>
      </c>
      <c r="N3251" s="4">
        <f t="shared" si="151"/>
        <v>0.06</v>
      </c>
      <c r="O3251" s="4">
        <f t="shared" si="152"/>
        <v>0</v>
      </c>
      <c r="P3251" s="3" t="s">
        <v>19</v>
      </c>
    </row>
    <row r="3252" spans="1:16" x14ac:dyDescent="0.35">
      <c r="A3252" s="3" t="s">
        <v>57</v>
      </c>
      <c r="B3252" s="3" t="str">
        <f>INDEX(State_Region!$B$2:$B$26,MATCH(TRIM(A3252),State_Region!$A$2:$A$26,0))</f>
        <v>Central</v>
      </c>
      <c r="C3252" s="3" t="s">
        <v>58</v>
      </c>
      <c r="D3252" s="3" t="str">
        <f>INDEX(Port_Type!$B$2:$B$227,MATCH(TRIM(C3252),Port_Type!$A$2:$A$227,0))</f>
        <v>Inland ICD / CFS</v>
      </c>
      <c r="E3252" s="3" t="s">
        <v>45</v>
      </c>
      <c r="F3252" s="3" t="str">
        <f>INDEX(Product_Category!$B$2:$B$45,MATCH(TRIM(E3252),Product_Category!$A$2:$A$45,0))</f>
        <v>Fresh Fruits &amp; Vegetables</v>
      </c>
      <c r="G3252" s="4">
        <v>0</v>
      </c>
      <c r="H3252" s="4">
        <v>0</v>
      </c>
      <c r="I3252" s="4">
        <v>0</v>
      </c>
      <c r="J3252" s="4">
        <v>0</v>
      </c>
      <c r="K3252" s="4">
        <v>0.05</v>
      </c>
      <c r="L3252" s="4">
        <v>0</v>
      </c>
      <c r="M3252" s="4">
        <f t="shared" si="150"/>
        <v>0</v>
      </c>
      <c r="N3252" s="4">
        <f t="shared" si="151"/>
        <v>0.05</v>
      </c>
      <c r="O3252" s="4">
        <f t="shared" si="152"/>
        <v>0</v>
      </c>
      <c r="P3252" s="3" t="s">
        <v>19</v>
      </c>
    </row>
    <row r="3253" spans="1:16" x14ac:dyDescent="0.35">
      <c r="A3253" s="3" t="s">
        <v>57</v>
      </c>
      <c r="B3253" s="3" t="str">
        <f>INDEX(State_Region!$B$2:$B$26,MATCH(TRIM(A3253),State_Region!$A$2:$A$26,0))</f>
        <v>Central</v>
      </c>
      <c r="C3253" s="3" t="s">
        <v>58</v>
      </c>
      <c r="D3253" s="3" t="str">
        <f>INDEX(Port_Type!$B$2:$B$227,MATCH(TRIM(C3253),Port_Type!$A$2:$A$227,0))</f>
        <v>Inland ICD / CFS</v>
      </c>
      <c r="E3253" s="3" t="s">
        <v>126</v>
      </c>
      <c r="F3253" s="3" t="str">
        <f>INDEX(Product_Category!$B$2:$B$45,MATCH(TRIM(E3253),Product_Category!$A$2:$A$45,0))</f>
        <v>Cereals &amp; Grains</v>
      </c>
      <c r="G3253" s="4">
        <v>0.28000000000000003</v>
      </c>
      <c r="H3253" s="4">
        <v>0.83</v>
      </c>
      <c r="I3253" s="4">
        <v>0</v>
      </c>
      <c r="J3253" s="4">
        <v>140</v>
      </c>
      <c r="K3253" s="4">
        <v>314.3</v>
      </c>
      <c r="L3253" s="4">
        <v>0</v>
      </c>
      <c r="M3253" s="4">
        <f t="shared" si="150"/>
        <v>0.54999999999999993</v>
      </c>
      <c r="N3253" s="4">
        <f t="shared" si="151"/>
        <v>174.3</v>
      </c>
      <c r="O3253" s="4">
        <f t="shared" si="152"/>
        <v>-0.83</v>
      </c>
      <c r="P3253" s="3" t="s">
        <v>19</v>
      </c>
    </row>
    <row r="3254" spans="1:16" x14ac:dyDescent="0.35">
      <c r="A3254" s="3" t="s">
        <v>57</v>
      </c>
      <c r="B3254" s="3" t="str">
        <f>INDEX(State_Region!$B$2:$B$26,MATCH(TRIM(A3254),State_Region!$A$2:$A$26,0))</f>
        <v>Central</v>
      </c>
      <c r="C3254" s="3" t="s">
        <v>58</v>
      </c>
      <c r="D3254" s="3" t="str">
        <f>INDEX(Port_Type!$B$2:$B$227,MATCH(TRIM(C3254),Port_Type!$A$2:$A$227,0))</f>
        <v>Inland ICD / CFS</v>
      </c>
      <c r="E3254" s="3" t="s">
        <v>144</v>
      </c>
      <c r="F3254" s="3" t="str">
        <f>INDEX(Product_Category!$B$2:$B$45,MATCH(TRIM(E3254),Product_Category!$A$2:$A$45,0))</f>
        <v>Cereals &amp; Grains</v>
      </c>
      <c r="G3254" s="4">
        <v>0.01</v>
      </c>
      <c r="H3254" s="4">
        <v>0.02</v>
      </c>
      <c r="I3254" s="4">
        <v>0</v>
      </c>
      <c r="J3254" s="4">
        <v>23</v>
      </c>
      <c r="K3254" s="4">
        <v>20</v>
      </c>
      <c r="L3254" s="4">
        <v>0</v>
      </c>
      <c r="M3254" s="4">
        <f t="shared" si="150"/>
        <v>0.01</v>
      </c>
      <c r="N3254" s="4">
        <f t="shared" si="151"/>
        <v>-3</v>
      </c>
      <c r="O3254" s="4">
        <f t="shared" si="152"/>
        <v>-0.02</v>
      </c>
      <c r="P3254" s="3" t="s">
        <v>19</v>
      </c>
    </row>
    <row r="3255" spans="1:16" x14ac:dyDescent="0.35">
      <c r="A3255" s="3" t="s">
        <v>57</v>
      </c>
      <c r="B3255" s="3" t="str">
        <f>INDEX(State_Region!$B$2:$B$26,MATCH(TRIM(A3255),State_Region!$A$2:$A$26,0))</f>
        <v>Central</v>
      </c>
      <c r="C3255" s="3" t="s">
        <v>58</v>
      </c>
      <c r="D3255" s="3" t="str">
        <f>INDEX(Port_Type!$B$2:$B$227,MATCH(TRIM(C3255),Port_Type!$A$2:$A$227,0))</f>
        <v>Inland ICD / CFS</v>
      </c>
      <c r="E3255" s="3" t="s">
        <v>65</v>
      </c>
      <c r="F3255" s="3" t="str">
        <f>INDEX(Product_Category!$B$2:$B$45,MATCH(TRIM(E3255),Product_Category!$A$2:$A$45,0))</f>
        <v>Cereals &amp; Grains</v>
      </c>
      <c r="G3255" s="4">
        <v>0</v>
      </c>
      <c r="H3255" s="4">
        <v>0</v>
      </c>
      <c r="I3255" s="4">
        <v>0</v>
      </c>
      <c r="J3255" s="4">
        <v>0</v>
      </c>
      <c r="K3255" s="4">
        <v>0.05</v>
      </c>
      <c r="L3255" s="4">
        <v>0</v>
      </c>
      <c r="M3255" s="4">
        <f t="shared" si="150"/>
        <v>0</v>
      </c>
      <c r="N3255" s="4">
        <f t="shared" si="151"/>
        <v>0.05</v>
      </c>
      <c r="O3255" s="4">
        <f t="shared" si="152"/>
        <v>0</v>
      </c>
      <c r="P3255" s="3" t="s">
        <v>19</v>
      </c>
    </row>
    <row r="3256" spans="1:16" x14ac:dyDescent="0.35">
      <c r="A3256" s="3" t="s">
        <v>40</v>
      </c>
      <c r="B3256" s="3" t="str">
        <f>INDEX(State_Region!$B$2:$B$26,MATCH(TRIM(A3256),State_Region!$A$2:$A$26,0))</f>
        <v>South</v>
      </c>
      <c r="C3256" s="3" t="s">
        <v>107</v>
      </c>
      <c r="D3256" s="3" t="str">
        <f>INDEX(Port_Type!$B$2:$B$227,MATCH(TRIM(C3256),Port_Type!$A$2:$A$227,0))</f>
        <v>Sea Port</v>
      </c>
      <c r="E3256" s="3" t="s">
        <v>110</v>
      </c>
      <c r="F3256" s="3" t="str">
        <f>INDEX(Product_Category!$B$2:$B$45,MATCH(TRIM(E3256),Product_Category!$A$2:$A$45,0))</f>
        <v>Dairy, Poultry &amp; Honey</v>
      </c>
      <c r="G3256" s="4">
        <v>0.04</v>
      </c>
      <c r="H3256" s="4">
        <v>0</v>
      </c>
      <c r="I3256" s="4">
        <v>0</v>
      </c>
      <c r="J3256" s="4">
        <v>472.32</v>
      </c>
      <c r="K3256" s="4">
        <v>0</v>
      </c>
      <c r="L3256" s="4">
        <v>0</v>
      </c>
      <c r="M3256" s="4">
        <f t="shared" si="150"/>
        <v>-0.04</v>
      </c>
      <c r="N3256" s="4">
        <f t="shared" si="151"/>
        <v>-472.32</v>
      </c>
      <c r="O3256" s="4">
        <f t="shared" si="152"/>
        <v>0</v>
      </c>
      <c r="P3256" s="3" t="s">
        <v>19</v>
      </c>
    </row>
    <row r="3257" spans="1:16" x14ac:dyDescent="0.35">
      <c r="A3257" s="3" t="s">
        <v>57</v>
      </c>
      <c r="B3257" s="3" t="str">
        <f>INDEX(State_Region!$B$2:$B$26,MATCH(TRIM(A3257),State_Region!$A$2:$A$26,0))</f>
        <v>Central</v>
      </c>
      <c r="C3257" s="3" t="s">
        <v>58</v>
      </c>
      <c r="D3257" s="3" t="str">
        <f>INDEX(Port_Type!$B$2:$B$227,MATCH(TRIM(C3257),Port_Type!$A$2:$A$227,0))</f>
        <v>Inland ICD / CFS</v>
      </c>
      <c r="E3257" s="3" t="s">
        <v>53</v>
      </c>
      <c r="F3257" s="3" t="str">
        <f>INDEX(Product_Category!$B$2:$B$45,MATCH(TRIM(E3257),Product_Category!$A$2:$A$45,0))</f>
        <v>Processed Foods</v>
      </c>
      <c r="G3257" s="4">
        <v>0</v>
      </c>
      <c r="H3257" s="4">
        <v>0</v>
      </c>
      <c r="I3257" s="4">
        <v>0</v>
      </c>
      <c r="J3257" s="4">
        <v>0</v>
      </c>
      <c r="K3257" s="4">
        <v>0.15</v>
      </c>
      <c r="L3257" s="4">
        <v>0</v>
      </c>
      <c r="M3257" s="4">
        <f t="shared" si="150"/>
        <v>0</v>
      </c>
      <c r="N3257" s="4">
        <f t="shared" si="151"/>
        <v>0.15</v>
      </c>
      <c r="O3257" s="4">
        <f t="shared" si="152"/>
        <v>0</v>
      </c>
      <c r="P3257" s="3" t="s">
        <v>19</v>
      </c>
    </row>
    <row r="3258" spans="1:16" x14ac:dyDescent="0.35">
      <c r="A3258" s="3" t="s">
        <v>40</v>
      </c>
      <c r="B3258" s="3" t="str">
        <f>INDEX(State_Region!$B$2:$B$26,MATCH(TRIM(A3258),State_Region!$A$2:$A$26,0))</f>
        <v>South</v>
      </c>
      <c r="C3258" s="3" t="s">
        <v>107</v>
      </c>
      <c r="D3258" s="3" t="str">
        <f>INDEX(Port_Type!$B$2:$B$227,MATCH(TRIM(C3258),Port_Type!$A$2:$A$227,0))</f>
        <v>Sea Port</v>
      </c>
      <c r="E3258" s="3" t="s">
        <v>76</v>
      </c>
      <c r="F3258" s="3" t="str">
        <f>INDEX(Product_Category!$B$2:$B$45,MATCH(TRIM(E3258),Product_Category!$A$2:$A$45,0))</f>
        <v>Fresh Fruits &amp; Vegetables</v>
      </c>
      <c r="G3258" s="4">
        <v>0.08</v>
      </c>
      <c r="H3258" s="4">
        <v>0</v>
      </c>
      <c r="I3258" s="4">
        <v>0</v>
      </c>
      <c r="J3258" s="4">
        <v>51.6</v>
      </c>
      <c r="K3258" s="4">
        <v>0</v>
      </c>
      <c r="L3258" s="4">
        <v>0</v>
      </c>
      <c r="M3258" s="4">
        <f t="shared" si="150"/>
        <v>-0.08</v>
      </c>
      <c r="N3258" s="4">
        <f t="shared" si="151"/>
        <v>-51.6</v>
      </c>
      <c r="O3258" s="4">
        <f t="shared" si="152"/>
        <v>0</v>
      </c>
      <c r="P3258" s="3" t="s">
        <v>19</v>
      </c>
    </row>
    <row r="3259" spans="1:16" x14ac:dyDescent="0.35">
      <c r="A3259" s="3" t="s">
        <v>40</v>
      </c>
      <c r="B3259" s="3" t="str">
        <f>INDEX(State_Region!$B$2:$B$26,MATCH(TRIM(A3259),State_Region!$A$2:$A$26,0))</f>
        <v>South</v>
      </c>
      <c r="C3259" s="3" t="s">
        <v>107</v>
      </c>
      <c r="D3259" s="3" t="str">
        <f>INDEX(Port_Type!$B$2:$B$227,MATCH(TRIM(C3259),Port_Type!$A$2:$A$227,0))</f>
        <v>Sea Port</v>
      </c>
      <c r="E3259" s="3" t="s">
        <v>55</v>
      </c>
      <c r="F3259" s="3" t="str">
        <f>INDEX(Product_Category!$B$2:$B$45,MATCH(TRIM(E3259),Product_Category!$A$2:$A$45,0))</f>
        <v>Fresh Fruits &amp; Vegetables</v>
      </c>
      <c r="G3259" s="4">
        <v>0.73</v>
      </c>
      <c r="H3259" s="4">
        <v>0</v>
      </c>
      <c r="I3259" s="4">
        <v>0</v>
      </c>
      <c r="J3259" s="4">
        <v>1133.52</v>
      </c>
      <c r="K3259" s="4">
        <v>0</v>
      </c>
      <c r="L3259" s="4">
        <v>0</v>
      </c>
      <c r="M3259" s="4">
        <f t="shared" si="150"/>
        <v>-0.73</v>
      </c>
      <c r="N3259" s="4">
        <f t="shared" si="151"/>
        <v>-1133.52</v>
      </c>
      <c r="O3259" s="4">
        <f t="shared" si="152"/>
        <v>0</v>
      </c>
      <c r="P3259" s="3" t="s">
        <v>19</v>
      </c>
    </row>
    <row r="3260" spans="1:16" x14ac:dyDescent="0.35">
      <c r="A3260" s="3" t="s">
        <v>40</v>
      </c>
      <c r="B3260" s="3" t="str">
        <f>INDEX(State_Region!$B$2:$B$26,MATCH(TRIM(A3260),State_Region!$A$2:$A$26,0))</f>
        <v>South</v>
      </c>
      <c r="C3260" s="3" t="s">
        <v>107</v>
      </c>
      <c r="D3260" s="3" t="str">
        <f>INDEX(Port_Type!$B$2:$B$227,MATCH(TRIM(C3260),Port_Type!$A$2:$A$227,0))</f>
        <v>Sea Port</v>
      </c>
      <c r="E3260" s="3" t="s">
        <v>46</v>
      </c>
      <c r="F3260" s="3" t="str">
        <f>INDEX(Product_Category!$B$2:$B$45,MATCH(TRIM(E3260),Product_Category!$A$2:$A$45,0))</f>
        <v>Others</v>
      </c>
      <c r="G3260" s="4">
        <v>0.03</v>
      </c>
      <c r="H3260" s="4">
        <v>0</v>
      </c>
      <c r="I3260" s="4">
        <v>0</v>
      </c>
      <c r="J3260" s="4">
        <v>30.11</v>
      </c>
      <c r="K3260" s="4">
        <v>0</v>
      </c>
      <c r="L3260" s="4">
        <v>0</v>
      </c>
      <c r="M3260" s="4">
        <f t="shared" si="150"/>
        <v>-0.03</v>
      </c>
      <c r="N3260" s="4">
        <f t="shared" si="151"/>
        <v>-30.11</v>
      </c>
      <c r="O3260" s="4">
        <f t="shared" si="152"/>
        <v>0</v>
      </c>
      <c r="P3260" s="3" t="s">
        <v>19</v>
      </c>
    </row>
    <row r="3261" spans="1:16" x14ac:dyDescent="0.35">
      <c r="A3261" s="3" t="s">
        <v>57</v>
      </c>
      <c r="B3261" s="3" t="str">
        <f>INDEX(State_Region!$B$2:$B$26,MATCH(TRIM(A3261),State_Region!$A$2:$A$26,0))</f>
        <v>Central</v>
      </c>
      <c r="C3261" s="3" t="s">
        <v>58</v>
      </c>
      <c r="D3261" s="3" t="str">
        <f>INDEX(Port_Type!$B$2:$B$227,MATCH(TRIM(C3261),Port_Type!$A$2:$A$227,0))</f>
        <v>Inland ICD / CFS</v>
      </c>
      <c r="E3261" s="3" t="s">
        <v>46</v>
      </c>
      <c r="F3261" s="3" t="str">
        <f>INDEX(Product_Category!$B$2:$B$45,MATCH(TRIM(E3261),Product_Category!$A$2:$A$45,0))</f>
        <v>Others</v>
      </c>
      <c r="G3261" s="4">
        <v>0</v>
      </c>
      <c r="H3261" s="4">
        <v>0.02</v>
      </c>
      <c r="I3261" s="4">
        <v>0</v>
      </c>
      <c r="J3261" s="4">
        <v>0</v>
      </c>
      <c r="K3261" s="4">
        <v>27.02</v>
      </c>
      <c r="L3261" s="4">
        <v>0</v>
      </c>
      <c r="M3261" s="4">
        <f t="shared" si="150"/>
        <v>0.02</v>
      </c>
      <c r="N3261" s="4">
        <f t="shared" si="151"/>
        <v>27.02</v>
      </c>
      <c r="O3261" s="4">
        <f t="shared" si="152"/>
        <v>-0.02</v>
      </c>
      <c r="P3261" s="3" t="s">
        <v>19</v>
      </c>
    </row>
    <row r="3262" spans="1:16" x14ac:dyDescent="0.35">
      <c r="A3262" s="3" t="s">
        <v>40</v>
      </c>
      <c r="B3262" s="3" t="str">
        <f>INDEX(State_Region!$B$2:$B$26,MATCH(TRIM(A3262),State_Region!$A$2:$A$26,0))</f>
        <v>South</v>
      </c>
      <c r="C3262" s="3" t="s">
        <v>107</v>
      </c>
      <c r="D3262" s="3" t="str">
        <f>INDEX(Port_Type!$B$2:$B$227,MATCH(TRIM(C3262),Port_Type!$A$2:$A$227,0))</f>
        <v>Sea Port</v>
      </c>
      <c r="E3262" s="3" t="s">
        <v>62</v>
      </c>
      <c r="F3262" s="3" t="str">
        <f>INDEX(Product_Category!$B$2:$B$45,MATCH(TRIM(E3262),Product_Category!$A$2:$A$45,0))</f>
        <v>Cereals &amp; Grains</v>
      </c>
      <c r="G3262" s="4">
        <v>0.7</v>
      </c>
      <c r="H3262" s="4">
        <v>0</v>
      </c>
      <c r="I3262" s="4">
        <v>0</v>
      </c>
      <c r="J3262" s="4">
        <v>2794.22</v>
      </c>
      <c r="K3262" s="4">
        <v>0</v>
      </c>
      <c r="L3262" s="4">
        <v>0</v>
      </c>
      <c r="M3262" s="4">
        <f t="shared" si="150"/>
        <v>-0.7</v>
      </c>
      <c r="N3262" s="4">
        <f t="shared" si="151"/>
        <v>-2794.22</v>
      </c>
      <c r="O3262" s="4">
        <f t="shared" si="152"/>
        <v>0</v>
      </c>
      <c r="P3262" s="3" t="s">
        <v>19</v>
      </c>
    </row>
    <row r="3263" spans="1:16" x14ac:dyDescent="0.35">
      <c r="A3263" s="3" t="s">
        <v>57</v>
      </c>
      <c r="B3263" s="3" t="str">
        <f>INDEX(State_Region!$B$2:$B$26,MATCH(TRIM(A3263),State_Region!$A$2:$A$26,0))</f>
        <v>Central</v>
      </c>
      <c r="C3263" s="3" t="s">
        <v>58</v>
      </c>
      <c r="D3263" s="3" t="str">
        <f>INDEX(Port_Type!$B$2:$B$227,MATCH(TRIM(C3263),Port_Type!$A$2:$A$227,0))</f>
        <v>Inland ICD / CFS</v>
      </c>
      <c r="E3263" s="3" t="s">
        <v>59</v>
      </c>
      <c r="F3263" s="3" t="str">
        <f>INDEX(Product_Category!$B$2:$B$45,MATCH(TRIM(E3263),Product_Category!$A$2:$A$45,0))</f>
        <v>Processed Foods</v>
      </c>
      <c r="G3263" s="4">
        <v>0</v>
      </c>
      <c r="H3263" s="4">
        <v>0</v>
      </c>
      <c r="I3263" s="4">
        <v>0</v>
      </c>
      <c r="J3263" s="4">
        <v>0</v>
      </c>
      <c r="K3263" s="4">
        <v>0.64</v>
      </c>
      <c r="L3263" s="4">
        <v>0</v>
      </c>
      <c r="M3263" s="4">
        <f t="shared" si="150"/>
        <v>0</v>
      </c>
      <c r="N3263" s="4">
        <f t="shared" si="151"/>
        <v>0.64</v>
      </c>
      <c r="O3263" s="4">
        <f t="shared" si="152"/>
        <v>0</v>
      </c>
      <c r="P3263" s="3" t="s">
        <v>19</v>
      </c>
    </row>
    <row r="3264" spans="1:16" x14ac:dyDescent="0.35">
      <c r="A3264" s="3" t="s">
        <v>57</v>
      </c>
      <c r="B3264" s="3" t="str">
        <f>INDEX(State_Region!$B$2:$B$26,MATCH(TRIM(A3264),State_Region!$A$2:$A$26,0))</f>
        <v>Central</v>
      </c>
      <c r="C3264" s="3" t="s">
        <v>58</v>
      </c>
      <c r="D3264" s="3" t="str">
        <f>INDEX(Port_Type!$B$2:$B$227,MATCH(TRIM(C3264),Port_Type!$A$2:$A$227,0))</f>
        <v>Inland ICD / CFS</v>
      </c>
      <c r="E3264" s="3" t="s">
        <v>48</v>
      </c>
      <c r="F3264" s="3" t="str">
        <f>INDEX(Product_Category!$B$2:$B$45,MATCH(TRIM(E3264),Product_Category!$A$2:$A$45,0))</f>
        <v>Processed Foods</v>
      </c>
      <c r="G3264" s="4">
        <v>0.04</v>
      </c>
      <c r="H3264" s="4">
        <v>0.14000000000000001</v>
      </c>
      <c r="I3264" s="4">
        <v>0</v>
      </c>
      <c r="J3264" s="4">
        <v>14.34</v>
      </c>
      <c r="K3264" s="4">
        <v>75.88</v>
      </c>
      <c r="L3264" s="4">
        <v>0</v>
      </c>
      <c r="M3264" s="4">
        <f t="shared" si="150"/>
        <v>0.1</v>
      </c>
      <c r="N3264" s="4">
        <f t="shared" si="151"/>
        <v>61.539999999999992</v>
      </c>
      <c r="O3264" s="4">
        <f t="shared" si="152"/>
        <v>-0.14000000000000001</v>
      </c>
      <c r="P3264" s="3" t="s">
        <v>19</v>
      </c>
    </row>
    <row r="3265" spans="1:16" x14ac:dyDescent="0.35">
      <c r="A3265" s="3" t="s">
        <v>57</v>
      </c>
      <c r="B3265" s="3" t="str">
        <f>INDEX(State_Region!$B$2:$B$26,MATCH(TRIM(A3265),State_Region!$A$2:$A$26,0))</f>
        <v>Central</v>
      </c>
      <c r="C3265" s="3" t="s">
        <v>58</v>
      </c>
      <c r="D3265" s="3" t="str">
        <f>INDEX(Port_Type!$B$2:$B$227,MATCH(TRIM(C3265),Port_Type!$A$2:$A$227,0))</f>
        <v>Inland ICD / CFS</v>
      </c>
      <c r="E3265" s="3" t="s">
        <v>60</v>
      </c>
      <c r="F3265" s="3" t="str">
        <f>INDEX(Product_Category!$B$2:$B$45,MATCH(TRIM(E3265),Product_Category!$A$2:$A$45,0))</f>
        <v>Processed Foods</v>
      </c>
      <c r="G3265" s="4">
        <v>0.9</v>
      </c>
      <c r="H3265" s="4">
        <v>0.75</v>
      </c>
      <c r="I3265" s="4">
        <v>0</v>
      </c>
      <c r="J3265" s="4">
        <v>1719.44</v>
      </c>
      <c r="K3265" s="4">
        <v>176.73</v>
      </c>
      <c r="L3265" s="4">
        <v>0</v>
      </c>
      <c r="M3265" s="4">
        <f t="shared" si="150"/>
        <v>-0.15000000000000002</v>
      </c>
      <c r="N3265" s="4">
        <f t="shared" si="151"/>
        <v>-1542.71</v>
      </c>
      <c r="O3265" s="4">
        <f t="shared" si="152"/>
        <v>-0.75</v>
      </c>
      <c r="P3265" s="3" t="s">
        <v>19</v>
      </c>
    </row>
    <row r="3266" spans="1:16" x14ac:dyDescent="0.35">
      <c r="A3266" s="3" t="s">
        <v>40</v>
      </c>
      <c r="B3266" s="3" t="str">
        <f>INDEX(State_Region!$B$2:$B$26,MATCH(TRIM(A3266),State_Region!$A$2:$A$26,0))</f>
        <v>South</v>
      </c>
      <c r="C3266" s="3" t="s">
        <v>107</v>
      </c>
      <c r="D3266" s="3" t="str">
        <f>INDEX(Port_Type!$B$2:$B$227,MATCH(TRIM(C3266),Port_Type!$A$2:$A$227,0))</f>
        <v>Sea Port</v>
      </c>
      <c r="E3266" s="3" t="s">
        <v>118</v>
      </c>
      <c r="F3266" s="3" t="str">
        <f>INDEX(Product_Category!$B$2:$B$45,MATCH(TRIM(E3266),Product_Category!$A$2:$A$45,0))</f>
        <v>Dairy, Poultry &amp; Honey</v>
      </c>
      <c r="G3266" s="4">
        <v>0.02</v>
      </c>
      <c r="H3266" s="4">
        <v>0.04</v>
      </c>
      <c r="I3266" s="4">
        <v>0</v>
      </c>
      <c r="J3266" s="4">
        <v>8.3000000000000007</v>
      </c>
      <c r="K3266" s="4">
        <v>18.54</v>
      </c>
      <c r="L3266" s="4">
        <v>0</v>
      </c>
      <c r="M3266" s="4">
        <f t="shared" ref="M3266:M3289" si="153">H3266-G3266</f>
        <v>0.02</v>
      </c>
      <c r="N3266" s="4">
        <f t="shared" ref="N3266:N3289" si="154">K3266-J3266</f>
        <v>10.239999999999998</v>
      </c>
      <c r="O3266" s="4">
        <f t="shared" ref="O3266:O3289" si="155">I3266-H3266</f>
        <v>-0.04</v>
      </c>
      <c r="P3266" s="3" t="s">
        <v>19</v>
      </c>
    </row>
    <row r="3267" spans="1:16" x14ac:dyDescent="0.35">
      <c r="A3267" s="3" t="s">
        <v>57</v>
      </c>
      <c r="B3267" s="3" t="str">
        <f>INDEX(State_Region!$B$2:$B$26,MATCH(TRIM(A3267),State_Region!$A$2:$A$26,0))</f>
        <v>Central</v>
      </c>
      <c r="C3267" s="3" t="s">
        <v>162</v>
      </c>
      <c r="D3267" s="3" t="str">
        <f>INDEX(Port_Type!$B$2:$B$227,MATCH(TRIM(C3267),Port_Type!$A$2:$A$227,0))</f>
        <v>Inland ICD / CFS</v>
      </c>
      <c r="E3267" s="3" t="s">
        <v>62</v>
      </c>
      <c r="F3267" s="3" t="str">
        <f>INDEX(Product_Category!$B$2:$B$45,MATCH(TRIM(E3267),Product_Category!$A$2:$A$45,0))</f>
        <v>Cereals &amp; Grains</v>
      </c>
      <c r="G3267" s="4">
        <v>0.02</v>
      </c>
      <c r="H3267" s="4">
        <v>0</v>
      </c>
      <c r="I3267" s="4">
        <v>0</v>
      </c>
      <c r="J3267" s="4">
        <v>41.77</v>
      </c>
      <c r="K3267" s="4">
        <v>0</v>
      </c>
      <c r="L3267" s="4">
        <v>0</v>
      </c>
      <c r="M3267" s="4">
        <f t="shared" si="153"/>
        <v>-0.02</v>
      </c>
      <c r="N3267" s="4">
        <f t="shared" si="154"/>
        <v>-41.77</v>
      </c>
      <c r="O3267" s="4">
        <f t="shared" si="155"/>
        <v>0</v>
      </c>
      <c r="P3267" s="3" t="s">
        <v>19</v>
      </c>
    </row>
    <row r="3268" spans="1:16" x14ac:dyDescent="0.35">
      <c r="A3268" s="3" t="s">
        <v>77</v>
      </c>
      <c r="B3268" s="3" t="str">
        <f>INDEX(State_Region!$B$2:$B$26,MATCH(TRIM(A3268),State_Region!$A$2:$A$26,0))</f>
        <v>South</v>
      </c>
      <c r="C3268" s="3" t="s">
        <v>308</v>
      </c>
      <c r="D3268" s="3" t="str">
        <f>INDEX(Port_Type!$B$2:$B$227,MATCH(TRIM(C3268),Port_Type!$A$2:$A$227,0))</f>
        <v>Sea Port</v>
      </c>
      <c r="E3268" s="3" t="s">
        <v>39</v>
      </c>
      <c r="F3268" s="3" t="str">
        <f>INDEX(Product_Category!$B$2:$B$45,MATCH(TRIM(E3268),Product_Category!$A$2:$A$45,0))</f>
        <v>Processed Foods</v>
      </c>
      <c r="G3268" s="4">
        <v>0</v>
      </c>
      <c r="H3268" s="4">
        <v>0</v>
      </c>
      <c r="I3268" s="4">
        <v>0</v>
      </c>
      <c r="J3268" s="4">
        <v>0</v>
      </c>
      <c r="K3268" s="4">
        <v>0.44</v>
      </c>
      <c r="L3268" s="4">
        <v>0</v>
      </c>
      <c r="M3268" s="4">
        <f t="shared" si="153"/>
        <v>0</v>
      </c>
      <c r="N3268" s="4">
        <f t="shared" si="154"/>
        <v>0.44</v>
      </c>
      <c r="O3268" s="4">
        <f t="shared" si="155"/>
        <v>0</v>
      </c>
      <c r="P3268" s="3" t="s">
        <v>19</v>
      </c>
    </row>
    <row r="3269" spans="1:16" x14ac:dyDescent="0.35">
      <c r="A3269" s="3" t="s">
        <v>77</v>
      </c>
      <c r="B3269" s="3" t="str">
        <f>INDEX(State_Region!$B$2:$B$26,MATCH(TRIM(A3269),State_Region!$A$2:$A$26,0))</f>
        <v>South</v>
      </c>
      <c r="C3269" s="3" t="s">
        <v>168</v>
      </c>
      <c r="D3269" s="3" t="str">
        <f>INDEX(Port_Type!$B$2:$B$227,MATCH(TRIM(C3269),Port_Type!$A$2:$A$227,0))</f>
        <v>Air Cargo</v>
      </c>
      <c r="E3269" s="3" t="s">
        <v>128</v>
      </c>
      <c r="F3269" s="3" t="str">
        <f>INDEX(Product_Category!$B$2:$B$45,MATCH(TRIM(E3269),Product_Category!$A$2:$A$45,0))</f>
        <v>Dairy, Poultry &amp; Honey</v>
      </c>
      <c r="G3269" s="4">
        <v>0</v>
      </c>
      <c r="H3269" s="4">
        <v>0</v>
      </c>
      <c r="I3269" s="4">
        <v>0</v>
      </c>
      <c r="J3269" s="4">
        <v>0.18</v>
      </c>
      <c r="K3269" s="4">
        <v>0</v>
      </c>
      <c r="L3269" s="4">
        <v>0</v>
      </c>
      <c r="M3269" s="4">
        <f t="shared" si="153"/>
        <v>0</v>
      </c>
      <c r="N3269" s="4">
        <f t="shared" si="154"/>
        <v>-0.18</v>
      </c>
      <c r="O3269" s="4">
        <f t="shared" si="155"/>
        <v>0</v>
      </c>
      <c r="P3269" s="3" t="s">
        <v>19</v>
      </c>
    </row>
    <row r="3270" spans="1:16" x14ac:dyDescent="0.35">
      <c r="A3270" s="3" t="s">
        <v>77</v>
      </c>
      <c r="B3270" s="3" t="str">
        <f>INDEX(State_Region!$B$2:$B$26,MATCH(TRIM(A3270),State_Region!$A$2:$A$26,0))</f>
        <v>South</v>
      </c>
      <c r="C3270" s="3" t="s">
        <v>168</v>
      </c>
      <c r="D3270" s="3" t="str">
        <f>INDEX(Port_Type!$B$2:$B$227,MATCH(TRIM(C3270),Port_Type!$A$2:$A$227,0))</f>
        <v>Air Cargo</v>
      </c>
      <c r="E3270" s="3" t="s">
        <v>170</v>
      </c>
      <c r="F3270" s="3" t="str">
        <f>INDEX(Product_Category!$B$2:$B$45,MATCH(TRIM(E3270),Product_Category!$A$2:$A$45,0))</f>
        <v>Others</v>
      </c>
      <c r="G3270" s="4">
        <v>0</v>
      </c>
      <c r="H3270" s="4">
        <v>0</v>
      </c>
      <c r="I3270" s="4">
        <v>0</v>
      </c>
      <c r="J3270" s="4">
        <v>0.13</v>
      </c>
      <c r="K3270" s="4">
        <v>0.95</v>
      </c>
      <c r="L3270" s="4">
        <v>0.01</v>
      </c>
      <c r="M3270" s="4">
        <f t="shared" si="153"/>
        <v>0</v>
      </c>
      <c r="N3270" s="4">
        <f t="shared" si="154"/>
        <v>0.82</v>
      </c>
      <c r="O3270" s="4">
        <f t="shared" si="155"/>
        <v>0</v>
      </c>
      <c r="P3270" s="3" t="s">
        <v>19</v>
      </c>
    </row>
    <row r="3271" spans="1:16" x14ac:dyDescent="0.35">
      <c r="A3271" s="3" t="s">
        <v>40</v>
      </c>
      <c r="B3271" s="3" t="str">
        <f>INDEX(State_Region!$B$2:$B$26,MATCH(TRIM(A3271),State_Region!$A$2:$A$26,0))</f>
        <v>South</v>
      </c>
      <c r="C3271" s="3" t="s">
        <v>107</v>
      </c>
      <c r="D3271" s="3" t="str">
        <f>INDEX(Port_Type!$B$2:$B$227,MATCH(TRIM(C3271),Port_Type!$A$2:$A$227,0))</f>
        <v>Sea Port</v>
      </c>
      <c r="E3271" s="3" t="s">
        <v>181</v>
      </c>
      <c r="F3271" s="3" t="str">
        <f>INDEX(Product_Category!$B$2:$B$45,MATCH(TRIM(E3271),Product_Category!$A$2:$A$45,0))</f>
        <v>Nuts &amp; Oilseeds</v>
      </c>
      <c r="G3271" s="4">
        <v>0.01</v>
      </c>
      <c r="H3271" s="4">
        <v>0</v>
      </c>
      <c r="I3271" s="4">
        <v>0</v>
      </c>
      <c r="J3271" s="4">
        <v>0.76</v>
      </c>
      <c r="K3271" s="4">
        <v>0</v>
      </c>
      <c r="L3271" s="4">
        <v>0</v>
      </c>
      <c r="M3271" s="4">
        <f t="shared" si="153"/>
        <v>-0.01</v>
      </c>
      <c r="N3271" s="4">
        <f t="shared" si="154"/>
        <v>-0.76</v>
      </c>
      <c r="O3271" s="4">
        <f t="shared" si="155"/>
        <v>0</v>
      </c>
      <c r="P3271" s="3" t="s">
        <v>19</v>
      </c>
    </row>
    <row r="3272" spans="1:16" x14ac:dyDescent="0.35">
      <c r="A3272" s="3" t="s">
        <v>40</v>
      </c>
      <c r="B3272" s="3" t="str">
        <f>INDEX(State_Region!$B$2:$B$26,MATCH(TRIM(A3272),State_Region!$A$2:$A$26,0))</f>
        <v>South</v>
      </c>
      <c r="C3272" s="3" t="s">
        <v>309</v>
      </c>
      <c r="D3272" s="3" t="str">
        <f>INDEX(Port_Type!$B$2:$B$227,MATCH(TRIM(C3272),Port_Type!$A$2:$A$227,0))</f>
        <v>SEZ / EPZ</v>
      </c>
      <c r="E3272" s="3" t="s">
        <v>39</v>
      </c>
      <c r="F3272" s="3" t="str">
        <f>INDEX(Product_Category!$B$2:$B$45,MATCH(TRIM(E3272),Product_Category!$A$2:$A$45,0))</f>
        <v>Processed Foods</v>
      </c>
      <c r="G3272" s="4">
        <v>0</v>
      </c>
      <c r="H3272" s="4">
        <v>0</v>
      </c>
      <c r="I3272" s="4">
        <v>0</v>
      </c>
      <c r="J3272" s="4">
        <v>0.01</v>
      </c>
      <c r="K3272" s="4">
        <v>0</v>
      </c>
      <c r="L3272" s="4">
        <v>0</v>
      </c>
      <c r="M3272" s="4">
        <f t="shared" si="153"/>
        <v>0</v>
      </c>
      <c r="N3272" s="4">
        <f t="shared" si="154"/>
        <v>-0.01</v>
      </c>
      <c r="O3272" s="4">
        <f t="shared" si="155"/>
        <v>0</v>
      </c>
      <c r="P3272" s="3" t="s">
        <v>19</v>
      </c>
    </row>
    <row r="3273" spans="1:16" x14ac:dyDescent="0.35">
      <c r="A3273" s="3" t="s">
        <v>40</v>
      </c>
      <c r="B3273" s="3" t="str">
        <f>INDEX(State_Region!$B$2:$B$26,MATCH(TRIM(A3273),State_Region!$A$2:$A$26,0))</f>
        <v>South</v>
      </c>
      <c r="C3273" s="3" t="s">
        <v>310</v>
      </c>
      <c r="D3273" s="3" t="str">
        <f>INDEX(Port_Type!$B$2:$B$227,MATCH(TRIM(C3273),Port_Type!$A$2:$A$227,0))</f>
        <v>SEZ / EPZ</v>
      </c>
      <c r="E3273" s="3" t="s">
        <v>48</v>
      </c>
      <c r="F3273" s="3" t="str">
        <f>INDEX(Product_Category!$B$2:$B$45,MATCH(TRIM(E3273),Product_Category!$A$2:$A$45,0))</f>
        <v>Processed Foods</v>
      </c>
      <c r="G3273" s="4">
        <v>0</v>
      </c>
      <c r="H3273" s="4">
        <v>0.15</v>
      </c>
      <c r="I3273" s="4">
        <v>0</v>
      </c>
      <c r="J3273" s="4">
        <v>0</v>
      </c>
      <c r="K3273" s="4">
        <v>34.340000000000003</v>
      </c>
      <c r="L3273" s="4">
        <v>0</v>
      </c>
      <c r="M3273" s="4">
        <f t="shared" si="153"/>
        <v>0.15</v>
      </c>
      <c r="N3273" s="4">
        <f t="shared" si="154"/>
        <v>34.340000000000003</v>
      </c>
      <c r="O3273" s="4">
        <f t="shared" si="155"/>
        <v>-0.15</v>
      </c>
      <c r="P3273" s="3" t="s">
        <v>19</v>
      </c>
    </row>
    <row r="3274" spans="1:16" x14ac:dyDescent="0.35">
      <c r="A3274" s="3" t="s">
        <v>40</v>
      </c>
      <c r="B3274" s="3" t="str">
        <f>INDEX(State_Region!$B$2:$B$26,MATCH(TRIM(A3274),State_Region!$A$2:$A$26,0))</f>
        <v>South</v>
      </c>
      <c r="C3274" s="3" t="s">
        <v>205</v>
      </c>
      <c r="D3274" s="3" t="str">
        <f>INDEX(Port_Type!$B$2:$B$227,MATCH(TRIM(C3274),Port_Type!$A$2:$A$227,0))</f>
        <v>Inland ICD / CFS</v>
      </c>
      <c r="E3274" s="3" t="s">
        <v>76</v>
      </c>
      <c r="F3274" s="3" t="str">
        <f>INDEX(Product_Category!$B$2:$B$45,MATCH(TRIM(E3274),Product_Category!$A$2:$A$45,0))</f>
        <v>Fresh Fruits &amp; Vegetables</v>
      </c>
      <c r="G3274" s="4">
        <v>0.01</v>
      </c>
      <c r="H3274" s="4">
        <v>0</v>
      </c>
      <c r="I3274" s="4">
        <v>0</v>
      </c>
      <c r="J3274" s="4">
        <v>16.77</v>
      </c>
      <c r="K3274" s="4">
        <v>11.24</v>
      </c>
      <c r="L3274" s="4">
        <v>0</v>
      </c>
      <c r="M3274" s="4">
        <f t="shared" si="153"/>
        <v>-0.01</v>
      </c>
      <c r="N3274" s="4">
        <f t="shared" si="154"/>
        <v>-5.5299999999999994</v>
      </c>
      <c r="O3274" s="4">
        <f t="shared" si="155"/>
        <v>0</v>
      </c>
      <c r="P3274" s="3" t="s">
        <v>19</v>
      </c>
    </row>
    <row r="3275" spans="1:16" x14ac:dyDescent="0.35">
      <c r="A3275" s="3" t="s">
        <v>40</v>
      </c>
      <c r="B3275" s="3" t="str">
        <f>INDEX(State_Region!$B$2:$B$26,MATCH(TRIM(A3275),State_Region!$A$2:$A$26,0))</f>
        <v>South</v>
      </c>
      <c r="C3275" s="3" t="s">
        <v>205</v>
      </c>
      <c r="D3275" s="3" t="str">
        <f>INDEX(Port_Type!$B$2:$B$227,MATCH(TRIM(C3275),Port_Type!$A$2:$A$227,0))</f>
        <v>Inland ICD / CFS</v>
      </c>
      <c r="E3275" s="3" t="s">
        <v>39</v>
      </c>
      <c r="F3275" s="3" t="str">
        <f>INDEX(Product_Category!$B$2:$B$45,MATCH(TRIM(E3275),Product_Category!$A$2:$A$45,0))</f>
        <v>Processed Foods</v>
      </c>
      <c r="G3275" s="4">
        <v>0</v>
      </c>
      <c r="H3275" s="4">
        <v>0.01</v>
      </c>
      <c r="I3275" s="4">
        <v>0</v>
      </c>
      <c r="J3275" s="4">
        <v>0</v>
      </c>
      <c r="K3275" s="4">
        <v>17</v>
      </c>
      <c r="L3275" s="4">
        <v>0</v>
      </c>
      <c r="M3275" s="4">
        <f t="shared" si="153"/>
        <v>0.01</v>
      </c>
      <c r="N3275" s="4">
        <f t="shared" si="154"/>
        <v>17</v>
      </c>
      <c r="O3275" s="4">
        <f t="shared" si="155"/>
        <v>-0.01</v>
      </c>
      <c r="P3275" s="3" t="s">
        <v>19</v>
      </c>
    </row>
    <row r="3276" spans="1:16" x14ac:dyDescent="0.35">
      <c r="A3276" s="3" t="s">
        <v>40</v>
      </c>
      <c r="B3276" s="3" t="str">
        <f>INDEX(State_Region!$B$2:$B$26,MATCH(TRIM(A3276),State_Region!$A$2:$A$26,0))</f>
        <v>South</v>
      </c>
      <c r="C3276" s="3" t="s">
        <v>311</v>
      </c>
      <c r="D3276" s="3" t="str">
        <f>INDEX(Port_Type!$B$2:$B$227,MATCH(TRIM(C3276),Port_Type!$A$2:$A$227,0))</f>
        <v>Inland ICD / CFS</v>
      </c>
      <c r="E3276" s="3" t="s">
        <v>48</v>
      </c>
      <c r="F3276" s="3" t="str">
        <f>INDEX(Product_Category!$B$2:$B$45,MATCH(TRIM(E3276),Product_Category!$A$2:$A$45,0))</f>
        <v>Processed Foods</v>
      </c>
      <c r="G3276" s="4">
        <v>0.03</v>
      </c>
      <c r="H3276" s="4">
        <v>0</v>
      </c>
      <c r="I3276" s="4">
        <v>0</v>
      </c>
      <c r="J3276" s="4">
        <v>14.96</v>
      </c>
      <c r="K3276" s="4">
        <v>2.25</v>
      </c>
      <c r="L3276" s="4">
        <v>0</v>
      </c>
      <c r="M3276" s="4">
        <f t="shared" si="153"/>
        <v>-0.03</v>
      </c>
      <c r="N3276" s="4">
        <f t="shared" si="154"/>
        <v>-12.71</v>
      </c>
      <c r="O3276" s="4">
        <f t="shared" si="155"/>
        <v>0</v>
      </c>
      <c r="P3276" s="3" t="s">
        <v>19</v>
      </c>
    </row>
    <row r="3277" spans="1:16" x14ac:dyDescent="0.35">
      <c r="A3277" s="3" t="s">
        <v>40</v>
      </c>
      <c r="B3277" s="3" t="str">
        <f>INDEX(State_Region!$B$2:$B$26,MATCH(TRIM(A3277),State_Region!$A$2:$A$26,0))</f>
        <v>South</v>
      </c>
      <c r="C3277" s="3" t="s">
        <v>311</v>
      </c>
      <c r="D3277" s="3" t="str">
        <f>INDEX(Port_Type!$B$2:$B$227,MATCH(TRIM(C3277),Port_Type!$A$2:$A$227,0))</f>
        <v>Inland ICD / CFS</v>
      </c>
      <c r="E3277" s="3" t="s">
        <v>122</v>
      </c>
      <c r="F3277" s="3" t="str">
        <f>INDEX(Product_Category!$B$2:$B$45,MATCH(TRIM(E3277),Product_Category!$A$2:$A$45,0))</f>
        <v>Others</v>
      </c>
      <c r="G3277" s="4">
        <v>0.03</v>
      </c>
      <c r="H3277" s="4">
        <v>0</v>
      </c>
      <c r="I3277" s="4">
        <v>0</v>
      </c>
      <c r="J3277" s="4">
        <v>2.33</v>
      </c>
      <c r="K3277" s="4">
        <v>0</v>
      </c>
      <c r="L3277" s="4">
        <v>0</v>
      </c>
      <c r="M3277" s="4">
        <f t="shared" si="153"/>
        <v>-0.03</v>
      </c>
      <c r="N3277" s="4">
        <f t="shared" si="154"/>
        <v>-2.33</v>
      </c>
      <c r="O3277" s="4">
        <f t="shared" si="155"/>
        <v>0</v>
      </c>
      <c r="P3277" s="3" t="s">
        <v>19</v>
      </c>
    </row>
    <row r="3278" spans="1:16" x14ac:dyDescent="0.35">
      <c r="A3278" s="3" t="s">
        <v>40</v>
      </c>
      <c r="B3278" s="3" t="str">
        <f>INDEX(State_Region!$B$2:$B$26,MATCH(TRIM(A3278),State_Region!$A$2:$A$26,0))</f>
        <v>South</v>
      </c>
      <c r="C3278" s="3" t="s">
        <v>311</v>
      </c>
      <c r="D3278" s="3" t="str">
        <f>INDEX(Port_Type!$B$2:$B$227,MATCH(TRIM(C3278),Port_Type!$A$2:$A$227,0))</f>
        <v>Inland ICD / CFS</v>
      </c>
      <c r="E3278" s="3" t="s">
        <v>53</v>
      </c>
      <c r="F3278" s="3" t="str">
        <f>INDEX(Product_Category!$B$2:$B$45,MATCH(TRIM(E3278),Product_Category!$A$2:$A$45,0))</f>
        <v>Processed Foods</v>
      </c>
      <c r="G3278" s="4">
        <v>0</v>
      </c>
      <c r="H3278" s="4">
        <v>0.01</v>
      </c>
      <c r="I3278" s="4">
        <v>0</v>
      </c>
      <c r="J3278" s="4">
        <v>0</v>
      </c>
      <c r="K3278" s="4">
        <v>5.28</v>
      </c>
      <c r="L3278" s="4">
        <v>0</v>
      </c>
      <c r="M3278" s="4">
        <f t="shared" si="153"/>
        <v>0.01</v>
      </c>
      <c r="N3278" s="4">
        <f t="shared" si="154"/>
        <v>5.28</v>
      </c>
      <c r="O3278" s="4">
        <f t="shared" si="155"/>
        <v>-0.01</v>
      </c>
      <c r="P3278" s="3" t="s">
        <v>19</v>
      </c>
    </row>
    <row r="3279" spans="1:16" x14ac:dyDescent="0.35">
      <c r="A3279" s="3" t="s">
        <v>40</v>
      </c>
      <c r="B3279" s="3" t="str">
        <f>INDEX(State_Region!$B$2:$B$26,MATCH(TRIM(A3279),State_Region!$A$2:$A$26,0))</f>
        <v>South</v>
      </c>
      <c r="C3279" s="3" t="s">
        <v>311</v>
      </c>
      <c r="D3279" s="3" t="str">
        <f>INDEX(Port_Type!$B$2:$B$227,MATCH(TRIM(C3279),Port_Type!$A$2:$A$227,0))</f>
        <v>Inland ICD / CFS</v>
      </c>
      <c r="E3279" s="3" t="s">
        <v>65</v>
      </c>
      <c r="F3279" s="3" t="str">
        <f>INDEX(Product_Category!$B$2:$B$45,MATCH(TRIM(E3279),Product_Category!$A$2:$A$45,0))</f>
        <v>Cereals &amp; Grains</v>
      </c>
      <c r="G3279" s="4">
        <v>0.01</v>
      </c>
      <c r="H3279" s="4">
        <v>0</v>
      </c>
      <c r="I3279" s="4">
        <v>0</v>
      </c>
      <c r="J3279" s="4">
        <v>10.97</v>
      </c>
      <c r="K3279" s="4">
        <v>2.06</v>
      </c>
      <c r="L3279" s="4">
        <v>0</v>
      </c>
      <c r="M3279" s="4">
        <f t="shared" si="153"/>
        <v>-0.01</v>
      </c>
      <c r="N3279" s="4">
        <f t="shared" si="154"/>
        <v>-8.91</v>
      </c>
      <c r="O3279" s="4">
        <f t="shared" si="155"/>
        <v>0</v>
      </c>
      <c r="P3279" s="3" t="s">
        <v>19</v>
      </c>
    </row>
    <row r="3280" spans="1:16" x14ac:dyDescent="0.35">
      <c r="A3280" s="3" t="s">
        <v>40</v>
      </c>
      <c r="B3280" s="3" t="str">
        <f>INDEX(State_Region!$B$2:$B$26,MATCH(TRIM(A3280),State_Region!$A$2:$A$26,0))</f>
        <v>South</v>
      </c>
      <c r="C3280" s="3" t="s">
        <v>311</v>
      </c>
      <c r="D3280" s="3" t="str">
        <f>INDEX(Port_Type!$B$2:$B$227,MATCH(TRIM(C3280),Port_Type!$A$2:$A$227,0))</f>
        <v>Inland ICD / CFS</v>
      </c>
      <c r="E3280" s="3" t="s">
        <v>39</v>
      </c>
      <c r="F3280" s="3" t="str">
        <f>INDEX(Product_Category!$B$2:$B$45,MATCH(TRIM(E3280),Product_Category!$A$2:$A$45,0))</f>
        <v>Processed Foods</v>
      </c>
      <c r="G3280" s="4">
        <v>0</v>
      </c>
      <c r="H3280" s="4">
        <v>0</v>
      </c>
      <c r="I3280" s="4">
        <v>0</v>
      </c>
      <c r="J3280" s="4">
        <v>0</v>
      </c>
      <c r="K3280" s="4">
        <v>0.38</v>
      </c>
      <c r="L3280" s="4">
        <v>0</v>
      </c>
      <c r="M3280" s="4">
        <f t="shared" si="153"/>
        <v>0</v>
      </c>
      <c r="N3280" s="4">
        <f t="shared" si="154"/>
        <v>0.38</v>
      </c>
      <c r="O3280" s="4">
        <f t="shared" si="155"/>
        <v>0</v>
      </c>
      <c r="P3280" s="3" t="s">
        <v>19</v>
      </c>
    </row>
    <row r="3281" spans="1:16" x14ac:dyDescent="0.35">
      <c r="A3281" s="3" t="s">
        <v>40</v>
      </c>
      <c r="B3281" s="3" t="str">
        <f>INDEX(State_Region!$B$2:$B$26,MATCH(TRIM(A3281),State_Region!$A$2:$A$26,0))</f>
        <v>South</v>
      </c>
      <c r="C3281" s="3" t="s">
        <v>311</v>
      </c>
      <c r="D3281" s="3" t="str">
        <f>INDEX(Port_Type!$B$2:$B$227,MATCH(TRIM(C3281),Port_Type!$A$2:$A$227,0))</f>
        <v>Inland ICD / CFS</v>
      </c>
      <c r="E3281" s="3" t="s">
        <v>27</v>
      </c>
      <c r="F3281" s="3" t="str">
        <f>INDEX(Product_Category!$B$2:$B$45,MATCH(TRIM(E3281),Product_Category!$A$2:$A$45,0))</f>
        <v>Cereals &amp; Grains</v>
      </c>
      <c r="G3281" s="4">
        <v>0.22</v>
      </c>
      <c r="H3281" s="4">
        <v>0.09</v>
      </c>
      <c r="I3281" s="4">
        <v>0</v>
      </c>
      <c r="J3281" s="4">
        <v>255.47</v>
      </c>
      <c r="K3281" s="4">
        <v>123</v>
      </c>
      <c r="L3281" s="4">
        <v>0</v>
      </c>
      <c r="M3281" s="4">
        <f t="shared" si="153"/>
        <v>-0.13</v>
      </c>
      <c r="N3281" s="4">
        <f t="shared" si="154"/>
        <v>-132.47</v>
      </c>
      <c r="O3281" s="4">
        <f t="shared" si="155"/>
        <v>-0.09</v>
      </c>
      <c r="P3281" s="3" t="s">
        <v>19</v>
      </c>
    </row>
    <row r="3282" spans="1:16" x14ac:dyDescent="0.35">
      <c r="A3282" s="3" t="s">
        <v>40</v>
      </c>
      <c r="B3282" s="3" t="str">
        <f>INDEX(State_Region!$B$2:$B$26,MATCH(TRIM(A3282),State_Region!$A$2:$A$26,0))</f>
        <v>South</v>
      </c>
      <c r="C3282" s="3" t="s">
        <v>311</v>
      </c>
      <c r="D3282" s="3" t="str">
        <f>INDEX(Port_Type!$B$2:$B$227,MATCH(TRIM(C3282),Port_Type!$A$2:$A$227,0))</f>
        <v>Inland ICD / CFS</v>
      </c>
      <c r="E3282" s="3" t="s">
        <v>170</v>
      </c>
      <c r="F3282" s="3" t="str">
        <f>INDEX(Product_Category!$B$2:$B$45,MATCH(TRIM(E3282),Product_Category!$A$2:$A$45,0))</f>
        <v>Others</v>
      </c>
      <c r="G3282" s="4">
        <v>0</v>
      </c>
      <c r="H3282" s="4">
        <v>0</v>
      </c>
      <c r="I3282" s="4">
        <v>0</v>
      </c>
      <c r="J3282" s="4">
        <v>0</v>
      </c>
      <c r="K3282" s="4">
        <v>0.2</v>
      </c>
      <c r="L3282" s="4">
        <v>0</v>
      </c>
      <c r="M3282" s="4">
        <f t="shared" si="153"/>
        <v>0</v>
      </c>
      <c r="N3282" s="4">
        <f t="shared" si="154"/>
        <v>0.2</v>
      </c>
      <c r="O3282" s="4">
        <f t="shared" si="155"/>
        <v>0</v>
      </c>
      <c r="P3282" s="3" t="s">
        <v>19</v>
      </c>
    </row>
    <row r="3283" spans="1:16" x14ac:dyDescent="0.35">
      <c r="A3283" s="3" t="s">
        <v>40</v>
      </c>
      <c r="B3283" s="3" t="str">
        <f>INDEX(State_Region!$B$2:$B$26,MATCH(TRIM(A3283),State_Region!$A$2:$A$26,0))</f>
        <v>South</v>
      </c>
      <c r="C3283" s="3" t="s">
        <v>311</v>
      </c>
      <c r="D3283" s="3" t="str">
        <f>INDEX(Port_Type!$B$2:$B$227,MATCH(TRIM(C3283),Port_Type!$A$2:$A$227,0))</f>
        <v>Inland ICD / CFS</v>
      </c>
      <c r="E3283" s="3" t="s">
        <v>33</v>
      </c>
      <c r="F3283" s="3" t="str">
        <f>INDEX(Product_Category!$B$2:$B$45,MATCH(TRIM(E3283),Product_Category!$A$2:$A$45,0))</f>
        <v>Pulses</v>
      </c>
      <c r="G3283" s="4">
        <v>0.03</v>
      </c>
      <c r="H3283" s="4">
        <v>0</v>
      </c>
      <c r="I3283" s="4">
        <v>0</v>
      </c>
      <c r="J3283" s="4">
        <v>20</v>
      </c>
      <c r="K3283" s="4">
        <v>0.93</v>
      </c>
      <c r="L3283" s="4">
        <v>0</v>
      </c>
      <c r="M3283" s="4">
        <f t="shared" si="153"/>
        <v>-0.03</v>
      </c>
      <c r="N3283" s="4">
        <f t="shared" si="154"/>
        <v>-19.07</v>
      </c>
      <c r="O3283" s="4">
        <f t="shared" si="155"/>
        <v>0</v>
      </c>
      <c r="P3283" s="3" t="s">
        <v>19</v>
      </c>
    </row>
    <row r="3284" spans="1:16" x14ac:dyDescent="0.35">
      <c r="A3284" s="3" t="s">
        <v>40</v>
      </c>
      <c r="B3284" s="3" t="str">
        <f>INDEX(State_Region!$B$2:$B$26,MATCH(TRIM(A3284),State_Region!$A$2:$A$26,0))</f>
        <v>South</v>
      </c>
      <c r="C3284" s="3" t="s">
        <v>229</v>
      </c>
      <c r="D3284" s="3" t="str">
        <f>INDEX(Port_Type!$B$2:$B$227,MATCH(TRIM(C3284),Port_Type!$A$2:$A$227,0))</f>
        <v>Inland ICD / CFS</v>
      </c>
      <c r="E3284" s="3" t="s">
        <v>60</v>
      </c>
      <c r="F3284" s="3" t="str">
        <f>INDEX(Product_Category!$B$2:$B$45,MATCH(TRIM(E3284),Product_Category!$A$2:$A$45,0))</f>
        <v>Processed Foods</v>
      </c>
      <c r="G3284" s="4">
        <v>0.24</v>
      </c>
      <c r="H3284" s="4">
        <v>0</v>
      </c>
      <c r="I3284" s="4">
        <v>0</v>
      </c>
      <c r="J3284" s="4">
        <v>6.2</v>
      </c>
      <c r="K3284" s="4">
        <v>0</v>
      </c>
      <c r="L3284" s="4">
        <v>0</v>
      </c>
      <c r="M3284" s="4">
        <f t="shared" si="153"/>
        <v>-0.24</v>
      </c>
      <c r="N3284" s="4">
        <f t="shared" si="154"/>
        <v>-6.2</v>
      </c>
      <c r="O3284" s="4">
        <f t="shared" si="155"/>
        <v>0</v>
      </c>
      <c r="P3284" s="3" t="s">
        <v>19</v>
      </c>
    </row>
    <row r="3285" spans="1:16" x14ac:dyDescent="0.35">
      <c r="A3285" s="3" t="s">
        <v>77</v>
      </c>
      <c r="B3285" s="3" t="str">
        <f>INDEX(State_Region!$B$2:$B$26,MATCH(TRIM(A3285),State_Region!$A$2:$A$26,0))</f>
        <v>South</v>
      </c>
      <c r="C3285" s="3" t="s">
        <v>168</v>
      </c>
      <c r="D3285" s="3" t="str">
        <f>INDEX(Port_Type!$B$2:$B$227,MATCH(TRIM(C3285),Port_Type!$A$2:$A$227,0))</f>
        <v>Air Cargo</v>
      </c>
      <c r="E3285" s="3" t="s">
        <v>46</v>
      </c>
      <c r="F3285" s="3" t="str">
        <f>INDEX(Product_Category!$B$2:$B$45,MATCH(TRIM(E3285),Product_Category!$A$2:$A$45,0))</f>
        <v>Others</v>
      </c>
      <c r="G3285" s="4">
        <v>0</v>
      </c>
      <c r="H3285" s="4">
        <v>0</v>
      </c>
      <c r="I3285" s="4">
        <v>0</v>
      </c>
      <c r="J3285" s="4">
        <v>0.03</v>
      </c>
      <c r="K3285" s="4">
        <v>0.03</v>
      </c>
      <c r="L3285" s="4">
        <v>0</v>
      </c>
      <c r="M3285" s="4">
        <f t="shared" si="153"/>
        <v>0</v>
      </c>
      <c r="N3285" s="4">
        <f t="shared" si="154"/>
        <v>0</v>
      </c>
      <c r="O3285" s="4">
        <f t="shared" si="155"/>
        <v>0</v>
      </c>
      <c r="P3285" s="3" t="s">
        <v>19</v>
      </c>
    </row>
    <row r="3286" spans="1:16" x14ac:dyDescent="0.35">
      <c r="A3286" s="3" t="s">
        <v>40</v>
      </c>
      <c r="B3286" s="3" t="str">
        <f>INDEX(State_Region!$B$2:$B$26,MATCH(TRIM(A3286),State_Region!$A$2:$A$26,0))</f>
        <v>South</v>
      </c>
      <c r="C3286" s="3" t="s">
        <v>229</v>
      </c>
      <c r="D3286" s="3" t="str">
        <f>INDEX(Port_Type!$B$2:$B$227,MATCH(TRIM(C3286),Port_Type!$A$2:$A$227,0))</f>
        <v>Inland ICD / CFS</v>
      </c>
      <c r="E3286" s="3" t="s">
        <v>122</v>
      </c>
      <c r="F3286" s="3" t="str">
        <f>INDEX(Product_Category!$B$2:$B$45,MATCH(TRIM(E3286),Product_Category!$A$2:$A$45,0))</f>
        <v>Others</v>
      </c>
      <c r="G3286" s="4">
        <v>0.03</v>
      </c>
      <c r="H3286" s="4">
        <v>0</v>
      </c>
      <c r="I3286" s="4">
        <v>0</v>
      </c>
      <c r="J3286" s="4">
        <v>31.46</v>
      </c>
      <c r="K3286" s="4">
        <v>0</v>
      </c>
      <c r="L3286" s="4">
        <v>0</v>
      </c>
      <c r="M3286" s="4">
        <f t="shared" si="153"/>
        <v>-0.03</v>
      </c>
      <c r="N3286" s="4">
        <f t="shared" si="154"/>
        <v>-31.46</v>
      </c>
      <c r="O3286" s="4">
        <f t="shared" si="155"/>
        <v>0</v>
      </c>
      <c r="P3286" s="3" t="s">
        <v>19</v>
      </c>
    </row>
    <row r="3287" spans="1:16" x14ac:dyDescent="0.35">
      <c r="A3287" s="3" t="s">
        <v>40</v>
      </c>
      <c r="B3287" s="3" t="str">
        <f>INDEX(State_Region!$B$2:$B$26,MATCH(TRIM(A3287),State_Region!$A$2:$A$26,0))</f>
        <v>South</v>
      </c>
      <c r="C3287" s="3" t="s">
        <v>229</v>
      </c>
      <c r="D3287" s="3" t="str">
        <f>INDEX(Port_Type!$B$2:$B$227,MATCH(TRIM(C3287),Port_Type!$A$2:$A$227,0))</f>
        <v>Inland ICD / CFS</v>
      </c>
      <c r="E3287" s="3" t="s">
        <v>76</v>
      </c>
      <c r="F3287" s="3" t="str">
        <f>INDEX(Product_Category!$B$2:$B$45,MATCH(TRIM(E3287),Product_Category!$A$2:$A$45,0))</f>
        <v>Fresh Fruits &amp; Vegetables</v>
      </c>
      <c r="G3287" s="4">
        <v>0</v>
      </c>
      <c r="H3287" s="4">
        <v>0</v>
      </c>
      <c r="I3287" s="4">
        <v>0</v>
      </c>
      <c r="J3287" s="4">
        <v>0.99</v>
      </c>
      <c r="K3287" s="4">
        <v>0</v>
      </c>
      <c r="L3287" s="4">
        <v>0</v>
      </c>
      <c r="M3287" s="4">
        <f t="shared" si="153"/>
        <v>0</v>
      </c>
      <c r="N3287" s="4">
        <f t="shared" si="154"/>
        <v>-0.99</v>
      </c>
      <c r="O3287" s="4">
        <f t="shared" si="155"/>
        <v>0</v>
      </c>
      <c r="P3287" s="3" t="s">
        <v>19</v>
      </c>
    </row>
    <row r="3288" spans="1:16" x14ac:dyDescent="0.35">
      <c r="A3288" s="3" t="s">
        <v>77</v>
      </c>
      <c r="B3288" s="3" t="str">
        <f>INDEX(State_Region!$B$2:$B$26,MATCH(TRIM(A3288),State_Region!$A$2:$A$26,0))</f>
        <v>South</v>
      </c>
      <c r="C3288" s="3" t="s">
        <v>168</v>
      </c>
      <c r="D3288" s="3" t="str">
        <f>INDEX(Port_Type!$B$2:$B$227,MATCH(TRIM(C3288),Port_Type!$A$2:$A$227,0))</f>
        <v>Air Cargo</v>
      </c>
      <c r="E3288" s="3" t="s">
        <v>69</v>
      </c>
      <c r="F3288" s="3" t="str">
        <f>INDEX(Product_Category!$B$2:$B$45,MATCH(TRIM(E3288),Product_Category!$A$2:$A$45,0))</f>
        <v>Others</v>
      </c>
      <c r="G3288" s="4">
        <v>0</v>
      </c>
      <c r="H3288" s="4">
        <v>0</v>
      </c>
      <c r="I3288" s="4">
        <v>0</v>
      </c>
      <c r="J3288" s="4">
        <v>7.0000000000000007E-2</v>
      </c>
      <c r="K3288" s="4">
        <v>0</v>
      </c>
      <c r="L3288" s="4">
        <v>0</v>
      </c>
      <c r="M3288" s="4">
        <f t="shared" si="153"/>
        <v>0</v>
      </c>
      <c r="N3288" s="4">
        <f t="shared" si="154"/>
        <v>-7.0000000000000007E-2</v>
      </c>
      <c r="O3288" s="4">
        <f t="shared" si="155"/>
        <v>0</v>
      </c>
      <c r="P3288" s="3" t="s">
        <v>19</v>
      </c>
    </row>
    <row r="3289" spans="1:16" x14ac:dyDescent="0.35">
      <c r="A3289" s="3" t="s">
        <v>40</v>
      </c>
      <c r="B3289" s="3" t="str">
        <f>INDEX(State_Region!$B$2:$B$26,MATCH(TRIM(A3289),State_Region!$A$2:$A$26,0))</f>
        <v>South</v>
      </c>
      <c r="C3289" s="3" t="s">
        <v>229</v>
      </c>
      <c r="D3289" s="3" t="str">
        <f>INDEX(Port_Type!$B$2:$B$227,MATCH(TRIM(C3289),Port_Type!$A$2:$A$227,0))</f>
        <v>Inland ICD / CFS</v>
      </c>
      <c r="E3289" s="3" t="s">
        <v>45</v>
      </c>
      <c r="F3289" s="3" t="str">
        <f>INDEX(Product_Category!$B$2:$B$45,MATCH(TRIM(E3289),Product_Category!$A$2:$A$45,0))</f>
        <v>Fresh Fruits &amp; Vegetables</v>
      </c>
      <c r="G3289" s="4">
        <v>0.06</v>
      </c>
      <c r="H3289" s="4">
        <v>0.05</v>
      </c>
      <c r="I3289" s="4">
        <v>0</v>
      </c>
      <c r="J3289" s="4">
        <v>55.78</v>
      </c>
      <c r="K3289" s="4">
        <v>37.53</v>
      </c>
      <c r="L3289" s="4">
        <v>0</v>
      </c>
      <c r="M3289" s="4">
        <f t="shared" si="153"/>
        <v>-9.999999999999995E-3</v>
      </c>
      <c r="N3289" s="4">
        <f t="shared" si="154"/>
        <v>-18.25</v>
      </c>
      <c r="O3289" s="4">
        <f t="shared" si="155"/>
        <v>-0.05</v>
      </c>
      <c r="P3289" s="3" t="s">
        <v>19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zoomScaleNormal="100" workbookViewId="0">
      <pane ySplit="1" topLeftCell="A2" activePane="bottomLeft" state="frozen"/>
      <selection pane="bottomLeft" activeCell="B4" sqref="B4"/>
    </sheetView>
  </sheetViews>
  <sheetFormatPr defaultColWidth="8.54296875" defaultRowHeight="14.5" x14ac:dyDescent="0.35"/>
  <cols>
    <col min="1" max="1" width="48" customWidth="1"/>
    <col min="2" max="2" width="26" customWidth="1"/>
  </cols>
  <sheetData>
    <row r="1" spans="1:2" x14ac:dyDescent="0.35">
      <c r="A1" s="10" t="s">
        <v>0</v>
      </c>
      <c r="B1" s="10" t="s">
        <v>1</v>
      </c>
    </row>
    <row r="2" spans="1:2" x14ac:dyDescent="0.35">
      <c r="A2" t="s">
        <v>25</v>
      </c>
      <c r="B2" t="s">
        <v>327</v>
      </c>
    </row>
    <row r="3" spans="1:2" x14ac:dyDescent="0.35">
      <c r="A3" t="s">
        <v>159</v>
      </c>
      <c r="B3" t="s">
        <v>328</v>
      </c>
    </row>
    <row r="4" spans="1:2" x14ac:dyDescent="0.35">
      <c r="A4" t="s">
        <v>94</v>
      </c>
      <c r="B4" t="s">
        <v>329</v>
      </c>
    </row>
    <row r="5" spans="1:2" x14ac:dyDescent="0.35">
      <c r="A5" t="s">
        <v>103</v>
      </c>
      <c r="B5" t="s">
        <v>330</v>
      </c>
    </row>
    <row r="6" spans="1:2" x14ac:dyDescent="0.35">
      <c r="A6" t="s">
        <v>86</v>
      </c>
      <c r="B6" t="s">
        <v>331</v>
      </c>
    </row>
    <row r="7" spans="1:2" x14ac:dyDescent="0.35">
      <c r="A7" t="s">
        <v>166</v>
      </c>
      <c r="B7" t="s">
        <v>332</v>
      </c>
    </row>
    <row r="8" spans="1:2" x14ac:dyDescent="0.35">
      <c r="A8" t="s">
        <v>16</v>
      </c>
      <c r="B8" t="s">
        <v>332</v>
      </c>
    </row>
    <row r="9" spans="1:2" x14ac:dyDescent="0.35">
      <c r="A9" t="s">
        <v>35</v>
      </c>
      <c r="B9" t="s">
        <v>331</v>
      </c>
    </row>
    <row r="10" spans="1:2" x14ac:dyDescent="0.35">
      <c r="A10" t="s">
        <v>212</v>
      </c>
      <c r="B10" t="s">
        <v>331</v>
      </c>
    </row>
    <row r="11" spans="1:2" x14ac:dyDescent="0.35">
      <c r="A11" t="s">
        <v>79</v>
      </c>
      <c r="B11" t="s">
        <v>327</v>
      </c>
    </row>
    <row r="12" spans="1:2" x14ac:dyDescent="0.35">
      <c r="A12" t="s">
        <v>77</v>
      </c>
      <c r="B12" t="s">
        <v>327</v>
      </c>
    </row>
    <row r="13" spans="1:2" x14ac:dyDescent="0.35">
      <c r="A13" t="s">
        <v>57</v>
      </c>
      <c r="B13" t="s">
        <v>330</v>
      </c>
    </row>
    <row r="14" spans="1:2" x14ac:dyDescent="0.35">
      <c r="A14" t="s">
        <v>20</v>
      </c>
      <c r="B14" t="s">
        <v>332</v>
      </c>
    </row>
    <row r="15" spans="1:2" x14ac:dyDescent="0.35">
      <c r="A15" t="s">
        <v>258</v>
      </c>
      <c r="B15" t="s">
        <v>328</v>
      </c>
    </row>
    <row r="16" spans="1:2" x14ac:dyDescent="0.35">
      <c r="A16" t="s">
        <v>129</v>
      </c>
      <c r="B16" t="s">
        <v>329</v>
      </c>
    </row>
    <row r="17" spans="1:2" x14ac:dyDescent="0.35">
      <c r="A17" t="s">
        <v>251</v>
      </c>
      <c r="B17" t="s">
        <v>327</v>
      </c>
    </row>
    <row r="18" spans="1:2" x14ac:dyDescent="0.35">
      <c r="A18" t="s">
        <v>66</v>
      </c>
      <c r="B18" t="s">
        <v>331</v>
      </c>
    </row>
    <row r="19" spans="1:2" x14ac:dyDescent="0.35">
      <c r="A19" t="s">
        <v>49</v>
      </c>
      <c r="B19" t="s">
        <v>331</v>
      </c>
    </row>
    <row r="20" spans="1:2" x14ac:dyDescent="0.35">
      <c r="A20" t="s">
        <v>231</v>
      </c>
      <c r="B20" t="s">
        <v>328</v>
      </c>
    </row>
    <row r="21" spans="1:2" x14ac:dyDescent="0.35">
      <c r="A21" t="s">
        <v>40</v>
      </c>
      <c r="B21" t="s">
        <v>327</v>
      </c>
    </row>
    <row r="22" spans="1:2" x14ac:dyDescent="0.35">
      <c r="A22" t="s">
        <v>74</v>
      </c>
      <c r="B22" t="s">
        <v>327</v>
      </c>
    </row>
    <row r="23" spans="1:2" x14ac:dyDescent="0.35">
      <c r="A23" t="s">
        <v>243</v>
      </c>
      <c r="B23" t="s">
        <v>328</v>
      </c>
    </row>
    <row r="24" spans="1:2" x14ac:dyDescent="0.35">
      <c r="A24" t="s">
        <v>23</v>
      </c>
      <c r="B24" t="s">
        <v>331</v>
      </c>
    </row>
    <row r="25" spans="1:2" x14ac:dyDescent="0.35">
      <c r="A25" t="s">
        <v>189</v>
      </c>
      <c r="B25" t="s">
        <v>331</v>
      </c>
    </row>
    <row r="26" spans="1:2" x14ac:dyDescent="0.35">
      <c r="A26" t="s">
        <v>31</v>
      </c>
      <c r="B26" t="s">
        <v>329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5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48" customWidth="1"/>
    <col min="2" max="2" width="26" customWidth="1"/>
  </cols>
  <sheetData>
    <row r="1" spans="1:2" x14ac:dyDescent="0.35">
      <c r="A1" s="10" t="s">
        <v>4</v>
      </c>
      <c r="B1" s="10" t="s">
        <v>5</v>
      </c>
    </row>
    <row r="2" spans="1:2" x14ac:dyDescent="0.35">
      <c r="A2" t="s">
        <v>174</v>
      </c>
      <c r="B2" t="s">
        <v>333</v>
      </c>
    </row>
    <row r="3" spans="1:2" x14ac:dyDescent="0.35">
      <c r="A3" t="s">
        <v>60</v>
      </c>
      <c r="B3" t="s">
        <v>334</v>
      </c>
    </row>
    <row r="4" spans="1:2" x14ac:dyDescent="0.35">
      <c r="A4" t="s">
        <v>125</v>
      </c>
      <c r="B4" t="s">
        <v>335</v>
      </c>
    </row>
    <row r="5" spans="1:2" x14ac:dyDescent="0.35">
      <c r="A5" t="s">
        <v>18</v>
      </c>
      <c r="B5" t="s">
        <v>336</v>
      </c>
    </row>
    <row r="6" spans="1:2" x14ac:dyDescent="0.35">
      <c r="A6" t="s">
        <v>22</v>
      </c>
      <c r="B6" t="s">
        <v>335</v>
      </c>
    </row>
    <row r="7" spans="1:2" x14ac:dyDescent="0.35">
      <c r="A7" t="s">
        <v>114</v>
      </c>
      <c r="B7" t="s">
        <v>333</v>
      </c>
    </row>
    <row r="8" spans="1:2" x14ac:dyDescent="0.35">
      <c r="A8" t="s">
        <v>48</v>
      </c>
      <c r="B8" t="s">
        <v>334</v>
      </c>
    </row>
    <row r="9" spans="1:2" x14ac:dyDescent="0.35">
      <c r="A9" t="s">
        <v>59</v>
      </c>
      <c r="B9" t="s">
        <v>334</v>
      </c>
    </row>
    <row r="10" spans="1:2" x14ac:dyDescent="0.35">
      <c r="A10" t="s">
        <v>81</v>
      </c>
      <c r="B10" t="s">
        <v>334</v>
      </c>
    </row>
    <row r="11" spans="1:2" x14ac:dyDescent="0.35">
      <c r="A11" t="s">
        <v>84</v>
      </c>
      <c r="B11" t="s">
        <v>337</v>
      </c>
    </row>
    <row r="12" spans="1:2" x14ac:dyDescent="0.35">
      <c r="A12" t="s">
        <v>179</v>
      </c>
      <c r="B12" t="s">
        <v>337</v>
      </c>
    </row>
    <row r="13" spans="1:2" x14ac:dyDescent="0.35">
      <c r="A13" t="s">
        <v>150</v>
      </c>
      <c r="B13" t="s">
        <v>337</v>
      </c>
    </row>
    <row r="14" spans="1:2" x14ac:dyDescent="0.35">
      <c r="A14" t="s">
        <v>142</v>
      </c>
      <c r="B14" t="s">
        <v>337</v>
      </c>
    </row>
    <row r="15" spans="1:2" x14ac:dyDescent="0.35">
      <c r="A15" t="s">
        <v>72</v>
      </c>
      <c r="B15" t="s">
        <v>333</v>
      </c>
    </row>
    <row r="16" spans="1:2" x14ac:dyDescent="0.35">
      <c r="A16" t="s">
        <v>110</v>
      </c>
      <c r="B16" t="s">
        <v>333</v>
      </c>
    </row>
    <row r="17" spans="1:2" x14ac:dyDescent="0.35">
      <c r="A17" t="s">
        <v>122</v>
      </c>
      <c r="B17" t="s">
        <v>338</v>
      </c>
    </row>
    <row r="18" spans="1:2" x14ac:dyDescent="0.35">
      <c r="A18" t="s">
        <v>83</v>
      </c>
      <c r="B18" t="s">
        <v>339</v>
      </c>
    </row>
    <row r="19" spans="1:2" x14ac:dyDescent="0.35">
      <c r="A19" t="s">
        <v>76</v>
      </c>
      <c r="B19" t="s">
        <v>339</v>
      </c>
    </row>
    <row r="20" spans="1:2" x14ac:dyDescent="0.35">
      <c r="A20" t="s">
        <v>55</v>
      </c>
      <c r="B20" t="s">
        <v>339</v>
      </c>
    </row>
    <row r="21" spans="1:2" x14ac:dyDescent="0.35">
      <c r="A21" t="s">
        <v>69</v>
      </c>
      <c r="B21" t="s">
        <v>338</v>
      </c>
    </row>
    <row r="22" spans="1:2" x14ac:dyDescent="0.35">
      <c r="A22" t="s">
        <v>51</v>
      </c>
      <c r="B22" t="s">
        <v>337</v>
      </c>
    </row>
    <row r="23" spans="1:2" x14ac:dyDescent="0.35">
      <c r="A23" t="s">
        <v>46</v>
      </c>
      <c r="B23" t="s">
        <v>338</v>
      </c>
    </row>
    <row r="24" spans="1:2" x14ac:dyDescent="0.35">
      <c r="A24" t="s">
        <v>53</v>
      </c>
      <c r="B24" t="s">
        <v>334</v>
      </c>
    </row>
    <row r="25" spans="1:2" x14ac:dyDescent="0.35">
      <c r="A25" t="s">
        <v>62</v>
      </c>
      <c r="B25" t="s">
        <v>336</v>
      </c>
    </row>
    <row r="26" spans="1:2" x14ac:dyDescent="0.35">
      <c r="A26" t="s">
        <v>151</v>
      </c>
      <c r="B26" t="s">
        <v>334</v>
      </c>
    </row>
    <row r="27" spans="1:2" x14ac:dyDescent="0.35">
      <c r="A27" t="s">
        <v>65</v>
      </c>
      <c r="B27" t="s">
        <v>336</v>
      </c>
    </row>
    <row r="28" spans="1:2" x14ac:dyDescent="0.35">
      <c r="A28" t="s">
        <v>39</v>
      </c>
      <c r="B28" t="s">
        <v>334</v>
      </c>
    </row>
    <row r="29" spans="1:2" x14ac:dyDescent="0.35">
      <c r="A29" t="s">
        <v>144</v>
      </c>
      <c r="B29" t="s">
        <v>336</v>
      </c>
    </row>
    <row r="30" spans="1:2" x14ac:dyDescent="0.35">
      <c r="A30" t="s">
        <v>118</v>
      </c>
      <c r="B30" t="s">
        <v>333</v>
      </c>
    </row>
    <row r="31" spans="1:2" x14ac:dyDescent="0.35">
      <c r="A31" t="s">
        <v>27</v>
      </c>
      <c r="B31" t="s">
        <v>336</v>
      </c>
    </row>
    <row r="32" spans="1:2" x14ac:dyDescent="0.35">
      <c r="A32" t="s">
        <v>126</v>
      </c>
      <c r="B32" t="s">
        <v>336</v>
      </c>
    </row>
    <row r="33" spans="1:2" x14ac:dyDescent="0.35">
      <c r="A33" t="s">
        <v>45</v>
      </c>
      <c r="B33" t="s">
        <v>339</v>
      </c>
    </row>
    <row r="34" spans="1:2" x14ac:dyDescent="0.35">
      <c r="A34" t="s">
        <v>102</v>
      </c>
      <c r="B34" t="s">
        <v>339</v>
      </c>
    </row>
    <row r="35" spans="1:2" x14ac:dyDescent="0.35">
      <c r="A35" t="s">
        <v>261</v>
      </c>
      <c r="B35" t="s">
        <v>335</v>
      </c>
    </row>
    <row r="36" spans="1:2" x14ac:dyDescent="0.35">
      <c r="A36" t="s">
        <v>116</v>
      </c>
      <c r="B36" t="s">
        <v>338</v>
      </c>
    </row>
    <row r="37" spans="1:2" x14ac:dyDescent="0.35">
      <c r="A37" t="s">
        <v>170</v>
      </c>
      <c r="B37" t="s">
        <v>338</v>
      </c>
    </row>
    <row r="38" spans="1:2" x14ac:dyDescent="0.35">
      <c r="A38" t="s">
        <v>128</v>
      </c>
      <c r="B38" t="s">
        <v>333</v>
      </c>
    </row>
    <row r="39" spans="1:2" x14ac:dyDescent="0.35">
      <c r="A39" t="s">
        <v>54</v>
      </c>
      <c r="B39" t="s">
        <v>334</v>
      </c>
    </row>
    <row r="40" spans="1:2" x14ac:dyDescent="0.35">
      <c r="A40" t="s">
        <v>221</v>
      </c>
      <c r="B40" t="s">
        <v>335</v>
      </c>
    </row>
    <row r="41" spans="1:2" x14ac:dyDescent="0.35">
      <c r="A41" t="s">
        <v>42</v>
      </c>
      <c r="B41" t="s">
        <v>334</v>
      </c>
    </row>
    <row r="42" spans="1:2" x14ac:dyDescent="0.35">
      <c r="A42" t="s">
        <v>33</v>
      </c>
      <c r="B42" t="s">
        <v>340</v>
      </c>
    </row>
    <row r="43" spans="1:2" x14ac:dyDescent="0.35">
      <c r="A43" t="s">
        <v>93</v>
      </c>
      <c r="B43" t="s">
        <v>335</v>
      </c>
    </row>
    <row r="44" spans="1:2" x14ac:dyDescent="0.35">
      <c r="A44" t="s">
        <v>181</v>
      </c>
      <c r="B44" t="s">
        <v>337</v>
      </c>
    </row>
    <row r="45" spans="1:2" x14ac:dyDescent="0.35">
      <c r="A45" t="s">
        <v>113</v>
      </c>
      <c r="B45" t="s">
        <v>336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27"/>
  <sheetViews>
    <sheetView zoomScaleNormal="10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48" customWidth="1"/>
    <col min="2" max="2" width="26" customWidth="1"/>
  </cols>
  <sheetData>
    <row r="1" spans="1:2" x14ac:dyDescent="0.35">
      <c r="A1" s="10" t="s">
        <v>2</v>
      </c>
      <c r="B1" s="10" t="s">
        <v>3</v>
      </c>
    </row>
    <row r="2" spans="1:2" x14ac:dyDescent="0.35">
      <c r="A2" t="s">
        <v>219</v>
      </c>
      <c r="B2" t="s">
        <v>341</v>
      </c>
    </row>
    <row r="3" spans="1:2" x14ac:dyDescent="0.35">
      <c r="A3" t="s">
        <v>157</v>
      </c>
      <c r="B3" t="s">
        <v>341</v>
      </c>
    </row>
    <row r="4" spans="1:2" x14ac:dyDescent="0.35">
      <c r="A4" t="s">
        <v>211</v>
      </c>
      <c r="B4" t="s">
        <v>341</v>
      </c>
    </row>
    <row r="5" spans="1:2" x14ac:dyDescent="0.35">
      <c r="A5" t="s">
        <v>248</v>
      </c>
      <c r="B5" t="s">
        <v>341</v>
      </c>
    </row>
    <row r="6" spans="1:2" x14ac:dyDescent="0.35">
      <c r="A6" t="s">
        <v>307</v>
      </c>
      <c r="B6" t="s">
        <v>341</v>
      </c>
    </row>
    <row r="7" spans="1:2" x14ac:dyDescent="0.35">
      <c r="A7" t="s">
        <v>200</v>
      </c>
      <c r="B7" t="s">
        <v>341</v>
      </c>
    </row>
    <row r="8" spans="1:2" x14ac:dyDescent="0.35">
      <c r="A8" t="s">
        <v>67</v>
      </c>
      <c r="B8" t="s">
        <v>342</v>
      </c>
    </row>
    <row r="9" spans="1:2" x14ac:dyDescent="0.35">
      <c r="A9" t="s">
        <v>273</v>
      </c>
      <c r="B9" t="s">
        <v>343</v>
      </c>
    </row>
    <row r="10" spans="1:2" x14ac:dyDescent="0.35">
      <c r="A10" t="s">
        <v>135</v>
      </c>
      <c r="B10" t="s">
        <v>341</v>
      </c>
    </row>
    <row r="11" spans="1:2" x14ac:dyDescent="0.35">
      <c r="A11" t="s">
        <v>194</v>
      </c>
      <c r="B11" t="s">
        <v>341</v>
      </c>
    </row>
    <row r="12" spans="1:2" x14ac:dyDescent="0.35">
      <c r="A12" t="s">
        <v>256</v>
      </c>
      <c r="B12" t="s">
        <v>344</v>
      </c>
    </row>
    <row r="13" spans="1:2" x14ac:dyDescent="0.35">
      <c r="A13" t="s">
        <v>119</v>
      </c>
      <c r="B13" t="s">
        <v>344</v>
      </c>
    </row>
    <row r="14" spans="1:2" x14ac:dyDescent="0.35">
      <c r="A14" t="s">
        <v>177</v>
      </c>
      <c r="B14" t="s">
        <v>344</v>
      </c>
    </row>
    <row r="15" spans="1:2" x14ac:dyDescent="0.35">
      <c r="A15" t="s">
        <v>230</v>
      </c>
      <c r="B15" t="s">
        <v>341</v>
      </c>
    </row>
    <row r="16" spans="1:2" x14ac:dyDescent="0.35">
      <c r="A16" t="s">
        <v>203</v>
      </c>
      <c r="B16" t="s">
        <v>341</v>
      </c>
    </row>
    <row r="17" spans="1:2" x14ac:dyDescent="0.35">
      <c r="A17" t="s">
        <v>92</v>
      </c>
      <c r="B17" t="s">
        <v>341</v>
      </c>
    </row>
    <row r="18" spans="1:2" x14ac:dyDescent="0.35">
      <c r="A18" t="s">
        <v>147</v>
      </c>
      <c r="B18" t="s">
        <v>343</v>
      </c>
    </row>
    <row r="19" spans="1:2" x14ac:dyDescent="0.35">
      <c r="A19" t="s">
        <v>184</v>
      </c>
      <c r="B19" t="s">
        <v>343</v>
      </c>
    </row>
    <row r="20" spans="1:2" x14ac:dyDescent="0.35">
      <c r="A20" t="s">
        <v>171</v>
      </c>
      <c r="B20" t="s">
        <v>343</v>
      </c>
    </row>
    <row r="21" spans="1:2" x14ac:dyDescent="0.35">
      <c r="A21" t="s">
        <v>295</v>
      </c>
      <c r="B21" t="s">
        <v>341</v>
      </c>
    </row>
    <row r="22" spans="1:2" x14ac:dyDescent="0.35">
      <c r="A22" t="s">
        <v>264</v>
      </c>
      <c r="B22" t="s">
        <v>344</v>
      </c>
    </row>
    <row r="23" spans="1:2" x14ac:dyDescent="0.35">
      <c r="A23" t="s">
        <v>167</v>
      </c>
      <c r="B23" t="s">
        <v>342</v>
      </c>
    </row>
    <row r="24" spans="1:2" x14ac:dyDescent="0.35">
      <c r="A24" t="s">
        <v>235</v>
      </c>
      <c r="B24" t="s">
        <v>342</v>
      </c>
    </row>
    <row r="25" spans="1:2" x14ac:dyDescent="0.35">
      <c r="A25" t="s">
        <v>24</v>
      </c>
      <c r="B25" t="s">
        <v>342</v>
      </c>
    </row>
    <row r="26" spans="1:2" x14ac:dyDescent="0.35">
      <c r="A26" t="s">
        <v>297</v>
      </c>
      <c r="B26" t="s">
        <v>342</v>
      </c>
    </row>
    <row r="27" spans="1:2" x14ac:dyDescent="0.35">
      <c r="A27" t="s">
        <v>306</v>
      </c>
      <c r="B27" t="s">
        <v>342</v>
      </c>
    </row>
    <row r="28" spans="1:2" x14ac:dyDescent="0.35">
      <c r="A28" t="s">
        <v>224</v>
      </c>
      <c r="B28" t="s">
        <v>342</v>
      </c>
    </row>
    <row r="29" spans="1:2" x14ac:dyDescent="0.35">
      <c r="A29" t="s">
        <v>232</v>
      </c>
      <c r="B29" t="s">
        <v>343</v>
      </c>
    </row>
    <row r="30" spans="1:2" x14ac:dyDescent="0.35">
      <c r="A30" t="s">
        <v>169</v>
      </c>
      <c r="B30" t="s">
        <v>343</v>
      </c>
    </row>
    <row r="31" spans="1:2" x14ac:dyDescent="0.35">
      <c r="A31" t="s">
        <v>164</v>
      </c>
      <c r="B31" t="s">
        <v>341</v>
      </c>
    </row>
    <row r="32" spans="1:2" x14ac:dyDescent="0.35">
      <c r="A32" t="s">
        <v>209</v>
      </c>
      <c r="B32" t="s">
        <v>344</v>
      </c>
    </row>
    <row r="33" spans="1:2" x14ac:dyDescent="0.35">
      <c r="A33" t="s">
        <v>41</v>
      </c>
      <c r="B33" t="s">
        <v>345</v>
      </c>
    </row>
    <row r="34" spans="1:2" x14ac:dyDescent="0.35">
      <c r="A34" t="s">
        <v>132</v>
      </c>
      <c r="B34" t="s">
        <v>341</v>
      </c>
    </row>
    <row r="35" spans="1:2" x14ac:dyDescent="0.35">
      <c r="A35" t="s">
        <v>78</v>
      </c>
      <c r="B35" t="s">
        <v>345</v>
      </c>
    </row>
    <row r="36" spans="1:2" x14ac:dyDescent="0.35">
      <c r="A36" t="s">
        <v>186</v>
      </c>
      <c r="B36" t="s">
        <v>343</v>
      </c>
    </row>
    <row r="37" spans="1:2" x14ac:dyDescent="0.35">
      <c r="A37" t="s">
        <v>293</v>
      </c>
      <c r="B37" t="s">
        <v>343</v>
      </c>
    </row>
    <row r="38" spans="1:2" x14ac:dyDescent="0.35">
      <c r="A38" t="s">
        <v>106</v>
      </c>
      <c r="B38" t="s">
        <v>342</v>
      </c>
    </row>
    <row r="39" spans="1:2" x14ac:dyDescent="0.35">
      <c r="A39" t="s">
        <v>87</v>
      </c>
      <c r="B39" t="s">
        <v>341</v>
      </c>
    </row>
    <row r="40" spans="1:2" x14ac:dyDescent="0.35">
      <c r="A40" t="s">
        <v>130</v>
      </c>
      <c r="B40" t="s">
        <v>345</v>
      </c>
    </row>
    <row r="41" spans="1:2" x14ac:dyDescent="0.35">
      <c r="A41" t="s">
        <v>277</v>
      </c>
      <c r="B41" t="s">
        <v>343</v>
      </c>
    </row>
    <row r="42" spans="1:2" x14ac:dyDescent="0.35">
      <c r="A42" t="s">
        <v>107</v>
      </c>
      <c r="B42" t="s">
        <v>345</v>
      </c>
    </row>
    <row r="43" spans="1:2" x14ac:dyDescent="0.35">
      <c r="A43" t="s">
        <v>283</v>
      </c>
      <c r="B43" t="s">
        <v>344</v>
      </c>
    </row>
    <row r="44" spans="1:2" x14ac:dyDescent="0.35">
      <c r="A44" t="s">
        <v>217</v>
      </c>
      <c r="B44" t="s">
        <v>344</v>
      </c>
    </row>
    <row r="45" spans="1:2" x14ac:dyDescent="0.35">
      <c r="A45" t="s">
        <v>309</v>
      </c>
      <c r="B45" t="s">
        <v>344</v>
      </c>
    </row>
    <row r="46" spans="1:2" x14ac:dyDescent="0.35">
      <c r="A46" t="s">
        <v>247</v>
      </c>
      <c r="B46" t="s">
        <v>343</v>
      </c>
    </row>
    <row r="47" spans="1:2" x14ac:dyDescent="0.35">
      <c r="A47" t="s">
        <v>195</v>
      </c>
      <c r="B47" t="s">
        <v>345</v>
      </c>
    </row>
    <row r="48" spans="1:2" x14ac:dyDescent="0.35">
      <c r="A48" t="s">
        <v>152</v>
      </c>
      <c r="B48" t="s">
        <v>343</v>
      </c>
    </row>
    <row r="49" spans="1:2" x14ac:dyDescent="0.35">
      <c r="A49" t="s">
        <v>291</v>
      </c>
      <c r="B49" t="s">
        <v>343</v>
      </c>
    </row>
    <row r="50" spans="1:2" x14ac:dyDescent="0.35">
      <c r="A50" t="s">
        <v>191</v>
      </c>
      <c r="B50" t="s">
        <v>343</v>
      </c>
    </row>
    <row r="51" spans="1:2" x14ac:dyDescent="0.35">
      <c r="A51" t="s">
        <v>262</v>
      </c>
      <c r="B51" t="s">
        <v>341</v>
      </c>
    </row>
    <row r="52" spans="1:2" x14ac:dyDescent="0.35">
      <c r="A52" t="s">
        <v>160</v>
      </c>
      <c r="B52" t="s">
        <v>343</v>
      </c>
    </row>
    <row r="53" spans="1:2" x14ac:dyDescent="0.35">
      <c r="A53" t="s">
        <v>109</v>
      </c>
      <c r="B53" t="s">
        <v>344</v>
      </c>
    </row>
    <row r="54" spans="1:2" x14ac:dyDescent="0.35">
      <c r="A54" t="s">
        <v>101</v>
      </c>
      <c r="B54" t="s">
        <v>343</v>
      </c>
    </row>
    <row r="55" spans="1:2" x14ac:dyDescent="0.35">
      <c r="A55" t="s">
        <v>71</v>
      </c>
      <c r="B55" t="s">
        <v>342</v>
      </c>
    </row>
    <row r="56" spans="1:2" x14ac:dyDescent="0.35">
      <c r="A56" t="s">
        <v>137</v>
      </c>
      <c r="B56" t="s">
        <v>341</v>
      </c>
    </row>
    <row r="57" spans="1:2" x14ac:dyDescent="0.35">
      <c r="A57" t="s">
        <v>310</v>
      </c>
      <c r="B57" t="s">
        <v>344</v>
      </c>
    </row>
    <row r="58" spans="1:2" x14ac:dyDescent="0.35">
      <c r="A58" t="s">
        <v>278</v>
      </c>
      <c r="B58" t="s">
        <v>342</v>
      </c>
    </row>
    <row r="59" spans="1:2" x14ac:dyDescent="0.35">
      <c r="A59" t="s">
        <v>153</v>
      </c>
      <c r="B59" t="s">
        <v>342</v>
      </c>
    </row>
    <row r="60" spans="1:2" x14ac:dyDescent="0.35">
      <c r="A60" t="s">
        <v>205</v>
      </c>
      <c r="B60" t="s">
        <v>342</v>
      </c>
    </row>
    <row r="61" spans="1:2" x14ac:dyDescent="0.35">
      <c r="A61" t="s">
        <v>213</v>
      </c>
      <c r="B61" t="s">
        <v>342</v>
      </c>
    </row>
    <row r="62" spans="1:2" x14ac:dyDescent="0.35">
      <c r="A62" t="s">
        <v>80</v>
      </c>
      <c r="B62" t="s">
        <v>342</v>
      </c>
    </row>
    <row r="63" spans="1:2" x14ac:dyDescent="0.35">
      <c r="A63" t="s">
        <v>96</v>
      </c>
      <c r="B63" t="s">
        <v>342</v>
      </c>
    </row>
    <row r="64" spans="1:2" x14ac:dyDescent="0.35">
      <c r="A64" t="s">
        <v>279</v>
      </c>
      <c r="B64" t="s">
        <v>342</v>
      </c>
    </row>
    <row r="65" spans="1:2" x14ac:dyDescent="0.35">
      <c r="A65" t="s">
        <v>287</v>
      </c>
      <c r="B65" t="s">
        <v>342</v>
      </c>
    </row>
    <row r="66" spans="1:2" x14ac:dyDescent="0.35">
      <c r="A66" t="s">
        <v>111</v>
      </c>
      <c r="B66" t="s">
        <v>342</v>
      </c>
    </row>
    <row r="67" spans="1:2" x14ac:dyDescent="0.35">
      <c r="A67" t="s">
        <v>305</v>
      </c>
      <c r="B67" t="s">
        <v>342</v>
      </c>
    </row>
    <row r="68" spans="1:2" x14ac:dyDescent="0.35">
      <c r="A68" t="s">
        <v>207</v>
      </c>
      <c r="B68" t="s">
        <v>342</v>
      </c>
    </row>
    <row r="69" spans="1:2" x14ac:dyDescent="0.35">
      <c r="A69" t="s">
        <v>148</v>
      </c>
      <c r="B69" t="s">
        <v>342</v>
      </c>
    </row>
    <row r="70" spans="1:2" x14ac:dyDescent="0.35">
      <c r="A70" t="s">
        <v>30</v>
      </c>
      <c r="B70" t="s">
        <v>342</v>
      </c>
    </row>
    <row r="71" spans="1:2" x14ac:dyDescent="0.35">
      <c r="A71" t="s">
        <v>311</v>
      </c>
      <c r="B71" t="s">
        <v>342</v>
      </c>
    </row>
    <row r="72" spans="1:2" x14ac:dyDescent="0.35">
      <c r="A72" t="s">
        <v>73</v>
      </c>
      <c r="B72" t="s">
        <v>342</v>
      </c>
    </row>
    <row r="73" spans="1:2" x14ac:dyDescent="0.35">
      <c r="A73" t="s">
        <v>180</v>
      </c>
      <c r="B73" t="s">
        <v>342</v>
      </c>
    </row>
    <row r="74" spans="1:2" x14ac:dyDescent="0.35">
      <c r="A74" t="s">
        <v>300</v>
      </c>
      <c r="B74" t="s">
        <v>342</v>
      </c>
    </row>
    <row r="75" spans="1:2" x14ac:dyDescent="0.35">
      <c r="A75" t="s">
        <v>163</v>
      </c>
      <c r="B75" t="s">
        <v>342</v>
      </c>
    </row>
    <row r="76" spans="1:2" x14ac:dyDescent="0.35">
      <c r="A76" t="s">
        <v>208</v>
      </c>
      <c r="B76" t="s">
        <v>342</v>
      </c>
    </row>
    <row r="77" spans="1:2" x14ac:dyDescent="0.35">
      <c r="A77" t="s">
        <v>162</v>
      </c>
      <c r="B77" t="s">
        <v>342</v>
      </c>
    </row>
    <row r="78" spans="1:2" x14ac:dyDescent="0.35">
      <c r="A78" t="s">
        <v>50</v>
      </c>
      <c r="B78" t="s">
        <v>342</v>
      </c>
    </row>
    <row r="79" spans="1:2" x14ac:dyDescent="0.35">
      <c r="A79" t="s">
        <v>173</v>
      </c>
      <c r="B79" t="s">
        <v>342</v>
      </c>
    </row>
    <row r="80" spans="1:2" x14ac:dyDescent="0.35">
      <c r="A80" t="s">
        <v>285</v>
      </c>
      <c r="B80" t="s">
        <v>342</v>
      </c>
    </row>
    <row r="81" spans="1:2" x14ac:dyDescent="0.35">
      <c r="A81" t="s">
        <v>201</v>
      </c>
      <c r="B81" t="s">
        <v>342</v>
      </c>
    </row>
    <row r="82" spans="1:2" x14ac:dyDescent="0.35">
      <c r="A82" t="s">
        <v>47</v>
      </c>
      <c r="B82" t="s">
        <v>342</v>
      </c>
    </row>
    <row r="83" spans="1:2" x14ac:dyDescent="0.35">
      <c r="A83" t="s">
        <v>229</v>
      </c>
      <c r="B83" t="s">
        <v>342</v>
      </c>
    </row>
    <row r="84" spans="1:2" x14ac:dyDescent="0.35">
      <c r="A84" t="s">
        <v>75</v>
      </c>
      <c r="B84" t="s">
        <v>342</v>
      </c>
    </row>
    <row r="85" spans="1:2" x14ac:dyDescent="0.35">
      <c r="A85" t="s">
        <v>220</v>
      </c>
      <c r="B85" t="s">
        <v>342</v>
      </c>
    </row>
    <row r="86" spans="1:2" x14ac:dyDescent="0.35">
      <c r="A86" t="s">
        <v>302</v>
      </c>
      <c r="B86" t="s">
        <v>342</v>
      </c>
    </row>
    <row r="87" spans="1:2" x14ac:dyDescent="0.35">
      <c r="A87" t="s">
        <v>82</v>
      </c>
      <c r="B87" t="s">
        <v>342</v>
      </c>
    </row>
    <row r="88" spans="1:2" x14ac:dyDescent="0.35">
      <c r="A88" t="s">
        <v>70</v>
      </c>
      <c r="B88" t="s">
        <v>342</v>
      </c>
    </row>
    <row r="89" spans="1:2" x14ac:dyDescent="0.35">
      <c r="A89" t="s">
        <v>43</v>
      </c>
      <c r="B89" t="s">
        <v>343</v>
      </c>
    </row>
    <row r="90" spans="1:2" x14ac:dyDescent="0.35">
      <c r="A90" t="s">
        <v>176</v>
      </c>
      <c r="B90" t="s">
        <v>342</v>
      </c>
    </row>
    <row r="91" spans="1:2" x14ac:dyDescent="0.35">
      <c r="A91" t="s">
        <v>158</v>
      </c>
      <c r="B91" t="s">
        <v>342</v>
      </c>
    </row>
    <row r="92" spans="1:2" x14ac:dyDescent="0.35">
      <c r="A92" t="s">
        <v>175</v>
      </c>
      <c r="B92" t="s">
        <v>342</v>
      </c>
    </row>
    <row r="93" spans="1:2" x14ac:dyDescent="0.35">
      <c r="A93" t="s">
        <v>233</v>
      </c>
      <c r="B93" t="s">
        <v>342</v>
      </c>
    </row>
    <row r="94" spans="1:2" x14ac:dyDescent="0.35">
      <c r="A94" t="s">
        <v>266</v>
      </c>
      <c r="B94" t="s">
        <v>342</v>
      </c>
    </row>
    <row r="95" spans="1:2" x14ac:dyDescent="0.35">
      <c r="A95" t="s">
        <v>138</v>
      </c>
      <c r="B95" t="s">
        <v>342</v>
      </c>
    </row>
    <row r="96" spans="1:2" x14ac:dyDescent="0.35">
      <c r="A96" t="s">
        <v>127</v>
      </c>
      <c r="B96" t="s">
        <v>342</v>
      </c>
    </row>
    <row r="97" spans="1:2" x14ac:dyDescent="0.35">
      <c r="A97" t="s">
        <v>97</v>
      </c>
      <c r="B97" t="s">
        <v>342</v>
      </c>
    </row>
    <row r="98" spans="1:2" x14ac:dyDescent="0.35">
      <c r="A98" t="s">
        <v>154</v>
      </c>
      <c r="B98" t="s">
        <v>342</v>
      </c>
    </row>
    <row r="99" spans="1:2" x14ac:dyDescent="0.35">
      <c r="A99" t="s">
        <v>223</v>
      </c>
      <c r="B99" t="s">
        <v>342</v>
      </c>
    </row>
    <row r="100" spans="1:2" x14ac:dyDescent="0.35">
      <c r="A100" t="s">
        <v>58</v>
      </c>
      <c r="B100" t="s">
        <v>342</v>
      </c>
    </row>
    <row r="101" spans="1:2" x14ac:dyDescent="0.35">
      <c r="A101" t="s">
        <v>254</v>
      </c>
      <c r="B101" t="s">
        <v>342</v>
      </c>
    </row>
    <row r="102" spans="1:2" x14ac:dyDescent="0.35">
      <c r="A102" t="s">
        <v>120</v>
      </c>
      <c r="B102" t="s">
        <v>342</v>
      </c>
    </row>
    <row r="103" spans="1:2" x14ac:dyDescent="0.35">
      <c r="A103" t="s">
        <v>56</v>
      </c>
      <c r="B103" t="s">
        <v>342</v>
      </c>
    </row>
    <row r="104" spans="1:2" x14ac:dyDescent="0.35">
      <c r="A104" t="s">
        <v>134</v>
      </c>
      <c r="B104" t="s">
        <v>342</v>
      </c>
    </row>
    <row r="105" spans="1:2" x14ac:dyDescent="0.35">
      <c r="A105" t="s">
        <v>44</v>
      </c>
      <c r="B105" t="s">
        <v>342</v>
      </c>
    </row>
    <row r="106" spans="1:2" x14ac:dyDescent="0.35">
      <c r="A106" t="s">
        <v>37</v>
      </c>
      <c r="B106" t="s">
        <v>342</v>
      </c>
    </row>
    <row r="107" spans="1:2" x14ac:dyDescent="0.35">
      <c r="A107" t="s">
        <v>34</v>
      </c>
      <c r="B107" t="s">
        <v>342</v>
      </c>
    </row>
    <row r="108" spans="1:2" x14ac:dyDescent="0.35">
      <c r="A108" t="s">
        <v>88</v>
      </c>
      <c r="B108" t="s">
        <v>342</v>
      </c>
    </row>
    <row r="109" spans="1:2" x14ac:dyDescent="0.35">
      <c r="A109" t="s">
        <v>161</v>
      </c>
      <c r="B109" t="s">
        <v>342</v>
      </c>
    </row>
    <row r="110" spans="1:2" x14ac:dyDescent="0.35">
      <c r="A110" t="s">
        <v>252</v>
      </c>
      <c r="B110" t="s">
        <v>342</v>
      </c>
    </row>
    <row r="111" spans="1:2" x14ac:dyDescent="0.35">
      <c r="A111" t="s">
        <v>61</v>
      </c>
      <c r="B111" t="s">
        <v>342</v>
      </c>
    </row>
    <row r="112" spans="1:2" x14ac:dyDescent="0.35">
      <c r="A112" t="s">
        <v>136</v>
      </c>
      <c r="B112" t="s">
        <v>342</v>
      </c>
    </row>
    <row r="113" spans="1:2" x14ac:dyDescent="0.35">
      <c r="A113" t="s">
        <v>198</v>
      </c>
      <c r="B113" t="s">
        <v>342</v>
      </c>
    </row>
    <row r="114" spans="1:2" x14ac:dyDescent="0.35">
      <c r="A114" t="s">
        <v>104</v>
      </c>
      <c r="B114" t="s">
        <v>342</v>
      </c>
    </row>
    <row r="115" spans="1:2" x14ac:dyDescent="0.35">
      <c r="A115" t="s">
        <v>303</v>
      </c>
      <c r="B115" t="s">
        <v>342</v>
      </c>
    </row>
    <row r="116" spans="1:2" x14ac:dyDescent="0.35">
      <c r="A116" t="s">
        <v>90</v>
      </c>
      <c r="B116" t="s">
        <v>342</v>
      </c>
    </row>
    <row r="117" spans="1:2" x14ac:dyDescent="0.35">
      <c r="A117" t="s">
        <v>115</v>
      </c>
      <c r="B117" t="s">
        <v>342</v>
      </c>
    </row>
    <row r="118" spans="1:2" x14ac:dyDescent="0.35">
      <c r="A118" t="s">
        <v>108</v>
      </c>
      <c r="B118" t="s">
        <v>342</v>
      </c>
    </row>
    <row r="119" spans="1:2" x14ac:dyDescent="0.35">
      <c r="A119" t="s">
        <v>36</v>
      </c>
      <c r="B119" t="s">
        <v>342</v>
      </c>
    </row>
    <row r="120" spans="1:2" x14ac:dyDescent="0.35">
      <c r="A120" t="s">
        <v>193</v>
      </c>
      <c r="B120" t="s">
        <v>342</v>
      </c>
    </row>
    <row r="121" spans="1:2" x14ac:dyDescent="0.35">
      <c r="A121" t="s">
        <v>210</v>
      </c>
      <c r="B121" t="s">
        <v>342</v>
      </c>
    </row>
    <row r="122" spans="1:2" x14ac:dyDescent="0.35">
      <c r="A122" t="s">
        <v>190</v>
      </c>
      <c r="B122" t="s">
        <v>342</v>
      </c>
    </row>
    <row r="123" spans="1:2" x14ac:dyDescent="0.35">
      <c r="A123" t="s">
        <v>38</v>
      </c>
      <c r="B123" t="s">
        <v>342</v>
      </c>
    </row>
    <row r="124" spans="1:2" x14ac:dyDescent="0.35">
      <c r="A124" t="s">
        <v>301</v>
      </c>
      <c r="B124" t="s">
        <v>342</v>
      </c>
    </row>
    <row r="125" spans="1:2" x14ac:dyDescent="0.35">
      <c r="A125" t="s">
        <v>89</v>
      </c>
      <c r="B125" t="s">
        <v>342</v>
      </c>
    </row>
    <row r="126" spans="1:2" x14ac:dyDescent="0.35">
      <c r="A126" t="s">
        <v>121</v>
      </c>
      <c r="B126" t="s">
        <v>342</v>
      </c>
    </row>
    <row r="127" spans="1:2" x14ac:dyDescent="0.35">
      <c r="A127" t="s">
        <v>98</v>
      </c>
      <c r="B127" t="s">
        <v>342</v>
      </c>
    </row>
    <row r="128" spans="1:2" x14ac:dyDescent="0.35">
      <c r="A128" t="s">
        <v>64</v>
      </c>
      <c r="B128" t="s">
        <v>342</v>
      </c>
    </row>
    <row r="129" spans="1:2" x14ac:dyDescent="0.35">
      <c r="A129" t="s">
        <v>267</v>
      </c>
      <c r="B129" t="s">
        <v>342</v>
      </c>
    </row>
    <row r="130" spans="1:2" x14ac:dyDescent="0.35">
      <c r="A130" t="s">
        <v>155</v>
      </c>
      <c r="B130" t="s">
        <v>342</v>
      </c>
    </row>
    <row r="131" spans="1:2" x14ac:dyDescent="0.35">
      <c r="A131" t="s">
        <v>183</v>
      </c>
      <c r="B131" t="s">
        <v>342</v>
      </c>
    </row>
    <row r="132" spans="1:2" x14ac:dyDescent="0.35">
      <c r="A132" t="s">
        <v>145</v>
      </c>
      <c r="B132" t="s">
        <v>342</v>
      </c>
    </row>
    <row r="133" spans="1:2" x14ac:dyDescent="0.35">
      <c r="A133" t="s">
        <v>282</v>
      </c>
      <c r="B133" t="s">
        <v>342</v>
      </c>
    </row>
    <row r="134" spans="1:2" x14ac:dyDescent="0.35">
      <c r="A134" t="s">
        <v>197</v>
      </c>
      <c r="B134" t="s">
        <v>341</v>
      </c>
    </row>
    <row r="135" spans="1:2" x14ac:dyDescent="0.35">
      <c r="A135" t="s">
        <v>268</v>
      </c>
      <c r="B135" t="s">
        <v>344</v>
      </c>
    </row>
    <row r="136" spans="1:2" x14ac:dyDescent="0.35">
      <c r="A136" t="s">
        <v>269</v>
      </c>
      <c r="B136" t="s">
        <v>342</v>
      </c>
    </row>
    <row r="137" spans="1:2" x14ac:dyDescent="0.35">
      <c r="A137" t="s">
        <v>265</v>
      </c>
      <c r="B137" t="s">
        <v>345</v>
      </c>
    </row>
    <row r="138" spans="1:2" x14ac:dyDescent="0.35">
      <c r="A138" t="s">
        <v>131</v>
      </c>
      <c r="B138" t="s">
        <v>343</v>
      </c>
    </row>
    <row r="139" spans="1:2" x14ac:dyDescent="0.35">
      <c r="A139" t="s">
        <v>237</v>
      </c>
      <c r="B139" t="s">
        <v>341</v>
      </c>
    </row>
    <row r="140" spans="1:2" x14ac:dyDescent="0.35">
      <c r="A140" t="s">
        <v>156</v>
      </c>
      <c r="B140" t="s">
        <v>345</v>
      </c>
    </row>
    <row r="141" spans="1:2" x14ac:dyDescent="0.35">
      <c r="A141" t="s">
        <v>112</v>
      </c>
      <c r="B141" t="s">
        <v>343</v>
      </c>
    </row>
    <row r="142" spans="1:2" x14ac:dyDescent="0.35">
      <c r="A142" t="s">
        <v>288</v>
      </c>
      <c r="B142" t="s">
        <v>343</v>
      </c>
    </row>
    <row r="143" spans="1:2" x14ac:dyDescent="0.35">
      <c r="A143" t="s">
        <v>26</v>
      </c>
      <c r="B143" t="s">
        <v>345</v>
      </c>
    </row>
    <row r="144" spans="1:2" x14ac:dyDescent="0.35">
      <c r="A144" t="s">
        <v>28</v>
      </c>
      <c r="B144" t="s">
        <v>345</v>
      </c>
    </row>
    <row r="145" spans="1:2" x14ac:dyDescent="0.35">
      <c r="A145" t="s">
        <v>216</v>
      </c>
      <c r="B145" t="s">
        <v>341</v>
      </c>
    </row>
    <row r="146" spans="1:2" x14ac:dyDescent="0.35">
      <c r="A146" t="s">
        <v>246</v>
      </c>
      <c r="B146" t="s">
        <v>343</v>
      </c>
    </row>
    <row r="147" spans="1:2" x14ac:dyDescent="0.35">
      <c r="A147" t="s">
        <v>117</v>
      </c>
      <c r="B147" t="s">
        <v>345</v>
      </c>
    </row>
    <row r="148" spans="1:2" x14ac:dyDescent="0.35">
      <c r="A148" t="s">
        <v>214</v>
      </c>
      <c r="B148" t="s">
        <v>344</v>
      </c>
    </row>
    <row r="149" spans="1:2" x14ac:dyDescent="0.35">
      <c r="A149" t="s">
        <v>274</v>
      </c>
      <c r="B149" t="s">
        <v>343</v>
      </c>
    </row>
    <row r="150" spans="1:2" x14ac:dyDescent="0.35">
      <c r="A150" t="s">
        <v>255</v>
      </c>
      <c r="B150" t="s">
        <v>344</v>
      </c>
    </row>
    <row r="151" spans="1:2" x14ac:dyDescent="0.35">
      <c r="A151" t="s">
        <v>192</v>
      </c>
      <c r="B151" t="s">
        <v>341</v>
      </c>
    </row>
    <row r="152" spans="1:2" x14ac:dyDescent="0.35">
      <c r="A152" t="s">
        <v>32</v>
      </c>
      <c r="B152" t="s">
        <v>345</v>
      </c>
    </row>
    <row r="153" spans="1:2" x14ac:dyDescent="0.35">
      <c r="A153" t="s">
        <v>146</v>
      </c>
      <c r="B153" t="s">
        <v>343</v>
      </c>
    </row>
    <row r="154" spans="1:2" x14ac:dyDescent="0.35">
      <c r="A154" t="s">
        <v>165</v>
      </c>
      <c r="B154" t="s">
        <v>342</v>
      </c>
    </row>
    <row r="155" spans="1:2" x14ac:dyDescent="0.35">
      <c r="A155" t="s">
        <v>63</v>
      </c>
      <c r="B155" t="s">
        <v>345</v>
      </c>
    </row>
    <row r="156" spans="1:2" x14ac:dyDescent="0.35">
      <c r="A156" t="s">
        <v>124</v>
      </c>
      <c r="B156" t="s">
        <v>342</v>
      </c>
    </row>
    <row r="157" spans="1:2" x14ac:dyDescent="0.35">
      <c r="A157" t="s">
        <v>286</v>
      </c>
      <c r="B157" t="s">
        <v>343</v>
      </c>
    </row>
    <row r="158" spans="1:2" x14ac:dyDescent="0.35">
      <c r="A158" t="s">
        <v>187</v>
      </c>
      <c r="B158" t="s">
        <v>343</v>
      </c>
    </row>
    <row r="159" spans="1:2" x14ac:dyDescent="0.35">
      <c r="A159" t="s">
        <v>227</v>
      </c>
      <c r="B159" t="s">
        <v>343</v>
      </c>
    </row>
    <row r="160" spans="1:2" x14ac:dyDescent="0.35">
      <c r="A160" t="s">
        <v>290</v>
      </c>
      <c r="B160" t="s">
        <v>343</v>
      </c>
    </row>
    <row r="161" spans="1:2" x14ac:dyDescent="0.35">
      <c r="A161" t="s">
        <v>242</v>
      </c>
      <c r="B161" t="s">
        <v>343</v>
      </c>
    </row>
    <row r="162" spans="1:2" x14ac:dyDescent="0.35">
      <c r="A162" t="s">
        <v>218</v>
      </c>
      <c r="B162" t="s">
        <v>343</v>
      </c>
    </row>
    <row r="163" spans="1:2" x14ac:dyDescent="0.35">
      <c r="A163" t="s">
        <v>249</v>
      </c>
      <c r="B163" t="s">
        <v>343</v>
      </c>
    </row>
    <row r="164" spans="1:2" x14ac:dyDescent="0.35">
      <c r="A164" t="s">
        <v>236</v>
      </c>
      <c r="B164" t="s">
        <v>343</v>
      </c>
    </row>
    <row r="165" spans="1:2" x14ac:dyDescent="0.35">
      <c r="A165" t="s">
        <v>275</v>
      </c>
      <c r="B165" t="s">
        <v>343</v>
      </c>
    </row>
    <row r="166" spans="1:2" x14ac:dyDescent="0.35">
      <c r="A166" t="s">
        <v>253</v>
      </c>
      <c r="B166" t="s">
        <v>343</v>
      </c>
    </row>
    <row r="167" spans="1:2" x14ac:dyDescent="0.35">
      <c r="A167" t="s">
        <v>215</v>
      </c>
      <c r="B167" t="s">
        <v>343</v>
      </c>
    </row>
    <row r="168" spans="1:2" x14ac:dyDescent="0.35">
      <c r="A168" t="s">
        <v>182</v>
      </c>
      <c r="B168" t="s">
        <v>341</v>
      </c>
    </row>
    <row r="169" spans="1:2" x14ac:dyDescent="0.35">
      <c r="A169" t="s">
        <v>241</v>
      </c>
      <c r="B169" t="s">
        <v>341</v>
      </c>
    </row>
    <row r="170" spans="1:2" x14ac:dyDescent="0.35">
      <c r="A170" t="s">
        <v>299</v>
      </c>
      <c r="B170" t="s">
        <v>344</v>
      </c>
    </row>
    <row r="171" spans="1:2" x14ac:dyDescent="0.35">
      <c r="A171" t="s">
        <v>298</v>
      </c>
      <c r="B171" t="s">
        <v>341</v>
      </c>
    </row>
    <row r="172" spans="1:2" x14ac:dyDescent="0.35">
      <c r="A172" t="s">
        <v>259</v>
      </c>
      <c r="B172" t="s">
        <v>343</v>
      </c>
    </row>
    <row r="173" spans="1:2" x14ac:dyDescent="0.35">
      <c r="A173" t="s">
        <v>234</v>
      </c>
      <c r="B173" t="s">
        <v>344</v>
      </c>
    </row>
    <row r="174" spans="1:2" x14ac:dyDescent="0.35">
      <c r="A174" t="s">
        <v>226</v>
      </c>
      <c r="B174" t="s">
        <v>341</v>
      </c>
    </row>
    <row r="175" spans="1:2" x14ac:dyDescent="0.35">
      <c r="A175" t="s">
        <v>202</v>
      </c>
      <c r="B175" t="s">
        <v>344</v>
      </c>
    </row>
    <row r="176" spans="1:2" x14ac:dyDescent="0.35">
      <c r="A176" t="s">
        <v>240</v>
      </c>
      <c r="B176" t="s">
        <v>344</v>
      </c>
    </row>
    <row r="177" spans="1:2" x14ac:dyDescent="0.35">
      <c r="A177" t="s">
        <v>68</v>
      </c>
      <c r="B177" t="s">
        <v>341</v>
      </c>
    </row>
    <row r="178" spans="1:2" x14ac:dyDescent="0.35">
      <c r="A178" t="s">
        <v>296</v>
      </c>
      <c r="B178" t="s">
        <v>345</v>
      </c>
    </row>
    <row r="179" spans="1:2" x14ac:dyDescent="0.35">
      <c r="A179" t="s">
        <v>17</v>
      </c>
      <c r="B179" t="s">
        <v>345</v>
      </c>
    </row>
    <row r="180" spans="1:2" x14ac:dyDescent="0.35">
      <c r="A180" t="s">
        <v>245</v>
      </c>
      <c r="B180" t="s">
        <v>341</v>
      </c>
    </row>
    <row r="181" spans="1:2" x14ac:dyDescent="0.35">
      <c r="A181" t="s">
        <v>123</v>
      </c>
      <c r="B181" t="s">
        <v>343</v>
      </c>
    </row>
    <row r="182" spans="1:2" x14ac:dyDescent="0.35">
      <c r="A182" t="s">
        <v>260</v>
      </c>
      <c r="B182" t="s">
        <v>341</v>
      </c>
    </row>
    <row r="183" spans="1:2" x14ac:dyDescent="0.35">
      <c r="A183" t="s">
        <v>239</v>
      </c>
      <c r="B183" t="s">
        <v>342</v>
      </c>
    </row>
    <row r="184" spans="1:2" x14ac:dyDescent="0.35">
      <c r="A184" t="s">
        <v>139</v>
      </c>
      <c r="B184" t="s">
        <v>343</v>
      </c>
    </row>
    <row r="185" spans="1:2" x14ac:dyDescent="0.35">
      <c r="A185" t="s">
        <v>271</v>
      </c>
      <c r="B185" t="s">
        <v>344</v>
      </c>
    </row>
    <row r="186" spans="1:2" x14ac:dyDescent="0.35">
      <c r="A186" t="s">
        <v>91</v>
      </c>
      <c r="B186" t="s">
        <v>345</v>
      </c>
    </row>
    <row r="187" spans="1:2" x14ac:dyDescent="0.35">
      <c r="A187" t="s">
        <v>21</v>
      </c>
      <c r="B187" t="s">
        <v>345</v>
      </c>
    </row>
    <row r="188" spans="1:2" x14ac:dyDescent="0.35">
      <c r="A188" t="s">
        <v>257</v>
      </c>
      <c r="B188" t="s">
        <v>343</v>
      </c>
    </row>
    <row r="189" spans="1:2" x14ac:dyDescent="0.35">
      <c r="A189" t="s">
        <v>143</v>
      </c>
      <c r="B189" t="s">
        <v>345</v>
      </c>
    </row>
    <row r="190" spans="1:2" x14ac:dyDescent="0.35">
      <c r="A190" t="s">
        <v>276</v>
      </c>
      <c r="B190" t="s">
        <v>343</v>
      </c>
    </row>
    <row r="191" spans="1:2" x14ac:dyDescent="0.35">
      <c r="A191" t="s">
        <v>188</v>
      </c>
      <c r="B191" t="s">
        <v>343</v>
      </c>
    </row>
    <row r="192" spans="1:2" x14ac:dyDescent="0.35">
      <c r="A192" t="s">
        <v>199</v>
      </c>
      <c r="B192" t="s">
        <v>345</v>
      </c>
    </row>
    <row r="193" spans="1:2" x14ac:dyDescent="0.35">
      <c r="A193" t="s">
        <v>196</v>
      </c>
      <c r="B193" t="s">
        <v>344</v>
      </c>
    </row>
    <row r="194" spans="1:2" x14ac:dyDescent="0.35">
      <c r="A194" t="s">
        <v>141</v>
      </c>
      <c r="B194" t="s">
        <v>343</v>
      </c>
    </row>
    <row r="195" spans="1:2" x14ac:dyDescent="0.35">
      <c r="A195" t="s">
        <v>52</v>
      </c>
      <c r="B195" t="s">
        <v>345</v>
      </c>
    </row>
    <row r="196" spans="1:2" x14ac:dyDescent="0.35">
      <c r="A196" t="s">
        <v>238</v>
      </c>
      <c r="B196" t="s">
        <v>343</v>
      </c>
    </row>
    <row r="197" spans="1:2" x14ac:dyDescent="0.35">
      <c r="A197" t="s">
        <v>100</v>
      </c>
      <c r="B197" t="s">
        <v>342</v>
      </c>
    </row>
    <row r="198" spans="1:2" x14ac:dyDescent="0.35">
      <c r="A198" t="s">
        <v>172</v>
      </c>
      <c r="B198" t="s">
        <v>345</v>
      </c>
    </row>
    <row r="199" spans="1:2" x14ac:dyDescent="0.35">
      <c r="A199" t="s">
        <v>222</v>
      </c>
      <c r="B199" t="s">
        <v>341</v>
      </c>
    </row>
    <row r="200" spans="1:2" x14ac:dyDescent="0.35">
      <c r="A200" t="s">
        <v>281</v>
      </c>
      <c r="B200" t="s">
        <v>345</v>
      </c>
    </row>
    <row r="201" spans="1:2" x14ac:dyDescent="0.35">
      <c r="A201" t="s">
        <v>270</v>
      </c>
      <c r="B201" t="s">
        <v>344</v>
      </c>
    </row>
    <row r="202" spans="1:2" x14ac:dyDescent="0.35">
      <c r="A202" t="s">
        <v>292</v>
      </c>
      <c r="B202" t="s">
        <v>343</v>
      </c>
    </row>
    <row r="203" spans="1:2" x14ac:dyDescent="0.35">
      <c r="A203" t="s">
        <v>133</v>
      </c>
      <c r="B203" t="s">
        <v>342</v>
      </c>
    </row>
    <row r="204" spans="1:2" x14ac:dyDescent="0.35">
      <c r="A204" t="s">
        <v>95</v>
      </c>
      <c r="B204" t="s">
        <v>343</v>
      </c>
    </row>
    <row r="205" spans="1:2" x14ac:dyDescent="0.35">
      <c r="A205" t="s">
        <v>304</v>
      </c>
      <c r="B205" t="s">
        <v>344</v>
      </c>
    </row>
    <row r="206" spans="1:2" x14ac:dyDescent="0.35">
      <c r="A206" t="s">
        <v>263</v>
      </c>
      <c r="B206" t="s">
        <v>344</v>
      </c>
    </row>
    <row r="207" spans="1:2" x14ac:dyDescent="0.35">
      <c r="A207" t="s">
        <v>272</v>
      </c>
      <c r="B207" t="s">
        <v>342</v>
      </c>
    </row>
    <row r="208" spans="1:2" x14ac:dyDescent="0.35">
      <c r="A208" t="s">
        <v>294</v>
      </c>
      <c r="B208" t="s">
        <v>344</v>
      </c>
    </row>
    <row r="209" spans="1:2" x14ac:dyDescent="0.35">
      <c r="A209" t="s">
        <v>149</v>
      </c>
      <c r="B209" t="s">
        <v>344</v>
      </c>
    </row>
    <row r="210" spans="1:2" x14ac:dyDescent="0.35">
      <c r="A210" t="s">
        <v>280</v>
      </c>
      <c r="B210" t="s">
        <v>344</v>
      </c>
    </row>
    <row r="211" spans="1:2" x14ac:dyDescent="0.35">
      <c r="A211" t="s">
        <v>225</v>
      </c>
      <c r="B211" t="s">
        <v>344</v>
      </c>
    </row>
    <row r="212" spans="1:2" x14ac:dyDescent="0.35">
      <c r="A212" t="s">
        <v>140</v>
      </c>
      <c r="B212" t="s">
        <v>344</v>
      </c>
    </row>
    <row r="213" spans="1:2" x14ac:dyDescent="0.35">
      <c r="A213" t="s">
        <v>105</v>
      </c>
      <c r="B213" t="s">
        <v>344</v>
      </c>
    </row>
    <row r="214" spans="1:2" x14ac:dyDescent="0.35">
      <c r="A214" t="s">
        <v>228</v>
      </c>
      <c r="B214" t="s">
        <v>344</v>
      </c>
    </row>
    <row r="215" spans="1:2" x14ac:dyDescent="0.35">
      <c r="A215" t="s">
        <v>99</v>
      </c>
      <c r="B215" t="s">
        <v>343</v>
      </c>
    </row>
    <row r="216" spans="1:2" x14ac:dyDescent="0.35">
      <c r="A216" t="s">
        <v>185</v>
      </c>
      <c r="B216" t="s">
        <v>343</v>
      </c>
    </row>
    <row r="217" spans="1:2" x14ac:dyDescent="0.35">
      <c r="A217" t="s">
        <v>178</v>
      </c>
      <c r="B217" t="s">
        <v>342</v>
      </c>
    </row>
    <row r="218" spans="1:2" x14ac:dyDescent="0.35">
      <c r="A218" t="s">
        <v>244</v>
      </c>
      <c r="B218" t="s">
        <v>343</v>
      </c>
    </row>
    <row r="219" spans="1:2" x14ac:dyDescent="0.35">
      <c r="A219" t="s">
        <v>289</v>
      </c>
      <c r="B219" t="s">
        <v>343</v>
      </c>
    </row>
    <row r="220" spans="1:2" x14ac:dyDescent="0.35">
      <c r="A220" t="s">
        <v>204</v>
      </c>
      <c r="B220" t="s">
        <v>343</v>
      </c>
    </row>
    <row r="221" spans="1:2" x14ac:dyDescent="0.35">
      <c r="A221" t="s">
        <v>284</v>
      </c>
      <c r="B221" t="s">
        <v>343</v>
      </c>
    </row>
    <row r="222" spans="1:2" x14ac:dyDescent="0.35">
      <c r="A222" t="s">
        <v>168</v>
      </c>
      <c r="B222" t="s">
        <v>341</v>
      </c>
    </row>
    <row r="223" spans="1:2" x14ac:dyDescent="0.35">
      <c r="A223" t="s">
        <v>85</v>
      </c>
      <c r="B223" t="s">
        <v>345</v>
      </c>
    </row>
    <row r="224" spans="1:2" x14ac:dyDescent="0.35">
      <c r="A224" t="s">
        <v>250</v>
      </c>
      <c r="B224" t="s">
        <v>344</v>
      </c>
    </row>
    <row r="225" spans="1:2" x14ac:dyDescent="0.35">
      <c r="A225" t="s">
        <v>29</v>
      </c>
      <c r="B225" t="s">
        <v>345</v>
      </c>
    </row>
    <row r="226" spans="1:2" x14ac:dyDescent="0.35">
      <c r="A226" t="s">
        <v>206</v>
      </c>
      <c r="B226" t="s">
        <v>342</v>
      </c>
    </row>
    <row r="227" spans="1:2" x14ac:dyDescent="0.35">
      <c r="A227" t="s">
        <v>308</v>
      </c>
      <c r="B227" t="s">
        <v>345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39B76-2F8F-481E-97C9-C7934F357F2B}">
  <dimension ref="A1:C260"/>
  <sheetViews>
    <sheetView zoomScale="52" workbookViewId="0">
      <selection activeCell="E6" sqref="E6"/>
    </sheetView>
  </sheetViews>
  <sheetFormatPr defaultRowHeight="14.5" x14ac:dyDescent="0.35"/>
  <cols>
    <col min="1" max="1" width="51.453125" bestFit="1" customWidth="1"/>
    <col min="2" max="3" width="27.26953125" bestFit="1" customWidth="1"/>
  </cols>
  <sheetData>
    <row r="1" spans="1:3" x14ac:dyDescent="0.35">
      <c r="A1" t="s">
        <v>354</v>
      </c>
    </row>
    <row r="2" spans="1:3" x14ac:dyDescent="0.35">
      <c r="A2" s="11" t="s">
        <v>346</v>
      </c>
      <c r="B2" s="11" t="s">
        <v>350</v>
      </c>
      <c r="C2" t="s">
        <v>348</v>
      </c>
    </row>
    <row r="3" spans="1:3" x14ac:dyDescent="0.35">
      <c r="A3" s="12" t="s">
        <v>330</v>
      </c>
      <c r="B3" s="13">
        <v>318.14999999999998</v>
      </c>
      <c r="C3" s="13">
        <v>417.74000000000007</v>
      </c>
    </row>
    <row r="4" spans="1:3" x14ac:dyDescent="0.35">
      <c r="A4" s="16" t="s">
        <v>103</v>
      </c>
      <c r="B4" s="13">
        <v>34.369999999999997</v>
      </c>
      <c r="C4" s="13">
        <v>8.35</v>
      </c>
    </row>
    <row r="5" spans="1:3" x14ac:dyDescent="0.35">
      <c r="A5" s="17" t="s">
        <v>104</v>
      </c>
      <c r="B5" s="13">
        <v>34.369999999999997</v>
      </c>
      <c r="C5" s="13">
        <v>8.35</v>
      </c>
    </row>
    <row r="6" spans="1:3" x14ac:dyDescent="0.35">
      <c r="A6" s="16" t="s">
        <v>57</v>
      </c>
      <c r="B6" s="13">
        <v>283.78000000000003</v>
      </c>
      <c r="C6" s="13">
        <v>409.39000000000004</v>
      </c>
    </row>
    <row r="7" spans="1:3" x14ac:dyDescent="0.35">
      <c r="A7" s="17" t="s">
        <v>162</v>
      </c>
      <c r="B7" s="13">
        <v>5.86</v>
      </c>
      <c r="C7" s="13">
        <v>7.4</v>
      </c>
    </row>
    <row r="8" spans="1:3" x14ac:dyDescent="0.35">
      <c r="A8" s="17" t="s">
        <v>175</v>
      </c>
      <c r="B8" s="13">
        <v>1.75</v>
      </c>
      <c r="C8" s="13">
        <v>23.330000000000005</v>
      </c>
    </row>
    <row r="9" spans="1:3" x14ac:dyDescent="0.35">
      <c r="A9" s="17" t="s">
        <v>97</v>
      </c>
      <c r="B9" s="13">
        <v>36.510000000000012</v>
      </c>
      <c r="C9" s="13">
        <v>87.81</v>
      </c>
    </row>
    <row r="10" spans="1:3" x14ac:dyDescent="0.35">
      <c r="A10" s="17" t="s">
        <v>58</v>
      </c>
      <c r="B10" s="13">
        <v>193.29</v>
      </c>
      <c r="C10" s="13">
        <v>190.05</v>
      </c>
    </row>
    <row r="11" spans="1:3" x14ac:dyDescent="0.35">
      <c r="A11" s="17" t="s">
        <v>161</v>
      </c>
      <c r="B11" s="13">
        <v>43.319999999999993</v>
      </c>
      <c r="C11" s="13">
        <v>35.96</v>
      </c>
    </row>
    <row r="12" spans="1:3" x14ac:dyDescent="0.35">
      <c r="A12" s="17" t="s">
        <v>61</v>
      </c>
      <c r="B12" s="13">
        <v>0</v>
      </c>
      <c r="C12" s="13">
        <v>62.25</v>
      </c>
    </row>
    <row r="13" spans="1:3" x14ac:dyDescent="0.35">
      <c r="A13" s="17" t="s">
        <v>197</v>
      </c>
      <c r="B13" s="13">
        <v>1.92</v>
      </c>
      <c r="C13" s="13">
        <v>1.74</v>
      </c>
    </row>
    <row r="14" spans="1:3" x14ac:dyDescent="0.35">
      <c r="A14" s="17" t="s">
        <v>225</v>
      </c>
      <c r="B14" s="13">
        <v>1.1299999999999999</v>
      </c>
      <c r="C14" s="13">
        <v>0.85000000000000009</v>
      </c>
    </row>
    <row r="15" spans="1:3" x14ac:dyDescent="0.35">
      <c r="A15" s="12" t="s">
        <v>329</v>
      </c>
      <c r="B15" s="13">
        <v>1691.5999999999997</v>
      </c>
      <c r="C15" s="13">
        <v>2001.3899999999999</v>
      </c>
    </row>
    <row r="16" spans="1:3" x14ac:dyDescent="0.35">
      <c r="A16" s="16" t="s">
        <v>94</v>
      </c>
      <c r="B16" s="13">
        <v>331.59999999999997</v>
      </c>
      <c r="C16" s="13">
        <v>351.69999999999993</v>
      </c>
    </row>
    <row r="17" spans="1:3" x14ac:dyDescent="0.35">
      <c r="A17" s="17" t="s">
        <v>203</v>
      </c>
      <c r="B17" s="13">
        <v>3.0599999999999996</v>
      </c>
      <c r="C17" s="13">
        <v>1.93</v>
      </c>
    </row>
    <row r="18" spans="1:3" x14ac:dyDescent="0.35">
      <c r="A18" s="17" t="s">
        <v>184</v>
      </c>
      <c r="B18" s="13">
        <v>12.04</v>
      </c>
      <c r="C18" s="13">
        <v>9.5399999999999991</v>
      </c>
    </row>
    <row r="19" spans="1:3" x14ac:dyDescent="0.35">
      <c r="A19" s="17" t="s">
        <v>247</v>
      </c>
      <c r="B19" s="13">
        <v>0.04</v>
      </c>
      <c r="C19" s="13">
        <v>0.15000000000000002</v>
      </c>
    </row>
    <row r="20" spans="1:3" x14ac:dyDescent="0.35">
      <c r="A20" s="17" t="s">
        <v>287</v>
      </c>
      <c r="B20" s="13">
        <v>0</v>
      </c>
      <c r="C20" s="13">
        <v>0.26</v>
      </c>
    </row>
    <row r="21" spans="1:3" x14ac:dyDescent="0.35">
      <c r="A21" s="17" t="s">
        <v>112</v>
      </c>
      <c r="B21" s="13">
        <v>86.350000000000009</v>
      </c>
      <c r="C21" s="13">
        <v>69.27</v>
      </c>
    </row>
    <row r="22" spans="1:3" x14ac:dyDescent="0.35">
      <c r="A22" s="17" t="s">
        <v>286</v>
      </c>
      <c r="B22" s="13">
        <v>0.08</v>
      </c>
      <c r="C22" s="13">
        <v>0</v>
      </c>
    </row>
    <row r="23" spans="1:3" x14ac:dyDescent="0.35">
      <c r="A23" s="17" t="s">
        <v>257</v>
      </c>
      <c r="B23" s="13">
        <v>0.02</v>
      </c>
      <c r="C23" s="13">
        <v>0</v>
      </c>
    </row>
    <row r="24" spans="1:3" x14ac:dyDescent="0.35">
      <c r="A24" s="17" t="s">
        <v>188</v>
      </c>
      <c r="B24" s="13">
        <v>14.659999999999995</v>
      </c>
      <c r="C24" s="13">
        <v>14.609999999999998</v>
      </c>
    </row>
    <row r="25" spans="1:3" x14ac:dyDescent="0.35">
      <c r="A25" s="17" t="s">
        <v>238</v>
      </c>
      <c r="B25" s="13">
        <v>0.09</v>
      </c>
      <c r="C25" s="13">
        <v>0.31000000000000005</v>
      </c>
    </row>
    <row r="26" spans="1:3" x14ac:dyDescent="0.35">
      <c r="A26" s="17" t="s">
        <v>95</v>
      </c>
      <c r="B26" s="13">
        <v>215.25999999999996</v>
      </c>
      <c r="C26" s="13">
        <v>255.62999999999997</v>
      </c>
    </row>
    <row r="27" spans="1:3" x14ac:dyDescent="0.35">
      <c r="A27" s="16" t="s">
        <v>129</v>
      </c>
      <c r="B27" s="13">
        <v>37.000000000000007</v>
      </c>
      <c r="C27" s="13">
        <v>83</v>
      </c>
    </row>
    <row r="28" spans="1:3" x14ac:dyDescent="0.35">
      <c r="A28" s="17" t="s">
        <v>147</v>
      </c>
      <c r="B28" s="13">
        <v>37.000000000000007</v>
      </c>
      <c r="C28" s="13">
        <v>47.780000000000008</v>
      </c>
    </row>
    <row r="29" spans="1:3" x14ac:dyDescent="0.35">
      <c r="A29" s="17" t="s">
        <v>295</v>
      </c>
      <c r="B29" s="13">
        <v>0</v>
      </c>
      <c r="C29" s="13">
        <v>0.02</v>
      </c>
    </row>
    <row r="30" spans="1:3" x14ac:dyDescent="0.35">
      <c r="A30" s="17" t="s">
        <v>130</v>
      </c>
      <c r="B30" s="13">
        <v>0</v>
      </c>
      <c r="C30" s="13">
        <v>34.51</v>
      </c>
    </row>
    <row r="31" spans="1:3" x14ac:dyDescent="0.35">
      <c r="A31" s="17" t="s">
        <v>199</v>
      </c>
      <c r="B31" s="13">
        <v>0</v>
      </c>
      <c r="C31" s="13">
        <v>0.69</v>
      </c>
    </row>
    <row r="32" spans="1:3" x14ac:dyDescent="0.35">
      <c r="A32" s="16" t="s">
        <v>31</v>
      </c>
      <c r="B32" s="13">
        <v>1322.9999999999998</v>
      </c>
      <c r="C32" s="13">
        <v>1566.6899999999998</v>
      </c>
    </row>
    <row r="33" spans="1:3" x14ac:dyDescent="0.35">
      <c r="A33" s="17" t="s">
        <v>171</v>
      </c>
      <c r="B33" s="13">
        <v>17.68</v>
      </c>
      <c r="C33" s="13">
        <v>24.250000000000007</v>
      </c>
    </row>
    <row r="34" spans="1:3" x14ac:dyDescent="0.35">
      <c r="A34" s="17" t="s">
        <v>169</v>
      </c>
      <c r="B34" s="13">
        <v>8.9299999999999979</v>
      </c>
      <c r="C34" s="13">
        <v>8.6900000000000013</v>
      </c>
    </row>
    <row r="35" spans="1:3" x14ac:dyDescent="0.35">
      <c r="A35" s="17" t="s">
        <v>217</v>
      </c>
      <c r="B35" s="13">
        <v>0.61</v>
      </c>
      <c r="C35" s="13">
        <v>0.35000000000000003</v>
      </c>
    </row>
    <row r="36" spans="1:3" x14ac:dyDescent="0.35">
      <c r="A36" s="17" t="s">
        <v>152</v>
      </c>
      <c r="B36" s="13">
        <v>107.63</v>
      </c>
      <c r="C36" s="13">
        <v>191.87999999999997</v>
      </c>
    </row>
    <row r="37" spans="1:3" x14ac:dyDescent="0.35">
      <c r="A37" s="17" t="s">
        <v>101</v>
      </c>
      <c r="B37" s="13">
        <v>119.01999999999997</v>
      </c>
      <c r="C37" s="13">
        <v>297.21000000000004</v>
      </c>
    </row>
    <row r="38" spans="1:3" x14ac:dyDescent="0.35">
      <c r="A38" s="17" t="s">
        <v>285</v>
      </c>
      <c r="B38" s="13">
        <v>0.95</v>
      </c>
      <c r="C38" s="13">
        <v>0.28000000000000003</v>
      </c>
    </row>
    <row r="39" spans="1:3" x14ac:dyDescent="0.35">
      <c r="A39" s="17" t="s">
        <v>131</v>
      </c>
      <c r="B39" s="13">
        <v>104.18999999999998</v>
      </c>
      <c r="C39" s="13">
        <v>111.24999999999997</v>
      </c>
    </row>
    <row r="40" spans="1:3" x14ac:dyDescent="0.35">
      <c r="A40" s="17" t="s">
        <v>288</v>
      </c>
      <c r="B40" s="13">
        <v>0.26</v>
      </c>
      <c r="C40" s="13">
        <v>0.01</v>
      </c>
    </row>
    <row r="41" spans="1:3" x14ac:dyDescent="0.35">
      <c r="A41" s="17" t="s">
        <v>192</v>
      </c>
      <c r="B41" s="13">
        <v>5.089999999999999</v>
      </c>
      <c r="C41" s="13">
        <v>6.6799999999999988</v>
      </c>
    </row>
    <row r="42" spans="1:3" x14ac:dyDescent="0.35">
      <c r="A42" s="17" t="s">
        <v>32</v>
      </c>
      <c r="B42" s="13">
        <v>519.03999999999985</v>
      </c>
      <c r="C42" s="13">
        <v>598.27</v>
      </c>
    </row>
    <row r="43" spans="1:3" x14ac:dyDescent="0.35">
      <c r="A43" s="17" t="s">
        <v>146</v>
      </c>
      <c r="B43" s="13">
        <v>143.29</v>
      </c>
      <c r="C43" s="13">
        <v>93.53</v>
      </c>
    </row>
    <row r="44" spans="1:3" x14ac:dyDescent="0.35">
      <c r="A44" s="17" t="s">
        <v>290</v>
      </c>
      <c r="B44" s="13">
        <v>0.08</v>
      </c>
      <c r="C44" s="13">
        <v>0</v>
      </c>
    </row>
    <row r="45" spans="1:3" x14ac:dyDescent="0.35">
      <c r="A45" s="17" t="s">
        <v>242</v>
      </c>
      <c r="B45" s="13">
        <v>1.8299999999999998</v>
      </c>
      <c r="C45" s="13">
        <v>1.7000000000000002</v>
      </c>
    </row>
    <row r="46" spans="1:3" x14ac:dyDescent="0.35">
      <c r="A46" s="17" t="s">
        <v>249</v>
      </c>
      <c r="B46" s="13">
        <v>0.13999999999999999</v>
      </c>
      <c r="C46" s="13">
        <v>0.04</v>
      </c>
    </row>
    <row r="47" spans="1:3" x14ac:dyDescent="0.35">
      <c r="A47" s="17" t="s">
        <v>215</v>
      </c>
      <c r="B47" s="13">
        <v>1.39</v>
      </c>
      <c r="C47" s="13">
        <v>1.3600000000000003</v>
      </c>
    </row>
    <row r="48" spans="1:3" x14ac:dyDescent="0.35">
      <c r="A48" s="17" t="s">
        <v>139</v>
      </c>
      <c r="B48" s="13">
        <v>85.380000000000024</v>
      </c>
      <c r="C48" s="13">
        <v>86.919999999999987</v>
      </c>
    </row>
    <row r="49" spans="1:3" x14ac:dyDescent="0.35">
      <c r="A49" s="17" t="s">
        <v>141</v>
      </c>
      <c r="B49" s="13">
        <v>173.60999999999996</v>
      </c>
      <c r="C49" s="13">
        <v>103.71000000000001</v>
      </c>
    </row>
    <row r="50" spans="1:3" x14ac:dyDescent="0.35">
      <c r="A50" s="17" t="s">
        <v>292</v>
      </c>
      <c r="B50" s="13">
        <v>8.8099999999999987</v>
      </c>
      <c r="C50" s="13">
        <v>0</v>
      </c>
    </row>
    <row r="51" spans="1:3" x14ac:dyDescent="0.35">
      <c r="A51" s="17" t="s">
        <v>133</v>
      </c>
      <c r="B51" s="13">
        <v>6.34</v>
      </c>
      <c r="C51" s="13">
        <v>11.72</v>
      </c>
    </row>
    <row r="52" spans="1:3" x14ac:dyDescent="0.35">
      <c r="A52" s="17" t="s">
        <v>99</v>
      </c>
      <c r="B52" s="13">
        <v>14.21</v>
      </c>
      <c r="C52" s="13">
        <v>27.48</v>
      </c>
    </row>
    <row r="53" spans="1:3" x14ac:dyDescent="0.35">
      <c r="A53" s="17" t="s">
        <v>204</v>
      </c>
      <c r="B53" s="13">
        <v>4.5199999999999996</v>
      </c>
      <c r="C53" s="13">
        <v>1.36</v>
      </c>
    </row>
    <row r="54" spans="1:3" x14ac:dyDescent="0.35">
      <c r="A54" s="12" t="s">
        <v>331</v>
      </c>
      <c r="B54" s="13">
        <v>6161.68</v>
      </c>
      <c r="C54" s="13">
        <v>6954.9400000000014</v>
      </c>
    </row>
    <row r="55" spans="1:3" x14ac:dyDescent="0.35">
      <c r="A55" s="16" t="s">
        <v>86</v>
      </c>
      <c r="B55" s="13">
        <v>203.47000000000006</v>
      </c>
      <c r="C55" s="13">
        <v>241.74999999999997</v>
      </c>
    </row>
    <row r="56" spans="1:3" x14ac:dyDescent="0.35">
      <c r="A56" s="17" t="s">
        <v>106</v>
      </c>
      <c r="B56" s="13">
        <v>83.800000000000026</v>
      </c>
      <c r="C56" s="13">
        <v>93.45</v>
      </c>
    </row>
    <row r="57" spans="1:3" x14ac:dyDescent="0.35">
      <c r="A57" s="17" t="s">
        <v>87</v>
      </c>
      <c r="B57" s="13">
        <v>117.09</v>
      </c>
      <c r="C57" s="13">
        <v>143.26999999999998</v>
      </c>
    </row>
    <row r="58" spans="1:3" x14ac:dyDescent="0.35">
      <c r="A58" s="17" t="s">
        <v>207</v>
      </c>
      <c r="B58" s="13">
        <v>2.5799999999999996</v>
      </c>
      <c r="C58" s="13">
        <v>5.0299999999999994</v>
      </c>
    </row>
    <row r="59" spans="1:3" x14ac:dyDescent="0.35">
      <c r="A59" s="16" t="s">
        <v>35</v>
      </c>
      <c r="B59" s="13">
        <v>2340.6899999999996</v>
      </c>
      <c r="C59" s="13">
        <v>2205.6799999999998</v>
      </c>
    </row>
    <row r="60" spans="1:3" x14ac:dyDescent="0.35">
      <c r="A60" s="17" t="s">
        <v>96</v>
      </c>
      <c r="B60" s="13">
        <v>134.98999999999998</v>
      </c>
      <c r="C60" s="13">
        <v>64.63</v>
      </c>
    </row>
    <row r="61" spans="1:3" x14ac:dyDescent="0.35">
      <c r="A61" s="17" t="s">
        <v>279</v>
      </c>
      <c r="B61" s="13">
        <v>0</v>
      </c>
      <c r="C61" s="13">
        <v>0.06</v>
      </c>
    </row>
    <row r="62" spans="1:3" x14ac:dyDescent="0.35">
      <c r="A62" s="17" t="s">
        <v>201</v>
      </c>
      <c r="B62" s="13">
        <v>0.79</v>
      </c>
      <c r="C62" s="13">
        <v>1.4200000000000002</v>
      </c>
    </row>
    <row r="63" spans="1:3" x14ac:dyDescent="0.35">
      <c r="A63" s="17" t="s">
        <v>47</v>
      </c>
      <c r="B63" s="13">
        <v>291.95999999999992</v>
      </c>
      <c r="C63" s="13">
        <v>261.32999999999987</v>
      </c>
    </row>
    <row r="64" spans="1:3" x14ac:dyDescent="0.35">
      <c r="A64" s="17" t="s">
        <v>37</v>
      </c>
      <c r="B64" s="13">
        <v>123.27999999999999</v>
      </c>
      <c r="C64" s="13">
        <v>291.39999999999986</v>
      </c>
    </row>
    <row r="65" spans="1:3" x14ac:dyDescent="0.35">
      <c r="A65" s="17" t="s">
        <v>88</v>
      </c>
      <c r="B65" s="13">
        <v>181.20999999999998</v>
      </c>
      <c r="C65" s="13">
        <v>148.61000000000001</v>
      </c>
    </row>
    <row r="66" spans="1:3" x14ac:dyDescent="0.35">
      <c r="A66" s="17" t="s">
        <v>198</v>
      </c>
      <c r="B66" s="13">
        <v>5.54</v>
      </c>
      <c r="C66" s="13">
        <v>3.2699999999999996</v>
      </c>
    </row>
    <row r="67" spans="1:3" x14ac:dyDescent="0.35">
      <c r="A67" s="17" t="s">
        <v>36</v>
      </c>
      <c r="B67" s="13">
        <v>767.67</v>
      </c>
      <c r="C67" s="13">
        <v>709.43999999999994</v>
      </c>
    </row>
    <row r="68" spans="1:3" x14ac:dyDescent="0.35">
      <c r="A68" s="17" t="s">
        <v>38</v>
      </c>
      <c r="B68" s="13">
        <v>834.16000000000008</v>
      </c>
      <c r="C68" s="13">
        <v>711.04</v>
      </c>
    </row>
    <row r="69" spans="1:3" x14ac:dyDescent="0.35">
      <c r="A69" s="17" t="s">
        <v>165</v>
      </c>
      <c r="B69" s="13">
        <v>1.0900000000000001</v>
      </c>
      <c r="C69" s="13">
        <v>14.479999999999993</v>
      </c>
    </row>
    <row r="70" spans="1:3" x14ac:dyDescent="0.35">
      <c r="A70" s="16" t="s">
        <v>212</v>
      </c>
      <c r="B70" s="13">
        <v>0.88</v>
      </c>
      <c r="C70" s="13">
        <v>0.08</v>
      </c>
    </row>
    <row r="71" spans="1:3" x14ac:dyDescent="0.35">
      <c r="A71" s="17" t="s">
        <v>213</v>
      </c>
      <c r="B71" s="13">
        <v>0.88</v>
      </c>
      <c r="C71" s="13">
        <v>0.08</v>
      </c>
    </row>
    <row r="72" spans="1:3" x14ac:dyDescent="0.35">
      <c r="A72" s="16" t="s">
        <v>66</v>
      </c>
      <c r="B72" s="13">
        <v>737.6099999999999</v>
      </c>
      <c r="C72" s="13">
        <v>720.5100000000001</v>
      </c>
    </row>
    <row r="73" spans="1:3" x14ac:dyDescent="0.35">
      <c r="A73" s="17" t="s">
        <v>219</v>
      </c>
      <c r="B73" s="13">
        <v>1.1800000000000002</v>
      </c>
      <c r="C73" s="13">
        <v>1.2200000000000002</v>
      </c>
    </row>
    <row r="74" spans="1:3" x14ac:dyDescent="0.35">
      <c r="A74" s="17" t="s">
        <v>67</v>
      </c>
      <c r="B74" s="13">
        <v>25.75</v>
      </c>
      <c r="C74" s="13">
        <v>101.53000000000002</v>
      </c>
    </row>
    <row r="75" spans="1:3" x14ac:dyDescent="0.35">
      <c r="A75" s="17" t="s">
        <v>297</v>
      </c>
      <c r="B75" s="13">
        <v>0.01</v>
      </c>
      <c r="C75" s="13">
        <v>0</v>
      </c>
    </row>
    <row r="76" spans="1:3" x14ac:dyDescent="0.35">
      <c r="A76" s="17" t="s">
        <v>224</v>
      </c>
      <c r="B76" s="13">
        <v>15.02</v>
      </c>
      <c r="C76" s="13">
        <v>7.8</v>
      </c>
    </row>
    <row r="77" spans="1:3" x14ac:dyDescent="0.35">
      <c r="A77" s="17" t="s">
        <v>71</v>
      </c>
      <c r="B77" s="13">
        <v>166.73</v>
      </c>
      <c r="C77" s="13">
        <v>112.70000000000002</v>
      </c>
    </row>
    <row r="78" spans="1:3" x14ac:dyDescent="0.35">
      <c r="A78" s="17" t="s">
        <v>73</v>
      </c>
      <c r="B78" s="13">
        <v>273.91999999999996</v>
      </c>
      <c r="C78" s="13">
        <v>230.99</v>
      </c>
    </row>
    <row r="79" spans="1:3" x14ac:dyDescent="0.35">
      <c r="A79" s="17" t="s">
        <v>300</v>
      </c>
      <c r="B79" s="13">
        <v>0</v>
      </c>
      <c r="C79" s="13">
        <v>0.05</v>
      </c>
    </row>
    <row r="80" spans="1:3" x14ac:dyDescent="0.35">
      <c r="A80" s="17" t="s">
        <v>208</v>
      </c>
      <c r="B80" s="13">
        <v>3.399999999999999</v>
      </c>
      <c r="C80" s="13">
        <v>2.370000000000001</v>
      </c>
    </row>
    <row r="81" spans="1:3" x14ac:dyDescent="0.35">
      <c r="A81" s="17" t="s">
        <v>127</v>
      </c>
      <c r="B81" s="13">
        <v>115.36999999999998</v>
      </c>
      <c r="C81" s="13">
        <v>63.060000000000009</v>
      </c>
    </row>
    <row r="82" spans="1:3" x14ac:dyDescent="0.35">
      <c r="A82" s="17" t="s">
        <v>108</v>
      </c>
      <c r="B82" s="13">
        <v>136.23000000000002</v>
      </c>
      <c r="C82" s="13">
        <v>100.61000000000001</v>
      </c>
    </row>
    <row r="83" spans="1:3" x14ac:dyDescent="0.35">
      <c r="A83" s="17" t="s">
        <v>100</v>
      </c>
      <c r="B83" s="13">
        <v>0</v>
      </c>
      <c r="C83" s="13">
        <v>100.18000000000002</v>
      </c>
    </row>
    <row r="84" spans="1:3" x14ac:dyDescent="0.35">
      <c r="A84" s="16" t="s">
        <v>49</v>
      </c>
      <c r="B84" s="13">
        <v>167.62</v>
      </c>
      <c r="C84" s="13">
        <v>282.02999999999997</v>
      </c>
    </row>
    <row r="85" spans="1:3" x14ac:dyDescent="0.35">
      <c r="A85" s="17" t="s">
        <v>163</v>
      </c>
      <c r="B85" s="13">
        <v>0</v>
      </c>
      <c r="C85" s="13">
        <v>0.96</v>
      </c>
    </row>
    <row r="86" spans="1:3" x14ac:dyDescent="0.35">
      <c r="A86" s="17" t="s">
        <v>50</v>
      </c>
      <c r="B86" s="13">
        <v>0</v>
      </c>
      <c r="C86" s="13">
        <v>108.21</v>
      </c>
    </row>
    <row r="87" spans="1:3" x14ac:dyDescent="0.35">
      <c r="A87" s="17" t="s">
        <v>302</v>
      </c>
      <c r="B87" s="13">
        <v>0.26</v>
      </c>
      <c r="C87" s="13">
        <v>0</v>
      </c>
    </row>
    <row r="88" spans="1:3" x14ac:dyDescent="0.35">
      <c r="A88" s="17" t="s">
        <v>70</v>
      </c>
      <c r="B88" s="13">
        <v>123.73999999999998</v>
      </c>
      <c r="C88" s="13">
        <v>134.26999999999998</v>
      </c>
    </row>
    <row r="89" spans="1:3" x14ac:dyDescent="0.35">
      <c r="A89" s="17" t="s">
        <v>176</v>
      </c>
      <c r="B89" s="13">
        <v>14.269999999999996</v>
      </c>
      <c r="C89" s="13">
        <v>14.419999999999998</v>
      </c>
    </row>
    <row r="90" spans="1:3" x14ac:dyDescent="0.35">
      <c r="A90" s="17" t="s">
        <v>158</v>
      </c>
      <c r="B90" s="13">
        <v>8.84</v>
      </c>
      <c r="C90" s="13">
        <v>8.2799999999999994</v>
      </c>
    </row>
    <row r="91" spans="1:3" x14ac:dyDescent="0.35">
      <c r="A91" s="17" t="s">
        <v>233</v>
      </c>
      <c r="B91" s="13">
        <v>2.3299999999999996</v>
      </c>
      <c r="C91" s="13">
        <v>0.12000000000000001</v>
      </c>
    </row>
    <row r="92" spans="1:3" x14ac:dyDescent="0.35">
      <c r="A92" s="17" t="s">
        <v>303</v>
      </c>
      <c r="B92" s="13">
        <v>0.02</v>
      </c>
      <c r="C92" s="13">
        <v>0</v>
      </c>
    </row>
    <row r="93" spans="1:3" x14ac:dyDescent="0.35">
      <c r="A93" s="17" t="s">
        <v>121</v>
      </c>
      <c r="B93" s="13">
        <v>17.72000000000001</v>
      </c>
      <c r="C93" s="13">
        <v>14.629999999999999</v>
      </c>
    </row>
    <row r="94" spans="1:3" x14ac:dyDescent="0.35">
      <c r="A94" s="17" t="s">
        <v>237</v>
      </c>
      <c r="B94" s="13">
        <v>0.42</v>
      </c>
      <c r="C94" s="13">
        <v>0.98</v>
      </c>
    </row>
    <row r="95" spans="1:3" x14ac:dyDescent="0.35">
      <c r="A95" s="17" t="s">
        <v>234</v>
      </c>
      <c r="B95" s="13">
        <v>0.02</v>
      </c>
      <c r="C95" s="13">
        <v>0.16</v>
      </c>
    </row>
    <row r="96" spans="1:3" x14ac:dyDescent="0.35">
      <c r="A96" s="17" t="s">
        <v>304</v>
      </c>
      <c r="B96" s="13">
        <v>0</v>
      </c>
      <c r="C96" s="13">
        <v>0</v>
      </c>
    </row>
    <row r="97" spans="1:3" x14ac:dyDescent="0.35">
      <c r="A97" s="16" t="s">
        <v>23</v>
      </c>
      <c r="B97" s="13">
        <v>2690.2</v>
      </c>
      <c r="C97" s="13">
        <v>3485.2200000000007</v>
      </c>
    </row>
    <row r="98" spans="1:3" x14ac:dyDescent="0.35">
      <c r="A98" s="17" t="s">
        <v>177</v>
      </c>
      <c r="B98" s="13">
        <v>34.03</v>
      </c>
      <c r="C98" s="13">
        <v>9.4700000000000006</v>
      </c>
    </row>
    <row r="99" spans="1:3" x14ac:dyDescent="0.35">
      <c r="A99" s="17" t="s">
        <v>230</v>
      </c>
      <c r="B99" s="13">
        <v>0.46</v>
      </c>
      <c r="C99" s="13">
        <v>0.4</v>
      </c>
    </row>
    <row r="100" spans="1:3" x14ac:dyDescent="0.35">
      <c r="A100" s="17" t="s">
        <v>24</v>
      </c>
      <c r="B100" s="13">
        <v>968.97</v>
      </c>
      <c r="C100" s="13">
        <v>1101.8100000000004</v>
      </c>
    </row>
    <row r="101" spans="1:3" x14ac:dyDescent="0.35">
      <c r="A101" s="17" t="s">
        <v>277</v>
      </c>
      <c r="B101" s="13">
        <v>0</v>
      </c>
      <c r="C101" s="13">
        <v>0</v>
      </c>
    </row>
    <row r="102" spans="1:3" x14ac:dyDescent="0.35">
      <c r="A102" s="17" t="s">
        <v>191</v>
      </c>
      <c r="B102" s="13">
        <v>0.75</v>
      </c>
      <c r="C102" s="13">
        <v>23.690000000000005</v>
      </c>
    </row>
    <row r="103" spans="1:3" x14ac:dyDescent="0.35">
      <c r="A103" s="17" t="s">
        <v>278</v>
      </c>
      <c r="B103" s="13">
        <v>1.05</v>
      </c>
      <c r="C103" s="13">
        <v>0</v>
      </c>
    </row>
    <row r="104" spans="1:3" x14ac:dyDescent="0.35">
      <c r="A104" s="17" t="s">
        <v>148</v>
      </c>
      <c r="B104" s="13">
        <v>22.040000000000003</v>
      </c>
      <c r="C104" s="13">
        <v>62.490000000000009</v>
      </c>
    </row>
    <row r="105" spans="1:3" x14ac:dyDescent="0.35">
      <c r="A105" s="17" t="s">
        <v>30</v>
      </c>
      <c r="B105" s="13">
        <v>462.68999999999988</v>
      </c>
      <c r="C105" s="13">
        <v>625.89</v>
      </c>
    </row>
    <row r="106" spans="1:3" x14ac:dyDescent="0.35">
      <c r="A106" s="17" t="s">
        <v>180</v>
      </c>
      <c r="B106" s="13">
        <v>0</v>
      </c>
      <c r="C106" s="13">
        <v>0</v>
      </c>
    </row>
    <row r="107" spans="1:3" x14ac:dyDescent="0.35">
      <c r="A107" s="17" t="s">
        <v>43</v>
      </c>
      <c r="B107" s="13">
        <v>312.23999999999995</v>
      </c>
      <c r="C107" s="13">
        <v>394.70000000000005</v>
      </c>
    </row>
    <row r="108" spans="1:3" x14ac:dyDescent="0.35">
      <c r="A108" s="17" t="s">
        <v>138</v>
      </c>
      <c r="B108" s="13">
        <v>0.61</v>
      </c>
      <c r="C108" s="13">
        <v>66.81</v>
      </c>
    </row>
    <row r="109" spans="1:3" x14ac:dyDescent="0.35">
      <c r="A109" s="17" t="s">
        <v>120</v>
      </c>
      <c r="B109" s="13">
        <v>41.839999999999982</v>
      </c>
      <c r="C109" s="13">
        <v>50.959999999999994</v>
      </c>
    </row>
    <row r="110" spans="1:3" x14ac:dyDescent="0.35">
      <c r="A110" s="17" t="s">
        <v>44</v>
      </c>
      <c r="B110" s="13">
        <v>398.16999999999985</v>
      </c>
      <c r="C110" s="13">
        <v>525.02</v>
      </c>
    </row>
    <row r="111" spans="1:3" x14ac:dyDescent="0.35">
      <c r="A111" s="17" t="s">
        <v>136</v>
      </c>
      <c r="B111" s="13">
        <v>29.930000000000003</v>
      </c>
      <c r="C111" s="13">
        <v>23.150000000000002</v>
      </c>
    </row>
    <row r="112" spans="1:3" x14ac:dyDescent="0.35">
      <c r="A112" s="17" t="s">
        <v>34</v>
      </c>
      <c r="B112" s="13">
        <v>251.60999999999996</v>
      </c>
      <c r="C112" s="13">
        <v>400.71999999999991</v>
      </c>
    </row>
    <row r="113" spans="1:3" x14ac:dyDescent="0.35">
      <c r="A113" s="17" t="s">
        <v>124</v>
      </c>
      <c r="B113" s="13">
        <v>0</v>
      </c>
      <c r="C113" s="13">
        <v>40.079999999999991</v>
      </c>
    </row>
    <row r="114" spans="1:3" x14ac:dyDescent="0.35">
      <c r="A114" s="17" t="s">
        <v>187</v>
      </c>
      <c r="B114" s="13">
        <v>0.41000000000000003</v>
      </c>
      <c r="C114" s="13">
        <v>0.82000000000000006</v>
      </c>
    </row>
    <row r="115" spans="1:3" x14ac:dyDescent="0.35">
      <c r="A115" s="17" t="s">
        <v>182</v>
      </c>
      <c r="B115" s="13">
        <v>10.02</v>
      </c>
      <c r="C115" s="13">
        <v>10.309999999999999</v>
      </c>
    </row>
    <row r="116" spans="1:3" x14ac:dyDescent="0.35">
      <c r="A116" s="17" t="s">
        <v>123</v>
      </c>
      <c r="B116" s="13">
        <v>149.96</v>
      </c>
      <c r="C116" s="13">
        <v>127.14000000000001</v>
      </c>
    </row>
    <row r="117" spans="1:3" x14ac:dyDescent="0.35">
      <c r="A117" s="17" t="s">
        <v>228</v>
      </c>
      <c r="B117" s="13">
        <v>0.11</v>
      </c>
      <c r="C117" s="13">
        <v>1.01</v>
      </c>
    </row>
    <row r="118" spans="1:3" x14ac:dyDescent="0.35">
      <c r="A118" s="17" t="s">
        <v>185</v>
      </c>
      <c r="B118" s="13">
        <v>5.3000000000000007</v>
      </c>
      <c r="C118" s="13">
        <v>20.750000000000004</v>
      </c>
    </row>
    <row r="119" spans="1:3" x14ac:dyDescent="0.35">
      <c r="A119" s="17" t="s">
        <v>284</v>
      </c>
      <c r="B119" s="13">
        <v>0.01</v>
      </c>
      <c r="C119" s="13">
        <v>0</v>
      </c>
    </row>
    <row r="120" spans="1:3" x14ac:dyDescent="0.35">
      <c r="A120" s="16" t="s">
        <v>189</v>
      </c>
      <c r="B120" s="13">
        <v>21.209999999999997</v>
      </c>
      <c r="C120" s="13">
        <v>19.669999999999998</v>
      </c>
    </row>
    <row r="121" spans="1:3" x14ac:dyDescent="0.35">
      <c r="A121" s="17" t="s">
        <v>193</v>
      </c>
      <c r="B121" s="13">
        <v>9.6499999999999986</v>
      </c>
      <c r="C121" s="13">
        <v>9.2399999999999984</v>
      </c>
    </row>
    <row r="122" spans="1:3" x14ac:dyDescent="0.35">
      <c r="A122" s="17" t="s">
        <v>190</v>
      </c>
      <c r="B122" s="13">
        <v>9.77</v>
      </c>
      <c r="C122" s="13">
        <v>9.06</v>
      </c>
    </row>
    <row r="123" spans="1:3" x14ac:dyDescent="0.35">
      <c r="A123" s="17" t="s">
        <v>227</v>
      </c>
      <c r="B123" s="13">
        <v>1.7900000000000003</v>
      </c>
      <c r="C123" s="13">
        <v>1.37</v>
      </c>
    </row>
    <row r="124" spans="1:3" x14ac:dyDescent="0.35">
      <c r="A124" s="12" t="s">
        <v>328</v>
      </c>
      <c r="B124" s="13">
        <v>13.379999999999999</v>
      </c>
      <c r="C124" s="13">
        <v>36.08</v>
      </c>
    </row>
    <row r="125" spans="1:3" x14ac:dyDescent="0.35">
      <c r="A125" s="16" t="s">
        <v>159</v>
      </c>
      <c r="B125" s="13">
        <v>10.15</v>
      </c>
      <c r="C125" s="13">
        <v>32.540000000000006</v>
      </c>
    </row>
    <row r="126" spans="1:3" x14ac:dyDescent="0.35">
      <c r="A126" s="17" t="s">
        <v>186</v>
      </c>
      <c r="B126" s="13">
        <v>8.2800000000000011</v>
      </c>
      <c r="C126" s="13">
        <v>7.5600000000000005</v>
      </c>
    </row>
    <row r="127" spans="1:3" x14ac:dyDescent="0.35">
      <c r="A127" s="17" t="s">
        <v>291</v>
      </c>
      <c r="B127" s="13">
        <v>0</v>
      </c>
      <c r="C127" s="13">
        <v>0</v>
      </c>
    </row>
    <row r="128" spans="1:3" x14ac:dyDescent="0.35">
      <c r="A128" s="17" t="s">
        <v>262</v>
      </c>
      <c r="B128" s="13">
        <v>0</v>
      </c>
      <c r="C128" s="13">
        <v>0.01</v>
      </c>
    </row>
    <row r="129" spans="1:3" x14ac:dyDescent="0.35">
      <c r="A129" s="17" t="s">
        <v>160</v>
      </c>
      <c r="B129" s="13">
        <v>1.7200000000000004</v>
      </c>
      <c r="C129" s="13">
        <v>18.890000000000008</v>
      </c>
    </row>
    <row r="130" spans="1:3" x14ac:dyDescent="0.35">
      <c r="A130" s="17" t="s">
        <v>246</v>
      </c>
      <c r="B130" s="13">
        <v>0</v>
      </c>
      <c r="C130" s="13">
        <v>0.18000000000000002</v>
      </c>
    </row>
    <row r="131" spans="1:3" x14ac:dyDescent="0.35">
      <c r="A131" s="17" t="s">
        <v>218</v>
      </c>
      <c r="B131" s="13">
        <v>0.12</v>
      </c>
      <c r="C131" s="13">
        <v>0.78</v>
      </c>
    </row>
    <row r="132" spans="1:3" x14ac:dyDescent="0.35">
      <c r="A132" s="17" t="s">
        <v>253</v>
      </c>
      <c r="B132" s="13">
        <v>0.03</v>
      </c>
      <c r="C132" s="13">
        <v>4.5</v>
      </c>
    </row>
    <row r="133" spans="1:3" x14ac:dyDescent="0.35">
      <c r="A133" s="17" t="s">
        <v>289</v>
      </c>
      <c r="B133" s="13">
        <v>0</v>
      </c>
      <c r="C133" s="13">
        <v>0.62</v>
      </c>
    </row>
    <row r="134" spans="1:3" x14ac:dyDescent="0.35">
      <c r="A134" s="16" t="s">
        <v>258</v>
      </c>
      <c r="B134" s="13">
        <v>0</v>
      </c>
      <c r="C134" s="13">
        <v>0.25</v>
      </c>
    </row>
    <row r="135" spans="1:3" x14ac:dyDescent="0.35">
      <c r="A135" s="17" t="s">
        <v>293</v>
      </c>
      <c r="B135" s="13">
        <v>0</v>
      </c>
      <c r="C135" s="13">
        <v>0.23</v>
      </c>
    </row>
    <row r="136" spans="1:3" x14ac:dyDescent="0.35">
      <c r="A136" s="17" t="s">
        <v>259</v>
      </c>
      <c r="B136" s="13">
        <v>0</v>
      </c>
      <c r="C136" s="13">
        <v>0.02</v>
      </c>
    </row>
    <row r="137" spans="1:3" x14ac:dyDescent="0.35">
      <c r="A137" s="16" t="s">
        <v>231</v>
      </c>
      <c r="B137" s="13">
        <v>2.64</v>
      </c>
      <c r="C137" s="13">
        <v>2.4500000000000002</v>
      </c>
    </row>
    <row r="138" spans="1:3" x14ac:dyDescent="0.35">
      <c r="A138" s="17" t="s">
        <v>232</v>
      </c>
      <c r="B138" s="13">
        <v>2.5300000000000002</v>
      </c>
      <c r="C138" s="13">
        <v>1.6600000000000001</v>
      </c>
    </row>
    <row r="139" spans="1:3" x14ac:dyDescent="0.35">
      <c r="A139" s="17" t="s">
        <v>236</v>
      </c>
      <c r="B139" s="13">
        <v>0.11</v>
      </c>
      <c r="C139" s="13">
        <v>0.79</v>
      </c>
    </row>
    <row r="140" spans="1:3" x14ac:dyDescent="0.35">
      <c r="A140" s="16" t="s">
        <v>243</v>
      </c>
      <c r="B140" s="13">
        <v>0.59</v>
      </c>
      <c r="C140" s="13">
        <v>0.84</v>
      </c>
    </row>
    <row r="141" spans="1:3" x14ac:dyDescent="0.35">
      <c r="A141" s="17" t="s">
        <v>273</v>
      </c>
      <c r="B141" s="13">
        <v>0</v>
      </c>
      <c r="C141" s="13">
        <v>0.11000000000000001</v>
      </c>
    </row>
    <row r="142" spans="1:3" x14ac:dyDescent="0.35">
      <c r="A142" s="17" t="s">
        <v>274</v>
      </c>
      <c r="B142" s="13">
        <v>0</v>
      </c>
      <c r="C142" s="13">
        <v>0.01</v>
      </c>
    </row>
    <row r="143" spans="1:3" x14ac:dyDescent="0.35">
      <c r="A143" s="17" t="s">
        <v>275</v>
      </c>
      <c r="B143" s="13">
        <v>0</v>
      </c>
      <c r="C143" s="13">
        <v>0</v>
      </c>
    </row>
    <row r="144" spans="1:3" x14ac:dyDescent="0.35">
      <c r="A144" s="17" t="s">
        <v>276</v>
      </c>
      <c r="B144" s="13">
        <v>9.0000000000000011E-2</v>
      </c>
      <c r="C144" s="13">
        <v>0</v>
      </c>
    </row>
    <row r="145" spans="1:3" x14ac:dyDescent="0.35">
      <c r="A145" s="17" t="s">
        <v>244</v>
      </c>
      <c r="B145" s="13">
        <v>0.5</v>
      </c>
      <c r="C145" s="13">
        <v>0.72</v>
      </c>
    </row>
    <row r="146" spans="1:3" x14ac:dyDescent="0.35">
      <c r="A146" s="12" t="s">
        <v>327</v>
      </c>
      <c r="B146" s="13">
        <v>4941.9900000000007</v>
      </c>
      <c r="C146" s="13">
        <v>5302.81</v>
      </c>
    </row>
    <row r="147" spans="1:3" x14ac:dyDescent="0.35">
      <c r="A147" s="16" t="s">
        <v>25</v>
      </c>
      <c r="B147" s="13">
        <v>2048.77</v>
      </c>
      <c r="C147" s="13">
        <v>2135.11</v>
      </c>
    </row>
    <row r="148" spans="1:3" x14ac:dyDescent="0.35">
      <c r="A148" s="17" t="s">
        <v>256</v>
      </c>
      <c r="B148" s="13">
        <v>0.16</v>
      </c>
      <c r="C148" s="13">
        <v>0.39</v>
      </c>
    </row>
    <row r="149" spans="1:3" x14ac:dyDescent="0.35">
      <c r="A149" s="17" t="s">
        <v>195</v>
      </c>
      <c r="B149" s="13">
        <v>25.770000000000003</v>
      </c>
      <c r="C149" s="13">
        <v>11.61</v>
      </c>
    </row>
    <row r="150" spans="1:3" x14ac:dyDescent="0.35">
      <c r="A150" s="17" t="s">
        <v>254</v>
      </c>
      <c r="B150" s="13">
        <v>0.56000000000000005</v>
      </c>
      <c r="C150" s="13">
        <v>7.0000000000000007E-2</v>
      </c>
    </row>
    <row r="151" spans="1:3" x14ac:dyDescent="0.35">
      <c r="A151" s="17" t="s">
        <v>26</v>
      </c>
      <c r="B151" s="13">
        <v>1019.9</v>
      </c>
      <c r="C151" s="13">
        <v>1359.85</v>
      </c>
    </row>
    <row r="152" spans="1:3" x14ac:dyDescent="0.35">
      <c r="A152" s="17" t="s">
        <v>63</v>
      </c>
      <c r="B152" s="13">
        <v>113.28999999999999</v>
      </c>
      <c r="C152" s="13">
        <v>0</v>
      </c>
    </row>
    <row r="153" spans="1:3" x14ac:dyDescent="0.35">
      <c r="A153" s="17" t="s">
        <v>263</v>
      </c>
      <c r="B153" s="13">
        <v>0</v>
      </c>
      <c r="C153" s="13">
        <v>0</v>
      </c>
    </row>
    <row r="154" spans="1:3" x14ac:dyDescent="0.35">
      <c r="A154" s="17" t="s">
        <v>29</v>
      </c>
      <c r="B154" s="13">
        <v>888.05999999999983</v>
      </c>
      <c r="C154" s="13">
        <v>761.92000000000007</v>
      </c>
    </row>
    <row r="155" spans="1:3" x14ac:dyDescent="0.35">
      <c r="A155" s="17" t="s">
        <v>206</v>
      </c>
      <c r="B155" s="13">
        <v>1.03</v>
      </c>
      <c r="C155" s="13">
        <v>1.27</v>
      </c>
    </row>
    <row r="156" spans="1:3" x14ac:dyDescent="0.35">
      <c r="A156" s="16" t="s">
        <v>79</v>
      </c>
      <c r="B156" s="13">
        <v>428.38</v>
      </c>
      <c r="C156" s="13">
        <v>487.25000000000006</v>
      </c>
    </row>
    <row r="157" spans="1:3" x14ac:dyDescent="0.35">
      <c r="A157" s="17" t="s">
        <v>92</v>
      </c>
      <c r="B157" s="13">
        <v>79.960000000000022</v>
      </c>
      <c r="C157" s="13">
        <v>102.93000000000004</v>
      </c>
    </row>
    <row r="158" spans="1:3" x14ac:dyDescent="0.35">
      <c r="A158" s="17" t="s">
        <v>264</v>
      </c>
      <c r="B158" s="13">
        <v>0.08</v>
      </c>
      <c r="C158" s="13">
        <v>0</v>
      </c>
    </row>
    <row r="159" spans="1:3" x14ac:dyDescent="0.35">
      <c r="A159" s="17" t="s">
        <v>80</v>
      </c>
      <c r="B159" s="13">
        <v>198.23</v>
      </c>
      <c r="C159" s="13">
        <v>229.92000000000002</v>
      </c>
    </row>
    <row r="160" spans="1:3" x14ac:dyDescent="0.35">
      <c r="A160" s="17" t="s">
        <v>223</v>
      </c>
      <c r="B160" s="13">
        <v>0</v>
      </c>
      <c r="C160" s="13">
        <v>0</v>
      </c>
    </row>
    <row r="161" spans="1:3" x14ac:dyDescent="0.35">
      <c r="A161" s="17" t="s">
        <v>210</v>
      </c>
      <c r="B161" s="13">
        <v>0</v>
      </c>
      <c r="C161" s="13">
        <v>3.5099999999999993</v>
      </c>
    </row>
    <row r="162" spans="1:3" x14ac:dyDescent="0.35">
      <c r="A162" s="17" t="s">
        <v>255</v>
      </c>
      <c r="B162" s="13">
        <v>0</v>
      </c>
      <c r="C162" s="13">
        <v>0.01</v>
      </c>
    </row>
    <row r="163" spans="1:3" x14ac:dyDescent="0.35">
      <c r="A163" s="17" t="s">
        <v>226</v>
      </c>
      <c r="B163" s="13">
        <v>1.54</v>
      </c>
      <c r="C163" s="13">
        <v>1.8299999999999998</v>
      </c>
    </row>
    <row r="164" spans="1:3" x14ac:dyDescent="0.35">
      <c r="A164" s="17" t="s">
        <v>202</v>
      </c>
      <c r="B164" s="13">
        <v>2.09</v>
      </c>
      <c r="C164" s="13">
        <v>1.3</v>
      </c>
    </row>
    <row r="165" spans="1:3" x14ac:dyDescent="0.35">
      <c r="A165" s="17" t="s">
        <v>91</v>
      </c>
      <c r="B165" s="13">
        <v>146.47999999999999</v>
      </c>
      <c r="C165" s="13">
        <v>147.75000000000006</v>
      </c>
    </row>
    <row r="166" spans="1:3" x14ac:dyDescent="0.35">
      <c r="A166" s="17" t="s">
        <v>270</v>
      </c>
      <c r="B166" s="13">
        <v>0</v>
      </c>
      <c r="C166" s="13">
        <v>0</v>
      </c>
    </row>
    <row r="167" spans="1:3" x14ac:dyDescent="0.35">
      <c r="A167" s="16" t="s">
        <v>77</v>
      </c>
      <c r="B167" s="13">
        <v>546.03000000000009</v>
      </c>
      <c r="C167" s="13">
        <v>678.43999999999971</v>
      </c>
    </row>
    <row r="168" spans="1:3" x14ac:dyDescent="0.35">
      <c r="A168" s="17" t="s">
        <v>157</v>
      </c>
      <c r="B168" s="13">
        <v>13.519999999999996</v>
      </c>
      <c r="C168" s="13">
        <v>13.93</v>
      </c>
    </row>
    <row r="169" spans="1:3" x14ac:dyDescent="0.35">
      <c r="A169" s="17" t="s">
        <v>132</v>
      </c>
      <c r="B169" s="13">
        <v>31.370000000000005</v>
      </c>
      <c r="C169" s="13">
        <v>36.839999999999989</v>
      </c>
    </row>
    <row r="170" spans="1:3" x14ac:dyDescent="0.35">
      <c r="A170" s="17" t="s">
        <v>78</v>
      </c>
      <c r="B170" s="13">
        <v>437.95000000000005</v>
      </c>
      <c r="C170" s="13">
        <v>562.40999999999974</v>
      </c>
    </row>
    <row r="171" spans="1:3" x14ac:dyDescent="0.35">
      <c r="A171" s="17" t="s">
        <v>266</v>
      </c>
      <c r="B171" s="13">
        <v>0</v>
      </c>
      <c r="C171" s="13">
        <v>0</v>
      </c>
    </row>
    <row r="172" spans="1:3" x14ac:dyDescent="0.35">
      <c r="A172" s="17" t="s">
        <v>216</v>
      </c>
      <c r="B172" s="13">
        <v>2.77</v>
      </c>
      <c r="C172" s="13">
        <v>3.06</v>
      </c>
    </row>
    <row r="173" spans="1:3" x14ac:dyDescent="0.35">
      <c r="A173" s="17" t="s">
        <v>214</v>
      </c>
      <c r="B173" s="13">
        <v>0.01</v>
      </c>
      <c r="C173" s="13">
        <v>1.7100000000000004</v>
      </c>
    </row>
    <row r="174" spans="1:3" x14ac:dyDescent="0.35">
      <c r="A174" s="17" t="s">
        <v>149</v>
      </c>
      <c r="B174" s="13">
        <v>48.330000000000005</v>
      </c>
      <c r="C174" s="13">
        <v>46.11</v>
      </c>
    </row>
    <row r="175" spans="1:3" x14ac:dyDescent="0.35">
      <c r="A175" s="17" t="s">
        <v>168</v>
      </c>
      <c r="B175" s="13">
        <v>12.079999999999997</v>
      </c>
      <c r="C175" s="13">
        <v>14.379999999999999</v>
      </c>
    </row>
    <row r="176" spans="1:3" x14ac:dyDescent="0.35">
      <c r="A176" s="17" t="s">
        <v>250</v>
      </c>
      <c r="B176" s="13">
        <v>0</v>
      </c>
      <c r="C176" s="13">
        <v>0</v>
      </c>
    </row>
    <row r="177" spans="1:3" x14ac:dyDescent="0.35">
      <c r="A177" s="17" t="s">
        <v>308</v>
      </c>
      <c r="B177" s="13">
        <v>0</v>
      </c>
      <c r="C177" s="13">
        <v>0</v>
      </c>
    </row>
    <row r="178" spans="1:3" x14ac:dyDescent="0.35">
      <c r="A178" s="16" t="s">
        <v>251</v>
      </c>
      <c r="B178" s="13">
        <v>0.49</v>
      </c>
      <c r="C178" s="13">
        <v>0.75000000000000011</v>
      </c>
    </row>
    <row r="179" spans="1:3" x14ac:dyDescent="0.35">
      <c r="A179" s="17" t="s">
        <v>252</v>
      </c>
      <c r="B179" s="13">
        <v>0.49</v>
      </c>
      <c r="C179" s="13">
        <v>0.75000000000000011</v>
      </c>
    </row>
    <row r="180" spans="1:3" x14ac:dyDescent="0.35">
      <c r="A180" s="16" t="s">
        <v>40</v>
      </c>
      <c r="B180" s="13">
        <v>1622.9699999999998</v>
      </c>
      <c r="C180" s="13">
        <v>1646.5399999999995</v>
      </c>
    </row>
    <row r="181" spans="1:3" x14ac:dyDescent="0.35">
      <c r="A181" s="17" t="s">
        <v>211</v>
      </c>
      <c r="B181" s="13">
        <v>0.82000000000000006</v>
      </c>
      <c r="C181" s="13">
        <v>1.8800000000000001</v>
      </c>
    </row>
    <row r="182" spans="1:3" x14ac:dyDescent="0.35">
      <c r="A182" s="17" t="s">
        <v>194</v>
      </c>
      <c r="B182" s="13">
        <v>5.9</v>
      </c>
      <c r="C182" s="13">
        <v>7.2699999999999987</v>
      </c>
    </row>
    <row r="183" spans="1:3" x14ac:dyDescent="0.35">
      <c r="A183" s="17" t="s">
        <v>306</v>
      </c>
      <c r="B183" s="13">
        <v>3</v>
      </c>
      <c r="C183" s="13">
        <v>0</v>
      </c>
    </row>
    <row r="184" spans="1:3" x14ac:dyDescent="0.35">
      <c r="A184" s="17" t="s">
        <v>164</v>
      </c>
      <c r="B184" s="13">
        <v>23.120000000000005</v>
      </c>
      <c r="C184" s="13">
        <v>21.73</v>
      </c>
    </row>
    <row r="185" spans="1:3" x14ac:dyDescent="0.35">
      <c r="A185" s="17" t="s">
        <v>209</v>
      </c>
      <c r="B185" s="13">
        <v>0.31</v>
      </c>
      <c r="C185" s="13">
        <v>1</v>
      </c>
    </row>
    <row r="186" spans="1:3" x14ac:dyDescent="0.35">
      <c r="A186" s="17" t="s">
        <v>41</v>
      </c>
      <c r="B186" s="13">
        <v>675.17999999999972</v>
      </c>
      <c r="C186" s="13">
        <v>668.9899999999999</v>
      </c>
    </row>
    <row r="187" spans="1:3" x14ac:dyDescent="0.35">
      <c r="A187" s="17" t="s">
        <v>107</v>
      </c>
      <c r="B187" s="13">
        <v>152.29999999999998</v>
      </c>
      <c r="C187" s="13">
        <v>144.05999999999997</v>
      </c>
    </row>
    <row r="188" spans="1:3" x14ac:dyDescent="0.35">
      <c r="A188" s="17" t="s">
        <v>309</v>
      </c>
      <c r="B188" s="13">
        <v>0</v>
      </c>
      <c r="C188" s="13">
        <v>0</v>
      </c>
    </row>
    <row r="189" spans="1:3" x14ac:dyDescent="0.35">
      <c r="A189" s="17" t="s">
        <v>310</v>
      </c>
      <c r="B189" s="13">
        <v>0</v>
      </c>
      <c r="C189" s="13">
        <v>0.15</v>
      </c>
    </row>
    <row r="190" spans="1:3" x14ac:dyDescent="0.35">
      <c r="A190" s="17" t="s">
        <v>205</v>
      </c>
      <c r="B190" s="13">
        <v>0.01</v>
      </c>
      <c r="C190" s="13">
        <v>6.64</v>
      </c>
    </row>
    <row r="191" spans="1:3" x14ac:dyDescent="0.35">
      <c r="A191" s="17" t="s">
        <v>311</v>
      </c>
      <c r="B191" s="13">
        <v>0.31999999999999995</v>
      </c>
      <c r="C191" s="13">
        <v>9.9999999999999992E-2</v>
      </c>
    </row>
    <row r="192" spans="1:3" x14ac:dyDescent="0.35">
      <c r="A192" s="17" t="s">
        <v>229</v>
      </c>
      <c r="B192" s="13">
        <v>0.42</v>
      </c>
      <c r="C192" s="13">
        <v>3.1599999999999993</v>
      </c>
    </row>
    <row r="193" spans="1:3" x14ac:dyDescent="0.35">
      <c r="A193" s="17" t="s">
        <v>220</v>
      </c>
      <c r="B193" s="13">
        <v>0.15000000000000002</v>
      </c>
      <c r="C193" s="13">
        <v>1.37</v>
      </c>
    </row>
    <row r="194" spans="1:3" x14ac:dyDescent="0.35">
      <c r="A194" s="17" t="s">
        <v>64</v>
      </c>
      <c r="B194" s="13">
        <v>141.90999999999997</v>
      </c>
      <c r="C194" s="13">
        <v>147.76000000000005</v>
      </c>
    </row>
    <row r="195" spans="1:3" x14ac:dyDescent="0.35">
      <c r="A195" s="17" t="s">
        <v>267</v>
      </c>
      <c r="B195" s="13">
        <v>0.95000000000000007</v>
      </c>
      <c r="C195" s="13">
        <v>6.0000000000000005E-2</v>
      </c>
    </row>
    <row r="196" spans="1:3" x14ac:dyDescent="0.35">
      <c r="A196" s="17" t="s">
        <v>183</v>
      </c>
      <c r="B196" s="13">
        <v>2</v>
      </c>
      <c r="C196" s="13">
        <v>23.69</v>
      </c>
    </row>
    <row r="197" spans="1:3" x14ac:dyDescent="0.35">
      <c r="A197" s="17" t="s">
        <v>268</v>
      </c>
      <c r="B197" s="13">
        <v>0.41</v>
      </c>
      <c r="C197" s="13">
        <v>0</v>
      </c>
    </row>
    <row r="198" spans="1:3" x14ac:dyDescent="0.35">
      <c r="A198" s="17" t="s">
        <v>269</v>
      </c>
      <c r="B198" s="13">
        <v>2.38</v>
      </c>
      <c r="C198" s="13">
        <v>0.59</v>
      </c>
    </row>
    <row r="199" spans="1:3" x14ac:dyDescent="0.35">
      <c r="A199" s="17" t="s">
        <v>117</v>
      </c>
      <c r="B199" s="13">
        <v>135.95000000000002</v>
      </c>
      <c r="C199" s="13">
        <v>118.03000000000002</v>
      </c>
    </row>
    <row r="200" spans="1:3" x14ac:dyDescent="0.35">
      <c r="A200" s="17" t="s">
        <v>241</v>
      </c>
      <c r="B200" s="13">
        <v>0.81</v>
      </c>
      <c r="C200" s="13">
        <v>0.37</v>
      </c>
    </row>
    <row r="201" spans="1:3" x14ac:dyDescent="0.35">
      <c r="A201" s="17" t="s">
        <v>271</v>
      </c>
      <c r="B201" s="13">
        <v>0.16</v>
      </c>
      <c r="C201" s="13">
        <v>0</v>
      </c>
    </row>
    <row r="202" spans="1:3" x14ac:dyDescent="0.35">
      <c r="A202" s="17" t="s">
        <v>196</v>
      </c>
      <c r="B202" s="13">
        <v>8.41</v>
      </c>
      <c r="C202" s="13">
        <v>4.84</v>
      </c>
    </row>
    <row r="203" spans="1:3" x14ac:dyDescent="0.35">
      <c r="A203" s="17" t="s">
        <v>272</v>
      </c>
      <c r="B203" s="13">
        <v>5.05</v>
      </c>
      <c r="C203" s="13">
        <v>0</v>
      </c>
    </row>
    <row r="204" spans="1:3" x14ac:dyDescent="0.35">
      <c r="A204" s="17" t="s">
        <v>178</v>
      </c>
      <c r="B204" s="13">
        <v>13.83</v>
      </c>
      <c r="C204" s="13">
        <v>12.620000000000001</v>
      </c>
    </row>
    <row r="205" spans="1:3" x14ac:dyDescent="0.35">
      <c r="A205" s="17" t="s">
        <v>85</v>
      </c>
      <c r="B205" s="13">
        <v>449.5800000000001</v>
      </c>
      <c r="C205" s="13">
        <v>482.23</v>
      </c>
    </row>
    <row r="206" spans="1:3" x14ac:dyDescent="0.35">
      <c r="A206" s="16" t="s">
        <v>74</v>
      </c>
      <c r="B206" s="13">
        <v>295.34999999999991</v>
      </c>
      <c r="C206" s="13">
        <v>354.71999999999997</v>
      </c>
    </row>
    <row r="207" spans="1:3" x14ac:dyDescent="0.35">
      <c r="A207" s="17" t="s">
        <v>137</v>
      </c>
      <c r="B207" s="13">
        <v>27.060000000000006</v>
      </c>
      <c r="C207" s="13">
        <v>45.63</v>
      </c>
    </row>
    <row r="208" spans="1:3" x14ac:dyDescent="0.35">
      <c r="A208" s="17" t="s">
        <v>75</v>
      </c>
      <c r="B208" s="13">
        <v>205.17999999999992</v>
      </c>
      <c r="C208" s="13">
        <v>208.09999999999997</v>
      </c>
    </row>
    <row r="209" spans="1:3" x14ac:dyDescent="0.35">
      <c r="A209" s="17" t="s">
        <v>98</v>
      </c>
      <c r="B209" s="13">
        <v>63.11</v>
      </c>
      <c r="C209" s="13">
        <v>100.99000000000001</v>
      </c>
    </row>
    <row r="210" spans="1:3" x14ac:dyDescent="0.35">
      <c r="A210" s="12" t="s">
        <v>332</v>
      </c>
      <c r="B210" s="13">
        <v>12040.930000000002</v>
      </c>
      <c r="C210" s="13">
        <v>14185.110000000002</v>
      </c>
    </row>
    <row r="211" spans="1:3" x14ac:dyDescent="0.35">
      <c r="A211" s="16" t="s">
        <v>166</v>
      </c>
      <c r="B211" s="13">
        <v>12.48</v>
      </c>
      <c r="C211" s="13">
        <v>16.190000000000001</v>
      </c>
    </row>
    <row r="212" spans="1:3" x14ac:dyDescent="0.35">
      <c r="A212" s="17" t="s">
        <v>248</v>
      </c>
      <c r="B212" s="13">
        <v>2.2899999999999996</v>
      </c>
      <c r="C212" s="13">
        <v>0.74</v>
      </c>
    </row>
    <row r="213" spans="1:3" x14ac:dyDescent="0.35">
      <c r="A213" s="17" t="s">
        <v>200</v>
      </c>
      <c r="B213" s="13">
        <v>3.07</v>
      </c>
      <c r="C213" s="13">
        <v>3.9600000000000004</v>
      </c>
    </row>
    <row r="214" spans="1:3" x14ac:dyDescent="0.35">
      <c r="A214" s="17" t="s">
        <v>167</v>
      </c>
      <c r="B214" s="13">
        <v>7.12</v>
      </c>
      <c r="C214" s="13">
        <v>11.49</v>
      </c>
    </row>
    <row r="215" spans="1:3" x14ac:dyDescent="0.35">
      <c r="A215" s="16" t="s">
        <v>16</v>
      </c>
      <c r="B215" s="13">
        <v>7064.6000000000013</v>
      </c>
      <c r="C215" s="13">
        <v>8112.6400000000021</v>
      </c>
    </row>
    <row r="216" spans="1:3" x14ac:dyDescent="0.35">
      <c r="A216" s="17" t="s">
        <v>135</v>
      </c>
      <c r="B216" s="13">
        <v>16.600000000000005</v>
      </c>
      <c r="C216" s="13">
        <v>21.650000000000006</v>
      </c>
    </row>
    <row r="217" spans="1:3" x14ac:dyDescent="0.35">
      <c r="A217" s="17" t="s">
        <v>283</v>
      </c>
      <c r="B217" s="13">
        <v>1.1100000000000001</v>
      </c>
      <c r="C217" s="13">
        <v>1.41</v>
      </c>
    </row>
    <row r="218" spans="1:3" x14ac:dyDescent="0.35">
      <c r="A218" s="17" t="s">
        <v>109</v>
      </c>
      <c r="B218" s="13">
        <v>135.15999999999997</v>
      </c>
      <c r="C218" s="13">
        <v>177.08000000000007</v>
      </c>
    </row>
    <row r="219" spans="1:3" x14ac:dyDescent="0.35">
      <c r="A219" s="17" t="s">
        <v>153</v>
      </c>
      <c r="B219" s="13">
        <v>9.2200000000000006</v>
      </c>
      <c r="C219" s="13">
        <v>17.11</v>
      </c>
    </row>
    <row r="220" spans="1:3" x14ac:dyDescent="0.35">
      <c r="A220" s="17" t="s">
        <v>90</v>
      </c>
      <c r="B220" s="13">
        <v>83.320000000000007</v>
      </c>
      <c r="C220" s="13">
        <v>121.98000000000003</v>
      </c>
    </row>
    <row r="221" spans="1:3" x14ac:dyDescent="0.35">
      <c r="A221" s="17" t="s">
        <v>115</v>
      </c>
      <c r="B221" s="13">
        <v>97.240000000000009</v>
      </c>
      <c r="C221" s="13">
        <v>68.86</v>
      </c>
    </row>
    <row r="222" spans="1:3" x14ac:dyDescent="0.35">
      <c r="A222" s="17" t="s">
        <v>89</v>
      </c>
      <c r="B222" s="13">
        <v>164.65</v>
      </c>
      <c r="C222" s="13">
        <v>154.69000000000003</v>
      </c>
    </row>
    <row r="223" spans="1:3" x14ac:dyDescent="0.35">
      <c r="A223" s="17" t="s">
        <v>155</v>
      </c>
      <c r="B223" s="13">
        <v>20.73</v>
      </c>
      <c r="C223" s="13">
        <v>24.990000000000002</v>
      </c>
    </row>
    <row r="224" spans="1:3" x14ac:dyDescent="0.35">
      <c r="A224" s="17" t="s">
        <v>282</v>
      </c>
      <c r="B224" s="13">
        <v>1.25</v>
      </c>
      <c r="C224" s="13">
        <v>0</v>
      </c>
    </row>
    <row r="225" spans="1:3" x14ac:dyDescent="0.35">
      <c r="A225" s="17" t="s">
        <v>28</v>
      </c>
      <c r="B225" s="13">
        <v>1553.63</v>
      </c>
      <c r="C225" s="13">
        <v>1952.6999999999998</v>
      </c>
    </row>
    <row r="226" spans="1:3" x14ac:dyDescent="0.35">
      <c r="A226" s="17" t="s">
        <v>240</v>
      </c>
      <c r="B226" s="13">
        <v>0</v>
      </c>
      <c r="C226" s="13">
        <v>0</v>
      </c>
    </row>
    <row r="227" spans="1:3" x14ac:dyDescent="0.35">
      <c r="A227" s="17" t="s">
        <v>17</v>
      </c>
      <c r="B227" s="13">
        <v>4477.8700000000017</v>
      </c>
      <c r="C227" s="13">
        <v>4993.3200000000033</v>
      </c>
    </row>
    <row r="228" spans="1:3" x14ac:dyDescent="0.35">
      <c r="A228" s="17" t="s">
        <v>239</v>
      </c>
      <c r="B228" s="13">
        <v>7.8800000000000008</v>
      </c>
      <c r="C228" s="13">
        <v>1.04</v>
      </c>
    </row>
    <row r="229" spans="1:3" x14ac:dyDescent="0.35">
      <c r="A229" s="17" t="s">
        <v>143</v>
      </c>
      <c r="B229" s="13">
        <v>77.63</v>
      </c>
      <c r="C229" s="13">
        <v>68.61</v>
      </c>
    </row>
    <row r="230" spans="1:3" x14ac:dyDescent="0.35">
      <c r="A230" s="17" t="s">
        <v>281</v>
      </c>
      <c r="B230" s="13">
        <v>0</v>
      </c>
      <c r="C230" s="13">
        <v>0</v>
      </c>
    </row>
    <row r="231" spans="1:3" x14ac:dyDescent="0.35">
      <c r="A231" s="17" t="s">
        <v>52</v>
      </c>
      <c r="B231" s="13">
        <v>325.52999999999997</v>
      </c>
      <c r="C231" s="13">
        <v>421.7399999999999</v>
      </c>
    </row>
    <row r="232" spans="1:3" x14ac:dyDescent="0.35">
      <c r="A232" s="17" t="s">
        <v>172</v>
      </c>
      <c r="B232" s="13">
        <v>20.84</v>
      </c>
      <c r="C232" s="13">
        <v>18.309999999999999</v>
      </c>
    </row>
    <row r="233" spans="1:3" x14ac:dyDescent="0.35">
      <c r="A233" s="17" t="s">
        <v>280</v>
      </c>
      <c r="B233" s="13">
        <v>0</v>
      </c>
      <c r="C233" s="13">
        <v>0</v>
      </c>
    </row>
    <row r="234" spans="1:3" x14ac:dyDescent="0.35">
      <c r="A234" s="17" t="s">
        <v>140</v>
      </c>
      <c r="B234" s="13">
        <v>20.11</v>
      </c>
      <c r="C234" s="13">
        <v>16.200000000000003</v>
      </c>
    </row>
    <row r="235" spans="1:3" x14ac:dyDescent="0.35">
      <c r="A235" s="17" t="s">
        <v>105</v>
      </c>
      <c r="B235" s="13">
        <v>51.83</v>
      </c>
      <c r="C235" s="13">
        <v>52.95000000000001</v>
      </c>
    </row>
    <row r="236" spans="1:3" x14ac:dyDescent="0.35">
      <c r="A236" s="16" t="s">
        <v>20</v>
      </c>
      <c r="B236" s="13">
        <v>4963.8500000000013</v>
      </c>
      <c r="C236" s="13">
        <v>6056.2800000000007</v>
      </c>
    </row>
    <row r="237" spans="1:3" x14ac:dyDescent="0.35">
      <c r="A237" s="17" t="s">
        <v>307</v>
      </c>
      <c r="B237" s="13">
        <v>0</v>
      </c>
      <c r="C237" s="13">
        <v>0.02</v>
      </c>
    </row>
    <row r="238" spans="1:3" x14ac:dyDescent="0.35">
      <c r="A238" s="17" t="s">
        <v>119</v>
      </c>
      <c r="B238" s="13">
        <v>10.48</v>
      </c>
      <c r="C238" s="13">
        <v>17.78</v>
      </c>
    </row>
    <row r="239" spans="1:3" x14ac:dyDescent="0.35">
      <c r="A239" s="17" t="s">
        <v>235</v>
      </c>
      <c r="B239" s="13">
        <v>3.1599999999999993</v>
      </c>
      <c r="C239" s="13">
        <v>2.4300000000000002</v>
      </c>
    </row>
    <row r="240" spans="1:3" x14ac:dyDescent="0.35">
      <c r="A240" s="17" t="s">
        <v>111</v>
      </c>
      <c r="B240" s="13">
        <v>171.25000000000006</v>
      </c>
      <c r="C240" s="13">
        <v>27.37</v>
      </c>
    </row>
    <row r="241" spans="1:3" x14ac:dyDescent="0.35">
      <c r="A241" s="17" t="s">
        <v>305</v>
      </c>
      <c r="B241" s="13">
        <v>11.48</v>
      </c>
      <c r="C241" s="13">
        <v>0</v>
      </c>
    </row>
    <row r="242" spans="1:3" x14ac:dyDescent="0.35">
      <c r="A242" s="17" t="s">
        <v>173</v>
      </c>
      <c r="B242" s="13">
        <v>10.909999999999998</v>
      </c>
      <c r="C242" s="13">
        <v>14.909999999999998</v>
      </c>
    </row>
    <row r="243" spans="1:3" x14ac:dyDescent="0.35">
      <c r="A243" s="17" t="s">
        <v>82</v>
      </c>
      <c r="B243" s="13">
        <v>448.54999999999984</v>
      </c>
      <c r="C243" s="13">
        <v>339.78</v>
      </c>
    </row>
    <row r="244" spans="1:3" x14ac:dyDescent="0.35">
      <c r="A244" s="17" t="s">
        <v>154</v>
      </c>
      <c r="B244" s="13">
        <v>13.000000000000002</v>
      </c>
      <c r="C244" s="13">
        <v>13.34</v>
      </c>
    </row>
    <row r="245" spans="1:3" x14ac:dyDescent="0.35">
      <c r="A245" s="17" t="s">
        <v>56</v>
      </c>
      <c r="B245" s="13">
        <v>384.41999999999996</v>
      </c>
      <c r="C245" s="13">
        <v>246.30999999999997</v>
      </c>
    </row>
    <row r="246" spans="1:3" x14ac:dyDescent="0.35">
      <c r="A246" s="17" t="s">
        <v>134</v>
      </c>
      <c r="B246" s="13">
        <v>0</v>
      </c>
      <c r="C246" s="13">
        <v>37.979999999999997</v>
      </c>
    </row>
    <row r="247" spans="1:3" x14ac:dyDescent="0.35">
      <c r="A247" s="17" t="s">
        <v>145</v>
      </c>
      <c r="B247" s="13">
        <v>0</v>
      </c>
      <c r="C247" s="13">
        <v>84.35</v>
      </c>
    </row>
    <row r="248" spans="1:3" x14ac:dyDescent="0.35">
      <c r="A248" s="17" t="s">
        <v>301</v>
      </c>
      <c r="B248" s="13">
        <v>171.42000000000002</v>
      </c>
      <c r="C248" s="13">
        <v>0</v>
      </c>
    </row>
    <row r="249" spans="1:3" x14ac:dyDescent="0.35">
      <c r="A249" s="17" t="s">
        <v>265</v>
      </c>
      <c r="B249" s="13">
        <v>0</v>
      </c>
      <c r="C249" s="13">
        <v>0</v>
      </c>
    </row>
    <row r="250" spans="1:3" x14ac:dyDescent="0.35">
      <c r="A250" s="17" t="s">
        <v>156</v>
      </c>
      <c r="B250" s="13">
        <v>19.020000000000007</v>
      </c>
      <c r="C250" s="13">
        <v>23.06</v>
      </c>
    </row>
    <row r="251" spans="1:3" x14ac:dyDescent="0.35">
      <c r="A251" s="17" t="s">
        <v>299</v>
      </c>
      <c r="B251" s="13">
        <v>0</v>
      </c>
      <c r="C251" s="13">
        <v>0</v>
      </c>
    </row>
    <row r="252" spans="1:3" x14ac:dyDescent="0.35">
      <c r="A252" s="17" t="s">
        <v>298</v>
      </c>
      <c r="B252" s="13">
        <v>0.86</v>
      </c>
      <c r="C252" s="13">
        <v>0</v>
      </c>
    </row>
    <row r="253" spans="1:3" x14ac:dyDescent="0.35">
      <c r="A253" s="17" t="s">
        <v>68</v>
      </c>
      <c r="B253" s="13">
        <v>182.22000000000003</v>
      </c>
      <c r="C253" s="13">
        <v>233.51</v>
      </c>
    </row>
    <row r="254" spans="1:3" x14ac:dyDescent="0.35">
      <c r="A254" s="17" t="s">
        <v>296</v>
      </c>
      <c r="B254" s="13">
        <v>0</v>
      </c>
      <c r="C254" s="13">
        <v>0.01</v>
      </c>
    </row>
    <row r="255" spans="1:3" x14ac:dyDescent="0.35">
      <c r="A255" s="17" t="s">
        <v>245</v>
      </c>
      <c r="B255" s="13">
        <v>0.09</v>
      </c>
      <c r="C255" s="13">
        <v>7.0000000000000007E-2</v>
      </c>
    </row>
    <row r="256" spans="1:3" x14ac:dyDescent="0.35">
      <c r="A256" s="17" t="s">
        <v>260</v>
      </c>
      <c r="B256" s="13">
        <v>0</v>
      </c>
      <c r="C256" s="13">
        <v>0</v>
      </c>
    </row>
    <row r="257" spans="1:3" x14ac:dyDescent="0.35">
      <c r="A257" s="17" t="s">
        <v>21</v>
      </c>
      <c r="B257" s="13">
        <v>3536.9800000000009</v>
      </c>
      <c r="C257" s="13">
        <v>5014.51</v>
      </c>
    </row>
    <row r="258" spans="1:3" x14ac:dyDescent="0.35">
      <c r="A258" s="17" t="s">
        <v>222</v>
      </c>
      <c r="B258" s="13">
        <v>0.01</v>
      </c>
      <c r="C258" s="13">
        <v>0.85000000000000009</v>
      </c>
    </row>
    <row r="259" spans="1:3" x14ac:dyDescent="0.35">
      <c r="A259" s="17" t="s">
        <v>294</v>
      </c>
      <c r="B259" s="13">
        <v>0</v>
      </c>
      <c r="C259" s="13">
        <v>0</v>
      </c>
    </row>
    <row r="260" spans="1:3" x14ac:dyDescent="0.35">
      <c r="A260" s="12" t="s">
        <v>347</v>
      </c>
      <c r="B260" s="13">
        <v>25167.73</v>
      </c>
      <c r="C260" s="13">
        <v>28898.07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06693-6A34-450D-8F32-5EBD1C3FD76D}">
  <dimension ref="A1:J55"/>
  <sheetViews>
    <sheetView zoomScale="51" workbookViewId="0">
      <selection activeCell="J41" sqref="J41"/>
    </sheetView>
  </sheetViews>
  <sheetFormatPr defaultRowHeight="14.5" x14ac:dyDescent="0.35"/>
  <cols>
    <col min="1" max="1" width="43.453125" bestFit="1" customWidth="1"/>
    <col min="2" max="2" width="27.26953125" bestFit="1" customWidth="1"/>
    <col min="5" max="5" width="21.54296875" bestFit="1" customWidth="1"/>
    <col min="6" max="7" width="27.26953125" bestFit="1" customWidth="1"/>
    <col min="8" max="8" width="23.90625" bestFit="1" customWidth="1"/>
    <col min="9" max="9" width="27.26953125" bestFit="1" customWidth="1"/>
    <col min="10" max="10" width="23.54296875" bestFit="1" customWidth="1"/>
  </cols>
  <sheetData>
    <row r="1" spans="1:10" x14ac:dyDescent="0.35">
      <c r="A1" t="s">
        <v>353</v>
      </c>
      <c r="E1" t="s">
        <v>352</v>
      </c>
    </row>
    <row r="2" spans="1:10" x14ac:dyDescent="0.35">
      <c r="A2" s="11" t="s">
        <v>346</v>
      </c>
      <c r="B2" t="s">
        <v>348</v>
      </c>
      <c r="E2" s="11" t="s">
        <v>346</v>
      </c>
      <c r="F2" s="11" t="s">
        <v>348</v>
      </c>
      <c r="G2" t="s">
        <v>350</v>
      </c>
      <c r="H2" t="s">
        <v>351</v>
      </c>
    </row>
    <row r="3" spans="1:10" x14ac:dyDescent="0.35">
      <c r="A3" s="12" t="s">
        <v>336</v>
      </c>
      <c r="B3" s="13">
        <v>12185.980000000003</v>
      </c>
      <c r="E3" s="12" t="s">
        <v>336</v>
      </c>
      <c r="F3" s="14">
        <v>12185.980000000049</v>
      </c>
      <c r="G3" s="13">
        <v>11156.870000000032</v>
      </c>
      <c r="H3" s="15">
        <v>0.42168836880802135</v>
      </c>
    </row>
    <row r="4" spans="1:10" x14ac:dyDescent="0.35">
      <c r="A4" s="16" t="s">
        <v>18</v>
      </c>
      <c r="B4" s="13">
        <v>5672.9100000000026</v>
      </c>
      <c r="E4" s="12" t="s">
        <v>333</v>
      </c>
      <c r="F4" s="14">
        <v>974.33999999999878</v>
      </c>
      <c r="G4" s="13">
        <v>673.89999999999986</v>
      </c>
      <c r="H4" s="15">
        <v>3.3716438502640361E-2</v>
      </c>
    </row>
    <row r="5" spans="1:10" x14ac:dyDescent="0.35">
      <c r="A5" s="16" t="s">
        <v>62</v>
      </c>
      <c r="B5" s="13">
        <v>374.76999999999992</v>
      </c>
      <c r="E5" s="12" t="s">
        <v>339</v>
      </c>
      <c r="F5" s="14">
        <v>1904.889999999996</v>
      </c>
      <c r="G5" s="13">
        <v>1762.0499999999979</v>
      </c>
      <c r="H5" s="15">
        <v>6.5917550895267102E-2</v>
      </c>
    </row>
    <row r="6" spans="1:10" x14ac:dyDescent="0.35">
      <c r="A6" s="16" t="s">
        <v>65</v>
      </c>
      <c r="B6" s="13">
        <v>178.56999999999988</v>
      </c>
      <c r="E6" s="12" t="s">
        <v>335</v>
      </c>
      <c r="F6" s="14">
        <v>5262.7400000000016</v>
      </c>
      <c r="G6" s="13">
        <v>3869.9300000000003</v>
      </c>
      <c r="H6" s="15">
        <v>0.182113892035004</v>
      </c>
    </row>
    <row r="7" spans="1:10" x14ac:dyDescent="0.35">
      <c r="A7" s="16" t="s">
        <v>144</v>
      </c>
      <c r="B7" s="13">
        <v>61.57</v>
      </c>
      <c r="E7" s="12" t="s">
        <v>337</v>
      </c>
      <c r="F7" s="14">
        <v>1129.8899999999987</v>
      </c>
      <c r="G7" s="13">
        <v>1233.939999999998</v>
      </c>
      <c r="H7" s="15">
        <v>3.9099150912154199E-2</v>
      </c>
    </row>
    <row r="8" spans="1:10" x14ac:dyDescent="0.35">
      <c r="A8" s="16" t="s">
        <v>27</v>
      </c>
      <c r="B8" s="13">
        <v>5864.4100000000026</v>
      </c>
      <c r="E8" s="12" t="s">
        <v>338</v>
      </c>
      <c r="F8" s="14">
        <v>850.30999999999892</v>
      </c>
      <c r="G8" s="13">
        <v>847.55999999999869</v>
      </c>
      <c r="H8" s="15">
        <v>2.9424456373730038E-2</v>
      </c>
    </row>
    <row r="9" spans="1:10" x14ac:dyDescent="0.35">
      <c r="A9" s="16" t="s">
        <v>126</v>
      </c>
      <c r="B9" s="13">
        <v>23.470000000000017</v>
      </c>
      <c r="E9" s="12" t="s">
        <v>334</v>
      </c>
      <c r="F9" s="14">
        <v>5620.3800000000301</v>
      </c>
      <c r="G9" s="13">
        <v>4936.5500000000357</v>
      </c>
      <c r="H9" s="15">
        <v>0.19448980502850247</v>
      </c>
    </row>
    <row r="10" spans="1:10" x14ac:dyDescent="0.35">
      <c r="A10" s="16" t="s">
        <v>113</v>
      </c>
      <c r="B10" s="13">
        <v>10.279999999999998</v>
      </c>
      <c r="E10" s="12" t="s">
        <v>340</v>
      </c>
      <c r="F10" s="14">
        <v>969.53999999999974</v>
      </c>
      <c r="G10" s="13">
        <v>686.93</v>
      </c>
      <c r="H10" s="15">
        <v>3.3550337444680466E-2</v>
      </c>
    </row>
    <row r="11" spans="1:10" x14ac:dyDescent="0.35">
      <c r="A11" s="12" t="s">
        <v>333</v>
      </c>
      <c r="B11" s="13">
        <v>974.3399999999998</v>
      </c>
      <c r="E11" s="12" t="s">
        <v>347</v>
      </c>
      <c r="F11" s="14">
        <v>28898.070000000072</v>
      </c>
      <c r="G11" s="13">
        <v>25167.730000000061</v>
      </c>
      <c r="H11" s="15">
        <v>1</v>
      </c>
    </row>
    <row r="12" spans="1:10" x14ac:dyDescent="0.35">
      <c r="A12" s="16" t="s">
        <v>174</v>
      </c>
      <c r="B12" s="13">
        <v>22.93</v>
      </c>
    </row>
    <row r="13" spans="1:10" x14ac:dyDescent="0.35">
      <c r="A13" s="16" t="s">
        <v>114</v>
      </c>
      <c r="B13" s="13">
        <v>18.450000000000003</v>
      </c>
      <c r="E13" t="s">
        <v>356</v>
      </c>
      <c r="I13" t="s">
        <v>357</v>
      </c>
    </row>
    <row r="14" spans="1:10" x14ac:dyDescent="0.35">
      <c r="A14" s="16" t="s">
        <v>72</v>
      </c>
      <c r="B14" s="13">
        <v>407.17999999999972</v>
      </c>
      <c r="E14" s="11" t="s">
        <v>346</v>
      </c>
      <c r="F14" s="11" t="s">
        <v>348</v>
      </c>
      <c r="G14" t="s">
        <v>355</v>
      </c>
      <c r="I14" s="11" t="s">
        <v>346</v>
      </c>
      <c r="J14" t="s">
        <v>348</v>
      </c>
    </row>
    <row r="15" spans="1:10" x14ac:dyDescent="0.35">
      <c r="A15" s="16" t="s">
        <v>110</v>
      </c>
      <c r="B15" s="13">
        <v>214.1</v>
      </c>
      <c r="E15" s="12" t="s">
        <v>341</v>
      </c>
      <c r="F15" s="13">
        <v>677.20999999999924</v>
      </c>
      <c r="G15" s="15">
        <v>2.3434436971050247E-2</v>
      </c>
      <c r="I15" s="12" t="s">
        <v>24</v>
      </c>
      <c r="J15" s="13">
        <v>1101.8100000000004</v>
      </c>
    </row>
    <row r="16" spans="1:10" x14ac:dyDescent="0.35">
      <c r="A16" s="16" t="s">
        <v>118</v>
      </c>
      <c r="B16" s="13">
        <v>207.97000000000006</v>
      </c>
      <c r="E16" s="12" t="s">
        <v>342</v>
      </c>
      <c r="F16" s="13">
        <v>8554.2900000000773</v>
      </c>
      <c r="G16" s="15">
        <v>0.29601596231167204</v>
      </c>
      <c r="I16" s="12" t="s">
        <v>41</v>
      </c>
      <c r="J16" s="13">
        <v>668.9899999999999</v>
      </c>
    </row>
    <row r="17" spans="1:10" x14ac:dyDescent="0.35">
      <c r="A17" s="16" t="s">
        <v>128</v>
      </c>
      <c r="B17" s="13">
        <v>103.71000000000001</v>
      </c>
      <c r="E17" s="12" t="s">
        <v>343</v>
      </c>
      <c r="F17" s="13">
        <v>1951.2199999999955</v>
      </c>
      <c r="G17" s="15">
        <v>6.7520772148451147E-2</v>
      </c>
      <c r="I17" s="12" t="s">
        <v>30</v>
      </c>
      <c r="J17" s="13">
        <v>625.89</v>
      </c>
    </row>
    <row r="18" spans="1:10" x14ac:dyDescent="0.35">
      <c r="A18" s="12" t="s">
        <v>339</v>
      </c>
      <c r="B18" s="13">
        <v>1904.89</v>
      </c>
      <c r="E18" s="12" t="s">
        <v>345</v>
      </c>
      <c r="F18" s="13">
        <v>17382.57999999998</v>
      </c>
      <c r="G18" s="15">
        <v>0.60151352668188385</v>
      </c>
      <c r="I18" s="12" t="s">
        <v>36</v>
      </c>
      <c r="J18" s="13">
        <v>709.43999999999994</v>
      </c>
    </row>
    <row r="19" spans="1:10" x14ac:dyDescent="0.35">
      <c r="A19" s="16" t="s">
        <v>83</v>
      </c>
      <c r="B19" s="13">
        <v>367.97000000000014</v>
      </c>
      <c r="E19" s="12" t="s">
        <v>344</v>
      </c>
      <c r="F19" s="13">
        <v>332.76999999999987</v>
      </c>
      <c r="G19" s="15">
        <v>1.1515301886942596E-2</v>
      </c>
      <c r="I19" s="12" t="s">
        <v>38</v>
      </c>
      <c r="J19" s="13">
        <v>711.04</v>
      </c>
    </row>
    <row r="20" spans="1:10" x14ac:dyDescent="0.35">
      <c r="A20" s="16" t="s">
        <v>76</v>
      </c>
      <c r="B20" s="13">
        <v>53.990000000000016</v>
      </c>
      <c r="E20" s="12" t="s">
        <v>347</v>
      </c>
      <c r="F20" s="13">
        <v>28898.070000000054</v>
      </c>
      <c r="G20" s="15">
        <v>1</v>
      </c>
      <c r="I20" s="12" t="s">
        <v>26</v>
      </c>
      <c r="J20" s="13">
        <v>1359.85</v>
      </c>
    </row>
    <row r="21" spans="1:10" x14ac:dyDescent="0.35">
      <c r="A21" s="16" t="s">
        <v>55</v>
      </c>
      <c r="B21" s="13">
        <v>397.23</v>
      </c>
      <c r="I21" s="12" t="s">
        <v>28</v>
      </c>
      <c r="J21" s="13">
        <v>1952.6999999999998</v>
      </c>
    </row>
    <row r="22" spans="1:10" x14ac:dyDescent="0.35">
      <c r="A22" s="16" t="s">
        <v>45</v>
      </c>
      <c r="B22" s="13">
        <v>722.64</v>
      </c>
      <c r="E22" s="18" t="s">
        <v>358</v>
      </c>
      <c r="I22" s="12" t="s">
        <v>17</v>
      </c>
      <c r="J22" s="13">
        <v>4993.3200000000033</v>
      </c>
    </row>
    <row r="23" spans="1:10" x14ac:dyDescent="0.35">
      <c r="A23" s="16" t="s">
        <v>102</v>
      </c>
      <c r="B23" s="13">
        <v>363.05999999999995</v>
      </c>
      <c r="E23" s="11" t="s">
        <v>346</v>
      </c>
      <c r="F23" s="11" t="s">
        <v>348</v>
      </c>
      <c r="G23" t="s">
        <v>349</v>
      </c>
      <c r="I23" s="12" t="s">
        <v>21</v>
      </c>
      <c r="J23" s="13">
        <v>5014.51</v>
      </c>
    </row>
    <row r="24" spans="1:10" x14ac:dyDescent="0.35">
      <c r="A24" s="12" t="s">
        <v>335</v>
      </c>
      <c r="B24" s="13">
        <v>5262.7400000000016</v>
      </c>
      <c r="E24" s="12" t="s">
        <v>25</v>
      </c>
      <c r="F24" s="14">
        <v>2135.1100000000024</v>
      </c>
      <c r="G24" s="15">
        <v>7.3884172887670366E-2</v>
      </c>
      <c r="I24" s="12" t="s">
        <v>29</v>
      </c>
      <c r="J24" s="13">
        <v>761.92000000000007</v>
      </c>
    </row>
    <row r="25" spans="1:10" x14ac:dyDescent="0.35">
      <c r="A25" s="16" t="s">
        <v>125</v>
      </c>
      <c r="B25" s="13">
        <v>58.90000000000002</v>
      </c>
      <c r="E25" s="12" t="s">
        <v>159</v>
      </c>
      <c r="F25" s="14">
        <v>32.540000000000006</v>
      </c>
      <c r="G25" s="15">
        <v>1.1260267554199976E-3</v>
      </c>
      <c r="I25" s="12" t="s">
        <v>347</v>
      </c>
      <c r="J25" s="13">
        <v>17899.47</v>
      </c>
    </row>
    <row r="26" spans="1:10" x14ac:dyDescent="0.35">
      <c r="A26" s="16" t="s">
        <v>22</v>
      </c>
      <c r="B26" s="13">
        <v>5098.840000000002</v>
      </c>
      <c r="E26" s="12" t="s">
        <v>94</v>
      </c>
      <c r="F26" s="14">
        <v>351.69999999999976</v>
      </c>
      <c r="G26" s="15">
        <v>1.2170362934272061E-2</v>
      </c>
    </row>
    <row r="27" spans="1:10" x14ac:dyDescent="0.35">
      <c r="A27" s="16" t="s">
        <v>261</v>
      </c>
      <c r="B27" s="13">
        <v>0</v>
      </c>
      <c r="E27" s="12" t="s">
        <v>103</v>
      </c>
      <c r="F27" s="14">
        <v>8.35</v>
      </c>
      <c r="G27" s="15">
        <v>2.8894663207612104E-4</v>
      </c>
    </row>
    <row r="28" spans="1:10" x14ac:dyDescent="0.35">
      <c r="A28" s="16" t="s">
        <v>221</v>
      </c>
      <c r="B28" s="13">
        <v>1.4300000000000002</v>
      </c>
      <c r="E28" s="12" t="s">
        <v>86</v>
      </c>
      <c r="F28" s="14">
        <v>241.75</v>
      </c>
      <c r="G28" s="15">
        <v>8.3656105753775172E-3</v>
      </c>
    </row>
    <row r="29" spans="1:10" x14ac:dyDescent="0.35">
      <c r="A29" s="16" t="s">
        <v>93</v>
      </c>
      <c r="B29" s="13">
        <v>103.56999999999996</v>
      </c>
      <c r="E29" s="12" t="s">
        <v>166</v>
      </c>
      <c r="F29" s="14">
        <v>16.190000000000001</v>
      </c>
      <c r="G29" s="15">
        <v>5.6024502674400004E-4</v>
      </c>
    </row>
    <row r="30" spans="1:10" x14ac:dyDescent="0.35">
      <c r="A30" s="12" t="s">
        <v>337</v>
      </c>
      <c r="B30" s="13">
        <v>1129.8899999999994</v>
      </c>
      <c r="E30" s="12" t="s">
        <v>16</v>
      </c>
      <c r="F30" s="14">
        <v>8112.6400000000085</v>
      </c>
      <c r="G30" s="15">
        <v>0.28073293476000299</v>
      </c>
    </row>
    <row r="31" spans="1:10" x14ac:dyDescent="0.35">
      <c r="A31" s="16" t="s">
        <v>84</v>
      </c>
      <c r="B31" s="13">
        <v>265.03999999999974</v>
      </c>
      <c r="E31" s="12" t="s">
        <v>35</v>
      </c>
      <c r="F31" s="14">
        <v>2205.6800000000071</v>
      </c>
      <c r="G31" s="15">
        <v>7.6326204483552179E-2</v>
      </c>
    </row>
    <row r="32" spans="1:10" x14ac:dyDescent="0.35">
      <c r="A32" s="16" t="s">
        <v>179</v>
      </c>
      <c r="B32" s="13">
        <v>114.11000000000003</v>
      </c>
      <c r="E32" s="12" t="s">
        <v>212</v>
      </c>
      <c r="F32" s="14">
        <v>0.08</v>
      </c>
      <c r="G32" s="15">
        <v>2.7683509659987649E-6</v>
      </c>
    </row>
    <row r="33" spans="1:7" x14ac:dyDescent="0.35">
      <c r="A33" s="16" t="s">
        <v>150</v>
      </c>
      <c r="B33" s="13">
        <v>24.590000000000014</v>
      </c>
      <c r="E33" s="12" t="s">
        <v>79</v>
      </c>
      <c r="F33" s="14">
        <v>487.24999999999972</v>
      </c>
      <c r="G33" s="15">
        <v>1.6860987602286215E-2</v>
      </c>
    </row>
    <row r="34" spans="1:7" x14ac:dyDescent="0.35">
      <c r="A34" s="16" t="s">
        <v>142</v>
      </c>
      <c r="B34" s="13">
        <v>26.76</v>
      </c>
      <c r="E34" s="12" t="s">
        <v>77</v>
      </c>
      <c r="F34" s="14">
        <v>678.43999999999949</v>
      </c>
      <c r="G34" s="15">
        <v>2.3477000367152504E-2</v>
      </c>
    </row>
    <row r="35" spans="1:7" x14ac:dyDescent="0.35">
      <c r="A35" s="16" t="s">
        <v>51</v>
      </c>
      <c r="B35" s="13">
        <v>690.92999999999972</v>
      </c>
      <c r="E35" s="12" t="s">
        <v>57</v>
      </c>
      <c r="F35" s="14">
        <v>409.38999999999982</v>
      </c>
      <c r="G35" s="15">
        <v>1.4166690024627922E-2</v>
      </c>
    </row>
    <row r="36" spans="1:7" x14ac:dyDescent="0.35">
      <c r="A36" s="16" t="s">
        <v>181</v>
      </c>
      <c r="B36" s="13">
        <v>8.4599999999999991</v>
      </c>
      <c r="E36" s="12" t="s">
        <v>20</v>
      </c>
      <c r="F36" s="14">
        <v>6056.2800000000116</v>
      </c>
      <c r="G36" s="15">
        <v>0.20957385735448789</v>
      </c>
    </row>
    <row r="37" spans="1:7" x14ac:dyDescent="0.35">
      <c r="A37" s="12" t="s">
        <v>338</v>
      </c>
      <c r="B37" s="13">
        <v>850.31000000000017</v>
      </c>
      <c r="E37" s="12" t="s">
        <v>258</v>
      </c>
      <c r="F37" s="14">
        <v>0.25</v>
      </c>
      <c r="G37" s="15">
        <v>8.6510967687461388E-6</v>
      </c>
    </row>
    <row r="38" spans="1:7" x14ac:dyDescent="0.35">
      <c r="A38" s="16" t="s">
        <v>122</v>
      </c>
      <c r="B38" s="13">
        <v>92.560000000000016</v>
      </c>
      <c r="E38" s="12" t="s">
        <v>129</v>
      </c>
      <c r="F38" s="14">
        <v>83</v>
      </c>
      <c r="G38" s="15">
        <v>2.8721641272237185E-3</v>
      </c>
    </row>
    <row r="39" spans="1:7" x14ac:dyDescent="0.35">
      <c r="A39" s="16" t="s">
        <v>69</v>
      </c>
      <c r="B39" s="13">
        <v>165.71000000000009</v>
      </c>
      <c r="E39" s="12" t="s">
        <v>251</v>
      </c>
      <c r="F39" s="14">
        <v>0.75000000000000011</v>
      </c>
      <c r="G39" s="15">
        <v>2.5953290306238423E-5</v>
      </c>
    </row>
    <row r="40" spans="1:7" x14ac:dyDescent="0.35">
      <c r="A40" s="16" t="s">
        <v>46</v>
      </c>
      <c r="B40" s="13">
        <v>550.11</v>
      </c>
      <c r="E40" s="12" t="s">
        <v>66</v>
      </c>
      <c r="F40" s="14">
        <v>720.5099999999992</v>
      </c>
      <c r="G40" s="15">
        <v>2.4932806931397097E-2</v>
      </c>
    </row>
    <row r="41" spans="1:7" x14ac:dyDescent="0.35">
      <c r="A41" s="16" t="s">
        <v>116</v>
      </c>
      <c r="B41" s="13">
        <v>24.95000000000001</v>
      </c>
      <c r="E41" s="12" t="s">
        <v>49</v>
      </c>
      <c r="F41" s="14">
        <v>282.02999999999997</v>
      </c>
      <c r="G41" s="15">
        <v>9.7594752867578936E-3</v>
      </c>
    </row>
    <row r="42" spans="1:7" x14ac:dyDescent="0.35">
      <c r="A42" s="16" t="s">
        <v>170</v>
      </c>
      <c r="B42" s="13">
        <v>16.98</v>
      </c>
      <c r="E42" s="12" t="s">
        <v>231</v>
      </c>
      <c r="F42" s="14">
        <v>2.4500000000000006</v>
      </c>
      <c r="G42" s="15">
        <v>8.4780748333712188E-5</v>
      </c>
    </row>
    <row r="43" spans="1:7" x14ac:dyDescent="0.35">
      <c r="A43" s="12" t="s">
        <v>334</v>
      </c>
      <c r="B43" s="13">
        <v>5620.3799999999965</v>
      </c>
      <c r="E43" s="12" t="s">
        <v>40</v>
      </c>
      <c r="F43" s="14">
        <v>1646.5399999999968</v>
      </c>
      <c r="G43" s="15">
        <v>5.6977507494444961E-2</v>
      </c>
    </row>
    <row r="44" spans="1:7" x14ac:dyDescent="0.35">
      <c r="A44" s="16" t="s">
        <v>60</v>
      </c>
      <c r="B44" s="13">
        <v>364.67999999999995</v>
      </c>
      <c r="E44" s="12" t="s">
        <v>74</v>
      </c>
      <c r="F44" s="14">
        <v>354.71999999999986</v>
      </c>
      <c r="G44" s="15">
        <v>1.2274868183238518E-2</v>
      </c>
    </row>
    <row r="45" spans="1:7" x14ac:dyDescent="0.35">
      <c r="A45" s="16" t="s">
        <v>48</v>
      </c>
      <c r="B45" s="13">
        <v>1006.9199999999996</v>
      </c>
      <c r="E45" s="12" t="s">
        <v>243</v>
      </c>
      <c r="F45" s="14">
        <v>0.84000000000000008</v>
      </c>
      <c r="G45" s="15">
        <v>2.9067685142987031E-5</v>
      </c>
    </row>
    <row r="46" spans="1:7" x14ac:dyDescent="0.35">
      <c r="A46" s="16" t="s">
        <v>59</v>
      </c>
      <c r="B46" s="13">
        <v>317.90999999999963</v>
      </c>
      <c r="E46" s="12" t="s">
        <v>23</v>
      </c>
      <c r="F46" s="14">
        <v>3485.2200000000071</v>
      </c>
      <c r="G46" s="15">
        <v>0.12060390192147792</v>
      </c>
    </row>
    <row r="47" spans="1:7" x14ac:dyDescent="0.35">
      <c r="A47" s="16" t="s">
        <v>81</v>
      </c>
      <c r="B47" s="13">
        <v>307.64999999999998</v>
      </c>
      <c r="E47" s="12" t="s">
        <v>189</v>
      </c>
      <c r="F47" s="14">
        <v>19.669999999999998</v>
      </c>
      <c r="G47" s="15">
        <v>6.8066829376494623E-4</v>
      </c>
    </row>
    <row r="48" spans="1:7" x14ac:dyDescent="0.35">
      <c r="A48" s="16" t="s">
        <v>53</v>
      </c>
      <c r="B48" s="13">
        <v>466.0599999999996</v>
      </c>
      <c r="E48" s="12" t="s">
        <v>31</v>
      </c>
      <c r="F48" s="14">
        <v>1566.6899999999982</v>
      </c>
      <c r="G48" s="15">
        <v>5.4214347186507493E-2</v>
      </c>
    </row>
    <row r="49" spans="1:7" x14ac:dyDescent="0.35">
      <c r="A49" s="16" t="s">
        <v>151</v>
      </c>
      <c r="B49" s="13">
        <v>68.420000000000016</v>
      </c>
      <c r="E49" s="12" t="s">
        <v>347</v>
      </c>
      <c r="F49" s="14">
        <v>28898.070000000029</v>
      </c>
      <c r="G49" s="15">
        <v>1</v>
      </c>
    </row>
    <row r="50" spans="1:7" x14ac:dyDescent="0.35">
      <c r="A50" s="16" t="s">
        <v>39</v>
      </c>
      <c r="B50" s="13">
        <v>1493.7099999999991</v>
      </c>
    </row>
    <row r="51" spans="1:7" x14ac:dyDescent="0.35">
      <c r="A51" s="16" t="s">
        <v>54</v>
      </c>
      <c r="B51" s="13">
        <v>662.82999999999913</v>
      </c>
    </row>
    <row r="52" spans="1:7" x14ac:dyDescent="0.35">
      <c r="A52" s="16" t="s">
        <v>42</v>
      </c>
      <c r="B52" s="13">
        <v>932.19999999999993</v>
      </c>
    </row>
    <row r="53" spans="1:7" x14ac:dyDescent="0.35">
      <c r="A53" s="12" t="s">
        <v>340</v>
      </c>
      <c r="B53" s="13">
        <v>969.53999999999974</v>
      </c>
    </row>
    <row r="54" spans="1:7" x14ac:dyDescent="0.35">
      <c r="A54" s="16" t="s">
        <v>33</v>
      </c>
      <c r="B54" s="13">
        <v>969.53999999999974</v>
      </c>
    </row>
    <row r="55" spans="1:7" x14ac:dyDescent="0.35">
      <c r="A55" s="12" t="s">
        <v>347</v>
      </c>
      <c r="B55" s="13">
        <v>28898.070000000003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Dataset</vt:lpstr>
      <vt:lpstr>Cleaned Dataset</vt:lpstr>
      <vt:lpstr>State_Region</vt:lpstr>
      <vt:lpstr>Product_Category</vt:lpstr>
      <vt:lpstr>Port_Type</vt:lpstr>
      <vt:lpstr>Pivot_Region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SHARAN</dc:creator>
  <dc:description/>
  <cp:lastModifiedBy>sharan m</cp:lastModifiedBy>
  <cp:revision>0</cp:revision>
  <dcterms:created xsi:type="dcterms:W3CDTF">2026-09-30T20:16:45Z</dcterms:created>
  <dcterms:modified xsi:type="dcterms:W3CDTF">2026-10-08T15:15:35Z</dcterms:modified>
  <dc:language>en-US</dc:language>
</cp:coreProperties>
</file>